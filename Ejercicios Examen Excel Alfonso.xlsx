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ca02d8e658a19d/Alfonso/Documentos/Master en Finanzas Cuantitativas Afi/Probabilidad y Simulacion - Maite Martinez/Examen derivados/"/>
    </mc:Choice>
  </mc:AlternateContent>
  <xr:revisionPtr revIDLastSave="231" documentId="11_F25DC773A252ABDACC1048AE7959728A5BDE58ED" xr6:coauthVersionLast="47" xr6:coauthVersionMax="47" xr10:uidLastSave="{12116C0D-C2EF-4301-9A65-16C92B279BC1}"/>
  <bookViews>
    <workbookView xWindow="-120" yWindow="-120" windowWidth="29040" windowHeight="15720" xr2:uid="{00000000-000D-0000-FFFF-FFFF00000000}"/>
  </bookViews>
  <sheets>
    <sheet name="Ejercicio 1" sheetId="1" r:id="rId1"/>
    <sheet name="Ejercicio 2" sheetId="2" r:id="rId2"/>
  </sheets>
  <externalReferences>
    <externalReference r:id="rId3"/>
  </externalReferences>
  <definedNames>
    <definedName name="alpha__1">'Ejercicio 2'!$C$6</definedName>
    <definedName name="alpha__1_2">'Ejercicio 2'!$C$5</definedName>
    <definedName name="alpha_0">'Ejercicio 2'!$C$4</definedName>
    <definedName name="alpha_1">'Ejercicio 2'!$C$2</definedName>
    <definedName name="alpha_1_2">'Ejercicio 2'!$C$3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3" i="2"/>
  <c r="C14" i="2"/>
  <c r="C15" i="2"/>
  <c r="E15" i="2" s="1"/>
  <c r="C16" i="2"/>
  <c r="G16" i="2" s="1"/>
  <c r="C17" i="2"/>
  <c r="F17" i="2" s="1"/>
  <c r="C18" i="2"/>
  <c r="E18" i="2" s="1"/>
  <c r="C19" i="2"/>
  <c r="D19" i="2" s="1"/>
  <c r="C20" i="2"/>
  <c r="D20" i="2" s="1"/>
  <c r="C21" i="2"/>
  <c r="D21" i="2" s="1"/>
  <c r="C22" i="2"/>
  <c r="G22" i="2" s="1"/>
  <c r="C23" i="2"/>
  <c r="E23" i="2" s="1"/>
  <c r="C24" i="2"/>
  <c r="D24" i="2" s="1"/>
  <c r="C25" i="2"/>
  <c r="D25" i="2" s="1"/>
  <c r="C26" i="2"/>
  <c r="C27" i="2"/>
  <c r="E27" i="2" s="1"/>
  <c r="C28" i="2"/>
  <c r="C29" i="2"/>
  <c r="F29" i="2" s="1"/>
  <c r="C30" i="2"/>
  <c r="D30" i="2" s="1"/>
  <c r="C31" i="2"/>
  <c r="E31" i="2" s="1"/>
  <c r="C32" i="2"/>
  <c r="H32" i="2" s="1"/>
  <c r="C33" i="2"/>
  <c r="D33" i="2" s="1"/>
  <c r="C34" i="2"/>
  <c r="F34" i="2" s="1"/>
  <c r="C35" i="2"/>
  <c r="E35" i="2" s="1"/>
  <c r="C36" i="2"/>
  <c r="D36" i="2" s="1"/>
  <c r="C37" i="2"/>
  <c r="E37" i="2" s="1"/>
  <c r="C38" i="2"/>
  <c r="C39" i="2"/>
  <c r="G39" i="2" s="1"/>
  <c r="C40" i="2"/>
  <c r="G40" i="2" s="1"/>
  <c r="C41" i="2"/>
  <c r="C42" i="2"/>
  <c r="C43" i="2"/>
  <c r="E43" i="2" s="1"/>
  <c r="C44" i="2"/>
  <c r="E44" i="2" s="1"/>
  <c r="C45" i="2"/>
  <c r="F45" i="2" s="1"/>
  <c r="C46" i="2"/>
  <c r="E46" i="2" s="1"/>
  <c r="C47" i="2"/>
  <c r="H47" i="2" s="1"/>
  <c r="C48" i="2"/>
  <c r="F48" i="2" s="1"/>
  <c r="C49" i="2"/>
  <c r="D49" i="2" s="1"/>
  <c r="C50" i="2"/>
  <c r="F50" i="2" s="1"/>
  <c r="C51" i="2"/>
  <c r="E51" i="2" s="1"/>
  <c r="C52" i="2"/>
  <c r="D52" i="2" s="1"/>
  <c r="C53" i="2"/>
  <c r="G53" i="2" s="1"/>
  <c r="C54" i="2"/>
  <c r="F54" i="2" s="1"/>
  <c r="C55" i="2"/>
  <c r="E55" i="2" s="1"/>
  <c r="C56" i="2"/>
  <c r="C57" i="2"/>
  <c r="F57" i="2" s="1"/>
  <c r="C58" i="2"/>
  <c r="F58" i="2" s="1"/>
  <c r="C59" i="2"/>
  <c r="C60" i="2"/>
  <c r="H60" i="2" s="1"/>
  <c r="C61" i="2"/>
  <c r="G61" i="2" s="1"/>
  <c r="C62" i="2"/>
  <c r="F62" i="2" s="1"/>
  <c r="C63" i="2"/>
  <c r="E63" i="2" s="1"/>
  <c r="C64" i="2"/>
  <c r="D64" i="2" s="1"/>
  <c r="C65" i="2"/>
  <c r="E65" i="2" s="1"/>
  <c r="C66" i="2"/>
  <c r="H66" i="2" s="1"/>
  <c r="C67" i="2"/>
  <c r="E67" i="2" s="1"/>
  <c r="C68" i="2"/>
  <c r="C69" i="2"/>
  <c r="C70" i="2"/>
  <c r="G70" i="2" s="1"/>
  <c r="C71" i="2"/>
  <c r="C72" i="2"/>
  <c r="D72" i="2" s="1"/>
  <c r="C73" i="2"/>
  <c r="D73" i="2" s="1"/>
  <c r="C74" i="2"/>
  <c r="E74" i="2" s="1"/>
  <c r="C75" i="2"/>
  <c r="D75" i="2" s="1"/>
  <c r="C76" i="2"/>
  <c r="D76" i="2" s="1"/>
  <c r="C77" i="2"/>
  <c r="D77" i="2" s="1"/>
  <c r="C78" i="2"/>
  <c r="G78" i="2" s="1"/>
  <c r="C79" i="2"/>
  <c r="E79" i="2" s="1"/>
  <c r="C80" i="2"/>
  <c r="D80" i="2" s="1"/>
  <c r="C81" i="2"/>
  <c r="D81" i="2" s="1"/>
  <c r="C82" i="2"/>
  <c r="C83" i="2"/>
  <c r="C84" i="2"/>
  <c r="C85" i="2"/>
  <c r="F85" i="2" s="1"/>
  <c r="C86" i="2"/>
  <c r="D86" i="2" s="1"/>
  <c r="C87" i="2"/>
  <c r="D87" i="2" s="1"/>
  <c r="C88" i="2"/>
  <c r="D88" i="2" s="1"/>
  <c r="C89" i="2"/>
  <c r="D89" i="2" s="1"/>
  <c r="C90" i="2"/>
  <c r="F90" i="2" s="1"/>
  <c r="C91" i="2"/>
  <c r="E91" i="2" s="1"/>
  <c r="C92" i="2"/>
  <c r="D92" i="2" s="1"/>
  <c r="C93" i="2"/>
  <c r="E93" i="2" s="1"/>
  <c r="C94" i="2"/>
  <c r="G94" i="2" s="1"/>
  <c r="C95" i="2"/>
  <c r="D95" i="2" s="1"/>
  <c r="C96" i="2"/>
  <c r="G96" i="2" s="1"/>
  <c r="C97" i="2"/>
  <c r="H97" i="2" s="1"/>
  <c r="C98" i="2"/>
  <c r="D98" i="2" s="1"/>
  <c r="C99" i="2"/>
  <c r="C100" i="2"/>
  <c r="D100" i="2" s="1"/>
  <c r="C101" i="2"/>
  <c r="D101" i="2" s="1"/>
  <c r="C102" i="2"/>
  <c r="E102" i="2" s="1"/>
  <c r="C103" i="2"/>
  <c r="H103" i="2" s="1"/>
  <c r="C104" i="2"/>
  <c r="G104" i="2" s="1"/>
  <c r="C105" i="2"/>
  <c r="D105" i="2" s="1"/>
  <c r="C106" i="2"/>
  <c r="E106" i="2" s="1"/>
  <c r="C107" i="2"/>
  <c r="E107" i="2" s="1"/>
  <c r="C108" i="2"/>
  <c r="D108" i="2" s="1"/>
  <c r="C109" i="2"/>
  <c r="G109" i="2" s="1"/>
  <c r="C110" i="2"/>
  <c r="C111" i="2"/>
  <c r="C112" i="2"/>
  <c r="C113" i="2"/>
  <c r="F113" i="2" s="1"/>
  <c r="C114" i="2"/>
  <c r="E114" i="2" s="1"/>
  <c r="C115" i="2"/>
  <c r="D115" i="2" s="1"/>
  <c r="C116" i="2"/>
  <c r="D116" i="2" s="1"/>
  <c r="C117" i="2"/>
  <c r="D117" i="2" s="1"/>
  <c r="C118" i="2"/>
  <c r="F118" i="2" s="1"/>
  <c r="C119" i="2"/>
  <c r="E119" i="2" s="1"/>
  <c r="C120" i="2"/>
  <c r="D120" i="2" s="1"/>
  <c r="C121" i="2"/>
  <c r="E121" i="2" s="1"/>
  <c r="C122" i="2"/>
  <c r="C123" i="2"/>
  <c r="E123" i="2" s="1"/>
  <c r="C124" i="2"/>
  <c r="C125" i="2"/>
  <c r="G125" i="2" s="1"/>
  <c r="C126" i="2"/>
  <c r="C127" i="2"/>
  <c r="E127" i="2" s="1"/>
  <c r="C128" i="2"/>
  <c r="D128" i="2" s="1"/>
  <c r="C129" i="2"/>
  <c r="D129" i="2" s="1"/>
  <c r="C130" i="2"/>
  <c r="E130" i="2" s="1"/>
  <c r="C131" i="2"/>
  <c r="D131" i="2" s="1"/>
  <c r="C132" i="2"/>
  <c r="E132" i="2" s="1"/>
  <c r="C133" i="2"/>
  <c r="D133" i="2" s="1"/>
  <c r="C134" i="2"/>
  <c r="D134" i="2" s="1"/>
  <c r="C135" i="2"/>
  <c r="E135" i="2" s="1"/>
  <c r="C136" i="2"/>
  <c r="D136" i="2" s="1"/>
  <c r="C137" i="2"/>
  <c r="E137" i="2" s="1"/>
  <c r="C138" i="2"/>
  <c r="C139" i="2"/>
  <c r="C140" i="2"/>
  <c r="C141" i="2"/>
  <c r="F141" i="2" s="1"/>
  <c r="C142" i="2"/>
  <c r="G142" i="2" s="1"/>
  <c r="C143" i="2"/>
  <c r="D143" i="2" s="1"/>
  <c r="C144" i="2"/>
  <c r="D144" i="2" s="1"/>
  <c r="C145" i="2"/>
  <c r="D145" i="2" s="1"/>
  <c r="C146" i="2"/>
  <c r="F146" i="2" s="1"/>
  <c r="C147" i="2"/>
  <c r="E147" i="2" s="1"/>
  <c r="C148" i="2"/>
  <c r="D148" i="2" s="1"/>
  <c r="C149" i="2"/>
  <c r="E149" i="2" s="1"/>
  <c r="C150" i="2"/>
  <c r="C151" i="2"/>
  <c r="F151" i="2" s="1"/>
  <c r="C152" i="2"/>
  <c r="G152" i="2" s="1"/>
  <c r="C153" i="2"/>
  <c r="C154" i="2"/>
  <c r="C155" i="2"/>
  <c r="E155" i="2" s="1"/>
  <c r="C156" i="2"/>
  <c r="G156" i="2" s="1"/>
  <c r="C157" i="2"/>
  <c r="F157" i="2" s="1"/>
  <c r="C158" i="2"/>
  <c r="E158" i="2" s="1"/>
  <c r="C159" i="2"/>
  <c r="D159" i="2" s="1"/>
  <c r="C160" i="2"/>
  <c r="E160" i="2" s="1"/>
  <c r="C161" i="2"/>
  <c r="D161" i="2" s="1"/>
  <c r="C162" i="2"/>
  <c r="G162" i="2" s="1"/>
  <c r="C163" i="2"/>
  <c r="E163" i="2" s="1"/>
  <c r="C164" i="2"/>
  <c r="D164" i="2" s="1"/>
  <c r="C165" i="2"/>
  <c r="D165" i="2" s="1"/>
  <c r="C166" i="2"/>
  <c r="C167" i="2"/>
  <c r="F167" i="2" s="1"/>
  <c r="C168" i="2"/>
  <c r="C169" i="2"/>
  <c r="F169" i="2" s="1"/>
  <c r="C170" i="2"/>
  <c r="G170" i="2" s="1"/>
  <c r="C171" i="2"/>
  <c r="D171" i="2" s="1"/>
  <c r="C172" i="2"/>
  <c r="H172" i="2" s="1"/>
  <c r="C173" i="2"/>
  <c r="E173" i="2" s="1"/>
  <c r="C174" i="2"/>
  <c r="F174" i="2" s="1"/>
  <c r="C175" i="2"/>
  <c r="E175" i="2" s="1"/>
  <c r="C176" i="2"/>
  <c r="G176" i="2" s="1"/>
  <c r="C177" i="2"/>
  <c r="E177" i="2" s="1"/>
  <c r="C178" i="2"/>
  <c r="G178" i="2" s="1"/>
  <c r="C179" i="2"/>
  <c r="D179" i="2" s="1"/>
  <c r="C180" i="2"/>
  <c r="G180" i="2" s="1"/>
  <c r="C181" i="2"/>
  <c r="C182" i="2"/>
  <c r="E182" i="2" s="1"/>
  <c r="C183" i="2"/>
  <c r="C184" i="2"/>
  <c r="D184" i="2" s="1"/>
  <c r="C185" i="2"/>
  <c r="E185" i="2" s="1"/>
  <c r="C186" i="2"/>
  <c r="H186" i="2" s="1"/>
  <c r="C187" i="2"/>
  <c r="D187" i="2" s="1"/>
  <c r="C188" i="2"/>
  <c r="D188" i="2" s="1"/>
  <c r="C189" i="2"/>
  <c r="D189" i="2" s="1"/>
  <c r="C190" i="2"/>
  <c r="E190" i="2" s="1"/>
  <c r="C191" i="2"/>
  <c r="E191" i="2" s="1"/>
  <c r="C192" i="2"/>
  <c r="D192" i="2" s="1"/>
  <c r="C193" i="2"/>
  <c r="G193" i="2" s="1"/>
  <c r="C194" i="2"/>
  <c r="C195" i="2"/>
  <c r="C196" i="2"/>
  <c r="G196" i="2" s="1"/>
  <c r="C197" i="2"/>
  <c r="F197" i="2" s="1"/>
  <c r="C198" i="2"/>
  <c r="D198" i="2" s="1"/>
  <c r="C199" i="2"/>
  <c r="D199" i="2" s="1"/>
  <c r="C200" i="2"/>
  <c r="D200" i="2" s="1"/>
  <c r="C11" i="2"/>
  <c r="E11" i="2" s="1"/>
  <c r="T7" i="1"/>
  <c r="S7" i="1"/>
  <c r="S6" i="1"/>
  <c r="I206" i="1"/>
  <c r="J206" i="1" s="1"/>
  <c r="K206" i="1" s="1"/>
  <c r="I205" i="1"/>
  <c r="I204" i="1"/>
  <c r="J204" i="1" s="1"/>
  <c r="K204" i="1" s="1"/>
  <c r="I203" i="1"/>
  <c r="J203" i="1" s="1"/>
  <c r="K203" i="1" s="1"/>
  <c r="I202" i="1"/>
  <c r="J202" i="1" s="1"/>
  <c r="K202" i="1" s="1"/>
  <c r="I201" i="1"/>
  <c r="J201" i="1" s="1"/>
  <c r="K201" i="1" s="1"/>
  <c r="I200" i="1"/>
  <c r="J200" i="1" s="1"/>
  <c r="K200" i="1" s="1"/>
  <c r="I199" i="1"/>
  <c r="J199" i="1" s="1"/>
  <c r="K199" i="1" s="1"/>
  <c r="I198" i="1"/>
  <c r="J198" i="1" s="1"/>
  <c r="K198" i="1" s="1"/>
  <c r="I197" i="1"/>
  <c r="J197" i="1" s="1"/>
  <c r="K197" i="1" s="1"/>
  <c r="I196" i="1"/>
  <c r="J196" i="1" s="1"/>
  <c r="K196" i="1" s="1"/>
  <c r="I195" i="1"/>
  <c r="J195" i="1" s="1"/>
  <c r="K195" i="1" s="1"/>
  <c r="I194" i="1"/>
  <c r="I193" i="1"/>
  <c r="I192" i="1"/>
  <c r="J192" i="1" s="1"/>
  <c r="K192" i="1" s="1"/>
  <c r="I191" i="1"/>
  <c r="J191" i="1" s="1"/>
  <c r="K191" i="1" s="1"/>
  <c r="I190" i="1"/>
  <c r="J190" i="1" s="1"/>
  <c r="K190" i="1" s="1"/>
  <c r="I189" i="1"/>
  <c r="I188" i="1"/>
  <c r="I187" i="1"/>
  <c r="I186" i="1"/>
  <c r="I185" i="1"/>
  <c r="I184" i="1"/>
  <c r="I183" i="1"/>
  <c r="I182" i="1"/>
  <c r="I181" i="1"/>
  <c r="I180" i="1"/>
  <c r="J180" i="1" s="1"/>
  <c r="K180" i="1" s="1"/>
  <c r="I179" i="1"/>
  <c r="J179" i="1" s="1"/>
  <c r="K179" i="1" s="1"/>
  <c r="I178" i="1"/>
  <c r="J178" i="1" s="1"/>
  <c r="K178" i="1" s="1"/>
  <c r="I177" i="1"/>
  <c r="I176" i="1"/>
  <c r="J176" i="1" s="1"/>
  <c r="K176" i="1" s="1"/>
  <c r="I175" i="1"/>
  <c r="J175" i="1" s="1"/>
  <c r="K175" i="1" s="1"/>
  <c r="I174" i="1"/>
  <c r="J174" i="1" s="1"/>
  <c r="K174" i="1" s="1"/>
  <c r="I173" i="1"/>
  <c r="J173" i="1" s="1"/>
  <c r="K173" i="1" s="1"/>
  <c r="I172" i="1"/>
  <c r="J172" i="1" s="1"/>
  <c r="K172" i="1" s="1"/>
  <c r="I171" i="1"/>
  <c r="J171" i="1" s="1"/>
  <c r="K171" i="1" s="1"/>
  <c r="I170" i="1"/>
  <c r="J170" i="1" s="1"/>
  <c r="K170" i="1" s="1"/>
  <c r="I169" i="1"/>
  <c r="J169" i="1" s="1"/>
  <c r="K169" i="1" s="1"/>
  <c r="I168" i="1"/>
  <c r="J168" i="1" s="1"/>
  <c r="K168" i="1" s="1"/>
  <c r="I167" i="1"/>
  <c r="J167" i="1" s="1"/>
  <c r="K167" i="1" s="1"/>
  <c r="I166" i="1"/>
  <c r="I165" i="1"/>
  <c r="I164" i="1"/>
  <c r="J164" i="1" s="1"/>
  <c r="K164" i="1" s="1"/>
  <c r="I163" i="1"/>
  <c r="J163" i="1" s="1"/>
  <c r="K163" i="1" s="1"/>
  <c r="I162" i="1"/>
  <c r="J162" i="1" s="1"/>
  <c r="K162" i="1" s="1"/>
  <c r="I161" i="1"/>
  <c r="I160" i="1"/>
  <c r="I159" i="1"/>
  <c r="I158" i="1"/>
  <c r="I157" i="1"/>
  <c r="I156" i="1"/>
  <c r="I155" i="1"/>
  <c r="I154" i="1"/>
  <c r="I153" i="1"/>
  <c r="I152" i="1"/>
  <c r="J152" i="1" s="1"/>
  <c r="K152" i="1" s="1"/>
  <c r="I151" i="1"/>
  <c r="J151" i="1" s="1"/>
  <c r="K151" i="1" s="1"/>
  <c r="I150" i="1"/>
  <c r="J150" i="1" s="1"/>
  <c r="K150" i="1" s="1"/>
  <c r="I149" i="1"/>
  <c r="I148" i="1"/>
  <c r="J148" i="1" s="1"/>
  <c r="K148" i="1" s="1"/>
  <c r="I147" i="1"/>
  <c r="J147" i="1" s="1"/>
  <c r="K147" i="1" s="1"/>
  <c r="I146" i="1"/>
  <c r="J146" i="1" s="1"/>
  <c r="K146" i="1" s="1"/>
  <c r="I145" i="1"/>
  <c r="J145" i="1" s="1"/>
  <c r="K145" i="1" s="1"/>
  <c r="I144" i="1"/>
  <c r="J144" i="1" s="1"/>
  <c r="K144" i="1" s="1"/>
  <c r="I143" i="1"/>
  <c r="I142" i="1"/>
  <c r="J142" i="1" s="1"/>
  <c r="K142" i="1" s="1"/>
  <c r="I141" i="1"/>
  <c r="J141" i="1" s="1"/>
  <c r="K141" i="1" s="1"/>
  <c r="I140" i="1"/>
  <c r="J140" i="1" s="1"/>
  <c r="K140" i="1" s="1"/>
  <c r="I139" i="1"/>
  <c r="J139" i="1" s="1"/>
  <c r="K139" i="1" s="1"/>
  <c r="I138" i="1"/>
  <c r="I137" i="1"/>
  <c r="I136" i="1"/>
  <c r="J136" i="1" s="1"/>
  <c r="K136" i="1" s="1"/>
  <c r="I135" i="1"/>
  <c r="J135" i="1" s="1"/>
  <c r="K135" i="1" s="1"/>
  <c r="I134" i="1"/>
  <c r="J134" i="1" s="1"/>
  <c r="K134" i="1" s="1"/>
  <c r="I133" i="1"/>
  <c r="I132" i="1"/>
  <c r="I131" i="1"/>
  <c r="I130" i="1"/>
  <c r="I129" i="1"/>
  <c r="I128" i="1"/>
  <c r="I127" i="1"/>
  <c r="I126" i="1"/>
  <c r="I125" i="1"/>
  <c r="I124" i="1"/>
  <c r="J124" i="1" s="1"/>
  <c r="K124" i="1" s="1"/>
  <c r="I123" i="1"/>
  <c r="J123" i="1" s="1"/>
  <c r="K123" i="1" s="1"/>
  <c r="I122" i="1"/>
  <c r="J122" i="1" s="1"/>
  <c r="K122" i="1" s="1"/>
  <c r="I121" i="1"/>
  <c r="I120" i="1"/>
  <c r="J120" i="1" s="1"/>
  <c r="K120" i="1" s="1"/>
  <c r="I119" i="1"/>
  <c r="J119" i="1" s="1"/>
  <c r="K119" i="1" s="1"/>
  <c r="I118" i="1"/>
  <c r="J118" i="1" s="1"/>
  <c r="K118" i="1" s="1"/>
  <c r="I117" i="1"/>
  <c r="J117" i="1" s="1"/>
  <c r="K117" i="1" s="1"/>
  <c r="I116" i="1"/>
  <c r="J116" i="1" s="1"/>
  <c r="K116" i="1" s="1"/>
  <c r="I115" i="1"/>
  <c r="J115" i="1" s="1"/>
  <c r="K115" i="1" s="1"/>
  <c r="I114" i="1"/>
  <c r="J114" i="1" s="1"/>
  <c r="K114" i="1" s="1"/>
  <c r="I113" i="1"/>
  <c r="J113" i="1" s="1"/>
  <c r="K113" i="1" s="1"/>
  <c r="I112" i="1"/>
  <c r="J112" i="1" s="1"/>
  <c r="K112" i="1" s="1"/>
  <c r="I111" i="1"/>
  <c r="J111" i="1" s="1"/>
  <c r="K111" i="1" s="1"/>
  <c r="I110" i="1"/>
  <c r="I109" i="1"/>
  <c r="I108" i="1"/>
  <c r="J108" i="1" s="1"/>
  <c r="K108" i="1" s="1"/>
  <c r="I107" i="1"/>
  <c r="J107" i="1" s="1"/>
  <c r="K107" i="1" s="1"/>
  <c r="I106" i="1"/>
  <c r="J106" i="1" s="1"/>
  <c r="K106" i="1" s="1"/>
  <c r="I105" i="1"/>
  <c r="I104" i="1"/>
  <c r="I103" i="1"/>
  <c r="I102" i="1"/>
  <c r="I101" i="1"/>
  <c r="I100" i="1"/>
  <c r="I99" i="1"/>
  <c r="I98" i="1"/>
  <c r="I97" i="1"/>
  <c r="I96" i="1"/>
  <c r="J96" i="1" s="1"/>
  <c r="K96" i="1" s="1"/>
  <c r="I95" i="1"/>
  <c r="J95" i="1" s="1"/>
  <c r="K95" i="1" s="1"/>
  <c r="I94" i="1"/>
  <c r="J94" i="1" s="1"/>
  <c r="K94" i="1" s="1"/>
  <c r="I93" i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I81" i="1"/>
  <c r="I80" i="1"/>
  <c r="J80" i="1" s="1"/>
  <c r="K80" i="1" s="1"/>
  <c r="I79" i="1"/>
  <c r="J79" i="1" s="1"/>
  <c r="K79" i="1" s="1"/>
  <c r="I78" i="1"/>
  <c r="J78" i="1" s="1"/>
  <c r="K78" i="1" s="1"/>
  <c r="I77" i="1"/>
  <c r="I76" i="1"/>
  <c r="I75" i="1"/>
  <c r="I74" i="1"/>
  <c r="I73" i="1"/>
  <c r="I72" i="1"/>
  <c r="I71" i="1"/>
  <c r="I70" i="1"/>
  <c r="I69" i="1"/>
  <c r="I68" i="1"/>
  <c r="J68" i="1" s="1"/>
  <c r="K68" i="1" s="1"/>
  <c r="I67" i="1"/>
  <c r="J67" i="1" s="1"/>
  <c r="K67" i="1" s="1"/>
  <c r="I66" i="1"/>
  <c r="J66" i="1" s="1"/>
  <c r="K66" i="1" s="1"/>
  <c r="I65" i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I53" i="1"/>
  <c r="I52" i="1"/>
  <c r="J52" i="1" s="1"/>
  <c r="K52" i="1" s="1"/>
  <c r="I51" i="1"/>
  <c r="J51" i="1" s="1"/>
  <c r="K51" i="1" s="1"/>
  <c r="I50" i="1"/>
  <c r="J50" i="1" s="1"/>
  <c r="K50" i="1" s="1"/>
  <c r="I49" i="1"/>
  <c r="I48" i="1"/>
  <c r="I47" i="1"/>
  <c r="I46" i="1"/>
  <c r="I45" i="1"/>
  <c r="I44" i="1"/>
  <c r="I43" i="1"/>
  <c r="I42" i="1"/>
  <c r="I41" i="1"/>
  <c r="I40" i="1"/>
  <c r="J40" i="1" s="1"/>
  <c r="K40" i="1" s="1"/>
  <c r="I39" i="1"/>
  <c r="J39" i="1" s="1"/>
  <c r="K39" i="1" s="1"/>
  <c r="I38" i="1"/>
  <c r="J38" i="1" s="1"/>
  <c r="K38" i="1" s="1"/>
  <c r="I37" i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I25" i="1"/>
  <c r="I24" i="1"/>
  <c r="J24" i="1" s="1"/>
  <c r="K24" i="1" s="1"/>
  <c r="I23" i="1"/>
  <c r="J23" i="1" s="1"/>
  <c r="K23" i="1" s="1"/>
  <c r="I22" i="1"/>
  <c r="J22" i="1" s="1"/>
  <c r="K22" i="1" s="1"/>
  <c r="I21" i="1"/>
  <c r="I20" i="1"/>
  <c r="I19" i="1"/>
  <c r="I18" i="1"/>
  <c r="I17" i="1"/>
  <c r="I16" i="1"/>
  <c r="I15" i="1"/>
  <c r="I14" i="1"/>
  <c r="I13" i="1"/>
  <c r="I12" i="1"/>
  <c r="J12" i="1" s="1"/>
  <c r="K12" i="1" s="1"/>
  <c r="I11" i="1"/>
  <c r="J11" i="1" s="1"/>
  <c r="K11" i="1" s="1"/>
  <c r="I10" i="1"/>
  <c r="J10" i="1" s="1"/>
  <c r="K10" i="1" s="1"/>
  <c r="I9" i="1"/>
  <c r="I8" i="1"/>
  <c r="J8" i="1" s="1"/>
  <c r="K8" i="1" s="1"/>
  <c r="I7" i="1"/>
  <c r="J7" i="1" s="1"/>
  <c r="K7" i="1" s="1"/>
  <c r="F160" i="2" l="1"/>
  <c r="E62" i="2"/>
  <c r="D62" i="2"/>
  <c r="D156" i="2"/>
  <c r="E157" i="2"/>
  <c r="F156" i="2"/>
  <c r="E156" i="2"/>
  <c r="F145" i="2"/>
  <c r="G128" i="2"/>
  <c r="F128" i="2"/>
  <c r="E128" i="2"/>
  <c r="D103" i="2"/>
  <c r="H102" i="2"/>
  <c r="G89" i="2"/>
  <c r="F89" i="2"/>
  <c r="E129" i="2"/>
  <c r="F61" i="2"/>
  <c r="E61" i="2"/>
  <c r="D61" i="2"/>
  <c r="G102" i="2"/>
  <c r="E101" i="2"/>
  <c r="E100" i="2"/>
  <c r="D78" i="2"/>
  <c r="H75" i="2"/>
  <c r="D190" i="2"/>
  <c r="E72" i="2"/>
  <c r="H188" i="2"/>
  <c r="G188" i="2"/>
  <c r="F188" i="2"/>
  <c r="H184" i="2"/>
  <c r="F161" i="2"/>
  <c r="G47" i="2"/>
  <c r="H160" i="2"/>
  <c r="F47" i="2"/>
  <c r="H189" i="2"/>
  <c r="G160" i="2"/>
  <c r="E45" i="2"/>
  <c r="H76" i="2"/>
  <c r="D146" i="2"/>
  <c r="H145" i="2"/>
  <c r="E76" i="2"/>
  <c r="F77" i="2"/>
  <c r="G76" i="2"/>
  <c r="F76" i="2"/>
  <c r="G145" i="2"/>
  <c r="E145" i="2"/>
  <c r="G75" i="2"/>
  <c r="F129" i="2"/>
  <c r="F72" i="2"/>
  <c r="H48" i="2"/>
  <c r="G48" i="2"/>
  <c r="H187" i="2"/>
  <c r="F103" i="2"/>
  <c r="E48" i="2"/>
  <c r="G123" i="2"/>
  <c r="G121" i="2"/>
  <c r="E188" i="2"/>
  <c r="D104" i="2"/>
  <c r="G103" i="2"/>
  <c r="D185" i="2"/>
  <c r="E103" i="2"/>
  <c r="D48" i="2"/>
  <c r="F176" i="2"/>
  <c r="E162" i="2"/>
  <c r="G161" i="2"/>
  <c r="D44" i="2"/>
  <c r="E176" i="2"/>
  <c r="D176" i="2"/>
  <c r="F175" i="2"/>
  <c r="H50" i="2"/>
  <c r="D175" i="2"/>
  <c r="D132" i="2"/>
  <c r="E50" i="2"/>
  <c r="D173" i="2"/>
  <c r="D50" i="2"/>
  <c r="D163" i="2"/>
  <c r="H49" i="2"/>
  <c r="H162" i="2"/>
  <c r="G49" i="2"/>
  <c r="F162" i="2"/>
  <c r="H128" i="2"/>
  <c r="H89" i="2"/>
  <c r="F49" i="2"/>
  <c r="D162" i="2"/>
  <c r="H161" i="2"/>
  <c r="E89" i="2"/>
  <c r="F121" i="2"/>
  <c r="G120" i="2"/>
  <c r="G187" i="2"/>
  <c r="H148" i="2"/>
  <c r="G105" i="2"/>
  <c r="H74" i="2"/>
  <c r="H33" i="2"/>
  <c r="H120" i="2"/>
  <c r="F187" i="2"/>
  <c r="G148" i="2"/>
  <c r="F105" i="2"/>
  <c r="G74" i="2"/>
  <c r="G33" i="2"/>
  <c r="D121" i="2"/>
  <c r="G186" i="2"/>
  <c r="G147" i="2"/>
  <c r="H104" i="2"/>
  <c r="F73" i="2"/>
  <c r="F33" i="2"/>
  <c r="G36" i="2"/>
  <c r="F35" i="2"/>
  <c r="E186" i="2"/>
  <c r="F147" i="2"/>
  <c r="F104" i="2"/>
  <c r="E33" i="2"/>
  <c r="F123" i="2"/>
  <c r="H36" i="2"/>
  <c r="F120" i="2"/>
  <c r="H116" i="2"/>
  <c r="E146" i="2"/>
  <c r="E104" i="2"/>
  <c r="F27" i="2"/>
  <c r="G23" i="2"/>
  <c r="D160" i="2"/>
  <c r="D142" i="2"/>
  <c r="F22" i="2"/>
  <c r="H141" i="2"/>
  <c r="E22" i="2"/>
  <c r="G184" i="2"/>
  <c r="D137" i="2"/>
  <c r="D22" i="2"/>
  <c r="F184" i="2"/>
  <c r="F159" i="2"/>
  <c r="H136" i="2"/>
  <c r="G117" i="2"/>
  <c r="G100" i="2"/>
  <c r="H61" i="2"/>
  <c r="G46" i="2"/>
  <c r="G21" i="2"/>
  <c r="D23" i="2"/>
  <c r="E142" i="2"/>
  <c r="H22" i="2"/>
  <c r="E47" i="2"/>
  <c r="H159" i="2"/>
  <c r="D47" i="2"/>
  <c r="G159" i="2"/>
  <c r="H100" i="2"/>
  <c r="H46" i="2"/>
  <c r="E184" i="2"/>
  <c r="E159" i="2"/>
  <c r="G136" i="2"/>
  <c r="F117" i="2"/>
  <c r="F100" i="2"/>
  <c r="F21" i="2"/>
  <c r="D135" i="2"/>
  <c r="H20" i="2"/>
  <c r="G198" i="2"/>
  <c r="E134" i="2"/>
  <c r="G108" i="2"/>
  <c r="F20" i="2"/>
  <c r="E58" i="2"/>
  <c r="E174" i="2"/>
  <c r="E151" i="2"/>
  <c r="F133" i="2"/>
  <c r="H107" i="2"/>
  <c r="H57" i="2"/>
  <c r="F36" i="2"/>
  <c r="H19" i="2"/>
  <c r="F193" i="2"/>
  <c r="D174" i="2"/>
  <c r="D151" i="2"/>
  <c r="H132" i="2"/>
  <c r="G107" i="2"/>
  <c r="G86" i="2"/>
  <c r="E36" i="2"/>
  <c r="G19" i="2"/>
  <c r="G24" i="2"/>
  <c r="H23" i="2"/>
  <c r="F142" i="2"/>
  <c r="F134" i="2"/>
  <c r="G20" i="2"/>
  <c r="H197" i="2"/>
  <c r="F108" i="2"/>
  <c r="E193" i="2"/>
  <c r="H173" i="2"/>
  <c r="G149" i="2"/>
  <c r="G132" i="2"/>
  <c r="D107" i="2"/>
  <c r="F86" i="2"/>
  <c r="F16" i="2"/>
  <c r="D109" i="2"/>
  <c r="H133" i="2"/>
  <c r="E20" i="2"/>
  <c r="G133" i="2"/>
  <c r="E108" i="2"/>
  <c r="D58" i="2"/>
  <c r="D193" i="2"/>
  <c r="G173" i="2"/>
  <c r="F149" i="2"/>
  <c r="F132" i="2"/>
  <c r="D106" i="2"/>
  <c r="H81" i="2"/>
  <c r="H53" i="2"/>
  <c r="H35" i="2"/>
  <c r="E16" i="2"/>
  <c r="G192" i="2"/>
  <c r="F173" i="2"/>
  <c r="D149" i="2"/>
  <c r="H105" i="2"/>
  <c r="E78" i="2"/>
  <c r="D51" i="2"/>
  <c r="G35" i="2"/>
  <c r="D16" i="2"/>
  <c r="F115" i="2"/>
  <c r="E115" i="2"/>
  <c r="H200" i="2"/>
  <c r="G200" i="2"/>
  <c r="H114" i="2"/>
  <c r="H88" i="2"/>
  <c r="D114" i="2"/>
  <c r="F199" i="2"/>
  <c r="F148" i="2"/>
  <c r="H113" i="2"/>
  <c r="F87" i="2"/>
  <c r="E199" i="2"/>
  <c r="E187" i="2"/>
  <c r="E148" i="2"/>
  <c r="F136" i="2"/>
  <c r="H125" i="2"/>
  <c r="E87" i="2"/>
  <c r="F75" i="2"/>
  <c r="H58" i="2"/>
  <c r="D35" i="2"/>
  <c r="H135" i="2"/>
  <c r="F109" i="2"/>
  <c r="E75" i="2"/>
  <c r="G58" i="2"/>
  <c r="E34" i="2"/>
  <c r="H198" i="2"/>
  <c r="H147" i="2"/>
  <c r="G135" i="2"/>
  <c r="H123" i="2"/>
  <c r="E109" i="2"/>
  <c r="H86" i="2"/>
  <c r="D34" i="2"/>
  <c r="H21" i="2"/>
  <c r="D172" i="2"/>
  <c r="E98" i="2"/>
  <c r="E86" i="2"/>
  <c r="H85" i="2"/>
  <c r="E95" i="2"/>
  <c r="F70" i="2"/>
  <c r="D32" i="2"/>
  <c r="G144" i="2"/>
  <c r="E118" i="2"/>
  <c r="H92" i="2"/>
  <c r="H64" i="2"/>
  <c r="H52" i="2"/>
  <c r="H30" i="2"/>
  <c r="E19" i="2"/>
  <c r="G172" i="2"/>
  <c r="F95" i="2"/>
  <c r="G65" i="2"/>
  <c r="F192" i="2"/>
  <c r="F182" i="2"/>
  <c r="F170" i="2"/>
  <c r="E120" i="2"/>
  <c r="F93" i="2"/>
  <c r="F81" i="2"/>
  <c r="F65" i="2"/>
  <c r="E53" i="2"/>
  <c r="E192" i="2"/>
  <c r="D182" i="2"/>
  <c r="E170" i="2"/>
  <c r="H144" i="2"/>
  <c r="D93" i="2"/>
  <c r="H79" i="2"/>
  <c r="D65" i="2"/>
  <c r="D53" i="2"/>
  <c r="D31" i="2"/>
  <c r="F19" i="2"/>
  <c r="H191" i="2"/>
  <c r="G179" i="2"/>
  <c r="D170" i="2"/>
  <c r="G79" i="2"/>
  <c r="G191" i="2"/>
  <c r="F179" i="2"/>
  <c r="H169" i="2"/>
  <c r="H155" i="2"/>
  <c r="H131" i="2"/>
  <c r="D118" i="2"/>
  <c r="G92" i="2"/>
  <c r="D79" i="2"/>
  <c r="G64" i="2"/>
  <c r="H51" i="2"/>
  <c r="F39" i="2"/>
  <c r="G30" i="2"/>
  <c r="D191" i="2"/>
  <c r="G177" i="2"/>
  <c r="F143" i="2"/>
  <c r="G131" i="2"/>
  <c r="H117" i="2"/>
  <c r="F92" i="2"/>
  <c r="F78" i="2"/>
  <c r="F64" i="2"/>
  <c r="G51" i="2"/>
  <c r="E39" i="2"/>
  <c r="F30" i="2"/>
  <c r="E17" i="2"/>
  <c r="F171" i="2"/>
  <c r="E171" i="2"/>
  <c r="H170" i="2"/>
  <c r="F94" i="2"/>
  <c r="D67" i="2"/>
  <c r="G93" i="2"/>
  <c r="G81" i="2"/>
  <c r="F53" i="2"/>
  <c r="F31" i="2"/>
  <c r="F177" i="2"/>
  <c r="E143" i="2"/>
  <c r="F131" i="2"/>
  <c r="E92" i="2"/>
  <c r="E64" i="2"/>
  <c r="D39" i="2"/>
  <c r="E30" i="2"/>
  <c r="D177" i="2"/>
  <c r="G164" i="2"/>
  <c r="H151" i="2"/>
  <c r="E131" i="2"/>
  <c r="G37" i="2"/>
  <c r="G189" i="2"/>
  <c r="H176" i="2"/>
  <c r="H163" i="2"/>
  <c r="G151" i="2"/>
  <c r="H142" i="2"/>
  <c r="E117" i="2"/>
  <c r="E90" i="2"/>
  <c r="H77" i="2"/>
  <c r="F63" i="2"/>
  <c r="G50" i="2"/>
  <c r="F37" i="2"/>
  <c r="H29" i="2"/>
  <c r="F189" i="2"/>
  <c r="G163" i="2"/>
  <c r="D90" i="2"/>
  <c r="G77" i="2"/>
  <c r="D63" i="2"/>
  <c r="D37" i="2"/>
  <c r="H112" i="2"/>
  <c r="D112" i="2"/>
  <c r="E112" i="2"/>
  <c r="F112" i="2"/>
  <c r="G112" i="2"/>
  <c r="D195" i="2"/>
  <c r="E195" i="2"/>
  <c r="F195" i="2"/>
  <c r="G195" i="2"/>
  <c r="H195" i="2"/>
  <c r="D83" i="2"/>
  <c r="H83" i="2"/>
  <c r="E83" i="2"/>
  <c r="F83" i="2"/>
  <c r="G83" i="2"/>
  <c r="D166" i="2"/>
  <c r="E166" i="2"/>
  <c r="G166" i="2"/>
  <c r="H166" i="2"/>
  <c r="F166" i="2"/>
  <c r="D110" i="2"/>
  <c r="E110" i="2"/>
  <c r="G110" i="2"/>
  <c r="H110" i="2"/>
  <c r="F110" i="2"/>
  <c r="D82" i="2"/>
  <c r="E82" i="2"/>
  <c r="G82" i="2"/>
  <c r="H82" i="2"/>
  <c r="F82" i="2"/>
  <c r="H196" i="2"/>
  <c r="D196" i="2"/>
  <c r="E196" i="2"/>
  <c r="F196" i="2"/>
  <c r="H140" i="2"/>
  <c r="D140" i="2"/>
  <c r="E140" i="2"/>
  <c r="H84" i="2"/>
  <c r="D84" i="2"/>
  <c r="E84" i="2"/>
  <c r="F84" i="2"/>
  <c r="G84" i="2"/>
  <c r="H28" i="2"/>
  <c r="G28" i="2"/>
  <c r="D28" i="2"/>
  <c r="E28" i="2"/>
  <c r="F28" i="2"/>
  <c r="F139" i="2"/>
  <c r="D139" i="2"/>
  <c r="E139" i="2"/>
  <c r="G139" i="2"/>
  <c r="H139" i="2"/>
  <c r="D111" i="2"/>
  <c r="E111" i="2"/>
  <c r="F111" i="2"/>
  <c r="G111" i="2"/>
  <c r="H111" i="2"/>
  <c r="D55" i="2"/>
  <c r="F55" i="2"/>
  <c r="G55" i="2"/>
  <c r="H55" i="2"/>
  <c r="D194" i="2"/>
  <c r="E194" i="2"/>
  <c r="G194" i="2"/>
  <c r="H194" i="2"/>
  <c r="F194" i="2"/>
  <c r="D26" i="2"/>
  <c r="E26" i="2"/>
  <c r="G26" i="2"/>
  <c r="H26" i="2"/>
  <c r="F26" i="2"/>
  <c r="H168" i="2"/>
  <c r="F168" i="2"/>
  <c r="G168" i="2"/>
  <c r="D168" i="2"/>
  <c r="E168" i="2"/>
  <c r="H56" i="2"/>
  <c r="D56" i="2"/>
  <c r="E56" i="2"/>
  <c r="F56" i="2"/>
  <c r="G56" i="2"/>
  <c r="G167" i="2"/>
  <c r="H167" i="2"/>
  <c r="D27" i="2"/>
  <c r="H27" i="2"/>
  <c r="D138" i="2"/>
  <c r="E138" i="2"/>
  <c r="G138" i="2"/>
  <c r="H138" i="2"/>
  <c r="F138" i="2"/>
  <c r="D54" i="2"/>
  <c r="E54" i="2"/>
  <c r="G54" i="2"/>
  <c r="H54" i="2"/>
  <c r="H178" i="2"/>
  <c r="E167" i="2"/>
  <c r="H182" i="2"/>
  <c r="G182" i="2"/>
  <c r="H154" i="2"/>
  <c r="D154" i="2"/>
  <c r="E154" i="2"/>
  <c r="F154" i="2"/>
  <c r="H126" i="2"/>
  <c r="D126" i="2"/>
  <c r="E126" i="2"/>
  <c r="F126" i="2"/>
  <c r="G126" i="2"/>
  <c r="H98" i="2"/>
  <c r="F98" i="2"/>
  <c r="G98" i="2"/>
  <c r="H70" i="2"/>
  <c r="D70" i="2"/>
  <c r="E70" i="2"/>
  <c r="H42" i="2"/>
  <c r="D42" i="2"/>
  <c r="E42" i="2"/>
  <c r="F42" i="2"/>
  <c r="G42" i="2"/>
  <c r="H14" i="2"/>
  <c r="D14" i="2"/>
  <c r="E14" i="2"/>
  <c r="F14" i="2"/>
  <c r="G14" i="2"/>
  <c r="D167" i="2"/>
  <c r="G154" i="2"/>
  <c r="D181" i="2"/>
  <c r="E181" i="2"/>
  <c r="F181" i="2"/>
  <c r="G181" i="2"/>
  <c r="H181" i="2"/>
  <c r="D153" i="2"/>
  <c r="H153" i="2"/>
  <c r="E153" i="2"/>
  <c r="F153" i="2"/>
  <c r="G153" i="2"/>
  <c r="D125" i="2"/>
  <c r="E125" i="2"/>
  <c r="F125" i="2"/>
  <c r="D97" i="2"/>
  <c r="E97" i="2"/>
  <c r="F97" i="2"/>
  <c r="G97" i="2"/>
  <c r="D69" i="2"/>
  <c r="E69" i="2"/>
  <c r="F69" i="2"/>
  <c r="G69" i="2"/>
  <c r="H69" i="2"/>
  <c r="D41" i="2"/>
  <c r="E41" i="2"/>
  <c r="F41" i="2"/>
  <c r="G41" i="2"/>
  <c r="H41" i="2"/>
  <c r="D13" i="2"/>
  <c r="F13" i="2"/>
  <c r="E13" i="2"/>
  <c r="G13" i="2"/>
  <c r="H13" i="2"/>
  <c r="D178" i="2"/>
  <c r="E178" i="2"/>
  <c r="F178" i="2"/>
  <c r="D150" i="2"/>
  <c r="E150" i="2"/>
  <c r="F150" i="2"/>
  <c r="G150" i="2"/>
  <c r="H150" i="2"/>
  <c r="D122" i="2"/>
  <c r="E122" i="2"/>
  <c r="F122" i="2"/>
  <c r="G122" i="2"/>
  <c r="H122" i="2"/>
  <c r="D94" i="2"/>
  <c r="E94" i="2"/>
  <c r="H94" i="2"/>
  <c r="D66" i="2"/>
  <c r="E66" i="2"/>
  <c r="F66" i="2"/>
  <c r="G66" i="2"/>
  <c r="D38" i="2"/>
  <c r="E38" i="2"/>
  <c r="F38" i="2"/>
  <c r="G38" i="2"/>
  <c r="H38" i="2"/>
  <c r="G140" i="2"/>
  <c r="F140" i="2"/>
  <c r="G27" i="2"/>
  <c r="E81" i="2"/>
  <c r="H165" i="2"/>
  <c r="E136" i="2"/>
  <c r="H25" i="2"/>
  <c r="G165" i="2"/>
  <c r="H80" i="2"/>
  <c r="G25" i="2"/>
  <c r="F165" i="2"/>
  <c r="H158" i="2"/>
  <c r="G80" i="2"/>
  <c r="E73" i="2"/>
  <c r="F25" i="2"/>
  <c r="H18" i="2"/>
  <c r="E165" i="2"/>
  <c r="G158" i="2"/>
  <c r="F80" i="2"/>
  <c r="E25" i="2"/>
  <c r="G18" i="2"/>
  <c r="H134" i="2"/>
  <c r="H119" i="2"/>
  <c r="H95" i="2"/>
  <c r="E80" i="2"/>
  <c r="H72" i="2"/>
  <c r="H179" i="2"/>
  <c r="H164" i="2"/>
  <c r="G134" i="2"/>
  <c r="G119" i="2"/>
  <c r="G95" i="2"/>
  <c r="G72" i="2"/>
  <c r="H24" i="2"/>
  <c r="D186" i="2"/>
  <c r="F186" i="2"/>
  <c r="D158" i="2"/>
  <c r="F158" i="2"/>
  <c r="D130" i="2"/>
  <c r="F130" i="2"/>
  <c r="D102" i="2"/>
  <c r="F102" i="2"/>
  <c r="D74" i="2"/>
  <c r="F74" i="2"/>
  <c r="D46" i="2"/>
  <c r="F46" i="2"/>
  <c r="D18" i="2"/>
  <c r="F18" i="2"/>
  <c r="F119" i="2"/>
  <c r="G185" i="2"/>
  <c r="H185" i="2"/>
  <c r="G157" i="2"/>
  <c r="H157" i="2"/>
  <c r="G129" i="2"/>
  <c r="H129" i="2"/>
  <c r="G101" i="2"/>
  <c r="H101" i="2"/>
  <c r="G73" i="2"/>
  <c r="H73" i="2"/>
  <c r="G45" i="2"/>
  <c r="H45" i="2"/>
  <c r="G17" i="2"/>
  <c r="H17" i="2"/>
  <c r="F164" i="2"/>
  <c r="D157" i="2"/>
  <c r="D119" i="2"/>
  <c r="F24" i="2"/>
  <c r="D17" i="2"/>
  <c r="H193" i="2"/>
  <c r="E179" i="2"/>
  <c r="E164" i="2"/>
  <c r="H156" i="2"/>
  <c r="H109" i="2"/>
  <c r="H78" i="2"/>
  <c r="H63" i="2"/>
  <c r="H39" i="2"/>
  <c r="E24" i="2"/>
  <c r="H16" i="2"/>
  <c r="D183" i="2"/>
  <c r="F183" i="2"/>
  <c r="G183" i="2"/>
  <c r="D155" i="2"/>
  <c r="F155" i="2"/>
  <c r="G155" i="2"/>
  <c r="D127" i="2"/>
  <c r="F127" i="2"/>
  <c r="G127" i="2"/>
  <c r="H127" i="2"/>
  <c r="D99" i="2"/>
  <c r="F99" i="2"/>
  <c r="G99" i="2"/>
  <c r="H99" i="2"/>
  <c r="D71" i="2"/>
  <c r="F71" i="2"/>
  <c r="G71" i="2"/>
  <c r="H71" i="2"/>
  <c r="D43" i="2"/>
  <c r="F43" i="2"/>
  <c r="G43" i="2"/>
  <c r="H43" i="2"/>
  <c r="D15" i="2"/>
  <c r="F15" i="2"/>
  <c r="G15" i="2"/>
  <c r="H15" i="2"/>
  <c r="E71" i="2"/>
  <c r="G63" i="2"/>
  <c r="D180" i="2"/>
  <c r="F180" i="2"/>
  <c r="E180" i="2"/>
  <c r="H180" i="2"/>
  <c r="D152" i="2"/>
  <c r="E152" i="2"/>
  <c r="F152" i="2"/>
  <c r="H152" i="2"/>
  <c r="D124" i="2"/>
  <c r="F124" i="2"/>
  <c r="E124" i="2"/>
  <c r="H124" i="2"/>
  <c r="D96" i="2"/>
  <c r="E96" i="2"/>
  <c r="F96" i="2"/>
  <c r="H96" i="2"/>
  <c r="D68" i="2"/>
  <c r="F68" i="2"/>
  <c r="E68" i="2"/>
  <c r="H68" i="2"/>
  <c r="D40" i="2"/>
  <c r="E40" i="2"/>
  <c r="F40" i="2"/>
  <c r="H40" i="2"/>
  <c r="D12" i="2"/>
  <c r="E12" i="2"/>
  <c r="F12" i="2"/>
  <c r="H12" i="2"/>
  <c r="H192" i="2"/>
  <c r="F185" i="2"/>
  <c r="H108" i="2"/>
  <c r="F101" i="2"/>
  <c r="G124" i="2"/>
  <c r="G52" i="2"/>
  <c r="E200" i="2"/>
  <c r="F200" i="2"/>
  <c r="E144" i="2"/>
  <c r="F144" i="2"/>
  <c r="E116" i="2"/>
  <c r="F116" i="2"/>
  <c r="G116" i="2"/>
  <c r="E88" i="2"/>
  <c r="F88" i="2"/>
  <c r="G88" i="2"/>
  <c r="E60" i="2"/>
  <c r="F60" i="2"/>
  <c r="G60" i="2"/>
  <c r="E32" i="2"/>
  <c r="F32" i="2"/>
  <c r="G32" i="2"/>
  <c r="H137" i="2"/>
  <c r="D123" i="2"/>
  <c r="H106" i="2"/>
  <c r="H91" i="2"/>
  <c r="H67" i="2"/>
  <c r="D60" i="2"/>
  <c r="E52" i="2"/>
  <c r="H44" i="2"/>
  <c r="G199" i="2"/>
  <c r="H199" i="2"/>
  <c r="G171" i="2"/>
  <c r="H171" i="2"/>
  <c r="G143" i="2"/>
  <c r="H143" i="2"/>
  <c r="G115" i="2"/>
  <c r="H115" i="2"/>
  <c r="G87" i="2"/>
  <c r="H87" i="2"/>
  <c r="G59" i="2"/>
  <c r="H59" i="2"/>
  <c r="G31" i="2"/>
  <c r="H31" i="2"/>
  <c r="F198" i="2"/>
  <c r="G190" i="2"/>
  <c r="H183" i="2"/>
  <c r="G137" i="2"/>
  <c r="G114" i="2"/>
  <c r="G106" i="2"/>
  <c r="E99" i="2"/>
  <c r="G91" i="2"/>
  <c r="G67" i="2"/>
  <c r="F59" i="2"/>
  <c r="G44" i="2"/>
  <c r="D147" i="2"/>
  <c r="G68" i="2"/>
  <c r="H190" i="2"/>
  <c r="E198" i="2"/>
  <c r="F190" i="2"/>
  <c r="E183" i="2"/>
  <c r="H175" i="2"/>
  <c r="F137" i="2"/>
  <c r="H130" i="2"/>
  <c r="F114" i="2"/>
  <c r="F106" i="2"/>
  <c r="F91" i="2"/>
  <c r="F67" i="2"/>
  <c r="E59" i="2"/>
  <c r="F44" i="2"/>
  <c r="F52" i="2"/>
  <c r="D45" i="2"/>
  <c r="E172" i="2"/>
  <c r="F172" i="2"/>
  <c r="D197" i="2"/>
  <c r="E197" i="2"/>
  <c r="G197" i="2"/>
  <c r="D169" i="2"/>
  <c r="E169" i="2"/>
  <c r="G169" i="2"/>
  <c r="E141" i="2"/>
  <c r="D141" i="2"/>
  <c r="G141" i="2"/>
  <c r="E113" i="2"/>
  <c r="D113" i="2"/>
  <c r="G113" i="2"/>
  <c r="D85" i="2"/>
  <c r="E85" i="2"/>
  <c r="G85" i="2"/>
  <c r="E57" i="2"/>
  <c r="D57" i="2"/>
  <c r="G57" i="2"/>
  <c r="D29" i="2"/>
  <c r="E29" i="2"/>
  <c r="G29" i="2"/>
  <c r="G175" i="2"/>
  <c r="G130" i="2"/>
  <c r="D91" i="2"/>
  <c r="D59" i="2"/>
  <c r="G12" i="2"/>
  <c r="E189" i="2"/>
  <c r="E161" i="2"/>
  <c r="E133" i="2"/>
  <c r="E105" i="2"/>
  <c r="E77" i="2"/>
  <c r="E49" i="2"/>
  <c r="E21" i="2"/>
  <c r="H177" i="2"/>
  <c r="H149" i="2"/>
  <c r="H121" i="2"/>
  <c r="H93" i="2"/>
  <c r="H65" i="2"/>
  <c r="H37" i="2"/>
  <c r="H118" i="2"/>
  <c r="H62" i="2"/>
  <c r="H34" i="2"/>
  <c r="F191" i="2"/>
  <c r="G174" i="2"/>
  <c r="F163" i="2"/>
  <c r="G146" i="2"/>
  <c r="F135" i="2"/>
  <c r="G118" i="2"/>
  <c r="F107" i="2"/>
  <c r="G90" i="2"/>
  <c r="F79" i="2"/>
  <c r="G62" i="2"/>
  <c r="F51" i="2"/>
  <c r="G34" i="2"/>
  <c r="F23" i="2"/>
  <c r="H174" i="2"/>
  <c r="H146" i="2"/>
  <c r="H90" i="2"/>
  <c r="H11" i="2"/>
  <c r="G11" i="2"/>
  <c r="F11" i="2"/>
  <c r="D11" i="2"/>
  <c r="J15" i="1"/>
  <c r="K15" i="1" s="1"/>
  <c r="J71" i="1"/>
  <c r="K71" i="1" s="1"/>
  <c r="J99" i="1"/>
  <c r="K99" i="1" s="1"/>
  <c r="J127" i="1"/>
  <c r="K127" i="1" s="1"/>
  <c r="J155" i="1"/>
  <c r="K155" i="1" s="1"/>
  <c r="J183" i="1"/>
  <c r="K183" i="1" s="1"/>
  <c r="J59" i="1"/>
  <c r="K59" i="1" s="1"/>
  <c r="J13" i="1"/>
  <c r="K13" i="1" s="1"/>
  <c r="J41" i="1"/>
  <c r="K41" i="1" s="1"/>
  <c r="J69" i="1"/>
  <c r="K69" i="1" s="1"/>
  <c r="J97" i="1"/>
  <c r="K97" i="1" s="1"/>
  <c r="J125" i="1"/>
  <c r="K125" i="1" s="1"/>
  <c r="J153" i="1"/>
  <c r="K153" i="1" s="1"/>
  <c r="J181" i="1"/>
  <c r="K181" i="1" s="1"/>
  <c r="J14" i="1"/>
  <c r="K14" i="1" s="1"/>
  <c r="J42" i="1"/>
  <c r="K42" i="1" s="1"/>
  <c r="J70" i="1"/>
  <c r="K70" i="1" s="1"/>
  <c r="J98" i="1"/>
  <c r="K98" i="1" s="1"/>
  <c r="J126" i="1"/>
  <c r="K126" i="1" s="1"/>
  <c r="J154" i="1"/>
  <c r="K154" i="1" s="1"/>
  <c r="J182" i="1"/>
  <c r="K182" i="1" s="1"/>
  <c r="J16" i="1"/>
  <c r="K16" i="1" s="1"/>
  <c r="J44" i="1"/>
  <c r="K44" i="1" s="1"/>
  <c r="J72" i="1"/>
  <c r="K72" i="1" s="1"/>
  <c r="J100" i="1"/>
  <c r="K100" i="1" s="1"/>
  <c r="J128" i="1"/>
  <c r="K128" i="1" s="1"/>
  <c r="J156" i="1"/>
  <c r="K156" i="1" s="1"/>
  <c r="J184" i="1"/>
  <c r="K184" i="1" s="1"/>
  <c r="J43" i="1"/>
  <c r="K43" i="1" s="1"/>
  <c r="J17" i="1"/>
  <c r="K17" i="1" s="1"/>
  <c r="J45" i="1"/>
  <c r="K45" i="1" s="1"/>
  <c r="J73" i="1"/>
  <c r="K73" i="1" s="1"/>
  <c r="J101" i="1"/>
  <c r="K101" i="1" s="1"/>
  <c r="J129" i="1"/>
  <c r="K129" i="1" s="1"/>
  <c r="J157" i="1"/>
  <c r="K157" i="1" s="1"/>
  <c r="J185" i="1"/>
  <c r="K185" i="1" s="1"/>
  <c r="J143" i="1"/>
  <c r="K143" i="1" s="1"/>
  <c r="J87" i="1"/>
  <c r="K87" i="1" s="1"/>
  <c r="J46" i="1"/>
  <c r="K46" i="1" s="1"/>
  <c r="J102" i="1"/>
  <c r="K102" i="1" s="1"/>
  <c r="J130" i="1"/>
  <c r="K130" i="1" s="1"/>
  <c r="J186" i="1"/>
  <c r="K186" i="1" s="1"/>
  <c r="J31" i="1"/>
  <c r="K31" i="1" s="1"/>
  <c r="J19" i="1"/>
  <c r="K19" i="1" s="1"/>
  <c r="J47" i="1"/>
  <c r="K47" i="1" s="1"/>
  <c r="J75" i="1"/>
  <c r="K75" i="1" s="1"/>
  <c r="J103" i="1"/>
  <c r="K103" i="1" s="1"/>
  <c r="J131" i="1"/>
  <c r="K131" i="1" s="1"/>
  <c r="J159" i="1"/>
  <c r="K159" i="1" s="1"/>
  <c r="J187" i="1"/>
  <c r="K187" i="1" s="1"/>
  <c r="J20" i="1"/>
  <c r="K20" i="1" s="1"/>
  <c r="J48" i="1"/>
  <c r="K48" i="1" s="1"/>
  <c r="J76" i="1"/>
  <c r="K76" i="1" s="1"/>
  <c r="J104" i="1"/>
  <c r="K104" i="1" s="1"/>
  <c r="J132" i="1"/>
  <c r="K132" i="1" s="1"/>
  <c r="J188" i="1"/>
  <c r="K188" i="1" s="1"/>
  <c r="J158" i="1"/>
  <c r="K158" i="1" s="1"/>
  <c r="J160" i="1"/>
  <c r="K160" i="1" s="1"/>
  <c r="J166" i="1"/>
  <c r="K166" i="1" s="1"/>
  <c r="J74" i="1"/>
  <c r="K74" i="1" s="1"/>
  <c r="J25" i="1"/>
  <c r="K25" i="1" s="1"/>
  <c r="J53" i="1"/>
  <c r="K53" i="1" s="1"/>
  <c r="J81" i="1"/>
  <c r="K81" i="1" s="1"/>
  <c r="J109" i="1"/>
  <c r="K109" i="1" s="1"/>
  <c r="J137" i="1"/>
  <c r="K137" i="1" s="1"/>
  <c r="J165" i="1"/>
  <c r="K165" i="1" s="1"/>
  <c r="J193" i="1"/>
  <c r="K193" i="1" s="1"/>
  <c r="J18" i="1"/>
  <c r="K18" i="1" s="1"/>
  <c r="J26" i="1"/>
  <c r="K26" i="1" s="1"/>
  <c r="J54" i="1"/>
  <c r="K54" i="1" s="1"/>
  <c r="J82" i="1"/>
  <c r="K82" i="1" s="1"/>
  <c r="J110" i="1"/>
  <c r="K110" i="1" s="1"/>
  <c r="J138" i="1"/>
  <c r="K138" i="1" s="1"/>
  <c r="J194" i="1"/>
  <c r="K194" i="1" s="1"/>
  <c r="J189" i="1"/>
  <c r="K189" i="1" s="1"/>
  <c r="J161" i="1"/>
  <c r="K161" i="1" s="1"/>
  <c r="J133" i="1"/>
  <c r="K133" i="1" s="1"/>
  <c r="J105" i="1"/>
  <c r="K105" i="1" s="1"/>
  <c r="J77" i="1"/>
  <c r="K77" i="1" s="1"/>
  <c r="J49" i="1"/>
  <c r="K49" i="1" s="1"/>
  <c r="J21" i="1"/>
  <c r="K21" i="1" s="1"/>
  <c r="J205" i="1"/>
  <c r="K205" i="1" s="1"/>
  <c r="J177" i="1"/>
  <c r="K177" i="1" s="1"/>
  <c r="J149" i="1"/>
  <c r="K149" i="1" s="1"/>
  <c r="J121" i="1"/>
  <c r="K121" i="1" s="1"/>
  <c r="J93" i="1"/>
  <c r="K93" i="1" s="1"/>
  <c r="J65" i="1"/>
  <c r="K65" i="1" s="1"/>
  <c r="J37" i="1"/>
  <c r="K37" i="1" s="1"/>
  <c r="J9" i="1"/>
  <c r="K9" i="1" s="1"/>
  <c r="M7" i="2" l="1"/>
  <c r="L12" i="2" s="1"/>
  <c r="M6" i="2"/>
  <c r="O6" i="1"/>
  <c r="D4" i="1"/>
  <c r="M9" i="2" l="1"/>
  <c r="L13" i="2" s="1"/>
  <c r="R13" i="2" s="1"/>
  <c r="M13" i="2" l="1"/>
  <c r="N13" i="2"/>
  <c r="O13" i="2"/>
  <c r="P13" i="2"/>
  <c r="Q13" i="2"/>
  <c r="L14" i="2"/>
  <c r="R14" i="2" s="1"/>
  <c r="M14" i="2" l="1"/>
  <c r="N14" i="2"/>
  <c r="O14" i="2"/>
  <c r="P14" i="2"/>
  <c r="Q14" i="2"/>
  <c r="L15" i="2"/>
  <c r="O15" i="2" l="1"/>
  <c r="R15" i="2"/>
  <c r="M15" i="2"/>
  <c r="N15" i="2"/>
  <c r="P15" i="2"/>
  <c r="Q15" i="2"/>
  <c r="L16" i="2"/>
  <c r="R16" i="2" s="1"/>
  <c r="M16" i="2" l="1"/>
  <c r="N16" i="2"/>
  <c r="O16" i="2"/>
  <c r="P16" i="2"/>
  <c r="Q16" i="2"/>
  <c r="L17" i="2"/>
  <c r="R17" i="2" s="1"/>
  <c r="M17" i="2" l="1"/>
  <c r="N17" i="2"/>
  <c r="O17" i="2"/>
  <c r="P17" i="2"/>
  <c r="Q17" i="2"/>
  <c r="L18" i="2"/>
  <c r="P18" i="2" l="1"/>
  <c r="R18" i="2"/>
  <c r="M18" i="2"/>
  <c r="N18" i="2"/>
  <c r="O18" i="2"/>
  <c r="Q18" i="2"/>
  <c r="L19" i="2"/>
  <c r="R19" i="2" s="1"/>
  <c r="M19" i="2" l="1"/>
  <c r="N19" i="2"/>
  <c r="O19" i="2"/>
  <c r="P19" i="2"/>
  <c r="Q19" i="2"/>
  <c r="L20" i="2"/>
  <c r="R20" i="2" s="1"/>
  <c r="M20" i="2" l="1"/>
  <c r="N20" i="2"/>
  <c r="O20" i="2"/>
  <c r="P20" i="2"/>
  <c r="Q20" i="2"/>
  <c r="L21" i="2"/>
  <c r="R21" i="2" s="1"/>
  <c r="M21" i="2" l="1"/>
  <c r="N21" i="2"/>
  <c r="O21" i="2"/>
  <c r="P21" i="2"/>
  <c r="Q21" i="2"/>
  <c r="L22" i="2"/>
  <c r="R22" i="2" s="1"/>
  <c r="M22" i="2" l="1"/>
  <c r="N22" i="2"/>
  <c r="O22" i="2"/>
  <c r="P22" i="2"/>
  <c r="Q22" i="2"/>
  <c r="L23" i="2"/>
  <c r="R23" i="2" s="1"/>
  <c r="M23" i="2" l="1"/>
  <c r="N23" i="2"/>
  <c r="O23" i="2"/>
  <c r="Q23" i="2"/>
  <c r="P23" i="2"/>
  <c r="L24" i="2"/>
  <c r="R24" i="2" s="1"/>
  <c r="M24" i="2" l="1"/>
  <c r="N24" i="2"/>
  <c r="O24" i="2"/>
  <c r="P24" i="2"/>
  <c r="Q24" i="2"/>
  <c r="L25" i="2"/>
  <c r="R25" i="2" s="1"/>
  <c r="M25" i="2" l="1"/>
  <c r="N25" i="2"/>
  <c r="O25" i="2"/>
  <c r="P25" i="2"/>
  <c r="Q25" i="2"/>
  <c r="L26" i="2"/>
  <c r="R26" i="2" s="1"/>
  <c r="M26" i="2" l="1"/>
  <c r="N26" i="2"/>
  <c r="Q26" i="2"/>
  <c r="O26" i="2"/>
  <c r="P26" i="2"/>
  <c r="L27" i="2"/>
  <c r="R27" i="2" s="1"/>
  <c r="M27" i="2" l="1"/>
  <c r="N27" i="2"/>
  <c r="O27" i="2"/>
  <c r="P27" i="2"/>
  <c r="Q27" i="2"/>
  <c r="D2" i="1" l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7" i="1"/>
  <c r="E7" i="1" s="1"/>
  <c r="P6" i="1" l="1"/>
  <c r="T6" i="1"/>
  <c r="D3" i="1"/>
</calcChain>
</file>

<file path=xl/sharedStrings.xml><?xml version="1.0" encoding="utf-8"?>
<sst xmlns="http://schemas.openxmlformats.org/spreadsheetml/2006/main" count="637" uniqueCount="224">
  <si>
    <t>E[X]</t>
  </si>
  <si>
    <t>Analitica</t>
  </si>
  <si>
    <t>Simulaciones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</si>
  <si>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</si>
  <si>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</si>
  <si>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</si>
  <si>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</si>
  <si>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</si>
  <si>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</si>
  <si>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</si>
  <si>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</si>
  <si>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</si>
  <si>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</si>
  <si>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</si>
  <si>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</si>
  <si>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</si>
  <si>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</si>
  <si>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</si>
  <si>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</si>
  <si>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</si>
  <si>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</si>
  <si>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</si>
  <si>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</si>
  <si>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</si>
  <si>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</si>
  <si>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</si>
  <si>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</si>
  <si>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</si>
  <si>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</si>
  <si>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</si>
  <si>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</si>
  <si>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</si>
  <si>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</si>
  <si>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</si>
  <si>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</si>
  <si>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</si>
  <si>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</si>
  <si>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</si>
  <si>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</si>
  <si>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Sim 37</t>
  </si>
  <si>
    <t>Sim 38</t>
  </si>
  <si>
    <t>Sim 39</t>
  </si>
  <si>
    <t>Sim 40</t>
  </si>
  <si>
    <t>Sim 41</t>
  </si>
  <si>
    <t>Sim 42</t>
  </si>
  <si>
    <t>Sim 43</t>
  </si>
  <si>
    <t>Sim 44</t>
  </si>
  <si>
    <t>Sim 45</t>
  </si>
  <si>
    <t>Sim 46</t>
  </si>
  <si>
    <t>Sim 47</t>
  </si>
  <si>
    <t>Sim 48</t>
  </si>
  <si>
    <t>Sim 49</t>
  </si>
  <si>
    <t>Sim 50</t>
  </si>
  <si>
    <t>Sim 51</t>
  </si>
  <si>
    <t>Sim 52</t>
  </si>
  <si>
    <t>Sim 53</t>
  </si>
  <si>
    <t>Sim 54</t>
  </si>
  <si>
    <t>Sim 55</t>
  </si>
  <si>
    <t>Sim 56</t>
  </si>
  <si>
    <t>Sim 57</t>
  </si>
  <si>
    <t>Sim 58</t>
  </si>
  <si>
    <t>Sim 59</t>
  </si>
  <si>
    <t>Sim 60</t>
  </si>
  <si>
    <t>Sim 61</t>
  </si>
  <si>
    <t>Sim 62</t>
  </si>
  <si>
    <t>Sim 63</t>
  </si>
  <si>
    <t>Sim 64</t>
  </si>
  <si>
    <t>Sim 65</t>
  </si>
  <si>
    <t>Sim 66</t>
  </si>
  <si>
    <t>Sim 67</t>
  </si>
  <si>
    <t>Sim 68</t>
  </si>
  <si>
    <t>Sim 69</t>
  </si>
  <si>
    <t>Sim 70</t>
  </si>
  <si>
    <t>Sim 71</t>
  </si>
  <si>
    <t>Sim 72</t>
  </si>
  <si>
    <t>Sim 73</t>
  </si>
  <si>
    <t>Sim 74</t>
  </si>
  <si>
    <t>Sim 75</t>
  </si>
  <si>
    <t>Sim 76</t>
  </si>
  <si>
    <t>Sim 77</t>
  </si>
  <si>
    <t>Sim 78</t>
  </si>
  <si>
    <t>Sim 79</t>
  </si>
  <si>
    <t>Sim 80</t>
  </si>
  <si>
    <t>Sim 81</t>
  </si>
  <si>
    <t>Sim 82</t>
  </si>
  <si>
    <t>Sim 83</t>
  </si>
  <si>
    <t>Sim 84</t>
  </si>
  <si>
    <t>Sim 85</t>
  </si>
  <si>
    <t>Sim 86</t>
  </si>
  <si>
    <t>Sim 87</t>
  </si>
  <si>
    <t>Sim 88</t>
  </si>
  <si>
    <t>Sim 89</t>
  </si>
  <si>
    <t>Sim 90</t>
  </si>
  <si>
    <t>Sim 91</t>
  </si>
  <si>
    <t>Sim 92</t>
  </si>
  <si>
    <t>Sim 93</t>
  </si>
  <si>
    <t>Sim 94</t>
  </si>
  <si>
    <t>Sim 95</t>
  </si>
  <si>
    <t>Sim 96</t>
  </si>
  <si>
    <t>Sim 97</t>
  </si>
  <si>
    <t>Sim 98</t>
  </si>
  <si>
    <t>Sim 99</t>
  </si>
  <si>
    <t>Sim 100</t>
  </si>
  <si>
    <t>Sim 101</t>
  </si>
  <si>
    <t>Sim 102</t>
  </si>
  <si>
    <t>Sim 103</t>
  </si>
  <si>
    <t>Sim 104</t>
  </si>
  <si>
    <t>Sim 105</t>
  </si>
  <si>
    <t>Sim 106</t>
  </si>
  <si>
    <t>Sim 107</t>
  </si>
  <si>
    <t>Sim 108</t>
  </si>
  <si>
    <t>Sim 109</t>
  </si>
  <si>
    <t>Sim 110</t>
  </si>
  <si>
    <t>Sim 111</t>
  </si>
  <si>
    <t>Sim 112</t>
  </si>
  <si>
    <t>Sim 113</t>
  </si>
  <si>
    <t>Sim 114</t>
  </si>
  <si>
    <t>Sim 115</t>
  </si>
  <si>
    <t>Sim 116</t>
  </si>
  <si>
    <t>Sim 117</t>
  </si>
  <si>
    <t>Sim 118</t>
  </si>
  <si>
    <t>Sim 119</t>
  </si>
  <si>
    <t>Sim 120</t>
  </si>
  <si>
    <t>Sim 121</t>
  </si>
  <si>
    <t>Sim 122</t>
  </si>
  <si>
    <t>Sim 123</t>
  </si>
  <si>
    <t>Sim 124</t>
  </si>
  <si>
    <t>Sim 125</t>
  </si>
  <si>
    <t>Sim 126</t>
  </si>
  <si>
    <t>Sim 127</t>
  </si>
  <si>
    <t>Sim 128</t>
  </si>
  <si>
    <t>Sim 129</t>
  </si>
  <si>
    <t>Sim 130</t>
  </si>
  <si>
    <t>Sim 131</t>
  </si>
  <si>
    <t>Sim 132</t>
  </si>
  <si>
    <t>Sim 133</t>
  </si>
  <si>
    <t>Sim 134</t>
  </si>
  <si>
    <t>Sim 135</t>
  </si>
  <si>
    <t>Sim 136</t>
  </si>
  <si>
    <t>Sim 137</t>
  </si>
  <si>
    <t>Sim 138</t>
  </si>
  <si>
    <t>Sim 139</t>
  </si>
  <si>
    <t>Sim 140</t>
  </si>
  <si>
    <t>Sim 141</t>
  </si>
  <si>
    <t>Sim 142</t>
  </si>
  <si>
    <t>Sim 143</t>
  </si>
  <si>
    <t>Sim 144</t>
  </si>
  <si>
    <t>Sim 145</t>
  </si>
  <si>
    <t>Sim 146</t>
  </si>
  <si>
    <t>Sim 147</t>
  </si>
  <si>
    <t>Sim 148</t>
  </si>
  <si>
    <t>Sim 149</t>
  </si>
  <si>
    <t>Sim 150</t>
  </si>
  <si>
    <t>Sim 151</t>
  </si>
  <si>
    <t>Sim 152</t>
  </si>
  <si>
    <t>Sim 153</t>
  </si>
  <si>
    <t>Sim 154</t>
  </si>
  <si>
    <t>Sim 155</t>
  </si>
  <si>
    <t>Sim 156</t>
  </si>
  <si>
    <t>Sim 157</t>
  </si>
  <si>
    <t>Sim 158</t>
  </si>
  <si>
    <t>Sim 159</t>
  </si>
  <si>
    <t>Sim 160</t>
  </si>
  <si>
    <t>Sim 161</t>
  </si>
  <si>
    <t>Sim 162</t>
  </si>
  <si>
    <t>Sim 163</t>
  </si>
  <si>
    <t>Sim 164</t>
  </si>
  <si>
    <t>Sim 165</t>
  </si>
  <si>
    <t>Sim 166</t>
  </si>
  <si>
    <t>Sim 167</t>
  </si>
  <si>
    <t>Sim 168</t>
  </si>
  <si>
    <t>Sim 169</t>
  </si>
  <si>
    <t>Sim 170</t>
  </si>
  <si>
    <t>Sim 171</t>
  </si>
  <si>
    <t>Sim 172</t>
  </si>
  <si>
    <t>Sim 173</t>
  </si>
  <si>
    <t>Sim 174</t>
  </si>
  <si>
    <t>Sim 175</t>
  </si>
  <si>
    <t>Sim 176</t>
  </si>
  <si>
    <t>Sim 177</t>
  </si>
  <si>
    <t>Sim 178</t>
  </si>
  <si>
    <t>Sim 179</t>
  </si>
  <si>
    <t>Sim 180</t>
  </si>
  <si>
    <t>Sim 181</t>
  </si>
  <si>
    <t>Sim 182</t>
  </si>
  <si>
    <t>Sim 183</t>
  </si>
  <si>
    <t>Sim 184</t>
  </si>
  <si>
    <t>Sim 185</t>
  </si>
  <si>
    <t>Sim 186</t>
  </si>
  <si>
    <t>Sim 187</t>
  </si>
  <si>
    <t>Sim 188</t>
  </si>
  <si>
    <t>Sim 189</t>
  </si>
  <si>
    <t>Sim 190</t>
  </si>
  <si>
    <t>Sim 191</t>
  </si>
  <si>
    <t>Sim 192</t>
  </si>
  <si>
    <t>Sim 193</t>
  </si>
  <si>
    <t>Sim 194</t>
  </si>
  <si>
    <t>Sim 195</t>
  </si>
  <si>
    <t>Sim 196</t>
  </si>
  <si>
    <t>Sim 197</t>
  </si>
  <si>
    <t>Sim 198</t>
  </si>
  <si>
    <t>Sim 199</t>
  </si>
  <si>
    <t>Sim 200</t>
  </si>
  <si>
    <t>Simulacion simple</t>
  </si>
  <si>
    <t>Simulacion por importancia</t>
  </si>
  <si>
    <t>U[0,1]</t>
  </si>
  <si>
    <t>Sim 2</t>
  </si>
  <si>
    <t>Esperanzas</t>
  </si>
  <si>
    <t>Varianzas</t>
  </si>
  <si>
    <t>Normal</t>
  </si>
  <si>
    <t>Corregida</t>
  </si>
  <si>
    <t>alpha_1</t>
  </si>
  <si>
    <t>alpha_1/2</t>
  </si>
  <si>
    <t>alpha_0</t>
  </si>
  <si>
    <t>alpha_-1/2</t>
  </si>
  <si>
    <t>alpha_-1</t>
  </si>
  <si>
    <t>Simulacion Normal</t>
  </si>
  <si>
    <t>Histograma</t>
  </si>
  <si>
    <t>maximo</t>
  </si>
  <si>
    <t>minimo</t>
  </si>
  <si>
    <t>clases</t>
  </si>
  <si>
    <t>paso</t>
  </si>
  <si>
    <t>Normal (0,1)</t>
  </si>
  <si>
    <t>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</si>
</sst>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%"/>
    <numFmt numFmtId="166" formatCode="0.0000%"/>
    <numFmt numFmtId="172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65" fontId="0" fillId="0" borderId="0" xfId="1" applyNumberFormat="1" applyFont="1"/>
    <xf numFmtId="166" fontId="0" fillId="0" borderId="0" xfId="1" applyNumberFormat="1" applyFont="1"/>
    <xf numFmtId="17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Histograma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'[1]N(0,1)'!$G$11</c:f>
              <c:strCache>
                <c:ptCount val="1"/>
                <c:pt idx="0">
                  <c:v>Frec. Relativa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'[1]N(0,1)'!$F$13:$F$32</c:f>
              <c:numCache>
                <c:formatCode>General</c:formatCode>
                <c:ptCount val="20"/>
                <c:pt idx="0">
                  <c:v>-2.5699312855814251</c:v>
                </c:pt>
                <c:pt idx="1">
                  <c:v>-2.2691868124100023</c:v>
                </c:pt>
                <c:pt idx="2">
                  <c:v>-1.9684423392385797</c:v>
                </c:pt>
                <c:pt idx="3">
                  <c:v>-1.6676978660671571</c:v>
                </c:pt>
                <c:pt idx="4">
                  <c:v>-1.3669533928957345</c:v>
                </c:pt>
                <c:pt idx="5">
                  <c:v>-1.0662089197243119</c:v>
                </c:pt>
                <c:pt idx="6">
                  <c:v>-0.76546444655288925</c:v>
                </c:pt>
                <c:pt idx="7">
                  <c:v>-0.46471997338146659</c:v>
                </c:pt>
                <c:pt idx="8">
                  <c:v>-0.16397550021004392</c:v>
                </c:pt>
                <c:pt idx="9">
                  <c:v>0.13676897296137874</c:v>
                </c:pt>
                <c:pt idx="10">
                  <c:v>0.43751344613280141</c:v>
                </c:pt>
                <c:pt idx="11">
                  <c:v>0.73825791930422402</c:v>
                </c:pt>
                <c:pt idx="12">
                  <c:v>1.0390023924756466</c:v>
                </c:pt>
                <c:pt idx="13">
                  <c:v>1.3397468656470692</c:v>
                </c:pt>
                <c:pt idx="14">
                  <c:v>1.6404913388184919</c:v>
                </c:pt>
                <c:pt idx="15">
                  <c:v>1.9412358119899145</c:v>
                </c:pt>
                <c:pt idx="16">
                  <c:v>2.2419802851613371</c:v>
                </c:pt>
                <c:pt idx="17">
                  <c:v>2.5427247583327599</c:v>
                </c:pt>
                <c:pt idx="18">
                  <c:v>2.8434692315041827</c:v>
                </c:pt>
                <c:pt idx="19">
                  <c:v>3.1442137046756056</c:v>
                </c:pt>
              </c:numCache>
            </c:numRef>
          </c:cat>
          <c:val>
            <c:numRef>
              <c:f>'[1]N(0,1)'!$G$13:$G$32</c:f>
              <c:numCache>
                <c:formatCode>General</c:formatCode>
                <c:ptCount val="20"/>
                <c:pt idx="0">
                  <c:v>4.2122999157540014E-3</c:v>
                </c:pt>
                <c:pt idx="1">
                  <c:v>7.582139848357203E-3</c:v>
                </c:pt>
                <c:pt idx="2">
                  <c:v>1.0109519797809604E-2</c:v>
                </c:pt>
                <c:pt idx="3">
                  <c:v>2.0219039595619208E-2</c:v>
                </c:pt>
                <c:pt idx="4">
                  <c:v>3.3698399326032011E-2</c:v>
                </c:pt>
                <c:pt idx="5">
                  <c:v>6.0657118786857624E-2</c:v>
                </c:pt>
                <c:pt idx="6">
                  <c:v>7.5821398483572028E-2</c:v>
                </c:pt>
                <c:pt idx="7">
                  <c:v>9.0985678180286439E-2</c:v>
                </c:pt>
                <c:pt idx="8">
                  <c:v>0.11962931760741365</c:v>
                </c:pt>
                <c:pt idx="9">
                  <c:v>0.11878685762426285</c:v>
                </c:pt>
                <c:pt idx="10">
                  <c:v>0.12973883740522324</c:v>
                </c:pt>
                <c:pt idx="11">
                  <c:v>0.10446503791069923</c:v>
                </c:pt>
                <c:pt idx="12">
                  <c:v>7.919123841617523E-2</c:v>
                </c:pt>
                <c:pt idx="13">
                  <c:v>5.560235888795282E-2</c:v>
                </c:pt>
                <c:pt idx="14">
                  <c:v>4.0438079191238416E-2</c:v>
                </c:pt>
                <c:pt idx="15">
                  <c:v>2.6116259477674809E-2</c:v>
                </c:pt>
                <c:pt idx="16">
                  <c:v>1.1794439764111205E-2</c:v>
                </c:pt>
                <c:pt idx="17">
                  <c:v>7.582139848357203E-3</c:v>
                </c:pt>
                <c:pt idx="18">
                  <c:v>2.527379949452401E-3</c:v>
                </c:pt>
                <c:pt idx="19">
                  <c:v>8.4245998315080029E-4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5-4956-97DF-6B90A6A80DA5}"/>
            </c:ext>
          </c:extLst>
        </c:ser>
        <c:ser>
          <c:idx val="1"/>
          <c:order val="1"/>
          <c:tx>
            <c:strRef>
              <c:f>'[1]N(0,1)'!$I$11</c:f>
              <c:strCache>
                <c:ptCount val="1"/>
                <c:pt idx="0">
                  <c:v>Probabilidades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'[1]N(0,1)'!$I$13:$I$32</c:f>
              <c:numCache>
                <c:formatCode>General</c:formatCode>
                <c:ptCount val="20"/>
                <c:pt idx="0">
                  <c:v>3.0379573309731287E-3</c:v>
                </c:pt>
                <c:pt idx="1">
                  <c:v>6.5425494958401727E-3</c:v>
                </c:pt>
                <c:pt idx="2">
                  <c:v>1.2880098257504866E-2</c:v>
                </c:pt>
                <c:pt idx="3">
                  <c:v>2.3179277426875165E-2</c:v>
                </c:pt>
                <c:pt idx="4">
                  <c:v>3.8132097711296317E-2</c:v>
                </c:pt>
                <c:pt idx="5">
                  <c:v>5.7344648118039895E-2</c:v>
                </c:pt>
                <c:pt idx="6">
                  <c:v>7.8832909373300564E-2</c:v>
                </c:pt>
                <c:pt idx="7">
                  <c:v>9.9068486695390673E-2</c:v>
                </c:pt>
                <c:pt idx="8">
                  <c:v>0.11380921384236881</c:v>
                </c:pt>
                <c:pt idx="9">
                  <c:v>0.11951808007071169</c:v>
                </c:pt>
                <c:pt idx="10">
                  <c:v>0.11473719116572734</c:v>
                </c:pt>
                <c:pt idx="11">
                  <c:v>0.10069064706574915</c:v>
                </c:pt>
                <c:pt idx="12">
                  <c:v>8.0777054540734361E-2</c:v>
                </c:pt>
                <c:pt idx="13">
                  <c:v>5.9237984078784778E-2</c:v>
                </c:pt>
                <c:pt idx="14">
                  <c:v>3.9712303783315916E-2</c:v>
                </c:pt>
                <c:pt idx="15">
                  <c:v>2.4336683347287225E-2</c:v>
                </c:pt>
                <c:pt idx="16">
                  <c:v>1.3633517327654943E-2</c:v>
                </c:pt>
                <c:pt idx="17">
                  <c:v>6.9817315001188263E-3</c:v>
                </c:pt>
                <c:pt idx="18">
                  <c:v>3.2683258605040733E-3</c:v>
                </c:pt>
                <c:pt idx="19">
                  <c:v>1.3985970189104302E-3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5-4956-97DF-6B90A6A80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906255"/>
        <c:axId val="463906735"/>
      </c:barChart>
      <c:catAx>
        <c:axId val="46390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3906735"/>
        <c:crosses val="autoZero"/>
        <c:auto val="1"/>
        <c:lblAlgn val="ctr"/>
        <c:lblOffset val="100"/>
        <c:noMultiLvlLbl val="0"/>
      </c:catAx>
      <c:valAx>
        <c:axId val="4639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390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2'!$M$11:$M$27</c:f>
              <c:strCache>
                <c:ptCount val="17"/>
                <c:pt idx="0">
                  <c:v>Normal (0,1)</c:v>
                </c:pt>
                <c:pt idx="2">
                  <c:v>0.00000</c:v>
                </c:pt>
                <c:pt idx="3">
                  <c:v>0.00000</c:v>
                </c:pt>
                <c:pt idx="4">
                  <c:v>0.00526</c:v>
                </c:pt>
                <c:pt idx="5">
                  <c:v>0.08947</c:v>
                </c:pt>
                <c:pt idx="6">
                  <c:v>0.07368</c:v>
                </c:pt>
                <c:pt idx="7">
                  <c:v>0.11579</c:v>
                </c:pt>
                <c:pt idx="8">
                  <c:v>0.17368</c:v>
                </c:pt>
                <c:pt idx="9">
                  <c:v>0.16316</c:v>
                </c:pt>
                <c:pt idx="10">
                  <c:v>0.18421</c:v>
                </c:pt>
                <c:pt idx="11">
                  <c:v>0.09474</c:v>
                </c:pt>
                <c:pt idx="12">
                  <c:v>0.05789</c:v>
                </c:pt>
                <c:pt idx="13">
                  <c:v>0.01579</c:v>
                </c:pt>
                <c:pt idx="14">
                  <c:v>0.01053</c:v>
                </c:pt>
                <c:pt idx="15">
                  <c:v>0.01053</c:v>
                </c:pt>
                <c:pt idx="16">
                  <c:v>0.00526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2273-4618-AFB3-2F26715F876B}"/>
            </c:ext>
          </c:extLst>
        </c:ser>
        <c:ser>
          <c:idx val="1"/>
          <c:order val="1"/>
          <c:tx>
            <c:strRef>
              <c:f>'Ejercicio 2'!$N$11:$N$27</c:f>
              <c:strCache>
                <c:ptCount val="17"/>
                <c:pt idx="0">
                  <c:v>alpha_1</c:v>
                </c:pt>
                <c:pt idx="2">
                  <c:v>0.00000</c:v>
                </c:pt>
                <c:pt idx="3">
                  <c:v>0.00000</c:v>
                </c:pt>
                <c:pt idx="4">
                  <c:v>0.00000</c:v>
                </c:pt>
                <c:pt idx="5">
                  <c:v>0.00000</c:v>
                </c:pt>
                <c:pt idx="6">
                  <c:v>0.00000</c:v>
                </c:pt>
                <c:pt idx="7">
                  <c:v>0.00000</c:v>
                </c:pt>
                <c:pt idx="8">
                  <c:v>0.00000</c:v>
                </c:pt>
                <c:pt idx="9">
                  <c:v>0.16316</c:v>
                </c:pt>
                <c:pt idx="10">
                  <c:v>0.35789</c:v>
                </c:pt>
                <c:pt idx="11">
                  <c:v>0.21053</c:v>
                </c:pt>
                <c:pt idx="12">
                  <c:v>0.13158</c:v>
                </c:pt>
                <c:pt idx="13">
                  <c:v>0.10526</c:v>
                </c:pt>
                <c:pt idx="14">
                  <c:v>0.01579</c:v>
                </c:pt>
                <c:pt idx="15">
                  <c:v>0.01053</c:v>
                </c:pt>
                <c:pt idx="16">
                  <c:v>0.00526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2273-4618-AFB3-2F26715F876B}"/>
            </c:ext>
          </c:extLst>
        </c:ser>
        <c:ser>
          <c:idx val="2"/>
          <c:order val="2"/>
          <c:tx>
            <c:strRef>
              <c:f>'Ejercicio 2'!$O$11:$O$27</c:f>
              <c:strCache>
                <c:ptCount val="17"/>
                <c:pt idx="0">
                  <c:v>alpha_1/2</c:v>
                </c:pt>
                <c:pt idx="2">
                  <c:v>0.00000</c:v>
                </c:pt>
                <c:pt idx="3">
                  <c:v>0.00000</c:v>
                </c:pt>
                <c:pt idx="4">
                  <c:v>0.00000</c:v>
                </c:pt>
                <c:pt idx="5">
                  <c:v>0.00000</c:v>
                </c:pt>
                <c:pt idx="6">
                  <c:v>0.00000</c:v>
                </c:pt>
                <c:pt idx="7">
                  <c:v>0.00000</c:v>
                </c:pt>
                <c:pt idx="8">
                  <c:v>0.00000</c:v>
                </c:pt>
                <c:pt idx="9">
                  <c:v>0.27368</c:v>
                </c:pt>
                <c:pt idx="10">
                  <c:v>0.37895</c:v>
                </c:pt>
                <c:pt idx="11">
                  <c:v>0.15263</c:v>
                </c:pt>
                <c:pt idx="12">
                  <c:v>0.09474</c:v>
                </c:pt>
                <c:pt idx="13">
                  <c:v>0.09474</c:v>
                </c:pt>
                <c:pt idx="14">
                  <c:v>0.00526</c:v>
                </c:pt>
                <c:pt idx="15">
                  <c:v>0.00000</c:v>
                </c:pt>
                <c:pt idx="16">
                  <c:v>0.00000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2273-4618-AFB3-2F26715F876B}"/>
            </c:ext>
          </c:extLst>
        </c:ser>
        <c:ser>
          <c:idx val="3"/>
          <c:order val="3"/>
          <c:tx>
            <c:strRef>
              <c:f>'Ejercicio 2'!$P$11:$P$27</c:f>
              <c:strCache>
                <c:ptCount val="17"/>
                <c:pt idx="0">
                  <c:v>alpha_0</c:v>
                </c:pt>
                <c:pt idx="2">
                  <c:v>0.00000</c:v>
                </c:pt>
                <c:pt idx="3">
                  <c:v>0.00000</c:v>
                </c:pt>
                <c:pt idx="4">
                  <c:v>0.00000</c:v>
                </c:pt>
                <c:pt idx="5">
                  <c:v>0.00000</c:v>
                </c:pt>
                <c:pt idx="6">
                  <c:v>0.00000</c:v>
                </c:pt>
                <c:pt idx="7">
                  <c:v>0.00000</c:v>
                </c:pt>
                <c:pt idx="8">
                  <c:v>0.00000</c:v>
                </c:pt>
                <c:pt idx="9">
                  <c:v>0.54211</c:v>
                </c:pt>
                <c:pt idx="10">
                  <c:v>0.17368</c:v>
                </c:pt>
                <c:pt idx="11">
                  <c:v>0.11579</c:v>
                </c:pt>
                <c:pt idx="12">
                  <c:v>0.07368</c:v>
                </c:pt>
                <c:pt idx="13">
                  <c:v>0.08947</c:v>
                </c:pt>
                <c:pt idx="14">
                  <c:v>0.00526</c:v>
                </c:pt>
                <c:pt idx="15">
                  <c:v>0.00000</c:v>
                </c:pt>
                <c:pt idx="16">
                  <c:v>0.00000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2273-4618-AFB3-2F26715F876B}"/>
            </c:ext>
          </c:extLst>
        </c:ser>
        <c:ser>
          <c:idx val="4"/>
          <c:order val="4"/>
          <c:tx>
            <c:strRef>
              <c:f>'Ejercicio 2'!$R$11:$R$27</c:f>
              <c:strCache>
                <c:ptCount val="17"/>
                <c:pt idx="0">
                  <c:v>alpha_-1</c:v>
                </c:pt>
                <c:pt idx="2">
                  <c:v>0.00526</c:v>
                </c:pt>
                <c:pt idx="3">
                  <c:v>0.01053</c:v>
                </c:pt>
                <c:pt idx="4">
                  <c:v>0.01053</c:v>
                </c:pt>
                <c:pt idx="5">
                  <c:v>0.01579</c:v>
                </c:pt>
                <c:pt idx="6">
                  <c:v>0.05789</c:v>
                </c:pt>
                <c:pt idx="7">
                  <c:v>0.09474</c:v>
                </c:pt>
                <c:pt idx="8">
                  <c:v>0.18421</c:v>
                </c:pt>
                <c:pt idx="9">
                  <c:v>0.16316</c:v>
                </c:pt>
                <c:pt idx="10">
                  <c:v>0.17368</c:v>
                </c:pt>
                <c:pt idx="11">
                  <c:v>0.11579</c:v>
                </c:pt>
                <c:pt idx="12">
                  <c:v>0.07368</c:v>
                </c:pt>
                <c:pt idx="13">
                  <c:v>0.08947</c:v>
                </c:pt>
                <c:pt idx="14">
                  <c:v>0.00526</c:v>
                </c:pt>
                <c:pt idx="15">
                  <c:v>0.00000</c:v>
                </c:pt>
                <c:pt idx="16">
                  <c:v>0.00000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5-2273-4618-AFB3-2F26715F876B}"/>
            </c:ext>
          </c:extLst>
        </c:ser>
        <c:ser>
          <c:idx val="5"/>
          <c:order val="5"/>
          <c:tx>
            <c:strRef>
              <c:f>'Ejercicio 2'!$Q$11:$Q$27</c:f>
              <c:strCache>
                <c:ptCount val="17"/>
                <c:pt idx="0">
                  <c:v>alpha_-1/2</c:v>
                </c:pt>
                <c:pt idx="2">
                  <c:v>0.00000</c:v>
                </c:pt>
                <c:pt idx="3">
                  <c:v>0.00000</c:v>
                </c:pt>
                <c:pt idx="4">
                  <c:v>0.00000</c:v>
                </c:pt>
                <c:pt idx="5">
                  <c:v>0.00526</c:v>
                </c:pt>
                <c:pt idx="6">
                  <c:v>0.02105</c:v>
                </c:pt>
                <c:pt idx="7">
                  <c:v>0.03684</c:v>
                </c:pt>
                <c:pt idx="8">
                  <c:v>0.20526</c:v>
                </c:pt>
                <c:pt idx="9">
                  <c:v>0.27368</c:v>
                </c:pt>
                <c:pt idx="10">
                  <c:v>0.17368</c:v>
                </c:pt>
                <c:pt idx="11">
                  <c:v>0.11579</c:v>
                </c:pt>
                <c:pt idx="12">
                  <c:v>0.07368</c:v>
                </c:pt>
                <c:pt idx="13">
                  <c:v>0.08947</c:v>
                </c:pt>
                <c:pt idx="14">
                  <c:v>0.00526</c:v>
                </c:pt>
                <c:pt idx="15">
                  <c:v>0.00000</c:v>
                </c:pt>
                <c:pt idx="16">
                  <c:v>0.00000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6-2273-4618-AFB3-2F26715F8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69184"/>
        <c:axId val="618974464"/>
      </c:barChart>
      <c:catAx>
        <c:axId val="6189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8974464"/>
        <c:crosses val="autoZero"/>
        <c:auto val="1"/>
        <c:lblAlgn val="ctr"/>
        <c:lblOffset val="100"/>
        <c:noMultiLvlLbl val="0"/>
      </c:catAx>
      <c:valAx>
        <c:axId val="61897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89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</a:t>
            </a:r>
            <a:r>
              <a:rPr lang="es-ES" baseline="0"/>
              <a:t> de distribuciones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'Ejercicio 2'!$M$11</c:f>
              <c:strCache>
                <c:ptCount val="1"/>
                <c:pt idx="0">
                  <c:v>Normal (0,1)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2'!$M$12:$M$27</c:f>
              <c:numCache>
                <c:formatCode>0.00000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5.263157894736842E-3</c:v>
                </c:pt>
                <c:pt idx="4">
                  <c:v>8.9473684210526316E-2</c:v>
                </c:pt>
                <c:pt idx="5">
                  <c:v>7.3684210526315783E-2</c:v>
                </c:pt>
                <c:pt idx="6">
                  <c:v>0.11578947368421053</c:v>
                </c:pt>
                <c:pt idx="7">
                  <c:v>0.1736842105263158</c:v>
                </c:pt>
                <c:pt idx="8">
                  <c:v>0.16315789473684211</c:v>
                </c:pt>
                <c:pt idx="9">
                  <c:v>0.18421052631578946</c:v>
                </c:pt>
                <c:pt idx="10">
                  <c:v>9.4736842105263161E-2</c:v>
                </c:pt>
                <c:pt idx="11">
                  <c:v>5.7894736842105263E-2</c:v>
                </c:pt>
                <c:pt idx="12">
                  <c:v>1.5789473684210527E-2</c:v>
                </c:pt>
                <c:pt idx="13">
                  <c:v>1.0526315789473684E-2</c:v>
                </c:pt>
                <c:pt idx="14">
                  <c:v>1.0526315789473684E-2</c:v>
                </c:pt>
                <c:pt idx="15">
                  <c:v>5.263157894736842E-3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F-4F48-8959-2F4DE82A7B7E}"/>
            </c:ext>
          </c:extLst>
        </c:ser>
        <c:ser>
          <c:idx val="1"/>
          <c:order val="1"/>
          <c:tx>
            <c:strRef>
              <c:f>'Ejercicio 2'!$N$11</c:f>
              <c:strCache>
                <c:ptCount val="1"/>
                <c:pt idx="0">
                  <c:v>alpha_1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2'!$N$12:$N$27</c:f>
              <c:numCache>
                <c:formatCode>0.00000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0.16315789473684211</c:v>
                </c:pt>
                <c:pt idx="9">
                  <c:v>0.35789473684210527</c:v>
                </c:pt>
                <c:pt idx="10">
                  <c:v>0.21052631578947367</c:v>
                </c:pt>
                <c:pt idx="11">
                  <c:v>0.13157894736842105</c:v>
                </c:pt>
                <c:pt idx="12">
                  <c:v>0.10526315789473684</c:v>
                </c:pt>
                <c:pt idx="13">
                  <c:v>1.5789473684210527E-2</c:v>
                </c:pt>
                <c:pt idx="14">
                  <c:v>1.0526315789473684E-2</c:v>
                </c:pt>
                <c:pt idx="15">
                  <c:v>5.263157894736842E-3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5F-4F48-8959-2F4DE82A7B7E}"/>
            </c:ext>
          </c:extLst>
        </c:ser>
        <c:ser>
          <c:idx val="2"/>
          <c:order val="2"/>
          <c:tx>
            <c:strRef>
              <c:f>'Ejercicio 2'!$O$11</c:f>
              <c:strCache>
                <c:ptCount val="1"/>
                <c:pt idx="0">
                  <c:v>alpha_1/2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2'!$O$12:$O$27</c:f>
              <c:numCache>
                <c:formatCode>0.00000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0.27368421052631581</c:v>
                </c:pt>
                <c:pt idx="9">
                  <c:v>0.37894736842105264</c:v>
                </c:pt>
                <c:pt idx="10">
                  <c:v>0.15263157894736842</c:v>
                </c:pt>
                <c:pt idx="11">
                  <c:v>9.4736842105263161E-2</c:v>
                </c:pt>
                <c:pt idx="12">
                  <c:v>9.4736842105263161E-2</c:v>
                </c:pt>
                <c:pt idx="13">
                  <c:v>5.263157894736842E-3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F-4F48-8959-2F4DE82A7B7E}"/>
            </c:ext>
          </c:extLst>
        </c:ser>
        <c:ser>
          <c:idx val="3"/>
          <c:order val="3"/>
          <c:tx>
            <c:strRef>
              <c:f>'Ejercicio 2'!$P$11</c:f>
              <c:strCache>
                <c:ptCount val="1"/>
                <c:pt idx="0">
                  <c:v>alpha_0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2'!$P$12:$P$27</c:f>
              <c:numCache>
                <c:formatCode>0.00000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0.54210526315789476</c:v>
                </c:pt>
                <c:pt idx="9">
                  <c:v>0.1736842105263158</c:v>
                </c:pt>
                <c:pt idx="10">
                  <c:v>0.11578947368421053</c:v>
                </c:pt>
                <c:pt idx="11">
                  <c:v>7.3684210526315783E-2</c:v>
                </c:pt>
                <c:pt idx="12">
                  <c:v>8.9473684210526316E-2</c:v>
                </c:pt>
                <c:pt idx="13">
                  <c:v>5.263157894736842E-3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5F-4F48-8959-2F4DE82A7B7E}"/>
            </c:ext>
          </c:extLst>
        </c:ser>
        <c:ser>
          <c:idx val="4"/>
          <c:order val="4"/>
          <c:tx>
            <c:strRef>
              <c:f>'Ejercicio 2'!$Q$11</c:f>
              <c:strCache>
                <c:ptCount val="1"/>
                <c:pt idx="0">
                  <c:v>alpha_-1/2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2'!$Q$12:$Q$27</c:f>
              <c:numCache>
                <c:formatCode>0.00000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5.263157894736842E-3</c:v>
                </c:pt>
                <c:pt idx="5">
                  <c:v>2.1052631578947368E-2</c:v>
                </c:pt>
                <c:pt idx="6">
                  <c:v>3.6842105263157891E-2</c:v>
                </c:pt>
                <c:pt idx="7">
                  <c:v>0.20526315789473684</c:v>
                </c:pt>
                <c:pt idx="8">
                  <c:v>0.27368421052631581</c:v>
                </c:pt>
                <c:pt idx="9">
                  <c:v>0.1736842105263158</c:v>
                </c:pt>
                <c:pt idx="10">
                  <c:v>0.11578947368421053</c:v>
                </c:pt>
                <c:pt idx="11">
                  <c:v>7.3684210526315783E-2</c:v>
                </c:pt>
                <c:pt idx="12">
                  <c:v>8.9473684210526316E-2</c:v>
                </c:pt>
                <c:pt idx="13">
                  <c:v>5.263157894736842E-3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F-4F48-8959-2F4DE82A7B7E}"/>
            </c:ext>
          </c:extLst>
        </c:ser>
        <c:ser>
          <c:idx val="5"/>
          <c:order val="5"/>
          <c:tx>
            <c:strRef>
              <c:f>'Ejercicio 2'!$R$11</c:f>
              <c:strCache>
                <c:ptCount val="1"/>
                <c:pt idx="0">
                  <c:v>alpha_-1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'Ejercicio 2'!$L$12:$L$27</c:f>
              <c:numCache>
                <c:formatCode>General</c:formatCode>
                <c:ptCount val="16"/>
                <c:pt idx="0">
                  <c:v>-2.999650916119506</c:v>
                </c:pt>
                <c:pt idx="1">
                  <c:v>-2.599697460636905</c:v>
                </c:pt>
                <c:pt idx="2">
                  <c:v>-2.199744005154304</c:v>
                </c:pt>
                <c:pt idx="3">
                  <c:v>-1.7997905496717033</c:v>
                </c:pt>
                <c:pt idx="4">
                  <c:v>-1.3998370941891025</c:v>
                </c:pt>
                <c:pt idx="5">
                  <c:v>-0.99988363870650177</c:v>
                </c:pt>
                <c:pt idx="6">
                  <c:v>-0.59993018322390101</c:v>
                </c:pt>
                <c:pt idx="7">
                  <c:v>-0.19997672774130021</c:v>
                </c:pt>
                <c:pt idx="8">
                  <c:v>0.1999767277413006</c:v>
                </c:pt>
                <c:pt idx="9">
                  <c:v>0.59993018322390146</c:v>
                </c:pt>
                <c:pt idx="10">
                  <c:v>0.99988363870650221</c:v>
                </c:pt>
                <c:pt idx="11">
                  <c:v>1.399837094189103</c:v>
                </c:pt>
                <c:pt idx="12">
                  <c:v>1.7997905496717037</c:v>
                </c:pt>
                <c:pt idx="13">
                  <c:v>2.1997440051543045</c:v>
                </c:pt>
                <c:pt idx="14">
                  <c:v>2.5996974606369054</c:v>
                </c:pt>
                <c:pt idx="15">
                  <c:v>2.9996509161195064</c:v>
                </c:pt>
              </c:numCache>
            </c:numRef>
          </c:cat>
          <c:val>
            <c:numRef>
              <c:f>'Ejercicio 2'!$R$12:$R$27</c:f>
              <c:numCache>
                <c:formatCode>0.00000</c:formatCode>
                <c:ptCount val="16"/>
                <c:pt idx="1">
                  <c:v>5.263157894736842E-3</c:v>
                </c:pt>
                <c:pt idx="2">
                  <c:v>1.0526315789473684E-2</c:v>
                </c:pt>
                <c:pt idx="3">
                  <c:v>1.0526315789473684E-2</c:v>
                </c:pt>
                <c:pt idx="4">
                  <c:v>1.5789473684210527E-2</c:v>
                </c:pt>
                <c:pt idx="5">
                  <c:v>5.7894736842105263E-2</c:v>
                </c:pt>
                <c:pt idx="6">
                  <c:v>9.4736842105263161E-2</c:v>
                </c:pt>
                <c:pt idx="7">
                  <c:v>0.18421052631578946</c:v>
                </c:pt>
                <c:pt idx="8">
                  <c:v>0.16315789473684211</c:v>
                </c:pt>
                <c:pt idx="9">
                  <c:v>0.1736842105263158</c:v>
                </c:pt>
                <c:pt idx="10">
                  <c:v>0.11578947368421053</c:v>
                </c:pt>
                <c:pt idx="11">
                  <c:v>7.3684210526315783E-2</c:v>
                </c:pt>
                <c:pt idx="12">
                  <c:v>8.9473684210526316E-2</c:v>
                </c:pt>
                <c:pt idx="13">
                  <c:v>5.263157894736842E-3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5F-4F48-8959-2F4DE82A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927184"/>
        <c:axId val="744920464"/>
      </c:barChart>
      <c:catAx>
        <c:axId val="74492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920464"/>
        <c:crosses val="autoZero"/>
        <c:auto val="1"/>
        <c:lblAlgn val="ctr"/>
        <c:lblOffset val="100"/>
        <c:noMultiLvlLbl val="0"/>
      </c:catAx>
      <c:valAx>
        <c:axId val="7449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449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19050</xdr:colOff>
      <xdr:row>3</xdr:row>
      <xdr:rowOff>171450</xdr:rowOff>
    </xdr:from>
    <xdr:to>
      <xdr:col>28</xdr:col>
      <xdr:colOff>19050</xdr:colOff>
      <xdr:row>18</xdr:row>
      <xdr:rowOff>181389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367374-F283-40E3-917F-A72A766A5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680357</xdr:colOff>
      <xdr:row>20</xdr:row>
      <xdr:rowOff>29935</xdr:rowOff>
    </xdr:from>
    <xdr:to>
      <xdr:col>24</xdr:col>
      <xdr:colOff>680357</xdr:colOff>
      <xdr:row>34</xdr:row>
      <xdr:rowOff>106135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4ADCD9-3222-3FAE-740C-793017B63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707572</xdr:colOff>
      <xdr:row>32</xdr:row>
      <xdr:rowOff>97971</xdr:rowOff>
    </xdr:from>
    <xdr:to>
      <xdr:col>17</xdr:col>
      <xdr:colOff>625929</xdr:colOff>
      <xdr:row>46</xdr:row>
      <xdr:rowOff>174171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50BCA9A-3055-AA2A-B604-C74DB31DA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noa\AppData\Local\Temp\46939876-a989-4402-ae6c-3482def2b6c6_Ejercicios%20PyS_Mayo22y23.zip.6c6\normal.xlsx" TargetMode="External"/><Relationship Id="rId1" Type="http://schemas.openxmlformats.org/officeDocument/2006/relationships/externalLinkPath" Target="file:///C:\Users\nanoa\AppData\Local\Temp\46939876-a989-4402-ae6c-3482def2b6c6_Ejercicios%20PyS_Mayo22y23.zip.6c6\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(0,1)"/>
      <sheetName val="N(mu,sigma)"/>
    </sheetNames>
    <sheetDataSet>
      <sheetData sheetId="0">
        <row r="11">
          <cell r="G11" t="str">
            <v>Frec. Relativa</v>
          </cell>
          <cell r="I11" t="str">
            <v>Probabilidades</v>
          </cell>
        </row>
        <row r="13">
          <cell r="F13">
            <v>-2.5699312855814251</v>
          </cell>
          <cell r="G13">
            <v>4.2122999157540014E-3</v>
          </cell>
          <cell r="I13">
            <v>3.0379573309731287E-3</v>
          </cell>
        </row>
        <row r="14">
          <cell r="F14">
            <v>-2.2691868124100023</v>
          </cell>
          <cell r="G14">
            <v>7.582139848357203E-3</v>
          </cell>
          <cell r="I14">
            <v>6.5425494958401727E-3</v>
          </cell>
        </row>
        <row r="15">
          <cell r="F15">
            <v>-1.9684423392385797</v>
          </cell>
          <cell r="G15">
            <v>1.0109519797809604E-2</v>
          </cell>
          <cell r="I15">
            <v>1.2880098257504866E-2</v>
          </cell>
        </row>
        <row r="16">
          <cell r="F16">
            <v>-1.6676978660671571</v>
          </cell>
          <cell r="G16">
            <v>2.0219039595619208E-2</v>
          </cell>
          <cell r="I16">
            <v>2.3179277426875165E-2</v>
          </cell>
        </row>
        <row r="17">
          <cell r="F17">
            <v>-1.3669533928957345</v>
          </cell>
          <cell r="G17">
            <v>3.3698399326032011E-2</v>
          </cell>
          <cell r="I17">
            <v>3.8132097711296317E-2</v>
          </cell>
        </row>
        <row r="18">
          <cell r="F18">
            <v>-1.0662089197243119</v>
          </cell>
          <cell r="G18">
            <v>6.0657118786857624E-2</v>
          </cell>
          <cell r="I18">
            <v>5.7344648118039895E-2</v>
          </cell>
        </row>
        <row r="19">
          <cell r="F19">
            <v>-0.76546444655288925</v>
          </cell>
          <cell r="G19">
            <v>7.5821398483572028E-2</v>
          </cell>
          <cell r="I19">
            <v>7.8832909373300564E-2</v>
          </cell>
        </row>
        <row r="20">
          <cell r="F20">
            <v>-0.46471997338146659</v>
          </cell>
          <cell r="G20">
            <v>9.0985678180286439E-2</v>
          </cell>
          <cell r="I20">
            <v>9.9068486695390673E-2</v>
          </cell>
        </row>
        <row r="21">
          <cell r="F21">
            <v>-0.16397550021004392</v>
          </cell>
          <cell r="G21">
            <v>0.11962931760741365</v>
          </cell>
          <cell r="I21">
            <v>0.11380921384236881</v>
          </cell>
        </row>
        <row r="22">
          <cell r="F22">
            <v>0.13676897296137874</v>
          </cell>
          <cell r="G22">
            <v>0.11878685762426285</v>
          </cell>
          <cell r="I22">
            <v>0.11951808007071169</v>
          </cell>
        </row>
        <row r="23">
          <cell r="F23">
            <v>0.43751344613280141</v>
          </cell>
          <cell r="G23">
            <v>0.12973883740522324</v>
          </cell>
          <cell r="I23">
            <v>0.11473719116572734</v>
          </cell>
        </row>
        <row r="24">
          <cell r="F24">
            <v>0.73825791930422402</v>
          </cell>
          <cell r="G24">
            <v>0.10446503791069923</v>
          </cell>
          <cell r="I24">
            <v>0.10069064706574915</v>
          </cell>
        </row>
        <row r="25">
          <cell r="F25">
            <v>1.0390023924756466</v>
          </cell>
          <cell r="G25">
            <v>7.919123841617523E-2</v>
          </cell>
          <cell r="I25">
            <v>8.0777054540734361E-2</v>
          </cell>
        </row>
        <row r="26">
          <cell r="F26">
            <v>1.3397468656470692</v>
          </cell>
          <cell r="G26">
            <v>5.560235888795282E-2</v>
          </cell>
          <cell r="I26">
            <v>5.9237984078784778E-2</v>
          </cell>
        </row>
        <row r="27">
          <cell r="F27">
            <v>1.6404913388184919</v>
          </cell>
          <cell r="G27">
            <v>4.0438079191238416E-2</v>
          </cell>
          <cell r="I27">
            <v>3.9712303783315916E-2</v>
          </cell>
        </row>
        <row r="28">
          <cell r="F28">
            <v>1.9412358119899145</v>
          </cell>
          <cell r="G28">
            <v>2.6116259477674809E-2</v>
          </cell>
          <cell r="I28">
            <v>2.4336683347287225E-2</v>
          </cell>
        </row>
        <row r="29">
          <cell r="F29">
            <v>2.2419802851613371</v>
          </cell>
          <cell r="G29">
            <v>1.1794439764111205E-2</v>
          </cell>
          <cell r="I29">
            <v>1.3633517327654943E-2</v>
          </cell>
        </row>
        <row r="30">
          <cell r="F30">
            <v>2.5427247583327599</v>
          </cell>
          <cell r="G30">
            <v>7.582139848357203E-3</v>
          </cell>
          <cell r="I30">
            <v>6.9817315001188263E-3</v>
          </cell>
        </row>
        <row r="31">
          <cell r="F31">
            <v>2.8434692315041827</v>
          </cell>
          <cell r="G31">
            <v>2.527379949452401E-3</v>
          </cell>
          <cell r="I31">
            <v>3.2683258605040733E-3</v>
          </cell>
        </row>
        <row r="32">
          <cell r="F32">
            <v>3.1442137046756056</v>
          </cell>
          <cell r="G32">
            <v>8.4245998315080029E-4</v>
          </cell>
          <cell r="I32">
            <v>1.3985970189104302E-3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06"/>
  <sheetViews>
    <sheetView tabSelected="1" topLeftCell="B1" workbookViewId="0">
      <selection activeCell="T6" sqref="T6"/>
    </sheetView>
  </sheetViews>
  <sheetFormatPr baseColWidth="10" defaultColWidth="9.140625" defaultRowHeight="15" x14ac:dyDescent="0.25"/>
  <cols>
    <col min="2" max="2" width="32.5703125" customWidth="1"/>
    <col min="3" max="3" width="22.28515625" customWidth="1"/>
    <col min="4" max="4" width="27.140625" customWidth="1"/>
    <col min="5" max="5" width="20.28515625" customWidth="1"/>
    <col min="9" max="9" width="21.28515625" customWidth="1"/>
    <col min="10" max="10" width="19.28515625" customWidth="1"/>
    <col min="19" max="19" width="12" bestFit="1" customWidth="1"/>
  </cols>
  <sheetData>
    <row r="2" spans="2:20" x14ac:dyDescent="0.25">
      <c r="B2" s="1" t="s">
        <v>1</v>
      </c>
      <c r="C2" s="1" t="s">
        <v>0</v>
      </c>
      <c r="D2" s="1">
        <f>2/3.14</f>
        <v>0.63694267515923564</v>
      </c>
    </row>
    <row r="3" spans="2:20" x14ac:dyDescent="0.25">
      <c r="B3" s="1" t="s">
        <v>203</v>
      </c>
      <c r="C3" s="1" t="s">
        <v>0</v>
      </c>
      <c r="D3" s="1">
        <f ca="1">AVERAGE($E$7:$E$206)</f>
        <v>0.66139468204072349</v>
      </c>
    </row>
    <row r="4" spans="2:20" x14ac:dyDescent="0.25">
      <c r="B4" s="3" t="s">
        <v>204</v>
      </c>
      <c r="C4" s="3" t="s">
        <v>0</v>
      </c>
      <c r="D4" s="3">
        <f ca="1">AVERAGE($K$7:$K$206)</f>
        <v>0.63456034758454438</v>
      </c>
    </row>
    <row r="5" spans="2:20" x14ac:dyDescent="0.25">
      <c r="S5" t="s">
        <v>210</v>
      </c>
      <c r="T5" t="s">
        <v>209</v>
      </c>
    </row>
    <row r="6" spans="2:20" x14ac:dyDescent="0.25">
      <c r="D6" t="s">
        <v>2</v>
      </c>
      <c r="E6" t="s">
        <v>205</v>
      </c>
      <c r="I6" t="s">
        <v>2</v>
      </c>
      <c r="J6" t="s">
        <v>205</v>
      </c>
      <c r="O6" s="3">
        <f ca="1">AVERAGE($K$7:$K$206)</f>
        <v>0.63456034758454438</v>
      </c>
      <c r="P6" s="1">
        <f ca="1">AVERAGE($E$7:$E$206)</f>
        <v>0.66139468204072349</v>
      </c>
      <c r="R6" t="s">
        <v>207</v>
      </c>
      <c r="S6" s="3">
        <f>AVERAGE($O$7:$O$206)</f>
        <v>0.63691578034987084</v>
      </c>
      <c r="T6" s="1">
        <f ca="1">AVERAGE($E$7:$E$206)</f>
        <v>0.66139468204072349</v>
      </c>
    </row>
    <row r="7" spans="2:20" x14ac:dyDescent="0.25">
      <c r="C7" t="s">
        <v>3</v>
      </c>
      <c r="D7">
        <f ca="1">RAND()</f>
        <v>0.9957413733394499</v>
      </c>
      <c r="E7">
        <f ca="1">COS((D7*3.1416)/2)</f>
        <v>6.6857277447790768E-3</v>
      </c>
      <c r="H7" t="s">
        <v>3</v>
      </c>
      <c r="I7">
        <f ca="1">RAND()</f>
        <v>0.22614768447796163</v>
      </c>
      <c r="J7">
        <f ca="1">2*COS((ACOS(-I7)/3)-(2*3.1416/3))</f>
        <v>0.15192443929969715</v>
      </c>
      <c r="K7">
        <f ca="1">COS((3.1416*J7)/2)/(1.5*(1-(J7^2)))</f>
        <v>0.66307762765776157</v>
      </c>
      <c r="N7" t="s">
        <v>3</v>
      </c>
      <c r="O7">
        <f t="dataTable" ref="O7:P206" dt2D="0" dtr="0" r1="N1" ca="1"/>
        <v>0.63632127251837245</v>
      </c>
      <c r="P7">
        <v>0.63895267539148559</v>
      </c>
      <c r="R7" t="s">
        <v>208</v>
      </c>
      <c r="S7" s="5">
        <f>_xlfn.VAR.S(O7:O206)</f>
        <v>5.1131152583213663E-6</v>
      </c>
      <c r="T7" s="4">
        <f>_xlfn.VAR.S(P7:P206)</f>
        <v>4.3769361827294441E-4</v>
      </c>
    </row>
    <row r="8" spans="2:20" x14ac:dyDescent="0.25">
      <c r="C8" t="s">
        <v>4</v>
      </c>
      <c r="D8">
        <f t="shared" ref="D8:D71" ca="1" si="0">RAND()</f>
        <v>0.36057843515033694</v>
      </c>
      <c r="E8">
        <f t="shared" ref="E8:E71" ca="1" si="1">COS((D8*3.1416)/2)</f>
        <v>0.84384001207222736</v>
      </c>
      <c r="H8" t="s">
        <v>4</v>
      </c>
      <c r="I8">
        <f t="shared" ref="I8:I71" ca="1" si="2">RAND()</f>
        <v>0.18792755437623787</v>
      </c>
      <c r="J8">
        <f t="shared" ref="J8:J71" ca="1" si="3">2*COS((ACOS(-I8)/3)-(2*3.1416/3))</f>
        <v>0.12594127567310315</v>
      </c>
      <c r="K8">
        <f t="shared" ref="K8:K71" ca="1" si="4">COS((3.1416*J8)/2)/(1.5*(1-(J8^2)))</f>
        <v>0.66419877031815444</v>
      </c>
      <c r="N8" t="s">
        <v>206</v>
      </c>
      <c r="O8">
        <v>0.63724638835758574</v>
      </c>
      <c r="P8">
        <v>0.65216752100167397</v>
      </c>
    </row>
    <row r="9" spans="2:20" x14ac:dyDescent="0.25">
      <c r="C9" t="s">
        <v>5</v>
      </c>
      <c r="D9">
        <f t="shared" ca="1" si="0"/>
        <v>0.82564005146202535</v>
      </c>
      <c r="E9">
        <f t="shared" ca="1" si="1"/>
        <v>0.27046974979431682</v>
      </c>
      <c r="H9" t="s">
        <v>5</v>
      </c>
      <c r="I9">
        <f t="shared" ca="1" si="2"/>
        <v>0.5594128029459059</v>
      </c>
      <c r="J9">
        <f t="shared" ca="1" si="3"/>
        <v>0.39319701200739293</v>
      </c>
      <c r="K9">
        <f t="shared" ca="1" si="4"/>
        <v>0.64289467345577833</v>
      </c>
      <c r="N9" t="s">
        <v>5</v>
      </c>
      <c r="O9">
        <v>0.63721694751312097</v>
      </c>
      <c r="P9">
        <v>0.66160953804848033</v>
      </c>
    </row>
    <row r="10" spans="2:20" x14ac:dyDescent="0.25">
      <c r="C10" t="s">
        <v>6</v>
      </c>
      <c r="D10">
        <f t="shared" ca="1" si="0"/>
        <v>0.4550728269369626</v>
      </c>
      <c r="E10">
        <f t="shared" ca="1" si="1"/>
        <v>0.75520573630199805</v>
      </c>
      <c r="H10" t="s">
        <v>6</v>
      </c>
      <c r="I10">
        <f t="shared" ca="1" si="2"/>
        <v>0.1974089534061686</v>
      </c>
      <c r="J10">
        <f t="shared" ca="1" si="3"/>
        <v>0.13236947829391391</v>
      </c>
      <c r="K10">
        <f t="shared" ca="1" si="4"/>
        <v>0.66394079847518517</v>
      </c>
      <c r="N10" t="s">
        <v>6</v>
      </c>
      <c r="O10">
        <v>0.63832880783153245</v>
      </c>
      <c r="P10">
        <v>0.68006731480799498</v>
      </c>
    </row>
    <row r="11" spans="2:20" x14ac:dyDescent="0.25">
      <c r="C11" t="s">
        <v>7</v>
      </c>
      <c r="D11">
        <f t="shared" ca="1" si="0"/>
        <v>0.1404168914942745</v>
      </c>
      <c r="E11">
        <f t="shared" ca="1" si="1"/>
        <v>0.97577358839705264</v>
      </c>
      <c r="H11" t="s">
        <v>7</v>
      </c>
      <c r="I11">
        <f t="shared" ca="1" si="2"/>
        <v>8.4055384432114244E-2</v>
      </c>
      <c r="J11">
        <f t="shared" ca="1" si="3"/>
        <v>5.6085971085622882E-2</v>
      </c>
      <c r="K11">
        <f t="shared" ca="1" si="4"/>
        <v>0.66617669498834331</v>
      </c>
      <c r="N11" t="s">
        <v>7</v>
      </c>
      <c r="O11">
        <v>0.63341889376464533</v>
      </c>
      <c r="P11">
        <v>0.64000707134178481</v>
      </c>
    </row>
    <row r="12" spans="2:20" x14ac:dyDescent="0.25">
      <c r="C12" t="s">
        <v>8</v>
      </c>
      <c r="D12">
        <f t="shared" ca="1" si="0"/>
        <v>0.67865266878742914</v>
      </c>
      <c r="E12">
        <f ca="1">COS((D12*3.1416)/2)</f>
        <v>0.48360501236290787</v>
      </c>
      <c r="H12" t="s">
        <v>8</v>
      </c>
      <c r="I12">
        <f t="shared" ca="1" si="2"/>
        <v>0.72183336980977553</v>
      </c>
      <c r="J12">
        <f t="shared" ca="1" si="3"/>
        <v>0.53117071499147028</v>
      </c>
      <c r="K12">
        <f t="shared" ca="1" si="4"/>
        <v>0.62375389928654557</v>
      </c>
      <c r="N12" t="s">
        <v>8</v>
      </c>
      <c r="O12">
        <v>0.63911488641315761</v>
      </c>
      <c r="P12">
        <v>0.6802937994086391</v>
      </c>
    </row>
    <row r="13" spans="2:20" x14ac:dyDescent="0.25">
      <c r="C13" t="s">
        <v>9</v>
      </c>
      <c r="D13">
        <f t="shared" ca="1" si="0"/>
        <v>0.36825205632273339</v>
      </c>
      <c r="E13">
        <f t="shared" ca="1" si="1"/>
        <v>0.83731090141742415</v>
      </c>
      <c r="H13" t="s">
        <v>9</v>
      </c>
      <c r="I13">
        <f t="shared" ca="1" si="2"/>
        <v>0.34046421719410103</v>
      </c>
      <c r="J13">
        <f t="shared" ca="1" si="3"/>
        <v>0.23108000222621189</v>
      </c>
      <c r="K13">
        <f t="shared" ca="1" si="4"/>
        <v>0.65838489973869363</v>
      </c>
      <c r="N13" t="s">
        <v>9</v>
      </c>
      <c r="O13">
        <v>0.63572030474358332</v>
      </c>
      <c r="P13">
        <v>0.62200633102765923</v>
      </c>
    </row>
    <row r="14" spans="2:20" x14ac:dyDescent="0.25">
      <c r="C14" t="s">
        <v>10</v>
      </c>
      <c r="D14">
        <f t="shared" ca="1" si="0"/>
        <v>0.10204906697470917</v>
      </c>
      <c r="E14">
        <f t="shared" ca="1" si="1"/>
        <v>0.98717965507245231</v>
      </c>
      <c r="H14" t="s">
        <v>10</v>
      </c>
      <c r="I14">
        <f t="shared" ca="1" si="2"/>
        <v>0.15787835177376608</v>
      </c>
      <c r="J14">
        <f t="shared" ca="1" si="3"/>
        <v>0.10563548585743021</v>
      </c>
      <c r="K14">
        <f t="shared" ca="1" si="4"/>
        <v>0.66492972648254922</v>
      </c>
      <c r="N14" t="s">
        <v>10</v>
      </c>
      <c r="O14">
        <v>0.63815557788207944</v>
      </c>
      <c r="P14">
        <v>0.61336109318527066</v>
      </c>
    </row>
    <row r="15" spans="2:20" x14ac:dyDescent="0.25">
      <c r="C15" t="s">
        <v>11</v>
      </c>
      <c r="D15">
        <f t="shared" ca="1" si="0"/>
        <v>3.7639852703712173E-2</v>
      </c>
      <c r="E15">
        <f t="shared" ca="1" si="1"/>
        <v>0.99825264518243717</v>
      </c>
      <c r="H15" t="s">
        <v>11</v>
      </c>
      <c r="I15">
        <f t="shared" ca="1" si="2"/>
        <v>0.90367639298719815</v>
      </c>
      <c r="J15">
        <f t="shared" ca="1" si="3"/>
        <v>0.73456934460331991</v>
      </c>
      <c r="K15">
        <f t="shared" ca="1" si="4"/>
        <v>0.58637824028344432</v>
      </c>
      <c r="N15" t="s">
        <v>11</v>
      </c>
      <c r="O15">
        <v>0.63385032329957403</v>
      </c>
      <c r="P15">
        <v>0.61469041573448036</v>
      </c>
    </row>
    <row r="16" spans="2:20" x14ac:dyDescent="0.25">
      <c r="C16" t="s">
        <v>12</v>
      </c>
      <c r="D16">
        <f t="shared" ca="1" si="0"/>
        <v>0.58688465835147485</v>
      </c>
      <c r="E16">
        <f t="shared" ca="1" si="1"/>
        <v>0.60432461365449364</v>
      </c>
      <c r="H16" t="s">
        <v>12</v>
      </c>
      <c r="I16">
        <f t="shared" ca="1" si="2"/>
        <v>0.76665995166081491</v>
      </c>
      <c r="J16">
        <f t="shared" ca="1" si="3"/>
        <v>0.57420895856805021</v>
      </c>
      <c r="K16">
        <f t="shared" ca="1" si="4"/>
        <v>0.61672122778775496</v>
      </c>
      <c r="N16" t="s">
        <v>12</v>
      </c>
      <c r="O16">
        <v>0.63443318918861036</v>
      </c>
      <c r="P16">
        <v>0.66140964745188713</v>
      </c>
    </row>
    <row r="17" spans="3:16" x14ac:dyDescent="0.25">
      <c r="C17" t="s">
        <v>13</v>
      </c>
      <c r="D17">
        <f t="shared" ca="1" si="0"/>
        <v>0.81437355987241755</v>
      </c>
      <c r="E17">
        <f t="shared" ca="1" si="1"/>
        <v>0.28746430193120431</v>
      </c>
      <c r="H17" t="s">
        <v>13</v>
      </c>
      <c r="I17">
        <f t="shared" ca="1" si="2"/>
        <v>0.87657923635704083</v>
      </c>
      <c r="J17">
        <f t="shared" ca="1" si="3"/>
        <v>0.69748860103609389</v>
      </c>
      <c r="K17">
        <f t="shared" ca="1" si="4"/>
        <v>0.5939513268506813</v>
      </c>
      <c r="N17" t="s">
        <v>13</v>
      </c>
      <c r="O17">
        <v>0.63825193153264603</v>
      </c>
      <c r="P17">
        <v>0.61257622933283618</v>
      </c>
    </row>
    <row r="18" spans="3:16" x14ac:dyDescent="0.25">
      <c r="C18" t="s">
        <v>14</v>
      </c>
      <c r="D18">
        <f t="shared" ca="1" si="0"/>
        <v>0.99983683735816764</v>
      </c>
      <c r="E18">
        <f t="shared" ca="1" si="1"/>
        <v>2.5262266999995957E-4</v>
      </c>
      <c r="H18" t="s">
        <v>14</v>
      </c>
      <c r="I18">
        <f t="shared" ca="1" si="2"/>
        <v>0.32401158448135514</v>
      </c>
      <c r="J18">
        <f t="shared" ca="1" si="3"/>
        <v>0.2195248414671476</v>
      </c>
      <c r="K18">
        <f t="shared" ca="1" si="4"/>
        <v>0.65918912641630945</v>
      </c>
      <c r="N18" t="s">
        <v>14</v>
      </c>
      <c r="O18">
        <v>0.63467303123229568</v>
      </c>
      <c r="P18">
        <v>0.65404145568755601</v>
      </c>
    </row>
    <row r="19" spans="3:16" x14ac:dyDescent="0.25">
      <c r="C19" t="s">
        <v>15</v>
      </c>
      <c r="D19">
        <f t="shared" ca="1" si="0"/>
        <v>0.65872528426300825</v>
      </c>
      <c r="E19">
        <f t="shared" ca="1" si="1"/>
        <v>0.51076179388353504</v>
      </c>
      <c r="H19" t="s">
        <v>15</v>
      </c>
      <c r="I19">
        <f t="shared" ca="1" si="2"/>
        <v>0.78338687569033649</v>
      </c>
      <c r="J19">
        <f t="shared" ca="1" si="3"/>
        <v>0.59109249932043983</v>
      </c>
      <c r="K19">
        <f t="shared" ca="1" si="4"/>
        <v>0.61382967264639154</v>
      </c>
      <c r="N19" t="s">
        <v>15</v>
      </c>
      <c r="O19">
        <v>0.63380442276489879</v>
      </c>
      <c r="P19">
        <v>0.68938781460890208</v>
      </c>
    </row>
    <row r="20" spans="3:16" x14ac:dyDescent="0.25">
      <c r="C20" t="s">
        <v>16</v>
      </c>
      <c r="D20">
        <f t="shared" ca="1" si="0"/>
        <v>0.53313541765035344</v>
      </c>
      <c r="E20">
        <f t="shared" ca="1" si="1"/>
        <v>0.66936015186186715</v>
      </c>
      <c r="H20" t="s">
        <v>16</v>
      </c>
      <c r="I20">
        <f t="shared" ca="1" si="2"/>
        <v>0.43154461401055488</v>
      </c>
      <c r="J20">
        <f t="shared" ca="1" si="3"/>
        <v>0.29636431052932855</v>
      </c>
      <c r="K20">
        <f t="shared" ca="1" si="4"/>
        <v>0.65308437842856226</v>
      </c>
      <c r="N20" t="s">
        <v>16</v>
      </c>
      <c r="O20">
        <v>0.63523572256912386</v>
      </c>
      <c r="P20">
        <v>0.63610521618507532</v>
      </c>
    </row>
    <row r="21" spans="3:16" x14ac:dyDescent="0.25">
      <c r="C21" t="s">
        <v>17</v>
      </c>
      <c r="D21">
        <f t="shared" ca="1" si="0"/>
        <v>0.38717141891515683</v>
      </c>
      <c r="E21">
        <f t="shared" ca="1" si="1"/>
        <v>0.82069564084961921</v>
      </c>
      <c r="H21" t="s">
        <v>17</v>
      </c>
      <c r="I21">
        <f t="shared" ca="1" si="2"/>
        <v>0.49121865310370871</v>
      </c>
      <c r="J21">
        <f t="shared" ca="1" si="3"/>
        <v>0.34064681786256562</v>
      </c>
      <c r="K21">
        <f t="shared" ca="1" si="4"/>
        <v>0.64876540164372376</v>
      </c>
      <c r="N21" t="s">
        <v>17</v>
      </c>
      <c r="O21">
        <v>0.63603137243405417</v>
      </c>
      <c r="P21">
        <v>0.65614062757311775</v>
      </c>
    </row>
    <row r="22" spans="3:16" x14ac:dyDescent="0.25">
      <c r="C22" t="s">
        <v>18</v>
      </c>
      <c r="D22">
        <f t="shared" ca="1" si="0"/>
        <v>0.77886782280820999</v>
      </c>
      <c r="E22">
        <f t="shared" ca="1" si="1"/>
        <v>0.34040797457351585</v>
      </c>
      <c r="H22" t="s">
        <v>18</v>
      </c>
      <c r="I22">
        <f t="shared" ca="1" si="2"/>
        <v>0.84164326687186375</v>
      </c>
      <c r="J22">
        <f t="shared" ca="1" si="3"/>
        <v>0.65458105820620338</v>
      </c>
      <c r="K22">
        <f t="shared" ca="1" si="4"/>
        <v>0.60230522406972165</v>
      </c>
      <c r="N22" t="s">
        <v>18</v>
      </c>
      <c r="O22">
        <v>0.63710423644470071</v>
      </c>
      <c r="P22">
        <v>0.6589053913515589</v>
      </c>
    </row>
    <row r="23" spans="3:16" x14ac:dyDescent="0.25">
      <c r="C23" t="s">
        <v>19</v>
      </c>
      <c r="D23">
        <f t="shared" ca="1" si="0"/>
        <v>0.67187621436101364</v>
      </c>
      <c r="E23">
        <f t="shared" ca="1" si="1"/>
        <v>0.49289438520036605</v>
      </c>
      <c r="H23" t="s">
        <v>19</v>
      </c>
      <c r="I23">
        <f t="shared" ca="1" si="2"/>
        <v>0.60643306565490029</v>
      </c>
      <c r="J23">
        <f t="shared" ca="1" si="3"/>
        <v>0.4309614194216535</v>
      </c>
      <c r="K23">
        <f t="shared" ca="1" si="4"/>
        <v>0.63818481970232788</v>
      </c>
      <c r="N23" t="s">
        <v>19</v>
      </c>
      <c r="O23">
        <v>0.63904143121077084</v>
      </c>
      <c r="P23">
        <v>0.63325615056980911</v>
      </c>
    </row>
    <row r="24" spans="3:16" x14ac:dyDescent="0.25">
      <c r="C24" t="s">
        <v>20</v>
      </c>
      <c r="D24">
        <f t="shared" ca="1" si="0"/>
        <v>0.20728063624136517</v>
      </c>
      <c r="E24">
        <f t="shared" ca="1" si="1"/>
        <v>0.94746011464229074</v>
      </c>
      <c r="H24" t="s">
        <v>20</v>
      </c>
      <c r="I24">
        <f t="shared" ca="1" si="2"/>
        <v>0.36354230269708132</v>
      </c>
      <c r="J24">
        <f t="shared" ca="1" si="3"/>
        <v>0.24739992285566551</v>
      </c>
      <c r="K24">
        <f t="shared" ca="1" si="4"/>
        <v>0.65718012856938812</v>
      </c>
      <c r="N24" t="s">
        <v>20</v>
      </c>
      <c r="O24">
        <v>0.63550143078234522</v>
      </c>
      <c r="P24">
        <v>0.64774617873275064</v>
      </c>
    </row>
    <row r="25" spans="3:16" x14ac:dyDescent="0.25">
      <c r="C25" t="s">
        <v>21</v>
      </c>
      <c r="D25">
        <f t="shared" ca="1" si="0"/>
        <v>0.99743388214887374</v>
      </c>
      <c r="E25">
        <f t="shared" ca="1" si="1"/>
        <v>4.0271738298287415E-3</v>
      </c>
      <c r="H25" t="s">
        <v>21</v>
      </c>
      <c r="I25">
        <f t="shared" ca="1" si="2"/>
        <v>0.40590539668235015</v>
      </c>
      <c r="J25">
        <f t="shared" ca="1" si="3"/>
        <v>0.27773590553896155</v>
      </c>
      <c r="K25">
        <f t="shared" ca="1" si="4"/>
        <v>0.65472728513134104</v>
      </c>
      <c r="N25" t="s">
        <v>21</v>
      </c>
      <c r="O25">
        <v>0.63507513363628565</v>
      </c>
      <c r="P25">
        <v>0.58035549110955897</v>
      </c>
    </row>
    <row r="26" spans="3:16" x14ac:dyDescent="0.25">
      <c r="C26" t="s">
        <v>22</v>
      </c>
      <c r="D26">
        <f t="shared" ca="1" si="0"/>
        <v>0.67038184635729825</v>
      </c>
      <c r="E26">
        <f t="shared" ca="1" si="1"/>
        <v>0.49493543198240758</v>
      </c>
      <c r="H26" t="s">
        <v>22</v>
      </c>
      <c r="I26">
        <f t="shared" ca="1" si="2"/>
        <v>0.66023167723714027</v>
      </c>
      <c r="J26">
        <f t="shared" ca="1" si="3"/>
        <v>0.47612562425068622</v>
      </c>
      <c r="K26">
        <f t="shared" ca="1" si="4"/>
        <v>0.63202362638971621</v>
      </c>
      <c r="N26" t="s">
        <v>22</v>
      </c>
      <c r="O26">
        <v>0.63590589573585488</v>
      </c>
      <c r="P26">
        <v>0.66344056039060662</v>
      </c>
    </row>
    <row r="27" spans="3:16" x14ac:dyDescent="0.25">
      <c r="C27" t="s">
        <v>23</v>
      </c>
      <c r="D27">
        <f t="shared" ca="1" si="0"/>
        <v>0.31979352774861425</v>
      </c>
      <c r="E27">
        <f t="shared" ca="1" si="1"/>
        <v>0.87646231355780391</v>
      </c>
      <c r="H27" t="s">
        <v>23</v>
      </c>
      <c r="I27">
        <f t="shared" ca="1" si="2"/>
        <v>0.39009181868606502</v>
      </c>
      <c r="J27">
        <f t="shared" ca="1" si="3"/>
        <v>0.26635074171732237</v>
      </c>
      <c r="K27">
        <f t="shared" ca="1" si="4"/>
        <v>0.65568026827575088</v>
      </c>
      <c r="N27" t="s">
        <v>23</v>
      </c>
      <c r="O27">
        <v>0.63337214024235811</v>
      </c>
      <c r="P27">
        <v>0.63573426607059647</v>
      </c>
    </row>
    <row r="28" spans="3:16" x14ac:dyDescent="0.25">
      <c r="C28" t="s">
        <v>24</v>
      </c>
      <c r="D28">
        <f t="shared" ca="1" si="0"/>
        <v>0.61396247043555829</v>
      </c>
      <c r="E28">
        <f t="shared" ca="1" si="1"/>
        <v>0.56989993836591246</v>
      </c>
      <c r="H28" t="s">
        <v>24</v>
      </c>
      <c r="I28">
        <f t="shared" ca="1" si="2"/>
        <v>0.55509934903257996</v>
      </c>
      <c r="J28">
        <f t="shared" ca="1" si="3"/>
        <v>0.38980080271063766</v>
      </c>
      <c r="K28">
        <f t="shared" ca="1" si="4"/>
        <v>0.6432982531786835</v>
      </c>
      <c r="N28" t="s">
        <v>24</v>
      </c>
      <c r="O28">
        <v>0.63650598748712195</v>
      </c>
      <c r="P28">
        <v>0.62877102614852287</v>
      </c>
    </row>
    <row r="29" spans="3:16" x14ac:dyDescent="0.25">
      <c r="C29" t="s">
        <v>25</v>
      </c>
      <c r="D29">
        <f t="shared" ca="1" si="0"/>
        <v>0.91240944816549596</v>
      </c>
      <c r="E29">
        <f t="shared" ca="1" si="1"/>
        <v>0.13714991758582987</v>
      </c>
      <c r="H29" t="s">
        <v>25</v>
      </c>
      <c r="I29">
        <f t="shared" ca="1" si="2"/>
        <v>0.46388245598640698</v>
      </c>
      <c r="J29">
        <f t="shared" ca="1" si="3"/>
        <v>0.3201882476437436</v>
      </c>
      <c r="K29">
        <f t="shared" ca="1" si="4"/>
        <v>0.6508327930167358</v>
      </c>
      <c r="N29" t="s">
        <v>25</v>
      </c>
      <c r="O29">
        <v>0.63977955299748068</v>
      </c>
      <c r="P29">
        <v>0.6246689893930889</v>
      </c>
    </row>
    <row r="30" spans="3:16" x14ac:dyDescent="0.25">
      <c r="C30" t="s">
        <v>26</v>
      </c>
      <c r="D30">
        <f t="shared" ca="1" si="0"/>
        <v>0.16153641694147269</v>
      </c>
      <c r="E30">
        <f t="shared" ca="1" si="1"/>
        <v>0.96798000431430209</v>
      </c>
      <c r="H30" t="s">
        <v>26</v>
      </c>
      <c r="I30">
        <f t="shared" ca="1" si="2"/>
        <v>0.72644376118605614</v>
      </c>
      <c r="J30">
        <f t="shared" ca="1" si="3"/>
        <v>0.53546609058104233</v>
      </c>
      <c r="K30">
        <f t="shared" ca="1" si="4"/>
        <v>0.62307409636169742</v>
      </c>
      <c r="N30" t="s">
        <v>26</v>
      </c>
      <c r="O30">
        <v>0.63159754055159734</v>
      </c>
      <c r="P30">
        <v>0.60430571271930189</v>
      </c>
    </row>
    <row r="31" spans="3:16" x14ac:dyDescent="0.25">
      <c r="C31" t="s">
        <v>27</v>
      </c>
      <c r="D31">
        <f t="shared" ca="1" si="0"/>
        <v>0.46699751758013641</v>
      </c>
      <c r="E31">
        <f t="shared" ca="1" si="1"/>
        <v>0.74279582988648929</v>
      </c>
      <c r="H31" t="s">
        <v>27</v>
      </c>
      <c r="I31">
        <f t="shared" ca="1" si="2"/>
        <v>0.88374770202412989</v>
      </c>
      <c r="J31">
        <f t="shared" ca="1" si="3"/>
        <v>0.70691663196776067</v>
      </c>
      <c r="K31">
        <f t="shared" ca="1" si="4"/>
        <v>0.59205645078040148</v>
      </c>
      <c r="N31" t="s">
        <v>27</v>
      </c>
      <c r="O31">
        <v>0.63765693246686994</v>
      </c>
      <c r="P31">
        <v>0.63323115394339435</v>
      </c>
    </row>
    <row r="32" spans="3:16" x14ac:dyDescent="0.25">
      <c r="C32" t="s">
        <v>28</v>
      </c>
      <c r="D32">
        <f t="shared" ca="1" si="0"/>
        <v>0.95240926353256339</v>
      </c>
      <c r="E32">
        <f t="shared" ca="1" si="1"/>
        <v>7.4682258185242337E-2</v>
      </c>
      <c r="H32" t="s">
        <v>28</v>
      </c>
      <c r="I32">
        <f t="shared" ca="1" si="2"/>
        <v>0.99478295430782515</v>
      </c>
      <c r="J32">
        <f t="shared" ca="1" si="3"/>
        <v>0.94042214567722993</v>
      </c>
      <c r="K32">
        <f t="shared" ca="1" si="4"/>
        <v>0.53886787615645604</v>
      </c>
      <c r="N32" t="s">
        <v>28</v>
      </c>
      <c r="O32">
        <v>0.63586344232862069</v>
      </c>
      <c r="P32">
        <v>0.63753615471763758</v>
      </c>
    </row>
    <row r="33" spans="3:16" x14ac:dyDescent="0.25">
      <c r="C33" t="s">
        <v>29</v>
      </c>
      <c r="D33">
        <f t="shared" ca="1" si="0"/>
        <v>0.94393213360774819</v>
      </c>
      <c r="E33">
        <f t="shared" ca="1" si="1"/>
        <v>8.7953934338601325E-2</v>
      </c>
      <c r="H33" t="s">
        <v>29</v>
      </c>
      <c r="I33">
        <f t="shared" ca="1" si="2"/>
        <v>0.33091191660556141</v>
      </c>
      <c r="J33">
        <f t="shared" ca="1" si="3"/>
        <v>0.22436344131463154</v>
      </c>
      <c r="K33">
        <f t="shared" ca="1" si="4"/>
        <v>0.65885729789947323</v>
      </c>
      <c r="N33" t="s">
        <v>29</v>
      </c>
      <c r="O33">
        <v>0.63778886852340544</v>
      </c>
      <c r="P33">
        <v>0.66830213844710618</v>
      </c>
    </row>
    <row r="34" spans="3:16" x14ac:dyDescent="0.25">
      <c r="C34" t="s">
        <v>30</v>
      </c>
      <c r="D34">
        <f t="shared" ca="1" si="0"/>
        <v>3.8072915421678677E-2</v>
      </c>
      <c r="E34">
        <f t="shared" ca="1" si="1"/>
        <v>0.99821221779057512</v>
      </c>
      <c r="H34" t="s">
        <v>30</v>
      </c>
      <c r="I34">
        <f t="shared" ca="1" si="2"/>
        <v>0.2145652661861045</v>
      </c>
      <c r="J34">
        <f t="shared" ca="1" si="3"/>
        <v>0.144029891657699</v>
      </c>
      <c r="K34">
        <f t="shared" ca="1" si="4"/>
        <v>0.66344029170045915</v>
      </c>
      <c r="N34" t="s">
        <v>30</v>
      </c>
      <c r="O34">
        <v>0.63575671438203019</v>
      </c>
      <c r="P34">
        <v>0.63252326266848324</v>
      </c>
    </row>
    <row r="35" spans="3:16" x14ac:dyDescent="0.25">
      <c r="C35" t="s">
        <v>31</v>
      </c>
      <c r="D35">
        <f t="shared" ca="1" si="0"/>
        <v>0.13839841748321835</v>
      </c>
      <c r="E35">
        <f t="shared" ca="1" si="1"/>
        <v>0.97646235942790649</v>
      </c>
      <c r="H35" t="s">
        <v>31</v>
      </c>
      <c r="I35">
        <f t="shared" ca="1" si="2"/>
        <v>0.49462376569020272</v>
      </c>
      <c r="J35">
        <f t="shared" ca="1" si="3"/>
        <v>0.3432174673779988</v>
      </c>
      <c r="K35">
        <f t="shared" ca="1" si="4"/>
        <v>0.64849693031022582</v>
      </c>
      <c r="N35" t="s">
        <v>31</v>
      </c>
      <c r="O35">
        <v>0.63945544831416257</v>
      </c>
      <c r="P35">
        <v>0.62240394525875298</v>
      </c>
    </row>
    <row r="36" spans="3:16" x14ac:dyDescent="0.25">
      <c r="C36" t="s">
        <v>32</v>
      </c>
      <c r="D36">
        <f t="shared" ca="1" si="0"/>
        <v>0.99807754905546309</v>
      </c>
      <c r="E36">
        <f t="shared" ca="1" si="1"/>
        <v>3.0161081656799615E-3</v>
      </c>
      <c r="H36" t="s">
        <v>32</v>
      </c>
      <c r="I36">
        <f t="shared" ca="1" si="2"/>
        <v>0.749188212691417</v>
      </c>
      <c r="J36">
        <f t="shared" ca="1" si="3"/>
        <v>0.55708006036102553</v>
      </c>
      <c r="K36">
        <f t="shared" ca="1" si="4"/>
        <v>0.61957880949483779</v>
      </c>
      <c r="N36" t="s">
        <v>32</v>
      </c>
      <c r="O36">
        <v>0.63715968897057784</v>
      </c>
      <c r="P36">
        <v>0.62541144492777445</v>
      </c>
    </row>
    <row r="37" spans="3:16" x14ac:dyDescent="0.25">
      <c r="C37" t="s">
        <v>33</v>
      </c>
      <c r="D37">
        <f t="shared" ca="1" si="0"/>
        <v>0.33253706311272302</v>
      </c>
      <c r="E37">
        <f t="shared" ca="1" si="1"/>
        <v>0.86664950594963652</v>
      </c>
      <c r="H37" t="s">
        <v>33</v>
      </c>
      <c r="I37">
        <f t="shared" ca="1" si="2"/>
        <v>0.67904655297253269</v>
      </c>
      <c r="J37">
        <f t="shared" ca="1" si="3"/>
        <v>0.49251341676361549</v>
      </c>
      <c r="K37">
        <f t="shared" ca="1" si="4"/>
        <v>0.62964800254146425</v>
      </c>
      <c r="N37" t="s">
        <v>33</v>
      </c>
      <c r="O37">
        <v>0.63619786487309193</v>
      </c>
      <c r="P37">
        <v>0.60062685605001676</v>
      </c>
    </row>
    <row r="38" spans="3:16" x14ac:dyDescent="0.25">
      <c r="C38" t="s">
        <v>34</v>
      </c>
      <c r="D38">
        <f t="shared" ca="1" si="0"/>
        <v>0.3813826817761109</v>
      </c>
      <c r="E38">
        <f t="shared" ca="1" si="1"/>
        <v>0.825857039219832</v>
      </c>
      <c r="H38" t="s">
        <v>34</v>
      </c>
      <c r="I38">
        <f t="shared" ca="1" si="2"/>
        <v>0.13208314091087925</v>
      </c>
      <c r="J38">
        <f t="shared" ca="1" si="3"/>
        <v>8.8275011555498856E-2</v>
      </c>
      <c r="K38">
        <f t="shared" ca="1" si="4"/>
        <v>0.66545337377278424</v>
      </c>
      <c r="N38" t="s">
        <v>34</v>
      </c>
      <c r="O38">
        <v>0.63385786248438269</v>
      </c>
      <c r="P38">
        <v>0.65284868246235717</v>
      </c>
    </row>
    <row r="39" spans="3:16" x14ac:dyDescent="0.25">
      <c r="C39" t="s">
        <v>35</v>
      </c>
      <c r="D39">
        <f t="shared" ca="1" si="0"/>
        <v>0.69830984255902484</v>
      </c>
      <c r="E39">
        <f t="shared" ca="1" si="1"/>
        <v>0.45635214170338184</v>
      </c>
      <c r="H39" t="s">
        <v>35</v>
      </c>
      <c r="I39">
        <f t="shared" ca="1" si="2"/>
        <v>0.28802134986950145</v>
      </c>
      <c r="J39">
        <f t="shared" ca="1" si="3"/>
        <v>0.19445584425889365</v>
      </c>
      <c r="K39">
        <f t="shared" ca="1" si="4"/>
        <v>0.66079422941267885</v>
      </c>
      <c r="N39" t="s">
        <v>35</v>
      </c>
      <c r="O39">
        <v>0.63758199859030318</v>
      </c>
      <c r="P39">
        <v>0.63135280962926454</v>
      </c>
    </row>
    <row r="40" spans="3:16" x14ac:dyDescent="0.25">
      <c r="C40" t="s">
        <v>36</v>
      </c>
      <c r="D40">
        <f t="shared" ca="1" si="0"/>
        <v>0.16531538026740644</v>
      </c>
      <c r="E40">
        <f t="shared" ca="1" si="1"/>
        <v>0.96647286220621076</v>
      </c>
      <c r="H40" t="s">
        <v>36</v>
      </c>
      <c r="I40">
        <f t="shared" ca="1" si="2"/>
        <v>0.98167153485826109</v>
      </c>
      <c r="J40">
        <f t="shared" ca="1" si="3"/>
        <v>0.88731552184207629</v>
      </c>
      <c r="K40">
        <f t="shared" ca="1" si="4"/>
        <v>0.55195800901360281</v>
      </c>
      <c r="N40" t="s">
        <v>36</v>
      </c>
      <c r="O40">
        <v>0.63593626851078722</v>
      </c>
      <c r="P40">
        <v>0.64320694023718927</v>
      </c>
    </row>
    <row r="41" spans="3:16" x14ac:dyDescent="0.25">
      <c r="C41" t="s">
        <v>37</v>
      </c>
      <c r="D41">
        <f t="shared" ca="1" si="0"/>
        <v>0.45070951678668469</v>
      </c>
      <c r="E41">
        <f t="shared" ca="1" si="1"/>
        <v>0.75968060291249451</v>
      </c>
      <c r="H41" t="s">
        <v>37</v>
      </c>
      <c r="I41">
        <f t="shared" ca="1" si="2"/>
        <v>0.50267281108855077</v>
      </c>
      <c r="J41">
        <f t="shared" ca="1" si="3"/>
        <v>0.34931461036670236</v>
      </c>
      <c r="K41">
        <f t="shared" ca="1" si="4"/>
        <v>0.64785242191564252</v>
      </c>
      <c r="N41" t="s">
        <v>37</v>
      </c>
      <c r="O41">
        <v>0.63442979576220326</v>
      </c>
      <c r="P41">
        <v>0.64079315729520148</v>
      </c>
    </row>
    <row r="42" spans="3:16" x14ac:dyDescent="0.25">
      <c r="C42" t="s">
        <v>38</v>
      </c>
      <c r="D42">
        <f t="shared" ca="1" si="0"/>
        <v>0.6014564332519986</v>
      </c>
      <c r="E42">
        <f t="shared" ca="1" si="1"/>
        <v>0.58593108869104693</v>
      </c>
      <c r="H42" t="s">
        <v>38</v>
      </c>
      <c r="I42">
        <f t="shared" ca="1" si="2"/>
        <v>0.40849820857986596</v>
      </c>
      <c r="J42">
        <f t="shared" ca="1" si="3"/>
        <v>0.27960999810683157</v>
      </c>
      <c r="K42">
        <f t="shared" ca="1" si="4"/>
        <v>0.65456669295273828</v>
      </c>
      <c r="N42" t="s">
        <v>38</v>
      </c>
      <c r="O42">
        <v>0.63892821036862091</v>
      </c>
      <c r="P42">
        <v>0.61289868632016453</v>
      </c>
    </row>
    <row r="43" spans="3:16" x14ac:dyDescent="0.25">
      <c r="C43" t="s">
        <v>39</v>
      </c>
      <c r="D43">
        <f t="shared" ca="1" si="0"/>
        <v>0.83387477106321051</v>
      </c>
      <c r="E43">
        <f t="shared" ca="1" si="1"/>
        <v>0.2579944835893348</v>
      </c>
      <c r="H43" t="s">
        <v>39</v>
      </c>
      <c r="I43">
        <f t="shared" ca="1" si="2"/>
        <v>4.7904810578412449E-2</v>
      </c>
      <c r="J43">
        <f t="shared" ca="1" si="3"/>
        <v>3.1937615323600066E-2</v>
      </c>
      <c r="K43">
        <f t="shared" ca="1" si="4"/>
        <v>0.66650775846053811</v>
      </c>
      <c r="N43" t="s">
        <v>39</v>
      </c>
      <c r="O43">
        <v>0.63865210109586501</v>
      </c>
      <c r="P43">
        <v>0.65202798204986112</v>
      </c>
    </row>
    <row r="44" spans="3:16" x14ac:dyDescent="0.25">
      <c r="C44" t="s">
        <v>40</v>
      </c>
      <c r="D44">
        <f t="shared" ca="1" si="0"/>
        <v>0.92120809355573019</v>
      </c>
      <c r="E44">
        <f t="shared" ca="1" si="1"/>
        <v>0.12344694588553856</v>
      </c>
      <c r="H44" t="s">
        <v>40</v>
      </c>
      <c r="I44">
        <f t="shared" ca="1" si="2"/>
        <v>0.22453659018733829</v>
      </c>
      <c r="J44">
        <f t="shared" ca="1" si="3"/>
        <v>0.15082518397549</v>
      </c>
      <c r="K44">
        <f t="shared" ca="1" si="4"/>
        <v>0.66312927646988629</v>
      </c>
      <c r="N44" t="s">
        <v>40</v>
      </c>
      <c r="O44">
        <v>0.63416785284735711</v>
      </c>
      <c r="P44">
        <v>0.62631933197366407</v>
      </c>
    </row>
    <row r="45" spans="3:16" x14ac:dyDescent="0.25">
      <c r="C45" t="s">
        <v>41</v>
      </c>
      <c r="D45">
        <f t="shared" ca="1" si="0"/>
        <v>0.40568541717486017</v>
      </c>
      <c r="E45">
        <f t="shared" ca="1" si="1"/>
        <v>0.80373462165097476</v>
      </c>
      <c r="H45" t="s">
        <v>41</v>
      </c>
      <c r="I45">
        <f t="shared" ca="1" si="2"/>
        <v>0.1050446378130856</v>
      </c>
      <c r="J45">
        <f t="shared" ca="1" si="3"/>
        <v>7.0135013690076381E-2</v>
      </c>
      <c r="K45">
        <f t="shared" ca="1" si="4"/>
        <v>0.66590060016653174</v>
      </c>
      <c r="N45" t="s">
        <v>41</v>
      </c>
      <c r="O45">
        <v>0.63691025569908033</v>
      </c>
      <c r="P45">
        <v>0.60724708586103426</v>
      </c>
    </row>
    <row r="46" spans="3:16" x14ac:dyDescent="0.25">
      <c r="C46" t="s">
        <v>42</v>
      </c>
      <c r="D46">
        <f t="shared" ca="1" si="0"/>
        <v>0.15904566876582593</v>
      </c>
      <c r="E46">
        <f t="shared" ca="1" si="1"/>
        <v>0.96895472932176829</v>
      </c>
      <c r="H46" t="s">
        <v>42</v>
      </c>
      <c r="I46">
        <f t="shared" ca="1" si="2"/>
        <v>0.86130575385709307</v>
      </c>
      <c r="J46">
        <f t="shared" ca="1" si="3"/>
        <v>0.67816186969902459</v>
      </c>
      <c r="K46">
        <f t="shared" ca="1" si="4"/>
        <v>0.59776933373382046</v>
      </c>
      <c r="N46" t="s">
        <v>42</v>
      </c>
      <c r="O46">
        <v>0.63623073971247901</v>
      </c>
      <c r="P46">
        <v>0.63410946043673788</v>
      </c>
    </row>
    <row r="47" spans="3:16" x14ac:dyDescent="0.25">
      <c r="C47" t="s">
        <v>43</v>
      </c>
      <c r="D47">
        <f t="shared" ca="1" si="0"/>
        <v>0.11212952258049502</v>
      </c>
      <c r="E47">
        <f t="shared" ca="1" si="1"/>
        <v>0.98452863291174875</v>
      </c>
      <c r="H47" t="s">
        <v>43</v>
      </c>
      <c r="I47">
        <f t="shared" ca="1" si="2"/>
        <v>2.5316055068433152E-2</v>
      </c>
      <c r="J47">
        <f t="shared" ca="1" si="3"/>
        <v>1.6869178118925191E-2</v>
      </c>
      <c r="K47">
        <f t="shared" ca="1" si="4"/>
        <v>0.6666223306687874</v>
      </c>
      <c r="N47" t="s">
        <v>43</v>
      </c>
      <c r="O47">
        <v>0.64228535135784626</v>
      </c>
      <c r="P47">
        <v>0.64262881360136037</v>
      </c>
    </row>
    <row r="48" spans="3:16" x14ac:dyDescent="0.25">
      <c r="C48" t="s">
        <v>44</v>
      </c>
      <c r="D48">
        <f t="shared" ca="1" si="0"/>
        <v>0.33864644637195684</v>
      </c>
      <c r="E48">
        <f t="shared" ca="1" si="1"/>
        <v>0.86182175175323161</v>
      </c>
      <c r="H48" t="s">
        <v>44</v>
      </c>
      <c r="I48">
        <f t="shared" ca="1" si="2"/>
        <v>0.80402630280750498</v>
      </c>
      <c r="J48">
        <f t="shared" ca="1" si="3"/>
        <v>0.61266984996307283</v>
      </c>
      <c r="K48">
        <f t="shared" ca="1" si="4"/>
        <v>0.61002730777986847</v>
      </c>
      <c r="N48" t="s">
        <v>44</v>
      </c>
      <c r="O48">
        <v>0.63264782315327461</v>
      </c>
      <c r="P48">
        <v>0.61987056644136618</v>
      </c>
    </row>
    <row r="49" spans="3:16" x14ac:dyDescent="0.25">
      <c r="C49" t="s">
        <v>45</v>
      </c>
      <c r="D49">
        <f t="shared" ca="1" si="0"/>
        <v>0.2079220244501242</v>
      </c>
      <c r="E49">
        <f t="shared" ca="1" si="1"/>
        <v>0.9471373632242831</v>
      </c>
      <c r="H49" t="s">
        <v>45</v>
      </c>
      <c r="I49">
        <f t="shared" ca="1" si="2"/>
        <v>0.39046964932193107</v>
      </c>
      <c r="J49">
        <f t="shared" ca="1" si="3"/>
        <v>0.26662188565283212</v>
      </c>
      <c r="K49">
        <f t="shared" ca="1" si="4"/>
        <v>0.65565802454123367</v>
      </c>
      <c r="N49" t="s">
        <v>45</v>
      </c>
      <c r="O49">
        <v>0.63654469454216978</v>
      </c>
      <c r="P49">
        <v>0.64794684522420043</v>
      </c>
    </row>
    <row r="50" spans="3:16" x14ac:dyDescent="0.25">
      <c r="C50" t="s">
        <v>46</v>
      </c>
      <c r="D50">
        <f t="shared" ca="1" si="0"/>
        <v>8.5475251670864894E-2</v>
      </c>
      <c r="E50">
        <f t="shared" ca="1" si="1"/>
        <v>0.99100005096027732</v>
      </c>
      <c r="H50" t="s">
        <v>46</v>
      </c>
      <c r="I50">
        <f t="shared" ca="1" si="2"/>
        <v>0.64647429053590955</v>
      </c>
      <c r="J50">
        <f t="shared" ca="1" si="3"/>
        <v>0.46434988820821688</v>
      </c>
      <c r="K50">
        <f t="shared" ca="1" si="4"/>
        <v>0.63368489089343627</v>
      </c>
      <c r="N50" t="s">
        <v>46</v>
      </c>
      <c r="O50">
        <v>0.63561539050129812</v>
      </c>
      <c r="P50">
        <v>0.64852147549186479</v>
      </c>
    </row>
    <row r="51" spans="3:16" x14ac:dyDescent="0.25">
      <c r="C51" t="s">
        <v>47</v>
      </c>
      <c r="D51">
        <f t="shared" ca="1" si="0"/>
        <v>0.71116091216813782</v>
      </c>
      <c r="E51">
        <f t="shared" ca="1" si="1"/>
        <v>0.43829848724392878</v>
      </c>
      <c r="H51" t="s">
        <v>47</v>
      </c>
      <c r="I51">
        <f t="shared" ca="1" si="2"/>
        <v>0.20370684414882445</v>
      </c>
      <c r="J51">
        <f t="shared" ca="1" si="3"/>
        <v>0.13664545331069067</v>
      </c>
      <c r="K51">
        <f t="shared" ca="1" si="4"/>
        <v>0.66376213019531638</v>
      </c>
      <c r="N51" t="s">
        <v>47</v>
      </c>
      <c r="O51">
        <v>0.63615448805402752</v>
      </c>
      <c r="P51">
        <v>0.668271106311358</v>
      </c>
    </row>
    <row r="52" spans="3:16" x14ac:dyDescent="0.25">
      <c r="C52" t="s">
        <v>48</v>
      </c>
      <c r="D52">
        <f t="shared" ca="1" si="0"/>
        <v>0.62934605926862774</v>
      </c>
      <c r="E52">
        <f t="shared" ca="1" si="1"/>
        <v>0.54987914510425306</v>
      </c>
      <c r="H52" t="s">
        <v>48</v>
      </c>
      <c r="I52">
        <f t="shared" ca="1" si="2"/>
        <v>0.74331595205822421</v>
      </c>
      <c r="J52">
        <f t="shared" ca="1" si="3"/>
        <v>0.55142920907223647</v>
      </c>
      <c r="K52">
        <f t="shared" ca="1" si="4"/>
        <v>0.62050459582416284</v>
      </c>
      <c r="N52" t="s">
        <v>48</v>
      </c>
      <c r="O52">
        <v>0.63845479549388662</v>
      </c>
      <c r="P52">
        <v>0.59184188507391811</v>
      </c>
    </row>
    <row r="53" spans="3:16" x14ac:dyDescent="0.25">
      <c r="C53" t="s">
        <v>49</v>
      </c>
      <c r="D53">
        <f t="shared" ca="1" si="0"/>
        <v>0.38216412107179509</v>
      </c>
      <c r="E53">
        <f t="shared" ca="1" si="1"/>
        <v>0.82516426361985085</v>
      </c>
      <c r="H53" t="s">
        <v>49</v>
      </c>
      <c r="I53">
        <f t="shared" ca="1" si="2"/>
        <v>0.5256903235572371</v>
      </c>
      <c r="J53">
        <f t="shared" ca="1" si="3"/>
        <v>0.36691776358883232</v>
      </c>
      <c r="K53">
        <f t="shared" ca="1" si="4"/>
        <v>0.64593074863154876</v>
      </c>
      <c r="N53" t="s">
        <v>49</v>
      </c>
      <c r="O53">
        <v>0.63604885254397392</v>
      </c>
      <c r="P53">
        <v>0.65652263011640211</v>
      </c>
    </row>
    <row r="54" spans="3:16" x14ac:dyDescent="0.25">
      <c r="C54" t="s">
        <v>50</v>
      </c>
      <c r="D54">
        <f t="shared" ca="1" si="0"/>
        <v>0.81335807540028415</v>
      </c>
      <c r="E54">
        <f t="shared" ca="1" si="1"/>
        <v>0.2889917305929906</v>
      </c>
      <c r="H54" t="s">
        <v>50</v>
      </c>
      <c r="I54">
        <f t="shared" ca="1" si="2"/>
        <v>0.83250920969365905</v>
      </c>
      <c r="J54">
        <f t="shared" ca="1" si="3"/>
        <v>0.64405247122249287</v>
      </c>
      <c r="K54">
        <f t="shared" ca="1" si="4"/>
        <v>0.60428635248978235</v>
      </c>
      <c r="N54" t="s">
        <v>50</v>
      </c>
      <c r="O54">
        <v>0.63881461346401958</v>
      </c>
      <c r="P54">
        <v>0.59840070606233342</v>
      </c>
    </row>
    <row r="55" spans="3:16" x14ac:dyDescent="0.25">
      <c r="C55" t="s">
        <v>51</v>
      </c>
      <c r="D55">
        <f t="shared" ca="1" si="0"/>
        <v>0.22815482717325197</v>
      </c>
      <c r="E55">
        <f t="shared" ca="1" si="1"/>
        <v>0.93646431446009482</v>
      </c>
      <c r="H55" t="s">
        <v>51</v>
      </c>
      <c r="I55">
        <f t="shared" ca="1" si="2"/>
        <v>0.53238508541030927</v>
      </c>
      <c r="J55">
        <f t="shared" ca="1" si="3"/>
        <v>0.37208671770505281</v>
      </c>
      <c r="K55">
        <f t="shared" ca="1" si="4"/>
        <v>0.64534935212549671</v>
      </c>
      <c r="N55" t="s">
        <v>51</v>
      </c>
      <c r="O55">
        <v>0.63853136767742835</v>
      </c>
      <c r="P55">
        <v>0.63766481057220448</v>
      </c>
    </row>
    <row r="56" spans="3:16" x14ac:dyDescent="0.25">
      <c r="C56" t="s">
        <v>52</v>
      </c>
      <c r="D56">
        <f t="shared" ca="1" si="0"/>
        <v>0.77299194322929021</v>
      </c>
      <c r="E56">
        <f t="shared" ca="1" si="1"/>
        <v>0.3490719579464388</v>
      </c>
      <c r="H56" t="s">
        <v>52</v>
      </c>
      <c r="I56">
        <f t="shared" ca="1" si="2"/>
        <v>0.8922327422843358</v>
      </c>
      <c r="J56">
        <f t="shared" ca="1" si="3"/>
        <v>0.71841199992650684</v>
      </c>
      <c r="K56">
        <f t="shared" ca="1" si="4"/>
        <v>0.58971768322342677</v>
      </c>
      <c r="N56" t="s">
        <v>52</v>
      </c>
      <c r="O56">
        <v>0.63449538667837002</v>
      </c>
      <c r="P56">
        <v>0.64901793977104039</v>
      </c>
    </row>
    <row r="57" spans="3:16" x14ac:dyDescent="0.25">
      <c r="C57" t="s">
        <v>53</v>
      </c>
      <c r="D57">
        <f t="shared" ca="1" si="0"/>
        <v>6.5144324417242272E-2</v>
      </c>
      <c r="E57">
        <f t="shared" ca="1" si="1"/>
        <v>0.99476898504621902</v>
      </c>
      <c r="H57" t="s">
        <v>53</v>
      </c>
      <c r="I57">
        <f t="shared" ca="1" si="2"/>
        <v>4.2081370735078005E-2</v>
      </c>
      <c r="J57">
        <f t="shared" ca="1" si="3"/>
        <v>2.8051818651198906E-2</v>
      </c>
      <c r="K57">
        <f t="shared" ca="1" si="4"/>
        <v>0.66654407186719877</v>
      </c>
      <c r="N57" t="s">
        <v>53</v>
      </c>
      <c r="O57">
        <v>0.6381297943348383</v>
      </c>
      <c r="P57">
        <v>0.6101409376046143</v>
      </c>
    </row>
    <row r="58" spans="3:16" x14ac:dyDescent="0.25">
      <c r="C58" t="s">
        <v>54</v>
      </c>
      <c r="D58">
        <f t="shared" ca="1" si="0"/>
        <v>0.88604994585375296</v>
      </c>
      <c r="E58">
        <f t="shared" ca="1" si="1"/>
        <v>0.17803488682691859</v>
      </c>
      <c r="H58" t="s">
        <v>54</v>
      </c>
      <c r="I58">
        <f t="shared" ca="1" si="2"/>
        <v>8.1922406536305559E-4</v>
      </c>
      <c r="J58">
        <f t="shared" ca="1" si="3"/>
        <v>5.3635421796036195E-4</v>
      </c>
      <c r="K58">
        <f t="shared" ca="1" si="4"/>
        <v>0.66666662184555869</v>
      </c>
      <c r="N58" t="s">
        <v>54</v>
      </c>
      <c r="O58">
        <v>0.63565841327271333</v>
      </c>
      <c r="P58">
        <v>0.62767223708088371</v>
      </c>
    </row>
    <row r="59" spans="3:16" x14ac:dyDescent="0.25">
      <c r="C59" t="s">
        <v>55</v>
      </c>
      <c r="D59">
        <f t="shared" ca="1" si="0"/>
        <v>0.69389465477054035</v>
      </c>
      <c r="E59">
        <f t="shared" ca="1" si="1"/>
        <v>0.46251221043375035</v>
      </c>
      <c r="H59" t="s">
        <v>55</v>
      </c>
      <c r="I59">
        <f t="shared" ca="1" si="2"/>
        <v>0.99860814364809258</v>
      </c>
      <c r="J59">
        <f t="shared" ca="1" si="3"/>
        <v>0.96937326563657811</v>
      </c>
      <c r="K59">
        <f t="shared" ca="1" si="4"/>
        <v>0.53149712994782328</v>
      </c>
      <c r="N59" t="s">
        <v>55</v>
      </c>
      <c r="O59">
        <v>0.63707527865018188</v>
      </c>
      <c r="P59">
        <v>0.63452136737719156</v>
      </c>
    </row>
    <row r="60" spans="3:16" x14ac:dyDescent="0.25">
      <c r="C60" t="s">
        <v>56</v>
      </c>
      <c r="D60">
        <f t="shared" ca="1" si="0"/>
        <v>0.53548625770566327</v>
      </c>
      <c r="E60">
        <f t="shared" ca="1" si="1"/>
        <v>0.66661214728312823</v>
      </c>
      <c r="H60" t="s">
        <v>56</v>
      </c>
      <c r="I60">
        <f t="shared" ca="1" si="2"/>
        <v>0.51848852043947824</v>
      </c>
      <c r="J60">
        <f t="shared" ca="1" si="3"/>
        <v>0.36138249862417093</v>
      </c>
      <c r="K60">
        <f t="shared" ca="1" si="4"/>
        <v>0.64654474281231034</v>
      </c>
      <c r="N60" t="s">
        <v>56</v>
      </c>
      <c r="O60">
        <v>0.63688635012753181</v>
      </c>
      <c r="P60">
        <v>0.65079150163292321</v>
      </c>
    </row>
    <row r="61" spans="3:16" x14ac:dyDescent="0.25">
      <c r="C61" t="s">
        <v>57</v>
      </c>
      <c r="D61">
        <f t="shared" ca="1" si="0"/>
        <v>0.4638531197114667</v>
      </c>
      <c r="E61">
        <f t="shared" ca="1" si="1"/>
        <v>0.74609365269570704</v>
      </c>
      <c r="H61" t="s">
        <v>57</v>
      </c>
      <c r="I61">
        <f t="shared" ca="1" si="2"/>
        <v>0.34111474765451466</v>
      </c>
      <c r="J61">
        <f t="shared" ca="1" si="3"/>
        <v>0.23153820727562902</v>
      </c>
      <c r="K61">
        <f t="shared" ca="1" si="4"/>
        <v>0.65835217412595415</v>
      </c>
      <c r="N61" t="s">
        <v>57</v>
      </c>
      <c r="O61">
        <v>0.63419614419210713</v>
      </c>
      <c r="P61">
        <v>0.66110125267107744</v>
      </c>
    </row>
    <row r="62" spans="3:16" x14ac:dyDescent="0.25">
      <c r="C62" t="s">
        <v>58</v>
      </c>
      <c r="D62">
        <f t="shared" ca="1" si="0"/>
        <v>2.4960693241986465E-2</v>
      </c>
      <c r="E62">
        <f t="shared" ca="1" si="1"/>
        <v>0.99923145475749875</v>
      </c>
      <c r="H62" t="s">
        <v>58</v>
      </c>
      <c r="I62">
        <f t="shared" ca="1" si="2"/>
        <v>0.70029318185122802</v>
      </c>
      <c r="J62">
        <f t="shared" ca="1" si="3"/>
        <v>0.51145047007119049</v>
      </c>
      <c r="K62">
        <f t="shared" ca="1" si="4"/>
        <v>0.62681125859162945</v>
      </c>
      <c r="N62" t="s">
        <v>58</v>
      </c>
      <c r="O62">
        <v>0.63826976083593656</v>
      </c>
      <c r="P62">
        <v>0.62126906131736159</v>
      </c>
    </row>
    <row r="63" spans="3:16" x14ac:dyDescent="0.25">
      <c r="C63" t="s">
        <v>59</v>
      </c>
      <c r="D63">
        <f t="shared" ca="1" si="0"/>
        <v>0.61534022862446058</v>
      </c>
      <c r="E63">
        <f t="shared" ca="1" si="1"/>
        <v>0.56812026581379182</v>
      </c>
      <c r="H63" t="s">
        <v>59</v>
      </c>
      <c r="I63">
        <f t="shared" ca="1" si="2"/>
        <v>0.10493949011806569</v>
      </c>
      <c r="J63">
        <f t="shared" ca="1" si="3"/>
        <v>7.0064568953894277E-2</v>
      </c>
      <c r="K63">
        <f t="shared" ca="1" si="4"/>
        <v>0.66590213764767536</v>
      </c>
      <c r="N63" t="s">
        <v>59</v>
      </c>
      <c r="O63">
        <v>0.63605270654023438</v>
      </c>
      <c r="P63">
        <v>0.64434088930442768</v>
      </c>
    </row>
    <row r="64" spans="3:16" x14ac:dyDescent="0.25">
      <c r="C64" t="s">
        <v>60</v>
      </c>
      <c r="D64">
        <f t="shared" ca="1" si="0"/>
        <v>0.94413170331547436</v>
      </c>
      <c r="E64">
        <f t="shared" ca="1" si="1"/>
        <v>8.7641660819198414E-2</v>
      </c>
      <c r="H64" t="s">
        <v>60</v>
      </c>
      <c r="I64">
        <f t="shared" ca="1" si="2"/>
        <v>0.55416052239453151</v>
      </c>
      <c r="J64">
        <f t="shared" ca="1" si="3"/>
        <v>0.38906302241824814</v>
      </c>
      <c r="K64">
        <f t="shared" ca="1" si="4"/>
        <v>0.64338548673176799</v>
      </c>
      <c r="N64" t="s">
        <v>60</v>
      </c>
      <c r="O64">
        <v>0.63327734810028713</v>
      </c>
      <c r="P64">
        <v>0.65995829357681079</v>
      </c>
    </row>
    <row r="65" spans="3:16" x14ac:dyDescent="0.25">
      <c r="C65" t="s">
        <v>61</v>
      </c>
      <c r="D65">
        <f t="shared" ca="1" si="0"/>
        <v>0.34070179334027639</v>
      </c>
      <c r="E65">
        <f t="shared" ca="1" si="1"/>
        <v>0.86017971165579199</v>
      </c>
      <c r="H65" t="s">
        <v>61</v>
      </c>
      <c r="I65">
        <f t="shared" ca="1" si="2"/>
        <v>0.72392186802577085</v>
      </c>
      <c r="J65">
        <f t="shared" ca="1" si="3"/>
        <v>0.53311310564619974</v>
      </c>
      <c r="K65">
        <f t="shared" ca="1" si="4"/>
        <v>0.62344710053472352</v>
      </c>
      <c r="N65" t="s">
        <v>61</v>
      </c>
      <c r="O65">
        <v>0.63669003526818002</v>
      </c>
      <c r="P65">
        <v>0.62378803178433817</v>
      </c>
    </row>
    <row r="66" spans="3:16" x14ac:dyDescent="0.25">
      <c r="C66" t="s">
        <v>62</v>
      </c>
      <c r="D66">
        <f t="shared" ca="1" si="0"/>
        <v>0.99277581544242266</v>
      </c>
      <c r="E66">
        <f t="shared" ca="1" si="1"/>
        <v>1.1343832591655185E-2</v>
      </c>
      <c r="H66" t="s">
        <v>62</v>
      </c>
      <c r="I66">
        <f t="shared" ca="1" si="2"/>
        <v>0.59925696558706409</v>
      </c>
      <c r="J66">
        <f t="shared" ca="1" si="3"/>
        <v>0.42510416272839879</v>
      </c>
      <c r="K66">
        <f t="shared" ca="1" si="4"/>
        <v>0.63894189671889245</v>
      </c>
      <c r="N66" t="s">
        <v>62</v>
      </c>
      <c r="O66">
        <v>0.63828276753737623</v>
      </c>
      <c r="P66">
        <v>0.59612639670666989</v>
      </c>
    </row>
    <row r="67" spans="3:16" x14ac:dyDescent="0.25">
      <c r="C67" t="s">
        <v>63</v>
      </c>
      <c r="D67">
        <f t="shared" ca="1" si="0"/>
        <v>0.71440403599668623</v>
      </c>
      <c r="E67">
        <f t="shared" ca="1" si="1"/>
        <v>0.4337139136805343</v>
      </c>
      <c r="H67" t="s">
        <v>63</v>
      </c>
      <c r="I67">
        <f t="shared" ca="1" si="2"/>
        <v>0.23446919793642162</v>
      </c>
      <c r="J67">
        <f t="shared" ca="1" si="3"/>
        <v>0.15760829275932633</v>
      </c>
      <c r="K67">
        <f t="shared" ca="1" si="4"/>
        <v>0.6628046356606867</v>
      </c>
      <c r="N67" t="s">
        <v>63</v>
      </c>
      <c r="O67">
        <v>0.63936914404758527</v>
      </c>
      <c r="P67">
        <v>0.607592775309858</v>
      </c>
    </row>
    <row r="68" spans="3:16" x14ac:dyDescent="0.25">
      <c r="C68" t="s">
        <v>64</v>
      </c>
      <c r="D68">
        <f t="shared" ca="1" si="0"/>
        <v>5.7518592516923817E-2</v>
      </c>
      <c r="E68">
        <f t="shared" ca="1" si="1"/>
        <v>0.99592119601039986</v>
      </c>
      <c r="H68" t="s">
        <v>64</v>
      </c>
      <c r="I68">
        <f t="shared" ca="1" si="2"/>
        <v>0.19473258784123371</v>
      </c>
      <c r="J68">
        <f t="shared" ca="1" si="3"/>
        <v>0.1305538508629597</v>
      </c>
      <c r="K68">
        <f t="shared" ca="1" si="4"/>
        <v>0.6640149554828062</v>
      </c>
      <c r="N68" t="s">
        <v>64</v>
      </c>
      <c r="O68">
        <v>0.63942797492801018</v>
      </c>
      <c r="P68">
        <v>0.69677081131014318</v>
      </c>
    </row>
    <row r="69" spans="3:16" x14ac:dyDescent="0.25">
      <c r="C69" t="s">
        <v>65</v>
      </c>
      <c r="D69">
        <f t="shared" ca="1" si="0"/>
        <v>0.77028926337708559</v>
      </c>
      <c r="E69">
        <f t="shared" ca="1" si="1"/>
        <v>0.3530471187701143</v>
      </c>
      <c r="H69" t="s">
        <v>65</v>
      </c>
      <c r="I69">
        <f t="shared" ca="1" si="2"/>
        <v>0.95933805699972585</v>
      </c>
      <c r="J69">
        <f t="shared" ca="1" si="3"/>
        <v>0.83048795929325614</v>
      </c>
      <c r="K69">
        <f t="shared" ca="1" si="4"/>
        <v>0.5653440834034924</v>
      </c>
      <c r="N69" t="s">
        <v>65</v>
      </c>
      <c r="O69">
        <v>0.63462780536496821</v>
      </c>
      <c r="P69">
        <v>0.59666699970122861</v>
      </c>
    </row>
    <row r="70" spans="3:16" x14ac:dyDescent="0.25">
      <c r="C70" t="s">
        <v>66</v>
      </c>
      <c r="D70">
        <f t="shared" ca="1" si="0"/>
        <v>0.52531494696084358</v>
      </c>
      <c r="E70">
        <f t="shared" ca="1" si="1"/>
        <v>0.67843596267343564</v>
      </c>
      <c r="H70" t="s">
        <v>66</v>
      </c>
      <c r="I70">
        <f t="shared" ca="1" si="2"/>
        <v>0.15366606068574562</v>
      </c>
      <c r="J70">
        <f t="shared" ca="1" si="3"/>
        <v>0.10279644869417394</v>
      </c>
      <c r="K70">
        <f t="shared" ca="1" si="4"/>
        <v>0.66502175200774105</v>
      </c>
      <c r="N70" t="s">
        <v>66</v>
      </c>
      <c r="O70">
        <v>0.63861894872613656</v>
      </c>
      <c r="P70">
        <v>0.61599594827853144</v>
      </c>
    </row>
    <row r="71" spans="3:16" x14ac:dyDescent="0.25">
      <c r="C71" t="s">
        <v>67</v>
      </c>
      <c r="D71">
        <f t="shared" ca="1" si="0"/>
        <v>0.8255989554705554</v>
      </c>
      <c r="E71">
        <f t="shared" ca="1" si="1"/>
        <v>0.2705318968035596</v>
      </c>
      <c r="H71" t="s">
        <v>67</v>
      </c>
      <c r="I71">
        <f t="shared" ca="1" si="2"/>
        <v>0.86921360512777857</v>
      </c>
      <c r="J71">
        <f t="shared" ca="1" si="3"/>
        <v>0.68804642953298345</v>
      </c>
      <c r="K71">
        <f t="shared" ca="1" si="4"/>
        <v>0.59582783288917351</v>
      </c>
      <c r="N71" t="s">
        <v>67</v>
      </c>
      <c r="O71">
        <v>0.63491817045468513</v>
      </c>
      <c r="P71">
        <v>0.66233411271680753</v>
      </c>
    </row>
    <row r="72" spans="3:16" x14ac:dyDescent="0.25">
      <c r="C72" t="s">
        <v>68</v>
      </c>
      <c r="D72">
        <f t="shared" ref="D72:D135" ca="1" si="5">RAND()</f>
        <v>0.52087951678681998</v>
      </c>
      <c r="E72">
        <f t="shared" ref="E72:E135" ca="1" si="6">COS((D72*3.1416)/2)</f>
        <v>0.68353795583852073</v>
      </c>
      <c r="H72" t="s">
        <v>68</v>
      </c>
      <c r="I72">
        <f t="shared" ref="I72:I135" ca="1" si="7">RAND()</f>
        <v>0.48956917071424311</v>
      </c>
      <c r="J72">
        <f t="shared" ref="J72:J135" ca="1" si="8">2*COS((ACOS(-I72)/3)-(2*3.1416/3))</f>
        <v>0.33940339248274592</v>
      </c>
      <c r="K72">
        <f t="shared" ref="K72:K135" ca="1" si="9">COS((3.1416*J72)/2)/(1.5*(1-(J72^2)))</f>
        <v>0.6488945660449531</v>
      </c>
      <c r="N72" t="s">
        <v>68</v>
      </c>
      <c r="O72">
        <v>0.63708893329959004</v>
      </c>
      <c r="P72">
        <v>0.63766733257655539</v>
      </c>
    </row>
    <row r="73" spans="3:16" x14ac:dyDescent="0.25">
      <c r="C73" t="s">
        <v>69</v>
      </c>
      <c r="D73">
        <f t="shared" ca="1" si="5"/>
        <v>0.28709337421609749</v>
      </c>
      <c r="E73">
        <f t="shared" ca="1" si="6"/>
        <v>0.90002638694080717</v>
      </c>
      <c r="H73" t="s">
        <v>69</v>
      </c>
      <c r="I73">
        <f t="shared" ca="1" si="7"/>
        <v>0.97346039028445863</v>
      </c>
      <c r="J73">
        <f t="shared" ca="1" si="8"/>
        <v>0.86385096469268152</v>
      </c>
      <c r="K73">
        <f t="shared" ca="1" si="9"/>
        <v>0.5575649491119965</v>
      </c>
      <c r="N73" t="s">
        <v>69</v>
      </c>
      <c r="O73">
        <v>0.63596149940701996</v>
      </c>
      <c r="P73">
        <v>0.67510991396929509</v>
      </c>
    </row>
    <row r="74" spans="3:16" x14ac:dyDescent="0.25">
      <c r="C74" t="s">
        <v>70</v>
      </c>
      <c r="D74">
        <f t="shared" ca="1" si="5"/>
        <v>0.69565099148289899</v>
      </c>
      <c r="E74">
        <f t="shared" ca="1" si="6"/>
        <v>0.46006441806542964</v>
      </c>
      <c r="H74" t="s">
        <v>70</v>
      </c>
      <c r="I74">
        <f t="shared" ca="1" si="7"/>
        <v>0.20880129413441872</v>
      </c>
      <c r="J74">
        <f t="shared" ca="1" si="8"/>
        <v>0.14010806990519756</v>
      </c>
      <c r="K74">
        <f t="shared" ca="1" si="9"/>
        <v>0.66361331228896314</v>
      </c>
      <c r="N74" t="s">
        <v>70</v>
      </c>
      <c r="O74">
        <v>0.63488546142222557</v>
      </c>
      <c r="P74">
        <v>0.63851599570875994</v>
      </c>
    </row>
    <row r="75" spans="3:16" x14ac:dyDescent="0.25">
      <c r="C75" t="s">
        <v>71</v>
      </c>
      <c r="D75">
        <f t="shared" ca="1" si="5"/>
        <v>0.11604014907040938</v>
      </c>
      <c r="E75">
        <f t="shared" ca="1" si="6"/>
        <v>0.98343369785113888</v>
      </c>
      <c r="H75" t="s">
        <v>71</v>
      </c>
      <c r="I75">
        <f t="shared" ca="1" si="7"/>
        <v>0.33348870519141394</v>
      </c>
      <c r="J75">
        <f t="shared" ca="1" si="8"/>
        <v>0.22617314460329205</v>
      </c>
      <c r="K75">
        <f t="shared" ca="1" si="9"/>
        <v>0.65873136255929177</v>
      </c>
      <c r="N75" t="s">
        <v>71</v>
      </c>
      <c r="O75">
        <v>0.63671102971883298</v>
      </c>
      <c r="P75">
        <v>0.64513192646032846</v>
      </c>
    </row>
    <row r="76" spans="3:16" x14ac:dyDescent="0.25">
      <c r="C76" t="s">
        <v>72</v>
      </c>
      <c r="D76">
        <f t="shared" ca="1" si="5"/>
        <v>0.2437012942662149</v>
      </c>
      <c r="E76">
        <f t="shared" ca="1" si="6"/>
        <v>0.92762018072610875</v>
      </c>
      <c r="H76" t="s">
        <v>72</v>
      </c>
      <c r="I76">
        <f t="shared" ca="1" si="7"/>
        <v>0.90999738076360182</v>
      </c>
      <c r="J76">
        <f t="shared" ca="1" si="8"/>
        <v>0.74386068675122485</v>
      </c>
      <c r="K76">
        <f t="shared" ca="1" si="9"/>
        <v>0.58443056273141591</v>
      </c>
      <c r="N76" t="s">
        <v>72</v>
      </c>
      <c r="O76">
        <v>0.63819544565372499</v>
      </c>
      <c r="P76">
        <v>0.62861379852535859</v>
      </c>
    </row>
    <row r="77" spans="3:16" x14ac:dyDescent="0.25">
      <c r="C77" t="s">
        <v>73</v>
      </c>
      <c r="D77">
        <f t="shared" ca="1" si="5"/>
        <v>0.44940253364783411</v>
      </c>
      <c r="E77">
        <f t="shared" ca="1" si="6"/>
        <v>0.76101406540149652</v>
      </c>
      <c r="H77" t="s">
        <v>73</v>
      </c>
      <c r="I77">
        <f t="shared" ca="1" si="7"/>
        <v>0.96850593144913133</v>
      </c>
      <c r="J77">
        <f t="shared" ca="1" si="8"/>
        <v>0.85136250128347102</v>
      </c>
      <c r="K77">
        <f t="shared" ca="1" si="9"/>
        <v>0.56050371979653202</v>
      </c>
      <c r="N77" t="s">
        <v>73</v>
      </c>
      <c r="O77">
        <v>0.63522993706302489</v>
      </c>
      <c r="P77">
        <v>0.64441423339537873</v>
      </c>
    </row>
    <row r="78" spans="3:16" x14ac:dyDescent="0.25">
      <c r="C78" t="s">
        <v>74</v>
      </c>
      <c r="D78">
        <f t="shared" ca="1" si="5"/>
        <v>0.16090511461056889</v>
      </c>
      <c r="E78">
        <f t="shared" ca="1" si="6"/>
        <v>0.96822845949145753</v>
      </c>
      <c r="H78" t="s">
        <v>74</v>
      </c>
      <c r="I78">
        <f t="shared" ca="1" si="7"/>
        <v>0.41212325331097921</v>
      </c>
      <c r="J78">
        <f t="shared" ca="1" si="8"/>
        <v>0.28223377277849576</v>
      </c>
      <c r="K78">
        <f t="shared" ca="1" si="9"/>
        <v>0.65434009450335973</v>
      </c>
      <c r="N78" t="s">
        <v>74</v>
      </c>
      <c r="O78">
        <v>0.63883504503475241</v>
      </c>
      <c r="P78">
        <v>0.6554679735676513</v>
      </c>
    </row>
    <row r="79" spans="3:16" x14ac:dyDescent="0.25">
      <c r="C79" t="s">
        <v>75</v>
      </c>
      <c r="D79">
        <f t="shared" ca="1" si="5"/>
        <v>0.58112674841543543</v>
      </c>
      <c r="E79">
        <f t="shared" ca="1" si="6"/>
        <v>0.61150591618431516</v>
      </c>
      <c r="H79" t="s">
        <v>75</v>
      </c>
      <c r="I79">
        <f t="shared" ca="1" si="7"/>
        <v>0.5933576334911872</v>
      </c>
      <c r="J79">
        <f t="shared" ca="1" si="8"/>
        <v>0.42031558148140047</v>
      </c>
      <c r="K79">
        <f t="shared" ca="1" si="9"/>
        <v>0.63955362201139321</v>
      </c>
      <c r="N79" t="s">
        <v>75</v>
      </c>
      <c r="O79">
        <v>0.63658073238403656</v>
      </c>
      <c r="P79">
        <v>0.66714441826649395</v>
      </c>
    </row>
    <row r="80" spans="3:16" x14ac:dyDescent="0.25">
      <c r="C80" t="s">
        <v>76</v>
      </c>
      <c r="D80">
        <f t="shared" ca="1" si="5"/>
        <v>0.67168114484482988</v>
      </c>
      <c r="E80">
        <f t="shared" ca="1" si="6"/>
        <v>0.49316097059396519</v>
      </c>
      <c r="H80" t="s">
        <v>76</v>
      </c>
      <c r="I80">
        <f t="shared" ca="1" si="7"/>
        <v>0.5906844054550594</v>
      </c>
      <c r="J80">
        <f t="shared" ca="1" si="8"/>
        <v>0.41815338744761599</v>
      </c>
      <c r="K80">
        <f t="shared" ca="1" si="9"/>
        <v>0.63982770223207408</v>
      </c>
      <c r="N80" t="s">
        <v>76</v>
      </c>
      <c r="O80">
        <v>0.63347086769931149</v>
      </c>
      <c r="P80">
        <v>0.64956139958064696</v>
      </c>
    </row>
    <row r="81" spans="3:16" x14ac:dyDescent="0.25">
      <c r="C81" t="s">
        <v>77</v>
      </c>
      <c r="D81">
        <f t="shared" ca="1" si="5"/>
        <v>0.28141735017838931</v>
      </c>
      <c r="E81">
        <f t="shared" ca="1" si="6"/>
        <v>0.90387642696999571</v>
      </c>
      <c r="H81" t="s">
        <v>77</v>
      </c>
      <c r="I81">
        <f t="shared" ca="1" si="7"/>
        <v>0.40190558467708759</v>
      </c>
      <c r="J81">
        <f t="shared" ca="1" si="8"/>
        <v>0.27484896288762256</v>
      </c>
      <c r="K81">
        <f t="shared" ca="1" si="9"/>
        <v>0.6549726113111789</v>
      </c>
      <c r="N81" t="s">
        <v>77</v>
      </c>
      <c r="O81">
        <v>0.63260157813034212</v>
      </c>
      <c r="P81">
        <v>0.65103738407297618</v>
      </c>
    </row>
    <row r="82" spans="3:16" x14ac:dyDescent="0.25">
      <c r="C82" t="s">
        <v>78</v>
      </c>
      <c r="D82">
        <f t="shared" ca="1" si="5"/>
        <v>0.75569282501934398</v>
      </c>
      <c r="E82">
        <f t="shared" ca="1" si="6"/>
        <v>0.37440408921327745</v>
      </c>
      <c r="H82" t="s">
        <v>78</v>
      </c>
      <c r="I82">
        <f t="shared" ca="1" si="7"/>
        <v>0.39356498973409948</v>
      </c>
      <c r="J82">
        <f t="shared" ca="1" si="8"/>
        <v>0.26884480086616613</v>
      </c>
      <c r="K82">
        <f t="shared" ca="1" si="9"/>
        <v>0.65547483165399978</v>
      </c>
      <c r="N82" t="s">
        <v>78</v>
      </c>
      <c r="O82">
        <v>0.63557972721591816</v>
      </c>
      <c r="P82">
        <v>0.63263144515820369</v>
      </c>
    </row>
    <row r="83" spans="3:16" x14ac:dyDescent="0.25">
      <c r="C83" t="s">
        <v>79</v>
      </c>
      <c r="D83">
        <f t="shared" ca="1" si="5"/>
        <v>0.31396324654404761</v>
      </c>
      <c r="E83">
        <f t="shared" ca="1" si="6"/>
        <v>0.88083490213756321</v>
      </c>
      <c r="H83" t="s">
        <v>79</v>
      </c>
      <c r="I83">
        <f t="shared" ca="1" si="7"/>
        <v>0.27372913480756311</v>
      </c>
      <c r="J83">
        <f t="shared" ca="1" si="8"/>
        <v>0.18457261699753924</v>
      </c>
      <c r="K83">
        <f t="shared" ca="1" si="9"/>
        <v>0.66137430047734325</v>
      </c>
      <c r="N83" t="s">
        <v>79</v>
      </c>
      <c r="O83">
        <v>0.63683597544366821</v>
      </c>
      <c r="P83">
        <v>0.66294780432649902</v>
      </c>
    </row>
    <row r="84" spans="3:16" x14ac:dyDescent="0.25">
      <c r="C84" t="s">
        <v>80</v>
      </c>
      <c r="D84">
        <f t="shared" ca="1" si="5"/>
        <v>2.3354725015813038E-2</v>
      </c>
      <c r="E84">
        <f t="shared" ca="1" si="6"/>
        <v>0.99932715876703204</v>
      </c>
      <c r="H84" t="s">
        <v>80</v>
      </c>
      <c r="I84">
        <f t="shared" ca="1" si="7"/>
        <v>0.93771204916461504</v>
      </c>
      <c r="J84">
        <f t="shared" ca="1" si="8"/>
        <v>0.78863201364369517</v>
      </c>
      <c r="K84">
        <f t="shared" ca="1" si="9"/>
        <v>0.5747717211644725</v>
      </c>
      <c r="N84" t="s">
        <v>80</v>
      </c>
      <c r="O84">
        <v>0.63516682217162368</v>
      </c>
      <c r="P84">
        <v>0.62034862202774876</v>
      </c>
    </row>
    <row r="85" spans="3:16" x14ac:dyDescent="0.25">
      <c r="C85" t="s">
        <v>81</v>
      </c>
      <c r="D85">
        <f t="shared" ca="1" si="5"/>
        <v>0.54885479783924096</v>
      </c>
      <c r="E85">
        <f t="shared" ca="1" si="6"/>
        <v>0.65081334471909058</v>
      </c>
      <c r="H85" t="s">
        <v>81</v>
      </c>
      <c r="I85">
        <f t="shared" ca="1" si="7"/>
        <v>0.44314863458122489</v>
      </c>
      <c r="J85">
        <f t="shared" ca="1" si="8"/>
        <v>0.30486900302755049</v>
      </c>
      <c r="K85">
        <f t="shared" ca="1" si="9"/>
        <v>0.65229993286596355</v>
      </c>
      <c r="N85" t="s">
        <v>81</v>
      </c>
      <c r="O85">
        <v>0.63865990282965768</v>
      </c>
      <c r="P85">
        <v>0.66711248654117972</v>
      </c>
    </row>
    <row r="86" spans="3:16" x14ac:dyDescent="0.25">
      <c r="C86" t="s">
        <v>82</v>
      </c>
      <c r="D86">
        <f t="shared" ca="1" si="5"/>
        <v>0.4333946930746303</v>
      </c>
      <c r="E86">
        <f t="shared" ca="1" si="6"/>
        <v>0.77708429968174997</v>
      </c>
      <c r="H86" t="s">
        <v>82</v>
      </c>
      <c r="I86">
        <f t="shared" ca="1" si="7"/>
        <v>0.16697927215778829</v>
      </c>
      <c r="J86">
        <f t="shared" ca="1" si="8"/>
        <v>0.11177535409048808</v>
      </c>
      <c r="K86">
        <f t="shared" ca="1" si="9"/>
        <v>0.66472216741887957</v>
      </c>
      <c r="N86" t="s">
        <v>82</v>
      </c>
      <c r="O86">
        <v>0.63538981966112706</v>
      </c>
      <c r="P86">
        <v>0.5990012299913644</v>
      </c>
    </row>
    <row r="87" spans="3:16" x14ac:dyDescent="0.25">
      <c r="C87" t="s">
        <v>83</v>
      </c>
      <c r="D87">
        <f t="shared" ca="1" si="5"/>
        <v>0.20070652185699089</v>
      </c>
      <c r="E87">
        <f t="shared" ca="1" si="6"/>
        <v>0.9507127544203775</v>
      </c>
      <c r="H87" t="s">
        <v>83</v>
      </c>
      <c r="I87">
        <f t="shared" ca="1" si="7"/>
        <v>0.89284408828232587</v>
      </c>
      <c r="J87">
        <f t="shared" ca="1" si="8"/>
        <v>0.71925535671026319</v>
      </c>
      <c r="K87">
        <f t="shared" ca="1" si="9"/>
        <v>0.58954487899442265</v>
      </c>
      <c r="N87" t="s">
        <v>83</v>
      </c>
      <c r="O87">
        <v>0.63849070550180498</v>
      </c>
      <c r="P87">
        <v>0.65370472191744644</v>
      </c>
    </row>
    <row r="88" spans="3:16" x14ac:dyDescent="0.25">
      <c r="C88" t="s">
        <v>84</v>
      </c>
      <c r="D88">
        <f t="shared" ca="1" si="5"/>
        <v>0.82618308843860044</v>
      </c>
      <c r="E88">
        <f t="shared" ca="1" si="6"/>
        <v>0.26964844171672725</v>
      </c>
      <c r="H88" t="s">
        <v>84</v>
      </c>
      <c r="I88">
        <f t="shared" ca="1" si="7"/>
        <v>0.4988150756847044</v>
      </c>
      <c r="J88">
        <f t="shared" ca="1" si="8"/>
        <v>0.34638872886093358</v>
      </c>
      <c r="K88">
        <f t="shared" ca="1" si="9"/>
        <v>0.64816306495679032</v>
      </c>
      <c r="N88" t="s">
        <v>84</v>
      </c>
      <c r="O88">
        <v>0.63724700726056982</v>
      </c>
      <c r="P88">
        <v>0.64985301748146651</v>
      </c>
    </row>
    <row r="89" spans="3:16" x14ac:dyDescent="0.25">
      <c r="C89" t="s">
        <v>85</v>
      </c>
      <c r="D89">
        <f t="shared" ca="1" si="5"/>
        <v>6.8513676356102726E-2</v>
      </c>
      <c r="E89">
        <f t="shared" ca="1" si="6"/>
        <v>0.99421441719331816</v>
      </c>
      <c r="H89" t="s">
        <v>85</v>
      </c>
      <c r="I89">
        <f t="shared" ca="1" si="7"/>
        <v>0.61213751359548352</v>
      </c>
      <c r="J89">
        <f t="shared" ca="1" si="8"/>
        <v>0.43564350199273782</v>
      </c>
      <c r="K89">
        <f t="shared" ca="1" si="9"/>
        <v>0.63757266645065325</v>
      </c>
      <c r="N89" t="s">
        <v>85</v>
      </c>
      <c r="O89">
        <v>0.63944638115787589</v>
      </c>
      <c r="P89">
        <v>0.62868581459864592</v>
      </c>
    </row>
    <row r="90" spans="3:16" x14ac:dyDescent="0.25">
      <c r="C90" t="s">
        <v>86</v>
      </c>
      <c r="D90">
        <f t="shared" ca="1" si="5"/>
        <v>0.88204403771579853</v>
      </c>
      <c r="E90">
        <f t="shared" ca="1" si="6"/>
        <v>0.18422327424567489</v>
      </c>
      <c r="H90" t="s">
        <v>86</v>
      </c>
      <c r="I90">
        <f t="shared" ca="1" si="7"/>
        <v>0.30418225178773284</v>
      </c>
      <c r="J90">
        <f t="shared" ca="1" si="8"/>
        <v>0.2056791824237191</v>
      </c>
      <c r="K90">
        <f t="shared" ca="1" si="9"/>
        <v>0.66009931199233596</v>
      </c>
      <c r="N90" t="s">
        <v>86</v>
      </c>
      <c r="O90">
        <v>0.63597979529030435</v>
      </c>
      <c r="P90">
        <v>0.63382767505427817</v>
      </c>
    </row>
    <row r="91" spans="3:16" x14ac:dyDescent="0.25">
      <c r="C91" t="s">
        <v>87</v>
      </c>
      <c r="D91">
        <f t="shared" ca="1" si="5"/>
        <v>0.31480939283200959</v>
      </c>
      <c r="E91">
        <f t="shared" ca="1" si="6"/>
        <v>0.88020488443862388</v>
      </c>
      <c r="H91" t="s">
        <v>87</v>
      </c>
      <c r="I91">
        <f t="shared" ca="1" si="7"/>
        <v>0.85021932942525724</v>
      </c>
      <c r="J91">
        <f t="shared" ca="1" si="8"/>
        <v>0.6647029807110012</v>
      </c>
      <c r="K91">
        <f t="shared" ca="1" si="9"/>
        <v>0.6003748595589401</v>
      </c>
      <c r="N91" t="s">
        <v>87</v>
      </c>
      <c r="O91">
        <v>0.63647309056914192</v>
      </c>
      <c r="P91">
        <v>0.62753901537298018</v>
      </c>
    </row>
    <row r="92" spans="3:16" x14ac:dyDescent="0.25">
      <c r="C92" t="s">
        <v>88</v>
      </c>
      <c r="D92">
        <f t="shared" ca="1" si="5"/>
        <v>0.5667039931073613</v>
      </c>
      <c r="E92">
        <f t="shared" ca="1" si="6"/>
        <v>0.62927320636203044</v>
      </c>
      <c r="H92" t="s">
        <v>88</v>
      </c>
      <c r="I92">
        <f t="shared" ca="1" si="7"/>
        <v>0.89398440239203669</v>
      </c>
      <c r="J92">
        <f t="shared" ca="1" si="8"/>
        <v>0.72083412262252045</v>
      </c>
      <c r="K92">
        <f t="shared" ca="1" si="9"/>
        <v>0.58922094226961819</v>
      </c>
      <c r="N92" t="s">
        <v>88</v>
      </c>
      <c r="O92">
        <v>0.6356038204685881</v>
      </c>
      <c r="P92">
        <v>0.63959950426655265</v>
      </c>
    </row>
    <row r="93" spans="3:16" x14ac:dyDescent="0.25">
      <c r="C93" t="s">
        <v>89</v>
      </c>
      <c r="D93">
        <f t="shared" ca="1" si="5"/>
        <v>0.5171470166164035</v>
      </c>
      <c r="E93">
        <f t="shared" ca="1" si="6"/>
        <v>0.68780568277104626</v>
      </c>
      <c r="H93" t="s">
        <v>89</v>
      </c>
      <c r="I93">
        <f t="shared" ca="1" si="7"/>
        <v>0.23764637631664909</v>
      </c>
      <c r="J93">
        <f t="shared" ca="1" si="8"/>
        <v>0.15978114113636696</v>
      </c>
      <c r="K93">
        <f t="shared" ca="1" si="9"/>
        <v>0.66269764856306568</v>
      </c>
      <c r="N93" t="s">
        <v>89</v>
      </c>
      <c r="O93">
        <v>0.63784247283035123</v>
      </c>
      <c r="P93">
        <v>0.64303769447845316</v>
      </c>
    </row>
    <row r="94" spans="3:16" x14ac:dyDescent="0.25">
      <c r="C94" t="s">
        <v>90</v>
      </c>
      <c r="D94">
        <f t="shared" ca="1" si="5"/>
        <v>0.56603335228923424</v>
      </c>
      <c r="E94">
        <f t="shared" ca="1" si="6"/>
        <v>0.63009157595429244</v>
      </c>
      <c r="H94" t="s">
        <v>90</v>
      </c>
      <c r="I94">
        <f t="shared" ca="1" si="7"/>
        <v>0.27669180623289558</v>
      </c>
      <c r="J94">
        <f t="shared" ca="1" si="8"/>
        <v>0.18661820181243327</v>
      </c>
      <c r="K94">
        <f t="shared" ca="1" si="9"/>
        <v>0.6612566926404797</v>
      </c>
      <c r="N94" t="s">
        <v>90</v>
      </c>
      <c r="O94">
        <v>0.6405885167853661</v>
      </c>
      <c r="P94">
        <v>0.63252955918191878</v>
      </c>
    </row>
    <row r="95" spans="3:16" x14ac:dyDescent="0.25">
      <c r="C95" t="s">
        <v>91</v>
      </c>
      <c r="D95">
        <f t="shared" ca="1" si="5"/>
        <v>0.48251754623723997</v>
      </c>
      <c r="E95">
        <f t="shared" ca="1" si="6"/>
        <v>0.72625463873133267</v>
      </c>
      <c r="H95" t="s">
        <v>91</v>
      </c>
      <c r="I95">
        <f t="shared" ca="1" si="7"/>
        <v>0.62679910794338345</v>
      </c>
      <c r="J95">
        <f t="shared" ca="1" si="8"/>
        <v>0.44778763462883658</v>
      </c>
      <c r="K95">
        <f t="shared" ca="1" si="9"/>
        <v>0.63595612509194677</v>
      </c>
      <c r="N95" t="s">
        <v>91</v>
      </c>
      <c r="O95">
        <v>0.64002722980443794</v>
      </c>
      <c r="P95">
        <v>0.65754409745585118</v>
      </c>
    </row>
    <row r="96" spans="3:16" x14ac:dyDescent="0.25">
      <c r="C96" t="s">
        <v>92</v>
      </c>
      <c r="D96">
        <f t="shared" ca="1" si="5"/>
        <v>0.16135150787478758</v>
      </c>
      <c r="E96">
        <f t="shared" ca="1" si="6"/>
        <v>0.96805287566033715</v>
      </c>
      <c r="H96" t="s">
        <v>92</v>
      </c>
      <c r="I96">
        <f t="shared" ca="1" si="7"/>
        <v>0.50059184060263184</v>
      </c>
      <c r="J96">
        <f t="shared" ca="1" si="8"/>
        <v>0.34773546641591813</v>
      </c>
      <c r="K96">
        <f t="shared" ca="1" si="9"/>
        <v>0.64802039189641991</v>
      </c>
      <c r="N96" t="s">
        <v>92</v>
      </c>
      <c r="O96">
        <v>0.6394317098887935</v>
      </c>
      <c r="P96">
        <v>0.67081206185106335</v>
      </c>
    </row>
    <row r="97" spans="3:16" x14ac:dyDescent="0.25">
      <c r="C97" t="s">
        <v>93</v>
      </c>
      <c r="D97">
        <f t="shared" ca="1" si="5"/>
        <v>6.0237507306291072E-3</v>
      </c>
      <c r="E97">
        <f t="shared" ca="1" si="6"/>
        <v>0.99995523459342617</v>
      </c>
      <c r="H97" t="s">
        <v>93</v>
      </c>
      <c r="I97">
        <f t="shared" ca="1" si="7"/>
        <v>0.33805424274449869</v>
      </c>
      <c r="J97">
        <f t="shared" ca="1" si="8"/>
        <v>0.22938341318983269</v>
      </c>
      <c r="K97">
        <f t="shared" ca="1" si="9"/>
        <v>0.65850551823201853</v>
      </c>
      <c r="N97" t="s">
        <v>93</v>
      </c>
      <c r="O97">
        <v>0.63551407631775747</v>
      </c>
      <c r="P97">
        <v>0.64162520363015285</v>
      </c>
    </row>
    <row r="98" spans="3:16" x14ac:dyDescent="0.25">
      <c r="C98" t="s">
        <v>94</v>
      </c>
      <c r="D98">
        <f t="shared" ca="1" si="5"/>
        <v>0.55976418604441969</v>
      </c>
      <c r="E98">
        <f t="shared" ca="1" si="6"/>
        <v>0.63770777242077648</v>
      </c>
      <c r="H98" t="s">
        <v>94</v>
      </c>
      <c r="I98">
        <f t="shared" ca="1" si="7"/>
        <v>0.51968533448836773</v>
      </c>
      <c r="J98">
        <f t="shared" ca="1" si="8"/>
        <v>0.36230058643722202</v>
      </c>
      <c r="K98">
        <f t="shared" ca="1" si="9"/>
        <v>0.64644352113650749</v>
      </c>
      <c r="N98" t="s">
        <v>94</v>
      </c>
      <c r="O98">
        <v>0.63832885230764547</v>
      </c>
      <c r="P98">
        <v>0.65464352859648212</v>
      </c>
    </row>
    <row r="99" spans="3:16" x14ac:dyDescent="0.25">
      <c r="C99" t="s">
        <v>95</v>
      </c>
      <c r="D99">
        <f t="shared" ca="1" si="5"/>
        <v>0.47455902297564934</v>
      </c>
      <c r="E99">
        <f t="shared" ca="1" si="6"/>
        <v>0.73479134601755702</v>
      </c>
      <c r="H99" t="s">
        <v>95</v>
      </c>
      <c r="I99">
        <f t="shared" ca="1" si="7"/>
        <v>1.744118420149865E-2</v>
      </c>
      <c r="J99">
        <f t="shared" ca="1" si="8"/>
        <v>1.1618185158909243E-2</v>
      </c>
      <c r="K99">
        <f t="shared" ca="1" si="9"/>
        <v>0.66664563610958683</v>
      </c>
      <c r="N99" t="s">
        <v>95</v>
      </c>
      <c r="O99">
        <v>0.64137855028131074</v>
      </c>
      <c r="P99">
        <v>0.63865331915477208</v>
      </c>
    </row>
    <row r="100" spans="3:16" x14ac:dyDescent="0.25">
      <c r="C100" t="s">
        <v>96</v>
      </c>
      <c r="D100">
        <f t="shared" ca="1" si="5"/>
        <v>0.96762430171811664</v>
      </c>
      <c r="E100">
        <f t="shared" ca="1" si="6"/>
        <v>5.0830159810411724E-2</v>
      </c>
      <c r="H100" t="s">
        <v>96</v>
      </c>
      <c r="I100">
        <f t="shared" ca="1" si="7"/>
        <v>0.95268945459008558</v>
      </c>
      <c r="J100">
        <f t="shared" ca="1" si="8"/>
        <v>0.81670797891562663</v>
      </c>
      <c r="K100">
        <f t="shared" ca="1" si="9"/>
        <v>0.5684893169899089</v>
      </c>
      <c r="N100" t="s">
        <v>96</v>
      </c>
      <c r="O100">
        <v>0.6396958541958272</v>
      </c>
      <c r="P100">
        <v>0.66318007427255221</v>
      </c>
    </row>
    <row r="101" spans="3:16" x14ac:dyDescent="0.25">
      <c r="C101" t="s">
        <v>97</v>
      </c>
      <c r="D101">
        <f t="shared" ca="1" si="5"/>
        <v>0.30094895544180422</v>
      </c>
      <c r="E101">
        <f t="shared" ca="1" si="6"/>
        <v>0.890328305852359</v>
      </c>
      <c r="H101" t="s">
        <v>97</v>
      </c>
      <c r="I101">
        <f t="shared" ca="1" si="7"/>
        <v>0.18163778045623824</v>
      </c>
      <c r="J101">
        <f t="shared" ca="1" si="8"/>
        <v>0.12168279500159424</v>
      </c>
      <c r="K101">
        <f t="shared" ca="1" si="9"/>
        <v>0.66436263621853608</v>
      </c>
      <c r="N101" t="s">
        <v>97</v>
      </c>
      <c r="O101">
        <v>0.63460871926944529</v>
      </c>
      <c r="P101">
        <v>0.64634773229050579</v>
      </c>
    </row>
    <row r="102" spans="3:16" x14ac:dyDescent="0.25">
      <c r="C102" t="s">
        <v>98</v>
      </c>
      <c r="D102">
        <f t="shared" ca="1" si="5"/>
        <v>1.9354255159280687E-3</v>
      </c>
      <c r="E102">
        <f t="shared" ca="1" si="6"/>
        <v>0.99999537869768829</v>
      </c>
      <c r="H102" t="s">
        <v>98</v>
      </c>
      <c r="I102">
        <f t="shared" ca="1" si="7"/>
        <v>0.14291276956995702</v>
      </c>
      <c r="J102">
        <f t="shared" ca="1" si="8"/>
        <v>9.5556327012282005E-2</v>
      </c>
      <c r="K102">
        <f t="shared" ca="1" si="9"/>
        <v>0.66524512588400098</v>
      </c>
      <c r="N102" t="s">
        <v>98</v>
      </c>
      <c r="O102">
        <v>0.63767414593768523</v>
      </c>
      <c r="P102">
        <v>0.64801986479158191</v>
      </c>
    </row>
    <row r="103" spans="3:16" x14ac:dyDescent="0.25">
      <c r="C103" t="s">
        <v>99</v>
      </c>
      <c r="D103">
        <f t="shared" ca="1" si="5"/>
        <v>0.69045132490162886</v>
      </c>
      <c r="E103">
        <f t="shared" ca="1" si="6"/>
        <v>0.46730091814000674</v>
      </c>
      <c r="H103" t="s">
        <v>99</v>
      </c>
      <c r="I103">
        <f t="shared" ca="1" si="7"/>
        <v>0.18054034085540638</v>
      </c>
      <c r="J103">
        <f t="shared" ca="1" si="8"/>
        <v>0.12094023877064028</v>
      </c>
      <c r="K103">
        <f t="shared" ca="1" si="9"/>
        <v>0.66439063558841138</v>
      </c>
      <c r="N103" t="s">
        <v>99</v>
      </c>
      <c r="O103">
        <v>0.63070073084125367</v>
      </c>
      <c r="P103">
        <v>0.62507574671446886</v>
      </c>
    </row>
    <row r="104" spans="3:16" x14ac:dyDescent="0.25">
      <c r="C104" t="s">
        <v>100</v>
      </c>
      <c r="D104">
        <f t="shared" ca="1" si="5"/>
        <v>0.46239960191047924</v>
      </c>
      <c r="E104">
        <f t="shared" ca="1" si="6"/>
        <v>0.74761194543822851</v>
      </c>
      <c r="H104" t="s">
        <v>100</v>
      </c>
      <c r="I104">
        <f t="shared" ca="1" si="7"/>
        <v>0.64321319309229996</v>
      </c>
      <c r="J104">
        <f t="shared" ca="1" si="8"/>
        <v>0.46158267652489665</v>
      </c>
      <c r="K104">
        <f t="shared" ca="1" si="9"/>
        <v>0.63406969069881303</v>
      </c>
      <c r="N104" t="s">
        <v>100</v>
      </c>
      <c r="O104">
        <v>0.63920793297648693</v>
      </c>
      <c r="P104">
        <v>0.62299008834520953</v>
      </c>
    </row>
    <row r="105" spans="3:16" x14ac:dyDescent="0.25">
      <c r="C105" t="s">
        <v>101</v>
      </c>
      <c r="D105">
        <f t="shared" ca="1" si="5"/>
        <v>0.84436108532067178</v>
      </c>
      <c r="E105">
        <f t="shared" ca="1" si="6"/>
        <v>0.24204593496091839</v>
      </c>
      <c r="H105" t="s">
        <v>101</v>
      </c>
      <c r="I105">
        <f t="shared" ca="1" si="7"/>
        <v>0.42984033422518952</v>
      </c>
      <c r="J105">
        <f t="shared" ca="1" si="8"/>
        <v>0.29511921593243068</v>
      </c>
      <c r="K105">
        <f t="shared" ca="1" si="9"/>
        <v>0.65319741627654926</v>
      </c>
      <c r="N105" t="s">
        <v>101</v>
      </c>
      <c r="O105">
        <v>0.64048995600219394</v>
      </c>
      <c r="P105">
        <v>0.62281961933132091</v>
      </c>
    </row>
    <row r="106" spans="3:16" x14ac:dyDescent="0.25">
      <c r="C106" t="s">
        <v>102</v>
      </c>
      <c r="D106">
        <f t="shared" ca="1" si="5"/>
        <v>0.29331436907630404</v>
      </c>
      <c r="E106">
        <f t="shared" ca="1" si="6"/>
        <v>0.89572452604937924</v>
      </c>
      <c r="H106" t="s">
        <v>102</v>
      </c>
      <c r="I106">
        <f t="shared" ca="1" si="7"/>
        <v>0.99320958687502914</v>
      </c>
      <c r="J106">
        <f t="shared" ca="1" si="8"/>
        <v>0.93193234594501362</v>
      </c>
      <c r="K106">
        <f t="shared" ca="1" si="9"/>
        <v>0.54099725671818122</v>
      </c>
      <c r="N106" t="s">
        <v>102</v>
      </c>
      <c r="O106">
        <v>0.63417586157667349</v>
      </c>
      <c r="P106">
        <v>0.67246582927506748</v>
      </c>
    </row>
    <row r="107" spans="3:16" x14ac:dyDescent="0.25">
      <c r="C107" t="s">
        <v>103</v>
      </c>
      <c r="D107">
        <f t="shared" ca="1" si="5"/>
        <v>0.60556629576868992</v>
      </c>
      <c r="E107">
        <f t="shared" ca="1" si="6"/>
        <v>0.58068741002321234</v>
      </c>
      <c r="H107" t="s">
        <v>103</v>
      </c>
      <c r="I107">
        <f t="shared" ca="1" si="7"/>
        <v>0.73252479593834463</v>
      </c>
      <c r="J107">
        <f t="shared" ca="1" si="8"/>
        <v>0.54117439471845663</v>
      </c>
      <c r="K107">
        <f t="shared" ca="1" si="9"/>
        <v>0.6221630488405856</v>
      </c>
      <c r="N107" t="s">
        <v>103</v>
      </c>
      <c r="O107">
        <v>0.63947456062992802</v>
      </c>
      <c r="P107">
        <v>0.64797033888799394</v>
      </c>
    </row>
    <row r="108" spans="3:16" x14ac:dyDescent="0.25">
      <c r="C108" t="s">
        <v>104</v>
      </c>
      <c r="D108">
        <f t="shared" ca="1" si="5"/>
        <v>0.1455987249715045</v>
      </c>
      <c r="E108">
        <f t="shared" ca="1" si="6"/>
        <v>0.97396047448127221</v>
      </c>
      <c r="H108" t="s">
        <v>104</v>
      </c>
      <c r="I108">
        <f t="shared" ca="1" si="7"/>
        <v>0.28323252678725663</v>
      </c>
      <c r="J108">
        <f t="shared" ca="1" si="8"/>
        <v>0.1911400260970432</v>
      </c>
      <c r="K108">
        <f t="shared" ca="1" si="9"/>
        <v>0.66099217325922532</v>
      </c>
      <c r="N108" t="s">
        <v>104</v>
      </c>
      <c r="O108">
        <v>0.63715436287772609</v>
      </c>
      <c r="P108">
        <v>0.63216217153564958</v>
      </c>
    </row>
    <row r="109" spans="3:16" x14ac:dyDescent="0.25">
      <c r="C109" t="s">
        <v>105</v>
      </c>
      <c r="D109">
        <f t="shared" ca="1" si="5"/>
        <v>0.44956422151517184</v>
      </c>
      <c r="E109">
        <f t="shared" ca="1" si="6"/>
        <v>0.76084927549966908</v>
      </c>
      <c r="H109" t="s">
        <v>105</v>
      </c>
      <c r="I109">
        <f t="shared" ca="1" si="7"/>
        <v>0.98015813800797758</v>
      </c>
      <c r="J109">
        <f t="shared" ca="1" si="8"/>
        <v>0.88266129988356046</v>
      </c>
      <c r="K109">
        <f t="shared" ca="1" si="9"/>
        <v>0.55307890864121101</v>
      </c>
      <c r="N109" t="s">
        <v>105</v>
      </c>
      <c r="O109">
        <v>0.63735796328477612</v>
      </c>
      <c r="P109">
        <v>0.610546550480909</v>
      </c>
    </row>
    <row r="110" spans="3:16" x14ac:dyDescent="0.25">
      <c r="C110" t="s">
        <v>106</v>
      </c>
      <c r="D110">
        <f t="shared" ca="1" si="5"/>
        <v>6.3001564995260773E-2</v>
      </c>
      <c r="E110">
        <f t="shared" ca="1" si="6"/>
        <v>0.99510717151497108</v>
      </c>
      <c r="H110" t="s">
        <v>106</v>
      </c>
      <c r="I110">
        <f t="shared" ca="1" si="7"/>
        <v>0.18278171237086793</v>
      </c>
      <c r="J110">
        <f t="shared" ca="1" si="8"/>
        <v>0.12245695418098287</v>
      </c>
      <c r="K110">
        <f t="shared" ca="1" si="9"/>
        <v>0.66433326364904843</v>
      </c>
      <c r="N110" t="s">
        <v>106</v>
      </c>
      <c r="O110">
        <v>0.63574820680674926</v>
      </c>
      <c r="P110">
        <v>0.64087480108340844</v>
      </c>
    </row>
    <row r="111" spans="3:16" x14ac:dyDescent="0.25">
      <c r="C111" t="s">
        <v>107</v>
      </c>
      <c r="D111">
        <f t="shared" ca="1" si="5"/>
        <v>0.24922309528371644</v>
      </c>
      <c r="E111">
        <f t="shared" ca="1" si="6"/>
        <v>0.92434550634430968</v>
      </c>
      <c r="H111" t="s">
        <v>107</v>
      </c>
      <c r="I111">
        <f t="shared" ca="1" si="7"/>
        <v>0.75945725391603125</v>
      </c>
      <c r="J111">
        <f t="shared" ca="1" si="8"/>
        <v>0.56708826527521816</v>
      </c>
      <c r="K111">
        <f t="shared" ca="1" si="9"/>
        <v>0.61791850387943148</v>
      </c>
      <c r="N111" t="s">
        <v>107</v>
      </c>
      <c r="O111">
        <v>0.63602505367770412</v>
      </c>
      <c r="P111">
        <v>0.64738047456552383</v>
      </c>
    </row>
    <row r="112" spans="3:16" x14ac:dyDescent="0.25">
      <c r="C112" t="s">
        <v>108</v>
      </c>
      <c r="D112">
        <f t="shared" ca="1" si="5"/>
        <v>0.48280513575392303</v>
      </c>
      <c r="E112">
        <f t="shared" ca="1" si="6"/>
        <v>0.72594402305785122</v>
      </c>
      <c r="H112" t="s">
        <v>108</v>
      </c>
      <c r="I112">
        <f t="shared" ca="1" si="7"/>
        <v>0.96642666475705952</v>
      </c>
      <c r="J112">
        <f t="shared" ca="1" si="8"/>
        <v>0.8464009170300747</v>
      </c>
      <c r="K112">
        <f t="shared" ca="1" si="9"/>
        <v>0.56166239635685733</v>
      </c>
      <c r="N112" t="s">
        <v>108</v>
      </c>
      <c r="O112">
        <v>0.63836253405522914</v>
      </c>
      <c r="P112">
        <v>0.64359662818925145</v>
      </c>
    </row>
    <row r="113" spans="3:16" x14ac:dyDescent="0.25">
      <c r="C113" t="s">
        <v>109</v>
      </c>
      <c r="D113">
        <f t="shared" ca="1" si="5"/>
        <v>0.66955210874710414</v>
      </c>
      <c r="E113">
        <f t="shared" ca="1" si="6"/>
        <v>0.49606753247461577</v>
      </c>
      <c r="H113" t="s">
        <v>109</v>
      </c>
      <c r="I113">
        <f t="shared" ca="1" si="7"/>
        <v>0.62089932690906902</v>
      </c>
      <c r="J113">
        <f t="shared" ca="1" si="8"/>
        <v>0.4428813663549433</v>
      </c>
      <c r="K113">
        <f t="shared" ca="1" si="9"/>
        <v>0.63661420346413222</v>
      </c>
      <c r="N113" t="s">
        <v>109</v>
      </c>
      <c r="O113">
        <v>0.63556547029532384</v>
      </c>
      <c r="P113">
        <v>0.64678106768716292</v>
      </c>
    </row>
    <row r="114" spans="3:16" x14ac:dyDescent="0.25">
      <c r="C114" t="s">
        <v>110</v>
      </c>
      <c r="D114">
        <f t="shared" ca="1" si="5"/>
        <v>0.21641814662090231</v>
      </c>
      <c r="E114">
        <f t="shared" ca="1" si="6"/>
        <v>0.94277146384041222</v>
      </c>
      <c r="H114" t="s">
        <v>110</v>
      </c>
      <c r="I114">
        <f t="shared" ca="1" si="7"/>
        <v>0.14117905079080229</v>
      </c>
      <c r="J114">
        <f t="shared" ca="1" si="8"/>
        <v>9.4389991694702066E-2</v>
      </c>
      <c r="K114">
        <f t="shared" ca="1" si="9"/>
        <v>0.66527958975549351</v>
      </c>
      <c r="N114" t="s">
        <v>110</v>
      </c>
      <c r="O114">
        <v>0.63946685392404601</v>
      </c>
      <c r="P114">
        <v>0.66874350883693479</v>
      </c>
    </row>
    <row r="115" spans="3:16" x14ac:dyDescent="0.25">
      <c r="C115" t="s">
        <v>111</v>
      </c>
      <c r="D115">
        <f t="shared" ca="1" si="5"/>
        <v>0.92735085645735782</v>
      </c>
      <c r="E115">
        <f t="shared" ca="1" si="6"/>
        <v>0.11386609975574488</v>
      </c>
      <c r="H115" t="s">
        <v>111</v>
      </c>
      <c r="I115">
        <f t="shared" ca="1" si="7"/>
        <v>0.71939775600851541</v>
      </c>
      <c r="J115">
        <f t="shared" ca="1" si="8"/>
        <v>0.52891252014637713</v>
      </c>
      <c r="K115">
        <f t="shared" ca="1" si="9"/>
        <v>0.62410930803887954</v>
      </c>
      <c r="N115" t="s">
        <v>111</v>
      </c>
      <c r="O115">
        <v>0.63544627438492118</v>
      </c>
      <c r="P115">
        <v>0.66158342427313865</v>
      </c>
    </row>
    <row r="116" spans="3:16" x14ac:dyDescent="0.25">
      <c r="C116" t="s">
        <v>112</v>
      </c>
      <c r="D116">
        <f t="shared" ca="1" si="5"/>
        <v>0.51903076142060833</v>
      </c>
      <c r="E116">
        <f t="shared" ca="1" si="6"/>
        <v>0.68565476186820729</v>
      </c>
      <c r="H116" t="s">
        <v>112</v>
      </c>
      <c r="I116">
        <f t="shared" ca="1" si="7"/>
        <v>0.40377029969750711</v>
      </c>
      <c r="J116">
        <f t="shared" ca="1" si="8"/>
        <v>0.27619423714004654</v>
      </c>
      <c r="K116">
        <f t="shared" ca="1" si="9"/>
        <v>0.65485860339738222</v>
      </c>
      <c r="N116" t="s">
        <v>112</v>
      </c>
      <c r="O116">
        <v>0.63977980173644722</v>
      </c>
      <c r="P116">
        <v>0.61788783887646548</v>
      </c>
    </row>
    <row r="117" spans="3:16" x14ac:dyDescent="0.25">
      <c r="C117" t="s">
        <v>113</v>
      </c>
      <c r="D117">
        <f t="shared" ca="1" si="5"/>
        <v>0.98166597361912333</v>
      </c>
      <c r="E117">
        <f t="shared" ca="1" si="6"/>
        <v>2.879143618796454E-2</v>
      </c>
      <c r="H117" t="s">
        <v>113</v>
      </c>
      <c r="I117">
        <f t="shared" ca="1" si="7"/>
        <v>0.99803162410701962</v>
      </c>
      <c r="J117">
        <f t="shared" ca="1" si="8"/>
        <v>0.96354434214575679</v>
      </c>
      <c r="K117">
        <f t="shared" ca="1" si="9"/>
        <v>0.53299570307636857</v>
      </c>
      <c r="N117" t="s">
        <v>113</v>
      </c>
      <c r="O117">
        <v>0.63546870892639273</v>
      </c>
      <c r="P117">
        <v>0.61992296234568622</v>
      </c>
    </row>
    <row r="118" spans="3:16" x14ac:dyDescent="0.25">
      <c r="C118" t="s">
        <v>114</v>
      </c>
      <c r="D118">
        <f t="shared" ca="1" si="5"/>
        <v>0.33487384683922616</v>
      </c>
      <c r="E118">
        <f t="shared" ca="1" si="6"/>
        <v>0.86481233533596957</v>
      </c>
      <c r="H118" t="s">
        <v>114</v>
      </c>
      <c r="I118">
        <f t="shared" ca="1" si="7"/>
        <v>2.530313936885642E-2</v>
      </c>
      <c r="J118">
        <f t="shared" ca="1" si="8"/>
        <v>1.686056519961885E-2</v>
      </c>
      <c r="K118">
        <f t="shared" ca="1" si="9"/>
        <v>0.66662237592951257</v>
      </c>
      <c r="N118" t="s">
        <v>114</v>
      </c>
      <c r="O118">
        <v>0.63672459060261533</v>
      </c>
      <c r="P118">
        <v>0.66485644756657181</v>
      </c>
    </row>
    <row r="119" spans="3:16" x14ac:dyDescent="0.25">
      <c r="C119" t="s">
        <v>115</v>
      </c>
      <c r="D119">
        <f t="shared" ca="1" si="5"/>
        <v>0.17554587141733646</v>
      </c>
      <c r="E119">
        <f t="shared" ca="1" si="6"/>
        <v>0.96222195973158031</v>
      </c>
      <c r="H119" t="s">
        <v>115</v>
      </c>
      <c r="I119">
        <f t="shared" ca="1" si="7"/>
        <v>0.65141131995137502</v>
      </c>
      <c r="J119">
        <f t="shared" ca="1" si="8"/>
        <v>0.46855657333182088</v>
      </c>
      <c r="K119">
        <f t="shared" ca="1" si="9"/>
        <v>0.63309584561938159</v>
      </c>
      <c r="N119" t="s">
        <v>115</v>
      </c>
      <c r="O119">
        <v>0.63944490566310752</v>
      </c>
      <c r="P119">
        <v>0.6355885692875094</v>
      </c>
    </row>
    <row r="120" spans="3:16" x14ac:dyDescent="0.25">
      <c r="C120" t="s">
        <v>116</v>
      </c>
      <c r="D120">
        <f t="shared" ca="1" si="5"/>
        <v>0.50170108212193132</v>
      </c>
      <c r="E120">
        <f t="shared" ca="1" si="6"/>
        <v>0.70521352535624104</v>
      </c>
      <c r="H120" t="s">
        <v>116</v>
      </c>
      <c r="I120">
        <f t="shared" ca="1" si="7"/>
        <v>0.13325006294824593</v>
      </c>
      <c r="J120">
        <f t="shared" ca="1" si="8"/>
        <v>8.9059125737785669E-2</v>
      </c>
      <c r="K120">
        <f t="shared" ca="1" si="9"/>
        <v>0.66543173825059598</v>
      </c>
      <c r="N120" t="s">
        <v>116</v>
      </c>
      <c r="O120">
        <v>0.63557959384288376</v>
      </c>
      <c r="P120">
        <v>0.63310425328638931</v>
      </c>
    </row>
    <row r="121" spans="3:16" x14ac:dyDescent="0.25">
      <c r="C121" t="s">
        <v>117</v>
      </c>
      <c r="D121">
        <f t="shared" ca="1" si="5"/>
        <v>0.61337807289268953</v>
      </c>
      <c r="E121">
        <f t="shared" ca="1" si="6"/>
        <v>0.57065400839628388</v>
      </c>
      <c r="H121" t="s">
        <v>117</v>
      </c>
      <c r="I121">
        <f t="shared" ca="1" si="7"/>
        <v>0.2444059503845164</v>
      </c>
      <c r="J121">
        <f t="shared" ca="1" si="8"/>
        <v>0.16440914869130271</v>
      </c>
      <c r="K121">
        <f t="shared" ca="1" si="9"/>
        <v>0.66246493470078616</v>
      </c>
      <c r="N121" t="s">
        <v>117</v>
      </c>
      <c r="O121">
        <v>0.634975744562575</v>
      </c>
      <c r="P121">
        <v>0.61448844974341965</v>
      </c>
    </row>
    <row r="122" spans="3:16" x14ac:dyDescent="0.25">
      <c r="C122" t="s">
        <v>118</v>
      </c>
      <c r="D122">
        <f t="shared" ca="1" si="5"/>
        <v>0.36905086309204038</v>
      </c>
      <c r="E122">
        <f t="shared" ca="1" si="6"/>
        <v>0.83662422813069981</v>
      </c>
      <c r="H122" t="s">
        <v>118</v>
      </c>
      <c r="I122">
        <f t="shared" ca="1" si="7"/>
        <v>0.96814660417863496</v>
      </c>
      <c r="J122">
        <f t="shared" ca="1" si="8"/>
        <v>0.85049426249575288</v>
      </c>
      <c r="K122">
        <f t="shared" ca="1" si="9"/>
        <v>0.56070684533089155</v>
      </c>
      <c r="N122" t="s">
        <v>118</v>
      </c>
      <c r="O122">
        <v>0.64052054658702351</v>
      </c>
      <c r="P122">
        <v>0.63650721632584495</v>
      </c>
    </row>
    <row r="123" spans="3:16" x14ac:dyDescent="0.25">
      <c r="C123" t="s">
        <v>119</v>
      </c>
      <c r="D123">
        <f t="shared" ca="1" si="5"/>
        <v>0.32507939292877952</v>
      </c>
      <c r="E123">
        <f t="shared" ca="1" si="6"/>
        <v>0.87243448068905483</v>
      </c>
      <c r="H123" t="s">
        <v>119</v>
      </c>
      <c r="I123">
        <f t="shared" ca="1" si="7"/>
        <v>0.30647372327624656</v>
      </c>
      <c r="J123">
        <f t="shared" ca="1" si="8"/>
        <v>0.20727486601611669</v>
      </c>
      <c r="K123">
        <f t="shared" ca="1" si="9"/>
        <v>0.65999739144931768</v>
      </c>
      <c r="N123" t="s">
        <v>119</v>
      </c>
      <c r="O123">
        <v>0.63926292209919267</v>
      </c>
      <c r="P123">
        <v>0.63522904106768485</v>
      </c>
    </row>
    <row r="124" spans="3:16" x14ac:dyDescent="0.25">
      <c r="C124" t="s">
        <v>120</v>
      </c>
      <c r="D124">
        <f t="shared" ca="1" si="5"/>
        <v>0.17201496994252508</v>
      </c>
      <c r="E124">
        <f t="shared" ca="1" si="6"/>
        <v>0.96371723323962177</v>
      </c>
      <c r="H124" t="s">
        <v>120</v>
      </c>
      <c r="I124">
        <f t="shared" ca="1" si="7"/>
        <v>0.76959204311319607</v>
      </c>
      <c r="J124">
        <f t="shared" ca="1" si="8"/>
        <v>0.57713261242937697</v>
      </c>
      <c r="K124">
        <f t="shared" ca="1" si="9"/>
        <v>0.61622580958106532</v>
      </c>
      <c r="N124" t="s">
        <v>120</v>
      </c>
      <c r="O124">
        <v>0.63344983504839913</v>
      </c>
      <c r="P124">
        <v>0.63338291112697798</v>
      </c>
    </row>
    <row r="125" spans="3:16" x14ac:dyDescent="0.25">
      <c r="C125" t="s">
        <v>121</v>
      </c>
      <c r="D125">
        <f t="shared" ca="1" si="5"/>
        <v>3.9660150334400845E-2</v>
      </c>
      <c r="E125">
        <f t="shared" ca="1" si="6"/>
        <v>0.99806009690072961</v>
      </c>
      <c r="H125" t="s">
        <v>121</v>
      </c>
      <c r="I125">
        <f t="shared" ca="1" si="7"/>
        <v>0.29770566917701979</v>
      </c>
      <c r="J125">
        <f t="shared" ca="1" si="8"/>
        <v>0.20117503997051642</v>
      </c>
      <c r="K125">
        <f t="shared" ca="1" si="9"/>
        <v>0.66038281439598812</v>
      </c>
      <c r="N125" t="s">
        <v>121</v>
      </c>
      <c r="O125">
        <v>0.63871819564162025</v>
      </c>
      <c r="P125">
        <v>0.63235307347170266</v>
      </c>
    </row>
    <row r="126" spans="3:16" x14ac:dyDescent="0.25">
      <c r="C126" t="s">
        <v>122</v>
      </c>
      <c r="D126">
        <f t="shared" ca="1" si="5"/>
        <v>0.24725495392908725</v>
      </c>
      <c r="E126">
        <f t="shared" ca="1" si="6"/>
        <v>0.92552069069516008</v>
      </c>
      <c r="H126" t="s">
        <v>122</v>
      </c>
      <c r="I126">
        <f t="shared" ca="1" si="7"/>
        <v>5.0039199773272758E-2</v>
      </c>
      <c r="J126">
        <f t="shared" ca="1" si="8"/>
        <v>3.3362061195591972E-2</v>
      </c>
      <c r="K126">
        <f t="shared" ca="1" si="9"/>
        <v>0.66649326883914828</v>
      </c>
      <c r="N126" t="s">
        <v>122</v>
      </c>
      <c r="O126">
        <v>0.63611971443003901</v>
      </c>
      <c r="P126">
        <v>0.6755350170513339</v>
      </c>
    </row>
    <row r="127" spans="3:16" x14ac:dyDescent="0.25">
      <c r="C127" t="s">
        <v>123</v>
      </c>
      <c r="D127">
        <f t="shared" ca="1" si="5"/>
        <v>0.52326298122164416</v>
      </c>
      <c r="E127">
        <f t="shared" ca="1" si="6"/>
        <v>0.6808004094247988</v>
      </c>
      <c r="H127" t="s">
        <v>123</v>
      </c>
      <c r="I127">
        <f t="shared" ca="1" si="7"/>
        <v>0.48025087775670083</v>
      </c>
      <c r="J127">
        <f t="shared" ca="1" si="8"/>
        <v>0.33240104048762958</v>
      </c>
      <c r="K127">
        <f t="shared" ca="1" si="9"/>
        <v>0.64961347798142721</v>
      </c>
      <c r="N127" t="s">
        <v>123</v>
      </c>
      <c r="O127">
        <v>0.63264584294334225</v>
      </c>
      <c r="P127">
        <v>0.61399045057464452</v>
      </c>
    </row>
    <row r="128" spans="3:16" x14ac:dyDescent="0.25">
      <c r="C128" t="s">
        <v>124</v>
      </c>
      <c r="D128">
        <f t="shared" ca="1" si="5"/>
        <v>0.6651165393173879</v>
      </c>
      <c r="E128">
        <f t="shared" ca="1" si="6"/>
        <v>0.50210511787545364</v>
      </c>
      <c r="H128" t="s">
        <v>124</v>
      </c>
      <c r="I128">
        <f t="shared" ca="1" si="7"/>
        <v>0.9555410600767319</v>
      </c>
      <c r="J128">
        <f t="shared" ca="1" si="8"/>
        <v>0.82249984129405085</v>
      </c>
      <c r="K128">
        <f t="shared" ca="1" si="9"/>
        <v>0.56717224175754122</v>
      </c>
      <c r="N128" t="s">
        <v>124</v>
      </c>
      <c r="O128">
        <v>0.64114536113029386</v>
      </c>
      <c r="P128">
        <v>0.65497726127012956</v>
      </c>
    </row>
    <row r="129" spans="3:16" x14ac:dyDescent="0.25">
      <c r="C129" t="s">
        <v>125</v>
      </c>
      <c r="D129">
        <f t="shared" ca="1" si="5"/>
        <v>0.1384568798977871</v>
      </c>
      <c r="E129">
        <f t="shared" ca="1" si="6"/>
        <v>0.97644254809726738</v>
      </c>
      <c r="H129" t="s">
        <v>125</v>
      </c>
      <c r="I129">
        <f t="shared" ca="1" si="7"/>
        <v>0.11733848071101782</v>
      </c>
      <c r="J129">
        <f t="shared" ca="1" si="8"/>
        <v>7.8376411407074367E-2</v>
      </c>
      <c r="K129">
        <f t="shared" ca="1" si="9"/>
        <v>0.66571008503103568</v>
      </c>
      <c r="N129" t="s">
        <v>125</v>
      </c>
      <c r="O129">
        <v>0.6390445657661078</v>
      </c>
      <c r="P129">
        <v>0.65480971265852428</v>
      </c>
    </row>
    <row r="130" spans="3:16" x14ac:dyDescent="0.25">
      <c r="C130" t="s">
        <v>126</v>
      </c>
      <c r="D130">
        <f t="shared" ca="1" si="5"/>
        <v>0.98625283522994966</v>
      </c>
      <c r="E130">
        <f t="shared" ca="1" si="6"/>
        <v>2.1588695883521657E-2</v>
      </c>
      <c r="H130" t="s">
        <v>126</v>
      </c>
      <c r="I130">
        <f t="shared" ca="1" si="7"/>
        <v>0.1442222635663567</v>
      </c>
      <c r="J130">
        <f t="shared" ca="1" si="8"/>
        <v>9.6437444782126791E-2</v>
      </c>
      <c r="K130">
        <f t="shared" ca="1" si="9"/>
        <v>0.66521881009750361</v>
      </c>
      <c r="N130" t="s">
        <v>126</v>
      </c>
      <c r="O130">
        <v>0.63808647435035792</v>
      </c>
      <c r="P130">
        <v>0.65565297334206207</v>
      </c>
    </row>
    <row r="131" spans="3:16" x14ac:dyDescent="0.25">
      <c r="C131" t="s">
        <v>127</v>
      </c>
      <c r="D131">
        <f t="shared" ca="1" si="5"/>
        <v>0.33889121420176216</v>
      </c>
      <c r="E131">
        <f t="shared" ca="1" si="6"/>
        <v>0.86162667480781097</v>
      </c>
      <c r="H131" t="s">
        <v>127</v>
      </c>
      <c r="I131">
        <f t="shared" ca="1" si="7"/>
        <v>0.72611164658001259</v>
      </c>
      <c r="J131">
        <f t="shared" ca="1" si="8"/>
        <v>0.535155745649884</v>
      </c>
      <c r="K131">
        <f t="shared" ca="1" si="9"/>
        <v>0.62312337818753738</v>
      </c>
      <c r="N131" t="s">
        <v>127</v>
      </c>
      <c r="O131">
        <v>0.63775666643706375</v>
      </c>
      <c r="P131">
        <v>0.63135996281793683</v>
      </c>
    </row>
    <row r="132" spans="3:16" x14ac:dyDescent="0.25">
      <c r="C132" t="s">
        <v>128</v>
      </c>
      <c r="D132">
        <f t="shared" ca="1" si="5"/>
        <v>0.3197438349173688</v>
      </c>
      <c r="E132">
        <f t="shared" ca="1" si="6"/>
        <v>0.87649989326847366</v>
      </c>
      <c r="H132" t="s">
        <v>128</v>
      </c>
      <c r="I132">
        <f t="shared" ca="1" si="7"/>
        <v>0.92000048692558622</v>
      </c>
      <c r="J132">
        <f t="shared" ca="1" si="8"/>
        <v>0.75918479448323251</v>
      </c>
      <c r="K132">
        <f t="shared" ca="1" si="9"/>
        <v>0.58117522938386579</v>
      </c>
      <c r="N132" t="s">
        <v>128</v>
      </c>
      <c r="O132">
        <v>0.63320162428470861</v>
      </c>
      <c r="P132">
        <v>0.63169642350530897</v>
      </c>
    </row>
    <row r="133" spans="3:16" x14ac:dyDescent="0.25">
      <c r="C133" t="s">
        <v>129</v>
      </c>
      <c r="D133">
        <f t="shared" ca="1" si="5"/>
        <v>0.47416821597661318</v>
      </c>
      <c r="E133">
        <f t="shared" ca="1" si="6"/>
        <v>0.73520759792615287</v>
      </c>
      <c r="H133" t="s">
        <v>129</v>
      </c>
      <c r="I133">
        <f t="shared" ca="1" si="7"/>
        <v>4.1989919063862624E-2</v>
      </c>
      <c r="J133">
        <f t="shared" ca="1" si="8"/>
        <v>2.7990802923513362E-2</v>
      </c>
      <c r="K133">
        <f t="shared" ca="1" si="9"/>
        <v>0.6665446045653266</v>
      </c>
      <c r="N133" t="s">
        <v>129</v>
      </c>
      <c r="O133">
        <v>0.63930412857788876</v>
      </c>
      <c r="P133">
        <v>0.6362385531076673</v>
      </c>
    </row>
    <row r="134" spans="3:16" x14ac:dyDescent="0.25">
      <c r="C134" t="s">
        <v>130</v>
      </c>
      <c r="D134">
        <f t="shared" ca="1" si="5"/>
        <v>0.18062725529090573</v>
      </c>
      <c r="E134">
        <f t="shared" ca="1" si="6"/>
        <v>0.96001814663067997</v>
      </c>
      <c r="H134" t="s">
        <v>130</v>
      </c>
      <c r="I134">
        <f t="shared" ca="1" si="7"/>
        <v>0.82459199437686626</v>
      </c>
      <c r="J134">
        <f t="shared" ca="1" si="8"/>
        <v>0.63512023897466507</v>
      </c>
      <c r="K134">
        <f t="shared" ca="1" si="9"/>
        <v>0.60594551911379879</v>
      </c>
      <c r="N134" t="s">
        <v>130</v>
      </c>
      <c r="O134">
        <v>0.63933961437421727</v>
      </c>
      <c r="P134">
        <v>0.64819764937301017</v>
      </c>
    </row>
    <row r="135" spans="3:16" x14ac:dyDescent="0.25">
      <c r="C135" t="s">
        <v>131</v>
      </c>
      <c r="D135">
        <f t="shared" ca="1" si="5"/>
        <v>0.1436310944377106</v>
      </c>
      <c r="E135">
        <f t="shared" ca="1" si="6"/>
        <v>0.97465655054764011</v>
      </c>
      <c r="H135" t="s">
        <v>131</v>
      </c>
      <c r="I135">
        <f t="shared" ca="1" si="7"/>
        <v>0.57379878916373528</v>
      </c>
      <c r="J135">
        <f t="shared" ca="1" si="8"/>
        <v>0.40460279039717417</v>
      </c>
      <c r="K135">
        <f t="shared" ca="1" si="9"/>
        <v>0.64151506926889179</v>
      </c>
      <c r="N135" t="s">
        <v>131</v>
      </c>
      <c r="O135">
        <v>0.63884144062303694</v>
      </c>
      <c r="P135">
        <v>0.65077241303647237</v>
      </c>
    </row>
    <row r="136" spans="3:16" x14ac:dyDescent="0.25">
      <c r="C136" t="s">
        <v>132</v>
      </c>
      <c r="D136">
        <f t="shared" ref="D136:D199" ca="1" si="10">RAND()</f>
        <v>9.488258032243202E-2</v>
      </c>
      <c r="E136">
        <f t="shared" ref="E136:E199" ca="1" si="11">COS((D136*3.1416)/2)</f>
        <v>0.98891385167186152</v>
      </c>
      <c r="H136" t="s">
        <v>132</v>
      </c>
      <c r="I136">
        <f t="shared" ref="I136:I199" ca="1" si="12">RAND()</f>
        <v>9.7390626360538968E-2</v>
      </c>
      <c r="J136">
        <f t="shared" ref="J136:J199" ca="1" si="13">2*COS((ACOS(-I136)/3)-(2*3.1416/3))</f>
        <v>6.5008914921273697E-2</v>
      </c>
      <c r="K136">
        <f t="shared" ref="K136:K199" ca="1" si="14">COS((3.1416*J136)/2)/(1.5*(1-(J136^2)))</f>
        <v>0.6660084509689248</v>
      </c>
      <c r="N136" t="s">
        <v>132</v>
      </c>
      <c r="O136">
        <v>0.63994952309454223</v>
      </c>
      <c r="P136">
        <v>0.65632012668681983</v>
      </c>
    </row>
    <row r="137" spans="3:16" x14ac:dyDescent="0.25">
      <c r="C137" t="s">
        <v>133</v>
      </c>
      <c r="D137">
        <f t="shared" ca="1" si="10"/>
        <v>8.6516361035552714E-2</v>
      </c>
      <c r="E137">
        <f t="shared" ca="1" si="11"/>
        <v>0.99077981218574773</v>
      </c>
      <c r="H137" t="s">
        <v>133</v>
      </c>
      <c r="I137">
        <f t="shared" ca="1" si="12"/>
        <v>0.70845681945014249</v>
      </c>
      <c r="J137">
        <f t="shared" ca="1" si="13"/>
        <v>0.51885915962645945</v>
      </c>
      <c r="K137">
        <f t="shared" ca="1" si="14"/>
        <v>0.62567493796259743</v>
      </c>
      <c r="N137" t="s">
        <v>133</v>
      </c>
      <c r="O137">
        <v>0.63463430882740535</v>
      </c>
      <c r="P137">
        <v>0.65199881922026892</v>
      </c>
    </row>
    <row r="138" spans="3:16" x14ac:dyDescent="0.25">
      <c r="C138" t="s">
        <v>134</v>
      </c>
      <c r="D138">
        <f t="shared" ca="1" si="10"/>
        <v>0.27124410918536457</v>
      </c>
      <c r="E138">
        <f t="shared" ca="1" si="11"/>
        <v>0.91059692631422851</v>
      </c>
      <c r="H138" t="s">
        <v>134</v>
      </c>
      <c r="I138">
        <f t="shared" ca="1" si="12"/>
        <v>3.1968062737838809E-2</v>
      </c>
      <c r="J138">
        <f t="shared" ca="1" si="13"/>
        <v>2.1305475299467327E-2</v>
      </c>
      <c r="K138">
        <f t="shared" ca="1" si="14"/>
        <v>0.6665959462499631</v>
      </c>
      <c r="N138" t="s">
        <v>134</v>
      </c>
      <c r="O138">
        <v>0.63444370496032332</v>
      </c>
      <c r="P138">
        <v>0.66016691328542376</v>
      </c>
    </row>
    <row r="139" spans="3:16" x14ac:dyDescent="0.25">
      <c r="C139" t="s">
        <v>135</v>
      </c>
      <c r="D139">
        <f t="shared" ca="1" si="10"/>
        <v>0.81862488863862359</v>
      </c>
      <c r="E139">
        <f t="shared" ca="1" si="11"/>
        <v>0.28106182126775964</v>
      </c>
      <c r="H139" t="s">
        <v>135</v>
      </c>
      <c r="I139">
        <f t="shared" ca="1" si="12"/>
        <v>0.52014719350832361</v>
      </c>
      <c r="J139">
        <f t="shared" ca="1" si="13"/>
        <v>0.36265507099646443</v>
      </c>
      <c r="K139">
        <f t="shared" ca="1" si="14"/>
        <v>0.64640437262102024</v>
      </c>
      <c r="N139" t="s">
        <v>135</v>
      </c>
      <c r="O139">
        <v>0.63572385554964783</v>
      </c>
      <c r="P139">
        <v>0.66182870560988305</v>
      </c>
    </row>
    <row r="140" spans="3:16" x14ac:dyDescent="0.25">
      <c r="C140" t="s">
        <v>136</v>
      </c>
      <c r="D140">
        <f t="shared" ca="1" si="10"/>
        <v>0.83215950545477468</v>
      </c>
      <c r="E140">
        <f t="shared" ca="1" si="11"/>
        <v>0.26059667009753007</v>
      </c>
      <c r="H140" t="s">
        <v>136</v>
      </c>
      <c r="I140">
        <f t="shared" ca="1" si="12"/>
        <v>0.47117517063449454</v>
      </c>
      <c r="J140">
        <f t="shared" ca="1" si="13"/>
        <v>0.32561604178719672</v>
      </c>
      <c r="K140">
        <f t="shared" ca="1" si="14"/>
        <v>0.65029631547762679</v>
      </c>
      <c r="N140" t="s">
        <v>136</v>
      </c>
      <c r="O140">
        <v>0.63831785333053259</v>
      </c>
      <c r="P140">
        <v>0.65377628584170455</v>
      </c>
    </row>
    <row r="141" spans="3:16" x14ac:dyDescent="0.25">
      <c r="C141" t="s">
        <v>137</v>
      </c>
      <c r="D141">
        <f t="shared" ca="1" si="10"/>
        <v>0.80301039481974368</v>
      </c>
      <c r="E141">
        <f t="shared" ca="1" si="11"/>
        <v>0.30451346944079516</v>
      </c>
      <c r="H141" t="s">
        <v>137</v>
      </c>
      <c r="I141">
        <f t="shared" ca="1" si="12"/>
        <v>0.48038131788777283</v>
      </c>
      <c r="J141">
        <f t="shared" ca="1" si="13"/>
        <v>0.33249880668328891</v>
      </c>
      <c r="K141">
        <f t="shared" ca="1" si="14"/>
        <v>0.64960353980630159</v>
      </c>
      <c r="N141" t="s">
        <v>137</v>
      </c>
      <c r="O141">
        <v>0.63973023854662658</v>
      </c>
      <c r="P141">
        <v>0.60972313363751562</v>
      </c>
    </row>
    <row r="142" spans="3:16" x14ac:dyDescent="0.25">
      <c r="C142" t="s">
        <v>138</v>
      </c>
      <c r="D142">
        <f t="shared" ca="1" si="10"/>
        <v>0.77654880580152674</v>
      </c>
      <c r="E142">
        <f t="shared" ca="1" si="11"/>
        <v>0.34383086978436345</v>
      </c>
      <c r="H142" t="s">
        <v>138</v>
      </c>
      <c r="I142">
        <f t="shared" ca="1" si="12"/>
        <v>0.20596280281476265</v>
      </c>
      <c r="J142">
        <f t="shared" ca="1" si="13"/>
        <v>0.13817837536575225</v>
      </c>
      <c r="K142">
        <f t="shared" ca="1" si="14"/>
        <v>0.66369670394640401</v>
      </c>
      <c r="N142" t="s">
        <v>138</v>
      </c>
      <c r="O142">
        <v>0.63766771798957145</v>
      </c>
      <c r="P142">
        <v>0.62750738689529451</v>
      </c>
    </row>
    <row r="143" spans="3:16" x14ac:dyDescent="0.25">
      <c r="C143" t="s">
        <v>139</v>
      </c>
      <c r="D143">
        <f t="shared" ca="1" si="10"/>
        <v>6.7905948627804746E-2</v>
      </c>
      <c r="E143">
        <f t="shared" ca="1" si="11"/>
        <v>0.99431650324807552</v>
      </c>
      <c r="H143" t="s">
        <v>139</v>
      </c>
      <c r="I143">
        <f t="shared" ca="1" si="12"/>
        <v>0.40280676129311888</v>
      </c>
      <c r="J143">
        <f t="shared" ca="1" si="13"/>
        <v>0.27549897021852188</v>
      </c>
      <c r="K143">
        <f t="shared" ca="1" si="14"/>
        <v>0.65491759285683304</v>
      </c>
      <c r="N143" t="s">
        <v>139</v>
      </c>
      <c r="O143">
        <v>0.63764973628635568</v>
      </c>
      <c r="P143">
        <v>0.5851908304787482</v>
      </c>
    </row>
    <row r="144" spans="3:16" x14ac:dyDescent="0.25">
      <c r="C144" t="s">
        <v>140</v>
      </c>
      <c r="D144">
        <f t="shared" ca="1" si="10"/>
        <v>0.48916473142196126</v>
      </c>
      <c r="E144">
        <f t="shared" ca="1" si="11"/>
        <v>0.71903749387918359</v>
      </c>
      <c r="H144" t="s">
        <v>140</v>
      </c>
      <c r="I144">
        <f t="shared" ca="1" si="12"/>
        <v>0.95153527456351517</v>
      </c>
      <c r="J144">
        <f t="shared" ca="1" si="13"/>
        <v>0.81441005872227001</v>
      </c>
      <c r="K144">
        <f t="shared" ca="1" si="14"/>
        <v>0.56900988761391857</v>
      </c>
      <c r="N144" t="s">
        <v>140</v>
      </c>
      <c r="O144">
        <v>0.63628400568567589</v>
      </c>
      <c r="P144">
        <v>0.63694765931095088</v>
      </c>
    </row>
    <row r="145" spans="3:16" x14ac:dyDescent="0.25">
      <c r="C145" t="s">
        <v>141</v>
      </c>
      <c r="D145">
        <f t="shared" ca="1" si="10"/>
        <v>0.8981512382920519</v>
      </c>
      <c r="E145">
        <f t="shared" ca="1" si="11"/>
        <v>0.15929881910389004</v>
      </c>
      <c r="H145" t="s">
        <v>141</v>
      </c>
      <c r="I145">
        <f t="shared" ca="1" si="12"/>
        <v>0.95554406420031002</v>
      </c>
      <c r="J145">
        <f t="shared" ca="1" si="13"/>
        <v>0.82250603267897515</v>
      </c>
      <c r="K145">
        <f t="shared" ca="1" si="14"/>
        <v>0.56717083002001112</v>
      </c>
      <c r="N145" t="s">
        <v>141</v>
      </c>
      <c r="O145">
        <v>0.63946706854287916</v>
      </c>
      <c r="P145">
        <v>0.66301925943693407</v>
      </c>
    </row>
    <row r="146" spans="3:16" x14ac:dyDescent="0.25">
      <c r="C146" t="s">
        <v>142</v>
      </c>
      <c r="D146">
        <f t="shared" ca="1" si="10"/>
        <v>0.97768597079211506</v>
      </c>
      <c r="E146">
        <f t="shared" ca="1" si="11"/>
        <v>3.504002953055356E-2</v>
      </c>
      <c r="H146" t="s">
        <v>142</v>
      </c>
      <c r="I146">
        <f t="shared" ca="1" si="12"/>
        <v>0.28776319792463445</v>
      </c>
      <c r="J146">
        <f t="shared" ca="1" si="13"/>
        <v>0.19427698521033174</v>
      </c>
      <c r="K146">
        <f t="shared" ca="1" si="14"/>
        <v>0.66080499248212454</v>
      </c>
      <c r="N146" t="s">
        <v>142</v>
      </c>
      <c r="O146">
        <v>0.63613513745156369</v>
      </c>
      <c r="P146">
        <v>0.62381023520494916</v>
      </c>
    </row>
    <row r="147" spans="3:16" x14ac:dyDescent="0.25">
      <c r="C147" t="s">
        <v>143</v>
      </c>
      <c r="D147">
        <f t="shared" ca="1" si="10"/>
        <v>1.9132327449227993E-2</v>
      </c>
      <c r="E147">
        <f t="shared" ca="1" si="11"/>
        <v>0.99954844078198379</v>
      </c>
      <c r="H147" t="s">
        <v>143</v>
      </c>
      <c r="I147">
        <f t="shared" ca="1" si="12"/>
        <v>0.8181959597745202</v>
      </c>
      <c r="J147">
        <f t="shared" ca="1" si="13"/>
        <v>0.62802651720617531</v>
      </c>
      <c r="K147">
        <f t="shared" ca="1" si="14"/>
        <v>0.60724897387658694</v>
      </c>
      <c r="N147" t="s">
        <v>143</v>
      </c>
      <c r="O147">
        <v>0.63522511180950714</v>
      </c>
      <c r="P147">
        <v>0.62718758689034815</v>
      </c>
    </row>
    <row r="148" spans="3:16" x14ac:dyDescent="0.25">
      <c r="C148" t="s">
        <v>144</v>
      </c>
      <c r="D148">
        <f t="shared" ca="1" si="10"/>
        <v>0.29095229725807514</v>
      </c>
      <c r="E148">
        <f t="shared" ca="1" si="11"/>
        <v>0.89736801005507139</v>
      </c>
      <c r="H148" t="s">
        <v>144</v>
      </c>
      <c r="I148">
        <f t="shared" ca="1" si="12"/>
        <v>1.7669014094728874E-2</v>
      </c>
      <c r="J148">
        <f t="shared" ca="1" si="13"/>
        <v>1.1770092567630376E-2</v>
      </c>
      <c r="K148">
        <f t="shared" ca="1" si="14"/>
        <v>0.66664508257310684</v>
      </c>
      <c r="N148" t="s">
        <v>144</v>
      </c>
      <c r="O148">
        <v>0.63793908890665696</v>
      </c>
      <c r="P148">
        <v>0.64363258622630726</v>
      </c>
    </row>
    <row r="149" spans="3:16" x14ac:dyDescent="0.25">
      <c r="C149" t="s">
        <v>145</v>
      </c>
      <c r="D149">
        <f t="shared" ca="1" si="10"/>
        <v>0.33117179880973702</v>
      </c>
      <c r="E149">
        <f t="shared" ca="1" si="11"/>
        <v>0.86771746923418802</v>
      </c>
      <c r="H149" t="s">
        <v>145</v>
      </c>
      <c r="I149">
        <f t="shared" ca="1" si="12"/>
        <v>0.34419313444260524</v>
      </c>
      <c r="J149">
        <f t="shared" ca="1" si="13"/>
        <v>0.2337078858450593</v>
      </c>
      <c r="K149">
        <f t="shared" ca="1" si="14"/>
        <v>0.6581963488433823</v>
      </c>
      <c r="N149" t="s">
        <v>145</v>
      </c>
      <c r="O149">
        <v>0.63338513901078153</v>
      </c>
      <c r="P149">
        <v>0.62049545730572375</v>
      </c>
    </row>
    <row r="150" spans="3:16" x14ac:dyDescent="0.25">
      <c r="C150" t="s">
        <v>146</v>
      </c>
      <c r="D150">
        <f t="shared" ca="1" si="10"/>
        <v>0.79613090458521774</v>
      </c>
      <c r="E150">
        <f t="shared" ca="1" si="11"/>
        <v>0.31478857995078408</v>
      </c>
      <c r="H150" t="s">
        <v>146</v>
      </c>
      <c r="I150">
        <f t="shared" ca="1" si="12"/>
        <v>0.21888741808490986</v>
      </c>
      <c r="J150">
        <f t="shared" ca="1" si="13"/>
        <v>0.14697365960573272</v>
      </c>
      <c r="K150">
        <f t="shared" ca="1" si="14"/>
        <v>0.66330730465026033</v>
      </c>
      <c r="N150" t="s">
        <v>146</v>
      </c>
      <c r="O150">
        <v>0.63525952940665098</v>
      </c>
      <c r="P150">
        <v>0.61012702607463898</v>
      </c>
    </row>
    <row r="151" spans="3:16" x14ac:dyDescent="0.25">
      <c r="C151" t="s">
        <v>147</v>
      </c>
      <c r="D151">
        <f t="shared" ca="1" si="10"/>
        <v>4.9722272292458514E-2</v>
      </c>
      <c r="E151">
        <f t="shared" ca="1" si="11"/>
        <v>0.99695145268429164</v>
      </c>
      <c r="H151" t="s">
        <v>147</v>
      </c>
      <c r="I151">
        <f t="shared" ca="1" si="12"/>
        <v>0.24098429928160048</v>
      </c>
      <c r="J151">
        <f t="shared" ca="1" si="13"/>
        <v>0.16206559103283164</v>
      </c>
      <c r="K151">
        <f t="shared" ca="1" si="14"/>
        <v>0.66258360064901167</v>
      </c>
      <c r="N151" t="s">
        <v>147</v>
      </c>
      <c r="O151">
        <v>0.63271780023581514</v>
      </c>
      <c r="P151">
        <v>0.60024653580344589</v>
      </c>
    </row>
    <row r="152" spans="3:16" x14ac:dyDescent="0.25">
      <c r="C152" t="s">
        <v>148</v>
      </c>
      <c r="D152">
        <f t="shared" ca="1" si="10"/>
        <v>8.183584992164139E-2</v>
      </c>
      <c r="E152">
        <f t="shared" ca="1" si="11"/>
        <v>0.99174910882361711</v>
      </c>
      <c r="H152" t="s">
        <v>148</v>
      </c>
      <c r="I152">
        <f t="shared" ca="1" si="12"/>
        <v>8.7360887169907198E-2</v>
      </c>
      <c r="J152">
        <f t="shared" ca="1" si="13"/>
        <v>5.8296874817216078E-2</v>
      </c>
      <c r="K152">
        <f t="shared" ca="1" si="14"/>
        <v>0.66613731576796842</v>
      </c>
      <c r="N152" t="s">
        <v>148</v>
      </c>
      <c r="O152">
        <v>0.64045780375843175</v>
      </c>
      <c r="P152">
        <v>0.64973309824929981</v>
      </c>
    </row>
    <row r="153" spans="3:16" x14ac:dyDescent="0.25">
      <c r="C153" t="s">
        <v>149</v>
      </c>
      <c r="D153">
        <f t="shared" ca="1" si="10"/>
        <v>0.70782062638442567</v>
      </c>
      <c r="E153">
        <f t="shared" ca="1" si="11"/>
        <v>0.44300851959878423</v>
      </c>
      <c r="H153" t="s">
        <v>149</v>
      </c>
      <c r="I153">
        <f t="shared" ca="1" si="12"/>
        <v>0.48329142465854191</v>
      </c>
      <c r="J153">
        <f t="shared" ca="1" si="13"/>
        <v>0.33468182628171611</v>
      </c>
      <c r="K153">
        <f t="shared" ca="1" si="14"/>
        <v>0.64938089832220813</v>
      </c>
      <c r="N153" t="s">
        <v>149</v>
      </c>
      <c r="O153">
        <v>0.63414184973739707</v>
      </c>
      <c r="P153">
        <v>0.65851512764441555</v>
      </c>
    </row>
    <row r="154" spans="3:16" x14ac:dyDescent="0.25">
      <c r="C154" t="s">
        <v>150</v>
      </c>
      <c r="D154">
        <f t="shared" ca="1" si="10"/>
        <v>0.1543078881011366</v>
      </c>
      <c r="E154">
        <f t="shared" ca="1" si="11"/>
        <v>0.97076785264561605</v>
      </c>
      <c r="H154" t="s">
        <v>150</v>
      </c>
      <c r="I154">
        <f t="shared" ca="1" si="12"/>
        <v>0.8739566473383078</v>
      </c>
      <c r="J154">
        <f t="shared" ca="1" si="13"/>
        <v>0.69409929797205128</v>
      </c>
      <c r="K154">
        <f t="shared" ca="1" si="14"/>
        <v>0.59462735680239476</v>
      </c>
      <c r="N154" t="s">
        <v>150</v>
      </c>
      <c r="O154">
        <v>0.63952338671577269</v>
      </c>
      <c r="P154">
        <v>0.63010140150421634</v>
      </c>
    </row>
    <row r="155" spans="3:16" x14ac:dyDescent="0.25">
      <c r="C155" t="s">
        <v>151</v>
      </c>
      <c r="D155">
        <f t="shared" ca="1" si="10"/>
        <v>0.22394844541874503</v>
      </c>
      <c r="E155">
        <f t="shared" ca="1" si="11"/>
        <v>0.93876148091767331</v>
      </c>
      <c r="H155" t="s">
        <v>151</v>
      </c>
      <c r="I155">
        <f t="shared" ca="1" si="12"/>
        <v>0.24558433648673705</v>
      </c>
      <c r="J155">
        <f t="shared" ca="1" si="13"/>
        <v>0.16521667753186228</v>
      </c>
      <c r="K155">
        <f t="shared" ca="1" si="14"/>
        <v>0.66242365449440743</v>
      </c>
      <c r="N155" t="s">
        <v>151</v>
      </c>
      <c r="O155">
        <v>0.63847776582949445</v>
      </c>
      <c r="P155">
        <v>0.64202457001563729</v>
      </c>
    </row>
    <row r="156" spans="3:16" x14ac:dyDescent="0.25">
      <c r="C156" t="s">
        <v>152</v>
      </c>
      <c r="D156">
        <f t="shared" ca="1" si="10"/>
        <v>0.51211883521297408</v>
      </c>
      <c r="E156">
        <f t="shared" ca="1" si="11"/>
        <v>0.69351748135404401</v>
      </c>
      <c r="H156" t="s">
        <v>152</v>
      </c>
      <c r="I156">
        <f t="shared" ca="1" si="12"/>
        <v>0.94893326448340376</v>
      </c>
      <c r="J156">
        <f t="shared" ca="1" si="13"/>
        <v>0.80932090588235983</v>
      </c>
      <c r="K156">
        <f t="shared" ca="1" si="14"/>
        <v>0.57015876433999535</v>
      </c>
      <c r="N156" t="s">
        <v>152</v>
      </c>
      <c r="O156">
        <v>0.63733144948570397</v>
      </c>
      <c r="P156">
        <v>0.68505028290711634</v>
      </c>
    </row>
    <row r="157" spans="3:16" x14ac:dyDescent="0.25">
      <c r="C157" t="s">
        <v>153</v>
      </c>
      <c r="D157">
        <f t="shared" ca="1" si="10"/>
        <v>0.77902645507617763</v>
      </c>
      <c r="E157">
        <f t="shared" ca="1" si="11"/>
        <v>0.34017366598404969</v>
      </c>
      <c r="H157" t="s">
        <v>153</v>
      </c>
      <c r="I157">
        <f t="shared" ca="1" si="12"/>
        <v>2.9481144410644977E-2</v>
      </c>
      <c r="J157">
        <f t="shared" ca="1" si="13"/>
        <v>1.9646833195451623E-2</v>
      </c>
      <c r="K157">
        <f t="shared" ca="1" si="14"/>
        <v>0.666606528526558</v>
      </c>
      <c r="N157" t="s">
        <v>153</v>
      </c>
      <c r="O157">
        <v>0.63495060020738614</v>
      </c>
      <c r="P157">
        <v>0.65170185417859694</v>
      </c>
    </row>
    <row r="158" spans="3:16" x14ac:dyDescent="0.25">
      <c r="C158" t="s">
        <v>154</v>
      </c>
      <c r="D158">
        <f t="shared" ca="1" si="10"/>
        <v>0.40835675119108494</v>
      </c>
      <c r="E158">
        <f t="shared" ca="1" si="11"/>
        <v>0.8012309054481398</v>
      </c>
      <c r="H158" t="s">
        <v>154</v>
      </c>
      <c r="I158">
        <f t="shared" ca="1" si="12"/>
        <v>0.85632554629057778</v>
      </c>
      <c r="J158">
        <f t="shared" ca="1" si="13"/>
        <v>0.67206100726770945</v>
      </c>
      <c r="K158">
        <f t="shared" ca="1" si="14"/>
        <v>0.59895586638688558</v>
      </c>
      <c r="N158" t="s">
        <v>154</v>
      </c>
      <c r="O158">
        <v>0.63657561530145212</v>
      </c>
      <c r="P158">
        <v>0.64443172811470162</v>
      </c>
    </row>
    <row r="159" spans="3:16" x14ac:dyDescent="0.25">
      <c r="C159" t="s">
        <v>155</v>
      </c>
      <c r="D159">
        <f t="shared" ca="1" si="10"/>
        <v>0.81522702900104382</v>
      </c>
      <c r="E159">
        <f t="shared" ca="1" si="11"/>
        <v>0.28618000083043538</v>
      </c>
      <c r="H159" t="s">
        <v>155</v>
      </c>
      <c r="I159">
        <f t="shared" ca="1" si="12"/>
        <v>0.16957946183087202</v>
      </c>
      <c r="J159">
        <f t="shared" ca="1" si="13"/>
        <v>0.11353110040826796</v>
      </c>
      <c r="K159">
        <f t="shared" ca="1" si="14"/>
        <v>0.66466066777148791</v>
      </c>
      <c r="N159" t="s">
        <v>155</v>
      </c>
      <c r="O159">
        <v>0.63677968254183182</v>
      </c>
      <c r="P159">
        <v>0.64323484870964587</v>
      </c>
    </row>
    <row r="160" spans="3:16" x14ac:dyDescent="0.25">
      <c r="C160" t="s">
        <v>156</v>
      </c>
      <c r="D160">
        <f t="shared" ca="1" si="10"/>
        <v>0.28387177152743748</v>
      </c>
      <c r="E160">
        <f t="shared" ca="1" si="11"/>
        <v>0.90222039559693556</v>
      </c>
      <c r="H160" t="s">
        <v>156</v>
      </c>
      <c r="I160">
        <f t="shared" ca="1" si="12"/>
        <v>0.28541464984490394</v>
      </c>
      <c r="J160">
        <f t="shared" ca="1" si="13"/>
        <v>0.19265039905845169</v>
      </c>
      <c r="K160">
        <f t="shared" ca="1" si="14"/>
        <v>0.66090242557984491</v>
      </c>
      <c r="N160" t="s">
        <v>156</v>
      </c>
      <c r="O160">
        <v>0.63759971770594848</v>
      </c>
      <c r="P160">
        <v>0.64226657041157187</v>
      </c>
    </row>
    <row r="161" spans="3:16" x14ac:dyDescent="0.25">
      <c r="C161" t="s">
        <v>157</v>
      </c>
      <c r="D161">
        <f t="shared" ca="1" si="10"/>
        <v>9.8157047225012617E-3</v>
      </c>
      <c r="E161">
        <f t="shared" ca="1" si="11"/>
        <v>0.9998811371452504</v>
      </c>
      <c r="H161" t="s">
        <v>157</v>
      </c>
      <c r="I161">
        <f t="shared" ca="1" si="12"/>
        <v>0.97499234470102936</v>
      </c>
      <c r="J161">
        <f t="shared" ca="1" si="13"/>
        <v>0.8679326811651531</v>
      </c>
      <c r="K161">
        <f t="shared" ca="1" si="14"/>
        <v>0.55659756104875058</v>
      </c>
      <c r="N161" t="s">
        <v>157</v>
      </c>
      <c r="O161">
        <v>0.6396957852555073</v>
      </c>
      <c r="P161">
        <v>0.63799176672361479</v>
      </c>
    </row>
    <row r="162" spans="3:16" x14ac:dyDescent="0.25">
      <c r="C162" t="s">
        <v>158</v>
      </c>
      <c r="D162">
        <f t="shared" ca="1" si="10"/>
        <v>0.13383068140642007</v>
      </c>
      <c r="E162">
        <f t="shared" ca="1" si="11"/>
        <v>0.97798477229872793</v>
      </c>
      <c r="H162" t="s">
        <v>158</v>
      </c>
      <c r="I162">
        <f t="shared" ca="1" si="12"/>
        <v>0.57176587492128206</v>
      </c>
      <c r="J162">
        <f t="shared" ca="1" si="13"/>
        <v>0.40298347187547012</v>
      </c>
      <c r="K162">
        <f t="shared" ca="1" si="14"/>
        <v>0.64171320648493768</v>
      </c>
      <c r="N162" t="s">
        <v>158</v>
      </c>
      <c r="O162">
        <v>0.63835255653307321</v>
      </c>
      <c r="P162">
        <v>0.66161336053862385</v>
      </c>
    </row>
    <row r="163" spans="3:16" x14ac:dyDescent="0.25">
      <c r="C163" t="s">
        <v>159</v>
      </c>
      <c r="D163">
        <f t="shared" ca="1" si="10"/>
        <v>0.97401651722459359</v>
      </c>
      <c r="E163">
        <f t="shared" ca="1" si="11"/>
        <v>4.0799853620739464E-2</v>
      </c>
      <c r="H163" t="s">
        <v>159</v>
      </c>
      <c r="I163">
        <f t="shared" ca="1" si="12"/>
        <v>0.38595912724746961</v>
      </c>
      <c r="J163">
        <f t="shared" ca="1" si="13"/>
        <v>0.26338772213885581</v>
      </c>
      <c r="K163">
        <f t="shared" ca="1" si="14"/>
        <v>0.65592190486216884</v>
      </c>
      <c r="N163" t="s">
        <v>159</v>
      </c>
      <c r="O163">
        <v>0.63882620561651482</v>
      </c>
      <c r="P163">
        <v>0.60544035926848827</v>
      </c>
    </row>
    <row r="164" spans="3:16" x14ac:dyDescent="0.25">
      <c r="C164" t="s">
        <v>160</v>
      </c>
      <c r="D164">
        <f t="shared" ca="1" si="10"/>
        <v>0.96476411292417619</v>
      </c>
      <c r="E164">
        <f t="shared" ca="1" si="11"/>
        <v>5.531660849841917E-2</v>
      </c>
      <c r="H164" t="s">
        <v>160</v>
      </c>
      <c r="I164">
        <f t="shared" ca="1" si="12"/>
        <v>0.11104165895021145</v>
      </c>
      <c r="J164">
        <f t="shared" ca="1" si="13"/>
        <v>7.4153957480964511E-2</v>
      </c>
      <c r="K164">
        <f t="shared" ca="1" si="14"/>
        <v>0.66581033135721512</v>
      </c>
      <c r="N164" t="s">
        <v>160</v>
      </c>
      <c r="O164">
        <v>0.63629056511166404</v>
      </c>
      <c r="P164">
        <v>0.6139690741683812</v>
      </c>
    </row>
    <row r="165" spans="3:16" x14ac:dyDescent="0.25">
      <c r="C165" t="s">
        <v>161</v>
      </c>
      <c r="D165">
        <f t="shared" ca="1" si="10"/>
        <v>0.86880591836360432</v>
      </c>
      <c r="E165">
        <f t="shared" ca="1" si="11"/>
        <v>0.20462050191434655</v>
      </c>
      <c r="H165" t="s">
        <v>161</v>
      </c>
      <c r="I165">
        <f t="shared" ca="1" si="12"/>
        <v>0.62986514427097995</v>
      </c>
      <c r="J165">
        <f t="shared" ca="1" si="13"/>
        <v>0.4503480158803006</v>
      </c>
      <c r="K165">
        <f t="shared" ca="1" si="14"/>
        <v>0.63561002052587579</v>
      </c>
      <c r="N165" t="s">
        <v>161</v>
      </c>
      <c r="O165">
        <v>0.63786003992197993</v>
      </c>
      <c r="P165">
        <v>0.67140881719750822</v>
      </c>
    </row>
    <row r="166" spans="3:16" x14ac:dyDescent="0.25">
      <c r="C166" t="s">
        <v>162</v>
      </c>
      <c r="D166">
        <f t="shared" ca="1" si="10"/>
        <v>0.90498330993770959</v>
      </c>
      <c r="E166">
        <f t="shared" ca="1" si="11"/>
        <v>0.14869507194137224</v>
      </c>
      <c r="H166" t="s">
        <v>162</v>
      </c>
      <c r="I166">
        <f t="shared" ca="1" si="12"/>
        <v>0.22616475051826446</v>
      </c>
      <c r="J166">
        <f t="shared" ca="1" si="13"/>
        <v>0.1519360855262821</v>
      </c>
      <c r="K166">
        <f t="shared" ca="1" si="14"/>
        <v>0.66307707846452746</v>
      </c>
      <c r="N166" t="s">
        <v>162</v>
      </c>
      <c r="O166">
        <v>0.63900257461914267</v>
      </c>
      <c r="P166">
        <v>0.63100510929785469</v>
      </c>
    </row>
    <row r="167" spans="3:16" x14ac:dyDescent="0.25">
      <c r="C167" t="s">
        <v>163</v>
      </c>
      <c r="D167">
        <f t="shared" ca="1" si="10"/>
        <v>0.43439869810572396</v>
      </c>
      <c r="E167">
        <f t="shared" ca="1" si="11"/>
        <v>0.77609071803840335</v>
      </c>
      <c r="H167" t="s">
        <v>163</v>
      </c>
      <c r="I167">
        <f t="shared" ca="1" si="12"/>
        <v>0.91369324034001154</v>
      </c>
      <c r="J167">
        <f t="shared" ca="1" si="13"/>
        <v>0.74942877866603952</v>
      </c>
      <c r="K167">
        <f t="shared" ca="1" si="14"/>
        <v>0.58325389262960392</v>
      </c>
      <c r="N167" t="s">
        <v>163</v>
      </c>
      <c r="O167">
        <v>0.63541110149543678</v>
      </c>
      <c r="P167">
        <v>0.62403750486101506</v>
      </c>
    </row>
    <row r="168" spans="3:16" x14ac:dyDescent="0.25">
      <c r="C168" t="s">
        <v>164</v>
      </c>
      <c r="D168">
        <f t="shared" ca="1" si="10"/>
        <v>0.65150801213923826</v>
      </c>
      <c r="E168">
        <f t="shared" ca="1" si="11"/>
        <v>0.52047534036665399</v>
      </c>
      <c r="H168" t="s">
        <v>164</v>
      </c>
      <c r="I168">
        <f t="shared" ca="1" si="12"/>
        <v>0.34860034139782325</v>
      </c>
      <c r="J168">
        <f t="shared" ca="1" si="13"/>
        <v>0.23681819375599933</v>
      </c>
      <c r="K168">
        <f t="shared" ca="1" si="14"/>
        <v>0.65797048071976016</v>
      </c>
      <c r="N168" t="s">
        <v>164</v>
      </c>
      <c r="O168">
        <v>0.63377796882069792</v>
      </c>
      <c r="P168">
        <v>0.66782892633052893</v>
      </c>
    </row>
    <row r="169" spans="3:16" x14ac:dyDescent="0.25">
      <c r="C169" t="s">
        <v>165</v>
      </c>
      <c r="D169">
        <f t="shared" ca="1" si="10"/>
        <v>0.23723011460032328</v>
      </c>
      <c r="E169">
        <f t="shared" ca="1" si="11"/>
        <v>0.93136904562009948</v>
      </c>
      <c r="H169" t="s">
        <v>165</v>
      </c>
      <c r="I169">
        <f t="shared" ca="1" si="12"/>
        <v>0.62597023400226537</v>
      </c>
      <c r="J169">
        <f t="shared" ca="1" si="13"/>
        <v>0.44709672153816854</v>
      </c>
      <c r="K169">
        <f t="shared" ca="1" si="14"/>
        <v>0.63604920589691716</v>
      </c>
      <c r="N169" t="s">
        <v>165</v>
      </c>
      <c r="O169">
        <v>0.63599104332849499</v>
      </c>
      <c r="P169">
        <v>0.64278143156916168</v>
      </c>
    </row>
    <row r="170" spans="3:16" x14ac:dyDescent="0.25">
      <c r="C170" t="s">
        <v>166</v>
      </c>
      <c r="D170">
        <f t="shared" ca="1" si="10"/>
        <v>0.28424457654836943</v>
      </c>
      <c r="E170">
        <f t="shared" ca="1" si="11"/>
        <v>0.90196768519734472</v>
      </c>
      <c r="H170" t="s">
        <v>166</v>
      </c>
      <c r="I170">
        <f t="shared" ca="1" si="12"/>
        <v>0.43411257259686475</v>
      </c>
      <c r="J170">
        <f t="shared" ca="1" si="13"/>
        <v>0.29824228862843682</v>
      </c>
      <c r="K170">
        <f t="shared" ca="1" si="14"/>
        <v>0.65291301025975657</v>
      </c>
      <c r="N170" t="s">
        <v>166</v>
      </c>
      <c r="O170">
        <v>0.6397200127395779</v>
      </c>
      <c r="P170">
        <v>0.65666162341490975</v>
      </c>
    </row>
    <row r="171" spans="3:16" x14ac:dyDescent="0.25">
      <c r="C171" t="s">
        <v>167</v>
      </c>
      <c r="D171">
        <f t="shared" ca="1" si="10"/>
        <v>0.63856686046703537</v>
      </c>
      <c r="E171">
        <f t="shared" ca="1" si="11"/>
        <v>0.53772418400081345</v>
      </c>
      <c r="H171" t="s">
        <v>167</v>
      </c>
      <c r="I171">
        <f t="shared" ca="1" si="12"/>
        <v>0.73892915269692683</v>
      </c>
      <c r="J171">
        <f t="shared" ca="1" si="13"/>
        <v>0.54724064413348528</v>
      </c>
      <c r="K171">
        <f t="shared" ca="1" si="14"/>
        <v>0.62118536134708024</v>
      </c>
      <c r="N171" t="s">
        <v>167</v>
      </c>
      <c r="O171">
        <v>0.63827426398375819</v>
      </c>
      <c r="P171">
        <v>0.66372425013532588</v>
      </c>
    </row>
    <row r="172" spans="3:16" x14ac:dyDescent="0.25">
      <c r="C172" t="s">
        <v>168</v>
      </c>
      <c r="D172">
        <f t="shared" ca="1" si="10"/>
        <v>1.6947840952849069E-2</v>
      </c>
      <c r="E172">
        <f t="shared" ca="1" si="11"/>
        <v>0.99964566430891599</v>
      </c>
      <c r="H172" t="s">
        <v>168</v>
      </c>
      <c r="I172">
        <f t="shared" ca="1" si="12"/>
        <v>0.81968311938922422</v>
      </c>
      <c r="J172">
        <f t="shared" ca="1" si="13"/>
        <v>0.62966650978865735</v>
      </c>
      <c r="K172">
        <f t="shared" ca="1" si="14"/>
        <v>0.60694875082327593</v>
      </c>
      <c r="N172" t="s">
        <v>168</v>
      </c>
      <c r="O172">
        <v>0.63660376054702306</v>
      </c>
      <c r="P172">
        <v>0.61039571544930094</v>
      </c>
    </row>
    <row r="173" spans="3:16" x14ac:dyDescent="0.25">
      <c r="C173" t="s">
        <v>169</v>
      </c>
      <c r="D173">
        <f t="shared" ca="1" si="10"/>
        <v>2.3065564907553848E-2</v>
      </c>
      <c r="E173">
        <f t="shared" ca="1" si="11"/>
        <v>0.99934371501020214</v>
      </c>
      <c r="H173" t="s">
        <v>169</v>
      </c>
      <c r="I173">
        <f t="shared" ca="1" si="12"/>
        <v>0.92594228523417499</v>
      </c>
      <c r="J173">
        <f t="shared" ca="1" si="13"/>
        <v>0.7686984225937985</v>
      </c>
      <c r="K173">
        <f t="shared" ca="1" si="14"/>
        <v>0.57912754167135783</v>
      </c>
      <c r="N173" t="s">
        <v>169</v>
      </c>
      <c r="O173">
        <v>0.64146156913859143</v>
      </c>
      <c r="P173">
        <v>0.63739975278572369</v>
      </c>
    </row>
    <row r="174" spans="3:16" x14ac:dyDescent="0.25">
      <c r="C174" t="s">
        <v>170</v>
      </c>
      <c r="D174">
        <f t="shared" ca="1" si="10"/>
        <v>0.18308532520845111</v>
      </c>
      <c r="E174">
        <f t="shared" ca="1" si="11"/>
        <v>0.95893011528490812</v>
      </c>
      <c r="H174" t="s">
        <v>170</v>
      </c>
      <c r="I174">
        <f t="shared" ca="1" si="12"/>
        <v>0.93146806627066303</v>
      </c>
      <c r="J174">
        <f t="shared" ca="1" si="13"/>
        <v>0.77786187342562052</v>
      </c>
      <c r="K174">
        <f t="shared" ca="1" si="14"/>
        <v>0.57713610067521959</v>
      </c>
      <c r="N174" t="s">
        <v>170</v>
      </c>
      <c r="O174">
        <v>0.63095780125839429</v>
      </c>
      <c r="P174">
        <v>0.62111862293365361</v>
      </c>
    </row>
    <row r="175" spans="3:16" x14ac:dyDescent="0.25">
      <c r="C175" t="s">
        <v>171</v>
      </c>
      <c r="D175">
        <f t="shared" ca="1" si="10"/>
        <v>0.87344749188600668</v>
      </c>
      <c r="E175">
        <f t="shared" ca="1" si="11"/>
        <v>0.19747840996722216</v>
      </c>
      <c r="H175" t="s">
        <v>171</v>
      </c>
      <c r="I175">
        <f t="shared" ca="1" si="12"/>
        <v>0.90581848805811493</v>
      </c>
      <c r="J175">
        <f t="shared" ca="1" si="13"/>
        <v>0.73768670337650954</v>
      </c>
      <c r="K175">
        <f t="shared" ca="1" si="14"/>
        <v>0.58572698157461911</v>
      </c>
      <c r="N175" t="s">
        <v>171</v>
      </c>
      <c r="O175">
        <v>0.63590539459548889</v>
      </c>
      <c r="P175">
        <v>0.61396573202914606</v>
      </c>
    </row>
    <row r="176" spans="3:16" x14ac:dyDescent="0.25">
      <c r="C176" t="s">
        <v>172</v>
      </c>
      <c r="D176">
        <f t="shared" ca="1" si="10"/>
        <v>0.68598811544135929</v>
      </c>
      <c r="E176">
        <f t="shared" ca="1" si="11"/>
        <v>0.47348762803286787</v>
      </c>
      <c r="H176" t="s">
        <v>172</v>
      </c>
      <c r="I176">
        <f t="shared" ca="1" si="12"/>
        <v>0.44349543696410543</v>
      </c>
      <c r="J176">
        <f t="shared" ca="1" si="13"/>
        <v>0.30512391933698496</v>
      </c>
      <c r="K176">
        <f t="shared" ca="1" si="14"/>
        <v>0.65227608840883133</v>
      </c>
      <c r="N176" t="s">
        <v>172</v>
      </c>
      <c r="O176">
        <v>0.63294323227794624</v>
      </c>
      <c r="P176">
        <v>0.63191459845812559</v>
      </c>
    </row>
    <row r="177" spans="3:16" x14ac:dyDescent="0.25">
      <c r="C177" t="s">
        <v>173</v>
      </c>
      <c r="D177">
        <f t="shared" ca="1" si="10"/>
        <v>0.3674482414411242</v>
      </c>
      <c r="E177">
        <f t="shared" ca="1" si="11"/>
        <v>0.83800054907779842</v>
      </c>
      <c r="H177" t="s">
        <v>173</v>
      </c>
      <c r="I177">
        <f t="shared" ca="1" si="12"/>
        <v>0.18840292503696232</v>
      </c>
      <c r="J177">
        <f t="shared" ca="1" si="13"/>
        <v>0.12626331128391513</v>
      </c>
      <c r="K177">
        <f t="shared" ca="1" si="14"/>
        <v>0.66418615042238671</v>
      </c>
      <c r="N177" t="s">
        <v>173</v>
      </c>
      <c r="O177">
        <v>0.63768646688392128</v>
      </c>
      <c r="P177">
        <v>0.63327849798808789</v>
      </c>
    </row>
    <row r="178" spans="3:16" x14ac:dyDescent="0.25">
      <c r="C178" t="s">
        <v>174</v>
      </c>
      <c r="D178">
        <f t="shared" ca="1" si="10"/>
        <v>0.90912970930106052</v>
      </c>
      <c r="E178">
        <f t="shared" ca="1" si="11"/>
        <v>0.14225120567715657</v>
      </c>
      <c r="H178" t="s">
        <v>174</v>
      </c>
      <c r="I178">
        <f t="shared" ca="1" si="12"/>
        <v>0.1061722441594819</v>
      </c>
      <c r="J178">
        <f t="shared" ca="1" si="13"/>
        <v>7.0890508822409617E-2</v>
      </c>
      <c r="K178">
        <f t="shared" ca="1" si="14"/>
        <v>0.66588401424531662</v>
      </c>
      <c r="N178" t="s">
        <v>174</v>
      </c>
      <c r="O178">
        <v>0.6370168309494264</v>
      </c>
      <c r="P178">
        <v>0.65898333108752993</v>
      </c>
    </row>
    <row r="179" spans="3:16" x14ac:dyDescent="0.25">
      <c r="C179" t="s">
        <v>175</v>
      </c>
      <c r="D179">
        <f t="shared" ca="1" si="10"/>
        <v>0.9463801304815247</v>
      </c>
      <c r="E179">
        <f t="shared" ca="1" si="11"/>
        <v>8.4122882373715735E-2</v>
      </c>
      <c r="H179" t="s">
        <v>175</v>
      </c>
      <c r="I179">
        <f t="shared" ca="1" si="12"/>
        <v>0.60741563529152132</v>
      </c>
      <c r="J179">
        <f t="shared" ca="1" si="13"/>
        <v>0.43176622774554296</v>
      </c>
      <c r="K179">
        <f t="shared" ca="1" si="14"/>
        <v>0.63808003648501066</v>
      </c>
      <c r="N179" t="s">
        <v>175</v>
      </c>
      <c r="O179">
        <v>0.63603282551021434</v>
      </c>
      <c r="P179">
        <v>0.63631401709111868</v>
      </c>
    </row>
    <row r="180" spans="3:16" x14ac:dyDescent="0.25">
      <c r="C180" t="s">
        <v>176</v>
      </c>
      <c r="D180">
        <f t="shared" ca="1" si="10"/>
        <v>0.15857581960418976</v>
      </c>
      <c r="E180">
        <f t="shared" ca="1" si="11"/>
        <v>0.96913693686652236</v>
      </c>
      <c r="H180" t="s">
        <v>176</v>
      </c>
      <c r="I180">
        <f t="shared" ca="1" si="12"/>
        <v>0.32698557093615821</v>
      </c>
      <c r="J180">
        <f t="shared" ca="1" si="13"/>
        <v>0.22160889873909267</v>
      </c>
      <c r="K180">
        <f t="shared" ca="1" si="14"/>
        <v>0.65904707489165493</v>
      </c>
      <c r="N180" t="s">
        <v>176</v>
      </c>
      <c r="O180">
        <v>0.64107637429054876</v>
      </c>
      <c r="P180">
        <v>0.66090218106005039</v>
      </c>
    </row>
    <row r="181" spans="3:16" x14ac:dyDescent="0.25">
      <c r="C181" t="s">
        <v>177</v>
      </c>
      <c r="D181">
        <f t="shared" ca="1" si="10"/>
        <v>0.75787949960819245</v>
      </c>
      <c r="E181">
        <f t="shared" ca="1" si="11"/>
        <v>0.37121688844414907</v>
      </c>
      <c r="H181" t="s">
        <v>177</v>
      </c>
      <c r="I181">
        <f t="shared" ca="1" si="12"/>
        <v>0.79672581603073933</v>
      </c>
      <c r="J181">
        <f t="shared" ca="1" si="13"/>
        <v>0.60493638302713892</v>
      </c>
      <c r="K181">
        <f t="shared" ca="1" si="14"/>
        <v>0.61140379886787555</v>
      </c>
      <c r="N181" t="s">
        <v>177</v>
      </c>
      <c r="O181">
        <v>0.63962755926318082</v>
      </c>
      <c r="P181">
        <v>0.65341578610402318</v>
      </c>
    </row>
    <row r="182" spans="3:16" x14ac:dyDescent="0.25">
      <c r="C182" t="s">
        <v>178</v>
      </c>
      <c r="D182">
        <f t="shared" ca="1" si="10"/>
        <v>4.6317848391313365E-2</v>
      </c>
      <c r="E182">
        <f t="shared" ca="1" si="11"/>
        <v>0.99735444400219209</v>
      </c>
      <c r="H182" t="s">
        <v>178</v>
      </c>
      <c r="I182">
        <f t="shared" ca="1" si="12"/>
        <v>5.6692439519613003E-2</v>
      </c>
      <c r="J182">
        <f t="shared" ca="1" si="13"/>
        <v>3.7803188155539395E-2</v>
      </c>
      <c r="K182">
        <f t="shared" ca="1" si="14"/>
        <v>0.66644403700192612</v>
      </c>
      <c r="N182" t="s">
        <v>178</v>
      </c>
      <c r="O182">
        <v>0.63792348627710449</v>
      </c>
      <c r="P182">
        <v>0.63334392433580411</v>
      </c>
    </row>
    <row r="183" spans="3:16" x14ac:dyDescent="0.25">
      <c r="C183" t="s">
        <v>179</v>
      </c>
      <c r="D183">
        <f t="shared" ca="1" si="10"/>
        <v>7.1598622440605553E-2</v>
      </c>
      <c r="E183">
        <f t="shared" ca="1" si="11"/>
        <v>0.99368223747888773</v>
      </c>
      <c r="H183" t="s">
        <v>179</v>
      </c>
      <c r="I183">
        <f t="shared" ca="1" si="12"/>
        <v>0.77872681300973234</v>
      </c>
      <c r="J183">
        <f t="shared" ca="1" si="13"/>
        <v>0.58633782262025513</v>
      </c>
      <c r="K183">
        <f t="shared" ca="1" si="14"/>
        <v>0.61465145546687106</v>
      </c>
      <c r="N183" t="s">
        <v>179</v>
      </c>
      <c r="O183">
        <v>0.63539799992798252</v>
      </c>
      <c r="P183">
        <v>0.62301621068372182</v>
      </c>
    </row>
    <row r="184" spans="3:16" x14ac:dyDescent="0.25">
      <c r="C184" t="s">
        <v>180</v>
      </c>
      <c r="D184">
        <f t="shared" ca="1" si="10"/>
        <v>0.27900039361805196</v>
      </c>
      <c r="E184">
        <f t="shared" ca="1" si="11"/>
        <v>0.90549405118155857</v>
      </c>
      <c r="H184" t="s">
        <v>180</v>
      </c>
      <c r="I184">
        <f t="shared" ca="1" si="12"/>
        <v>0.47181690081539107</v>
      </c>
      <c r="J184">
        <f t="shared" ca="1" si="13"/>
        <v>0.32609468884512799</v>
      </c>
      <c r="K184">
        <f t="shared" ca="1" si="14"/>
        <v>0.65024858944335651</v>
      </c>
      <c r="N184" t="s">
        <v>180</v>
      </c>
      <c r="O184">
        <v>0.63846313687782352</v>
      </c>
      <c r="P184">
        <v>0.65480394581413037</v>
      </c>
    </row>
    <row r="185" spans="3:16" x14ac:dyDescent="0.25">
      <c r="C185" t="s">
        <v>181</v>
      </c>
      <c r="D185">
        <f t="shared" ca="1" si="10"/>
        <v>0.38304389030952646</v>
      </c>
      <c r="E185">
        <f t="shared" ca="1" si="11"/>
        <v>0.8243828270442175</v>
      </c>
      <c r="H185" t="s">
        <v>181</v>
      </c>
      <c r="I185">
        <f t="shared" ca="1" si="12"/>
        <v>0.61663879585977532</v>
      </c>
      <c r="J185">
        <f t="shared" ca="1" si="13"/>
        <v>0.43935474833210625</v>
      </c>
      <c r="K185">
        <f t="shared" ca="1" si="14"/>
        <v>0.63708305221795347</v>
      </c>
      <c r="N185" t="s">
        <v>181</v>
      </c>
      <c r="O185">
        <v>0.63683126652538147</v>
      </c>
      <c r="P185">
        <v>0.64589456538789625</v>
      </c>
    </row>
    <row r="186" spans="3:16" x14ac:dyDescent="0.25">
      <c r="C186" t="s">
        <v>182</v>
      </c>
      <c r="D186">
        <f t="shared" ca="1" si="10"/>
        <v>0.74361617285638137</v>
      </c>
      <c r="E186">
        <f t="shared" ca="1" si="11"/>
        <v>0.39192590365224605</v>
      </c>
      <c r="H186" t="s">
        <v>182</v>
      </c>
      <c r="I186">
        <f t="shared" ca="1" si="12"/>
        <v>0.74554607860979449</v>
      </c>
      <c r="J186">
        <f t="shared" ca="1" si="13"/>
        <v>0.55356924181717593</v>
      </c>
      <c r="K186">
        <f t="shared" ca="1" si="14"/>
        <v>0.6201549841807088</v>
      </c>
      <c r="N186" t="s">
        <v>182</v>
      </c>
      <c r="O186">
        <v>0.63653804243170264</v>
      </c>
      <c r="P186">
        <v>0.59997749404860523</v>
      </c>
    </row>
    <row r="187" spans="3:16" x14ac:dyDescent="0.25">
      <c r="C187" t="s">
        <v>183</v>
      </c>
      <c r="D187">
        <f t="shared" ca="1" si="10"/>
        <v>0.61778969974532472</v>
      </c>
      <c r="E187">
        <f t="shared" ca="1" si="11"/>
        <v>0.56494967901020532</v>
      </c>
      <c r="H187" t="s">
        <v>183</v>
      </c>
      <c r="I187">
        <f t="shared" ca="1" si="12"/>
        <v>0.11024276688543477</v>
      </c>
      <c r="J187">
        <f t="shared" ca="1" si="13"/>
        <v>7.3618438397366079E-2</v>
      </c>
      <c r="K187">
        <f t="shared" ca="1" si="14"/>
        <v>0.6658226494176076</v>
      </c>
      <c r="N187" t="s">
        <v>183</v>
      </c>
      <c r="O187">
        <v>0.63522698151475576</v>
      </c>
      <c r="P187">
        <v>0.65312617212062596</v>
      </c>
    </row>
    <row r="188" spans="3:16" x14ac:dyDescent="0.25">
      <c r="C188" t="s">
        <v>184</v>
      </c>
      <c r="D188">
        <f t="shared" ca="1" si="10"/>
        <v>0.58914962375653579</v>
      </c>
      <c r="E188">
        <f t="shared" ca="1" si="11"/>
        <v>0.6014861535955569</v>
      </c>
      <c r="H188" t="s">
        <v>184</v>
      </c>
      <c r="I188">
        <f t="shared" ca="1" si="12"/>
        <v>0.40857662779997583</v>
      </c>
      <c r="J188">
        <f t="shared" ca="1" si="13"/>
        <v>0.27966671289131645</v>
      </c>
      <c r="K188">
        <f t="shared" ca="1" si="14"/>
        <v>0.65456181664038771</v>
      </c>
      <c r="N188" t="s">
        <v>184</v>
      </c>
      <c r="O188">
        <v>0.63945675802013557</v>
      </c>
      <c r="P188">
        <v>0.66157456869374986</v>
      </c>
    </row>
    <row r="189" spans="3:16" x14ac:dyDescent="0.25">
      <c r="C189" t="s">
        <v>185</v>
      </c>
      <c r="D189">
        <f t="shared" ca="1" si="10"/>
        <v>7.2025670717494439E-2</v>
      </c>
      <c r="E189">
        <f t="shared" ca="1" si="11"/>
        <v>0.99360672908281311</v>
      </c>
      <c r="H189" t="s">
        <v>185</v>
      </c>
      <c r="I189">
        <f t="shared" ca="1" si="12"/>
        <v>0.17116895118361397</v>
      </c>
      <c r="J189">
        <f t="shared" ca="1" si="13"/>
        <v>0.11460473232218144</v>
      </c>
      <c r="K189">
        <f t="shared" ca="1" si="14"/>
        <v>0.66462259080274488</v>
      </c>
      <c r="N189" t="s">
        <v>185</v>
      </c>
      <c r="O189">
        <v>0.63586486788681451</v>
      </c>
      <c r="P189">
        <v>0.62943070558097791</v>
      </c>
    </row>
    <row r="190" spans="3:16" x14ac:dyDescent="0.25">
      <c r="C190" t="s">
        <v>186</v>
      </c>
      <c r="D190">
        <f t="shared" ca="1" si="10"/>
        <v>7.6359652687263302E-2</v>
      </c>
      <c r="E190">
        <f t="shared" ca="1" si="11"/>
        <v>0.9928151296846387</v>
      </c>
      <c r="H190" t="s">
        <v>186</v>
      </c>
      <c r="I190">
        <f t="shared" ca="1" si="12"/>
        <v>0.51929596999916283</v>
      </c>
      <c r="J190">
        <f t="shared" ca="1" si="13"/>
        <v>0.36200182406009934</v>
      </c>
      <c r="K190">
        <f t="shared" ca="1" si="14"/>
        <v>0.64647648742198138</v>
      </c>
      <c r="N190" t="s">
        <v>186</v>
      </c>
      <c r="O190">
        <v>0.63926911424205979</v>
      </c>
      <c r="P190">
        <v>0.66041801599356242</v>
      </c>
    </row>
    <row r="191" spans="3:16" x14ac:dyDescent="0.25">
      <c r="C191" t="s">
        <v>187</v>
      </c>
      <c r="D191">
        <f t="shared" ca="1" si="10"/>
        <v>1.5505422688721904E-2</v>
      </c>
      <c r="E191">
        <f t="shared" ca="1" si="11"/>
        <v>0.99970340929234403</v>
      </c>
      <c r="H191" t="s">
        <v>187</v>
      </c>
      <c r="I191">
        <f t="shared" ca="1" si="12"/>
        <v>0.32705144729492008</v>
      </c>
      <c r="J191">
        <f t="shared" ca="1" si="13"/>
        <v>0.22165508525051092</v>
      </c>
      <c r="K191">
        <f t="shared" ca="1" si="14"/>
        <v>0.65904391182278033</v>
      </c>
      <c r="N191" t="s">
        <v>187</v>
      </c>
      <c r="O191">
        <v>0.63485910378347898</v>
      </c>
      <c r="P191">
        <v>0.62281388480675559</v>
      </c>
    </row>
    <row r="192" spans="3:16" x14ac:dyDescent="0.25">
      <c r="C192" t="s">
        <v>188</v>
      </c>
      <c r="D192">
        <f t="shared" ca="1" si="10"/>
        <v>0.71606148438909023</v>
      </c>
      <c r="E192">
        <f t="shared" ca="1" si="11"/>
        <v>0.43136654312442146</v>
      </c>
      <c r="H192" t="s">
        <v>188</v>
      </c>
      <c r="I192">
        <f t="shared" ca="1" si="12"/>
        <v>0.78505831465653764</v>
      </c>
      <c r="J192">
        <f t="shared" ca="1" si="13"/>
        <v>0.59280789710076509</v>
      </c>
      <c r="K192">
        <f t="shared" ca="1" si="14"/>
        <v>0.61353175634465795</v>
      </c>
      <c r="N192" t="s">
        <v>188</v>
      </c>
      <c r="O192">
        <v>0.63254096879802846</v>
      </c>
      <c r="P192">
        <v>0.64591999751493656</v>
      </c>
    </row>
    <row r="193" spans="3:16" x14ac:dyDescent="0.25">
      <c r="C193" t="s">
        <v>189</v>
      </c>
      <c r="D193">
        <f t="shared" ca="1" si="10"/>
        <v>0.59979717997903748</v>
      </c>
      <c r="E193">
        <f t="shared" ca="1" si="11"/>
        <v>0.58804118433092889</v>
      </c>
      <c r="H193" t="s">
        <v>189</v>
      </c>
      <c r="I193">
        <f t="shared" ca="1" si="12"/>
        <v>0.68255529045677887</v>
      </c>
      <c r="J193">
        <f t="shared" ca="1" si="13"/>
        <v>0.49560797990285482</v>
      </c>
      <c r="K193">
        <f t="shared" ca="1" si="14"/>
        <v>0.62919112863327564</v>
      </c>
      <c r="N193" t="s">
        <v>189</v>
      </c>
      <c r="O193">
        <v>0.63911933011595745</v>
      </c>
      <c r="P193">
        <v>0.65892172884539135</v>
      </c>
    </row>
    <row r="194" spans="3:16" x14ac:dyDescent="0.25">
      <c r="C194" t="s">
        <v>190</v>
      </c>
      <c r="D194">
        <f t="shared" ca="1" si="10"/>
        <v>0.9859297949185708</v>
      </c>
      <c r="E194">
        <f t="shared" ca="1" si="11"/>
        <v>2.2096006539873949E-2</v>
      </c>
      <c r="H194" t="s">
        <v>190</v>
      </c>
      <c r="I194">
        <f t="shared" ca="1" si="12"/>
        <v>0.22170575955597838</v>
      </c>
      <c r="J194">
        <f t="shared" ca="1" si="13"/>
        <v>0.14889459956848511</v>
      </c>
      <c r="K194">
        <f t="shared" ca="1" si="14"/>
        <v>0.66321908471213298</v>
      </c>
      <c r="N194" t="s">
        <v>190</v>
      </c>
      <c r="O194">
        <v>0.63474646762894693</v>
      </c>
      <c r="P194">
        <v>0.63429010444352685</v>
      </c>
    </row>
    <row r="195" spans="3:16" x14ac:dyDescent="0.25">
      <c r="C195" t="s">
        <v>191</v>
      </c>
      <c r="D195">
        <f t="shared" ca="1" si="10"/>
        <v>0.59956545579909848</v>
      </c>
      <c r="E195">
        <f t="shared" ca="1" si="11"/>
        <v>0.58833555365463241</v>
      </c>
      <c r="H195" t="s">
        <v>191</v>
      </c>
      <c r="I195">
        <f t="shared" ca="1" si="12"/>
        <v>0.79460975963775049</v>
      </c>
      <c r="J195">
        <f t="shared" ca="1" si="13"/>
        <v>0.60271613427605419</v>
      </c>
      <c r="K195">
        <f t="shared" ca="1" si="14"/>
        <v>0.61179616419781713</v>
      </c>
      <c r="N195" t="s">
        <v>191</v>
      </c>
      <c r="O195">
        <v>0.64142319920647561</v>
      </c>
      <c r="P195">
        <v>0.66192853894712356</v>
      </c>
    </row>
    <row r="196" spans="3:16" x14ac:dyDescent="0.25">
      <c r="C196" t="s">
        <v>192</v>
      </c>
      <c r="D196">
        <f t="shared" ca="1" si="10"/>
        <v>0.80534266356702189</v>
      </c>
      <c r="E196">
        <f t="shared" ca="1" si="11"/>
        <v>0.30102189414713032</v>
      </c>
      <c r="H196" t="s">
        <v>192</v>
      </c>
      <c r="I196">
        <f t="shared" ca="1" si="12"/>
        <v>0.89393655637239755</v>
      </c>
      <c r="J196">
        <f t="shared" ca="1" si="13"/>
        <v>0.72076772956341051</v>
      </c>
      <c r="K196">
        <f t="shared" ca="1" si="14"/>
        <v>0.58923457675436419</v>
      </c>
      <c r="N196" t="s">
        <v>192</v>
      </c>
      <c r="O196">
        <v>0.63931804989794838</v>
      </c>
      <c r="P196">
        <v>0.59289078505642001</v>
      </c>
    </row>
    <row r="197" spans="3:16" x14ac:dyDescent="0.25">
      <c r="C197" t="s">
        <v>193</v>
      </c>
      <c r="D197">
        <f t="shared" ca="1" si="10"/>
        <v>0.17646599321871503</v>
      </c>
      <c r="E197">
        <f t="shared" ca="1" si="11"/>
        <v>0.96182744101921847</v>
      </c>
      <c r="H197" t="s">
        <v>193</v>
      </c>
      <c r="I197">
        <f t="shared" ca="1" si="12"/>
        <v>0.76709994137249382</v>
      </c>
      <c r="J197">
        <f t="shared" ca="1" si="13"/>
        <v>0.57464674564365026</v>
      </c>
      <c r="K197">
        <f t="shared" ca="1" si="14"/>
        <v>0.61664718585872924</v>
      </c>
      <c r="N197" t="s">
        <v>193</v>
      </c>
      <c r="O197">
        <v>0.63324968152747141</v>
      </c>
      <c r="P197">
        <v>0.619331786757648</v>
      </c>
    </row>
    <row r="198" spans="3:16" x14ac:dyDescent="0.25">
      <c r="C198" t="s">
        <v>194</v>
      </c>
      <c r="D198">
        <f t="shared" ca="1" si="10"/>
        <v>0.38707244002453189</v>
      </c>
      <c r="E198">
        <f t="shared" ca="1" si="11"/>
        <v>0.82078446459388998</v>
      </c>
      <c r="H198" t="s">
        <v>194</v>
      </c>
      <c r="I198">
        <f t="shared" ca="1" si="12"/>
        <v>0.85855729445271267</v>
      </c>
      <c r="J198">
        <f t="shared" ca="1" si="13"/>
        <v>0.67478353895498233</v>
      </c>
      <c r="K198">
        <f t="shared" ca="1" si="14"/>
        <v>0.59842748722394556</v>
      </c>
      <c r="N198" t="s">
        <v>194</v>
      </c>
      <c r="O198">
        <v>0.63498883750890966</v>
      </c>
      <c r="P198">
        <v>0.62196394732017224</v>
      </c>
    </row>
    <row r="199" spans="3:16" x14ac:dyDescent="0.25">
      <c r="C199" t="s">
        <v>195</v>
      </c>
      <c r="D199">
        <f t="shared" ca="1" si="10"/>
        <v>0.56988852515563371</v>
      </c>
      <c r="E199">
        <f t="shared" ca="1" si="11"/>
        <v>0.62537766999031352</v>
      </c>
      <c r="H199" t="s">
        <v>195</v>
      </c>
      <c r="I199">
        <f t="shared" ca="1" si="12"/>
        <v>2.6643319774987129E-2</v>
      </c>
      <c r="J199">
        <f t="shared" ca="1" si="13"/>
        <v>1.7754286915827651E-2</v>
      </c>
      <c r="K199">
        <f t="shared" ca="1" si="14"/>
        <v>0.66661755621020014</v>
      </c>
      <c r="N199" t="s">
        <v>195</v>
      </c>
      <c r="O199">
        <v>0.63855126088651204</v>
      </c>
      <c r="P199">
        <v>0.66360878300689208</v>
      </c>
    </row>
    <row r="200" spans="3:16" x14ac:dyDescent="0.25">
      <c r="C200" t="s">
        <v>196</v>
      </c>
      <c r="D200">
        <f t="shared" ref="D200:D206" ca="1" si="15">RAND()</f>
        <v>5.2185988870140365E-2</v>
      </c>
      <c r="E200">
        <f t="shared" ref="E200:E206" ca="1" si="16">COS((D200*3.1416)/2)</f>
        <v>0.99664203305583166</v>
      </c>
      <c r="H200" t="s">
        <v>196</v>
      </c>
      <c r="I200">
        <f t="shared" ref="I200:I206" ca="1" si="17">RAND()</f>
        <v>0.96652691746591268</v>
      </c>
      <c r="J200">
        <f t="shared" ref="J200:J206" ca="1" si="18">2*COS((ACOS(-I200)/3)-(2*3.1416/3))</f>
        <v>0.84663675843924657</v>
      </c>
      <c r="K200">
        <f t="shared" ref="K200:K206" ca="1" si="19">COS((3.1416*J200)/2)/(1.5*(1-(J200^2)))</f>
        <v>0.56160743538563029</v>
      </c>
      <c r="N200" t="s">
        <v>196</v>
      </c>
      <c r="O200">
        <v>0.63946868269234658</v>
      </c>
      <c r="P200">
        <v>0.65709199036158406</v>
      </c>
    </row>
    <row r="201" spans="3:16" x14ac:dyDescent="0.25">
      <c r="C201" t="s">
        <v>197</v>
      </c>
      <c r="D201">
        <f t="shared" ca="1" si="15"/>
        <v>0.2113928788720052</v>
      </c>
      <c r="E201">
        <f t="shared" ca="1" si="16"/>
        <v>0.94537413347935217</v>
      </c>
      <c r="H201" t="s">
        <v>197</v>
      </c>
      <c r="I201">
        <f t="shared" ca="1" si="17"/>
        <v>0.35513721776652474</v>
      </c>
      <c r="J201">
        <f t="shared" ca="1" si="18"/>
        <v>0.24144045779316267</v>
      </c>
      <c r="K201">
        <f t="shared" ca="1" si="19"/>
        <v>0.65762940653232449</v>
      </c>
      <c r="N201" t="s">
        <v>197</v>
      </c>
      <c r="O201">
        <v>0.63744429746137565</v>
      </c>
      <c r="P201">
        <v>0.62821376774193216</v>
      </c>
    </row>
    <row r="202" spans="3:16" x14ac:dyDescent="0.25">
      <c r="C202" t="s">
        <v>198</v>
      </c>
      <c r="D202">
        <f t="shared" ca="1" si="15"/>
        <v>0.25216424103450563</v>
      </c>
      <c r="E202">
        <f t="shared" ca="1" si="16"/>
        <v>0.92257287528598719</v>
      </c>
      <c r="H202" t="s">
        <v>198</v>
      </c>
      <c r="I202">
        <f t="shared" ca="1" si="17"/>
        <v>0.48791229404491665</v>
      </c>
      <c r="J202">
        <f t="shared" ca="1" si="18"/>
        <v>0.33815558612231295</v>
      </c>
      <c r="K202">
        <f t="shared" ca="1" si="19"/>
        <v>0.64902372943320086</v>
      </c>
      <c r="N202" t="s">
        <v>198</v>
      </c>
      <c r="O202">
        <v>0.63579884405200104</v>
      </c>
      <c r="P202">
        <v>0.6389138971474756</v>
      </c>
    </row>
    <row r="203" spans="3:16" x14ac:dyDescent="0.25">
      <c r="C203" t="s">
        <v>199</v>
      </c>
      <c r="D203">
        <f t="shared" ca="1" si="15"/>
        <v>0.96940133961151786</v>
      </c>
      <c r="E203">
        <f t="shared" ca="1" si="16"/>
        <v>4.8042202652043134E-2</v>
      </c>
      <c r="H203" t="s">
        <v>199</v>
      </c>
      <c r="I203">
        <f t="shared" ca="1" si="17"/>
        <v>0.57888716950460684</v>
      </c>
      <c r="J203">
        <f t="shared" ca="1" si="18"/>
        <v>0.40866713161908252</v>
      </c>
      <c r="K203">
        <f t="shared" ca="1" si="19"/>
        <v>0.64101446152908081</v>
      </c>
      <c r="N203" t="s">
        <v>199</v>
      </c>
      <c r="O203">
        <v>0.63741259371241132</v>
      </c>
      <c r="P203">
        <v>0.66721676761829363</v>
      </c>
    </row>
    <row r="204" spans="3:16" x14ac:dyDescent="0.25">
      <c r="C204" t="s">
        <v>200</v>
      </c>
      <c r="D204">
        <f t="shared" ca="1" si="15"/>
        <v>1.4648043907001695E-2</v>
      </c>
      <c r="E204">
        <f t="shared" ca="1" si="16"/>
        <v>0.99973530124706911</v>
      </c>
      <c r="H204" t="s">
        <v>200</v>
      </c>
      <c r="I204">
        <f t="shared" ca="1" si="17"/>
        <v>7.4539540674980032E-2</v>
      </c>
      <c r="J204">
        <f t="shared" ca="1" si="18"/>
        <v>4.9724240209763293E-2</v>
      </c>
      <c r="K204">
        <f t="shared" ca="1" si="19"/>
        <v>0.66628152209983971</v>
      </c>
      <c r="N204" t="s">
        <v>200</v>
      </c>
      <c r="O204">
        <v>0.63508303259107046</v>
      </c>
      <c r="P204">
        <v>0.63579452271136849</v>
      </c>
    </row>
    <row r="205" spans="3:16" x14ac:dyDescent="0.25">
      <c r="C205" t="s">
        <v>201</v>
      </c>
      <c r="D205">
        <f t="shared" ca="1" si="15"/>
        <v>0.2696214029183005</v>
      </c>
      <c r="E205">
        <f t="shared" ca="1" si="16"/>
        <v>0.91164743557605843</v>
      </c>
      <c r="H205" t="s">
        <v>201</v>
      </c>
      <c r="I205">
        <f t="shared" ca="1" si="17"/>
        <v>0.66969292243300449</v>
      </c>
      <c r="J205">
        <f t="shared" ca="1" si="18"/>
        <v>0.48432390206611065</v>
      </c>
      <c r="K205">
        <f t="shared" ca="1" si="19"/>
        <v>0.6308444150756839</v>
      </c>
      <c r="N205" t="s">
        <v>201</v>
      </c>
      <c r="O205">
        <v>0.64198020069620942</v>
      </c>
      <c r="P205">
        <v>0.64394202202747597</v>
      </c>
    </row>
    <row r="206" spans="3:16" x14ac:dyDescent="0.25">
      <c r="C206" t="s">
        <v>202</v>
      </c>
      <c r="D206">
        <f t="shared" ca="1" si="15"/>
        <v>0.19581964136351204</v>
      </c>
      <c r="E206">
        <f t="shared" ca="1" si="16"/>
        <v>0.95306493741403919</v>
      </c>
      <c r="H206" t="s">
        <v>202</v>
      </c>
      <c r="I206">
        <f t="shared" ca="1" si="17"/>
        <v>0.58827053940126373</v>
      </c>
      <c r="J206">
        <f t="shared" ca="1" si="18"/>
        <v>0.41620503767896916</v>
      </c>
      <c r="K206">
        <f t="shared" ca="1" si="19"/>
        <v>0.64007353739122042</v>
      </c>
      <c r="N206" t="s">
        <v>202</v>
      </c>
      <c r="O206">
        <v>0.6378746267799813</v>
      </c>
      <c r="P206">
        <v>0.62566846108567309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0C70-DA72-4827-8B1F-3E0DCC36112D}">
  <dimension ref="B2:R200"/>
  <sheetViews>
    <sheetView topLeftCell="H25" zoomScale="130" zoomScaleNormal="130" workbookViewId="0">
      <selection activeCell="T46" sqref="T46"/>
    </sheetView>
  </sheetViews>
  <sheetFormatPr baseColWidth="10" defaultRowHeight="15" x14ac:dyDescent="0.25"/>
  <cols>
    <col min="2" max="2" width="10.7109375" customWidth="1"/>
    <col min="3" max="8" width="20.7109375" style="2" customWidth="1"/>
    <col min="13" max="13" width="12.5703125" bestFit="1" customWidth="1"/>
  </cols>
  <sheetData>
    <row r="2" spans="2:18" x14ac:dyDescent="0.25">
      <c r="B2" t="s">
        <v>211</v>
      </c>
      <c r="C2" s="2">
        <v>1</v>
      </c>
    </row>
    <row r="3" spans="2:18" x14ac:dyDescent="0.25">
      <c r="B3" t="s">
        <v>212</v>
      </c>
      <c r="C3" s="2">
        <v>0.5</v>
      </c>
    </row>
    <row r="4" spans="2:18" x14ac:dyDescent="0.25">
      <c r="B4" t="s">
        <v>213</v>
      </c>
      <c r="C4" s="2">
        <v>0</v>
      </c>
    </row>
    <row r="5" spans="2:18" x14ac:dyDescent="0.25">
      <c r="B5" t="s">
        <v>214</v>
      </c>
      <c r="C5" s="2">
        <v>-0.5</v>
      </c>
      <c r="L5" t="s">
        <v>217</v>
      </c>
    </row>
    <row r="6" spans="2:18" x14ac:dyDescent="0.25">
      <c r="B6" t="s">
        <v>215</v>
      </c>
      <c r="C6" s="2">
        <v>-1</v>
      </c>
      <c r="L6" t="s">
        <v>218</v>
      </c>
      <c r="M6">
        <f ca="1">MAX($C$11:$H$200)</f>
        <v>2.999650916119506</v>
      </c>
    </row>
    <row r="7" spans="2:18" x14ac:dyDescent="0.25">
      <c r="L7" t="s">
        <v>219</v>
      </c>
      <c r="M7">
        <f ca="1">+MIN($C$11:$H$200)</f>
        <v>-2.999650916119506</v>
      </c>
    </row>
    <row r="8" spans="2:18" x14ac:dyDescent="0.25">
      <c r="L8" t="s">
        <v>220</v>
      </c>
      <c r="M8">
        <v>15</v>
      </c>
    </row>
    <row r="9" spans="2:18" x14ac:dyDescent="0.25">
      <c r="L9" t="s">
        <v>221</v>
      </c>
      <c r="M9">
        <f ca="1">(M6-M7)/M8</f>
        <v>0.39995345548260081</v>
      </c>
    </row>
    <row r="10" spans="2:18" x14ac:dyDescent="0.25">
      <c r="C10" s="2" t="s">
        <v>216</v>
      </c>
      <c r="D10" s="2" t="s">
        <v>211</v>
      </c>
      <c r="E10" s="2" t="s">
        <v>212</v>
      </c>
      <c r="F10" s="2" t="s">
        <v>213</v>
      </c>
      <c r="G10" s="2" t="s">
        <v>214</v>
      </c>
      <c r="H10" s="2" t="s">
        <v>215</v>
      </c>
    </row>
    <row r="11" spans="2:18" x14ac:dyDescent="0.25">
      <c r="C11" s="2">
        <f ca="1">_xlfn.NORM.S.INV(RAND())</f>
        <v>-1.4120454136494425</v>
      </c>
      <c r="D11" s="2">
        <f ca="1">IF($C11&lt;0,-$C11,alpha_1*$C11)</f>
        <v>1.4120454136494425</v>
      </c>
      <c r="E11" s="2">
        <f ca="1">IF($C11&lt;0,-$C11,alpha_1_2*$C11)</f>
        <v>1.4120454136494425</v>
      </c>
      <c r="F11" s="2">
        <f ca="1">IF($C11&lt;0,-$C11,alpha_0*$C11)</f>
        <v>1.4120454136494425</v>
      </c>
      <c r="G11" s="2">
        <f ca="1">IF($C11&lt;0,-$C11,alpha__1_2*$C11)</f>
        <v>1.4120454136494425</v>
      </c>
      <c r="H11" s="2">
        <f ca="1">IF($C11&lt;0,-$C11,alpha__1*$C11)</f>
        <v>1.4120454136494425</v>
      </c>
      <c r="L11" t="s">
        <v>223</v>
      </c>
      <c r="M11" t="s">
        <v>222</v>
      </c>
      <c r="N11" t="s">
        <v>211</v>
      </c>
      <c r="O11" t="s">
        <v>212</v>
      </c>
      <c r="P11" t="s">
        <v>213</v>
      </c>
      <c r="Q11" t="s">
        <v>214</v>
      </c>
      <c r="R11" t="s">
        <v>215</v>
      </c>
    </row>
    <row r="12" spans="2:18" x14ac:dyDescent="0.25">
      <c r="C12" s="2">
        <f t="shared" ref="C12:C75" ca="1" si="0">_xlfn.NORM.S.INV(RAND())</f>
        <v>0.84672358160520733</v>
      </c>
      <c r="D12" s="2">
        <f ca="1">IF($C12&lt;0,-$C12,alpha_1*$C12)</f>
        <v>0.84672358160520733</v>
      </c>
      <c r="E12" s="2">
        <f ca="1">IF($C12&lt;0,-$C12,alpha_1_2*$C12)</f>
        <v>0.42336179080260367</v>
      </c>
      <c r="F12" s="2">
        <f ca="1">IF($C12&lt;0,-$C12,alpha_0*$C12)</f>
        <v>0</v>
      </c>
      <c r="G12" s="2">
        <f ca="1">IF($C12&lt;0,-$C12,alpha__1_2*$C12)</f>
        <v>-0.42336179080260367</v>
      </c>
      <c r="H12" s="2">
        <f ca="1">IF($C12&lt;0,-$C12,alpha__1*$C12)</f>
        <v>-0.84672358160520733</v>
      </c>
      <c r="L12">
        <f ca="1">M7</f>
        <v>-2.999650916119506</v>
      </c>
    </row>
    <row r="13" spans="2:18" x14ac:dyDescent="0.25">
      <c r="C13" s="2">
        <f t="shared" ca="1" si="0"/>
        <v>0.61705896360876256</v>
      </c>
      <c r="D13" s="2">
        <f ca="1">IF($C13&lt;0,-$C13,alpha_1*$C13)</f>
        <v>0.61705896360876256</v>
      </c>
      <c r="E13" s="2">
        <f ca="1">IF($C13&lt;0,-$C13,alpha_1_2*$C13)</f>
        <v>0.30852948180438128</v>
      </c>
      <c r="F13" s="2">
        <f ca="1">IF($C13&lt;0,-$C13,alpha_0*$C13)</f>
        <v>0</v>
      </c>
      <c r="G13" s="2">
        <f ca="1">IF($C13&lt;0,-$C13,alpha__1_2*$C13)</f>
        <v>-0.30852948180438128</v>
      </c>
      <c r="H13" s="2">
        <f ca="1">IF($C13&lt;0,-$C13,alpha__1*$C13)</f>
        <v>-0.61705896360876256</v>
      </c>
      <c r="L13">
        <f ca="1">L12+$M$9</f>
        <v>-2.599697460636905</v>
      </c>
      <c r="M13" s="6">
        <f ca="1">+(COUNTIFS(C$11:C$200,"&lt;="&amp;$L13,C$11:C$200,"&gt;="&amp;$L12)/COUNT(C$11:C$200))</f>
        <v>0</v>
      </c>
      <c r="N13" s="6">
        <f t="shared" ref="N13:R27" ca="1" si="1">+(COUNTIFS(D$11:D$200,"&lt;="&amp;$L13,D$11:D$200,"&gt;="&amp;$L12)/COUNT(D$11:D$200))</f>
        <v>0</v>
      </c>
      <c r="O13" s="6">
        <f t="shared" ca="1" si="1"/>
        <v>0</v>
      </c>
      <c r="P13" s="6">
        <f t="shared" ca="1" si="1"/>
        <v>0</v>
      </c>
      <c r="Q13" s="6">
        <f t="shared" ca="1" si="1"/>
        <v>0</v>
      </c>
      <c r="R13" s="6">
        <f t="shared" ca="1" si="1"/>
        <v>5.263157894736842E-3</v>
      </c>
    </row>
    <row r="14" spans="2:18" x14ac:dyDescent="0.25">
      <c r="C14" s="2">
        <f t="shared" ca="1" si="0"/>
        <v>-1.5003388009618916</v>
      </c>
      <c r="D14" s="2">
        <f ca="1">IF($C14&lt;0,-$C14,alpha_1*$C14)</f>
        <v>1.5003388009618916</v>
      </c>
      <c r="E14" s="2">
        <f ca="1">IF($C14&lt;0,-$C14,alpha_1_2*$C14)</f>
        <v>1.5003388009618916</v>
      </c>
      <c r="F14" s="2">
        <f ca="1">IF($C14&lt;0,-$C14,alpha_0*$C14)</f>
        <v>1.5003388009618916</v>
      </c>
      <c r="G14" s="2">
        <f ca="1">IF($C14&lt;0,-$C14,alpha__1_2*$C14)</f>
        <v>1.5003388009618916</v>
      </c>
      <c r="H14" s="2">
        <f ca="1">IF($C14&lt;0,-$C14,alpha__1*$C14)</f>
        <v>1.5003388009618916</v>
      </c>
      <c r="L14">
        <f t="shared" ref="L14:L29" ca="1" si="2">L13+$M$9</f>
        <v>-2.199744005154304</v>
      </c>
      <c r="M14" s="6">
        <f t="shared" ref="M14:M27" ca="1" si="3">+(COUNTIFS(C$11:C$200,"&lt;="&amp;$L14,C$11:C$200,"&gt;="&amp;$L13)/COUNT(C$11:C$200))</f>
        <v>0</v>
      </c>
      <c r="N14" s="6">
        <f t="shared" ref="N14:N27" ca="1" si="4">+(COUNTIFS(D$11:D$200,"&lt;="&amp;$L14,D$11:D$200,"&gt;="&amp;$L13)/COUNT(D$11:D$200))</f>
        <v>0</v>
      </c>
      <c r="O14" s="6">
        <f t="shared" ref="O14:O27" ca="1" si="5">+(COUNTIFS(E$11:E$200,"&lt;="&amp;$L14,E$11:E$200,"&gt;="&amp;$L13)/COUNT(E$11:E$200))</f>
        <v>0</v>
      </c>
      <c r="P14" s="6">
        <f t="shared" ref="P14:P27" ca="1" si="6">+(COUNTIFS(F$11:F$200,"&lt;="&amp;$L14,F$11:F$200,"&gt;="&amp;$L13)/COUNT(F$11:F$200))</f>
        <v>0</v>
      </c>
      <c r="Q14" s="6">
        <f t="shared" ref="Q14:Q27" ca="1" si="7">+(COUNTIFS(G$11:G$200,"&lt;="&amp;$L14,G$11:G$200,"&gt;="&amp;$L13)/COUNT(G$11:G$200))</f>
        <v>0</v>
      </c>
      <c r="R14" s="6">
        <f t="shared" ca="1" si="1"/>
        <v>1.0526315789473684E-2</v>
      </c>
    </row>
    <row r="15" spans="2:18" x14ac:dyDescent="0.25">
      <c r="C15" s="2">
        <f t="shared" ca="1" si="0"/>
        <v>0.45280967656786114</v>
      </c>
      <c r="D15" s="2">
        <f ca="1">IF($C15&lt;0,-$C15,alpha_1*$C15)</f>
        <v>0.45280967656786114</v>
      </c>
      <c r="E15" s="2">
        <f ca="1">IF($C15&lt;0,-$C15,alpha_1_2*$C15)</f>
        <v>0.22640483828393057</v>
      </c>
      <c r="F15" s="2">
        <f ca="1">IF($C15&lt;0,-$C15,alpha_0*$C15)</f>
        <v>0</v>
      </c>
      <c r="G15" s="2">
        <f ca="1">IF($C15&lt;0,-$C15,alpha__1_2*$C15)</f>
        <v>-0.22640483828393057</v>
      </c>
      <c r="H15" s="2">
        <f ca="1">IF($C15&lt;0,-$C15,alpha__1*$C15)</f>
        <v>-0.45280967656786114</v>
      </c>
      <c r="L15">
        <f t="shared" ca="1" si="2"/>
        <v>-1.7997905496717033</v>
      </c>
      <c r="M15" s="6">
        <f t="shared" ca="1" si="3"/>
        <v>5.263157894736842E-3</v>
      </c>
      <c r="N15" s="6">
        <f t="shared" ca="1" si="4"/>
        <v>0</v>
      </c>
      <c r="O15" s="6">
        <f ca="1">+(COUNTIFS(E$11:E$200,"&lt;="&amp;$L15,E$11:E$200,"&gt;="&amp;$L14)/COUNT(E$11:E$200))</f>
        <v>0</v>
      </c>
      <c r="P15" s="6">
        <f t="shared" ca="1" si="6"/>
        <v>0</v>
      </c>
      <c r="Q15" s="6">
        <f t="shared" ca="1" si="7"/>
        <v>0</v>
      </c>
      <c r="R15" s="6">
        <f t="shared" ca="1" si="1"/>
        <v>1.0526315789473684E-2</v>
      </c>
    </row>
    <row r="16" spans="2:18" x14ac:dyDescent="0.25">
      <c r="C16" s="2">
        <f t="shared" ca="1" si="0"/>
        <v>0.51615413483296024</v>
      </c>
      <c r="D16" s="2">
        <f ca="1">IF($C16&lt;0,-$C16,alpha_1*$C16)</f>
        <v>0.51615413483296024</v>
      </c>
      <c r="E16" s="2">
        <f ca="1">IF($C16&lt;0,-$C16,alpha_1_2*$C16)</f>
        <v>0.25807706741648012</v>
      </c>
      <c r="F16" s="2">
        <f ca="1">IF($C16&lt;0,-$C16,alpha_0*$C16)</f>
        <v>0</v>
      </c>
      <c r="G16" s="2">
        <f ca="1">IF($C16&lt;0,-$C16,alpha__1_2*$C16)</f>
        <v>-0.25807706741648012</v>
      </c>
      <c r="H16" s="2">
        <f ca="1">IF($C16&lt;0,-$C16,alpha__1*$C16)</f>
        <v>-0.51615413483296024</v>
      </c>
      <c r="L16">
        <f t="shared" ca="1" si="2"/>
        <v>-1.3998370941891025</v>
      </c>
      <c r="M16" s="6">
        <f t="shared" ca="1" si="3"/>
        <v>8.9473684210526316E-2</v>
      </c>
      <c r="N16" s="6">
        <f t="shared" ca="1" si="4"/>
        <v>0</v>
      </c>
      <c r="O16" s="6">
        <f t="shared" ca="1" si="5"/>
        <v>0</v>
      </c>
      <c r="P16" s="6">
        <f t="shared" ca="1" si="6"/>
        <v>0</v>
      </c>
      <c r="Q16" s="6">
        <f t="shared" ca="1" si="7"/>
        <v>5.263157894736842E-3</v>
      </c>
      <c r="R16" s="6">
        <f t="shared" ca="1" si="1"/>
        <v>1.5789473684210527E-2</v>
      </c>
    </row>
    <row r="17" spans="3:18" x14ac:dyDescent="0.25">
      <c r="C17" s="2">
        <f t="shared" ca="1" si="0"/>
        <v>1.0163019301701157</v>
      </c>
      <c r="D17" s="2">
        <f ca="1">IF($C17&lt;0,-$C17,alpha_1*$C17)</f>
        <v>1.0163019301701157</v>
      </c>
      <c r="E17" s="2">
        <f ca="1">IF($C17&lt;0,-$C17,alpha_1_2*$C17)</f>
        <v>0.50815096508505786</v>
      </c>
      <c r="F17" s="2">
        <f ca="1">IF($C17&lt;0,-$C17,alpha_0*$C17)</f>
        <v>0</v>
      </c>
      <c r="G17" s="2">
        <f ca="1">IF($C17&lt;0,-$C17,alpha__1_2*$C17)</f>
        <v>-0.50815096508505786</v>
      </c>
      <c r="H17" s="2">
        <f ca="1">IF($C17&lt;0,-$C17,alpha__1*$C17)</f>
        <v>-1.0163019301701157</v>
      </c>
      <c r="L17">
        <f t="shared" ca="1" si="2"/>
        <v>-0.99988363870650177</v>
      </c>
      <c r="M17" s="6">
        <f t="shared" ca="1" si="3"/>
        <v>7.3684210526315783E-2</v>
      </c>
      <c r="N17" s="6">
        <f t="shared" ca="1" si="4"/>
        <v>0</v>
      </c>
      <c r="O17" s="6">
        <f t="shared" ca="1" si="5"/>
        <v>0</v>
      </c>
      <c r="P17" s="6">
        <f t="shared" ca="1" si="6"/>
        <v>0</v>
      </c>
      <c r="Q17" s="6">
        <f t="shared" ca="1" si="7"/>
        <v>2.1052631578947368E-2</v>
      </c>
      <c r="R17" s="6">
        <f t="shared" ca="1" si="1"/>
        <v>5.7894736842105263E-2</v>
      </c>
    </row>
    <row r="18" spans="3:18" x14ac:dyDescent="0.25">
      <c r="C18" s="2">
        <f t="shared" ca="1" si="0"/>
        <v>-0.19101153906638782</v>
      </c>
      <c r="D18" s="2">
        <f ca="1">IF($C18&lt;0,-$C18,alpha_1*$C18)</f>
        <v>0.19101153906638782</v>
      </c>
      <c r="E18" s="2">
        <f ca="1">IF($C18&lt;0,-$C18,alpha_1_2*$C18)</f>
        <v>0.19101153906638782</v>
      </c>
      <c r="F18" s="2">
        <f ca="1">IF($C18&lt;0,-$C18,alpha_0*$C18)</f>
        <v>0.19101153906638782</v>
      </c>
      <c r="G18" s="2">
        <f ca="1">IF($C18&lt;0,-$C18,alpha__1_2*$C18)</f>
        <v>0.19101153906638782</v>
      </c>
      <c r="H18" s="2">
        <f ca="1">IF($C18&lt;0,-$C18,alpha__1*$C18)</f>
        <v>0.19101153906638782</v>
      </c>
      <c r="L18">
        <f t="shared" ca="1" si="2"/>
        <v>-0.59993018322390101</v>
      </c>
      <c r="M18" s="6">
        <f t="shared" ca="1" si="3"/>
        <v>0.11578947368421053</v>
      </c>
      <c r="N18" s="6">
        <f t="shared" ca="1" si="4"/>
        <v>0</v>
      </c>
      <c r="O18" s="6">
        <f t="shared" ca="1" si="5"/>
        <v>0</v>
      </c>
      <c r="P18" s="6">
        <f ca="1">+(COUNTIFS(F$11:F$200,"&lt;="&amp;$L18,F$11:F$200,"&gt;="&amp;$L17)/COUNT(F$11:F$200))</f>
        <v>0</v>
      </c>
      <c r="Q18" s="6">
        <f t="shared" ca="1" si="7"/>
        <v>3.6842105263157891E-2</v>
      </c>
      <c r="R18" s="6">
        <f t="shared" ca="1" si="1"/>
        <v>9.4736842105263161E-2</v>
      </c>
    </row>
    <row r="19" spans="3:18" x14ac:dyDescent="0.25">
      <c r="C19" s="2">
        <f t="shared" ca="1" si="0"/>
        <v>-0.98826266779266647</v>
      </c>
      <c r="D19" s="2">
        <f ca="1">IF($C19&lt;0,-$C19,alpha_1*$C19)</f>
        <v>0.98826266779266647</v>
      </c>
      <c r="E19" s="2">
        <f ca="1">IF($C19&lt;0,-$C19,alpha_1_2*$C19)</f>
        <v>0.98826266779266647</v>
      </c>
      <c r="F19" s="2">
        <f ca="1">IF($C19&lt;0,-$C19,alpha_0*$C19)</f>
        <v>0.98826266779266647</v>
      </c>
      <c r="G19" s="2">
        <f ca="1">IF($C19&lt;0,-$C19,alpha__1_2*$C19)</f>
        <v>0.98826266779266647</v>
      </c>
      <c r="H19" s="2">
        <f ca="1">IF($C19&lt;0,-$C19,alpha__1*$C19)</f>
        <v>0.98826266779266647</v>
      </c>
      <c r="L19">
        <f t="shared" ca="1" si="2"/>
        <v>-0.19997672774130021</v>
      </c>
      <c r="M19" s="6">
        <f t="shared" ca="1" si="3"/>
        <v>0.1736842105263158</v>
      </c>
      <c r="N19" s="6">
        <f t="shared" ca="1" si="4"/>
        <v>0</v>
      </c>
      <c r="O19" s="6">
        <f t="shared" ca="1" si="5"/>
        <v>0</v>
      </c>
      <c r="P19" s="6">
        <f t="shared" ca="1" si="6"/>
        <v>0</v>
      </c>
      <c r="Q19" s="6">
        <f t="shared" ca="1" si="7"/>
        <v>0.20526315789473684</v>
      </c>
      <c r="R19" s="6">
        <f t="shared" ca="1" si="1"/>
        <v>0.18421052631578946</v>
      </c>
    </row>
    <row r="20" spans="3:18" x14ac:dyDescent="0.25">
      <c r="C20" s="2">
        <f t="shared" ca="1" si="0"/>
        <v>1.0447422995428433</v>
      </c>
      <c r="D20" s="2">
        <f ca="1">IF($C20&lt;0,-$C20,alpha_1*$C20)</f>
        <v>1.0447422995428433</v>
      </c>
      <c r="E20" s="2">
        <f ca="1">IF($C20&lt;0,-$C20,alpha_1_2*$C20)</f>
        <v>0.52237114977142163</v>
      </c>
      <c r="F20" s="2">
        <f ca="1">IF($C20&lt;0,-$C20,alpha_0*$C20)</f>
        <v>0</v>
      </c>
      <c r="G20" s="2">
        <f ca="1">IF($C20&lt;0,-$C20,alpha__1_2*$C20)</f>
        <v>-0.52237114977142163</v>
      </c>
      <c r="H20" s="2">
        <f ca="1">IF($C20&lt;0,-$C20,alpha__1*$C20)</f>
        <v>-1.0447422995428433</v>
      </c>
      <c r="L20">
        <f t="shared" ca="1" si="2"/>
        <v>0.1999767277413006</v>
      </c>
      <c r="M20" s="6">
        <f t="shared" ca="1" si="3"/>
        <v>0.16315789473684211</v>
      </c>
      <c r="N20" s="6">
        <f t="shared" ca="1" si="4"/>
        <v>0.16315789473684211</v>
      </c>
      <c r="O20" s="6">
        <f t="shared" ca="1" si="5"/>
        <v>0.27368421052631581</v>
      </c>
      <c r="P20" s="6">
        <f t="shared" ca="1" si="6"/>
        <v>0.54210526315789476</v>
      </c>
      <c r="Q20" s="6">
        <f t="shared" ca="1" si="7"/>
        <v>0.27368421052631581</v>
      </c>
      <c r="R20" s="6">
        <f t="shared" ca="1" si="1"/>
        <v>0.16315789473684211</v>
      </c>
    </row>
    <row r="21" spans="3:18" x14ac:dyDescent="0.25">
      <c r="C21" s="2">
        <f t="shared" ca="1" si="0"/>
        <v>0.30762473133947588</v>
      </c>
      <c r="D21" s="2">
        <f ca="1">IF($C21&lt;0,-$C21,alpha_1*$C21)</f>
        <v>0.30762473133947588</v>
      </c>
      <c r="E21" s="2">
        <f ca="1">IF($C21&lt;0,-$C21,alpha_1_2*$C21)</f>
        <v>0.15381236566973794</v>
      </c>
      <c r="F21" s="2">
        <f ca="1">IF($C21&lt;0,-$C21,alpha_0*$C21)</f>
        <v>0</v>
      </c>
      <c r="G21" s="2">
        <f ca="1">IF($C21&lt;0,-$C21,alpha__1_2*$C21)</f>
        <v>-0.15381236566973794</v>
      </c>
      <c r="H21" s="2">
        <f ca="1">IF($C21&lt;0,-$C21,alpha__1*$C21)</f>
        <v>-0.30762473133947588</v>
      </c>
      <c r="L21">
        <f t="shared" ca="1" si="2"/>
        <v>0.59993018322390146</v>
      </c>
      <c r="M21" s="6">
        <f t="shared" ca="1" si="3"/>
        <v>0.18421052631578946</v>
      </c>
      <c r="N21" s="6">
        <f t="shared" ca="1" si="4"/>
        <v>0.35789473684210527</v>
      </c>
      <c r="O21" s="6">
        <f t="shared" ca="1" si="5"/>
        <v>0.37894736842105264</v>
      </c>
      <c r="P21" s="6">
        <f t="shared" ca="1" si="6"/>
        <v>0.1736842105263158</v>
      </c>
      <c r="Q21" s="6">
        <f t="shared" ca="1" si="7"/>
        <v>0.1736842105263158</v>
      </c>
      <c r="R21" s="6">
        <f t="shared" ca="1" si="1"/>
        <v>0.1736842105263158</v>
      </c>
    </row>
    <row r="22" spans="3:18" x14ac:dyDescent="0.25">
      <c r="C22" s="2">
        <f t="shared" ca="1" si="0"/>
        <v>-0.30069075504882214</v>
      </c>
      <c r="D22" s="2">
        <f ca="1">IF($C22&lt;0,-$C22,alpha_1*$C22)</f>
        <v>0.30069075504882214</v>
      </c>
      <c r="E22" s="2">
        <f ca="1">IF($C22&lt;0,-$C22,alpha_1_2*$C22)</f>
        <v>0.30069075504882214</v>
      </c>
      <c r="F22" s="2">
        <f ca="1">IF($C22&lt;0,-$C22,alpha_0*$C22)</f>
        <v>0.30069075504882214</v>
      </c>
      <c r="G22" s="2">
        <f ca="1">IF($C22&lt;0,-$C22,alpha__1_2*$C22)</f>
        <v>0.30069075504882214</v>
      </c>
      <c r="H22" s="2">
        <f ca="1">IF($C22&lt;0,-$C22,alpha__1*$C22)</f>
        <v>0.30069075504882214</v>
      </c>
      <c r="L22">
        <f t="shared" ca="1" si="2"/>
        <v>0.99988363870650221</v>
      </c>
      <c r="M22" s="6">
        <f t="shared" ca="1" si="3"/>
        <v>9.4736842105263161E-2</v>
      </c>
      <c r="N22" s="6">
        <f t="shared" ca="1" si="4"/>
        <v>0.21052631578947367</v>
      </c>
      <c r="O22" s="6">
        <f t="shared" ca="1" si="5"/>
        <v>0.15263157894736842</v>
      </c>
      <c r="P22" s="6">
        <f t="shared" ca="1" si="6"/>
        <v>0.11578947368421053</v>
      </c>
      <c r="Q22" s="6">
        <f t="shared" ca="1" si="7"/>
        <v>0.11578947368421053</v>
      </c>
      <c r="R22" s="6">
        <f t="shared" ca="1" si="1"/>
        <v>0.11578947368421053</v>
      </c>
    </row>
    <row r="23" spans="3:18" x14ac:dyDescent="0.25">
      <c r="C23" s="2">
        <f t="shared" ca="1" si="0"/>
        <v>-1.6903130739462153</v>
      </c>
      <c r="D23" s="2">
        <f ca="1">IF($C23&lt;0,-$C23,alpha_1*$C23)</f>
        <v>1.6903130739462153</v>
      </c>
      <c r="E23" s="2">
        <f ca="1">IF($C23&lt;0,-$C23,alpha_1_2*$C23)</f>
        <v>1.6903130739462153</v>
      </c>
      <c r="F23" s="2">
        <f ca="1">IF($C23&lt;0,-$C23,alpha_0*$C23)</f>
        <v>1.6903130739462153</v>
      </c>
      <c r="G23" s="2">
        <f ca="1">IF($C23&lt;0,-$C23,alpha__1_2*$C23)</f>
        <v>1.6903130739462153</v>
      </c>
      <c r="H23" s="2">
        <f ca="1">IF($C23&lt;0,-$C23,alpha__1*$C23)</f>
        <v>1.6903130739462153</v>
      </c>
      <c r="L23">
        <f t="shared" ca="1" si="2"/>
        <v>1.399837094189103</v>
      </c>
      <c r="M23" s="6">
        <f t="shared" ca="1" si="3"/>
        <v>5.7894736842105263E-2</v>
      </c>
      <c r="N23" s="6">
        <f t="shared" ca="1" si="4"/>
        <v>0.13157894736842105</v>
      </c>
      <c r="O23" s="6">
        <f t="shared" ca="1" si="5"/>
        <v>9.4736842105263161E-2</v>
      </c>
      <c r="P23" s="6">
        <f t="shared" ca="1" si="6"/>
        <v>7.3684210526315783E-2</v>
      </c>
      <c r="Q23" s="6">
        <f t="shared" ca="1" si="7"/>
        <v>7.3684210526315783E-2</v>
      </c>
      <c r="R23" s="6">
        <f t="shared" ca="1" si="1"/>
        <v>7.3684210526315783E-2</v>
      </c>
    </row>
    <row r="24" spans="3:18" x14ac:dyDescent="0.25">
      <c r="C24" s="2">
        <f t="shared" ca="1" si="0"/>
        <v>0.59063300989512157</v>
      </c>
      <c r="D24" s="2">
        <f ca="1">IF($C24&lt;0,-$C24,alpha_1*$C24)</f>
        <v>0.59063300989512157</v>
      </c>
      <c r="E24" s="2">
        <f ca="1">IF($C24&lt;0,-$C24,alpha_1_2*$C24)</f>
        <v>0.29531650494756079</v>
      </c>
      <c r="F24" s="2">
        <f ca="1">IF($C24&lt;0,-$C24,alpha_0*$C24)</f>
        <v>0</v>
      </c>
      <c r="G24" s="2">
        <f ca="1">IF($C24&lt;0,-$C24,alpha__1_2*$C24)</f>
        <v>-0.29531650494756079</v>
      </c>
      <c r="H24" s="2">
        <f ca="1">IF($C24&lt;0,-$C24,alpha__1*$C24)</f>
        <v>-0.59063300989512157</v>
      </c>
      <c r="L24">
        <f t="shared" ca="1" si="2"/>
        <v>1.7997905496717037</v>
      </c>
      <c r="M24" s="6">
        <f t="shared" ca="1" si="3"/>
        <v>1.5789473684210527E-2</v>
      </c>
      <c r="N24" s="6">
        <f t="shared" ca="1" si="4"/>
        <v>0.10526315789473684</v>
      </c>
      <c r="O24" s="6">
        <f t="shared" ca="1" si="5"/>
        <v>9.4736842105263161E-2</v>
      </c>
      <c r="P24" s="6">
        <f t="shared" ca="1" si="6"/>
        <v>8.9473684210526316E-2</v>
      </c>
      <c r="Q24" s="6">
        <f t="shared" ca="1" si="7"/>
        <v>8.9473684210526316E-2</v>
      </c>
      <c r="R24" s="6">
        <f t="shared" ca="1" si="1"/>
        <v>8.9473684210526316E-2</v>
      </c>
    </row>
    <row r="25" spans="3:18" x14ac:dyDescent="0.25">
      <c r="C25" s="2">
        <f t="shared" ca="1" si="0"/>
        <v>0.52118013603369684</v>
      </c>
      <c r="D25" s="2">
        <f ca="1">IF($C25&lt;0,-$C25,alpha_1*$C25)</f>
        <v>0.52118013603369684</v>
      </c>
      <c r="E25" s="2">
        <f ca="1">IF($C25&lt;0,-$C25,alpha_1_2*$C25)</f>
        <v>0.26059006801684842</v>
      </c>
      <c r="F25" s="2">
        <f ca="1">IF($C25&lt;0,-$C25,alpha_0*$C25)</f>
        <v>0</v>
      </c>
      <c r="G25" s="2">
        <f ca="1">IF($C25&lt;0,-$C25,alpha__1_2*$C25)</f>
        <v>-0.26059006801684842</v>
      </c>
      <c r="H25" s="2">
        <f ca="1">IF($C25&lt;0,-$C25,alpha__1*$C25)</f>
        <v>-0.52118013603369684</v>
      </c>
      <c r="L25">
        <f t="shared" ca="1" si="2"/>
        <v>2.1997440051543045</v>
      </c>
      <c r="M25" s="6">
        <f t="shared" ca="1" si="3"/>
        <v>1.0526315789473684E-2</v>
      </c>
      <c r="N25" s="6">
        <f t="shared" ca="1" si="4"/>
        <v>1.5789473684210527E-2</v>
      </c>
      <c r="O25" s="6">
        <f t="shared" ca="1" si="5"/>
        <v>5.263157894736842E-3</v>
      </c>
      <c r="P25" s="6">
        <f t="shared" ca="1" si="6"/>
        <v>5.263157894736842E-3</v>
      </c>
      <c r="Q25" s="6">
        <f t="shared" ca="1" si="7"/>
        <v>5.263157894736842E-3</v>
      </c>
      <c r="R25" s="6">
        <f t="shared" ca="1" si="1"/>
        <v>5.263157894736842E-3</v>
      </c>
    </row>
    <row r="26" spans="3:18" x14ac:dyDescent="0.25">
      <c r="C26" s="2">
        <f t="shared" ca="1" si="0"/>
        <v>0.55925635446836441</v>
      </c>
      <c r="D26" s="2">
        <f ca="1">IF($C26&lt;0,-$C26,alpha_1*$C26)</f>
        <v>0.55925635446836441</v>
      </c>
      <c r="E26" s="2">
        <f ca="1">IF($C26&lt;0,-$C26,alpha_1_2*$C26)</f>
        <v>0.27962817723418221</v>
      </c>
      <c r="F26" s="2">
        <f ca="1">IF($C26&lt;0,-$C26,alpha_0*$C26)</f>
        <v>0</v>
      </c>
      <c r="G26" s="2">
        <f ca="1">IF($C26&lt;0,-$C26,alpha__1_2*$C26)</f>
        <v>-0.27962817723418221</v>
      </c>
      <c r="H26" s="2">
        <f ca="1">IF($C26&lt;0,-$C26,alpha__1*$C26)</f>
        <v>-0.55925635446836441</v>
      </c>
      <c r="L26">
        <f t="shared" ca="1" si="2"/>
        <v>2.5996974606369054</v>
      </c>
      <c r="M26" s="6">
        <f t="shared" ca="1" si="3"/>
        <v>1.0526315789473684E-2</v>
      </c>
      <c r="N26" s="6">
        <f t="shared" ca="1" si="4"/>
        <v>1.0526315789473684E-2</v>
      </c>
      <c r="O26" s="6">
        <f t="shared" ca="1" si="5"/>
        <v>0</v>
      </c>
      <c r="P26" s="6">
        <f t="shared" ca="1" si="6"/>
        <v>0</v>
      </c>
      <c r="Q26" s="6">
        <f t="shared" ca="1" si="7"/>
        <v>0</v>
      </c>
      <c r="R26" s="6">
        <f t="shared" ca="1" si="1"/>
        <v>0</v>
      </c>
    </row>
    <row r="27" spans="3:18" x14ac:dyDescent="0.25">
      <c r="C27" s="2">
        <f t="shared" ca="1" si="0"/>
        <v>0.36087600795520747</v>
      </c>
      <c r="D27" s="2">
        <f ca="1">IF($C27&lt;0,-$C27,alpha_1*$C27)</f>
        <v>0.36087600795520747</v>
      </c>
      <c r="E27" s="2">
        <f ca="1">IF($C27&lt;0,-$C27,alpha_1_2*$C27)</f>
        <v>0.18043800397760373</v>
      </c>
      <c r="F27" s="2">
        <f ca="1">IF($C27&lt;0,-$C27,alpha_0*$C27)</f>
        <v>0</v>
      </c>
      <c r="G27" s="2">
        <f ca="1">IF($C27&lt;0,-$C27,alpha__1_2*$C27)</f>
        <v>-0.18043800397760373</v>
      </c>
      <c r="H27" s="2">
        <f ca="1">IF($C27&lt;0,-$C27,alpha__1*$C27)</f>
        <v>-0.36087600795520747</v>
      </c>
      <c r="L27">
        <f t="shared" ca="1" si="2"/>
        <v>2.9996509161195064</v>
      </c>
      <c r="M27" s="6">
        <f t="shared" ca="1" si="3"/>
        <v>5.263157894736842E-3</v>
      </c>
      <c r="N27" s="6">
        <f t="shared" ca="1" si="4"/>
        <v>5.263157894736842E-3</v>
      </c>
      <c r="O27" s="6">
        <f t="shared" ca="1" si="5"/>
        <v>0</v>
      </c>
      <c r="P27" s="6">
        <f t="shared" ca="1" si="6"/>
        <v>0</v>
      </c>
      <c r="Q27" s="6">
        <f t="shared" ca="1" si="7"/>
        <v>0</v>
      </c>
      <c r="R27" s="6">
        <f t="shared" ca="1" si="1"/>
        <v>0</v>
      </c>
    </row>
    <row r="28" spans="3:18" x14ac:dyDescent="0.25">
      <c r="C28" s="2">
        <f t="shared" ca="1" si="0"/>
        <v>-0.49902099081577034</v>
      </c>
      <c r="D28" s="2">
        <f ca="1">IF($C28&lt;0,-$C28,alpha_1*$C28)</f>
        <v>0.49902099081577034</v>
      </c>
      <c r="E28" s="2">
        <f ca="1">IF($C28&lt;0,-$C28,alpha_1_2*$C28)</f>
        <v>0.49902099081577034</v>
      </c>
      <c r="F28" s="2">
        <f ca="1">IF($C28&lt;0,-$C28,alpha_0*$C28)</f>
        <v>0.49902099081577034</v>
      </c>
      <c r="G28" s="2">
        <f ca="1">IF($C28&lt;0,-$C28,alpha__1_2*$C28)</f>
        <v>0.49902099081577034</v>
      </c>
      <c r="H28" s="2">
        <f ca="1">IF($C28&lt;0,-$C28,alpha__1*$C28)</f>
        <v>0.49902099081577034</v>
      </c>
    </row>
    <row r="29" spans="3:18" x14ac:dyDescent="0.25">
      <c r="C29" s="2">
        <f t="shared" ca="1" si="0"/>
        <v>-0.40375538752415496</v>
      </c>
      <c r="D29" s="2">
        <f ca="1">IF($C29&lt;0,-$C29,alpha_1*$C29)</f>
        <v>0.40375538752415496</v>
      </c>
      <c r="E29" s="2">
        <f ca="1">IF($C29&lt;0,-$C29,alpha_1_2*$C29)</f>
        <v>0.40375538752415496</v>
      </c>
      <c r="F29" s="2">
        <f ca="1">IF($C29&lt;0,-$C29,alpha_0*$C29)</f>
        <v>0.40375538752415496</v>
      </c>
      <c r="G29" s="2">
        <f ca="1">IF($C29&lt;0,-$C29,alpha__1_2*$C29)</f>
        <v>0.40375538752415496</v>
      </c>
      <c r="H29" s="2">
        <f ca="1">IF($C29&lt;0,-$C29,alpha__1*$C29)</f>
        <v>0.40375538752415496</v>
      </c>
    </row>
    <row r="30" spans="3:18" x14ac:dyDescent="0.25">
      <c r="C30" s="2">
        <f t="shared" ca="1" si="0"/>
        <v>0.86243234673250824</v>
      </c>
      <c r="D30" s="2">
        <f ca="1">IF($C30&lt;0,-$C30,alpha_1*$C30)</f>
        <v>0.86243234673250824</v>
      </c>
      <c r="E30" s="2">
        <f ca="1">IF($C30&lt;0,-$C30,alpha_1_2*$C30)</f>
        <v>0.43121617336625412</v>
      </c>
      <c r="F30" s="2">
        <f ca="1">IF($C30&lt;0,-$C30,alpha_0*$C30)</f>
        <v>0</v>
      </c>
      <c r="G30" s="2">
        <f ca="1">IF($C30&lt;0,-$C30,alpha__1_2*$C30)</f>
        <v>-0.43121617336625412</v>
      </c>
      <c r="H30" s="2">
        <f ca="1">IF($C30&lt;0,-$C30,alpha__1*$C30)</f>
        <v>-0.86243234673250824</v>
      </c>
    </row>
    <row r="31" spans="3:18" x14ac:dyDescent="0.25">
      <c r="C31" s="2">
        <f t="shared" ca="1" si="0"/>
        <v>0.38091236988229471</v>
      </c>
      <c r="D31" s="2">
        <f ca="1">IF($C31&lt;0,-$C31,alpha_1*$C31)</f>
        <v>0.38091236988229471</v>
      </c>
      <c r="E31" s="2">
        <f ca="1">IF($C31&lt;0,-$C31,alpha_1_2*$C31)</f>
        <v>0.19045618494114736</v>
      </c>
      <c r="F31" s="2">
        <f ca="1">IF($C31&lt;0,-$C31,alpha_0*$C31)</f>
        <v>0</v>
      </c>
      <c r="G31" s="2">
        <f ca="1">IF($C31&lt;0,-$C31,alpha__1_2*$C31)</f>
        <v>-0.19045618494114736</v>
      </c>
      <c r="H31" s="2">
        <f ca="1">IF($C31&lt;0,-$C31,alpha__1*$C31)</f>
        <v>-0.38091236988229471</v>
      </c>
    </row>
    <row r="32" spans="3:18" x14ac:dyDescent="0.25">
      <c r="C32" s="2">
        <f t="shared" ca="1" si="0"/>
        <v>-1.0919606552141619</v>
      </c>
      <c r="D32" s="2">
        <f ca="1">IF($C32&lt;0,-$C32,alpha_1*$C32)</f>
        <v>1.0919606552141619</v>
      </c>
      <c r="E32" s="2">
        <f ca="1">IF($C32&lt;0,-$C32,alpha_1_2*$C32)</f>
        <v>1.0919606552141619</v>
      </c>
      <c r="F32" s="2">
        <f ca="1">IF($C32&lt;0,-$C32,alpha_0*$C32)</f>
        <v>1.0919606552141619</v>
      </c>
      <c r="G32" s="2">
        <f ca="1">IF($C32&lt;0,-$C32,alpha__1_2*$C32)</f>
        <v>1.0919606552141619</v>
      </c>
      <c r="H32" s="2">
        <f ca="1">IF($C32&lt;0,-$C32,alpha__1*$C32)</f>
        <v>1.0919606552141619</v>
      </c>
    </row>
    <row r="33" spans="3:8" x14ac:dyDescent="0.25">
      <c r="C33" s="2">
        <f t="shared" ca="1" si="0"/>
        <v>0.56285078120313403</v>
      </c>
      <c r="D33" s="2">
        <f ca="1">IF($C33&lt;0,-$C33,alpha_1*$C33)</f>
        <v>0.56285078120313403</v>
      </c>
      <c r="E33" s="2">
        <f ca="1">IF($C33&lt;0,-$C33,alpha_1_2*$C33)</f>
        <v>0.28142539060156702</v>
      </c>
      <c r="F33" s="2">
        <f ca="1">IF($C33&lt;0,-$C33,alpha_0*$C33)</f>
        <v>0</v>
      </c>
      <c r="G33" s="2">
        <f ca="1">IF($C33&lt;0,-$C33,alpha__1_2*$C33)</f>
        <v>-0.28142539060156702</v>
      </c>
      <c r="H33" s="2">
        <f ca="1">IF($C33&lt;0,-$C33,alpha__1*$C33)</f>
        <v>-0.56285078120313403</v>
      </c>
    </row>
    <row r="34" spans="3:8" x14ac:dyDescent="0.25">
      <c r="C34" s="2">
        <f t="shared" ca="1" si="0"/>
        <v>0.2761029451519682</v>
      </c>
      <c r="D34" s="2">
        <f ca="1">IF($C34&lt;0,-$C34,alpha_1*$C34)</f>
        <v>0.2761029451519682</v>
      </c>
      <c r="E34" s="2">
        <f ca="1">IF($C34&lt;0,-$C34,alpha_1_2*$C34)</f>
        <v>0.1380514725759841</v>
      </c>
      <c r="F34" s="2">
        <f ca="1">IF($C34&lt;0,-$C34,alpha_0*$C34)</f>
        <v>0</v>
      </c>
      <c r="G34" s="2">
        <f ca="1">IF($C34&lt;0,-$C34,alpha__1_2*$C34)</f>
        <v>-0.1380514725759841</v>
      </c>
      <c r="H34" s="2">
        <f ca="1">IF($C34&lt;0,-$C34,alpha__1*$C34)</f>
        <v>-0.2761029451519682</v>
      </c>
    </row>
    <row r="35" spans="3:8" x14ac:dyDescent="0.25">
      <c r="C35" s="2">
        <f t="shared" ca="1" si="0"/>
        <v>-1.5543688205752506</v>
      </c>
      <c r="D35" s="2">
        <f ca="1">IF($C35&lt;0,-$C35,alpha_1*$C35)</f>
        <v>1.5543688205752506</v>
      </c>
      <c r="E35" s="2">
        <f ca="1">IF($C35&lt;0,-$C35,alpha_1_2*$C35)</f>
        <v>1.5543688205752506</v>
      </c>
      <c r="F35" s="2">
        <f ca="1">IF($C35&lt;0,-$C35,alpha_0*$C35)</f>
        <v>1.5543688205752506</v>
      </c>
      <c r="G35" s="2">
        <f ca="1">IF($C35&lt;0,-$C35,alpha__1_2*$C35)</f>
        <v>1.5543688205752506</v>
      </c>
      <c r="H35" s="2">
        <f ca="1">IF($C35&lt;0,-$C35,alpha__1*$C35)</f>
        <v>1.5543688205752506</v>
      </c>
    </row>
    <row r="36" spans="3:8" x14ac:dyDescent="0.25">
      <c r="C36" s="2">
        <f t="shared" ca="1" si="0"/>
        <v>0.17064814072833728</v>
      </c>
      <c r="D36" s="2">
        <f ca="1">IF($C36&lt;0,-$C36,alpha_1*$C36)</f>
        <v>0.17064814072833728</v>
      </c>
      <c r="E36" s="2">
        <f ca="1">IF($C36&lt;0,-$C36,alpha_1_2*$C36)</f>
        <v>8.5324070364168642E-2</v>
      </c>
      <c r="F36" s="2">
        <f ca="1">IF($C36&lt;0,-$C36,alpha_0*$C36)</f>
        <v>0</v>
      </c>
      <c r="G36" s="2">
        <f ca="1">IF($C36&lt;0,-$C36,alpha__1_2*$C36)</f>
        <v>-8.5324070364168642E-2</v>
      </c>
      <c r="H36" s="2">
        <f ca="1">IF($C36&lt;0,-$C36,alpha__1*$C36)</f>
        <v>-0.17064814072833728</v>
      </c>
    </row>
    <row r="37" spans="3:8" x14ac:dyDescent="0.25">
      <c r="C37" s="2">
        <f t="shared" ca="1" si="0"/>
        <v>0.51632939483021012</v>
      </c>
      <c r="D37" s="2">
        <f ca="1">IF($C37&lt;0,-$C37,alpha_1*$C37)</f>
        <v>0.51632939483021012</v>
      </c>
      <c r="E37" s="2">
        <f ca="1">IF($C37&lt;0,-$C37,alpha_1_2*$C37)</f>
        <v>0.25816469741510506</v>
      </c>
      <c r="F37" s="2">
        <f ca="1">IF($C37&lt;0,-$C37,alpha_0*$C37)</f>
        <v>0</v>
      </c>
      <c r="G37" s="2">
        <f ca="1">IF($C37&lt;0,-$C37,alpha__1_2*$C37)</f>
        <v>-0.25816469741510506</v>
      </c>
      <c r="H37" s="2">
        <f ca="1">IF($C37&lt;0,-$C37,alpha__1*$C37)</f>
        <v>-0.51632939483021012</v>
      </c>
    </row>
    <row r="38" spans="3:8" x14ac:dyDescent="0.25">
      <c r="C38" s="2">
        <f t="shared" ca="1" si="0"/>
        <v>-1.0613107438676306</v>
      </c>
      <c r="D38" s="2">
        <f ca="1">IF($C38&lt;0,-$C38,alpha_1*$C38)</f>
        <v>1.0613107438676306</v>
      </c>
      <c r="E38" s="2">
        <f ca="1">IF($C38&lt;0,-$C38,alpha_1_2*$C38)</f>
        <v>1.0613107438676306</v>
      </c>
      <c r="F38" s="2">
        <f ca="1">IF($C38&lt;0,-$C38,alpha_0*$C38)</f>
        <v>1.0613107438676306</v>
      </c>
      <c r="G38" s="2">
        <f ca="1">IF($C38&lt;0,-$C38,alpha__1_2*$C38)</f>
        <v>1.0613107438676306</v>
      </c>
      <c r="H38" s="2">
        <f ca="1">IF($C38&lt;0,-$C38,alpha__1*$C38)</f>
        <v>1.0613107438676306</v>
      </c>
    </row>
    <row r="39" spans="3:8" x14ac:dyDescent="0.25">
      <c r="C39" s="2">
        <f t="shared" ca="1" si="0"/>
        <v>-1.4382155761526343</v>
      </c>
      <c r="D39" s="2">
        <f ca="1">IF($C39&lt;0,-$C39,alpha_1*$C39)</f>
        <v>1.4382155761526343</v>
      </c>
      <c r="E39" s="2">
        <f ca="1">IF($C39&lt;0,-$C39,alpha_1_2*$C39)</f>
        <v>1.4382155761526343</v>
      </c>
      <c r="F39" s="2">
        <f ca="1">IF($C39&lt;0,-$C39,alpha_0*$C39)</f>
        <v>1.4382155761526343</v>
      </c>
      <c r="G39" s="2">
        <f ca="1">IF($C39&lt;0,-$C39,alpha__1_2*$C39)</f>
        <v>1.4382155761526343</v>
      </c>
      <c r="H39" s="2">
        <f ca="1">IF($C39&lt;0,-$C39,alpha__1*$C39)</f>
        <v>1.4382155761526343</v>
      </c>
    </row>
    <row r="40" spans="3:8" x14ac:dyDescent="0.25">
      <c r="C40" s="2">
        <f t="shared" ca="1" si="0"/>
        <v>0.26763187283433199</v>
      </c>
      <c r="D40" s="2">
        <f ca="1">IF($C40&lt;0,-$C40,alpha_1*$C40)</f>
        <v>0.26763187283433199</v>
      </c>
      <c r="E40" s="2">
        <f ca="1">IF($C40&lt;0,-$C40,alpha_1_2*$C40)</f>
        <v>0.13381593641716599</v>
      </c>
      <c r="F40" s="2">
        <f ca="1">IF($C40&lt;0,-$C40,alpha_0*$C40)</f>
        <v>0</v>
      </c>
      <c r="G40" s="2">
        <f ca="1">IF($C40&lt;0,-$C40,alpha__1_2*$C40)</f>
        <v>-0.13381593641716599</v>
      </c>
      <c r="H40" s="2">
        <f ca="1">IF($C40&lt;0,-$C40,alpha__1*$C40)</f>
        <v>-0.26763187283433199</v>
      </c>
    </row>
    <row r="41" spans="3:8" x14ac:dyDescent="0.25">
      <c r="C41" s="2">
        <f t="shared" ca="1" si="0"/>
        <v>-3.713163913565528E-2</v>
      </c>
      <c r="D41" s="2">
        <f ca="1">IF($C41&lt;0,-$C41,alpha_1*$C41)</f>
        <v>3.713163913565528E-2</v>
      </c>
      <c r="E41" s="2">
        <f ca="1">IF($C41&lt;0,-$C41,alpha_1_2*$C41)</f>
        <v>3.713163913565528E-2</v>
      </c>
      <c r="F41" s="2">
        <f ca="1">IF($C41&lt;0,-$C41,alpha_0*$C41)</f>
        <v>3.713163913565528E-2</v>
      </c>
      <c r="G41" s="2">
        <f ca="1">IF($C41&lt;0,-$C41,alpha__1_2*$C41)</f>
        <v>3.713163913565528E-2</v>
      </c>
      <c r="H41" s="2">
        <f ca="1">IF($C41&lt;0,-$C41,alpha__1*$C41)</f>
        <v>3.713163913565528E-2</v>
      </c>
    </row>
    <row r="42" spans="3:8" x14ac:dyDescent="0.25">
      <c r="C42" s="2">
        <f t="shared" ca="1" si="0"/>
        <v>-6.5342377029887183E-2</v>
      </c>
      <c r="D42" s="2">
        <f ca="1">IF($C42&lt;0,-$C42,alpha_1*$C42)</f>
        <v>6.5342377029887183E-2</v>
      </c>
      <c r="E42" s="2">
        <f ca="1">IF($C42&lt;0,-$C42,alpha_1_2*$C42)</f>
        <v>6.5342377029887183E-2</v>
      </c>
      <c r="F42" s="2">
        <f ca="1">IF($C42&lt;0,-$C42,alpha_0*$C42)</f>
        <v>6.5342377029887183E-2</v>
      </c>
      <c r="G42" s="2">
        <f ca="1">IF($C42&lt;0,-$C42,alpha__1_2*$C42)</f>
        <v>6.5342377029887183E-2</v>
      </c>
      <c r="H42" s="2">
        <f ca="1">IF($C42&lt;0,-$C42,alpha__1*$C42)</f>
        <v>6.5342377029887183E-2</v>
      </c>
    </row>
    <row r="43" spans="3:8" x14ac:dyDescent="0.25">
      <c r="C43" s="2">
        <f t="shared" ca="1" si="0"/>
        <v>-1.0114385525839138</v>
      </c>
      <c r="D43" s="2">
        <f ca="1">IF($C43&lt;0,-$C43,alpha_1*$C43)</f>
        <v>1.0114385525839138</v>
      </c>
      <c r="E43" s="2">
        <f ca="1">IF($C43&lt;0,-$C43,alpha_1_2*$C43)</f>
        <v>1.0114385525839138</v>
      </c>
      <c r="F43" s="2">
        <f ca="1">IF($C43&lt;0,-$C43,alpha_0*$C43)</f>
        <v>1.0114385525839138</v>
      </c>
      <c r="G43" s="2">
        <f ca="1">IF($C43&lt;0,-$C43,alpha__1_2*$C43)</f>
        <v>1.0114385525839138</v>
      </c>
      <c r="H43" s="2">
        <f ca="1">IF($C43&lt;0,-$C43,alpha__1*$C43)</f>
        <v>1.0114385525839138</v>
      </c>
    </row>
    <row r="44" spans="3:8" x14ac:dyDescent="0.25">
      <c r="C44" s="2">
        <f t="shared" ca="1" si="0"/>
        <v>-0.19483599267331869</v>
      </c>
      <c r="D44" s="2">
        <f ca="1">IF($C44&lt;0,-$C44,alpha_1*$C44)</f>
        <v>0.19483599267331869</v>
      </c>
      <c r="E44" s="2">
        <f ca="1">IF($C44&lt;0,-$C44,alpha_1_2*$C44)</f>
        <v>0.19483599267331869</v>
      </c>
      <c r="F44" s="2">
        <f ca="1">IF($C44&lt;0,-$C44,alpha_0*$C44)</f>
        <v>0.19483599267331869</v>
      </c>
      <c r="G44" s="2">
        <f ca="1">IF($C44&lt;0,-$C44,alpha__1_2*$C44)</f>
        <v>0.19483599267331869</v>
      </c>
      <c r="H44" s="2">
        <f ca="1">IF($C44&lt;0,-$C44,alpha__1*$C44)</f>
        <v>0.19483599267331869</v>
      </c>
    </row>
    <row r="45" spans="3:8" x14ac:dyDescent="0.25">
      <c r="C45" s="2">
        <f t="shared" ca="1" si="0"/>
        <v>-1.4853754704464615</v>
      </c>
      <c r="D45" s="2">
        <f ca="1">IF($C45&lt;0,-$C45,alpha_1*$C45)</f>
        <v>1.4853754704464615</v>
      </c>
      <c r="E45" s="2">
        <f ca="1">IF($C45&lt;0,-$C45,alpha_1_2*$C45)</f>
        <v>1.4853754704464615</v>
      </c>
      <c r="F45" s="2">
        <f ca="1">IF($C45&lt;0,-$C45,alpha_0*$C45)</f>
        <v>1.4853754704464615</v>
      </c>
      <c r="G45" s="2">
        <f ca="1">IF($C45&lt;0,-$C45,alpha__1_2*$C45)</f>
        <v>1.4853754704464615</v>
      </c>
      <c r="H45" s="2">
        <f ca="1">IF($C45&lt;0,-$C45,alpha__1*$C45)</f>
        <v>1.4853754704464615</v>
      </c>
    </row>
    <row r="46" spans="3:8" x14ac:dyDescent="0.25">
      <c r="C46" s="2">
        <f t="shared" ca="1" si="0"/>
        <v>-1.2757749934642417</v>
      </c>
      <c r="D46" s="2">
        <f ca="1">IF($C46&lt;0,-$C46,alpha_1*$C46)</f>
        <v>1.2757749934642417</v>
      </c>
      <c r="E46" s="2">
        <f ca="1">IF($C46&lt;0,-$C46,alpha_1_2*$C46)</f>
        <v>1.2757749934642417</v>
      </c>
      <c r="F46" s="2">
        <f ca="1">IF($C46&lt;0,-$C46,alpha_0*$C46)</f>
        <v>1.2757749934642417</v>
      </c>
      <c r="G46" s="2">
        <f ca="1">IF($C46&lt;0,-$C46,alpha__1_2*$C46)</f>
        <v>1.2757749934642417</v>
      </c>
      <c r="H46" s="2">
        <f ca="1">IF($C46&lt;0,-$C46,alpha__1*$C46)</f>
        <v>1.2757749934642417</v>
      </c>
    </row>
    <row r="47" spans="3:8" x14ac:dyDescent="0.25">
      <c r="C47" s="2">
        <f t="shared" ca="1" si="0"/>
        <v>0.20438297212689474</v>
      </c>
      <c r="D47" s="2">
        <f ca="1">IF($C47&lt;0,-$C47,alpha_1*$C47)</f>
        <v>0.20438297212689474</v>
      </c>
      <c r="E47" s="2">
        <f ca="1">IF($C47&lt;0,-$C47,alpha_1_2*$C47)</f>
        <v>0.10219148606344737</v>
      </c>
      <c r="F47" s="2">
        <f ca="1">IF($C47&lt;0,-$C47,alpha_0*$C47)</f>
        <v>0</v>
      </c>
      <c r="G47" s="2">
        <f ca="1">IF($C47&lt;0,-$C47,alpha__1_2*$C47)</f>
        <v>-0.10219148606344737</v>
      </c>
      <c r="H47" s="2">
        <f ca="1">IF($C47&lt;0,-$C47,alpha__1*$C47)</f>
        <v>-0.20438297212689474</v>
      </c>
    </row>
    <row r="48" spans="3:8" x14ac:dyDescent="0.25">
      <c r="C48" s="2">
        <f t="shared" ca="1" si="0"/>
        <v>0.60350183923177225</v>
      </c>
      <c r="D48" s="2">
        <f ca="1">IF($C48&lt;0,-$C48,alpha_1*$C48)</f>
        <v>0.60350183923177225</v>
      </c>
      <c r="E48" s="2">
        <f ca="1">IF($C48&lt;0,-$C48,alpha_1_2*$C48)</f>
        <v>0.30175091961588613</v>
      </c>
      <c r="F48" s="2">
        <f ca="1">IF($C48&lt;0,-$C48,alpha_0*$C48)</f>
        <v>0</v>
      </c>
      <c r="G48" s="2">
        <f ca="1">IF($C48&lt;0,-$C48,alpha__1_2*$C48)</f>
        <v>-0.30175091961588613</v>
      </c>
      <c r="H48" s="2">
        <f ca="1">IF($C48&lt;0,-$C48,alpha__1*$C48)</f>
        <v>-0.60350183923177225</v>
      </c>
    </row>
    <row r="49" spans="3:8" x14ac:dyDescent="0.25">
      <c r="C49" s="2">
        <f t="shared" ca="1" si="0"/>
        <v>2.0054099265199832</v>
      </c>
      <c r="D49" s="2">
        <f ca="1">IF($C49&lt;0,-$C49,alpha_1*$C49)</f>
        <v>2.0054099265199832</v>
      </c>
      <c r="E49" s="2">
        <f ca="1">IF($C49&lt;0,-$C49,alpha_1_2*$C49)</f>
        <v>1.0027049632599916</v>
      </c>
      <c r="F49" s="2">
        <f ca="1">IF($C49&lt;0,-$C49,alpha_0*$C49)</f>
        <v>0</v>
      </c>
      <c r="G49" s="2">
        <f ca="1">IF($C49&lt;0,-$C49,alpha__1_2*$C49)</f>
        <v>-1.0027049632599916</v>
      </c>
      <c r="H49" s="2">
        <f ca="1">IF($C49&lt;0,-$C49,alpha__1*$C49)</f>
        <v>-2.0054099265199832</v>
      </c>
    </row>
    <row r="50" spans="3:8" x14ac:dyDescent="0.25">
      <c r="C50" s="2">
        <f t="shared" ca="1" si="0"/>
        <v>-0.91413090434695776</v>
      </c>
      <c r="D50" s="2">
        <f ca="1">IF($C50&lt;0,-$C50,alpha_1*$C50)</f>
        <v>0.91413090434695776</v>
      </c>
      <c r="E50" s="2">
        <f ca="1">IF($C50&lt;0,-$C50,alpha_1_2*$C50)</f>
        <v>0.91413090434695776</v>
      </c>
      <c r="F50" s="2">
        <f ca="1">IF($C50&lt;0,-$C50,alpha_0*$C50)</f>
        <v>0.91413090434695776</v>
      </c>
      <c r="G50" s="2">
        <f ca="1">IF($C50&lt;0,-$C50,alpha__1_2*$C50)</f>
        <v>0.91413090434695776</v>
      </c>
      <c r="H50" s="2">
        <f ca="1">IF($C50&lt;0,-$C50,alpha__1*$C50)</f>
        <v>0.91413090434695776</v>
      </c>
    </row>
    <row r="51" spans="3:8" x14ac:dyDescent="0.25">
      <c r="C51" s="2">
        <f t="shared" ca="1" si="0"/>
        <v>0.64729642538624599</v>
      </c>
      <c r="D51" s="2">
        <f ca="1">IF($C51&lt;0,-$C51,alpha_1*$C51)</f>
        <v>0.64729642538624599</v>
      </c>
      <c r="E51" s="2">
        <f ca="1">IF($C51&lt;0,-$C51,alpha_1_2*$C51)</f>
        <v>0.32364821269312299</v>
      </c>
      <c r="F51" s="2">
        <f ca="1">IF($C51&lt;0,-$C51,alpha_0*$C51)</f>
        <v>0</v>
      </c>
      <c r="G51" s="2">
        <f ca="1">IF($C51&lt;0,-$C51,alpha__1_2*$C51)</f>
        <v>-0.32364821269312299</v>
      </c>
      <c r="H51" s="2">
        <f ca="1">IF($C51&lt;0,-$C51,alpha__1*$C51)</f>
        <v>-0.64729642538624599</v>
      </c>
    </row>
    <row r="52" spans="3:8" x14ac:dyDescent="0.25">
      <c r="C52" s="2">
        <f t="shared" ca="1" si="0"/>
        <v>-0.14290577658486497</v>
      </c>
      <c r="D52" s="2">
        <f ca="1">IF($C52&lt;0,-$C52,alpha_1*$C52)</f>
        <v>0.14290577658486497</v>
      </c>
      <c r="E52" s="2">
        <f ca="1">IF($C52&lt;0,-$C52,alpha_1_2*$C52)</f>
        <v>0.14290577658486497</v>
      </c>
      <c r="F52" s="2">
        <f ca="1">IF($C52&lt;0,-$C52,alpha_0*$C52)</f>
        <v>0.14290577658486497</v>
      </c>
      <c r="G52" s="2">
        <f ca="1">IF($C52&lt;0,-$C52,alpha__1_2*$C52)</f>
        <v>0.14290577658486497</v>
      </c>
      <c r="H52" s="2">
        <f ca="1">IF($C52&lt;0,-$C52,alpha__1*$C52)</f>
        <v>0.14290577658486497</v>
      </c>
    </row>
    <row r="53" spans="3:8" x14ac:dyDescent="0.25">
      <c r="C53" s="2">
        <f t="shared" ca="1" si="0"/>
        <v>1.4681713877155604</v>
      </c>
      <c r="D53" s="2">
        <f ca="1">IF($C53&lt;0,-$C53,alpha_1*$C53)</f>
        <v>1.4681713877155604</v>
      </c>
      <c r="E53" s="2">
        <f ca="1">IF($C53&lt;0,-$C53,alpha_1_2*$C53)</f>
        <v>0.73408569385778022</v>
      </c>
      <c r="F53" s="2">
        <f ca="1">IF($C53&lt;0,-$C53,alpha_0*$C53)</f>
        <v>0</v>
      </c>
      <c r="G53" s="2">
        <f ca="1">IF($C53&lt;0,-$C53,alpha__1_2*$C53)</f>
        <v>-0.73408569385778022</v>
      </c>
      <c r="H53" s="2">
        <f ca="1">IF($C53&lt;0,-$C53,alpha__1*$C53)</f>
        <v>-1.4681713877155604</v>
      </c>
    </row>
    <row r="54" spans="3:8" x14ac:dyDescent="0.25">
      <c r="C54" s="2">
        <f t="shared" ca="1" si="0"/>
        <v>0.26205447794028508</v>
      </c>
      <c r="D54" s="2">
        <f ca="1">IF($C54&lt;0,-$C54,alpha_1*$C54)</f>
        <v>0.26205447794028508</v>
      </c>
      <c r="E54" s="2">
        <f ca="1">IF($C54&lt;0,-$C54,alpha_1_2*$C54)</f>
        <v>0.13102723897014254</v>
      </c>
      <c r="F54" s="2">
        <f ca="1">IF($C54&lt;0,-$C54,alpha_0*$C54)</f>
        <v>0</v>
      </c>
      <c r="G54" s="2">
        <f ca="1">IF($C54&lt;0,-$C54,alpha__1_2*$C54)</f>
        <v>-0.13102723897014254</v>
      </c>
      <c r="H54" s="2">
        <f ca="1">IF($C54&lt;0,-$C54,alpha__1*$C54)</f>
        <v>-0.26205447794028508</v>
      </c>
    </row>
    <row r="55" spans="3:8" x14ac:dyDescent="0.25">
      <c r="C55" s="2">
        <f t="shared" ca="1" si="0"/>
        <v>-0.53928100619869779</v>
      </c>
      <c r="D55" s="2">
        <f ca="1">IF($C55&lt;0,-$C55,alpha_1*$C55)</f>
        <v>0.53928100619869779</v>
      </c>
      <c r="E55" s="2">
        <f ca="1">IF($C55&lt;0,-$C55,alpha_1_2*$C55)</f>
        <v>0.53928100619869779</v>
      </c>
      <c r="F55" s="2">
        <f ca="1">IF($C55&lt;0,-$C55,alpha_0*$C55)</f>
        <v>0.53928100619869779</v>
      </c>
      <c r="G55" s="2">
        <f ca="1">IF($C55&lt;0,-$C55,alpha__1_2*$C55)</f>
        <v>0.53928100619869779</v>
      </c>
      <c r="H55" s="2">
        <f ca="1">IF($C55&lt;0,-$C55,alpha__1*$C55)</f>
        <v>0.53928100619869779</v>
      </c>
    </row>
    <row r="56" spans="3:8" x14ac:dyDescent="0.25">
      <c r="C56" s="2">
        <f t="shared" ca="1" si="0"/>
        <v>-0.35138484506068979</v>
      </c>
      <c r="D56" s="2">
        <f ca="1">IF($C56&lt;0,-$C56,alpha_1*$C56)</f>
        <v>0.35138484506068979</v>
      </c>
      <c r="E56" s="2">
        <f ca="1">IF($C56&lt;0,-$C56,alpha_1_2*$C56)</f>
        <v>0.35138484506068979</v>
      </c>
      <c r="F56" s="2">
        <f ca="1">IF($C56&lt;0,-$C56,alpha_0*$C56)</f>
        <v>0.35138484506068979</v>
      </c>
      <c r="G56" s="2">
        <f ca="1">IF($C56&lt;0,-$C56,alpha__1_2*$C56)</f>
        <v>0.35138484506068979</v>
      </c>
      <c r="H56" s="2">
        <f ca="1">IF($C56&lt;0,-$C56,alpha__1*$C56)</f>
        <v>0.35138484506068979</v>
      </c>
    </row>
    <row r="57" spans="3:8" x14ac:dyDescent="0.25">
      <c r="C57" s="2">
        <f t="shared" ca="1" si="0"/>
        <v>0.35194387148735423</v>
      </c>
      <c r="D57" s="2">
        <f ca="1">IF($C57&lt;0,-$C57,alpha_1*$C57)</f>
        <v>0.35194387148735423</v>
      </c>
      <c r="E57" s="2">
        <f ca="1">IF($C57&lt;0,-$C57,alpha_1_2*$C57)</f>
        <v>0.17597193574367712</v>
      </c>
      <c r="F57" s="2">
        <f ca="1">IF($C57&lt;0,-$C57,alpha_0*$C57)</f>
        <v>0</v>
      </c>
      <c r="G57" s="2">
        <f ca="1">IF($C57&lt;0,-$C57,alpha__1_2*$C57)</f>
        <v>-0.17597193574367712</v>
      </c>
      <c r="H57" s="2">
        <f ca="1">IF($C57&lt;0,-$C57,alpha__1*$C57)</f>
        <v>-0.35194387148735423</v>
      </c>
    </row>
    <row r="58" spans="3:8" x14ac:dyDescent="0.25">
      <c r="C58" s="2">
        <f t="shared" ca="1" si="0"/>
        <v>0.45893067351144529</v>
      </c>
      <c r="D58" s="2">
        <f ca="1">IF($C58&lt;0,-$C58,alpha_1*$C58)</f>
        <v>0.45893067351144529</v>
      </c>
      <c r="E58" s="2">
        <f ca="1">IF($C58&lt;0,-$C58,alpha_1_2*$C58)</f>
        <v>0.22946533675572264</v>
      </c>
      <c r="F58" s="2">
        <f ca="1">IF($C58&lt;0,-$C58,alpha_0*$C58)</f>
        <v>0</v>
      </c>
      <c r="G58" s="2">
        <f ca="1">IF($C58&lt;0,-$C58,alpha__1_2*$C58)</f>
        <v>-0.22946533675572264</v>
      </c>
      <c r="H58" s="2">
        <f ca="1">IF($C58&lt;0,-$C58,alpha__1*$C58)</f>
        <v>-0.45893067351144529</v>
      </c>
    </row>
    <row r="59" spans="3:8" x14ac:dyDescent="0.25">
      <c r="C59" s="2">
        <f t="shared" ca="1" si="0"/>
        <v>0.83851929725770746</v>
      </c>
      <c r="D59" s="2">
        <f ca="1">IF($C59&lt;0,-$C59,alpha_1*$C59)</f>
        <v>0.83851929725770746</v>
      </c>
      <c r="E59" s="2">
        <f ca="1">IF($C59&lt;0,-$C59,alpha_1_2*$C59)</f>
        <v>0.41925964862885373</v>
      </c>
      <c r="F59" s="2">
        <f ca="1">IF($C59&lt;0,-$C59,alpha_0*$C59)</f>
        <v>0</v>
      </c>
      <c r="G59" s="2">
        <f ca="1">IF($C59&lt;0,-$C59,alpha__1_2*$C59)</f>
        <v>-0.41925964862885373</v>
      </c>
      <c r="H59" s="2">
        <f ca="1">IF($C59&lt;0,-$C59,alpha__1*$C59)</f>
        <v>-0.83851929725770746</v>
      </c>
    </row>
    <row r="60" spans="3:8" x14ac:dyDescent="0.25">
      <c r="C60" s="2">
        <f t="shared" ca="1" si="0"/>
        <v>-1.283137395740277</v>
      </c>
      <c r="D60" s="2">
        <f ca="1">IF($C60&lt;0,-$C60,alpha_1*$C60)</f>
        <v>1.283137395740277</v>
      </c>
      <c r="E60" s="2">
        <f ca="1">IF($C60&lt;0,-$C60,alpha_1_2*$C60)</f>
        <v>1.283137395740277</v>
      </c>
      <c r="F60" s="2">
        <f ca="1">IF($C60&lt;0,-$C60,alpha_0*$C60)</f>
        <v>1.283137395740277</v>
      </c>
      <c r="G60" s="2">
        <f ca="1">IF($C60&lt;0,-$C60,alpha__1_2*$C60)</f>
        <v>1.283137395740277</v>
      </c>
      <c r="H60" s="2">
        <f ca="1">IF($C60&lt;0,-$C60,alpha__1*$C60)</f>
        <v>1.283137395740277</v>
      </c>
    </row>
    <row r="61" spans="3:8" x14ac:dyDescent="0.25">
      <c r="C61" s="2">
        <f t="shared" ca="1" si="0"/>
        <v>-1.5047914861514751</v>
      </c>
      <c r="D61" s="2">
        <f ca="1">IF($C61&lt;0,-$C61,alpha_1*$C61)</f>
        <v>1.5047914861514751</v>
      </c>
      <c r="E61" s="2">
        <f ca="1">IF($C61&lt;0,-$C61,alpha_1_2*$C61)</f>
        <v>1.5047914861514751</v>
      </c>
      <c r="F61" s="2">
        <f ca="1">IF($C61&lt;0,-$C61,alpha_0*$C61)</f>
        <v>1.5047914861514751</v>
      </c>
      <c r="G61" s="2">
        <f ca="1">IF($C61&lt;0,-$C61,alpha__1_2*$C61)</f>
        <v>1.5047914861514751</v>
      </c>
      <c r="H61" s="2">
        <f ca="1">IF($C61&lt;0,-$C61,alpha__1*$C61)</f>
        <v>1.5047914861514751</v>
      </c>
    </row>
    <row r="62" spans="3:8" x14ac:dyDescent="0.25">
      <c r="C62" s="2">
        <f t="shared" ca="1" si="0"/>
        <v>-1.7584168668810494</v>
      </c>
      <c r="D62" s="2">
        <f ca="1">IF($C62&lt;0,-$C62,alpha_1*$C62)</f>
        <v>1.7584168668810494</v>
      </c>
      <c r="E62" s="2">
        <f ca="1">IF($C62&lt;0,-$C62,alpha_1_2*$C62)</f>
        <v>1.7584168668810494</v>
      </c>
      <c r="F62" s="2">
        <f ca="1">IF($C62&lt;0,-$C62,alpha_0*$C62)</f>
        <v>1.7584168668810494</v>
      </c>
      <c r="G62" s="2">
        <f ca="1">IF($C62&lt;0,-$C62,alpha__1_2*$C62)</f>
        <v>1.7584168668810494</v>
      </c>
      <c r="H62" s="2">
        <f ca="1">IF($C62&lt;0,-$C62,alpha__1*$C62)</f>
        <v>1.7584168668810494</v>
      </c>
    </row>
    <row r="63" spans="3:8" x14ac:dyDescent="0.25">
      <c r="C63" s="2">
        <f t="shared" ca="1" si="0"/>
        <v>0.62987127168499035</v>
      </c>
      <c r="D63" s="2">
        <f ca="1">IF($C63&lt;0,-$C63,alpha_1*$C63)</f>
        <v>0.62987127168499035</v>
      </c>
      <c r="E63" s="2">
        <f ca="1">IF($C63&lt;0,-$C63,alpha_1_2*$C63)</f>
        <v>0.31493563584249518</v>
      </c>
      <c r="F63" s="2">
        <f ca="1">IF($C63&lt;0,-$C63,alpha_0*$C63)</f>
        <v>0</v>
      </c>
      <c r="G63" s="2">
        <f ca="1">IF($C63&lt;0,-$C63,alpha__1_2*$C63)</f>
        <v>-0.31493563584249518</v>
      </c>
      <c r="H63" s="2">
        <f ca="1">IF($C63&lt;0,-$C63,alpha__1*$C63)</f>
        <v>-0.62987127168499035</v>
      </c>
    </row>
    <row r="64" spans="3:8" x14ac:dyDescent="0.25">
      <c r="C64" s="2">
        <f t="shared" ca="1" si="0"/>
        <v>0.67706153666974311</v>
      </c>
      <c r="D64" s="2">
        <f ca="1">IF($C64&lt;0,-$C64,alpha_1*$C64)</f>
        <v>0.67706153666974311</v>
      </c>
      <c r="E64" s="2">
        <f ca="1">IF($C64&lt;0,-$C64,alpha_1_2*$C64)</f>
        <v>0.33853076833487156</v>
      </c>
      <c r="F64" s="2">
        <f ca="1">IF($C64&lt;0,-$C64,alpha_0*$C64)</f>
        <v>0</v>
      </c>
      <c r="G64" s="2">
        <f ca="1">IF($C64&lt;0,-$C64,alpha__1_2*$C64)</f>
        <v>-0.33853076833487156</v>
      </c>
      <c r="H64" s="2">
        <f ca="1">IF($C64&lt;0,-$C64,alpha__1*$C64)</f>
        <v>-0.67706153666974311</v>
      </c>
    </row>
    <row r="65" spans="3:8" x14ac:dyDescent="0.25">
      <c r="C65" s="2">
        <f t="shared" ca="1" si="0"/>
        <v>-0.8965234950255706</v>
      </c>
      <c r="D65" s="2">
        <f ca="1">IF($C65&lt;0,-$C65,alpha_1*$C65)</f>
        <v>0.8965234950255706</v>
      </c>
      <c r="E65" s="2">
        <f ca="1">IF($C65&lt;0,-$C65,alpha_1_2*$C65)</f>
        <v>0.8965234950255706</v>
      </c>
      <c r="F65" s="2">
        <f ca="1">IF($C65&lt;0,-$C65,alpha_0*$C65)</f>
        <v>0.8965234950255706</v>
      </c>
      <c r="G65" s="2">
        <f ca="1">IF($C65&lt;0,-$C65,alpha__1_2*$C65)</f>
        <v>0.8965234950255706</v>
      </c>
      <c r="H65" s="2">
        <f ca="1">IF($C65&lt;0,-$C65,alpha__1*$C65)</f>
        <v>0.8965234950255706</v>
      </c>
    </row>
    <row r="66" spans="3:8" x14ac:dyDescent="0.25">
      <c r="C66" s="2">
        <f t="shared" ca="1" si="0"/>
        <v>0.45219779624273482</v>
      </c>
      <c r="D66" s="2">
        <f ca="1">IF($C66&lt;0,-$C66,alpha_1*$C66)</f>
        <v>0.45219779624273482</v>
      </c>
      <c r="E66" s="2">
        <f ca="1">IF($C66&lt;0,-$C66,alpha_1_2*$C66)</f>
        <v>0.22609889812136741</v>
      </c>
      <c r="F66" s="2">
        <f ca="1">IF($C66&lt;0,-$C66,alpha_0*$C66)</f>
        <v>0</v>
      </c>
      <c r="G66" s="2">
        <f ca="1">IF($C66&lt;0,-$C66,alpha__1_2*$C66)</f>
        <v>-0.22609889812136741</v>
      </c>
      <c r="H66" s="2">
        <f ca="1">IF($C66&lt;0,-$C66,alpha__1*$C66)</f>
        <v>-0.45219779624273482</v>
      </c>
    </row>
    <row r="67" spans="3:8" x14ac:dyDescent="0.25">
      <c r="C67" s="2">
        <f t="shared" ca="1" si="0"/>
        <v>-0.5437257897981369</v>
      </c>
      <c r="D67" s="2">
        <f ca="1">IF($C67&lt;0,-$C67,alpha_1*$C67)</f>
        <v>0.5437257897981369</v>
      </c>
      <c r="E67" s="2">
        <f ca="1">IF($C67&lt;0,-$C67,alpha_1_2*$C67)</f>
        <v>0.5437257897981369</v>
      </c>
      <c r="F67" s="2">
        <f ca="1">IF($C67&lt;0,-$C67,alpha_0*$C67)</f>
        <v>0.5437257897981369</v>
      </c>
      <c r="G67" s="2">
        <f ca="1">IF($C67&lt;0,-$C67,alpha__1_2*$C67)</f>
        <v>0.5437257897981369</v>
      </c>
      <c r="H67" s="2">
        <f ca="1">IF($C67&lt;0,-$C67,alpha__1*$C67)</f>
        <v>0.5437257897981369</v>
      </c>
    </row>
    <row r="68" spans="3:8" x14ac:dyDescent="0.25">
      <c r="C68" s="2">
        <f t="shared" ca="1" si="0"/>
        <v>0.1273692181293751</v>
      </c>
      <c r="D68" s="2">
        <f ca="1">IF($C68&lt;0,-$C68,alpha_1*$C68)</f>
        <v>0.1273692181293751</v>
      </c>
      <c r="E68" s="2">
        <f ca="1">IF($C68&lt;0,-$C68,alpha_1_2*$C68)</f>
        <v>6.368460906468755E-2</v>
      </c>
      <c r="F68" s="2">
        <f ca="1">IF($C68&lt;0,-$C68,alpha_0*$C68)</f>
        <v>0</v>
      </c>
      <c r="G68" s="2">
        <f ca="1">IF($C68&lt;0,-$C68,alpha__1_2*$C68)</f>
        <v>-6.368460906468755E-2</v>
      </c>
      <c r="H68" s="2">
        <f ca="1">IF($C68&lt;0,-$C68,alpha__1*$C68)</f>
        <v>-0.1273692181293751</v>
      </c>
    </row>
    <row r="69" spans="3:8" x14ac:dyDescent="0.25">
      <c r="C69" s="2">
        <f t="shared" ca="1" si="0"/>
        <v>0.52687921937873228</v>
      </c>
      <c r="D69" s="2">
        <f ca="1">IF($C69&lt;0,-$C69,alpha_1*$C69)</f>
        <v>0.52687921937873228</v>
      </c>
      <c r="E69" s="2">
        <f ca="1">IF($C69&lt;0,-$C69,alpha_1_2*$C69)</f>
        <v>0.26343960968936614</v>
      </c>
      <c r="F69" s="2">
        <f ca="1">IF($C69&lt;0,-$C69,alpha_0*$C69)</f>
        <v>0</v>
      </c>
      <c r="G69" s="2">
        <f ca="1">IF($C69&lt;0,-$C69,alpha__1_2*$C69)</f>
        <v>-0.26343960968936614</v>
      </c>
      <c r="H69" s="2">
        <f ca="1">IF($C69&lt;0,-$C69,alpha__1*$C69)</f>
        <v>-0.52687921937873228</v>
      </c>
    </row>
    <row r="70" spans="3:8" x14ac:dyDescent="0.25">
      <c r="C70" s="2">
        <f t="shared" ca="1" si="0"/>
        <v>-0.96532936909301315</v>
      </c>
      <c r="D70" s="2">
        <f ca="1">IF($C70&lt;0,-$C70,alpha_1*$C70)</f>
        <v>0.96532936909301315</v>
      </c>
      <c r="E70" s="2">
        <f ca="1">IF($C70&lt;0,-$C70,alpha_1_2*$C70)</f>
        <v>0.96532936909301315</v>
      </c>
      <c r="F70" s="2">
        <f ca="1">IF($C70&lt;0,-$C70,alpha_0*$C70)</f>
        <v>0.96532936909301315</v>
      </c>
      <c r="G70" s="2">
        <f ca="1">IF($C70&lt;0,-$C70,alpha__1_2*$C70)</f>
        <v>0.96532936909301315</v>
      </c>
      <c r="H70" s="2">
        <f ca="1">IF($C70&lt;0,-$C70,alpha__1*$C70)</f>
        <v>0.96532936909301315</v>
      </c>
    </row>
    <row r="71" spans="3:8" x14ac:dyDescent="0.25">
      <c r="C71" s="2">
        <f t="shared" ca="1" si="0"/>
        <v>1.0655765535991319</v>
      </c>
      <c r="D71" s="2">
        <f ca="1">IF($C71&lt;0,-$C71,alpha_1*$C71)</f>
        <v>1.0655765535991319</v>
      </c>
      <c r="E71" s="2">
        <f ca="1">IF($C71&lt;0,-$C71,alpha_1_2*$C71)</f>
        <v>0.53278827679956597</v>
      </c>
      <c r="F71" s="2">
        <f ca="1">IF($C71&lt;0,-$C71,alpha_0*$C71)</f>
        <v>0</v>
      </c>
      <c r="G71" s="2">
        <f ca="1">IF($C71&lt;0,-$C71,alpha__1_2*$C71)</f>
        <v>-0.53278827679956597</v>
      </c>
      <c r="H71" s="2">
        <f ca="1">IF($C71&lt;0,-$C71,alpha__1*$C71)</f>
        <v>-1.0655765535991319</v>
      </c>
    </row>
    <row r="72" spans="3:8" x14ac:dyDescent="0.25">
      <c r="C72" s="2">
        <f t="shared" ca="1" si="0"/>
        <v>0.74007290058480091</v>
      </c>
      <c r="D72" s="2">
        <f ca="1">IF($C72&lt;0,-$C72,alpha_1*$C72)</f>
        <v>0.74007290058480091</v>
      </c>
      <c r="E72" s="2">
        <f ca="1">IF($C72&lt;0,-$C72,alpha_1_2*$C72)</f>
        <v>0.37003645029240045</v>
      </c>
      <c r="F72" s="2">
        <f ca="1">IF($C72&lt;0,-$C72,alpha_0*$C72)</f>
        <v>0</v>
      </c>
      <c r="G72" s="2">
        <f ca="1">IF($C72&lt;0,-$C72,alpha__1_2*$C72)</f>
        <v>-0.37003645029240045</v>
      </c>
      <c r="H72" s="2">
        <f ca="1">IF($C72&lt;0,-$C72,alpha__1*$C72)</f>
        <v>-0.74007290058480091</v>
      </c>
    </row>
    <row r="73" spans="3:8" x14ac:dyDescent="0.25">
      <c r="C73" s="2">
        <f t="shared" ca="1" si="0"/>
        <v>0.47351653079887474</v>
      </c>
      <c r="D73" s="2">
        <f ca="1">IF($C73&lt;0,-$C73,alpha_1*$C73)</f>
        <v>0.47351653079887474</v>
      </c>
      <c r="E73" s="2">
        <f ca="1">IF($C73&lt;0,-$C73,alpha_1_2*$C73)</f>
        <v>0.23675826539943737</v>
      </c>
      <c r="F73" s="2">
        <f ca="1">IF($C73&lt;0,-$C73,alpha_0*$C73)</f>
        <v>0</v>
      </c>
      <c r="G73" s="2">
        <f ca="1">IF($C73&lt;0,-$C73,alpha__1_2*$C73)</f>
        <v>-0.23675826539943737</v>
      </c>
      <c r="H73" s="2">
        <f ca="1">IF($C73&lt;0,-$C73,alpha__1*$C73)</f>
        <v>-0.47351653079887474</v>
      </c>
    </row>
    <row r="74" spans="3:8" x14ac:dyDescent="0.25">
      <c r="C74" s="2">
        <f t="shared" ca="1" si="0"/>
        <v>0.1467842062779095</v>
      </c>
      <c r="D74" s="2">
        <f ca="1">IF($C74&lt;0,-$C74,alpha_1*$C74)</f>
        <v>0.1467842062779095</v>
      </c>
      <c r="E74" s="2">
        <f ca="1">IF($C74&lt;0,-$C74,alpha_1_2*$C74)</f>
        <v>7.3392103138954751E-2</v>
      </c>
      <c r="F74" s="2">
        <f ca="1">IF($C74&lt;0,-$C74,alpha_0*$C74)</f>
        <v>0</v>
      </c>
      <c r="G74" s="2">
        <f ca="1">IF($C74&lt;0,-$C74,alpha__1_2*$C74)</f>
        <v>-7.3392103138954751E-2</v>
      </c>
      <c r="H74" s="2">
        <f ca="1">IF($C74&lt;0,-$C74,alpha__1*$C74)</f>
        <v>-0.1467842062779095</v>
      </c>
    </row>
    <row r="75" spans="3:8" x14ac:dyDescent="0.25">
      <c r="C75" s="2">
        <f t="shared" ca="1" si="0"/>
        <v>-0.29081780452355349</v>
      </c>
      <c r="D75" s="2">
        <f ca="1">IF($C75&lt;0,-$C75,alpha_1*$C75)</f>
        <v>0.29081780452355349</v>
      </c>
      <c r="E75" s="2">
        <f ca="1">IF($C75&lt;0,-$C75,alpha_1_2*$C75)</f>
        <v>0.29081780452355349</v>
      </c>
      <c r="F75" s="2">
        <f ca="1">IF($C75&lt;0,-$C75,alpha_0*$C75)</f>
        <v>0.29081780452355349</v>
      </c>
      <c r="G75" s="2">
        <f ca="1">IF($C75&lt;0,-$C75,alpha__1_2*$C75)</f>
        <v>0.29081780452355349</v>
      </c>
      <c r="H75" s="2">
        <f ca="1">IF($C75&lt;0,-$C75,alpha__1*$C75)</f>
        <v>0.29081780452355349</v>
      </c>
    </row>
    <row r="76" spans="3:8" x14ac:dyDescent="0.25">
      <c r="C76" s="2">
        <f t="shared" ref="C76:C139" ca="1" si="8">_xlfn.NORM.S.INV(RAND())</f>
        <v>-1.6534851700971063</v>
      </c>
      <c r="D76" s="2">
        <f ca="1">IF($C76&lt;0,-$C76,alpha_1*$C76)</f>
        <v>1.6534851700971063</v>
      </c>
      <c r="E76" s="2">
        <f ca="1">IF($C76&lt;0,-$C76,alpha_1_2*$C76)</f>
        <v>1.6534851700971063</v>
      </c>
      <c r="F76" s="2">
        <f ca="1">IF($C76&lt;0,-$C76,alpha_0*$C76)</f>
        <v>1.6534851700971063</v>
      </c>
      <c r="G76" s="2">
        <f ca="1">IF($C76&lt;0,-$C76,alpha__1_2*$C76)</f>
        <v>1.6534851700971063</v>
      </c>
      <c r="H76" s="2">
        <f ca="1">IF($C76&lt;0,-$C76,alpha__1*$C76)</f>
        <v>1.6534851700971063</v>
      </c>
    </row>
    <row r="77" spans="3:8" x14ac:dyDescent="0.25">
      <c r="C77" s="2">
        <f t="shared" ca="1" si="8"/>
        <v>-0.40860876981503547</v>
      </c>
      <c r="D77" s="2">
        <f ca="1">IF($C77&lt;0,-$C77,alpha_1*$C77)</f>
        <v>0.40860876981503547</v>
      </c>
      <c r="E77" s="2">
        <f ca="1">IF($C77&lt;0,-$C77,alpha_1_2*$C77)</f>
        <v>0.40860876981503547</v>
      </c>
      <c r="F77" s="2">
        <f ca="1">IF($C77&lt;0,-$C77,alpha_0*$C77)</f>
        <v>0.40860876981503547</v>
      </c>
      <c r="G77" s="2">
        <f ca="1">IF($C77&lt;0,-$C77,alpha__1_2*$C77)</f>
        <v>0.40860876981503547</v>
      </c>
      <c r="H77" s="2">
        <f ca="1">IF($C77&lt;0,-$C77,alpha__1*$C77)</f>
        <v>0.40860876981503547</v>
      </c>
    </row>
    <row r="78" spans="3:8" x14ac:dyDescent="0.25">
      <c r="C78" s="2">
        <f t="shared" ca="1" si="8"/>
        <v>-9.5571315236255866E-2</v>
      </c>
      <c r="D78" s="2">
        <f ca="1">IF($C78&lt;0,-$C78,alpha_1*$C78)</f>
        <v>9.5571315236255866E-2</v>
      </c>
      <c r="E78" s="2">
        <f ca="1">IF($C78&lt;0,-$C78,alpha_1_2*$C78)</f>
        <v>9.5571315236255866E-2</v>
      </c>
      <c r="F78" s="2">
        <f ca="1">IF($C78&lt;0,-$C78,alpha_0*$C78)</f>
        <v>9.5571315236255866E-2</v>
      </c>
      <c r="G78" s="2">
        <f ca="1">IF($C78&lt;0,-$C78,alpha__1_2*$C78)</f>
        <v>9.5571315236255866E-2</v>
      </c>
      <c r="H78" s="2">
        <f ca="1">IF($C78&lt;0,-$C78,alpha__1*$C78)</f>
        <v>9.5571315236255866E-2</v>
      </c>
    </row>
    <row r="79" spans="3:8" x14ac:dyDescent="0.25">
      <c r="C79" s="2">
        <f t="shared" ca="1" si="8"/>
        <v>0.79303537460933349</v>
      </c>
      <c r="D79" s="2">
        <f ca="1">IF($C79&lt;0,-$C79,alpha_1*$C79)</f>
        <v>0.79303537460933349</v>
      </c>
      <c r="E79" s="2">
        <f ca="1">IF($C79&lt;0,-$C79,alpha_1_2*$C79)</f>
        <v>0.39651768730466674</v>
      </c>
      <c r="F79" s="2">
        <f ca="1">IF($C79&lt;0,-$C79,alpha_0*$C79)</f>
        <v>0</v>
      </c>
      <c r="G79" s="2">
        <f ca="1">IF($C79&lt;0,-$C79,alpha__1_2*$C79)</f>
        <v>-0.39651768730466674</v>
      </c>
      <c r="H79" s="2">
        <f ca="1">IF($C79&lt;0,-$C79,alpha__1*$C79)</f>
        <v>-0.79303537460933349</v>
      </c>
    </row>
    <row r="80" spans="3:8" x14ac:dyDescent="0.25">
      <c r="C80" s="2">
        <f t="shared" ca="1" si="8"/>
        <v>5.0521889721899381E-2</v>
      </c>
      <c r="D80" s="2">
        <f ca="1">IF($C80&lt;0,-$C80,alpha_1*$C80)</f>
        <v>5.0521889721899381E-2</v>
      </c>
      <c r="E80" s="2">
        <f ca="1">IF($C80&lt;0,-$C80,alpha_1_2*$C80)</f>
        <v>2.526094486094969E-2</v>
      </c>
      <c r="F80" s="2">
        <f ca="1">IF($C80&lt;0,-$C80,alpha_0*$C80)</f>
        <v>0</v>
      </c>
      <c r="G80" s="2">
        <f ca="1">IF($C80&lt;0,-$C80,alpha__1_2*$C80)</f>
        <v>-2.526094486094969E-2</v>
      </c>
      <c r="H80" s="2">
        <f ca="1">IF($C80&lt;0,-$C80,alpha__1*$C80)</f>
        <v>-5.0521889721899381E-2</v>
      </c>
    </row>
    <row r="81" spans="3:8" x14ac:dyDescent="0.25">
      <c r="C81" s="2">
        <f t="shared" ca="1" si="8"/>
        <v>-0.31096945681697419</v>
      </c>
      <c r="D81" s="2">
        <f ca="1">IF($C81&lt;0,-$C81,alpha_1*$C81)</f>
        <v>0.31096945681697419</v>
      </c>
      <c r="E81" s="2">
        <f ca="1">IF($C81&lt;0,-$C81,alpha_1_2*$C81)</f>
        <v>0.31096945681697419</v>
      </c>
      <c r="F81" s="2">
        <f ca="1">IF($C81&lt;0,-$C81,alpha_0*$C81)</f>
        <v>0.31096945681697419</v>
      </c>
      <c r="G81" s="2">
        <f ca="1">IF($C81&lt;0,-$C81,alpha__1_2*$C81)</f>
        <v>0.31096945681697419</v>
      </c>
      <c r="H81" s="2">
        <f ca="1">IF($C81&lt;0,-$C81,alpha__1*$C81)</f>
        <v>0.31096945681697419</v>
      </c>
    </row>
    <row r="82" spans="3:8" x14ac:dyDescent="0.25">
      <c r="C82" s="2">
        <f t="shared" ca="1" si="8"/>
        <v>-0.21403534319069156</v>
      </c>
      <c r="D82" s="2">
        <f ca="1">IF($C82&lt;0,-$C82,alpha_1*$C82)</f>
        <v>0.21403534319069156</v>
      </c>
      <c r="E82" s="2">
        <f ca="1">IF($C82&lt;0,-$C82,alpha_1_2*$C82)</f>
        <v>0.21403534319069156</v>
      </c>
      <c r="F82" s="2">
        <f ca="1">IF($C82&lt;0,-$C82,alpha_0*$C82)</f>
        <v>0.21403534319069156</v>
      </c>
      <c r="G82" s="2">
        <f ca="1">IF($C82&lt;0,-$C82,alpha__1_2*$C82)</f>
        <v>0.21403534319069156</v>
      </c>
      <c r="H82" s="2">
        <f ca="1">IF($C82&lt;0,-$C82,alpha__1*$C82)</f>
        <v>0.21403534319069156</v>
      </c>
    </row>
    <row r="83" spans="3:8" x14ac:dyDescent="0.25">
      <c r="C83" s="2">
        <f t="shared" ca="1" si="8"/>
        <v>1.1415966299940286</v>
      </c>
      <c r="D83" s="2">
        <f ca="1">IF($C83&lt;0,-$C83,alpha_1*$C83)</f>
        <v>1.1415966299940286</v>
      </c>
      <c r="E83" s="2">
        <f ca="1">IF($C83&lt;0,-$C83,alpha_1_2*$C83)</f>
        <v>0.57079831499701428</v>
      </c>
      <c r="F83" s="2">
        <f ca="1">IF($C83&lt;0,-$C83,alpha_0*$C83)</f>
        <v>0</v>
      </c>
      <c r="G83" s="2">
        <f ca="1">IF($C83&lt;0,-$C83,alpha__1_2*$C83)</f>
        <v>-0.57079831499701428</v>
      </c>
      <c r="H83" s="2">
        <f ca="1">IF($C83&lt;0,-$C83,alpha__1*$C83)</f>
        <v>-1.1415966299940286</v>
      </c>
    </row>
    <row r="84" spans="3:8" x14ac:dyDescent="0.25">
      <c r="C84" s="2">
        <f t="shared" ca="1" si="8"/>
        <v>-0.38657278608383733</v>
      </c>
      <c r="D84" s="2">
        <f ca="1">IF($C84&lt;0,-$C84,alpha_1*$C84)</f>
        <v>0.38657278608383733</v>
      </c>
      <c r="E84" s="2">
        <f ca="1">IF($C84&lt;0,-$C84,alpha_1_2*$C84)</f>
        <v>0.38657278608383733</v>
      </c>
      <c r="F84" s="2">
        <f ca="1">IF($C84&lt;0,-$C84,alpha_0*$C84)</f>
        <v>0.38657278608383733</v>
      </c>
      <c r="G84" s="2">
        <f ca="1">IF($C84&lt;0,-$C84,alpha__1_2*$C84)</f>
        <v>0.38657278608383733</v>
      </c>
      <c r="H84" s="2">
        <f ca="1">IF($C84&lt;0,-$C84,alpha__1*$C84)</f>
        <v>0.38657278608383733</v>
      </c>
    </row>
    <row r="85" spans="3:8" x14ac:dyDescent="0.25">
      <c r="C85" s="2">
        <f t="shared" ca="1" si="8"/>
        <v>-0.2514127490364142</v>
      </c>
      <c r="D85" s="2">
        <f ca="1">IF($C85&lt;0,-$C85,alpha_1*$C85)</f>
        <v>0.2514127490364142</v>
      </c>
      <c r="E85" s="2">
        <f ca="1">IF($C85&lt;0,-$C85,alpha_1_2*$C85)</f>
        <v>0.2514127490364142</v>
      </c>
      <c r="F85" s="2">
        <f ca="1">IF($C85&lt;0,-$C85,alpha_0*$C85)</f>
        <v>0.2514127490364142</v>
      </c>
      <c r="G85" s="2">
        <f ca="1">IF($C85&lt;0,-$C85,alpha__1_2*$C85)</f>
        <v>0.2514127490364142</v>
      </c>
      <c r="H85" s="2">
        <f ca="1">IF($C85&lt;0,-$C85,alpha__1*$C85)</f>
        <v>0.2514127490364142</v>
      </c>
    </row>
    <row r="86" spans="3:8" x14ac:dyDescent="0.25">
      <c r="C86" s="2">
        <f t="shared" ca="1" si="8"/>
        <v>-0.99313967574676254</v>
      </c>
      <c r="D86" s="2">
        <f ca="1">IF($C86&lt;0,-$C86,alpha_1*$C86)</f>
        <v>0.99313967574676254</v>
      </c>
      <c r="E86" s="2">
        <f ca="1">IF($C86&lt;0,-$C86,alpha_1_2*$C86)</f>
        <v>0.99313967574676254</v>
      </c>
      <c r="F86" s="2">
        <f ca="1">IF($C86&lt;0,-$C86,alpha_0*$C86)</f>
        <v>0.99313967574676254</v>
      </c>
      <c r="G86" s="2">
        <f ca="1">IF($C86&lt;0,-$C86,alpha__1_2*$C86)</f>
        <v>0.99313967574676254</v>
      </c>
      <c r="H86" s="2">
        <f ca="1">IF($C86&lt;0,-$C86,alpha__1*$C86)</f>
        <v>0.99313967574676254</v>
      </c>
    </row>
    <row r="87" spans="3:8" x14ac:dyDescent="0.25">
      <c r="C87" s="2">
        <f t="shared" ca="1" si="8"/>
        <v>0.25372219725755157</v>
      </c>
      <c r="D87" s="2">
        <f ca="1">IF($C87&lt;0,-$C87,alpha_1*$C87)</f>
        <v>0.25372219725755157</v>
      </c>
      <c r="E87" s="2">
        <f ca="1">IF($C87&lt;0,-$C87,alpha_1_2*$C87)</f>
        <v>0.12686109862877579</v>
      </c>
      <c r="F87" s="2">
        <f ca="1">IF($C87&lt;0,-$C87,alpha_0*$C87)</f>
        <v>0</v>
      </c>
      <c r="G87" s="2">
        <f ca="1">IF($C87&lt;0,-$C87,alpha__1_2*$C87)</f>
        <v>-0.12686109862877579</v>
      </c>
      <c r="H87" s="2">
        <f ca="1">IF($C87&lt;0,-$C87,alpha__1*$C87)</f>
        <v>-0.25372219725755157</v>
      </c>
    </row>
    <row r="88" spans="3:8" x14ac:dyDescent="0.25">
      <c r="C88" s="2">
        <f t="shared" ca="1" si="8"/>
        <v>-0.46435484341789324</v>
      </c>
      <c r="D88" s="2">
        <f ca="1">IF($C88&lt;0,-$C88,alpha_1*$C88)</f>
        <v>0.46435484341789324</v>
      </c>
      <c r="E88" s="2">
        <f ca="1">IF($C88&lt;0,-$C88,alpha_1_2*$C88)</f>
        <v>0.46435484341789324</v>
      </c>
      <c r="F88" s="2">
        <f ca="1">IF($C88&lt;0,-$C88,alpha_0*$C88)</f>
        <v>0.46435484341789324</v>
      </c>
      <c r="G88" s="2">
        <f ca="1">IF($C88&lt;0,-$C88,alpha__1_2*$C88)</f>
        <v>0.46435484341789324</v>
      </c>
      <c r="H88" s="2">
        <f ca="1">IF($C88&lt;0,-$C88,alpha__1*$C88)</f>
        <v>0.46435484341789324</v>
      </c>
    </row>
    <row r="89" spans="3:8" x14ac:dyDescent="0.25">
      <c r="C89" s="2">
        <f t="shared" ca="1" si="8"/>
        <v>-0.44964411176378655</v>
      </c>
      <c r="D89" s="2">
        <f ca="1">IF($C89&lt;0,-$C89,alpha_1*$C89)</f>
        <v>0.44964411176378655</v>
      </c>
      <c r="E89" s="2">
        <f ca="1">IF($C89&lt;0,-$C89,alpha_1_2*$C89)</f>
        <v>0.44964411176378655</v>
      </c>
      <c r="F89" s="2">
        <f ca="1">IF($C89&lt;0,-$C89,alpha_0*$C89)</f>
        <v>0.44964411176378655</v>
      </c>
      <c r="G89" s="2">
        <f ca="1">IF($C89&lt;0,-$C89,alpha__1_2*$C89)</f>
        <v>0.44964411176378655</v>
      </c>
      <c r="H89" s="2">
        <f ca="1">IF($C89&lt;0,-$C89,alpha__1*$C89)</f>
        <v>0.44964411176378655</v>
      </c>
    </row>
    <row r="90" spans="3:8" x14ac:dyDescent="0.25">
      <c r="C90" s="2">
        <f t="shared" ca="1" si="8"/>
        <v>-0.65077013829911601</v>
      </c>
      <c r="D90" s="2">
        <f ca="1">IF($C90&lt;0,-$C90,alpha_1*$C90)</f>
        <v>0.65077013829911601</v>
      </c>
      <c r="E90" s="2">
        <f ca="1">IF($C90&lt;0,-$C90,alpha_1_2*$C90)</f>
        <v>0.65077013829911601</v>
      </c>
      <c r="F90" s="2">
        <f ca="1">IF($C90&lt;0,-$C90,alpha_0*$C90)</f>
        <v>0.65077013829911601</v>
      </c>
      <c r="G90" s="2">
        <f ca="1">IF($C90&lt;0,-$C90,alpha__1_2*$C90)</f>
        <v>0.65077013829911601</v>
      </c>
      <c r="H90" s="2">
        <f ca="1">IF($C90&lt;0,-$C90,alpha__1*$C90)</f>
        <v>0.65077013829911601</v>
      </c>
    </row>
    <row r="91" spans="3:8" x14ac:dyDescent="0.25">
      <c r="C91" s="2">
        <f t="shared" ca="1" si="8"/>
        <v>-6.6218765009758221E-2</v>
      </c>
      <c r="D91" s="2">
        <f ca="1">IF($C91&lt;0,-$C91,alpha_1*$C91)</f>
        <v>6.6218765009758221E-2</v>
      </c>
      <c r="E91" s="2">
        <f ca="1">IF($C91&lt;0,-$C91,alpha_1_2*$C91)</f>
        <v>6.6218765009758221E-2</v>
      </c>
      <c r="F91" s="2">
        <f ca="1">IF($C91&lt;0,-$C91,alpha_0*$C91)</f>
        <v>6.6218765009758221E-2</v>
      </c>
      <c r="G91" s="2">
        <f ca="1">IF($C91&lt;0,-$C91,alpha__1_2*$C91)</f>
        <v>6.6218765009758221E-2</v>
      </c>
      <c r="H91" s="2">
        <f ca="1">IF($C91&lt;0,-$C91,alpha__1*$C91)</f>
        <v>6.6218765009758221E-2</v>
      </c>
    </row>
    <row r="92" spans="3:8" x14ac:dyDescent="0.25">
      <c r="C92" s="2">
        <f t="shared" ca="1" si="8"/>
        <v>0.75004179635988988</v>
      </c>
      <c r="D92" s="2">
        <f ca="1">IF($C92&lt;0,-$C92,alpha_1*$C92)</f>
        <v>0.75004179635988988</v>
      </c>
      <c r="E92" s="2">
        <f ca="1">IF($C92&lt;0,-$C92,alpha_1_2*$C92)</f>
        <v>0.37502089817994494</v>
      </c>
      <c r="F92" s="2">
        <f ca="1">IF($C92&lt;0,-$C92,alpha_0*$C92)</f>
        <v>0</v>
      </c>
      <c r="G92" s="2">
        <f ca="1">IF($C92&lt;0,-$C92,alpha__1_2*$C92)</f>
        <v>-0.37502089817994494</v>
      </c>
      <c r="H92" s="2">
        <f ca="1">IF($C92&lt;0,-$C92,alpha__1*$C92)</f>
        <v>-0.75004179635988988</v>
      </c>
    </row>
    <row r="93" spans="3:8" x14ac:dyDescent="0.25">
      <c r="C93" s="2">
        <f t="shared" ca="1" si="8"/>
        <v>1.3136476957924041</v>
      </c>
      <c r="D93" s="2">
        <f ca="1">IF($C93&lt;0,-$C93,alpha_1*$C93)</f>
        <v>1.3136476957924041</v>
      </c>
      <c r="E93" s="2">
        <f ca="1">IF($C93&lt;0,-$C93,alpha_1_2*$C93)</f>
        <v>0.65682384789620207</v>
      </c>
      <c r="F93" s="2">
        <f ca="1">IF($C93&lt;0,-$C93,alpha_0*$C93)</f>
        <v>0</v>
      </c>
      <c r="G93" s="2">
        <f ca="1">IF($C93&lt;0,-$C93,alpha__1_2*$C93)</f>
        <v>-0.65682384789620207</v>
      </c>
      <c r="H93" s="2">
        <f ca="1">IF($C93&lt;0,-$C93,alpha__1*$C93)</f>
        <v>-1.3136476957924041</v>
      </c>
    </row>
    <row r="94" spans="3:8" x14ac:dyDescent="0.25">
      <c r="C94" s="2">
        <f t="shared" ca="1" si="8"/>
        <v>1.32032480304654</v>
      </c>
      <c r="D94" s="2">
        <f ca="1">IF($C94&lt;0,-$C94,alpha_1*$C94)</f>
        <v>1.32032480304654</v>
      </c>
      <c r="E94" s="2">
        <f ca="1">IF($C94&lt;0,-$C94,alpha_1_2*$C94)</f>
        <v>0.66016240152326999</v>
      </c>
      <c r="F94" s="2">
        <f ca="1">IF($C94&lt;0,-$C94,alpha_0*$C94)</f>
        <v>0</v>
      </c>
      <c r="G94" s="2">
        <f ca="1">IF($C94&lt;0,-$C94,alpha__1_2*$C94)</f>
        <v>-0.66016240152326999</v>
      </c>
      <c r="H94" s="2">
        <f ca="1">IF($C94&lt;0,-$C94,alpha__1*$C94)</f>
        <v>-1.32032480304654</v>
      </c>
    </row>
    <row r="95" spans="3:8" x14ac:dyDescent="0.25">
      <c r="C95" s="2">
        <f t="shared" ca="1" si="8"/>
        <v>0.42057154798153357</v>
      </c>
      <c r="D95" s="2">
        <f ca="1">IF($C95&lt;0,-$C95,alpha_1*$C95)</f>
        <v>0.42057154798153357</v>
      </c>
      <c r="E95" s="2">
        <f ca="1">IF($C95&lt;0,-$C95,alpha_1_2*$C95)</f>
        <v>0.21028577399076678</v>
      </c>
      <c r="F95" s="2">
        <f ca="1">IF($C95&lt;0,-$C95,alpha_0*$C95)</f>
        <v>0</v>
      </c>
      <c r="G95" s="2">
        <f ca="1">IF($C95&lt;0,-$C95,alpha__1_2*$C95)</f>
        <v>-0.21028577399076678</v>
      </c>
      <c r="H95" s="2">
        <f ca="1">IF($C95&lt;0,-$C95,alpha__1*$C95)</f>
        <v>-0.42057154798153357</v>
      </c>
    </row>
    <row r="96" spans="3:8" x14ac:dyDescent="0.25">
      <c r="C96" s="2">
        <f t="shared" ca="1" si="8"/>
        <v>-0.19508558768237716</v>
      </c>
      <c r="D96" s="2">
        <f ca="1">IF($C96&lt;0,-$C96,alpha_1*$C96)</f>
        <v>0.19508558768237716</v>
      </c>
      <c r="E96" s="2">
        <f ca="1">IF($C96&lt;0,-$C96,alpha_1_2*$C96)</f>
        <v>0.19508558768237716</v>
      </c>
      <c r="F96" s="2">
        <f ca="1">IF($C96&lt;0,-$C96,alpha_0*$C96)</f>
        <v>0.19508558768237716</v>
      </c>
      <c r="G96" s="2">
        <f ca="1">IF($C96&lt;0,-$C96,alpha__1_2*$C96)</f>
        <v>0.19508558768237716</v>
      </c>
      <c r="H96" s="2">
        <f ca="1">IF($C96&lt;0,-$C96,alpha__1*$C96)</f>
        <v>0.19508558768237716</v>
      </c>
    </row>
    <row r="97" spans="3:8" x14ac:dyDescent="0.25">
      <c r="C97" s="2">
        <f t="shared" ca="1" si="8"/>
        <v>-0.54236829219629901</v>
      </c>
      <c r="D97" s="2">
        <f ca="1">IF($C97&lt;0,-$C97,alpha_1*$C97)</f>
        <v>0.54236829219629901</v>
      </c>
      <c r="E97" s="2">
        <f ca="1">IF($C97&lt;0,-$C97,alpha_1_2*$C97)</f>
        <v>0.54236829219629901</v>
      </c>
      <c r="F97" s="2">
        <f ca="1">IF($C97&lt;0,-$C97,alpha_0*$C97)</f>
        <v>0.54236829219629901</v>
      </c>
      <c r="G97" s="2">
        <f ca="1">IF($C97&lt;0,-$C97,alpha__1_2*$C97)</f>
        <v>0.54236829219629901</v>
      </c>
      <c r="H97" s="2">
        <f ca="1">IF($C97&lt;0,-$C97,alpha__1*$C97)</f>
        <v>0.54236829219629901</v>
      </c>
    </row>
    <row r="98" spans="3:8" x14ac:dyDescent="0.25">
      <c r="C98" s="2">
        <f t="shared" ca="1" si="8"/>
        <v>1.155834812443348</v>
      </c>
      <c r="D98" s="2">
        <f ca="1">IF($C98&lt;0,-$C98,alpha_1*$C98)</f>
        <v>1.155834812443348</v>
      </c>
      <c r="E98" s="2">
        <f ca="1">IF($C98&lt;0,-$C98,alpha_1_2*$C98)</f>
        <v>0.57791740622167398</v>
      </c>
      <c r="F98" s="2">
        <f ca="1">IF($C98&lt;0,-$C98,alpha_0*$C98)</f>
        <v>0</v>
      </c>
      <c r="G98" s="2">
        <f ca="1">IF($C98&lt;0,-$C98,alpha__1_2*$C98)</f>
        <v>-0.57791740622167398</v>
      </c>
      <c r="H98" s="2">
        <f ca="1">IF($C98&lt;0,-$C98,alpha__1*$C98)</f>
        <v>-1.155834812443348</v>
      </c>
    </row>
    <row r="99" spans="3:8" x14ac:dyDescent="0.25">
      <c r="C99" s="2">
        <f t="shared" ca="1" si="8"/>
        <v>0.23924000198620876</v>
      </c>
      <c r="D99" s="2">
        <f ca="1">IF($C99&lt;0,-$C99,alpha_1*$C99)</f>
        <v>0.23924000198620876</v>
      </c>
      <c r="E99" s="2">
        <f ca="1">IF($C99&lt;0,-$C99,alpha_1_2*$C99)</f>
        <v>0.11962000099310438</v>
      </c>
      <c r="F99" s="2">
        <f ca="1">IF($C99&lt;0,-$C99,alpha_0*$C99)</f>
        <v>0</v>
      </c>
      <c r="G99" s="2">
        <f ca="1">IF($C99&lt;0,-$C99,alpha__1_2*$C99)</f>
        <v>-0.11962000099310438</v>
      </c>
      <c r="H99" s="2">
        <f ca="1">IF($C99&lt;0,-$C99,alpha__1*$C99)</f>
        <v>-0.23924000198620876</v>
      </c>
    </row>
    <row r="100" spans="3:8" x14ac:dyDescent="0.25">
      <c r="C100" s="2">
        <f t="shared" ca="1" si="8"/>
        <v>0.61319607581964464</v>
      </c>
      <c r="D100" s="2">
        <f ca="1">IF($C100&lt;0,-$C100,alpha_1*$C100)</f>
        <v>0.61319607581964464</v>
      </c>
      <c r="E100" s="2">
        <f ca="1">IF($C100&lt;0,-$C100,alpha_1_2*$C100)</f>
        <v>0.30659803790982232</v>
      </c>
      <c r="F100" s="2">
        <f ca="1">IF($C100&lt;0,-$C100,alpha_0*$C100)</f>
        <v>0</v>
      </c>
      <c r="G100" s="2">
        <f ca="1">IF($C100&lt;0,-$C100,alpha__1_2*$C100)</f>
        <v>-0.30659803790982232</v>
      </c>
      <c r="H100" s="2">
        <f ca="1">IF($C100&lt;0,-$C100,alpha__1*$C100)</f>
        <v>-0.61319607581964464</v>
      </c>
    </row>
    <row r="101" spans="3:8" x14ac:dyDescent="0.25">
      <c r="C101" s="2">
        <f t="shared" ca="1" si="8"/>
        <v>3.7664817413331207E-3</v>
      </c>
      <c r="D101" s="2">
        <f ca="1">IF($C101&lt;0,-$C101,alpha_1*$C101)</f>
        <v>3.7664817413331207E-3</v>
      </c>
      <c r="E101" s="2">
        <f ca="1">IF($C101&lt;0,-$C101,alpha_1_2*$C101)</f>
        <v>1.8832408706665603E-3</v>
      </c>
      <c r="F101" s="2">
        <f ca="1">IF($C101&lt;0,-$C101,alpha_0*$C101)</f>
        <v>0</v>
      </c>
      <c r="G101" s="2">
        <f ca="1">IF($C101&lt;0,-$C101,alpha__1_2*$C101)</f>
        <v>-1.8832408706665603E-3</v>
      </c>
      <c r="H101" s="2">
        <f ca="1">IF($C101&lt;0,-$C101,alpha__1*$C101)</f>
        <v>-3.7664817413331207E-3</v>
      </c>
    </row>
    <row r="102" spans="3:8" x14ac:dyDescent="0.25">
      <c r="C102" s="2">
        <f t="shared" ca="1" si="8"/>
        <v>-0.39299525372677785</v>
      </c>
      <c r="D102" s="2">
        <f ca="1">IF($C102&lt;0,-$C102,alpha_1*$C102)</f>
        <v>0.39299525372677785</v>
      </c>
      <c r="E102" s="2">
        <f ca="1">IF($C102&lt;0,-$C102,alpha_1_2*$C102)</f>
        <v>0.39299525372677785</v>
      </c>
      <c r="F102" s="2">
        <f ca="1">IF($C102&lt;0,-$C102,alpha_0*$C102)</f>
        <v>0.39299525372677785</v>
      </c>
      <c r="G102" s="2">
        <f ca="1">IF($C102&lt;0,-$C102,alpha__1_2*$C102)</f>
        <v>0.39299525372677785</v>
      </c>
      <c r="H102" s="2">
        <f ca="1">IF($C102&lt;0,-$C102,alpha__1*$C102)</f>
        <v>0.39299525372677785</v>
      </c>
    </row>
    <row r="103" spans="3:8" x14ac:dyDescent="0.25">
      <c r="C103" s="2">
        <f t="shared" ca="1" si="8"/>
        <v>-0.14859530010050823</v>
      </c>
      <c r="D103" s="2">
        <f ca="1">IF($C103&lt;0,-$C103,alpha_1*$C103)</f>
        <v>0.14859530010050823</v>
      </c>
      <c r="E103" s="2">
        <f ca="1">IF($C103&lt;0,-$C103,alpha_1_2*$C103)</f>
        <v>0.14859530010050823</v>
      </c>
      <c r="F103" s="2">
        <f ca="1">IF($C103&lt;0,-$C103,alpha_0*$C103)</f>
        <v>0.14859530010050823</v>
      </c>
      <c r="G103" s="2">
        <f ca="1">IF($C103&lt;0,-$C103,alpha__1_2*$C103)</f>
        <v>0.14859530010050823</v>
      </c>
      <c r="H103" s="2">
        <f ca="1">IF($C103&lt;0,-$C103,alpha__1*$C103)</f>
        <v>0.14859530010050823</v>
      </c>
    </row>
    <row r="104" spans="3:8" x14ac:dyDescent="0.25">
      <c r="C104" s="2">
        <f t="shared" ca="1" si="8"/>
        <v>-1.7735135451155219</v>
      </c>
      <c r="D104" s="2">
        <f ca="1">IF($C104&lt;0,-$C104,alpha_1*$C104)</f>
        <v>1.7735135451155219</v>
      </c>
      <c r="E104" s="2">
        <f ca="1">IF($C104&lt;0,-$C104,alpha_1_2*$C104)</f>
        <v>1.7735135451155219</v>
      </c>
      <c r="F104" s="2">
        <f ca="1">IF($C104&lt;0,-$C104,alpha_0*$C104)</f>
        <v>1.7735135451155219</v>
      </c>
      <c r="G104" s="2">
        <f ca="1">IF($C104&lt;0,-$C104,alpha__1_2*$C104)</f>
        <v>1.7735135451155219</v>
      </c>
      <c r="H104" s="2">
        <f ca="1">IF($C104&lt;0,-$C104,alpha__1*$C104)</f>
        <v>1.7735135451155219</v>
      </c>
    </row>
    <row r="105" spans="3:8" x14ac:dyDescent="0.25">
      <c r="C105" s="2">
        <f t="shared" ca="1" si="8"/>
        <v>-0.35537351065356448</v>
      </c>
      <c r="D105" s="2">
        <f ca="1">IF($C105&lt;0,-$C105,alpha_1*$C105)</f>
        <v>0.35537351065356448</v>
      </c>
      <c r="E105" s="2">
        <f ca="1">IF($C105&lt;0,-$C105,alpha_1_2*$C105)</f>
        <v>0.35537351065356448</v>
      </c>
      <c r="F105" s="2">
        <f ca="1">IF($C105&lt;0,-$C105,alpha_0*$C105)</f>
        <v>0.35537351065356448</v>
      </c>
      <c r="G105" s="2">
        <f ca="1">IF($C105&lt;0,-$C105,alpha__1_2*$C105)</f>
        <v>0.35537351065356448</v>
      </c>
      <c r="H105" s="2">
        <f ca="1">IF($C105&lt;0,-$C105,alpha__1*$C105)</f>
        <v>0.35537351065356448</v>
      </c>
    </row>
    <row r="106" spans="3:8" x14ac:dyDescent="0.25">
      <c r="C106" s="2">
        <f t="shared" ca="1" si="8"/>
        <v>1.3777313245918519</v>
      </c>
      <c r="D106" s="2">
        <f ca="1">IF($C106&lt;0,-$C106,alpha_1*$C106)</f>
        <v>1.3777313245918519</v>
      </c>
      <c r="E106" s="2">
        <f ca="1">IF($C106&lt;0,-$C106,alpha_1_2*$C106)</f>
        <v>0.68886566229592594</v>
      </c>
      <c r="F106" s="2">
        <f ca="1">IF($C106&lt;0,-$C106,alpha_0*$C106)</f>
        <v>0</v>
      </c>
      <c r="G106" s="2">
        <f ca="1">IF($C106&lt;0,-$C106,alpha__1_2*$C106)</f>
        <v>-0.68886566229592594</v>
      </c>
      <c r="H106" s="2">
        <f ca="1">IF($C106&lt;0,-$C106,alpha__1*$C106)</f>
        <v>-1.3777313245918519</v>
      </c>
    </row>
    <row r="107" spans="3:8" x14ac:dyDescent="0.25">
      <c r="C107" s="2">
        <f t="shared" ca="1" si="8"/>
        <v>-0.19073117776398565</v>
      </c>
      <c r="D107" s="2">
        <f ca="1">IF($C107&lt;0,-$C107,alpha_1*$C107)</f>
        <v>0.19073117776398565</v>
      </c>
      <c r="E107" s="2">
        <f ca="1">IF($C107&lt;0,-$C107,alpha_1_2*$C107)</f>
        <v>0.19073117776398565</v>
      </c>
      <c r="F107" s="2">
        <f ca="1">IF($C107&lt;0,-$C107,alpha_0*$C107)</f>
        <v>0.19073117776398565</v>
      </c>
      <c r="G107" s="2">
        <f ca="1">IF($C107&lt;0,-$C107,alpha__1_2*$C107)</f>
        <v>0.19073117776398565</v>
      </c>
      <c r="H107" s="2">
        <f ca="1">IF($C107&lt;0,-$C107,alpha__1*$C107)</f>
        <v>0.19073117776398565</v>
      </c>
    </row>
    <row r="108" spans="3:8" x14ac:dyDescent="0.25">
      <c r="C108" s="2">
        <f t="shared" ca="1" si="8"/>
        <v>9.3730543620103676E-2</v>
      </c>
      <c r="D108" s="2">
        <f ca="1">IF($C108&lt;0,-$C108,alpha_1*$C108)</f>
        <v>9.3730543620103676E-2</v>
      </c>
      <c r="E108" s="2">
        <f ca="1">IF($C108&lt;0,-$C108,alpha_1_2*$C108)</f>
        <v>4.6865271810051838E-2</v>
      </c>
      <c r="F108" s="2">
        <f ca="1">IF($C108&lt;0,-$C108,alpha_0*$C108)</f>
        <v>0</v>
      </c>
      <c r="G108" s="2">
        <f ca="1">IF($C108&lt;0,-$C108,alpha__1_2*$C108)</f>
        <v>-4.6865271810051838E-2</v>
      </c>
      <c r="H108" s="2">
        <f ca="1">IF($C108&lt;0,-$C108,alpha__1*$C108)</f>
        <v>-9.3730543620103676E-2</v>
      </c>
    </row>
    <row r="109" spans="3:8" x14ac:dyDescent="0.25">
      <c r="C109" s="2">
        <f t="shared" ca="1" si="8"/>
        <v>-0.24322308426654593</v>
      </c>
      <c r="D109" s="2">
        <f ca="1">IF($C109&lt;0,-$C109,alpha_1*$C109)</f>
        <v>0.24322308426654593</v>
      </c>
      <c r="E109" s="2">
        <f ca="1">IF($C109&lt;0,-$C109,alpha_1_2*$C109)</f>
        <v>0.24322308426654593</v>
      </c>
      <c r="F109" s="2">
        <f ca="1">IF($C109&lt;0,-$C109,alpha_0*$C109)</f>
        <v>0.24322308426654593</v>
      </c>
      <c r="G109" s="2">
        <f ca="1">IF($C109&lt;0,-$C109,alpha__1_2*$C109)</f>
        <v>0.24322308426654593</v>
      </c>
      <c r="H109" s="2">
        <f ca="1">IF($C109&lt;0,-$C109,alpha__1*$C109)</f>
        <v>0.24322308426654593</v>
      </c>
    </row>
    <row r="110" spans="3:8" x14ac:dyDescent="0.25">
      <c r="C110" s="2">
        <f t="shared" ca="1" si="8"/>
        <v>-0.68234935533187036</v>
      </c>
      <c r="D110" s="2">
        <f ca="1">IF($C110&lt;0,-$C110,alpha_1*$C110)</f>
        <v>0.68234935533187036</v>
      </c>
      <c r="E110" s="2">
        <f ca="1">IF($C110&lt;0,-$C110,alpha_1_2*$C110)</f>
        <v>0.68234935533187036</v>
      </c>
      <c r="F110" s="2">
        <f ca="1">IF($C110&lt;0,-$C110,alpha_0*$C110)</f>
        <v>0.68234935533187036</v>
      </c>
      <c r="G110" s="2">
        <f ca="1">IF($C110&lt;0,-$C110,alpha__1_2*$C110)</f>
        <v>0.68234935533187036</v>
      </c>
      <c r="H110" s="2">
        <f ca="1">IF($C110&lt;0,-$C110,alpha__1*$C110)</f>
        <v>0.68234935533187036</v>
      </c>
    </row>
    <row r="111" spans="3:8" x14ac:dyDescent="0.25">
      <c r="C111" s="2">
        <f t="shared" ca="1" si="8"/>
        <v>-0.62351945319880586</v>
      </c>
      <c r="D111" s="2">
        <f ca="1">IF($C111&lt;0,-$C111,alpha_1*$C111)</f>
        <v>0.62351945319880586</v>
      </c>
      <c r="E111" s="2">
        <f ca="1">IF($C111&lt;0,-$C111,alpha_1_2*$C111)</f>
        <v>0.62351945319880586</v>
      </c>
      <c r="F111" s="2">
        <f ca="1">IF($C111&lt;0,-$C111,alpha_0*$C111)</f>
        <v>0.62351945319880586</v>
      </c>
      <c r="G111" s="2">
        <f ca="1">IF($C111&lt;0,-$C111,alpha__1_2*$C111)</f>
        <v>0.62351945319880586</v>
      </c>
      <c r="H111" s="2">
        <f ca="1">IF($C111&lt;0,-$C111,alpha__1*$C111)</f>
        <v>0.62351945319880586</v>
      </c>
    </row>
    <row r="112" spans="3:8" x14ac:dyDescent="0.25">
      <c r="C112" s="2">
        <f t="shared" ca="1" si="8"/>
        <v>-0.33940414981039946</v>
      </c>
      <c r="D112" s="2">
        <f ca="1">IF($C112&lt;0,-$C112,alpha_1*$C112)</f>
        <v>0.33940414981039946</v>
      </c>
      <c r="E112" s="2">
        <f ca="1">IF($C112&lt;0,-$C112,alpha_1_2*$C112)</f>
        <v>0.33940414981039946</v>
      </c>
      <c r="F112" s="2">
        <f ca="1">IF($C112&lt;0,-$C112,alpha_0*$C112)</f>
        <v>0.33940414981039946</v>
      </c>
      <c r="G112" s="2">
        <f ca="1">IF($C112&lt;0,-$C112,alpha__1_2*$C112)</f>
        <v>0.33940414981039946</v>
      </c>
      <c r="H112" s="2">
        <f ca="1">IF($C112&lt;0,-$C112,alpha__1*$C112)</f>
        <v>0.33940414981039946</v>
      </c>
    </row>
    <row r="113" spans="3:8" x14ac:dyDescent="0.25">
      <c r="C113" s="2">
        <f t="shared" ca="1" si="8"/>
        <v>-1.4270176801027841</v>
      </c>
      <c r="D113" s="2">
        <f ca="1">IF($C113&lt;0,-$C113,alpha_1*$C113)</f>
        <v>1.4270176801027841</v>
      </c>
      <c r="E113" s="2">
        <f ca="1">IF($C113&lt;0,-$C113,alpha_1_2*$C113)</f>
        <v>1.4270176801027841</v>
      </c>
      <c r="F113" s="2">
        <f ca="1">IF($C113&lt;0,-$C113,alpha_0*$C113)</f>
        <v>1.4270176801027841</v>
      </c>
      <c r="G113" s="2">
        <f ca="1">IF($C113&lt;0,-$C113,alpha__1_2*$C113)</f>
        <v>1.4270176801027841</v>
      </c>
      <c r="H113" s="2">
        <f ca="1">IF($C113&lt;0,-$C113,alpha__1*$C113)</f>
        <v>1.4270176801027841</v>
      </c>
    </row>
    <row r="114" spans="3:8" x14ac:dyDescent="0.25">
      <c r="C114" s="2">
        <f t="shared" ca="1" si="8"/>
        <v>0.30504838104417414</v>
      </c>
      <c r="D114" s="2">
        <f ca="1">IF($C114&lt;0,-$C114,alpha_1*$C114)</f>
        <v>0.30504838104417414</v>
      </c>
      <c r="E114" s="2">
        <f ca="1">IF($C114&lt;0,-$C114,alpha_1_2*$C114)</f>
        <v>0.15252419052208707</v>
      </c>
      <c r="F114" s="2">
        <f ca="1">IF($C114&lt;0,-$C114,alpha_0*$C114)</f>
        <v>0</v>
      </c>
      <c r="G114" s="2">
        <f ca="1">IF($C114&lt;0,-$C114,alpha__1_2*$C114)</f>
        <v>-0.15252419052208707</v>
      </c>
      <c r="H114" s="2">
        <f ca="1">IF($C114&lt;0,-$C114,alpha__1*$C114)</f>
        <v>-0.30504838104417414</v>
      </c>
    </row>
    <row r="115" spans="3:8" x14ac:dyDescent="0.25">
      <c r="C115" s="2">
        <f t="shared" ca="1" si="8"/>
        <v>0.39365075644757075</v>
      </c>
      <c r="D115" s="2">
        <f ca="1">IF($C115&lt;0,-$C115,alpha_1*$C115)</f>
        <v>0.39365075644757075</v>
      </c>
      <c r="E115" s="2">
        <f ca="1">IF($C115&lt;0,-$C115,alpha_1_2*$C115)</f>
        <v>0.19682537822378537</v>
      </c>
      <c r="F115" s="2">
        <f ca="1">IF($C115&lt;0,-$C115,alpha_0*$C115)</f>
        <v>0</v>
      </c>
      <c r="G115" s="2">
        <f ca="1">IF($C115&lt;0,-$C115,alpha__1_2*$C115)</f>
        <v>-0.19682537822378537</v>
      </c>
      <c r="H115" s="2">
        <f ca="1">IF($C115&lt;0,-$C115,alpha__1*$C115)</f>
        <v>-0.39365075644757075</v>
      </c>
    </row>
    <row r="116" spans="3:8" x14ac:dyDescent="0.25">
      <c r="C116" s="2">
        <f t="shared" ca="1" si="8"/>
        <v>-0.10271559802100785</v>
      </c>
      <c r="D116" s="2">
        <f ca="1">IF($C116&lt;0,-$C116,alpha_1*$C116)</f>
        <v>0.10271559802100785</v>
      </c>
      <c r="E116" s="2">
        <f ca="1">IF($C116&lt;0,-$C116,alpha_1_2*$C116)</f>
        <v>0.10271559802100785</v>
      </c>
      <c r="F116" s="2">
        <f ca="1">IF($C116&lt;0,-$C116,alpha_0*$C116)</f>
        <v>0.10271559802100785</v>
      </c>
      <c r="G116" s="2">
        <f ca="1">IF($C116&lt;0,-$C116,alpha__1_2*$C116)</f>
        <v>0.10271559802100785</v>
      </c>
      <c r="H116" s="2">
        <f ca="1">IF($C116&lt;0,-$C116,alpha__1*$C116)</f>
        <v>0.10271559802100785</v>
      </c>
    </row>
    <row r="117" spans="3:8" x14ac:dyDescent="0.25">
      <c r="C117" s="2">
        <f t="shared" ca="1" si="8"/>
        <v>2.3578453260198979</v>
      </c>
      <c r="D117" s="2">
        <f ca="1">IF($C117&lt;0,-$C117,alpha_1*$C117)</f>
        <v>2.3578453260198979</v>
      </c>
      <c r="E117" s="2">
        <f ca="1">IF($C117&lt;0,-$C117,alpha_1_2*$C117)</f>
        <v>1.178922663009949</v>
      </c>
      <c r="F117" s="2">
        <f ca="1">IF($C117&lt;0,-$C117,alpha_0*$C117)</f>
        <v>0</v>
      </c>
      <c r="G117" s="2">
        <f ca="1">IF($C117&lt;0,-$C117,alpha__1_2*$C117)</f>
        <v>-1.178922663009949</v>
      </c>
      <c r="H117" s="2">
        <f ca="1">IF($C117&lt;0,-$C117,alpha__1*$C117)</f>
        <v>-2.3578453260198979</v>
      </c>
    </row>
    <row r="118" spans="3:8" x14ac:dyDescent="0.25">
      <c r="C118" s="2">
        <f t="shared" ca="1" si="8"/>
        <v>0.45951211795052072</v>
      </c>
      <c r="D118" s="2">
        <f ca="1">IF($C118&lt;0,-$C118,alpha_1*$C118)</f>
        <v>0.45951211795052072</v>
      </c>
      <c r="E118" s="2">
        <f ca="1">IF($C118&lt;0,-$C118,alpha_1_2*$C118)</f>
        <v>0.22975605897526036</v>
      </c>
      <c r="F118" s="2">
        <f ca="1">IF($C118&lt;0,-$C118,alpha_0*$C118)</f>
        <v>0</v>
      </c>
      <c r="G118" s="2">
        <f ca="1">IF($C118&lt;0,-$C118,alpha__1_2*$C118)</f>
        <v>-0.22975605897526036</v>
      </c>
      <c r="H118" s="2">
        <f ca="1">IF($C118&lt;0,-$C118,alpha__1*$C118)</f>
        <v>-0.45951211795052072</v>
      </c>
    </row>
    <row r="119" spans="3:8" x14ac:dyDescent="0.25">
      <c r="C119" s="2">
        <f t="shared" ca="1" si="8"/>
        <v>-1.5300164866801795</v>
      </c>
      <c r="D119" s="2">
        <f ca="1">IF($C119&lt;0,-$C119,alpha_1*$C119)</f>
        <v>1.5300164866801795</v>
      </c>
      <c r="E119" s="2">
        <f ca="1">IF($C119&lt;0,-$C119,alpha_1_2*$C119)</f>
        <v>1.5300164866801795</v>
      </c>
      <c r="F119" s="2">
        <f ca="1">IF($C119&lt;0,-$C119,alpha_0*$C119)</f>
        <v>1.5300164866801795</v>
      </c>
      <c r="G119" s="2">
        <f ca="1">IF($C119&lt;0,-$C119,alpha__1_2*$C119)</f>
        <v>1.5300164866801795</v>
      </c>
      <c r="H119" s="2">
        <f ca="1">IF($C119&lt;0,-$C119,alpha__1*$C119)</f>
        <v>1.5300164866801795</v>
      </c>
    </row>
    <row r="120" spans="3:8" x14ac:dyDescent="0.25">
      <c r="C120" s="2">
        <f t="shared" ca="1" si="8"/>
        <v>0.10347494275991845</v>
      </c>
      <c r="D120" s="2">
        <f ca="1">IF($C120&lt;0,-$C120,alpha_1*$C120)</f>
        <v>0.10347494275991845</v>
      </c>
      <c r="E120" s="2">
        <f ca="1">IF($C120&lt;0,-$C120,alpha_1_2*$C120)</f>
        <v>5.1737471379959224E-2</v>
      </c>
      <c r="F120" s="2">
        <f ca="1">IF($C120&lt;0,-$C120,alpha_0*$C120)</f>
        <v>0</v>
      </c>
      <c r="G120" s="2">
        <f ca="1">IF($C120&lt;0,-$C120,alpha__1_2*$C120)</f>
        <v>-5.1737471379959224E-2</v>
      </c>
      <c r="H120" s="2">
        <f ca="1">IF($C120&lt;0,-$C120,alpha__1*$C120)</f>
        <v>-0.10347494275991845</v>
      </c>
    </row>
    <row r="121" spans="3:8" x14ac:dyDescent="0.25">
      <c r="C121" s="2">
        <f t="shared" ca="1" si="8"/>
        <v>0.64973337127002384</v>
      </c>
      <c r="D121" s="2">
        <f ca="1">IF($C121&lt;0,-$C121,alpha_1*$C121)</f>
        <v>0.64973337127002384</v>
      </c>
      <c r="E121" s="2">
        <f ca="1">IF($C121&lt;0,-$C121,alpha_1_2*$C121)</f>
        <v>0.32486668563501192</v>
      </c>
      <c r="F121" s="2">
        <f ca="1">IF($C121&lt;0,-$C121,alpha_0*$C121)</f>
        <v>0</v>
      </c>
      <c r="G121" s="2">
        <f ca="1">IF($C121&lt;0,-$C121,alpha__1_2*$C121)</f>
        <v>-0.32486668563501192</v>
      </c>
      <c r="H121" s="2">
        <f ca="1">IF($C121&lt;0,-$C121,alpha__1*$C121)</f>
        <v>-0.64973337127002384</v>
      </c>
    </row>
    <row r="122" spans="3:8" x14ac:dyDescent="0.25">
      <c r="C122" s="2">
        <f t="shared" ca="1" si="8"/>
        <v>-0.41903776495941969</v>
      </c>
      <c r="D122" s="2">
        <f ca="1">IF($C122&lt;0,-$C122,alpha_1*$C122)</f>
        <v>0.41903776495941969</v>
      </c>
      <c r="E122" s="2">
        <f ca="1">IF($C122&lt;0,-$C122,alpha_1_2*$C122)</f>
        <v>0.41903776495941969</v>
      </c>
      <c r="F122" s="2">
        <f ca="1">IF($C122&lt;0,-$C122,alpha_0*$C122)</f>
        <v>0.41903776495941969</v>
      </c>
      <c r="G122" s="2">
        <f ca="1">IF($C122&lt;0,-$C122,alpha__1_2*$C122)</f>
        <v>0.41903776495941969</v>
      </c>
      <c r="H122" s="2">
        <f ca="1">IF($C122&lt;0,-$C122,alpha__1*$C122)</f>
        <v>0.41903776495941969</v>
      </c>
    </row>
    <row r="123" spans="3:8" x14ac:dyDescent="0.25">
      <c r="C123" s="2">
        <f t="shared" ca="1" si="8"/>
        <v>-0.44277233929853654</v>
      </c>
      <c r="D123" s="2">
        <f ca="1">IF($C123&lt;0,-$C123,alpha_1*$C123)</f>
        <v>0.44277233929853654</v>
      </c>
      <c r="E123" s="2">
        <f ca="1">IF($C123&lt;0,-$C123,alpha_1_2*$C123)</f>
        <v>0.44277233929853654</v>
      </c>
      <c r="F123" s="2">
        <f ca="1">IF($C123&lt;0,-$C123,alpha_0*$C123)</f>
        <v>0.44277233929853654</v>
      </c>
      <c r="G123" s="2">
        <f ca="1">IF($C123&lt;0,-$C123,alpha__1_2*$C123)</f>
        <v>0.44277233929853654</v>
      </c>
      <c r="H123" s="2">
        <f ca="1">IF($C123&lt;0,-$C123,alpha__1*$C123)</f>
        <v>0.44277233929853654</v>
      </c>
    </row>
    <row r="124" spans="3:8" x14ac:dyDescent="0.25">
      <c r="C124" s="2">
        <f t="shared" ca="1" si="8"/>
        <v>2.7757841559731742E-2</v>
      </c>
      <c r="D124" s="2">
        <f ca="1">IF($C124&lt;0,-$C124,alpha_1*$C124)</f>
        <v>2.7757841559731742E-2</v>
      </c>
      <c r="E124" s="2">
        <f ca="1">IF($C124&lt;0,-$C124,alpha_1_2*$C124)</f>
        <v>1.3878920779865871E-2</v>
      </c>
      <c r="F124" s="2">
        <f ca="1">IF($C124&lt;0,-$C124,alpha_0*$C124)</f>
        <v>0</v>
      </c>
      <c r="G124" s="2">
        <f ca="1">IF($C124&lt;0,-$C124,alpha__1_2*$C124)</f>
        <v>-1.3878920779865871E-2</v>
      </c>
      <c r="H124" s="2">
        <f ca="1">IF($C124&lt;0,-$C124,alpha__1*$C124)</f>
        <v>-2.7757841559731742E-2</v>
      </c>
    </row>
    <row r="125" spans="3:8" x14ac:dyDescent="0.25">
      <c r="C125" s="2">
        <f t="shared" ca="1" si="8"/>
        <v>-0.93148703765186791</v>
      </c>
      <c r="D125" s="2">
        <f ca="1">IF($C125&lt;0,-$C125,alpha_1*$C125)</f>
        <v>0.93148703765186791</v>
      </c>
      <c r="E125" s="2">
        <f ca="1">IF($C125&lt;0,-$C125,alpha_1_2*$C125)</f>
        <v>0.93148703765186791</v>
      </c>
      <c r="F125" s="2">
        <f ca="1">IF($C125&lt;0,-$C125,alpha_0*$C125)</f>
        <v>0.93148703765186791</v>
      </c>
      <c r="G125" s="2">
        <f ca="1">IF($C125&lt;0,-$C125,alpha__1_2*$C125)</f>
        <v>0.93148703765186791</v>
      </c>
      <c r="H125" s="2">
        <f ca="1">IF($C125&lt;0,-$C125,alpha__1*$C125)</f>
        <v>0.93148703765186791</v>
      </c>
    </row>
    <row r="126" spans="3:8" x14ac:dyDescent="0.25">
      <c r="C126" s="2">
        <f t="shared" ca="1" si="8"/>
        <v>2.4767689551674694</v>
      </c>
      <c r="D126" s="2">
        <f ca="1">IF($C126&lt;0,-$C126,alpha_1*$C126)</f>
        <v>2.4767689551674694</v>
      </c>
      <c r="E126" s="2">
        <f ca="1">IF($C126&lt;0,-$C126,alpha_1_2*$C126)</f>
        <v>1.2383844775837347</v>
      </c>
      <c r="F126" s="2">
        <f ca="1">IF($C126&lt;0,-$C126,alpha_0*$C126)</f>
        <v>0</v>
      </c>
      <c r="G126" s="2">
        <f ca="1">IF($C126&lt;0,-$C126,alpha__1_2*$C126)</f>
        <v>-1.2383844775837347</v>
      </c>
      <c r="H126" s="2">
        <f ca="1">IF($C126&lt;0,-$C126,alpha__1*$C126)</f>
        <v>-2.4767689551674694</v>
      </c>
    </row>
    <row r="127" spans="3:8" x14ac:dyDescent="0.25">
      <c r="C127" s="2">
        <f t="shared" ca="1" si="8"/>
        <v>-0.37761480518515866</v>
      </c>
      <c r="D127" s="2">
        <f ca="1">IF($C127&lt;0,-$C127,alpha_1*$C127)</f>
        <v>0.37761480518515866</v>
      </c>
      <c r="E127" s="2">
        <f ca="1">IF($C127&lt;0,-$C127,alpha_1_2*$C127)</f>
        <v>0.37761480518515866</v>
      </c>
      <c r="F127" s="2">
        <f ca="1">IF($C127&lt;0,-$C127,alpha_0*$C127)</f>
        <v>0.37761480518515866</v>
      </c>
      <c r="G127" s="2">
        <f ca="1">IF($C127&lt;0,-$C127,alpha__1_2*$C127)</f>
        <v>0.37761480518515866</v>
      </c>
      <c r="H127" s="2">
        <f ca="1">IF($C127&lt;0,-$C127,alpha__1*$C127)</f>
        <v>0.37761480518515866</v>
      </c>
    </row>
    <row r="128" spans="3:8" x14ac:dyDescent="0.25">
      <c r="C128" s="2">
        <f t="shared" ca="1" si="8"/>
        <v>-0.73717247370953243</v>
      </c>
      <c r="D128" s="2">
        <f ca="1">IF($C128&lt;0,-$C128,alpha_1*$C128)</f>
        <v>0.73717247370953243</v>
      </c>
      <c r="E128" s="2">
        <f ca="1">IF($C128&lt;0,-$C128,alpha_1_2*$C128)</f>
        <v>0.73717247370953243</v>
      </c>
      <c r="F128" s="2">
        <f ca="1">IF($C128&lt;0,-$C128,alpha_0*$C128)</f>
        <v>0.73717247370953243</v>
      </c>
      <c r="G128" s="2">
        <f ca="1">IF($C128&lt;0,-$C128,alpha__1_2*$C128)</f>
        <v>0.73717247370953243</v>
      </c>
      <c r="H128" s="2">
        <f ca="1">IF($C128&lt;0,-$C128,alpha__1*$C128)</f>
        <v>0.73717247370953243</v>
      </c>
    </row>
    <row r="129" spans="3:8" x14ac:dyDescent="0.25">
      <c r="C129" s="2">
        <f t="shared" ca="1" si="8"/>
        <v>-1.0209466669614633</v>
      </c>
      <c r="D129" s="2">
        <f ca="1">IF($C129&lt;0,-$C129,alpha_1*$C129)</f>
        <v>1.0209466669614633</v>
      </c>
      <c r="E129" s="2">
        <f ca="1">IF($C129&lt;0,-$C129,alpha_1_2*$C129)</f>
        <v>1.0209466669614633</v>
      </c>
      <c r="F129" s="2">
        <f ca="1">IF($C129&lt;0,-$C129,alpha_0*$C129)</f>
        <v>1.0209466669614633</v>
      </c>
      <c r="G129" s="2">
        <f ca="1">IF($C129&lt;0,-$C129,alpha__1_2*$C129)</f>
        <v>1.0209466669614633</v>
      </c>
      <c r="H129" s="2">
        <f ca="1">IF($C129&lt;0,-$C129,alpha__1*$C129)</f>
        <v>1.0209466669614633</v>
      </c>
    </row>
    <row r="130" spans="3:8" x14ac:dyDescent="0.25">
      <c r="C130" s="2">
        <f t="shared" ca="1" si="8"/>
        <v>-2.1651396255754394</v>
      </c>
      <c r="D130" s="2">
        <f ca="1">IF($C130&lt;0,-$C130,alpha_1*$C130)</f>
        <v>2.1651396255754394</v>
      </c>
      <c r="E130" s="2">
        <f ca="1">IF($C130&lt;0,-$C130,alpha_1_2*$C130)</f>
        <v>2.1651396255754394</v>
      </c>
      <c r="F130" s="2">
        <f ca="1">IF($C130&lt;0,-$C130,alpha_0*$C130)</f>
        <v>2.1651396255754394</v>
      </c>
      <c r="G130" s="2">
        <f ca="1">IF($C130&lt;0,-$C130,alpha__1_2*$C130)</f>
        <v>2.1651396255754394</v>
      </c>
      <c r="H130" s="2">
        <f ca="1">IF($C130&lt;0,-$C130,alpha__1*$C130)</f>
        <v>2.1651396255754394</v>
      </c>
    </row>
    <row r="131" spans="3:8" x14ac:dyDescent="0.25">
      <c r="C131" s="2">
        <f t="shared" ca="1" si="8"/>
        <v>0.40677289820280016</v>
      </c>
      <c r="D131" s="2">
        <f ca="1">IF($C131&lt;0,-$C131,alpha_1*$C131)</f>
        <v>0.40677289820280016</v>
      </c>
      <c r="E131" s="2">
        <f ca="1">IF($C131&lt;0,-$C131,alpha_1_2*$C131)</f>
        <v>0.20338644910140008</v>
      </c>
      <c r="F131" s="2">
        <f ca="1">IF($C131&lt;0,-$C131,alpha_0*$C131)</f>
        <v>0</v>
      </c>
      <c r="G131" s="2">
        <f ca="1">IF($C131&lt;0,-$C131,alpha__1_2*$C131)</f>
        <v>-0.20338644910140008</v>
      </c>
      <c r="H131" s="2">
        <f ca="1">IF($C131&lt;0,-$C131,alpha__1*$C131)</f>
        <v>-0.40677289820280016</v>
      </c>
    </row>
    <row r="132" spans="3:8" x14ac:dyDescent="0.25">
      <c r="C132" s="2">
        <f t="shared" ca="1" si="8"/>
        <v>-0.28835337737572825</v>
      </c>
      <c r="D132" s="2">
        <f ca="1">IF($C132&lt;0,-$C132,alpha_1*$C132)</f>
        <v>0.28835337737572825</v>
      </c>
      <c r="E132" s="2">
        <f ca="1">IF($C132&lt;0,-$C132,alpha_1_2*$C132)</f>
        <v>0.28835337737572825</v>
      </c>
      <c r="F132" s="2">
        <f ca="1">IF($C132&lt;0,-$C132,alpha_0*$C132)</f>
        <v>0.28835337737572825</v>
      </c>
      <c r="G132" s="2">
        <f ca="1">IF($C132&lt;0,-$C132,alpha__1_2*$C132)</f>
        <v>0.28835337737572825</v>
      </c>
      <c r="H132" s="2">
        <f ca="1">IF($C132&lt;0,-$C132,alpha__1*$C132)</f>
        <v>0.28835337737572825</v>
      </c>
    </row>
    <row r="133" spans="3:8" x14ac:dyDescent="0.25">
      <c r="C133" s="2">
        <f t="shared" ca="1" si="8"/>
        <v>-0.90671137197070228</v>
      </c>
      <c r="D133" s="2">
        <f ca="1">IF($C133&lt;0,-$C133,alpha_1*$C133)</f>
        <v>0.90671137197070228</v>
      </c>
      <c r="E133" s="2">
        <f ca="1">IF($C133&lt;0,-$C133,alpha_1_2*$C133)</f>
        <v>0.90671137197070228</v>
      </c>
      <c r="F133" s="2">
        <f ca="1">IF($C133&lt;0,-$C133,alpha_0*$C133)</f>
        <v>0.90671137197070228</v>
      </c>
      <c r="G133" s="2">
        <f ca="1">IF($C133&lt;0,-$C133,alpha__1_2*$C133)</f>
        <v>0.90671137197070228</v>
      </c>
      <c r="H133" s="2">
        <f ca="1">IF($C133&lt;0,-$C133,alpha__1*$C133)</f>
        <v>0.90671137197070228</v>
      </c>
    </row>
    <row r="134" spans="3:8" x14ac:dyDescent="0.25">
      <c r="C134" s="2">
        <f t="shared" ca="1" si="8"/>
        <v>-0.24132471955691992</v>
      </c>
      <c r="D134" s="2">
        <f ca="1">IF($C134&lt;0,-$C134,alpha_1*$C134)</f>
        <v>0.24132471955691992</v>
      </c>
      <c r="E134" s="2">
        <f ca="1">IF($C134&lt;0,-$C134,alpha_1_2*$C134)</f>
        <v>0.24132471955691992</v>
      </c>
      <c r="F134" s="2">
        <f ca="1">IF($C134&lt;0,-$C134,alpha_0*$C134)</f>
        <v>0.24132471955691992</v>
      </c>
      <c r="G134" s="2">
        <f ca="1">IF($C134&lt;0,-$C134,alpha__1_2*$C134)</f>
        <v>0.24132471955691992</v>
      </c>
      <c r="H134" s="2">
        <f ca="1">IF($C134&lt;0,-$C134,alpha__1*$C134)</f>
        <v>0.24132471955691992</v>
      </c>
    </row>
    <row r="135" spans="3:8" x14ac:dyDescent="0.25">
      <c r="C135" s="2">
        <f t="shared" ca="1" si="8"/>
        <v>-0.6359284088851519</v>
      </c>
      <c r="D135" s="2">
        <f ca="1">IF($C135&lt;0,-$C135,alpha_1*$C135)</f>
        <v>0.6359284088851519</v>
      </c>
      <c r="E135" s="2">
        <f ca="1">IF($C135&lt;0,-$C135,alpha_1_2*$C135)</f>
        <v>0.6359284088851519</v>
      </c>
      <c r="F135" s="2">
        <f ca="1">IF($C135&lt;0,-$C135,alpha_0*$C135)</f>
        <v>0.6359284088851519</v>
      </c>
      <c r="G135" s="2">
        <f ca="1">IF($C135&lt;0,-$C135,alpha__1_2*$C135)</f>
        <v>0.6359284088851519</v>
      </c>
      <c r="H135" s="2">
        <f ca="1">IF($C135&lt;0,-$C135,alpha__1*$C135)</f>
        <v>0.6359284088851519</v>
      </c>
    </row>
    <row r="136" spans="3:8" x14ac:dyDescent="0.25">
      <c r="C136" s="2">
        <f t="shared" ca="1" si="8"/>
        <v>1.0880826377877546</v>
      </c>
      <c r="D136" s="2">
        <f ca="1">IF($C136&lt;0,-$C136,alpha_1*$C136)</f>
        <v>1.0880826377877546</v>
      </c>
      <c r="E136" s="2">
        <f ca="1">IF($C136&lt;0,-$C136,alpha_1_2*$C136)</f>
        <v>0.5440413188938773</v>
      </c>
      <c r="F136" s="2">
        <f ca="1">IF($C136&lt;0,-$C136,alpha_0*$C136)</f>
        <v>0</v>
      </c>
      <c r="G136" s="2">
        <f ca="1">IF($C136&lt;0,-$C136,alpha__1_2*$C136)</f>
        <v>-0.5440413188938773</v>
      </c>
      <c r="H136" s="2">
        <f ca="1">IF($C136&lt;0,-$C136,alpha__1*$C136)</f>
        <v>-1.0880826377877546</v>
      </c>
    </row>
    <row r="137" spans="3:8" x14ac:dyDescent="0.25">
      <c r="C137" s="2">
        <f t="shared" ca="1" si="8"/>
        <v>0.25795821604909996</v>
      </c>
      <c r="D137" s="2">
        <f ca="1">IF($C137&lt;0,-$C137,alpha_1*$C137)</f>
        <v>0.25795821604909996</v>
      </c>
      <c r="E137" s="2">
        <f ca="1">IF($C137&lt;0,-$C137,alpha_1_2*$C137)</f>
        <v>0.12897910802454998</v>
      </c>
      <c r="F137" s="2">
        <f ca="1">IF($C137&lt;0,-$C137,alpha_0*$C137)</f>
        <v>0</v>
      </c>
      <c r="G137" s="2">
        <f ca="1">IF($C137&lt;0,-$C137,alpha__1_2*$C137)</f>
        <v>-0.12897910802454998</v>
      </c>
      <c r="H137" s="2">
        <f ca="1">IF($C137&lt;0,-$C137,alpha__1*$C137)</f>
        <v>-0.25795821604909996</v>
      </c>
    </row>
    <row r="138" spans="3:8" x14ac:dyDescent="0.25">
      <c r="C138" s="2">
        <f t="shared" ca="1" si="8"/>
        <v>0.22195052964068332</v>
      </c>
      <c r="D138" s="2">
        <f ca="1">IF($C138&lt;0,-$C138,alpha_1*$C138)</f>
        <v>0.22195052964068332</v>
      </c>
      <c r="E138" s="2">
        <f ca="1">IF($C138&lt;0,-$C138,alpha_1_2*$C138)</f>
        <v>0.11097526482034166</v>
      </c>
      <c r="F138" s="2">
        <f ca="1">IF($C138&lt;0,-$C138,alpha_0*$C138)</f>
        <v>0</v>
      </c>
      <c r="G138" s="2">
        <f ca="1">IF($C138&lt;0,-$C138,alpha__1_2*$C138)</f>
        <v>-0.11097526482034166</v>
      </c>
      <c r="H138" s="2">
        <f ca="1">IF($C138&lt;0,-$C138,alpha__1*$C138)</f>
        <v>-0.22195052964068332</v>
      </c>
    </row>
    <row r="139" spans="3:8" x14ac:dyDescent="0.25">
      <c r="C139" s="2">
        <f t="shared" ca="1" si="8"/>
        <v>-0.22209382885655171</v>
      </c>
      <c r="D139" s="2">
        <f ca="1">IF($C139&lt;0,-$C139,alpha_1*$C139)</f>
        <v>0.22209382885655171</v>
      </c>
      <c r="E139" s="2">
        <f ca="1">IF($C139&lt;0,-$C139,alpha_1_2*$C139)</f>
        <v>0.22209382885655171</v>
      </c>
      <c r="F139" s="2">
        <f ca="1">IF($C139&lt;0,-$C139,alpha_0*$C139)</f>
        <v>0.22209382885655171</v>
      </c>
      <c r="G139" s="2">
        <f ca="1">IF($C139&lt;0,-$C139,alpha__1_2*$C139)</f>
        <v>0.22209382885655171</v>
      </c>
      <c r="H139" s="2">
        <f ca="1">IF($C139&lt;0,-$C139,alpha__1*$C139)</f>
        <v>0.22209382885655171</v>
      </c>
    </row>
    <row r="140" spans="3:8" x14ac:dyDescent="0.25">
      <c r="C140" s="2">
        <f t="shared" ref="C140:C200" ca="1" si="9">_xlfn.NORM.S.INV(RAND())</f>
        <v>-3.4604587082841656E-2</v>
      </c>
      <c r="D140" s="2">
        <f ca="1">IF($C140&lt;0,-$C140,alpha_1*$C140)</f>
        <v>3.4604587082841656E-2</v>
      </c>
      <c r="E140" s="2">
        <f ca="1">IF($C140&lt;0,-$C140,alpha_1_2*$C140)</f>
        <v>3.4604587082841656E-2</v>
      </c>
      <c r="F140" s="2">
        <f ca="1">IF($C140&lt;0,-$C140,alpha_0*$C140)</f>
        <v>3.4604587082841656E-2</v>
      </c>
      <c r="G140" s="2">
        <f ca="1">IF($C140&lt;0,-$C140,alpha__1_2*$C140)</f>
        <v>3.4604587082841656E-2</v>
      </c>
      <c r="H140" s="2">
        <f ca="1">IF($C140&lt;0,-$C140,alpha__1*$C140)</f>
        <v>3.4604587082841656E-2</v>
      </c>
    </row>
    <row r="141" spans="3:8" x14ac:dyDescent="0.25">
      <c r="C141" s="2">
        <f t="shared" ca="1" si="9"/>
        <v>-0.23102556069091662</v>
      </c>
      <c r="D141" s="2">
        <f ca="1">IF($C141&lt;0,-$C141,alpha_1*$C141)</f>
        <v>0.23102556069091662</v>
      </c>
      <c r="E141" s="2">
        <f ca="1">IF($C141&lt;0,-$C141,alpha_1_2*$C141)</f>
        <v>0.23102556069091662</v>
      </c>
      <c r="F141" s="2">
        <f ca="1">IF($C141&lt;0,-$C141,alpha_0*$C141)</f>
        <v>0.23102556069091662</v>
      </c>
      <c r="G141" s="2">
        <f ca="1">IF($C141&lt;0,-$C141,alpha__1_2*$C141)</f>
        <v>0.23102556069091662</v>
      </c>
      <c r="H141" s="2">
        <f ca="1">IF($C141&lt;0,-$C141,alpha__1*$C141)</f>
        <v>0.23102556069091662</v>
      </c>
    </row>
    <row r="142" spans="3:8" x14ac:dyDescent="0.25">
      <c r="C142" s="2">
        <f t="shared" ca="1" si="9"/>
        <v>-0.66166937384621027</v>
      </c>
      <c r="D142" s="2">
        <f ca="1">IF($C142&lt;0,-$C142,alpha_1*$C142)</f>
        <v>0.66166937384621027</v>
      </c>
      <c r="E142" s="2">
        <f ca="1">IF($C142&lt;0,-$C142,alpha_1_2*$C142)</f>
        <v>0.66166937384621027</v>
      </c>
      <c r="F142" s="2">
        <f ca="1">IF($C142&lt;0,-$C142,alpha_0*$C142)</f>
        <v>0.66166937384621027</v>
      </c>
      <c r="G142" s="2">
        <f ca="1">IF($C142&lt;0,-$C142,alpha__1_2*$C142)</f>
        <v>0.66166937384621027</v>
      </c>
      <c r="H142" s="2">
        <f ca="1">IF($C142&lt;0,-$C142,alpha__1*$C142)</f>
        <v>0.66166937384621027</v>
      </c>
    </row>
    <row r="143" spans="3:8" x14ac:dyDescent="0.25">
      <c r="C143" s="2">
        <f t="shared" ca="1" si="9"/>
        <v>0.1475202105332572</v>
      </c>
      <c r="D143" s="2">
        <f ca="1">IF($C143&lt;0,-$C143,alpha_1*$C143)</f>
        <v>0.1475202105332572</v>
      </c>
      <c r="E143" s="2">
        <f ca="1">IF($C143&lt;0,-$C143,alpha_1_2*$C143)</f>
        <v>7.3760105266628601E-2</v>
      </c>
      <c r="F143" s="2">
        <f ca="1">IF($C143&lt;0,-$C143,alpha_0*$C143)</f>
        <v>0</v>
      </c>
      <c r="G143" s="2">
        <f ca="1">IF($C143&lt;0,-$C143,alpha__1_2*$C143)</f>
        <v>-7.3760105266628601E-2</v>
      </c>
      <c r="H143" s="2">
        <f ca="1">IF($C143&lt;0,-$C143,alpha__1*$C143)</f>
        <v>-0.1475202105332572</v>
      </c>
    </row>
    <row r="144" spans="3:8" x14ac:dyDescent="0.25">
      <c r="C144" s="2">
        <f t="shared" ca="1" si="9"/>
        <v>0.36734741312606278</v>
      </c>
      <c r="D144" s="2">
        <f ca="1">IF($C144&lt;0,-$C144,alpha_1*$C144)</f>
        <v>0.36734741312606278</v>
      </c>
      <c r="E144" s="2">
        <f ca="1">IF($C144&lt;0,-$C144,alpha_1_2*$C144)</f>
        <v>0.18367370656303139</v>
      </c>
      <c r="F144" s="2">
        <f ca="1">IF($C144&lt;0,-$C144,alpha_0*$C144)</f>
        <v>0</v>
      </c>
      <c r="G144" s="2">
        <f ca="1">IF($C144&lt;0,-$C144,alpha__1_2*$C144)</f>
        <v>-0.18367370656303139</v>
      </c>
      <c r="H144" s="2">
        <f ca="1">IF($C144&lt;0,-$C144,alpha__1*$C144)</f>
        <v>-0.36734741312606278</v>
      </c>
    </row>
    <row r="145" spans="3:8" x14ac:dyDescent="0.25">
      <c r="C145" s="2">
        <f t="shared" ca="1" si="9"/>
        <v>-0.76645124668844689</v>
      </c>
      <c r="D145" s="2">
        <f ca="1">IF($C145&lt;0,-$C145,alpha_1*$C145)</f>
        <v>0.76645124668844689</v>
      </c>
      <c r="E145" s="2">
        <f ca="1">IF($C145&lt;0,-$C145,alpha_1_2*$C145)</f>
        <v>0.76645124668844689</v>
      </c>
      <c r="F145" s="2">
        <f ca="1">IF($C145&lt;0,-$C145,alpha_0*$C145)</f>
        <v>0.76645124668844689</v>
      </c>
      <c r="G145" s="2">
        <f ca="1">IF($C145&lt;0,-$C145,alpha__1_2*$C145)</f>
        <v>0.76645124668844689</v>
      </c>
      <c r="H145" s="2">
        <f ca="1">IF($C145&lt;0,-$C145,alpha__1*$C145)</f>
        <v>0.76645124668844689</v>
      </c>
    </row>
    <row r="146" spans="3:8" x14ac:dyDescent="0.25">
      <c r="C146" s="2">
        <f t="shared" ca="1" si="9"/>
        <v>-0.62693826245945383</v>
      </c>
      <c r="D146" s="2">
        <f ca="1">IF($C146&lt;0,-$C146,alpha_1*$C146)</f>
        <v>0.62693826245945383</v>
      </c>
      <c r="E146" s="2">
        <f ca="1">IF($C146&lt;0,-$C146,alpha_1_2*$C146)</f>
        <v>0.62693826245945383</v>
      </c>
      <c r="F146" s="2">
        <f ca="1">IF($C146&lt;0,-$C146,alpha_0*$C146)</f>
        <v>0.62693826245945383</v>
      </c>
      <c r="G146" s="2">
        <f ca="1">IF($C146&lt;0,-$C146,alpha__1_2*$C146)</f>
        <v>0.62693826245945383</v>
      </c>
      <c r="H146" s="2">
        <f ca="1">IF($C146&lt;0,-$C146,alpha__1*$C146)</f>
        <v>0.62693826245945383</v>
      </c>
    </row>
    <row r="147" spans="3:8" x14ac:dyDescent="0.25">
      <c r="C147" s="2">
        <f t="shared" ca="1" si="9"/>
        <v>-0.28482135049606377</v>
      </c>
      <c r="D147" s="2">
        <f ca="1">IF($C147&lt;0,-$C147,alpha_1*$C147)</f>
        <v>0.28482135049606377</v>
      </c>
      <c r="E147" s="2">
        <f ca="1">IF($C147&lt;0,-$C147,alpha_1_2*$C147)</f>
        <v>0.28482135049606377</v>
      </c>
      <c r="F147" s="2">
        <f ca="1">IF($C147&lt;0,-$C147,alpha_0*$C147)</f>
        <v>0.28482135049606377</v>
      </c>
      <c r="G147" s="2">
        <f ca="1">IF($C147&lt;0,-$C147,alpha__1_2*$C147)</f>
        <v>0.28482135049606377</v>
      </c>
      <c r="H147" s="2">
        <f ca="1">IF($C147&lt;0,-$C147,alpha__1*$C147)</f>
        <v>0.28482135049606377</v>
      </c>
    </row>
    <row r="148" spans="3:8" x14ac:dyDescent="0.25">
      <c r="C148" s="2">
        <f t="shared" ca="1" si="9"/>
        <v>-1.6445256742532288</v>
      </c>
      <c r="D148" s="2">
        <f ca="1">IF($C148&lt;0,-$C148,alpha_1*$C148)</f>
        <v>1.6445256742532288</v>
      </c>
      <c r="E148" s="2">
        <f ca="1">IF($C148&lt;0,-$C148,alpha_1_2*$C148)</f>
        <v>1.6445256742532288</v>
      </c>
      <c r="F148" s="2">
        <f ca="1">IF($C148&lt;0,-$C148,alpha_0*$C148)</f>
        <v>1.6445256742532288</v>
      </c>
      <c r="G148" s="2">
        <f ca="1">IF($C148&lt;0,-$C148,alpha__1_2*$C148)</f>
        <v>1.6445256742532288</v>
      </c>
      <c r="H148" s="2">
        <f ca="1">IF($C148&lt;0,-$C148,alpha__1*$C148)</f>
        <v>1.6445256742532288</v>
      </c>
    </row>
    <row r="149" spans="3:8" x14ac:dyDescent="0.25">
      <c r="C149" s="2">
        <f t="shared" ca="1" si="9"/>
        <v>-0.33313802285419508</v>
      </c>
      <c r="D149" s="2">
        <f ca="1">IF($C149&lt;0,-$C149,alpha_1*$C149)</f>
        <v>0.33313802285419508</v>
      </c>
      <c r="E149" s="2">
        <f ca="1">IF($C149&lt;0,-$C149,alpha_1_2*$C149)</f>
        <v>0.33313802285419508</v>
      </c>
      <c r="F149" s="2">
        <f ca="1">IF($C149&lt;0,-$C149,alpha_0*$C149)</f>
        <v>0.33313802285419508</v>
      </c>
      <c r="G149" s="2">
        <f ca="1">IF($C149&lt;0,-$C149,alpha__1_2*$C149)</f>
        <v>0.33313802285419508</v>
      </c>
      <c r="H149" s="2">
        <f ca="1">IF($C149&lt;0,-$C149,alpha__1*$C149)</f>
        <v>0.33313802285419508</v>
      </c>
    </row>
    <row r="150" spans="3:8" x14ac:dyDescent="0.25">
      <c r="C150" s="2">
        <f t="shared" ca="1" si="9"/>
        <v>2.1035440509788699</v>
      </c>
      <c r="D150" s="2">
        <f ca="1">IF($C150&lt;0,-$C150,alpha_1*$C150)</f>
        <v>2.1035440509788699</v>
      </c>
      <c r="E150" s="2">
        <f ca="1">IF($C150&lt;0,-$C150,alpha_1_2*$C150)</f>
        <v>1.0517720254894349</v>
      </c>
      <c r="F150" s="2">
        <f ca="1">IF($C150&lt;0,-$C150,alpha_0*$C150)</f>
        <v>0</v>
      </c>
      <c r="G150" s="2">
        <f ca="1">IF($C150&lt;0,-$C150,alpha__1_2*$C150)</f>
        <v>-1.0517720254894349</v>
      </c>
      <c r="H150" s="2">
        <f ca="1">IF($C150&lt;0,-$C150,alpha__1*$C150)</f>
        <v>-2.1035440509788699</v>
      </c>
    </row>
    <row r="151" spans="3:8" x14ac:dyDescent="0.25">
      <c r="C151" s="2">
        <f t="shared" ca="1" si="9"/>
        <v>-0.33223118682852881</v>
      </c>
      <c r="D151" s="2">
        <f ca="1">IF($C151&lt;0,-$C151,alpha_1*$C151)</f>
        <v>0.33223118682852881</v>
      </c>
      <c r="E151" s="2">
        <f ca="1">IF($C151&lt;0,-$C151,alpha_1_2*$C151)</f>
        <v>0.33223118682852881</v>
      </c>
      <c r="F151" s="2">
        <f ca="1">IF($C151&lt;0,-$C151,alpha_0*$C151)</f>
        <v>0.33223118682852881</v>
      </c>
      <c r="G151" s="2">
        <f ca="1">IF($C151&lt;0,-$C151,alpha__1_2*$C151)</f>
        <v>0.33223118682852881</v>
      </c>
      <c r="H151" s="2">
        <f ca="1">IF($C151&lt;0,-$C151,alpha__1*$C151)</f>
        <v>0.33223118682852881</v>
      </c>
    </row>
    <row r="152" spans="3:8" x14ac:dyDescent="0.25">
      <c r="C152" s="2">
        <f t="shared" ca="1" si="9"/>
        <v>0.78840848842628963</v>
      </c>
      <c r="D152" s="2">
        <f ca="1">IF($C152&lt;0,-$C152,alpha_1*$C152)</f>
        <v>0.78840848842628963</v>
      </c>
      <c r="E152" s="2">
        <f ca="1">IF($C152&lt;0,-$C152,alpha_1_2*$C152)</f>
        <v>0.39420424421314482</v>
      </c>
      <c r="F152" s="2">
        <f ca="1">IF($C152&lt;0,-$C152,alpha_0*$C152)</f>
        <v>0</v>
      </c>
      <c r="G152" s="2">
        <f ca="1">IF($C152&lt;0,-$C152,alpha__1_2*$C152)</f>
        <v>-0.39420424421314482</v>
      </c>
      <c r="H152" s="2">
        <f ca="1">IF($C152&lt;0,-$C152,alpha__1*$C152)</f>
        <v>-0.78840848842628963</v>
      </c>
    </row>
    <row r="153" spans="3:8" x14ac:dyDescent="0.25">
      <c r="C153" s="2">
        <f t="shared" ca="1" si="9"/>
        <v>6.6832858848596452E-2</v>
      </c>
      <c r="D153" s="2">
        <f ca="1">IF($C153&lt;0,-$C153,alpha_1*$C153)</f>
        <v>6.6832858848596452E-2</v>
      </c>
      <c r="E153" s="2">
        <f ca="1">IF($C153&lt;0,-$C153,alpha_1_2*$C153)</f>
        <v>3.3416429424298226E-2</v>
      </c>
      <c r="F153" s="2">
        <f ca="1">IF($C153&lt;0,-$C153,alpha_0*$C153)</f>
        <v>0</v>
      </c>
      <c r="G153" s="2">
        <f ca="1">IF($C153&lt;0,-$C153,alpha__1_2*$C153)</f>
        <v>-3.3416429424298226E-2</v>
      </c>
      <c r="H153" s="2">
        <f ca="1">IF($C153&lt;0,-$C153,alpha__1*$C153)</f>
        <v>-6.6832858848596452E-2</v>
      </c>
    </row>
    <row r="154" spans="3:8" x14ac:dyDescent="0.25">
      <c r="C154" s="2">
        <f t="shared" ca="1" si="9"/>
        <v>1.4001462837755152</v>
      </c>
      <c r="D154" s="2">
        <f ca="1">IF($C154&lt;0,-$C154,alpha_1*$C154)</f>
        <v>1.4001462837755152</v>
      </c>
      <c r="E154" s="2">
        <f ca="1">IF($C154&lt;0,-$C154,alpha_1_2*$C154)</f>
        <v>0.7000731418877576</v>
      </c>
      <c r="F154" s="2">
        <f ca="1">IF($C154&lt;0,-$C154,alpha_0*$C154)</f>
        <v>0</v>
      </c>
      <c r="G154" s="2">
        <f ca="1">IF($C154&lt;0,-$C154,alpha__1_2*$C154)</f>
        <v>-0.7000731418877576</v>
      </c>
      <c r="H154" s="2">
        <f ca="1">IF($C154&lt;0,-$C154,alpha__1*$C154)</f>
        <v>-1.4001462837755152</v>
      </c>
    </row>
    <row r="155" spans="3:8" x14ac:dyDescent="0.25">
      <c r="C155" s="2">
        <f t="shared" ca="1" si="9"/>
        <v>-1.2170913405189245</v>
      </c>
      <c r="D155" s="2">
        <f ca="1">IF($C155&lt;0,-$C155,alpha_1*$C155)</f>
        <v>1.2170913405189245</v>
      </c>
      <c r="E155" s="2">
        <f ca="1">IF($C155&lt;0,-$C155,alpha_1_2*$C155)</f>
        <v>1.2170913405189245</v>
      </c>
      <c r="F155" s="2">
        <f ca="1">IF($C155&lt;0,-$C155,alpha_0*$C155)</f>
        <v>1.2170913405189245</v>
      </c>
      <c r="G155" s="2">
        <f ca="1">IF($C155&lt;0,-$C155,alpha__1_2*$C155)</f>
        <v>1.2170913405189245</v>
      </c>
      <c r="H155" s="2">
        <f ca="1">IF($C155&lt;0,-$C155,alpha__1*$C155)</f>
        <v>1.2170913405189245</v>
      </c>
    </row>
    <row r="156" spans="3:8" x14ac:dyDescent="0.25">
      <c r="C156" s="2">
        <f t="shared" ca="1" si="9"/>
        <v>-1.0114697128229884</v>
      </c>
      <c r="D156" s="2">
        <f ca="1">IF($C156&lt;0,-$C156,alpha_1*$C156)</f>
        <v>1.0114697128229884</v>
      </c>
      <c r="E156" s="2">
        <f ca="1">IF($C156&lt;0,-$C156,alpha_1_2*$C156)</f>
        <v>1.0114697128229884</v>
      </c>
      <c r="F156" s="2">
        <f ca="1">IF($C156&lt;0,-$C156,alpha_0*$C156)</f>
        <v>1.0114697128229884</v>
      </c>
      <c r="G156" s="2">
        <f ca="1">IF($C156&lt;0,-$C156,alpha__1_2*$C156)</f>
        <v>1.0114697128229884</v>
      </c>
      <c r="H156" s="2">
        <f ca="1">IF($C156&lt;0,-$C156,alpha__1*$C156)</f>
        <v>1.0114697128229884</v>
      </c>
    </row>
    <row r="157" spans="3:8" x14ac:dyDescent="0.25">
      <c r="C157" s="2">
        <f t="shared" ca="1" si="9"/>
        <v>-0.33674055388046353</v>
      </c>
      <c r="D157" s="2">
        <f ca="1">IF($C157&lt;0,-$C157,alpha_1*$C157)</f>
        <v>0.33674055388046353</v>
      </c>
      <c r="E157" s="2">
        <f ca="1">IF($C157&lt;0,-$C157,alpha_1_2*$C157)</f>
        <v>0.33674055388046353</v>
      </c>
      <c r="F157" s="2">
        <f ca="1">IF($C157&lt;0,-$C157,alpha_0*$C157)</f>
        <v>0.33674055388046353</v>
      </c>
      <c r="G157" s="2">
        <f ca="1">IF($C157&lt;0,-$C157,alpha__1_2*$C157)</f>
        <v>0.33674055388046353</v>
      </c>
      <c r="H157" s="2">
        <f ca="1">IF($C157&lt;0,-$C157,alpha__1*$C157)</f>
        <v>0.33674055388046353</v>
      </c>
    </row>
    <row r="158" spans="3:8" x14ac:dyDescent="0.25">
      <c r="C158" s="2">
        <f t="shared" ca="1" si="9"/>
        <v>-1.265321393885888</v>
      </c>
      <c r="D158" s="2">
        <f ca="1">IF($C158&lt;0,-$C158,alpha_1*$C158)</f>
        <v>1.265321393885888</v>
      </c>
      <c r="E158" s="2">
        <f ca="1">IF($C158&lt;0,-$C158,alpha_1_2*$C158)</f>
        <v>1.265321393885888</v>
      </c>
      <c r="F158" s="2">
        <f ca="1">IF($C158&lt;0,-$C158,alpha_0*$C158)</f>
        <v>1.265321393885888</v>
      </c>
      <c r="G158" s="2">
        <f ca="1">IF($C158&lt;0,-$C158,alpha__1_2*$C158)</f>
        <v>1.265321393885888</v>
      </c>
      <c r="H158" s="2">
        <f ca="1">IF($C158&lt;0,-$C158,alpha__1*$C158)</f>
        <v>1.265321393885888</v>
      </c>
    </row>
    <row r="159" spans="3:8" x14ac:dyDescent="0.25">
      <c r="C159" s="2">
        <f t="shared" ca="1" si="9"/>
        <v>-0.15852239328219259</v>
      </c>
      <c r="D159" s="2">
        <f ca="1">IF($C159&lt;0,-$C159,alpha_1*$C159)</f>
        <v>0.15852239328219259</v>
      </c>
      <c r="E159" s="2">
        <f ca="1">IF($C159&lt;0,-$C159,alpha_1_2*$C159)</f>
        <v>0.15852239328219259</v>
      </c>
      <c r="F159" s="2">
        <f ca="1">IF($C159&lt;0,-$C159,alpha_0*$C159)</f>
        <v>0.15852239328219259</v>
      </c>
      <c r="G159" s="2">
        <f ca="1">IF($C159&lt;0,-$C159,alpha__1_2*$C159)</f>
        <v>0.15852239328219259</v>
      </c>
      <c r="H159" s="2">
        <f ca="1">IF($C159&lt;0,-$C159,alpha__1*$C159)</f>
        <v>0.15852239328219259</v>
      </c>
    </row>
    <row r="160" spans="3:8" x14ac:dyDescent="0.25">
      <c r="C160" s="2">
        <f t="shared" ca="1" si="9"/>
        <v>-0.61875794710646626</v>
      </c>
      <c r="D160" s="2">
        <f ca="1">IF($C160&lt;0,-$C160,alpha_1*$C160)</f>
        <v>0.61875794710646626</v>
      </c>
      <c r="E160" s="2">
        <f ca="1">IF($C160&lt;0,-$C160,alpha_1_2*$C160)</f>
        <v>0.61875794710646626</v>
      </c>
      <c r="F160" s="2">
        <f ca="1">IF($C160&lt;0,-$C160,alpha_0*$C160)</f>
        <v>0.61875794710646626</v>
      </c>
      <c r="G160" s="2">
        <f ca="1">IF($C160&lt;0,-$C160,alpha__1_2*$C160)</f>
        <v>0.61875794710646626</v>
      </c>
      <c r="H160" s="2">
        <f ca="1">IF($C160&lt;0,-$C160,alpha__1*$C160)</f>
        <v>0.61875794710646626</v>
      </c>
    </row>
    <row r="161" spans="3:8" x14ac:dyDescent="0.25">
      <c r="C161" s="2">
        <f t="shared" ca="1" si="9"/>
        <v>-8.1404752779846469E-4</v>
      </c>
      <c r="D161" s="2">
        <f ca="1">IF($C161&lt;0,-$C161,alpha_1*$C161)</f>
        <v>8.1404752779846469E-4</v>
      </c>
      <c r="E161" s="2">
        <f ca="1">IF($C161&lt;0,-$C161,alpha_1_2*$C161)</f>
        <v>8.1404752779846469E-4</v>
      </c>
      <c r="F161" s="2">
        <f ca="1">IF($C161&lt;0,-$C161,alpha_0*$C161)</f>
        <v>8.1404752779846469E-4</v>
      </c>
      <c r="G161" s="2">
        <f ca="1">IF($C161&lt;0,-$C161,alpha__1_2*$C161)</f>
        <v>8.1404752779846469E-4</v>
      </c>
      <c r="H161" s="2">
        <f ca="1">IF($C161&lt;0,-$C161,alpha__1*$C161)</f>
        <v>8.1404752779846469E-4</v>
      </c>
    </row>
    <row r="162" spans="3:8" x14ac:dyDescent="0.25">
      <c r="C162" s="2">
        <f t="shared" ca="1" si="9"/>
        <v>-0.44253837169193322</v>
      </c>
      <c r="D162" s="2">
        <f ca="1">IF($C162&lt;0,-$C162,alpha_1*$C162)</f>
        <v>0.44253837169193322</v>
      </c>
      <c r="E162" s="2">
        <f ca="1">IF($C162&lt;0,-$C162,alpha_1_2*$C162)</f>
        <v>0.44253837169193322</v>
      </c>
      <c r="F162" s="2">
        <f ca="1">IF($C162&lt;0,-$C162,alpha_0*$C162)</f>
        <v>0.44253837169193322</v>
      </c>
      <c r="G162" s="2">
        <f ca="1">IF($C162&lt;0,-$C162,alpha__1_2*$C162)</f>
        <v>0.44253837169193322</v>
      </c>
      <c r="H162" s="2">
        <f ca="1">IF($C162&lt;0,-$C162,alpha__1*$C162)</f>
        <v>0.44253837169193322</v>
      </c>
    </row>
    <row r="163" spans="3:8" x14ac:dyDescent="0.25">
      <c r="C163" s="2">
        <f t="shared" ca="1" si="9"/>
        <v>-0.71490505409452387</v>
      </c>
      <c r="D163" s="2">
        <f ca="1">IF($C163&lt;0,-$C163,alpha_1*$C163)</f>
        <v>0.71490505409452387</v>
      </c>
      <c r="E163" s="2">
        <f ca="1">IF($C163&lt;0,-$C163,alpha_1_2*$C163)</f>
        <v>0.71490505409452387</v>
      </c>
      <c r="F163" s="2">
        <f ca="1">IF($C163&lt;0,-$C163,alpha_0*$C163)</f>
        <v>0.71490505409452387</v>
      </c>
      <c r="G163" s="2">
        <f ca="1">IF($C163&lt;0,-$C163,alpha__1_2*$C163)</f>
        <v>0.71490505409452387</v>
      </c>
      <c r="H163" s="2">
        <f ca="1">IF($C163&lt;0,-$C163,alpha__1*$C163)</f>
        <v>0.71490505409452387</v>
      </c>
    </row>
    <row r="164" spans="3:8" x14ac:dyDescent="0.25">
      <c r="C164" s="2">
        <f t="shared" ca="1" si="9"/>
        <v>0.95686680149832737</v>
      </c>
      <c r="D164" s="2">
        <f ca="1">IF($C164&lt;0,-$C164,alpha_1*$C164)</f>
        <v>0.95686680149832737</v>
      </c>
      <c r="E164" s="2">
        <f ca="1">IF($C164&lt;0,-$C164,alpha_1_2*$C164)</f>
        <v>0.47843340074916368</v>
      </c>
      <c r="F164" s="2">
        <f ca="1">IF($C164&lt;0,-$C164,alpha_0*$C164)</f>
        <v>0</v>
      </c>
      <c r="G164" s="2">
        <f ca="1">IF($C164&lt;0,-$C164,alpha__1_2*$C164)</f>
        <v>-0.47843340074916368</v>
      </c>
      <c r="H164" s="2">
        <f ca="1">IF($C164&lt;0,-$C164,alpha__1*$C164)</f>
        <v>-0.95686680149832737</v>
      </c>
    </row>
    <row r="165" spans="3:8" x14ac:dyDescent="0.25">
      <c r="C165" s="2">
        <f t="shared" ca="1" si="9"/>
        <v>-1.1059995508100879</v>
      </c>
      <c r="D165" s="2">
        <f ca="1">IF($C165&lt;0,-$C165,alpha_1*$C165)</f>
        <v>1.1059995508100879</v>
      </c>
      <c r="E165" s="2">
        <f ca="1">IF($C165&lt;0,-$C165,alpha_1_2*$C165)</f>
        <v>1.1059995508100879</v>
      </c>
      <c r="F165" s="2">
        <f ca="1">IF($C165&lt;0,-$C165,alpha_0*$C165)</f>
        <v>1.1059995508100879</v>
      </c>
      <c r="G165" s="2">
        <f ca="1">IF($C165&lt;0,-$C165,alpha__1_2*$C165)</f>
        <v>1.1059995508100879</v>
      </c>
      <c r="H165" s="2">
        <f ca="1">IF($C165&lt;0,-$C165,alpha__1*$C165)</f>
        <v>1.1059995508100879</v>
      </c>
    </row>
    <row r="166" spans="3:8" x14ac:dyDescent="0.25">
      <c r="C166" s="2">
        <f t="shared" ca="1" si="9"/>
        <v>-1.2540040174326608</v>
      </c>
      <c r="D166" s="2">
        <f ca="1">IF($C166&lt;0,-$C166,alpha_1*$C166)</f>
        <v>1.2540040174326608</v>
      </c>
      <c r="E166" s="2">
        <f ca="1">IF($C166&lt;0,-$C166,alpha_1_2*$C166)</f>
        <v>1.2540040174326608</v>
      </c>
      <c r="F166" s="2">
        <f ca="1">IF($C166&lt;0,-$C166,alpha_0*$C166)</f>
        <v>1.2540040174326608</v>
      </c>
      <c r="G166" s="2">
        <f ca="1">IF($C166&lt;0,-$C166,alpha__1_2*$C166)</f>
        <v>1.2540040174326608</v>
      </c>
      <c r="H166" s="2">
        <f ca="1">IF($C166&lt;0,-$C166,alpha__1*$C166)</f>
        <v>1.2540040174326608</v>
      </c>
    </row>
    <row r="167" spans="3:8" x14ac:dyDescent="0.25">
      <c r="C167" s="2">
        <f t="shared" ca="1" si="9"/>
        <v>1.5814391958576219</v>
      </c>
      <c r="D167" s="2">
        <f ca="1">IF($C167&lt;0,-$C167,alpha_1*$C167)</f>
        <v>1.5814391958576219</v>
      </c>
      <c r="E167" s="2">
        <f ca="1">IF($C167&lt;0,-$C167,alpha_1_2*$C167)</f>
        <v>0.79071959792881097</v>
      </c>
      <c r="F167" s="2">
        <f ca="1">IF($C167&lt;0,-$C167,alpha_0*$C167)</f>
        <v>0</v>
      </c>
      <c r="G167" s="2">
        <f ca="1">IF($C167&lt;0,-$C167,alpha__1_2*$C167)</f>
        <v>-0.79071959792881097</v>
      </c>
      <c r="H167" s="2">
        <f ca="1">IF($C167&lt;0,-$C167,alpha__1*$C167)</f>
        <v>-1.5814391958576219</v>
      </c>
    </row>
    <row r="168" spans="3:8" x14ac:dyDescent="0.25">
      <c r="C168" s="2">
        <f t="shared" ca="1" si="9"/>
        <v>-0.30250978562984399</v>
      </c>
      <c r="D168" s="2">
        <f ca="1">IF($C168&lt;0,-$C168,alpha_1*$C168)</f>
        <v>0.30250978562984399</v>
      </c>
      <c r="E168" s="2">
        <f ca="1">IF($C168&lt;0,-$C168,alpha_1_2*$C168)</f>
        <v>0.30250978562984399</v>
      </c>
      <c r="F168" s="2">
        <f ca="1">IF($C168&lt;0,-$C168,alpha_0*$C168)</f>
        <v>0.30250978562984399</v>
      </c>
      <c r="G168" s="2">
        <f ca="1">IF($C168&lt;0,-$C168,alpha__1_2*$C168)</f>
        <v>0.30250978562984399</v>
      </c>
      <c r="H168" s="2">
        <f ca="1">IF($C168&lt;0,-$C168,alpha__1*$C168)</f>
        <v>0.30250978562984399</v>
      </c>
    </row>
    <row r="169" spans="3:8" x14ac:dyDescent="0.25">
      <c r="C169" s="2">
        <f t="shared" ca="1" si="9"/>
        <v>-1.7753516535263347</v>
      </c>
      <c r="D169" s="2">
        <f ca="1">IF($C169&lt;0,-$C169,alpha_1*$C169)</f>
        <v>1.7753516535263347</v>
      </c>
      <c r="E169" s="2">
        <f ca="1">IF($C169&lt;0,-$C169,alpha_1_2*$C169)</f>
        <v>1.7753516535263347</v>
      </c>
      <c r="F169" s="2">
        <f ca="1">IF($C169&lt;0,-$C169,alpha_0*$C169)</f>
        <v>1.7753516535263347</v>
      </c>
      <c r="G169" s="2">
        <f ca="1">IF($C169&lt;0,-$C169,alpha__1_2*$C169)</f>
        <v>1.7753516535263347</v>
      </c>
      <c r="H169" s="2">
        <f ca="1">IF($C169&lt;0,-$C169,alpha__1*$C169)</f>
        <v>1.7753516535263347</v>
      </c>
    </row>
    <row r="170" spans="3:8" x14ac:dyDescent="0.25">
      <c r="C170" s="2">
        <f t="shared" ca="1" si="9"/>
        <v>-1.4659729409190646E-2</v>
      </c>
      <c r="D170" s="2">
        <f ca="1">IF($C170&lt;0,-$C170,alpha_1*$C170)</f>
        <v>1.4659729409190646E-2</v>
      </c>
      <c r="E170" s="2">
        <f ca="1">IF($C170&lt;0,-$C170,alpha_1_2*$C170)</f>
        <v>1.4659729409190646E-2</v>
      </c>
      <c r="F170" s="2">
        <f ca="1">IF($C170&lt;0,-$C170,alpha_0*$C170)</f>
        <v>1.4659729409190646E-2</v>
      </c>
      <c r="G170" s="2">
        <f ca="1">IF($C170&lt;0,-$C170,alpha__1_2*$C170)</f>
        <v>1.4659729409190646E-2</v>
      </c>
      <c r="H170" s="2">
        <f ca="1">IF($C170&lt;0,-$C170,alpha__1*$C170)</f>
        <v>1.4659729409190646E-2</v>
      </c>
    </row>
    <row r="171" spans="3:8" x14ac:dyDescent="0.25">
      <c r="C171" s="2">
        <f t="shared" ca="1" si="9"/>
        <v>0.32364500500807086</v>
      </c>
      <c r="D171" s="2">
        <f ca="1">IF($C171&lt;0,-$C171,alpha_1*$C171)</f>
        <v>0.32364500500807086</v>
      </c>
      <c r="E171" s="2">
        <f ca="1">IF($C171&lt;0,-$C171,alpha_1_2*$C171)</f>
        <v>0.16182250250403543</v>
      </c>
      <c r="F171" s="2">
        <f ca="1">IF($C171&lt;0,-$C171,alpha_0*$C171)</f>
        <v>0</v>
      </c>
      <c r="G171" s="2">
        <f ca="1">IF($C171&lt;0,-$C171,alpha__1_2*$C171)</f>
        <v>-0.16182250250403543</v>
      </c>
      <c r="H171" s="2">
        <f ca="1">IF($C171&lt;0,-$C171,alpha__1*$C171)</f>
        <v>-0.32364500500807086</v>
      </c>
    </row>
    <row r="172" spans="3:8" x14ac:dyDescent="0.25">
      <c r="C172" s="2">
        <f t="shared" ca="1" si="9"/>
        <v>1.1620689848990366</v>
      </c>
      <c r="D172" s="2">
        <f ca="1">IF($C172&lt;0,-$C172,alpha_1*$C172)</f>
        <v>1.1620689848990366</v>
      </c>
      <c r="E172" s="2">
        <f ca="1">IF($C172&lt;0,-$C172,alpha_1_2*$C172)</f>
        <v>0.58103449244951832</v>
      </c>
      <c r="F172" s="2">
        <f ca="1">IF($C172&lt;0,-$C172,alpha_0*$C172)</f>
        <v>0</v>
      </c>
      <c r="G172" s="2">
        <f ca="1">IF($C172&lt;0,-$C172,alpha__1_2*$C172)</f>
        <v>-0.58103449244951832</v>
      </c>
      <c r="H172" s="2">
        <f ca="1">IF($C172&lt;0,-$C172,alpha__1*$C172)</f>
        <v>-1.1620689848990366</v>
      </c>
    </row>
    <row r="173" spans="3:8" x14ac:dyDescent="0.25">
      <c r="C173" s="2">
        <f t="shared" ca="1" si="9"/>
        <v>-1.3143861003573845</v>
      </c>
      <c r="D173" s="2">
        <f ca="1">IF($C173&lt;0,-$C173,alpha_1*$C173)</f>
        <v>1.3143861003573845</v>
      </c>
      <c r="E173" s="2">
        <f ca="1">IF($C173&lt;0,-$C173,alpha_1_2*$C173)</f>
        <v>1.3143861003573845</v>
      </c>
      <c r="F173" s="2">
        <f ca="1">IF($C173&lt;0,-$C173,alpha_0*$C173)</f>
        <v>1.3143861003573845</v>
      </c>
      <c r="G173" s="2">
        <f ca="1">IF($C173&lt;0,-$C173,alpha__1_2*$C173)</f>
        <v>1.3143861003573845</v>
      </c>
      <c r="H173" s="2">
        <f ca="1">IF($C173&lt;0,-$C173,alpha__1*$C173)</f>
        <v>1.3143861003573845</v>
      </c>
    </row>
    <row r="174" spans="3:8" x14ac:dyDescent="0.25">
      <c r="C174" s="2">
        <f t="shared" ca="1" si="9"/>
        <v>0.24641406494848073</v>
      </c>
      <c r="D174" s="2">
        <f ca="1">IF($C174&lt;0,-$C174,alpha_1*$C174)</f>
        <v>0.24641406494848073</v>
      </c>
      <c r="E174" s="2">
        <f ca="1">IF($C174&lt;0,-$C174,alpha_1_2*$C174)</f>
        <v>0.12320703247424036</v>
      </c>
      <c r="F174" s="2">
        <f ca="1">IF($C174&lt;0,-$C174,alpha_0*$C174)</f>
        <v>0</v>
      </c>
      <c r="G174" s="2">
        <f ca="1">IF($C174&lt;0,-$C174,alpha__1_2*$C174)</f>
        <v>-0.12320703247424036</v>
      </c>
      <c r="H174" s="2">
        <f ca="1">IF($C174&lt;0,-$C174,alpha__1*$C174)</f>
        <v>-0.24641406494848073</v>
      </c>
    </row>
    <row r="175" spans="3:8" x14ac:dyDescent="0.25">
      <c r="C175" s="2">
        <f t="shared" ca="1" si="9"/>
        <v>0.17652828315829236</v>
      </c>
      <c r="D175" s="2">
        <f ca="1">IF($C175&lt;0,-$C175,alpha_1*$C175)</f>
        <v>0.17652828315829236</v>
      </c>
      <c r="E175" s="2">
        <f ca="1">IF($C175&lt;0,-$C175,alpha_1_2*$C175)</f>
        <v>8.826414157914618E-2</v>
      </c>
      <c r="F175" s="2">
        <f ca="1">IF($C175&lt;0,-$C175,alpha_0*$C175)</f>
        <v>0</v>
      </c>
      <c r="G175" s="2">
        <f ca="1">IF($C175&lt;0,-$C175,alpha__1_2*$C175)</f>
        <v>-8.826414157914618E-2</v>
      </c>
      <c r="H175" s="2">
        <f ca="1">IF($C175&lt;0,-$C175,alpha__1*$C175)</f>
        <v>-0.17652828315829236</v>
      </c>
    </row>
    <row r="176" spans="3:8" x14ac:dyDescent="0.25">
      <c r="C176" s="2">
        <f t="shared" ca="1" si="9"/>
        <v>2.999650916119506</v>
      </c>
      <c r="D176" s="2">
        <f ca="1">IF($C176&lt;0,-$C176,alpha_1*$C176)</f>
        <v>2.999650916119506</v>
      </c>
      <c r="E176" s="2">
        <f ca="1">IF($C176&lt;0,-$C176,alpha_1_2*$C176)</f>
        <v>1.499825458059753</v>
      </c>
      <c r="F176" s="2">
        <f ca="1">IF($C176&lt;0,-$C176,alpha_0*$C176)</f>
        <v>0</v>
      </c>
      <c r="G176" s="2">
        <f ca="1">IF($C176&lt;0,-$C176,alpha__1_2*$C176)</f>
        <v>-1.499825458059753</v>
      </c>
      <c r="H176" s="2">
        <f ca="1">IF($C176&lt;0,-$C176,alpha__1*$C176)</f>
        <v>-2.999650916119506</v>
      </c>
    </row>
    <row r="177" spans="3:8" x14ac:dyDescent="0.25">
      <c r="C177" s="2">
        <f t="shared" ca="1" si="9"/>
        <v>0.17035811560045264</v>
      </c>
      <c r="D177" s="2">
        <f ca="1">IF($C177&lt;0,-$C177,alpha_1*$C177)</f>
        <v>0.17035811560045264</v>
      </c>
      <c r="E177" s="2">
        <f ca="1">IF($C177&lt;0,-$C177,alpha_1_2*$C177)</f>
        <v>8.5179057800226318E-2</v>
      </c>
      <c r="F177" s="2">
        <f ca="1">IF($C177&lt;0,-$C177,alpha_0*$C177)</f>
        <v>0</v>
      </c>
      <c r="G177" s="2">
        <f ca="1">IF($C177&lt;0,-$C177,alpha__1_2*$C177)</f>
        <v>-8.5179057800226318E-2</v>
      </c>
      <c r="H177" s="2">
        <f ca="1">IF($C177&lt;0,-$C177,alpha__1*$C177)</f>
        <v>-0.17035811560045264</v>
      </c>
    </row>
    <row r="178" spans="3:8" x14ac:dyDescent="0.25">
      <c r="C178" s="2">
        <f t="shared" ca="1" si="9"/>
        <v>0.17644134196969596</v>
      </c>
      <c r="D178" s="2">
        <f ca="1">IF($C178&lt;0,-$C178,alpha_1*$C178)</f>
        <v>0.17644134196969596</v>
      </c>
      <c r="E178" s="2">
        <f ca="1">IF($C178&lt;0,-$C178,alpha_1_2*$C178)</f>
        <v>8.8220670984847982E-2</v>
      </c>
      <c r="F178" s="2">
        <f ca="1">IF($C178&lt;0,-$C178,alpha_0*$C178)</f>
        <v>0</v>
      </c>
      <c r="G178" s="2">
        <f ca="1">IF($C178&lt;0,-$C178,alpha__1_2*$C178)</f>
        <v>-8.8220670984847982E-2</v>
      </c>
      <c r="H178" s="2">
        <f ca="1">IF($C178&lt;0,-$C178,alpha__1*$C178)</f>
        <v>-0.17644134196969596</v>
      </c>
    </row>
    <row r="179" spans="3:8" x14ac:dyDescent="0.25">
      <c r="C179" s="2">
        <f t="shared" ca="1" si="9"/>
        <v>-0.60721257261441186</v>
      </c>
      <c r="D179" s="2">
        <f ca="1">IF($C179&lt;0,-$C179,alpha_1*$C179)</f>
        <v>0.60721257261441186</v>
      </c>
      <c r="E179" s="2">
        <f ca="1">IF($C179&lt;0,-$C179,alpha_1_2*$C179)</f>
        <v>0.60721257261441186</v>
      </c>
      <c r="F179" s="2">
        <f ca="1">IF($C179&lt;0,-$C179,alpha_0*$C179)</f>
        <v>0.60721257261441186</v>
      </c>
      <c r="G179" s="2">
        <f ca="1">IF($C179&lt;0,-$C179,alpha__1_2*$C179)</f>
        <v>0.60721257261441186</v>
      </c>
      <c r="H179" s="2">
        <f ca="1">IF($C179&lt;0,-$C179,alpha__1*$C179)</f>
        <v>0.60721257261441186</v>
      </c>
    </row>
    <row r="180" spans="3:8" x14ac:dyDescent="0.25">
      <c r="C180" s="2">
        <f t="shared" ca="1" si="9"/>
        <v>0.37478652314871841</v>
      </c>
      <c r="D180" s="2">
        <f ca="1">IF($C180&lt;0,-$C180,alpha_1*$C180)</f>
        <v>0.37478652314871841</v>
      </c>
      <c r="E180" s="2">
        <f ca="1">IF($C180&lt;0,-$C180,alpha_1_2*$C180)</f>
        <v>0.1873932615743592</v>
      </c>
      <c r="F180" s="2">
        <f ca="1">IF($C180&lt;0,-$C180,alpha_0*$C180)</f>
        <v>0</v>
      </c>
      <c r="G180" s="2">
        <f ca="1">IF($C180&lt;0,-$C180,alpha__1_2*$C180)</f>
        <v>-0.1873932615743592</v>
      </c>
      <c r="H180" s="2">
        <f ca="1">IF($C180&lt;0,-$C180,alpha__1*$C180)</f>
        <v>-0.37478652314871841</v>
      </c>
    </row>
    <row r="181" spans="3:8" x14ac:dyDescent="0.25">
      <c r="C181" s="2">
        <f t="shared" ca="1" si="9"/>
        <v>0.66935128424556423</v>
      </c>
      <c r="D181" s="2">
        <f ca="1">IF($C181&lt;0,-$C181,alpha_1*$C181)</f>
        <v>0.66935128424556423</v>
      </c>
      <c r="E181" s="2">
        <f ca="1">IF($C181&lt;0,-$C181,alpha_1_2*$C181)</f>
        <v>0.33467564212278211</v>
      </c>
      <c r="F181" s="2">
        <f ca="1">IF($C181&lt;0,-$C181,alpha_0*$C181)</f>
        <v>0</v>
      </c>
      <c r="G181" s="2">
        <f ca="1">IF($C181&lt;0,-$C181,alpha__1_2*$C181)</f>
        <v>-0.33467564212278211</v>
      </c>
      <c r="H181" s="2">
        <f ca="1">IF($C181&lt;0,-$C181,alpha__1*$C181)</f>
        <v>-0.66935128424556423</v>
      </c>
    </row>
    <row r="182" spans="3:8" x14ac:dyDescent="0.25">
      <c r="C182" s="2">
        <f t="shared" ca="1" si="9"/>
        <v>0.37327156242581183</v>
      </c>
      <c r="D182" s="2">
        <f ca="1">IF($C182&lt;0,-$C182,alpha_1*$C182)</f>
        <v>0.37327156242581183</v>
      </c>
      <c r="E182" s="2">
        <f ca="1">IF($C182&lt;0,-$C182,alpha_1_2*$C182)</f>
        <v>0.18663578121290592</v>
      </c>
      <c r="F182" s="2">
        <f ca="1">IF($C182&lt;0,-$C182,alpha_0*$C182)</f>
        <v>0</v>
      </c>
      <c r="G182" s="2">
        <f ca="1">IF($C182&lt;0,-$C182,alpha__1_2*$C182)</f>
        <v>-0.18663578121290592</v>
      </c>
      <c r="H182" s="2">
        <f ca="1">IF($C182&lt;0,-$C182,alpha__1*$C182)</f>
        <v>-0.37327156242581183</v>
      </c>
    </row>
    <row r="183" spans="3:8" x14ac:dyDescent="0.25">
      <c r="C183" s="2">
        <f t="shared" ca="1" si="9"/>
        <v>0.32473424033007825</v>
      </c>
      <c r="D183" s="2">
        <f ca="1">IF($C183&lt;0,-$C183,alpha_1*$C183)</f>
        <v>0.32473424033007825</v>
      </c>
      <c r="E183" s="2">
        <f ca="1">IF($C183&lt;0,-$C183,alpha_1_2*$C183)</f>
        <v>0.16236712016503912</v>
      </c>
      <c r="F183" s="2">
        <f ca="1">IF($C183&lt;0,-$C183,alpha_0*$C183)</f>
        <v>0</v>
      </c>
      <c r="G183" s="2">
        <f ca="1">IF($C183&lt;0,-$C183,alpha__1_2*$C183)</f>
        <v>-0.16236712016503912</v>
      </c>
      <c r="H183" s="2">
        <f ca="1">IF($C183&lt;0,-$C183,alpha__1*$C183)</f>
        <v>-0.32473424033007825</v>
      </c>
    </row>
    <row r="184" spans="3:8" x14ac:dyDescent="0.25">
      <c r="C184" s="2">
        <f t="shared" ca="1" si="9"/>
        <v>0.85940412152484202</v>
      </c>
      <c r="D184" s="2">
        <f ca="1">IF($C184&lt;0,-$C184,alpha_1*$C184)</f>
        <v>0.85940412152484202</v>
      </c>
      <c r="E184" s="2">
        <f ca="1">IF($C184&lt;0,-$C184,alpha_1_2*$C184)</f>
        <v>0.42970206076242101</v>
      </c>
      <c r="F184" s="2">
        <f ca="1">IF($C184&lt;0,-$C184,alpha_0*$C184)</f>
        <v>0</v>
      </c>
      <c r="G184" s="2">
        <f ca="1">IF($C184&lt;0,-$C184,alpha__1_2*$C184)</f>
        <v>-0.42970206076242101</v>
      </c>
      <c r="H184" s="2">
        <f ca="1">IF($C184&lt;0,-$C184,alpha__1*$C184)</f>
        <v>-0.85940412152484202</v>
      </c>
    </row>
    <row r="185" spans="3:8" x14ac:dyDescent="0.25">
      <c r="C185" s="2">
        <f t="shared" ca="1" si="9"/>
        <v>-1.5238130316785528</v>
      </c>
      <c r="D185" s="2">
        <f ca="1">IF($C185&lt;0,-$C185,alpha_1*$C185)</f>
        <v>1.5238130316785528</v>
      </c>
      <c r="E185" s="2">
        <f ca="1">IF($C185&lt;0,-$C185,alpha_1_2*$C185)</f>
        <v>1.5238130316785528</v>
      </c>
      <c r="F185" s="2">
        <f ca="1">IF($C185&lt;0,-$C185,alpha_0*$C185)</f>
        <v>1.5238130316785528</v>
      </c>
      <c r="G185" s="2">
        <f ca="1">IF($C185&lt;0,-$C185,alpha__1_2*$C185)</f>
        <v>1.5238130316785528</v>
      </c>
      <c r="H185" s="2">
        <f ca="1">IF($C185&lt;0,-$C185,alpha__1*$C185)</f>
        <v>1.5238130316785528</v>
      </c>
    </row>
    <row r="186" spans="3:8" x14ac:dyDescent="0.25">
      <c r="C186" s="2">
        <f t="shared" ca="1" si="9"/>
        <v>-0.7829681622203577</v>
      </c>
      <c r="D186" s="2">
        <f ca="1">IF($C186&lt;0,-$C186,alpha_1*$C186)</f>
        <v>0.7829681622203577</v>
      </c>
      <c r="E186" s="2">
        <f ca="1">IF($C186&lt;0,-$C186,alpha_1_2*$C186)</f>
        <v>0.7829681622203577</v>
      </c>
      <c r="F186" s="2">
        <f ca="1">IF($C186&lt;0,-$C186,alpha_0*$C186)</f>
        <v>0.7829681622203577</v>
      </c>
      <c r="G186" s="2">
        <f ca="1">IF($C186&lt;0,-$C186,alpha__1_2*$C186)</f>
        <v>0.7829681622203577</v>
      </c>
      <c r="H186" s="2">
        <f ca="1">IF($C186&lt;0,-$C186,alpha__1*$C186)</f>
        <v>0.7829681622203577</v>
      </c>
    </row>
    <row r="187" spans="3:8" x14ac:dyDescent="0.25">
      <c r="C187" s="2">
        <f t="shared" ca="1" si="9"/>
        <v>0.16700288643679173</v>
      </c>
      <c r="D187" s="2">
        <f ca="1">IF($C187&lt;0,-$C187,alpha_1*$C187)</f>
        <v>0.16700288643679173</v>
      </c>
      <c r="E187" s="2">
        <f ca="1">IF($C187&lt;0,-$C187,alpha_1_2*$C187)</f>
        <v>8.3501443218395865E-2</v>
      </c>
      <c r="F187" s="2">
        <f ca="1">IF($C187&lt;0,-$C187,alpha_0*$C187)</f>
        <v>0</v>
      </c>
      <c r="G187" s="2">
        <f ca="1">IF($C187&lt;0,-$C187,alpha__1_2*$C187)</f>
        <v>-8.3501443218395865E-2</v>
      </c>
      <c r="H187" s="2">
        <f ca="1">IF($C187&lt;0,-$C187,alpha__1*$C187)</f>
        <v>-0.16700288643679173</v>
      </c>
    </row>
    <row r="188" spans="3:8" x14ac:dyDescent="0.25">
      <c r="C188" s="2">
        <f t="shared" ca="1" si="9"/>
        <v>-0.92849046959789061</v>
      </c>
      <c r="D188" s="2">
        <f ca="1">IF($C188&lt;0,-$C188,alpha_1*$C188)</f>
        <v>0.92849046959789061</v>
      </c>
      <c r="E188" s="2">
        <f ca="1">IF($C188&lt;0,-$C188,alpha_1_2*$C188)</f>
        <v>0.92849046959789061</v>
      </c>
      <c r="F188" s="2">
        <f ca="1">IF($C188&lt;0,-$C188,alpha_0*$C188)</f>
        <v>0.92849046959789061</v>
      </c>
      <c r="G188" s="2">
        <f ca="1">IF($C188&lt;0,-$C188,alpha__1_2*$C188)</f>
        <v>0.92849046959789061</v>
      </c>
      <c r="H188" s="2">
        <f ca="1">IF($C188&lt;0,-$C188,alpha__1*$C188)</f>
        <v>0.92849046959789061</v>
      </c>
    </row>
    <row r="189" spans="3:8" x14ac:dyDescent="0.25">
      <c r="C189" s="2">
        <f t="shared" ca="1" si="9"/>
        <v>6.5141190461126444E-2</v>
      </c>
      <c r="D189" s="2">
        <f ca="1">IF($C189&lt;0,-$C189,alpha_1*$C189)</f>
        <v>6.5141190461126444E-2</v>
      </c>
      <c r="E189" s="2">
        <f ca="1">IF($C189&lt;0,-$C189,alpha_1_2*$C189)</f>
        <v>3.2570595230563222E-2</v>
      </c>
      <c r="F189" s="2">
        <f ca="1">IF($C189&lt;0,-$C189,alpha_0*$C189)</f>
        <v>0</v>
      </c>
      <c r="G189" s="2">
        <f ca="1">IF($C189&lt;0,-$C189,alpha__1_2*$C189)</f>
        <v>-3.2570595230563222E-2</v>
      </c>
      <c r="H189" s="2">
        <f ca="1">IF($C189&lt;0,-$C189,alpha__1*$C189)</f>
        <v>-6.5141190461126444E-2</v>
      </c>
    </row>
    <row r="190" spans="3:8" x14ac:dyDescent="0.25">
      <c r="C190" s="2">
        <f t="shared" ca="1" si="9"/>
        <v>-1.5950262817773422</v>
      </c>
      <c r="D190" s="2">
        <f ca="1">IF($C190&lt;0,-$C190,alpha_1*$C190)</f>
        <v>1.5950262817773422</v>
      </c>
      <c r="E190" s="2">
        <f ca="1">IF($C190&lt;0,-$C190,alpha_1_2*$C190)</f>
        <v>1.5950262817773422</v>
      </c>
      <c r="F190" s="2">
        <f ca="1">IF($C190&lt;0,-$C190,alpha_0*$C190)</f>
        <v>1.5950262817773422</v>
      </c>
      <c r="G190" s="2">
        <f ca="1">IF($C190&lt;0,-$C190,alpha__1_2*$C190)</f>
        <v>1.5950262817773422</v>
      </c>
      <c r="H190" s="2">
        <f ca="1">IF($C190&lt;0,-$C190,alpha__1*$C190)</f>
        <v>1.5950262817773422</v>
      </c>
    </row>
    <row r="191" spans="3:8" x14ac:dyDescent="0.25">
      <c r="C191" s="2">
        <f t="shared" ca="1" si="9"/>
        <v>1.2991468992864734</v>
      </c>
      <c r="D191" s="2">
        <f ca="1">IF($C191&lt;0,-$C191,alpha_1*$C191)</f>
        <v>1.2991468992864734</v>
      </c>
      <c r="E191" s="2">
        <f ca="1">IF($C191&lt;0,-$C191,alpha_1_2*$C191)</f>
        <v>0.64957344964323671</v>
      </c>
      <c r="F191" s="2">
        <f ca="1">IF($C191&lt;0,-$C191,alpha_0*$C191)</f>
        <v>0</v>
      </c>
      <c r="G191" s="2">
        <f ca="1">IF($C191&lt;0,-$C191,alpha__1_2*$C191)</f>
        <v>-0.64957344964323671</v>
      </c>
      <c r="H191" s="2">
        <f ca="1">IF($C191&lt;0,-$C191,alpha__1*$C191)</f>
        <v>-1.2991468992864734</v>
      </c>
    </row>
    <row r="192" spans="3:8" x14ac:dyDescent="0.25">
      <c r="C192" s="2">
        <f t="shared" ca="1" si="9"/>
        <v>-0.96839719152221626</v>
      </c>
      <c r="D192" s="2">
        <f ca="1">IF($C192&lt;0,-$C192,alpha_1*$C192)</f>
        <v>0.96839719152221626</v>
      </c>
      <c r="E192" s="2">
        <f ca="1">IF($C192&lt;0,-$C192,alpha_1_2*$C192)</f>
        <v>0.96839719152221626</v>
      </c>
      <c r="F192" s="2">
        <f ca="1">IF($C192&lt;0,-$C192,alpha_0*$C192)</f>
        <v>0.96839719152221626</v>
      </c>
      <c r="G192" s="2">
        <f ca="1">IF($C192&lt;0,-$C192,alpha__1_2*$C192)</f>
        <v>0.96839719152221626</v>
      </c>
      <c r="H192" s="2">
        <f ca="1">IF($C192&lt;0,-$C192,alpha__1*$C192)</f>
        <v>0.96839719152221626</v>
      </c>
    </row>
    <row r="193" spans="3:8" x14ac:dyDescent="0.25">
      <c r="C193" s="2">
        <f t="shared" ca="1" si="9"/>
        <v>-0.63802093119651815</v>
      </c>
      <c r="D193" s="2">
        <f ca="1">IF($C193&lt;0,-$C193,alpha_1*$C193)</f>
        <v>0.63802093119651815</v>
      </c>
      <c r="E193" s="2">
        <f ca="1">IF($C193&lt;0,-$C193,alpha_1_2*$C193)</f>
        <v>0.63802093119651815</v>
      </c>
      <c r="F193" s="2">
        <f ca="1">IF($C193&lt;0,-$C193,alpha_0*$C193)</f>
        <v>0.63802093119651815</v>
      </c>
      <c r="G193" s="2">
        <f ca="1">IF($C193&lt;0,-$C193,alpha__1_2*$C193)</f>
        <v>0.63802093119651815</v>
      </c>
      <c r="H193" s="2">
        <f ca="1">IF($C193&lt;0,-$C193,alpha__1*$C193)</f>
        <v>0.63802093119651815</v>
      </c>
    </row>
    <row r="194" spans="3:8" x14ac:dyDescent="0.25">
      <c r="C194" s="2">
        <f t="shared" ca="1" si="9"/>
        <v>0.82269633492401206</v>
      </c>
      <c r="D194" s="2">
        <f ca="1">IF($C194&lt;0,-$C194,alpha_1*$C194)</f>
        <v>0.82269633492401206</v>
      </c>
      <c r="E194" s="2">
        <f ca="1">IF($C194&lt;0,-$C194,alpha_1_2*$C194)</f>
        <v>0.41134816746200603</v>
      </c>
      <c r="F194" s="2">
        <f ca="1">IF($C194&lt;0,-$C194,alpha_0*$C194)</f>
        <v>0</v>
      </c>
      <c r="G194" s="2">
        <f ca="1">IF($C194&lt;0,-$C194,alpha__1_2*$C194)</f>
        <v>-0.41134816746200603</v>
      </c>
      <c r="H194" s="2">
        <f ca="1">IF($C194&lt;0,-$C194,alpha__1*$C194)</f>
        <v>-0.82269633492401206</v>
      </c>
    </row>
    <row r="195" spans="3:8" x14ac:dyDescent="0.25">
      <c r="C195" s="2">
        <f t="shared" ca="1" si="9"/>
        <v>-0.11416484845125743</v>
      </c>
      <c r="D195" s="2">
        <f ca="1">IF($C195&lt;0,-$C195,alpha_1*$C195)</f>
        <v>0.11416484845125743</v>
      </c>
      <c r="E195" s="2">
        <f ca="1">IF($C195&lt;0,-$C195,alpha_1_2*$C195)</f>
        <v>0.11416484845125743</v>
      </c>
      <c r="F195" s="2">
        <f ca="1">IF($C195&lt;0,-$C195,alpha_0*$C195)</f>
        <v>0.11416484845125743</v>
      </c>
      <c r="G195" s="2">
        <f ca="1">IF($C195&lt;0,-$C195,alpha__1_2*$C195)</f>
        <v>0.11416484845125743</v>
      </c>
      <c r="H195" s="2">
        <f ca="1">IF($C195&lt;0,-$C195,alpha__1*$C195)</f>
        <v>0.11416484845125743</v>
      </c>
    </row>
    <row r="196" spans="3:8" x14ac:dyDescent="0.25">
      <c r="C196" s="2">
        <f t="shared" ca="1" si="9"/>
        <v>-1.3943684566099053</v>
      </c>
      <c r="D196" s="2">
        <f ca="1">IF($C196&lt;0,-$C196,alpha_1*$C196)</f>
        <v>1.3943684566099053</v>
      </c>
      <c r="E196" s="2">
        <f ca="1">IF($C196&lt;0,-$C196,alpha_1_2*$C196)</f>
        <v>1.3943684566099053</v>
      </c>
      <c r="F196" s="2">
        <f ca="1">IF($C196&lt;0,-$C196,alpha_0*$C196)</f>
        <v>1.3943684566099053</v>
      </c>
      <c r="G196" s="2">
        <f ca="1">IF($C196&lt;0,-$C196,alpha__1_2*$C196)</f>
        <v>1.3943684566099053</v>
      </c>
      <c r="H196" s="2">
        <f ca="1">IF($C196&lt;0,-$C196,alpha__1*$C196)</f>
        <v>1.3943684566099053</v>
      </c>
    </row>
    <row r="197" spans="3:8" x14ac:dyDescent="0.25">
      <c r="C197" s="2">
        <f t="shared" ca="1" si="9"/>
        <v>-1.7835005039402425</v>
      </c>
      <c r="D197" s="2">
        <f ca="1">IF($C197&lt;0,-$C197,alpha_1*$C197)</f>
        <v>1.7835005039402425</v>
      </c>
      <c r="E197" s="2">
        <f ca="1">IF($C197&lt;0,-$C197,alpha_1_2*$C197)</f>
        <v>1.7835005039402425</v>
      </c>
      <c r="F197" s="2">
        <f ca="1">IF($C197&lt;0,-$C197,alpha_0*$C197)</f>
        <v>1.7835005039402425</v>
      </c>
      <c r="G197" s="2">
        <f ca="1">IF($C197&lt;0,-$C197,alpha__1_2*$C197)</f>
        <v>1.7835005039402425</v>
      </c>
      <c r="H197" s="2">
        <f ca="1">IF($C197&lt;0,-$C197,alpha__1*$C197)</f>
        <v>1.7835005039402425</v>
      </c>
    </row>
    <row r="198" spans="3:8" x14ac:dyDescent="0.25">
      <c r="C198" s="2">
        <f t="shared" ca="1" si="9"/>
        <v>-0.58622872718822272</v>
      </c>
      <c r="D198" s="2">
        <f ca="1">IF($C198&lt;0,-$C198,alpha_1*$C198)</f>
        <v>0.58622872718822272</v>
      </c>
      <c r="E198" s="2">
        <f ca="1">IF($C198&lt;0,-$C198,alpha_1_2*$C198)</f>
        <v>0.58622872718822272</v>
      </c>
      <c r="F198" s="2">
        <f ca="1">IF($C198&lt;0,-$C198,alpha_0*$C198)</f>
        <v>0.58622872718822272</v>
      </c>
      <c r="G198" s="2">
        <f ca="1">IF($C198&lt;0,-$C198,alpha__1_2*$C198)</f>
        <v>0.58622872718822272</v>
      </c>
      <c r="H198" s="2">
        <f ca="1">IF($C198&lt;0,-$C198,alpha__1*$C198)</f>
        <v>0.58622872718822272</v>
      </c>
    </row>
    <row r="199" spans="3:8" x14ac:dyDescent="0.25">
      <c r="C199" s="2">
        <f t="shared" ca="1" si="9"/>
        <v>-1.0454132216075427</v>
      </c>
      <c r="D199" s="2">
        <f ca="1">IF($C199&lt;0,-$C199,alpha_1*$C199)</f>
        <v>1.0454132216075427</v>
      </c>
      <c r="E199" s="2">
        <f ca="1">IF($C199&lt;0,-$C199,alpha_1_2*$C199)</f>
        <v>1.0454132216075427</v>
      </c>
      <c r="F199" s="2">
        <f ca="1">IF($C199&lt;0,-$C199,alpha_0*$C199)</f>
        <v>1.0454132216075427</v>
      </c>
      <c r="G199" s="2">
        <f ca="1">IF($C199&lt;0,-$C199,alpha__1_2*$C199)</f>
        <v>1.0454132216075427</v>
      </c>
      <c r="H199" s="2">
        <f ca="1">IF($C199&lt;0,-$C199,alpha__1*$C199)</f>
        <v>1.0454132216075427</v>
      </c>
    </row>
    <row r="200" spans="3:8" x14ac:dyDescent="0.25">
      <c r="C200" s="2">
        <f t="shared" ca="1" si="9"/>
        <v>0.22265230066054142</v>
      </c>
      <c r="D200" s="2">
        <f ca="1">IF($C200&lt;0,-$C200,alpha_1*$C200)</f>
        <v>0.22265230066054142</v>
      </c>
      <c r="E200" s="2">
        <f ca="1">IF($C200&lt;0,-$C200,alpha_1_2*$C200)</f>
        <v>0.11132615033027071</v>
      </c>
      <c r="F200" s="2">
        <f ca="1">IF($C200&lt;0,-$C200,alpha_0*$C200)</f>
        <v>0</v>
      </c>
      <c r="G200" s="2">
        <f ca="1">IF($C200&lt;0,-$C200,alpha__1_2*$C200)</f>
        <v>-0.11132615033027071</v>
      </c>
      <c r="H200" s="2">
        <f ca="1">IF($C200&lt;0,-$C200,alpha__1*$C200)</f>
        <v>-0.22265230066054142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Ejercicio 1</vt:lpstr>
      <vt:lpstr>Ejercicio 2</vt:lpstr>
      <vt:lpstr>alpha__1</vt:lpstr>
      <vt:lpstr>alpha__1_2</vt:lpstr>
      <vt:lpstr>alpha_0</vt:lpstr>
      <vt:lpstr>alpha_1</vt:lpstr>
      <vt:lpstr>alpha_1_2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Andres</dc:creator>
  <cp:lastModifiedBy>Alfonso Andres</cp:lastModifiedBy>
  <dcterms:created xsi:type="dcterms:W3CDTF">2015-06-05T18:17:20Z</dcterms:created>
  <dcterms:modified xsi:type="dcterms:W3CDTF">2026-06-28T15:52:19Z</dcterms:modified>
</cp:coreProperties>
</file>