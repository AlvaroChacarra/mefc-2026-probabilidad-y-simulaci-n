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1ffba1ba1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427d6a6c11b4063"/>
    <x:sheet xmlns:r="http://schemas.openxmlformats.org/officeDocument/2006/relationships" name="Trayectoria" sheetId="2" r:id="R8a99fd81beee49ea"/>
    <x:sheet xmlns:r="http://schemas.openxmlformats.org/officeDocument/2006/relationships" name="Replica_t1" sheetId="3" r:id="Rb596703908cb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#,##0"/>
    <x:numFmt numFmtId="202" formatCode="0"/>
    <x:numFmt numFmtId="203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2F75B5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0FDF4"/>
      </x:patternFill>
    </x:fill>
  </x:fills>
  <x:borders count="2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9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0" fontId="4" fillId="5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7" borderId="5" xfId="0" applyNumberFormat="1" applyFont="1" applyFill="1" applyBorder="1"/>
    <x:xf numFmtId="0" fontId="0" fillId="7" borderId="7" xfId="0" applyNumberFormat="1" applyFont="1" applyFill="1" applyBorder="1"/>
    <x:xf numFmtId="0" fontId="0" fillId="7" borderId="9" xfId="0" applyNumberFormat="1" applyFont="1" applyFill="1" applyBorder="1"/>
    <x:xf numFmtId="200" fontId="0" fillId="6" borderId="11" xfId="0" applyNumberFormat="1" applyFont="1" applyFill="1" applyBorder="1"/>
    <x:xf numFmtId="200" fontId="0" fillId="7" borderId="7" xfId="0" applyNumberFormat="1" applyFont="1" applyFill="1" applyBorder="1"/>
    <x:xf numFmtId="201" fontId="0" fillId="6" borderId="10" xfId="0" applyNumberFormat="1" applyFont="1" applyFill="1" applyBorder="1"/>
    <x:xf numFmtId="201" fontId="0" fillId="7" borderId="5" xfId="0" applyNumberFormat="1" applyFont="1" applyFill="1" applyBorder="1"/>
    <x:xf numFmtId="0" fontId="5" fillId="7" borderId="7" xfId="0" applyNumberFormat="1" applyFont="1" applyFill="1" applyBorder="1"/>
    <x:xf numFmtId="0" fontId="5" fillId="7" borderId="9" xfId="0" applyNumberFormat="1" applyFont="1" applyFill="1" applyBorder="1"/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8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5" xfId="0" applyNumberFormat="1" applyFont="1" applyFill="1" applyBorder="1"/>
    <x:xf numFmtId="0" fontId="0" fillId="6" borderId="4" xfId="0" applyNumberFormat="1" applyFont="1" applyFill="1" applyBorder="1"/>
    <x:xf numFmtId="0" fontId="0" fillId="6" borderId="9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5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202" fontId="0" fillId="0" borderId="21" xfId="0" applyNumberFormat="1" applyFont="1" applyFill="1" applyBorder="1"/>
    <x:xf numFmtId="200" fontId="0" fillId="0" borderId="22" xfId="0" applyNumberFormat="1" applyFont="1" applyFill="1" applyBorder="1"/>
    <x:xf numFmtId="200" fontId="0" fillId="0" borderId="23" xfId="0" applyNumberFormat="1" applyFont="1" applyFill="1" applyBorder="1"/>
    <x:xf numFmtId="202" fontId="0" fillId="0" borderId="24" xfId="0" applyNumberFormat="1" applyFont="1" applyFill="1" applyBorder="1"/>
    <x:xf numFmtId="200" fontId="0" fillId="0" borderId="25" xfId="0" applyNumberFormat="1" applyFont="1" applyFill="1" applyBorder="1"/>
    <x:xf numFmtId="200" fontId="0" fillId="0" borderId="26" xfId="0" applyNumberFormat="1" applyFont="1" applyFill="1" applyBorder="1"/>
    <x:xf numFmtId="200" fontId="0" fillId="5" borderId="19" xfId="0" applyNumberFormat="1" applyFont="1" applyFill="1" applyBorder="1"/>
    <x:xf numFmtId="200" fontId="0" fillId="5" borderId="22" xfId="0" applyNumberFormat="1" applyFont="1" applyFill="1" applyBorder="1"/>
    <x:xf numFmtId="200" fontId="0" fillId="5" borderId="25" xfId="0" applyNumberFormat="1" applyFont="1" applyFill="1" applyBorder="1"/>
    <x:xf numFmtId="200" fontId="0" fillId="8" borderId="19" xfId="0" applyNumberFormat="1" applyFont="1" applyFill="1" applyBorder="1"/>
    <x:xf numFmtId="200" fontId="0" fillId="8" borderId="20" xfId="0" applyNumberFormat="1" applyFont="1" applyFill="1" applyBorder="1"/>
    <x:xf numFmtId="200" fontId="0" fillId="8" borderId="22" xfId="0" applyNumberFormat="1" applyFont="1" applyFill="1" applyBorder="1"/>
    <x:xf numFmtId="200" fontId="0" fillId="8" borderId="23" xfId="0" applyNumberFormat="1" applyFont="1" applyFill="1" applyBorder="1"/>
    <x:xf numFmtId="200" fontId="0" fillId="8" borderId="25" xfId="0" applyNumberFormat="1" applyFont="1" applyFill="1" applyBorder="1"/>
    <x:xf numFmtId="200" fontId="0" fillId="8" borderId="26" xfId="0" applyNumberFormat="1" applyFont="1" applyFill="1" applyBorder="1"/>
    <x:xf numFmtId="0" fontId="0" fillId="0" borderId="18" xfId="0" applyNumberFormat="1" applyFont="1" applyFill="1" applyBorder="1"/>
    <x:xf numFmtId="0" fontId="0" fillId="0" borderId="21" xfId="0" applyNumberFormat="1" applyFont="1" applyFill="1" applyBorder="1"/>
    <x:xf numFmtId="0" fontId="0" fillId="0" borderId="24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dc2d01cca476d" /><Relationship Type="http://schemas.openxmlformats.org/officeDocument/2006/relationships/theme" Target="/xl/theme/theme1.xml" Id="R42117484a0dc466c" /><Relationship Type="http://schemas.openxmlformats.org/officeDocument/2006/relationships/sharedStrings" Target="/xl/sharedStrings.xml" Id="R7bbcd3e577284c52" /><Relationship Type="http://schemas.openxmlformats.org/officeDocument/2006/relationships/worksheet" Target="/xl/worksheets/sheet1.xml" Id="R4427d6a6c11b4063" /><Relationship Type="http://schemas.openxmlformats.org/officeDocument/2006/relationships/worksheet" Target="/xl/worksheets/sheet2.xml" Id="R8a99fd81beee49ea" /><Relationship Type="http://schemas.openxmlformats.org/officeDocument/2006/relationships/worksheet" Target="/xl/worksheets/sheet3.xml" Id="Rb596703908cb47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0fa8797a6f494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fd51ff158e14b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Una trayectoria de la martingala Mₜ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Mₜ</c:v>
          </c:tx>
          <c:marker>
            <c:symbol val="none"/>
          </c:marker>
          <c:cat>
            <c:strRef>
              <c:f>'Trayectoria'!$J$3:$J$103</c:f>
              <c:strCache>
                <c:ptCount val="0"/>
              </c:strCache>
            </c:strRef>
          </c:cat>
          <c:val>
            <c:numRef>
              <c:f>'Trayectoria'!$K$3:$K$103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simulada de M₁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Frecuencia</c:v>
          </c:tx>
          <c:cat>
            <c:strRef>
              <c:f>'Replica_t1'!$K$3:$K$32</c:f>
              <c:strCache>
                <c:ptCount val="0"/>
              </c:strCache>
            </c:strRef>
          </c:cat>
          <c:val>
            <c:numRef>
              <c:f>'Replica_t1'!$L$3:$L$32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fa8797a6f494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d51ff158e14b1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96fcbdaa454b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7fd7c243a0444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3" hidden="0" customWidth="1"/>
    <x:col min="4" max="4" width="29" hidden="0" customWidth="1"/>
    <x:col min="5" max="5" width="17" hidden="0" customWidth="1"/>
    <x:col min="6" max="6" width="17" hidden="0" customWidth="1"/>
  </x:cols>
  <x:sheetData>
    <x:row r="1" ht="30" customHeight="1">
      <x:c r="A1" s="3" t="str">
        <x:v>Ejercicio 2.c — Simulación reproducible de Mₜ</x:v>
      </x:c>
      <x:c r="B1" s="3"/>
      <x:c r="C1" s="3"/>
      <x:c r="D1" s="3"/>
      <x:c r="E1" s="3"/>
      <x:c r="F1" s="3"/>
    </x:row>
    <x:row r="2" ht="32" customHeight="1">
      <x:c r="A2" s="6" t="str">
        <x:v>Mₜ = Aₜ² − t³/3, con Aₜ = ∫₀ᵗ s dWₛ. Incrementos exactos en tiempo cuadrático; no se usa Euler.</x:v>
      </x:c>
      <x:c r="B2" s="6"/>
      <x:c r="C2" s="6"/>
      <x:c r="D2" s="6"/>
      <x:c r="E2" s="6"/>
      <x:c r="F2" s="6"/>
    </x:row>
    <x:row r="4">
      <x:c r="A4" s="9" t="str">
        <x:v>Parámetros reproducibles</x:v>
      </x:c>
      <x:c r="B4" s="10" t="str">
        <x:v>Valor</x:v>
      </x:c>
      <x:c r="D4" s="9" t="str">
        <x:v>Control en t = 1</x:v>
      </x:c>
      <x:c r="E4" s="11" t="str">
        <x:v>Teoría</x:v>
      </x:c>
      <x:c r="F4" s="10" t="str">
        <x:v>Hoja</x:v>
      </x:c>
    </x:row>
    <x:row r="5">
      <x:c r="A5" s="12" t="str">
        <x:v>Horizonte T (años)</x:v>
      </x:c>
      <x:c r="B5" s="21" t="n">
        <x:v>1</x:v>
      </x:c>
      <x:c r="D5" s="12" t="str">
        <x:v>N.º de réplicas</x:v>
      </x:c>
      <x:c r="E5" s="35" t="n">
        <x:v>5000</x:v>
      </x:c>
      <x:c r="F5" s="36" t="n">
        <x:f>COUNT('Replica_t1'!$D$3:$D$5002)</x:f>
        <x:v>5000</x:v>
      </x:c>
    </x:row>
    <x:row r="6">
      <x:c r="A6" s="14" t="str">
        <x:v>Pasos de trayectoria</x:v>
      </x:c>
      <x:c r="B6" s="22" t="n">
        <x:v>100</x:v>
      </x:c>
      <x:c r="D6" s="14" t="str">
        <x:v>Media de M₁</x:v>
      </x:c>
      <x:c r="E6" s="33" t="n">
        <x:v>0</x:v>
      </x:c>
      <x:c r="F6" s="34" t="n">
        <x:f>AVERAGE('Replica_t1'!$D$3:$D$5002)</x:f>
        <x:v>0.008261709864970457</x:v>
      </x:c>
    </x:row>
    <x:row r="7">
      <x:c r="A7" s="14" t="str">
        <x:v>Semilla trayectoria</x:v>
      </x:c>
      <x:c r="B7" s="22" t="n">
        <x:v>20260302</x:v>
      </x:c>
      <x:c r="D7" s="14" t="str">
        <x:v>Varianza muestral</x:v>
      </x:c>
      <x:c r="E7" s="33" t="n">
        <x:v>0.2222222222222222</x:v>
      </x:c>
      <x:c r="F7" s="34" t="n">
        <x:f>VAR.S('Replica_t1'!$D$3:$D$5002)</x:f>
        <x:v>0.22458381386894102</x:v>
      </x:c>
    </x:row>
    <x:row r="8">
      <x:c r="A8" s="14" t="str">
        <x:v>Réplicas terminales</x:v>
      </x:c>
      <x:c r="B8" s="22" t="n">
        <x:v>5000</x:v>
      </x:c>
      <x:c r="D8" s="14" t="str">
        <x:v>Error estándar de la media</x:v>
      </x:c>
      <x:c r="E8" s="33"/>
      <x:c r="F8" s="34" t="n">
        <x:f>STDEV.S('Replica_t1'!$D$3:$D$5002)/SQRT(F5)</x:f>
        <x:v>0.006701996924334433</x:v>
      </x:c>
    </x:row>
    <x:row r="9">
      <x:c r="A9" s="16" t="str">
        <x:v>Semilla réplicas</x:v>
      </x:c>
      <x:c r="B9" s="23" t="n">
        <x:v>20260312</x:v>
      </x:c>
      <x:c r="D9" s="14" t="str">
        <x:v>IC 95% — inferior</x:v>
      </x:c>
      <x:c r="E9" s="33"/>
      <x:c r="F9" s="34" t="n">
        <x:f>F6-1.96*F8</x:f>
        <x:v>-0.004874204106725032</x:v>
      </x:c>
    </x:row>
    <x:row r="10">
      <x:c r="D10" s="14" t="str">
        <x:v>IC 95% — superior</x:v>
      </x:c>
      <x:c r="E10" s="33"/>
      <x:c r="F10" s="34" t="n">
        <x:f>F6+1.96*F8</x:f>
        <x:v>0.021397623836665946</x:v>
      </x:c>
    </x:row>
    <x:row r="11">
      <x:c r="A11" s="8" t="str">
        <x:v>Cómo auditar la simulación</x:v>
      </x:c>
      <x:c r="B11" s="8"/>
      <x:c r="D11" s="14" t="str">
        <x:v>Mínimo observado</x:v>
      </x:c>
      <x:c r="E11" s="33" t="n">
        <x:v>-0.3333333333333333</x:v>
      </x:c>
      <x:c r="F11" s="34" t="n">
        <x:f>MIN('Replica_t1'!$D$3:$D$5002)</x:f>
        <x:v>-0.33333330073848694</x:v>
      </x:c>
    </x:row>
    <x:row r="12">
      <x:c r="A12" s="52" t="str">
        <x:v>1) La hoja Trayectoria usa Δqⱼ=(tⱼ³−tⱼ₋₁³)/3 y ΔAⱼ=√Δqⱼ·Zⱼ.
2) Replica_t1 usa A₁=√(1/3)·Z y M₁=A₁²−1/3.
3) Deben cumplirse E[M₁]=0, Var(M₁)=2/9 y M₁≥−1/3.
4) Los Z quedan fijados como datos para que toda fórmula sea trazable.</x:v>
      </x:c>
      <x:c r="B12" s="53"/>
      <x:c r="D12" s="14" t="str">
        <x:v>Cota teórica del soporte</x:v>
      </x:c>
      <x:c r="E12" s="33" t="n">
        <x:v>-0.3333333333333333</x:v>
      </x:c>
      <x:c r="F12" s="34" t="n">
        <x:f>F11</x:f>
        <x:v>-0.33333330073848694</x:v>
      </x:c>
    </x:row>
    <x:row r="13">
      <x:c r="A13" s="54"/>
      <x:c r="B13" s="55"/>
      <x:c r="D13" s="14" t="str">
        <x:v>Sesgo estandarizado</x:v>
      </x:c>
      <x:c r="E13" s="33" t="n">
        <x:v>0</x:v>
      </x:c>
      <x:c r="F13" s="34" t="n">
        <x:f>F6/F8</x:f>
        <x:v>1.2327236133118515</x:v>
      </x:c>
    </x:row>
    <x:row r="14">
      <x:c r="A14" s="54"/>
      <x:c r="B14" s="55"/>
      <x:c r="D14" s="14" t="str">
        <x:v>Error absoluto de varianza</x:v>
      </x:c>
      <x:c r="E14" s="33" t="n">
        <x:v>0</x:v>
      </x:c>
      <x:c r="F14" s="34" t="n">
        <x:f>ABS(F7-E7)</x:f>
        <x:v>0.0023615916467188136</x:v>
      </x:c>
    </x:row>
    <x:row r="15">
      <x:c r="A15" s="54"/>
      <x:c r="B15" s="55"/>
      <x:c r="D15" s="14" t="str">
        <x:v>Holgura sobre la cota</x:v>
      </x:c>
      <x:c r="E15" s="33" t="n">
        <x:v>0</x:v>
      </x:c>
      <x:c r="F15" s="34" t="n">
        <x:f>F11-E12</x:f>
        <x:v>3.2594846377520525e-8</x:v>
      </x:c>
    </x:row>
    <x:row r="16">
      <x:c r="A16" s="54"/>
      <x:c r="B16" s="55"/>
      <x:c r="D16" s="14" t="str">
        <x:v>¿El IC contiene 0?</x:v>
      </x:c>
      <x:c r="E16" s="28"/>
      <x:c r="F16" s="37" t="str">
        <x:f>IF(F9*F10&lt;=0,"SÍ","NO")</x:f>
        <x:v>SÍ</x:v>
      </x:c>
    </x:row>
    <x:row r="17">
      <x:c r="A17" s="56"/>
      <x:c r="B17" s="57"/>
      <x:c r="D17" s="16" t="str">
        <x:v>Veredicto</x:v>
      </x:c>
      <x:c r="E17" s="29"/>
      <x:c r="F17" s="38" t="str">
        <x:f>IF(F16="SÍ","COHERENTE","REVISAR")</x:f>
        <x:v>COHERENTE</x:v>
      </x:c>
    </x:row>
    <x:row r="19" ht="32" customHeight="1">
      <x:c r="A19" s="63" t="str">
        <x:v>Conclusión esperada: las discrepancias son compatibles con error Monte Carlo y se respeta exactamente el soporte M₁ ≥ −1/3.</x:v>
      </x:c>
      <x:c r="B19" s="64"/>
      <x:c r="C19" s="64"/>
      <x:c r="D19" s="64"/>
      <x:c r="E19" s="64"/>
      <x:c r="F19" s="65"/>
    </x:row>
  </x:sheetData>
  <x:mergeCells>
    <x:mergeCell ref="A1:F1"/>
    <x:mergeCell ref="A2:F2"/>
    <x:mergeCell ref="A11:B11"/>
    <x:mergeCell ref="A12:B17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3" hidden="0" customWidth="1"/>
    <x:col min="11" max="11" width="13" hidden="0" customWidth="1"/>
  </x:cols>
  <x:sheetData>
    <x:row r="1">
      <x:c r="A1" s="66" t="str">
        <x:v>Trayectoria de Mₜ con incrementos exactos de Aₜ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>
      <x:c r="A2" s="67" t="str">
        <x:v>Paso j</x:v>
      </x:c>
      <x:c r="B2" s="67" t="str">
        <x:v>tⱼ</x:v>
      </x:c>
      <x:c r="C2" s="67" t="str">
        <x:v>q(tⱼ)=tⱼ³/3</x:v>
      </x:c>
      <x:c r="D2" s="67" t="str">
        <x:v>Δqⱼ</x:v>
      </x:c>
      <x:c r="E2" s="67" t="str">
        <x:v>Zⱼ fijo</x:v>
      </x:c>
      <x:c r="F2" s="67" t="str">
        <x:v>ΔAⱼ</x:v>
      </x:c>
      <x:c r="G2" s="67" t="str">
        <x:v>Aₜ</x:v>
      </x:c>
      <x:c r="H2" s="67" t="str">
        <x:v>Mₜ=Aₜ²−q(tₜ)</x:v>
      </x:c>
      <x:c r="J2" t="str">
        <x:v>t</x:v>
      </x:c>
      <x:c r="K2" t="str">
        <x:v>Mₜ</x:v>
      </x:c>
    </x:row>
    <x:row r="3">
      <x:c r="A3" s="70" t="n">
        <x:v>0</x:v>
      </x:c>
      <x:c r="B3" s="71" t="n">
        <x:v>0</x:v>
      </x:c>
      <x:c r="C3" s="71" t="n">
        <x:v>0</x:v>
      </x:c>
      <x:c r="D3" s="71" t="n">
        <x:v>0</x:v>
      </x:c>
      <x:c r="E3" s="79"/>
      <x:c r="F3" s="82" t="n">
        <x:v>0</x:v>
      </x:c>
      <x:c r="G3" s="82" t="n">
        <x:v>0</x:v>
      </x:c>
      <x:c r="H3" s="83" t="n">
        <x:v>0</x:v>
      </x:c>
      <x:c r="J3" t="n">
        <x:f>B3</x:f>
        <x:v>0</x:v>
      </x:c>
      <x:c r="K3" t="n">
        <x:f>H3</x:f>
        <x:v>0</x:v>
      </x:c>
    </x:row>
    <x:row r="4">
      <x:c r="A4" s="73" t="n">
        <x:v>1</x:v>
      </x:c>
      <x:c r="B4" s="74" t="n">
        <x:f>'Resumen'!$B$5*A4/'Resumen'!$B$6</x:f>
        <x:v>0.01</x:v>
      </x:c>
      <x:c r="C4" s="74" t="n">
        <x:f>B4^3/3</x:f>
        <x:v>3.333333333333334e-7</x:v>
      </x:c>
      <x:c r="D4" s="74" t="n">
        <x:f>C4-C3</x:f>
        <x:v>3.333333333333334e-7</x:v>
      </x:c>
      <x:c r="E4" s="80" t="n">
        <x:v>-0.4975866625614567</x:v>
      </x:c>
      <x:c r="F4" s="84" t="n">
        <x:f>SQRT(D4)*E4</x:f>
        <x:v>-0.00028728179357502456</x:v>
      </x:c>
      <x:c r="G4" s="84" t="n">
        <x:f>G3+F4</x:f>
        <x:v>-0.00028728179357502456</x:v>
      </x:c>
      <x:c r="H4" s="85" t="n">
        <x:f>G4^2-C4</x:f>
        <x:v>-2.5080250441365037e-7</x:v>
      </x:c>
      <x:c r="J4" t="n">
        <x:f>B4</x:f>
        <x:v>0.01</x:v>
      </x:c>
      <x:c r="K4" t="n">
        <x:f>H4</x:f>
        <x:v>-2.5080250441365037e-7</x:v>
      </x:c>
    </x:row>
    <x:row r="5">
      <x:c r="A5" s="73" t="n">
        <x:v>2</x:v>
      </x:c>
      <x:c r="B5" s="74" t="n">
        <x:f>'Resumen'!$B$5*A5/'Resumen'!$B$6</x:f>
        <x:v>0.02</x:v>
      </x:c>
      <x:c r="C5" s="74" t="n">
        <x:f>B5^3/3</x:f>
        <x:v>0.0000026666666666666673</x:v>
      </x:c>
      <x:c r="D5" s="74" t="n">
        <x:f>C5-C4</x:f>
        <x:v>0.000002333333333333334</x:v>
      </x:c>
      <x:c r="E5" s="80" t="n">
        <x:v>-0.06279823136838737</x:v>
      </x:c>
      <x:c r="F5" s="84" t="n">
        <x:f>SQRT(D5)*E5</x:f>
        <x:v>-0.00009592588291832847</x:v>
      </x:c>
      <x:c r="G5" s="84" t="n">
        <x:f>G4+F5</x:f>
        <x:v>-0.000383207676493353</x:v>
      </x:c>
      <x:c r="H5" s="85" t="n">
        <x:f>G5^2-C5</x:f>
        <x:v>-0.000002519818543343233</x:v>
      </x:c>
      <x:c r="J5" t="n">
        <x:f>B5</x:f>
        <x:v>0.02</x:v>
      </x:c>
      <x:c r="K5" t="n">
        <x:f>H5</x:f>
        <x:v>-0.000002519818543343233</x:v>
      </x:c>
    </x:row>
    <x:row r="6">
      <x:c r="A6" s="73" t="n">
        <x:v>3</x:v>
      </x:c>
      <x:c r="B6" s="74" t="n">
        <x:f>'Resumen'!$B$5*A6/'Resumen'!$B$6</x:f>
        <x:v>0.03</x:v>
      </x:c>
      <x:c r="C6" s="74" t="n">
        <x:f>B6^3/3</x:f>
        <x:v>0.000008999999999999999</x:v>
      </x:c>
      <x:c r="D6" s="74" t="n">
        <x:f>C6-C5</x:f>
        <x:v>0.000006333333333333331</x:v>
      </x:c>
      <x:c r="E6" s="80" t="n">
        <x:v>0.7590138525841263</x:v>
      </x:c>
      <x:c r="F6" s="84" t="n">
        <x:f>SQRT(D6)*E6</x:f>
        <x:v>0.0019101429736957175</x:v>
      </x:c>
      <x:c r="G6" s="84" t="n">
        <x:f>G5+F6</x:f>
        <x:v>0.0015269352972023644</x:v>
      </x:c>
      <x:c r="H6" s="85" t="n">
        <x:f>G6^2-C6</x:f>
        <x:v>-0.000006668468598157526</x:v>
      </x:c>
      <x:c r="J6" t="n">
        <x:f>B6</x:f>
        <x:v>0.03</x:v>
      </x:c>
      <x:c r="K6" t="n">
        <x:f>H6</x:f>
        <x:v>-0.000006668468598157526</x:v>
      </x:c>
    </x:row>
    <x:row r="7">
      <x:c r="A7" s="73" t="n">
        <x:v>4</x:v>
      </x:c>
      <x:c r="B7" s="74" t="n">
        <x:f>'Resumen'!$B$5*A7/'Resumen'!$B$6</x:f>
        <x:v>0.04</x:v>
      </x:c>
      <x:c r="C7" s="74" t="n">
        <x:f>B7^3/3</x:f>
        <x:v>0.000021333333333333338</x:v>
      </x:c>
      <x:c r="D7" s="74" t="n">
        <x:f>C7-C6</x:f>
        <x:v>0.00001233333333333334</x:v>
      </x:c>
      <x:c r="E7" s="80" t="n">
        <x:v>0.8824733640133864</x:v>
      </x:c>
      <x:c r="F7" s="84" t="n">
        <x:f>SQRT(D7)*E7</x:f>
        <x:v>0.0030991446031200724</x:v>
      </x:c>
      <x:c r="G7" s="84" t="n">
        <x:f>G6+F7</x:f>
        <x:v>0.004626079900322436</x:v>
      </x:c>
      <x:c r="H7" s="85" t="n">
        <x:f>G7^2-C7</x:f>
        <x:v>6.728191083390478e-8</x:v>
      </x:c>
      <x:c r="J7" t="n">
        <x:f>B7</x:f>
        <x:v>0.04</x:v>
      </x:c>
      <x:c r="K7" t="n">
        <x:f>H7</x:f>
        <x:v>6.728191083390478e-8</x:v>
      </x:c>
    </x:row>
    <x:row r="8">
      <x:c r="A8" s="73" t="n">
        <x:v>5</x:v>
      </x:c>
      <x:c r="B8" s="74" t="n">
        <x:f>'Resumen'!$B$5*A8/'Resumen'!$B$6</x:f>
        <x:v>0.05</x:v>
      </x:c>
      <x:c r="C8" s="74" t="n">
        <x:f>B8^3/3</x:f>
        <x:v>0.00004166666666666668</x:v>
      </x:c>
      <x:c r="D8" s="74" t="n">
        <x:f>C8-C7</x:f>
        <x:v>0.00002033333333333334</x:v>
      </x:c>
      <x:c r="E8" s="80" t="n">
        <x:v>-0.21948776000852685</x:v>
      </x:c>
      <x:c r="F8" s="84" t="n">
        <x:f>SQRT(D8)*E8</x:f>
        <x:v>-0.0009897251275661006</x:v>
      </x:c>
      <x:c r="G8" s="84" t="n">
        <x:f>G7+F8</x:f>
        <x:v>0.003636354772756336</x:v>
      </x:c>
      <x:c r="H8" s="85" t="n">
        <x:f>G8^2-C8</x:f>
        <x:v>-0.000028443590633318897</x:v>
      </x:c>
      <x:c r="J8" t="n">
        <x:f>B8</x:f>
        <x:v>0.05</x:v>
      </x:c>
      <x:c r="K8" t="n">
        <x:f>H8</x:f>
        <x:v>-0.000028443590633318897</x:v>
      </x:c>
    </x:row>
    <x:row r="9">
      <x:c r="A9" s="73" t="n">
        <x:v>6</x:v>
      </x:c>
      <x:c r="B9" s="74" t="n">
        <x:f>'Resumen'!$B$5*A9/'Resumen'!$B$6</x:f>
        <x:v>0.06</x:v>
      </x:c>
      <x:c r="C9" s="74" t="n">
        <x:f>B9^3/3</x:f>
        <x:v>0.00007199999999999999</x:v>
      </x:c>
      <x:c r="D9" s="74" t="n">
        <x:f>C9-C8</x:f>
        <x:v>0.00003033333333333331</x:v>
      </x:c>
      <x:c r="E9" s="80" t="n">
        <x:v>-0.09630333820646386</x:v>
      </x:c>
      <x:c r="F9" s="84" t="n">
        <x:f>SQRT(D9)*E9</x:f>
        <x:v>-0.0005303974291112526</x:v>
      </x:c>
      <x:c r="G9" s="84" t="n">
        <x:f>G8+F9</x:f>
        <x:v>0.003105957343645083</x:v>
      </x:c>
      <x:c r="H9" s="85" t="n">
        <x:f>G9^2-C9</x:f>
        <x:v>-0.00006235302897945717</x:v>
      </x:c>
      <x:c r="J9" t="n">
        <x:f>B9</x:f>
        <x:v>0.06</x:v>
      </x:c>
      <x:c r="K9" t="n">
        <x:f>H9</x:f>
        <x:v>-0.00006235302897945717</x:v>
      </x:c>
    </x:row>
    <x:row r="10">
      <x:c r="A10" s="73" t="n">
        <x:v>7</x:v>
      </x:c>
      <x:c r="B10" s="74" t="n">
        <x:f>'Resumen'!$B$5*A10/'Resumen'!$B$6</x:f>
        <x:v>0.07</x:v>
      </x:c>
      <x:c r="C10" s="74" t="n">
        <x:f>B10^3/3</x:f>
        <x:v>0.00011433333333333337</x:v>
      </x:c>
      <x:c r="D10" s="74" t="n">
        <x:f>C10-C9</x:f>
        <x:v>0.00004233333333333338</x:v>
      </x:c>
      <x:c r="E10" s="80" t="n">
        <x:v>0.5551229224830374</x:v>
      </x:c>
      <x:c r="F10" s="84" t="n">
        <x:f>SQRT(D10)*E10</x:f>
        <x:v>0.0036118557234657003</x:v>
      </x:c>
      <x:c r="G10" s="84" t="n">
        <x:f>G9+F10</x:f>
        <x:v>0.0067178130671107835</x:v>
      </x:c>
      <x:c r="H10" s="85" t="n">
        <x:f>G10^2-C10</x:f>
        <x:v>-0.00006920432092868898</x:v>
      </x:c>
      <x:c r="J10" t="n">
        <x:f>B10</x:f>
        <x:v>0.07</x:v>
      </x:c>
      <x:c r="K10" t="n">
        <x:f>H10</x:f>
        <x:v>-0.00006920432092868898</x:v>
      </x:c>
    </x:row>
    <x:row r="11">
      <x:c r="A11" s="73" t="n">
        <x:v>8</x:v>
      </x:c>
      <x:c r="B11" s="74" t="n">
        <x:f>'Resumen'!$B$5*A11/'Resumen'!$B$6</x:f>
        <x:v>0.08</x:v>
      </x:c>
      <x:c r="C11" s="74" t="n">
        <x:f>B11^3/3</x:f>
        <x:v>0.0001706666666666667</x:v>
      </x:c>
      <x:c r="D11" s="74" t="n">
        <x:f>C11-C10</x:f>
        <x:v>0.00005633333333333334</x:v>
      </x:c>
      <x:c r="E11" s="80" t="n">
        <x:v>0.05986013230692219</x:v>
      </x:c>
      <x:c r="F11" s="84" t="n">
        <x:f>SQRT(D11)*E11</x:f>
        <x:v>0.00044928342551466585</x:v>
      </x:c>
      <x:c r="G11" s="84" t="n">
        <x:f>G10+F11</x:f>
        <x:v>0.0071670964926254495</x:v>
      </x:c>
      <x:c r="H11" s="85" t="n">
        <x:f>G11^2-C11</x:f>
        <x:v>-0.00011929939453206268</x:v>
      </x:c>
      <x:c r="J11" t="n">
        <x:f>B11</x:f>
        <x:v>0.08</x:v>
      </x:c>
      <x:c r="K11" t="n">
        <x:f>H11</x:f>
        <x:v>-0.00011929939453206268</x:v>
      </x:c>
    </x:row>
    <x:row r="12">
      <x:c r="A12" s="73" t="n">
        <x:v>9</x:v>
      </x:c>
      <x:c r="B12" s="74" t="n">
        <x:f>'Resumen'!$B$5*A12/'Resumen'!$B$6</x:f>
        <x:v>0.09</x:v>
      </x:c>
      <x:c r="C12" s="74" t="n">
        <x:f>B12^3/3</x:f>
        <x:v>0.00024299999999999997</x:v>
      </x:c>
      <x:c r="D12" s="74" t="n">
        <x:f>C12-C11</x:f>
        <x:v>0.00007233333333333327</x:v>
      </x:c>
      <x:c r="E12" s="80" t="n">
        <x:v>-1.1227823542740187</x:v>
      </x:c>
      <x:c r="F12" s="84" t="n">
        <x:f>SQRT(D12)*E12</x:f>
        <x:v>-0.009549152260279378</x:v>
      </x:c>
      <x:c r="G12" s="84" t="n">
        <x:f>G11+F12</x:f>
        <x:v>-0.0023820557676539284</x:v>
      </x:c>
      <x:c r="H12" s="85" t="n">
        <x:f>G12^2-C12</x:f>
        <x:v>-0.00023732581031978662</x:v>
      </x:c>
      <x:c r="J12" t="n">
        <x:f>B12</x:f>
        <x:v>0.09</x:v>
      </x:c>
      <x:c r="K12" t="n">
        <x:f>H12</x:f>
        <x:v>-0.00023732581031978662</x:v>
      </x:c>
    </x:row>
    <x:row r="13">
      <x:c r="A13" s="73" t="n">
        <x:v>10</x:v>
      </x:c>
      <x:c r="B13" s="74" t="n">
        <x:f>'Resumen'!$B$5*A13/'Resumen'!$B$6</x:f>
        <x:v>0.1</x:v>
      </x:c>
      <x:c r="C13" s="74" t="n">
        <x:f>B13^3/3</x:f>
        <x:v>0.00033333333333333343</x:v>
      </x:c>
      <x:c r="D13" s="74" t="n">
        <x:f>C13-C12</x:f>
        <x:v>0.00009033333333333346</x:v>
      </x:c>
      <x:c r="E13" s="80" t="n">
        <x:v>0.23876587462703125</x:v>
      </x:c>
      <x:c r="F13" s="84" t="n">
        <x:f>SQRT(D13)*E13</x:f>
        <x:v>0.002269322786076458</x:v>
      </x:c>
      <x:c r="G13" s="84" t="n">
        <x:f>G12+F13</x:f>
        <x:v>-0.00011273298157747028</x:v>
      </x:c>
      <x:c r="H13" s="85" t="n">
        <x:f>G13^2-C13</x:f>
        <x:v>-0.0003333206246081981</x:v>
      </x:c>
      <x:c r="J13" t="n">
        <x:f>B13</x:f>
        <x:v>0.1</x:v>
      </x:c>
      <x:c r="K13" t="n">
        <x:f>H13</x:f>
        <x:v>-0.0003333206246081981</x:v>
      </x:c>
    </x:row>
    <x:row r="14">
      <x:c r="A14" s="73" t="n">
        <x:v>11</x:v>
      </x:c>
      <x:c r="B14" s="74" t="n">
        <x:f>'Resumen'!$B$5*A14/'Resumen'!$B$6</x:f>
        <x:v>0.11</x:v>
      </x:c>
      <x:c r="C14" s="74" t="n">
        <x:f>B14^3/3</x:f>
        <x:v>0.00044366666666666664</x:v>
      </x:c>
      <x:c r="D14" s="74" t="n">
        <x:f>C14-C13</x:f>
        <x:v>0.00011033333333333321</x:v>
      </x:c>
      <x:c r="E14" s="80" t="n">
        <x:v>-1.6933031421411668</x:v>
      </x:c>
      <x:c r="F14" s="84" t="n">
        <x:f>SQRT(D14)*E14</x:f>
        <x:v>-0.0177864011801365</x:v>
      </x:c>
      <x:c r="G14" s="84" t="n">
        <x:f>G13+F14</x:f>
        <x:v>-0.01789913416171397</x:v>
      </x:c>
      <x:c r="H14" s="85" t="n">
        <x:f>G14^2-C14</x:f>
        <x:v>-0.00012328766292763062</x:v>
      </x:c>
      <x:c r="J14" t="n">
        <x:f>B14</x:f>
        <x:v>0.11</x:v>
      </x:c>
      <x:c r="K14" t="n">
        <x:f>H14</x:f>
        <x:v>-0.00012328766292763062</x:v>
      </x:c>
    </x:row>
    <x:row r="15">
      <x:c r="A15" s="73" t="n">
        <x:v>12</x:v>
      </x:c>
      <x:c r="B15" s="74" t="n">
        <x:f>'Resumen'!$B$5*A15/'Resumen'!$B$6</x:f>
        <x:v>0.12</x:v>
      </x:c>
      <x:c r="C15" s="74" t="n">
        <x:f>B15^3/3</x:f>
        <x:v>0.0005759999999999999</x:v>
      </x:c>
      <x:c r="D15" s="74" t="n">
        <x:f>C15-C14</x:f>
        <x:v>0.00013233333333333326</x:v>
      </x:c>
      <x:c r="E15" s="80" t="n">
        <x:v>-1.5742098495680465</x:v>
      </x:c>
      <x:c r="F15" s="84" t="n">
        <x:f>SQRT(D15)*E15</x:f>
        <x:v>-0.018109116030693758</x:v>
      </x:c>
      <x:c r="G15" s="84" t="n">
        <x:f>G14+F15</x:f>
        <x:v>-0.03600825019240773</x:v>
      </x:c>
      <x:c r="H15" s="85" t="n">
        <x:f>G15^2-C15</x:f>
        <x:v>0.0007205940819190312</x:v>
      </x:c>
      <x:c r="J15" t="n">
        <x:f>B15</x:f>
        <x:v>0.12</x:v>
      </x:c>
      <x:c r="K15" t="n">
        <x:f>H15</x:f>
        <x:v>0.0007205940819190312</x:v>
      </x:c>
    </x:row>
    <x:row r="16">
      <x:c r="A16" s="73" t="n">
        <x:v>13</x:v>
      </x:c>
      <x:c r="B16" s="74" t="n">
        <x:f>'Resumen'!$B$5*A16/'Resumen'!$B$6</x:f>
        <x:v>0.13</x:v>
      </x:c>
      <x:c r="C16" s="74" t="n">
        <x:f>B16^3/3</x:f>
        <x:v>0.0007323333333333334</x:v>
      </x:c>
      <x:c r="D16" s="74" t="n">
        <x:f>C16-C15</x:f>
        <x:v>0.00015633333333333352</x:v>
      </x:c>
      <x:c r="E16" s="80" t="n">
        <x:v>0.013933753709327213</x:v>
      </x:c>
      <x:c r="F16" s="84" t="n">
        <x:f>SQRT(D16)*E16</x:f>
        <x:v>0.00017421836102115946</x:v>
      </x:c>
      <x:c r="G16" s="84" t="n">
        <x:f>G15+F16</x:f>
        <x:v>-0.035834031831386566</x:v>
      </x:c>
      <x:c r="H16" s="85" t="n">
        <x:f>G16^2-C16</x:f>
        <x:v>0.0005517445039594921</x:v>
      </x:c>
      <x:c r="J16" t="n">
        <x:f>B16</x:f>
        <x:v>0.13</x:v>
      </x:c>
      <x:c r="K16" t="n">
        <x:f>H16</x:f>
        <x:v>0.0005517445039594921</x:v>
      </x:c>
    </x:row>
    <x:row r="17">
      <x:c r="A17" s="73" t="n">
        <x:v>14</x:v>
      </x:c>
      <x:c r="B17" s="74" t="n">
        <x:f>'Resumen'!$B$5*A17/'Resumen'!$B$6</x:f>
        <x:v>0.14</x:v>
      </x:c>
      <x:c r="C17" s="74" t="n">
        <x:f>B17^3/3</x:f>
        <x:v>0.0009146666666666669</x:v>
      </x:c>
      <x:c r="D17" s="74" t="n">
        <x:f>C17-C16</x:f>
        <x:v>0.0001823333333333335</x:v>
      </x:c>
      <x:c r="E17" s="80" t="n">
        <x:v>0.0049550820187718924</x:v>
      </x:c>
      <x:c r="F17" s="84" t="n">
        <x:f>SQRT(D17)*E17</x:f>
        <x:v>0.00006690889896861711</x:v>
      </x:c>
      <x:c r="G17" s="84" t="n">
        <x:f>G16+F17</x:f>
        <x:v>-0.03576712293241795</x:v>
      </x:c>
      <x:c r="H17" s="85" t="n">
        <x:f>G17^2-C17</x:f>
        <x:v>0.00036462041619603094</x:v>
      </x:c>
      <x:c r="J17" t="n">
        <x:f>B17</x:f>
        <x:v>0.14</x:v>
      </x:c>
      <x:c r="K17" t="n">
        <x:f>H17</x:f>
        <x:v>0.00036462041619603094</x:v>
      </x:c>
    </x:row>
    <x:row r="18">
      <x:c r="A18" s="73" t="n">
        <x:v>15</x:v>
      </x:c>
      <x:c r="B18" s="74" t="n">
        <x:f>'Resumen'!$B$5*A18/'Resumen'!$B$6</x:f>
        <x:v>0.15</x:v>
      </x:c>
      <x:c r="C18" s="74" t="n">
        <x:f>B18^3/3</x:f>
        <x:v>0.001125</x:v>
      </x:c>
      <x:c r="D18" s="74" t="n">
        <x:f>C18-C17</x:f>
        <x:v>0.000210333333333333</x:v>
      </x:c>
      <x:c r="E18" s="80" t="n">
        <x:v>0.7226344525915692</x:v>
      </x:c>
      <x:c r="F18" s="84" t="n">
        <x:f>SQRT(D18)*E18</x:f>
        <x:v>0.010480275892641241</x:v>
      </x:c>
      <x:c r="G18" s="84" t="n">
        <x:f>G17+F18</x:f>
        <x:v>-0.025286847039776704</x:v>
      </x:c>
      <x:c r="H18" s="85" t="n">
        <x:f>G18^2-C18</x:f>
        <x:v>-0.00048557536678693603</x:v>
      </x:c>
      <x:c r="J18" t="n">
        <x:f>B18</x:f>
        <x:v>0.15</x:v>
      </x:c>
      <x:c r="K18" t="n">
        <x:f>H18</x:f>
        <x:v>-0.00048557536678693603</x:v>
      </x:c>
    </x:row>
    <x:row r="19">
      <x:c r="A19" s="73" t="n">
        <x:v>16</x:v>
      </x:c>
      <x:c r="B19" s="74" t="n">
        <x:f>'Resumen'!$B$5*A19/'Resumen'!$B$6</x:f>
        <x:v>0.16</x:v>
      </x:c>
      <x:c r="C19" s="74" t="n">
        <x:f>B19^3/3</x:f>
        <x:v>0.0013653333333333336</x:v>
      </x:c>
      <x:c r="D19" s="74" t="n">
        <x:f>C19-C18</x:f>
        <x:v>0.00024033333333333372</x:v>
      </x:c>
      <x:c r="E19" s="80" t="n">
        <x:v>-1.744390081811474</x:v>
      </x:c>
      <x:c r="F19" s="84" t="n">
        <x:f>SQRT(D19)*E19</x:f>
        <x:v>-0.02704273508217157</x:v>
      </x:c>
      <x:c r="G19" s="84" t="n">
        <x:f>G18+F19</x:f>
        <x:v>-0.05232958212194827</x:v>
      </x:c>
      <x:c r="H19" s="85" t="n">
        <x:f>G19^2-C19</x:f>
        <x:v>0.0013730518317243946</x:v>
      </x:c>
      <x:c r="J19" t="n">
        <x:f>B19</x:f>
        <x:v>0.16</x:v>
      </x:c>
      <x:c r="K19" t="n">
        <x:f>H19</x:f>
        <x:v>0.0013730518317243946</x:v>
      </x:c>
    </x:row>
    <x:row r="20">
      <x:c r="A20" s="73" t="n">
        <x:v>17</x:v>
      </x:c>
      <x:c r="B20" s="74" t="n">
        <x:f>'Resumen'!$B$5*A20/'Resumen'!$B$6</x:f>
        <x:v>0.17</x:v>
      </x:c>
      <x:c r="C20" s="74" t="n">
        <x:f>B20^3/3</x:f>
        <x:v>0.0016376666666666668</x:v>
      </x:c>
      <x:c r="D20" s="74" t="n">
        <x:f>C20-C19</x:f>
        <x:v>0.0002723333333333332</x:v>
      </x:c>
      <x:c r="E20" s="80" t="n">
        <x:v>0.04117685569591512</x:v>
      </x:c>
      <x:c r="F20" s="84" t="n">
        <x:f>SQRT(D20)*E20</x:f>
        <x:v>0.000679522092985654</x:v>
      </x:c>
      <x:c r="G20" s="84" t="n">
        <x:f>G19+F20</x:f>
        <x:v>-0.051650060028962615</x:v>
      </x:c>
      <x:c r="H20" s="85" t="n">
        <x:f>G20^2-C20</x:f>
        <x:v>0.0010300620343287748</x:v>
      </x:c>
      <x:c r="J20" t="n">
        <x:f>B20</x:f>
        <x:v>0.17</x:v>
      </x:c>
      <x:c r="K20" t="n">
        <x:f>H20</x:f>
        <x:v>0.0010300620343287748</x:v>
      </x:c>
    </x:row>
    <x:row r="21">
      <x:c r="A21" s="73" t="n">
        <x:v>18</x:v>
      </x:c>
      <x:c r="B21" s="74" t="n">
        <x:f>'Resumen'!$B$5*A21/'Resumen'!$B$6</x:f>
        <x:v>0.18</x:v>
      </x:c>
      <x:c r="C21" s="74" t="n">
        <x:f>B21^3/3</x:f>
        <x:v>0.0019439999999999998</x:v>
      </x:c>
      <x:c r="D21" s="74" t="n">
        <x:f>C21-C20</x:f>
        <x:v>0.00030633333333333294</x:v>
      </x:c>
      <x:c r="E21" s="80" t="n">
        <x:v>0.12936922405017975</x:v>
      </x:c>
      <x:c r="F21" s="84" t="n">
        <x:f>SQRT(D21)*E21</x:f>
        <x:v>0.002264269421889144</x:v>
      </x:c>
      <x:c r="G21" s="84" t="n">
        <x:f>G20+F21</x:f>
        <x:v>-0.049385790607073474</x:v>
      </x:c>
      <x:c r="H21" s="85" t="n">
        <x:f>G21^2-C21</x:f>
        <x:v>0.0004949563138857067</x:v>
      </x:c>
      <x:c r="J21" t="n">
        <x:f>B21</x:f>
        <x:v>0.18</x:v>
      </x:c>
      <x:c r="K21" t="n">
        <x:f>H21</x:f>
        <x:v>0.0004949563138857067</x:v>
      </x:c>
    </x:row>
    <x:row r="22">
      <x:c r="A22" s="73" t="n">
        <x:v>19</x:v>
      </x:c>
      <x:c r="B22" s="74" t="n">
        <x:f>'Resumen'!$B$5*A22/'Resumen'!$B$6</x:f>
        <x:v>0.19</x:v>
      </x:c>
      <x:c r="C22" s="74" t="n">
        <x:f>B22^3/3</x:f>
        <x:v>0.0022863333333333334</x:v>
      </x:c>
      <x:c r="D22" s="74" t="n">
        <x:f>C22-C21</x:f>
        <x:v>0.0003423333333333336</x:v>
      </x:c>
      <x:c r="E22" s="80" t="n">
        <x:v>0.08879360651500214</x:v>
      </x:c>
      <x:c r="F22" s="84" t="n">
        <x:f>SQRT(D22)*E22</x:f>
        <x:v>0.001642881693955821</x:v>
      </x:c>
      <x:c r="G22" s="84" t="n">
        <x:f>G21+F22</x:f>
        <x:v>-0.04774290891311765</x:v>
      </x:c>
      <x:c r="H22" s="85" t="n">
        <x:f>G22^2-C22</x:f>
        <x:v>-0.000006947981847084308</x:v>
      </x:c>
      <x:c r="J22" t="n">
        <x:f>B22</x:f>
        <x:v>0.19</x:v>
      </x:c>
      <x:c r="K22" t="n">
        <x:f>H22</x:f>
        <x:v>-0.000006947981847084308</x:v>
      </x:c>
    </x:row>
    <x:row r="23">
      <x:c r="A23" s="73" t="n">
        <x:v>20</x:v>
      </x:c>
      <x:c r="B23" s="74" t="n">
        <x:f>'Resumen'!$B$5*A23/'Resumen'!$B$6</x:f>
        <x:v>0.2</x:v>
      </x:c>
      <x:c r="C23" s="74" t="n">
        <x:f>B23^3/3</x:f>
        <x:v>0.0026666666666666674</x:v>
      </x:c>
      <x:c r="D23" s="74" t="n">
        <x:f>C23-C22</x:f>
        <x:v>0.0003803333333333341</x:v>
      </x:c>
      <x:c r="E23" s="80" t="n">
        <x:v>-2.81358691022717</x:v>
      </x:c>
      <x:c r="F23" s="84" t="n">
        <x:f>SQRT(D23)*E23</x:f>
        <x:v>-0.05487095635792316</x:v>
      </x:c>
      <x:c r="G23" s="84" t="n">
        <x:f>G22+F23</x:f>
        <x:v>-0.10261386527104081</x:v>
      </x:c>
      <x:c r="H23" s="85" t="n">
        <x:f>G23^2-C23</x:f>
        <x:v>0.007862938679196648</x:v>
      </x:c>
      <x:c r="J23" t="n">
        <x:f>B23</x:f>
        <x:v>0.2</x:v>
      </x:c>
      <x:c r="K23" t="n">
        <x:f>H23</x:f>
        <x:v>0.007862938679196648</x:v>
      </x:c>
    </x:row>
    <x:row r="24">
      <x:c r="A24" s="73" t="n">
        <x:v>21</x:v>
      </x:c>
      <x:c r="B24" s="74" t="n">
        <x:f>'Resumen'!$B$5*A24/'Resumen'!$B$6</x:f>
        <x:v>0.21</x:v>
      </x:c>
      <x:c r="C24" s="74" t="n">
        <x:f>B24^3/3</x:f>
        <x:v>0.0030869999999999995</x:v>
      </x:c>
      <x:c r="D24" s="74" t="n">
        <x:f>C24-C23</x:f>
        <x:v>0.000420333333333332</x:v>
      </x:c>
      <x:c r="E24" s="80" t="n">
        <x:v>0.8351040649871935</x:v>
      </x:c>
      <x:c r="F24" s="84" t="n">
        <x:f>SQRT(D24)*E24</x:f>
        <x:v>0.017121330614086872</x:v>
      </x:c>
      <x:c r="G24" s="84" t="n">
        <x:f>G23+F24</x:f>
        <x:v>-0.08549253465695394</x:v>
      </x:c>
      <x:c r="H24" s="85" t="n">
        <x:f>G24^2-C24</x:f>
        <x:v>0.004221973482070472</x:v>
      </x:c>
      <x:c r="J24" t="n">
        <x:f>B24</x:f>
        <x:v>0.21</x:v>
      </x:c>
      <x:c r="K24" t="n">
        <x:f>H24</x:f>
        <x:v>0.004221973482070472</x:v>
      </x:c>
    </x:row>
    <x:row r="25">
      <x:c r="A25" s="73" t="n">
        <x:v>22</x:v>
      </x:c>
      <x:c r="B25" s="74" t="n">
        <x:f>'Resumen'!$B$5*A25/'Resumen'!$B$6</x:f>
        <x:v>0.22</x:v>
      </x:c>
      <x:c r="C25" s="74" t="n">
        <x:f>B25^3/3</x:f>
        <x:v>0.003549333333333333</x:v>
      </x:c>
      <x:c r="D25" s="74" t="n">
        <x:f>C25-C24</x:f>
        <x:v>0.0004623333333333337</x:v>
      </x:c>
      <x:c r="E25" s="80" t="n">
        <x:v>-1.0703172075742589</x:v>
      </x:c>
      <x:c r="F25" s="84" t="n">
        <x:f>SQRT(D25)*E25</x:f>
        <x:v>-0.023013894127523627</x:v>
      </x:c>
      <x:c r="G25" s="84" t="n">
        <x:f>G24+F25</x:f>
        <x:v>-0.10850642878447757</x:v>
      </x:c>
      <x:c r="H25" s="85" t="n">
        <x:f>G25^2-C25</x:f>
        <x:v>0.008224311754227569</x:v>
      </x:c>
      <x:c r="J25" t="n">
        <x:f>B25</x:f>
        <x:v>0.22</x:v>
      </x:c>
      <x:c r="K25" t="n">
        <x:f>H25</x:f>
        <x:v>0.008224311754227569</x:v>
      </x:c>
    </x:row>
    <x:row r="26">
      <x:c r="A26" s="73" t="n">
        <x:v>23</x:v>
      </x:c>
      <x:c r="B26" s="74" t="n">
        <x:f>'Resumen'!$B$5*A26/'Resumen'!$B$6</x:f>
        <x:v>0.23</x:v>
      </x:c>
      <x:c r="C26" s="74" t="n">
        <x:f>B26^3/3</x:f>
        <x:v>0.004055666666666667</x:v>
      </x:c>
      <x:c r="D26" s="74" t="n">
        <x:f>C26-C25</x:f>
        <x:v>0.0005063333333333335</x:v>
      </x:c>
      <x:c r="E26" s="80" t="n">
        <x:v>-1.4325693011182488</x:v>
      </x:c>
      <x:c r="F26" s="84" t="n">
        <x:f>SQRT(D26)*E26</x:f>
        <x:v>-0.03223546207210968</x:v>
      </x:c>
      <x:c r="G26" s="84" t="n">
        <x:f>G25+F26</x:f>
        <x:v>-0.14074189085658725</x:v>
      </x:c>
      <x:c r="H26" s="85" t="n">
        <x:f>G26^2-C26</x:f>
        <x:v>0.015752613175220854</x:v>
      </x:c>
      <x:c r="J26" t="n">
        <x:f>B26</x:f>
        <x:v>0.23</x:v>
      </x:c>
      <x:c r="K26" t="n">
        <x:f>H26</x:f>
        <x:v>0.015752613175220854</x:v>
      </x:c>
    </x:row>
    <x:row r="27">
      <x:c r="A27" s="73" t="n">
        <x:v>24</x:v>
      </x:c>
      <x:c r="B27" s="74" t="n">
        <x:f>'Resumen'!$B$5*A27/'Resumen'!$B$6</x:f>
        <x:v>0.24</x:v>
      </x:c>
      <x:c r="C27" s="74" t="n">
        <x:f>B27^3/3</x:f>
        <x:v>0.004607999999999999</x:v>
      </x:c>
      <x:c r="D27" s="74" t="n">
        <x:f>C27-C26</x:f>
        <x:v>0.0005523333333333326</x:v>
      </x:c>
      <x:c r="E27" s="80" t="n">
        <x:v>-1.1275881137839083</x:v>
      </x:c>
      <x:c r="F27" s="84" t="n">
        <x:f>SQRT(D27)*E27</x:f>
        <x:v>-0.026500319868211438</x:v>
      </x:c>
      <x:c r="G27" s="84" t="n">
        <x:f>G26+F27</x:f>
        <x:v>-0.1672422107247987</x:v>
      </x:c>
      <x:c r="H27" s="85" t="n">
        <x:f>G27^2-C27</x:f>
        <x:v>0.02336195704811797</x:v>
      </x:c>
      <x:c r="J27" t="n">
        <x:f>B27</x:f>
        <x:v>0.24</x:v>
      </x:c>
      <x:c r="K27" t="n">
        <x:f>H27</x:f>
        <x:v>0.02336195704811797</x:v>
      </x:c>
    </x:row>
    <x:row r="28">
      <x:c r="A28" s="73" t="n">
        <x:v>25</x:v>
      </x:c>
      <x:c r="B28" s="74" t="n">
        <x:f>'Resumen'!$B$5*A28/'Resumen'!$B$6</x:f>
        <x:v>0.25</x:v>
      </x:c>
      <x:c r="C28" s="74" t="n">
        <x:f>B28^3/3</x:f>
        <x:v>0.005208333333333333</x:v>
      </x:c>
      <x:c r="D28" s="74" t="n">
        <x:f>C28-C27</x:f>
        <x:v>0.0006003333333333338</x:v>
      </x:c>
      <x:c r="E28" s="80" t="n">
        <x:v>0.9128016783329065</x:v>
      </x:c>
      <x:c r="F28" s="84" t="n">
        <x:f>SQRT(D28)*E28</x:f>
        <x:v>0.02236519344908688</x:v>
      </x:c>
      <x:c r="G28" s="84" t="n">
        <x:f>G27+F28</x:f>
        <x:v>-0.1448770172757118</x:v>
      </x:c>
      <x:c r="H28" s="85" t="n">
        <x:f>G28^2-C28</x:f>
        <x:v>0.015781016801373567</x:v>
      </x:c>
      <x:c r="J28" t="n">
        <x:f>B28</x:f>
        <x:v>0.25</x:v>
      </x:c>
      <x:c r="K28" t="n">
        <x:f>H28</x:f>
        <x:v>0.015781016801373567</x:v>
      </x:c>
    </x:row>
    <x:row r="29">
      <x:c r="A29" s="73" t="n">
        <x:v>26</x:v>
      </x:c>
      <x:c r="B29" s="74" t="n">
        <x:f>'Resumen'!$B$5*A29/'Resumen'!$B$6</x:f>
        <x:v>0.26</x:v>
      </x:c>
      <x:c r="C29" s="74" t="n">
        <x:f>B29^3/3</x:f>
        <x:v>0.005858666666666667</x:v>
      </x:c>
      <x:c r="D29" s="74" t="n">
        <x:f>C29-C28</x:f>
        <x:v>0.0006503333333333344</x:v>
      </x:c>
      <x:c r="E29" s="80" t="n">
        <x:v>-0.4262063411441592</x:v>
      </x:c>
      <x:c r="F29" s="84" t="n">
        <x:f>SQRT(D29)*E29</x:f>
        <x:v>-0.010868958092455172</x:v>
      </x:c>
      <x:c r="G29" s="84" t="n">
        <x:f>G28+F29</x:f>
        <x:v>-0.15574597536816698</x:v>
      </x:c>
      <x:c r="H29" s="85" t="n">
        <x:f>G29^2-C29</x:f>
        <x:v>0.018398142176715006</x:v>
      </x:c>
      <x:c r="J29" t="n">
        <x:f>B29</x:f>
        <x:v>0.26</x:v>
      </x:c>
      <x:c r="K29" t="n">
        <x:f>H29</x:f>
        <x:v>0.018398142176715006</x:v>
      </x:c>
    </x:row>
    <x:row r="30">
      <x:c r="A30" s="73" t="n">
        <x:v>27</x:v>
      </x:c>
      <x:c r="B30" s="74" t="n">
        <x:f>'Resumen'!$B$5*A30/'Resumen'!$B$6</x:f>
        <x:v>0.27</x:v>
      </x:c>
      <x:c r="C30" s="74" t="n">
        <x:f>B30^3/3</x:f>
        <x:v>0.006561000000000001</x:v>
      </x:c>
      <x:c r="D30" s="74" t="n">
        <x:f>C30-C29</x:f>
        <x:v>0.0007023333333333335</x:v>
      </x:c>
      <x:c r="E30" s="80" t="n">
        <x:v>-0.21755812988758516</x:v>
      </x:c>
      <x:c r="F30" s="84" t="n">
        <x:f>SQRT(D30)*E30</x:f>
        <x:v>-0.005765632504404768</x:v>
      </x:c>
      <x:c r="G30" s="84" t="n">
        <x:f>G29+F30</x:f>
        <x:v>-0.16151160787257174</x:v>
      </x:c>
      <x:c r="H30" s="85" t="n">
        <x:f>G30^2-C30</x:f>
        <x:v>0.019524999477583377</x:v>
      </x:c>
      <x:c r="J30" t="n">
        <x:f>B30</x:f>
        <x:v>0.27</x:v>
      </x:c>
      <x:c r="K30" t="n">
        <x:f>H30</x:f>
        <x:v>0.019524999477583377</x:v>
      </x:c>
    </x:row>
    <x:row r="31">
      <x:c r="A31" s="73" t="n">
        <x:v>28</x:v>
      </x:c>
      <x:c r="B31" s="74" t="n">
        <x:f>'Resumen'!$B$5*A31/'Resumen'!$B$6</x:f>
        <x:v>0.28</x:v>
      </x:c>
      <x:c r="C31" s="74" t="n">
        <x:f>B31^3/3</x:f>
        <x:v>0.007317333333333335</x:v>
      </x:c>
      <x:c r="D31" s="74" t="n">
        <x:f>C31-C30</x:f>
        <x:v>0.0007563333333333346</x:v>
      </x:c>
      <x:c r="E31" s="80" t="n">
        <x:v>-0.3283144328635175</x:v>
      </x:c>
      <x:c r="F31" s="84" t="n">
        <x:f>SQRT(D31)*E31</x:f>
        <x:v>-0.009029144336154144</x:v>
      </x:c>
      <x:c r="G31" s="84" t="n">
        <x:f>G30+F31</x:f>
        <x:v>-0.1705407522087259</x:v>
      </x:c>
      <x:c r="H31" s="85" t="n">
        <x:f>G31^2-C31</x:f>
        <x:v>0.021766814830584708</x:v>
      </x:c>
      <x:c r="J31" t="n">
        <x:f>B31</x:f>
        <x:v>0.28</x:v>
      </x:c>
      <x:c r="K31" t="n">
        <x:f>H31</x:f>
        <x:v>0.021766814830584708</x:v>
      </x:c>
    </x:row>
    <x:row r="32">
      <x:c r="A32" s="73" t="n">
        <x:v>29</x:v>
      </x:c>
      <x:c r="B32" s="74" t="n">
        <x:f>'Resumen'!$B$5*A32/'Resumen'!$B$6</x:f>
        <x:v>0.29</x:v>
      </x:c>
      <x:c r="C32" s="74" t="n">
        <x:f>B32^3/3</x:f>
        <x:v>0.008129666666666665</x:v>
      </x:c>
      <x:c r="D32" s="74" t="n">
        <x:f>C32-C31</x:f>
        <x:v>0.0008123333333333298</x:v>
      </x:c>
      <x:c r="E32" s="80" t="n">
        <x:v>-1.2615159947385268</x:v>
      </x:c>
      <x:c r="F32" s="84" t="n">
        <x:f>SQRT(D32)*E32</x:f>
        <x:v>-0.03595505012437525</x:v>
      </x:c>
      <x:c r="G32" s="84" t="n">
        <x:f>G31+F32</x:f>
        <x:v>-0.20649580233310114</x:v>
      </x:c>
      <x:c r="H32" s="85" t="n">
        <x:f>G32^2-C32</x:f>
        <x:v>0.03451084971452451</x:v>
      </x:c>
      <x:c r="J32" t="n">
        <x:f>B32</x:f>
        <x:v>0.29</x:v>
      </x:c>
      <x:c r="K32" t="n">
        <x:f>H32</x:f>
        <x:v>0.03451084971452451</x:v>
      </x:c>
    </x:row>
    <x:row r="33">
      <x:c r="A33" s="73" t="n">
        <x:v>30</x:v>
      </x:c>
      <x:c r="B33" s="74" t="n">
        <x:f>'Resumen'!$B$5*A33/'Resumen'!$B$6</x:f>
        <x:v>0.3</x:v>
      </x:c>
      <x:c r="C33" s="74" t="n">
        <x:f>B33^3/3</x:f>
        <x:v>0.009</x:v>
      </x:c>
      <x:c r="D33" s="74" t="n">
        <x:f>C33-C32</x:f>
        <x:v>0.0008703333333333341</x:v>
      </x:c>
      <x:c r="E33" s="80" t="n">
        <x:v>-0.6009919065660312</x:v>
      </x:c>
      <x:c r="F33" s="84" t="n">
        <x:f>SQRT(D33)*E33</x:f>
        <x:v>-0.01773011008200276</x:v>
      </x:c>
      <x:c r="G33" s="84" t="n">
        <x:f>G32+F33</x:f>
        <x:v>-0.2242259124151039</x:v>
      </x:c>
      <x:c r="H33" s="85" t="n">
        <x:f>G33^2-C33</x:f>
        <x:v>0.04127725979838584</x:v>
      </x:c>
      <x:c r="J33" t="n">
        <x:f>B33</x:f>
        <x:v>0.3</x:v>
      </x:c>
      <x:c r="K33" t="n">
        <x:f>H33</x:f>
        <x:v>0.04127725979838584</x:v>
      </x:c>
    </x:row>
    <x:row r="34">
      <x:c r="A34" s="73" t="n">
        <x:v>31</x:v>
      </x:c>
      <x:c r="B34" s="74" t="n">
        <x:f>'Resumen'!$B$5*A34/'Resumen'!$B$6</x:f>
        <x:v>0.31</x:v>
      </x:c>
      <x:c r="C34" s="74" t="n">
        <x:f>B34^3/3</x:f>
        <x:v>0.009930333333333333</x:v>
      </x:c>
      <x:c r="D34" s="74" t="n">
        <x:f>C34-C33</x:f>
        <x:v>0.0009303333333333334</x:v>
      </x:c>
      <x:c r="E34" s="80" t="n">
        <x:v>-0.7559903599818392</x:v>
      </x:c>
      <x:c r="F34" s="84" t="n">
        <x:f>SQRT(D34)*E34</x:f>
        <x:v>-0.023058738730033557</x:v>
      </x:c>
      <x:c r="G34" s="84" t="n">
        <x:f>G33+F34</x:f>
        <x:v>-0.24728465114513745</x:v>
      </x:c>
      <x:c r="H34" s="85" t="n">
        <x:f>G34^2-C34</x:f>
        <x:v>0.051219365358638996</x:v>
      </x:c>
      <x:c r="J34" t="n">
        <x:f>B34</x:f>
        <x:v>0.31</x:v>
      </x:c>
      <x:c r="K34" t="n">
        <x:f>H34</x:f>
        <x:v>0.051219365358638996</x:v>
      </x:c>
    </x:row>
    <x:row r="35">
      <x:c r="A35" s="73" t="n">
        <x:v>32</x:v>
      </x:c>
      <x:c r="B35" s="74" t="n">
        <x:f>'Resumen'!$B$5*A35/'Resumen'!$B$6</x:f>
        <x:v>0.32</x:v>
      </x:c>
      <x:c r="C35" s="74" t="n">
        <x:f>B35^3/3</x:f>
        <x:v>0.010922666666666669</x:v>
      </x:c>
      <x:c r="D35" s="74" t="n">
        <x:f>C35-C34</x:f>
        <x:v>0.0009923333333333364</x:v>
      </x:c>
      <x:c r="E35" s="80" t="n">
        <x:v>-1.24545569662464</x:v>
      </x:c>
      <x:c r="F35" s="84" t="n">
        <x:f>SQRT(D35)*E35</x:f>
        <x:v>-0.03923350183725832</x:v>
      </x:c>
      <x:c r="G35" s="84" t="n">
        <x:f>G34+F35</x:f>
        <x:v>-0.2865181529823958</x:v>
      </x:c>
      <x:c r="H35" s="85" t="n">
        <x:f>G35^2-C35</x:f>
        <x:v>0.0711699853217769</x:v>
      </x:c>
      <x:c r="J35" t="n">
        <x:f>B35</x:f>
        <x:v>0.32</x:v>
      </x:c>
      <x:c r="K35" t="n">
        <x:f>H35</x:f>
        <x:v>0.0711699853217769</x:v>
      </x:c>
    </x:row>
    <x:row r="36">
      <x:c r="A36" s="73" t="n">
        <x:v>33</x:v>
      </x:c>
      <x:c r="B36" s="74" t="n">
        <x:f>'Resumen'!$B$5*A36/'Resumen'!$B$6</x:f>
        <x:v>0.33</x:v>
      </x:c>
      <x:c r="C36" s="74" t="n">
        <x:f>B36^3/3</x:f>
        <x:v>0.011979000000000002</x:v>
      </x:c>
      <x:c r="D36" s="74" t="n">
        <x:f>C36-C35</x:f>
        <x:v>0.0010563333333333327</x:v>
      </x:c>
      <x:c r="E36" s="80" t="n">
        <x:v>-1.017818183195128</x:v>
      </x:c>
      <x:c r="F36" s="84" t="n">
        <x:f>SQRT(D36)*E36</x:f>
        <x:v>-0.033080395823211754</x:v>
      </x:c>
      <x:c r="G36" s="84" t="n">
        <x:f>G35+F36</x:f>
        <x:v>-0.31959854880560756</x:v>
      </x:c>
      <x:c r="H36" s="85" t="n">
        <x:f>G36^2-C36</x:f>
        <x:v>0.09016423239865032</x:v>
      </x:c>
      <x:c r="J36" t="n">
        <x:f>B36</x:f>
        <x:v>0.33</x:v>
      </x:c>
      <x:c r="K36" t="n">
        <x:f>H36</x:f>
        <x:v>0.09016423239865032</x:v>
      </x:c>
    </x:row>
    <x:row r="37">
      <x:c r="A37" s="73" t="n">
        <x:v>34</x:v>
      </x:c>
      <x:c r="B37" s="74" t="n">
        <x:f>'Resumen'!$B$5*A37/'Resumen'!$B$6</x:f>
        <x:v>0.34</x:v>
      </x:c>
      <x:c r="C37" s="74" t="n">
        <x:f>B37^3/3</x:f>
        <x:v>0.013101333333333335</x:v>
      </x:c>
      <x:c r="D37" s="74" t="n">
        <x:f>C37-C36</x:f>
        <x:v>0.0011223333333333328</x:v>
      </x:c>
      <x:c r="E37" s="80" t="n">
        <x:v>-1.1613101488051116</x:v>
      </x:c>
      <x:c r="F37" s="84" t="n">
        <x:f>SQRT(D37)*E37</x:f>
        <x:v>-0.038905334373766205</x:v>
      </x:c>
      <x:c r="G37" s="84" t="n">
        <x:f>G36+F37</x:f>
        <x:v>-0.35850388317937376</x:v>
      </x:c>
      <x:c r="H37" s="85" t="n">
        <x:f>G37^2-C37</x:f>
        <x:v>0.11542370092135672</x:v>
      </x:c>
      <x:c r="J37" t="n">
        <x:f>B37</x:f>
        <x:v>0.34</x:v>
      </x:c>
      <x:c r="K37" t="n">
        <x:f>H37</x:f>
        <x:v>0.11542370092135672</x:v>
      </x:c>
    </x:row>
    <x:row r="38">
      <x:c r="A38" s="73" t="n">
        <x:v>35</x:v>
      </x:c>
      <x:c r="B38" s="74" t="n">
        <x:f>'Resumen'!$B$5*A38/'Resumen'!$B$6</x:f>
        <x:v>0.35</x:v>
      </x:c>
      <x:c r="C38" s="74" t="n">
        <x:f>B38^3/3</x:f>
        <x:v>0.014291666666666663</x:v>
      </x:c>
      <x:c r="D38" s="74" t="n">
        <x:f>C38-C37</x:f>
        <x:v>0.001190333333333328</x:v>
      </x:c>
      <x:c r="E38" s="80" t="n">
        <x:v>-0.9122727766696747</x:v>
      </x:c>
      <x:c r="F38" s="84" t="n">
        <x:f>SQRT(D38)*E38</x:f>
        <x:v>-0.03147451255453537</x:v>
      </x:c>
      <x:c r="G38" s="84" t="n">
        <x:f>G37+F38</x:f>
        <x:v>-0.38997839573390913</x:v>
      </x:c>
      <x:c r="H38" s="85" t="n">
        <x:f>G38^2-C38</x:f>
        <x:v>0.13779148247252676</x:v>
      </x:c>
      <x:c r="J38" t="n">
        <x:f>B38</x:f>
        <x:v>0.35</x:v>
      </x:c>
      <x:c r="K38" t="n">
        <x:f>H38</x:f>
        <x:v>0.13779148247252676</x:v>
      </x:c>
    </x:row>
    <x:row r="39">
      <x:c r="A39" s="73" t="n">
        <x:v>36</x:v>
      </x:c>
      <x:c r="B39" s="74" t="n">
        <x:f>'Resumen'!$B$5*A39/'Resumen'!$B$6</x:f>
        <x:v>0.36</x:v>
      </x:c>
      <x:c r="C39" s="74" t="n">
        <x:f>B39^3/3</x:f>
        <x:v>0.015551999999999998</x:v>
      </x:c>
      <x:c r="D39" s="74" t="n">
        <x:f>C39-C38</x:f>
        <x:v>0.0012603333333333355</x:v>
      </x:c>
      <x:c r="E39" s="80" t="n">
        <x:v>-0.3074626929511786</x:v>
      </x:c>
      <x:c r="F39" s="84" t="n">
        <x:f>SQRT(D39)*E39</x:f>
        <x:v>-0.010915286465506779</x:v>
      </x:c>
      <x:c r="G39" s="84" t="n">
        <x:f>G38+F39</x:f>
        <x:v>-0.4008936821994159</x:v>
      </x:c>
      <x:c r="H39" s="85" t="n">
        <x:f>G39^2-C39</x:f>
        <x:v>0.14516374442740626</x:v>
      </x:c>
      <x:c r="J39" t="n">
        <x:f>B39</x:f>
        <x:v>0.36</x:v>
      </x:c>
      <x:c r="K39" t="n">
        <x:f>H39</x:f>
        <x:v>0.14516374442740626</x:v>
      </x:c>
    </x:row>
    <x:row r="40">
      <x:c r="A40" s="73" t="n">
        <x:v>37</x:v>
      </x:c>
      <x:c r="B40" s="74" t="n">
        <x:f>'Resumen'!$B$5*A40/'Resumen'!$B$6</x:f>
        <x:v>0.37</x:v>
      </x:c>
      <x:c r="C40" s="74" t="n">
        <x:f>B40^3/3</x:f>
        <x:v>0.01688433333333333</x:v>
      </x:c>
      <x:c r="D40" s="74" t="n">
        <x:f>C40-C39</x:f>
        <x:v>0.001332333333333333</x:v>
      </x:c>
      <x:c r="E40" s="80" t="n">
        <x:v>0.5981906027072177</x:v>
      </x:c>
      <x:c r="F40" s="84" t="n">
        <x:f>SQRT(D40)*E40</x:f>
        <x:v>0.021834639854120146</x:v>
      </x:c>
      <x:c r="G40" s="84" t="n">
        <x:f>G39+F40</x:f>
        <x:v>-0.37905904234529575</x:v>
      </x:c>
      <x:c r="H40" s="85" t="n">
        <x:f>G40^2-C40</x:f>
        <x:v>0.1268014242503994</x:v>
      </x:c>
      <x:c r="J40" t="n">
        <x:f>B40</x:f>
        <x:v>0.37</x:v>
      </x:c>
      <x:c r="K40" t="n">
        <x:f>H40</x:f>
        <x:v>0.1268014242503994</x:v>
      </x:c>
    </x:row>
    <x:row r="41">
      <x:c r="A41" s="73" t="n">
        <x:v>38</x:v>
      </x:c>
      <x:c r="B41" s="74" t="n">
        <x:f>'Resumen'!$B$5*A41/'Resumen'!$B$6</x:f>
        <x:v>0.38</x:v>
      </x:c>
      <x:c r="C41" s="74" t="n">
        <x:f>B41^3/3</x:f>
        <x:v>0.018290666666666667</x:v>
      </x:c>
      <x:c r="D41" s="74" t="n">
        <x:f>C41-C40</x:f>
        <x:v>0.0014063333333333358</x:v>
      </x:c>
      <x:c r="E41" s="80" t="n">
        <x:v>-1.5978084599285551</x:v>
      </x:c>
      <x:c r="F41" s="84" t="n">
        <x:f>SQRT(D41)*E41</x:f>
        <x:v>-0.05991959256375353</x:v>
      </x:c>
      <x:c r="G41" s="84" t="n">
        <x:f>G40+F41</x:f>
        <x:v>-0.43897863490904926</x:v>
      </x:c>
      <x:c r="H41" s="85" t="n">
        <x:f>G41^2-C41</x:f>
        <x:v>0.1744115752399457</x:v>
      </x:c>
      <x:c r="J41" t="n">
        <x:f>B41</x:f>
        <x:v>0.38</x:v>
      </x:c>
      <x:c r="K41" t="n">
        <x:f>H41</x:f>
        <x:v>0.1744115752399457</x:v>
      </x:c>
    </x:row>
    <x:row r="42">
      <x:c r="A42" s="73" t="n">
        <x:v>39</x:v>
      </x:c>
      <x:c r="B42" s="74" t="n">
        <x:f>'Resumen'!$B$5*A42/'Resumen'!$B$6</x:f>
        <x:v>0.39</x:v>
      </x:c>
      <x:c r="C42" s="74" t="n">
        <x:f>B42^3/3</x:f>
        <x:v>0.019773000000000002</x:v>
      </x:c>
      <x:c r="D42" s="74" t="n">
        <x:f>C42-C41</x:f>
        <x:v>0.0014823333333333355</x:v>
      </x:c>
      <x:c r="E42" s="80" t="n">
        <x:v>-0.8339452953560933</x:v>
      </x:c>
      <x:c r="F42" s="84" t="n">
        <x:f>SQRT(D42)*E42</x:f>
        <x:v>-0.032107796396723044</x:v>
      </x:c>
      <x:c r="G42" s="84" t="n">
        <x:f>G41+F42</x:f>
        <x:v>-0.4710864313057723</x:v>
      </x:c>
      <x:c r="H42" s="85" t="n">
        <x:f>G42^2-C42</x:f>
        <x:v>0.20214942576040815</x:v>
      </x:c>
      <x:c r="J42" t="n">
        <x:f>B42</x:f>
        <x:v>0.39</x:v>
      </x:c>
      <x:c r="K42" t="n">
        <x:f>H42</x:f>
        <x:v>0.20214942576040815</x:v>
      </x:c>
    </x:row>
    <x:row r="43">
      <x:c r="A43" s="73" t="n">
        <x:v>40</x:v>
      </x:c>
      <x:c r="B43" s="74" t="n">
        <x:f>'Resumen'!$B$5*A43/'Resumen'!$B$6</x:f>
        <x:v>0.4</x:v>
      </x:c>
      <x:c r="C43" s="74" t="n">
        <x:f>B43^3/3</x:f>
        <x:v>0.02133333333333334</x:v>
      </x:c>
      <x:c r="D43" s="74" t="n">
        <x:f>C43-C42</x:f>
        <x:v>0.0015603333333333372</x:v>
      </x:c>
      <x:c r="E43" s="80" t="n">
        <x:v>0.5886338486010837</x:v>
      </x:c>
      <x:c r="F43" s="84" t="n">
        <x:f>SQRT(D43)*E43</x:f>
        <x:v>0.023251657933233385</x:v>
      </x:c>
      <x:c r="G43" s="84" t="n">
        <x:f>G42+F43</x:f>
        <x:v>-0.44783477337253896</x:v>
      </x:c>
      <x:c r="H43" s="85" t="n">
        <x:f>G43^2-C43</x:f>
        <x:v>0.1792226509083</x:v>
      </x:c>
      <x:c r="J43" t="n">
        <x:f>B43</x:f>
        <x:v>0.4</x:v>
      </x:c>
      <x:c r="K43" t="n">
        <x:f>H43</x:f>
        <x:v>0.1792226509083</x:v>
      </x:c>
    </x:row>
    <x:row r="44">
      <x:c r="A44" s="73" t="n">
        <x:v>41</x:v>
      </x:c>
      <x:c r="B44" s="74" t="n">
        <x:f>'Resumen'!$B$5*A44/'Resumen'!$B$6</x:f>
        <x:v>0.41</x:v>
      </x:c>
      <x:c r="C44" s="74" t="n">
        <x:f>B44^3/3</x:f>
        <x:v>0.02297366666666666</x:v>
      </x:c>
      <x:c r="D44" s="74" t="n">
        <x:f>C44-C43</x:f>
        <x:v>0.00164033333333332</x:v>
      </x:c>
      <x:c r="E44" s="80" t="n">
        <x:v>-0.6334768070742595</x:v>
      </x:c>
      <x:c r="F44" s="84" t="n">
        <x:f>SQRT(D44)*E44</x:f>
        <x:v>-0.025656462403340005</x:v>
      </x:c>
      <x:c r="G44" s="84" t="n">
        <x:f>G43+F44</x:f>
        <x:v>-0.473491235775879</x:v>
      </x:c>
      <x:c r="H44" s="85" t="n">
        <x:f>G44^2-C44</x:f>
        <x:v>0.20122028368990236</x:v>
      </x:c>
      <x:c r="J44" t="n">
        <x:f>B44</x:f>
        <x:v>0.41</x:v>
      </x:c>
      <x:c r="K44" t="n">
        <x:f>H44</x:f>
        <x:v>0.20122028368990236</x:v>
      </x:c>
    </x:row>
    <x:row r="45">
      <x:c r="A45" s="73" t="n">
        <x:v>42</x:v>
      </x:c>
      <x:c r="B45" s="74" t="n">
        <x:f>'Resumen'!$B$5*A45/'Resumen'!$B$6</x:f>
        <x:v>0.42</x:v>
      </x:c>
      <x:c r="C45" s="74" t="n">
        <x:f>B45^3/3</x:f>
        <x:v>0.024695999999999996</x:v>
      </x:c>
      <x:c r="D45" s="74" t="n">
        <x:f>C45-C44</x:f>
        <x:v>0.0017223333333333361</x:v>
      </x:c>
      <x:c r="E45" s="80" t="n">
        <x:v>-0.5353921406285491</x:v>
      </x:c>
      <x:c r="F45" s="84" t="n">
        <x:f>SQRT(D45)*E45</x:f>
        <x:v>-0.022219311371892408</x:v>
      </x:c>
      <x:c r="G45" s="84" t="n">
        <x:f>G44+F45</x:f>
        <x:v>-0.4957105471477714</x:v>
      </x:c>
      <x:c r="H45" s="85" t="n">
        <x:f>G45^2-C45</x:f>
        <x:v>0.2210329465535429</x:v>
      </x:c>
      <x:c r="J45" t="n">
        <x:f>B45</x:f>
        <x:v>0.42</x:v>
      </x:c>
      <x:c r="K45" t="n">
        <x:f>H45</x:f>
        <x:v>0.2210329465535429</x:v>
      </x:c>
    </x:row>
    <x:row r="46">
      <x:c r="A46" s="73" t="n">
        <x:v>43</x:v>
      </x:c>
      <x:c r="B46" s="74" t="n">
        <x:f>'Resumen'!$B$5*A46/'Resumen'!$B$6</x:f>
        <x:v>0.43</x:v>
      </x:c>
      <x:c r="C46" s="74" t="n">
        <x:f>B46^3/3</x:f>
        <x:v>0.026502333333333333</x:v>
      </x:c>
      <x:c r="D46" s="74" t="n">
        <x:f>C46-C45</x:f>
        <x:v>0.0018063333333333369</x:v>
      </x:c>
      <x:c r="E46" s="80" t="n">
        <x:v>-0.6400309680683048</x:v>
      </x:c>
      <x:c r="F46" s="84" t="n">
        <x:f>SQRT(D46)*E46</x:f>
        <x:v>-0.027201943617007007</x:v>
      </x:c>
      <x:c r="G46" s="84" t="n">
        <x:f>G45+F46</x:f>
        <x:v>-0.5229124907647784</x:v>
      </x:c>
      <x:c r="H46" s="85" t="n">
        <x:f>G46^2-C46</x:f>
        <x:v>0.24693513966449113</x:v>
      </x:c>
      <x:c r="J46" t="n">
        <x:f>B46</x:f>
        <x:v>0.43</x:v>
      </x:c>
      <x:c r="K46" t="n">
        <x:f>H46</x:f>
        <x:v>0.24693513966449113</x:v>
      </x:c>
    </x:row>
    <x:row r="47">
      <x:c r="A47" s="73" t="n">
        <x:v>44</x:v>
      </x:c>
      <x:c r="B47" s="74" t="n">
        <x:f>'Resumen'!$B$5*A47/'Resumen'!$B$6</x:f>
        <x:v>0.44</x:v>
      </x:c>
      <x:c r="C47" s="74" t="n">
        <x:f>B47^3/3</x:f>
        <x:v>0.028394666666666665</x:v>
      </x:c>
      <x:c r="D47" s="74" t="n">
        <x:f>C47-C46</x:f>
        <x:v>0.0018923333333333327</x:v>
      </x:c>
      <x:c r="E47" s="80" t="n">
        <x:v>-0.8298643761350533</x:v>
      </x:c>
      <x:c r="F47" s="84" t="n">
        <x:f>SQRT(D47)*E47</x:f>
        <x:v>-0.03609989524237259</x:v>
      </x:c>
      <x:c r="G47" s="84" t="n">
        <x:f>G46+F47</x:f>
        <x:v>-0.559012386007151</x:v>
      </x:c>
      <x:c r="H47" s="85" t="n">
        <x:f>G47^2-C47</x:f>
        <x:v>0.28410018104274126</x:v>
      </x:c>
      <x:c r="J47" t="n">
        <x:f>B47</x:f>
        <x:v>0.44</x:v>
      </x:c>
      <x:c r="K47" t="n">
        <x:f>H47</x:f>
        <x:v>0.28410018104274126</x:v>
      </x:c>
    </x:row>
    <x:row r="48">
      <x:c r="A48" s="73" t="n">
        <x:v>45</x:v>
      </x:c>
      <x:c r="B48" s="74" t="n">
        <x:f>'Resumen'!$B$5*A48/'Resumen'!$B$6</x:f>
        <x:v>0.45</x:v>
      </x:c>
      <x:c r="C48" s="74" t="n">
        <x:f>B48^3/3</x:f>
        <x:v>0.030375000000000003</x:v>
      </x:c>
      <x:c r="D48" s="74" t="n">
        <x:f>C48-C47</x:f>
        <x:v>0.0019803333333333374</x:v>
      </x:c>
      <x:c r="E48" s="80" t="n">
        <x:v>0.8181012126860314</x:v>
      </x:c>
      <x:c r="F48" s="84" t="n">
        <x:f>SQRT(D48)*E48</x:f>
        <x:v>0.03640626996884116</x:v>
      </x:c>
      <x:c r="G48" s="84" t="n">
        <x:f>G47+F48</x:f>
        <x:v>-0.5226061160383099</x:v>
      </x:c>
      <x:c r="H48" s="85" t="n">
        <x:f>G48^2-C48</x:f>
        <x:v>0.24274215252064738</x:v>
      </x:c>
      <x:c r="J48" t="n">
        <x:f>B48</x:f>
        <x:v>0.45</x:v>
      </x:c>
      <x:c r="K48" t="n">
        <x:f>H48</x:f>
        <x:v>0.24274215252064738</x:v>
      </x:c>
    </x:row>
    <x:row r="49">
      <x:c r="A49" s="73" t="n">
        <x:v>46</x:v>
      </x:c>
      <x:c r="B49" s="74" t="n">
        <x:f>'Resumen'!$B$5*A49/'Resumen'!$B$6</x:f>
        <x:v>0.46</x:v>
      </x:c>
      <x:c r="C49" s="74" t="n">
        <x:f>B49^3/3</x:f>
        <x:v>0.03244533333333333</x:v>
      </x:c>
      <x:c r="D49" s="74" t="n">
        <x:f>C49-C48</x:f>
        <x:v>0.0020703333333333303</x:v>
      </x:c>
      <x:c r="E49" s="80" t="n">
        <x:v>-0.48181019205899667</x:v>
      </x:c>
      <x:c r="F49" s="84" t="n">
        <x:f>SQRT(D49)*E49</x:f>
        <x:v>-0.021922804952368955</x:v>
      </x:c>
      <x:c r="G49" s="84" t="n">
        <x:f>G48+F49</x:f>
        <x:v>-0.5445289209906788</x:v>
      </x:c>
      <x:c r="H49" s="85" t="n">
        <x:f>G49^2-C49</x:f>
        <x:v>0.2640664124619396</x:v>
      </x:c>
      <x:c r="J49" t="n">
        <x:f>B49</x:f>
        <x:v>0.46</x:v>
      </x:c>
      <x:c r="K49" t="n">
        <x:f>H49</x:f>
        <x:v>0.2640664124619396</x:v>
      </x:c>
    </x:row>
    <x:row r="50">
      <x:c r="A50" s="73" t="n">
        <x:v>47</x:v>
      </x:c>
      <x:c r="B50" s="74" t="n">
        <x:f>'Resumen'!$B$5*A50/'Resumen'!$B$6</x:f>
        <x:v>0.47</x:v>
      </x:c>
      <x:c r="C50" s="74" t="n">
        <x:f>B50^3/3</x:f>
        <x:v>0.03460766666666666</x:v>
      </x:c>
      <x:c r="D50" s="74" t="n">
        <x:f>C50-C49</x:f>
        <x:v>0.0021623333333333286</x:v>
      </x:c>
      <x:c r="E50" s="80" t="n">
        <x:v>-0.361382269074106</x:v>
      </x:c>
      <x:c r="F50" s="84" t="n">
        <x:f>SQRT(D50)*E50</x:f>
        <x:v>-0.016804599328063483</x:v>
      </x:c>
      <x:c r="G50" s="84" t="n">
        <x:f>G49+F50</x:f>
        <x:v>-0.5613335203187423</x:v>
      </x:c>
      <x:c r="H50" s="85" t="n">
        <x:f>G50^2-C50</x:f>
        <x:v>0.2804876543667652</x:v>
      </x:c>
      <x:c r="J50" t="n">
        <x:f>B50</x:f>
        <x:v>0.47</x:v>
      </x:c>
      <x:c r="K50" t="n">
        <x:f>H50</x:f>
        <x:v>0.2804876543667652</x:v>
      </x:c>
    </x:row>
    <x:row r="51">
      <x:c r="A51" s="73" t="n">
        <x:v>48</x:v>
      </x:c>
      <x:c r="B51" s="74" t="n">
        <x:f>'Resumen'!$B$5*A51/'Resumen'!$B$6</x:f>
        <x:v>0.48</x:v>
      </x:c>
      <x:c r="C51" s="74" t="n">
        <x:f>B51^3/3</x:f>
        <x:v>0.036863999999999994</x:v>
      </x:c>
      <x:c r="D51" s="74" t="n">
        <x:f>C51-C50</x:f>
        <x:v>0.0022563333333333324</x:v>
      </x:c>
      <x:c r="E51" s="80" t="n">
        <x:v>0.04093987330027266</x:v>
      </x:c>
      <x:c r="F51" s="84" t="n">
        <x:f>SQRT(D51)*E51</x:f>
        <x:v>0.00194467989360092</x:v>
      </x:c>
      <x:c r="G51" s="84" t="n">
        <x:f>G50+F51</x:f>
        <x:v>-0.5593888404251414</x:v>
      </x:c>
      <x:c r="H51" s="85" t="n">
        <x:f>G51^2-C51</x:f>
        <x:v>0.27605187479218424</x:v>
      </x:c>
      <x:c r="J51" t="n">
        <x:f>B51</x:f>
        <x:v>0.48</x:v>
      </x:c>
      <x:c r="K51" t="n">
        <x:f>H51</x:f>
        <x:v>0.27605187479218424</x:v>
      </x:c>
    </x:row>
    <x:row r="52">
      <x:c r="A52" s="73" t="n">
        <x:v>49</x:v>
      </x:c>
      <x:c r="B52" s="74" t="n">
        <x:f>'Resumen'!$B$5*A52/'Resumen'!$B$6</x:f>
        <x:v>0.49</x:v>
      </x:c>
      <x:c r="C52" s="74" t="n">
        <x:f>B52^3/3</x:f>
        <x:v>0.03921633333333333</x:v>
      </x:c>
      <x:c r="D52" s="74" t="n">
        <x:f>C52-C51</x:f>
        <x:v>0.002352333333333338</x:v>
      </x:c>
      <x:c r="E52" s="80" t="n">
        <x:v>-1.8547942234483177</x:v>
      </x:c>
      <x:c r="F52" s="84" t="n">
        <x:f>SQRT(D52)*E52</x:f>
        <x:v>-0.0899591132889585</x:v>
      </x:c>
      <x:c r="G52" s="84" t="n">
        <x:f>G51+F52</x:f>
        <x:v>-0.6493479537140998</x:v>
      </x:c>
      <x:c r="H52" s="85" t="n">
        <x:f>G52^2-C52</x:f>
        <x:v>0.38243643165935537</x:v>
      </x:c>
      <x:c r="J52" t="n">
        <x:f>B52</x:f>
        <x:v>0.49</x:v>
      </x:c>
      <x:c r="K52" t="n">
        <x:f>H52</x:f>
        <x:v>0.38243643165935537</x:v>
      </x:c>
    </x:row>
    <x:row r="53">
      <x:c r="A53" s="73" t="n">
        <x:v>50</x:v>
      </x:c>
      <x:c r="B53" s="74" t="n">
        <x:f>'Resumen'!$B$5*A53/'Resumen'!$B$6</x:f>
        <x:v>0.5</x:v>
      </x:c>
      <x:c r="C53" s="74" t="n">
        <x:f>B53^3/3</x:f>
        <x:v>0.041666666666666664</x:v>
      </x:c>
      <x:c r="D53" s="74" t="n">
        <x:f>C53-C52</x:f>
        <x:v>0.002450333333333332</x:v>
      </x:c>
      <x:c r="E53" s="80" t="n">
        <x:v>-0.37218542734919197</x:v>
      </x:c>
      <x:c r="F53" s="84" t="n">
        <x:f>SQRT(D53)*E53</x:f>
        <x:v>-0.018423491938518066</x:v>
      </x:c>
      <x:c r="G53" s="84" t="n">
        <x:f>G52+F53</x:f>
        <x:v>-0.6677714456526179</x:v>
      </x:c>
      <x:c r="H53" s="85" t="n">
        <x:f>G53^2-C53</x:f>
        <x:v>0.4042520369623206</x:v>
      </x:c>
      <x:c r="J53" t="n">
        <x:f>B53</x:f>
        <x:v>0.5</x:v>
      </x:c>
      <x:c r="K53" t="n">
        <x:f>H53</x:f>
        <x:v>0.4042520369623206</x:v>
      </x:c>
    </x:row>
    <x:row r="54">
      <x:c r="A54" s="73" t="n">
        <x:v>51</x:v>
      </x:c>
      <x:c r="B54" s="74" t="n">
        <x:f>'Resumen'!$B$5*A54/'Resumen'!$B$6</x:f>
        <x:v>0.51</x:v>
      </x:c>
      <x:c r="C54" s="74" t="n">
        <x:f>B54^3/3</x:f>
        <x:v>0.044217000000000006</x:v>
      </x:c>
      <x:c r="D54" s="74" t="n">
        <x:f>C54-C53</x:f>
        <x:v>0.002550333333333342</x:v>
      </x:c>
      <x:c r="E54" s="80" t="n">
        <x:v>-0.461508580401661</x:v>
      </x:c>
      <x:c r="F54" s="84" t="n">
        <x:f>SQRT(D54)*E54</x:f>
        <x:v>-0.023306564089830402</x:v>
      </x:c>
      <x:c r="G54" s="84" t="n">
        <x:f>G53+F54</x:f>
        <x:v>-0.6910780097424484</x:v>
      </x:c>
      <x:c r="H54" s="85" t="n">
        <x:f>G54^2-C54</x:f>
        <x:v>0.43337181554958354</x:v>
      </x:c>
      <x:c r="J54" t="n">
        <x:f>B54</x:f>
        <x:v>0.51</x:v>
      </x:c>
      <x:c r="K54" t="n">
        <x:f>H54</x:f>
        <x:v>0.43337181554958354</x:v>
      </x:c>
    </x:row>
    <x:row r="55">
      <x:c r="A55" s="73" t="n">
        <x:v>52</x:v>
      </x:c>
      <x:c r="B55" s="74" t="n">
        <x:f>'Resumen'!$B$5*A55/'Resumen'!$B$6</x:f>
        <x:v>0.52</x:v>
      </x:c>
      <x:c r="C55" s="74" t="n">
        <x:f>B55^3/3</x:f>
        <x:v>0.04686933333333334</x:v>
      </x:c>
      <x:c r="D55" s="74" t="n">
        <x:f>C55-C54</x:f>
        <x:v>0.002652333333333333</x:v>
      </x:c>
      <x:c r="E55" s="80" t="n">
        <x:v>-1.2868327090805303</x:v>
      </x:c>
      <x:c r="F55" s="84" t="n">
        <x:f>SQRT(D55)*E55</x:f>
        <x:v>-0.0662729256362567</x:v>
      </x:c>
      <x:c r="G55" s="84" t="n">
        <x:f>G54+F55</x:f>
        <x:v>-0.7573509353787051</x:v>
      </x:c>
      <x:c r="H55" s="85" t="n">
        <x:f>G55^2-C55</x:f>
        <x:v>0.5267111059856663</x:v>
      </x:c>
      <x:c r="J55" t="n">
        <x:f>B55</x:f>
        <x:v>0.52</x:v>
      </x:c>
      <x:c r="K55" t="n">
        <x:f>H55</x:f>
        <x:v>0.5267111059856663</x:v>
      </x:c>
    </x:row>
    <x:row r="56">
      <x:c r="A56" s="73" t="n">
        <x:v>53</x:v>
      </x:c>
      <x:c r="B56" s="74" t="n">
        <x:f>'Resumen'!$B$5*A56/'Resumen'!$B$6</x:f>
        <x:v>0.53</x:v>
      </x:c>
      <x:c r="C56" s="74" t="n">
        <x:f>B56^3/3</x:f>
        <x:v>0.04962566666666667</x:v>
      </x:c>
      <x:c r="D56" s="74" t="n">
        <x:f>C56-C55</x:f>
        <x:v>0.002756333333333333</x:v>
      </x:c>
      <x:c r="E56" s="80" t="n">
        <x:v>0.30704357011323263</x:v>
      </x:c>
      <x:c r="F56" s="84" t="n">
        <x:f>SQRT(D56)*E56</x:f>
        <x:v>0.016120031114475932</x:v>
      </x:c>
      <x:c r="G56" s="84" t="n">
        <x:f>G55+F56</x:f>
        <x:v>-0.7412309042642292</x:v>
      </x:c>
      <x:c r="H56" s="85" t="n">
        <x:f>G56^2-C56</x:f>
        <x:v>0.4997975867697002</x:v>
      </x:c>
      <x:c r="J56" t="n">
        <x:f>B56</x:f>
        <x:v>0.53</x:v>
      </x:c>
      <x:c r="K56" t="n">
        <x:f>H56</x:f>
        <x:v>0.4997975867697002</x:v>
      </x:c>
    </x:row>
    <x:row r="57">
      <x:c r="A57" s="73" t="n">
        <x:v>54</x:v>
      </x:c>
      <x:c r="B57" s="74" t="n">
        <x:f>'Resumen'!$B$5*A57/'Resumen'!$B$6</x:f>
        <x:v>0.54</x:v>
      </x:c>
      <x:c r="C57" s="74" t="n">
        <x:f>B57^3/3</x:f>
        <x:v>0.05248800000000001</x:v>
      </x:c>
      <x:c r="D57" s="74" t="n">
        <x:f>C57-C56</x:f>
        <x:v>0.002862333333333335</x:v>
      </x:c>
      <x:c r="E57" s="80" t="n">
        <x:v>-0.4264364218804948</x:v>
      </x:c>
      <x:c r="F57" s="84" t="n">
        <x:f>SQRT(D57)*E57</x:f>
        <x:v>-0.022814680683782524</x:v>
      </x:c>
      <x:c r="G57" s="84" t="n">
        <x:f>G56+F57</x:f>
        <x:v>-0.7640455849480118</x:v>
      </x:c>
      <x:c r="H57" s="85" t="n">
        <x:f>G57^2-C57</x:f>
        <x:v>0.5312776558785495</x:v>
      </x:c>
      <x:c r="J57" t="n">
        <x:f>B57</x:f>
        <x:v>0.54</x:v>
      </x:c>
      <x:c r="K57" t="n">
        <x:f>H57</x:f>
        <x:v>0.5312776558785495</x:v>
      </x:c>
    </x:row>
    <x:row r="58">
      <x:c r="A58" s="73" t="n">
        <x:v>55</x:v>
      </x:c>
      <x:c r="B58" s="74" t="n">
        <x:f>'Resumen'!$B$5*A58/'Resumen'!$B$6</x:f>
        <x:v>0.55</x:v>
      </x:c>
      <x:c r="C58" s="74" t="n">
        <x:f>B58^3/3</x:f>
        <x:v>0.05545833333333335</x:v>
      </x:c>
      <x:c r="D58" s="74" t="n">
        <x:f>C58-C57</x:f>
        <x:v>0.0029703333333333456</x:v>
      </x:c>
      <x:c r="E58" s="80" t="n">
        <x:v>-1.1687706551771289</x:v>
      </x:c>
      <x:c r="F58" s="84" t="n">
        <x:f>SQRT(D58)*E58</x:f>
        <x:v>-0.06369889425643312</x:v>
      </x:c>
      <x:c r="G58" s="84" t="n">
        <x:f>G57+F58</x:f>
        <x:v>-0.8277444792044449</x:v>
      </x:c>
      <x:c r="H58" s="85" t="n">
        <x:f>G58^2-C58</x:f>
        <x:v>0.6297025895201044</x:v>
      </x:c>
      <x:c r="J58" t="n">
        <x:f>B58</x:f>
        <x:v>0.55</x:v>
      </x:c>
      <x:c r="K58" t="n">
        <x:f>H58</x:f>
        <x:v>0.6297025895201044</x:v>
      </x:c>
    </x:row>
    <x:row r="59">
      <x:c r="A59" s="73" t="n">
        <x:v>56</x:v>
      </x:c>
      <x:c r="B59" s="74" t="n">
        <x:f>'Resumen'!$B$5*A59/'Resumen'!$B$6</x:f>
        <x:v>0.56</x:v>
      </x:c>
      <x:c r="C59" s="74" t="n">
        <x:f>B59^3/3</x:f>
        <x:v>0.05853866666666668</x:v>
      </x:c>
      <x:c r="D59" s="74" t="n">
        <x:f>C59-C58</x:f>
        <x:v>0.0030803333333333308</x:v>
      </x:c>
      <x:c r="E59" s="80" t="n">
        <x:v>0.4762229551911834</x:v>
      </x:c>
      <x:c r="F59" s="84" t="n">
        <x:f>SQRT(D59)*E59</x:f>
        <x:v>0.02643073153543371</x:v>
      </x:c>
      <x:c r="G59" s="84" t="n">
        <x:f>G58+F59</x:f>
        <x:v>-0.8013137476690112</x:v>
      </x:c>
      <x:c r="H59" s="85" t="n">
        <x:f>G59^2-C59</x:f>
        <x:v>0.5835650555366891</x:v>
      </x:c>
      <x:c r="J59" t="n">
        <x:f>B59</x:f>
        <x:v>0.56</x:v>
      </x:c>
      <x:c r="K59" t="n">
        <x:f>H59</x:f>
        <x:v>0.5835650555366891</x:v>
      </x:c>
    </x:row>
    <x:row r="60">
      <x:c r="A60" s="73" t="n">
        <x:v>57</x:v>
      </x:c>
      <x:c r="B60" s="74" t="n">
        <x:f>'Resumen'!$B$5*A60/'Resumen'!$B$6</x:f>
        <x:v>0.57</x:v>
      </x:c>
      <x:c r="C60" s="74" t="n">
        <x:f>B60^3/3</x:f>
        <x:v>0.06173099999999998</x:v>
      </x:c>
      <x:c r="D60" s="74" t="n">
        <x:f>C60-C59</x:f>
        <x:v>0.003192333333333297</x:v>
      </x:c>
      <x:c r="E60" s="80" t="n">
        <x:v>0.22546485068064842</x:v>
      </x:c>
      <x:c r="F60" s="84" t="n">
        <x:f>SQRT(D60)*E60</x:f>
        <x:v>0.012738930334385225</x:v>
      </x:c>
      <x:c r="G60" s="84" t="n">
        <x:f>G59+F60</x:f>
        <x:v>-0.788574817334626</x:v>
      </x:c>
      <x:c r="H60" s="85" t="n">
        <x:f>G60^2-C60</x:f>
        <x:v>0.5601192425343388</x:v>
      </x:c>
      <x:c r="J60" t="n">
        <x:f>B60</x:f>
        <x:v>0.57</x:v>
      </x:c>
      <x:c r="K60" t="n">
        <x:f>H60</x:f>
        <x:v>0.5601192425343388</x:v>
      </x:c>
    </x:row>
    <x:row r="61">
      <x:c r="A61" s="73" t="n">
        <x:v>58</x:v>
      </x:c>
      <x:c r="B61" s="74" t="n">
        <x:f>'Resumen'!$B$5*A61/'Resumen'!$B$6</x:f>
        <x:v>0.58</x:v>
      </x:c>
      <x:c r="C61" s="74" t="n">
        <x:f>B61^3/3</x:f>
        <x:v>0.06503733333333332</x:v>
      </x:c>
      <x:c r="D61" s="74" t="n">
        <x:f>C61-C60</x:f>
        <x:v>0.0033063333333333417</x:v>
      </x:c>
      <x:c r="E61" s="80" t="n">
        <x:v>-0.2923177512957061</x:v>
      </x:c>
      <x:c r="F61" s="84" t="n">
        <x:f>SQRT(D61)*E61</x:f>
        <x:v>-0.016808482522625852</x:v>
      </x:c>
      <x:c r="G61" s="84" t="n">
        <x:f>G60+F61</x:f>
        <x:v>-0.8053832998572519</x:v>
      </x:c>
      <x:c r="H61" s="85" t="n">
        <x:f>G61^2-C61</x:f>
        <x:v>0.5836049263556228</x:v>
      </x:c>
      <x:c r="J61" t="n">
        <x:f>B61</x:f>
        <x:v>0.58</x:v>
      </x:c>
      <x:c r="K61" t="n">
        <x:f>H61</x:f>
        <x:v>0.5836049263556228</x:v>
      </x:c>
    </x:row>
    <x:row r="62">
      <x:c r="A62" s="73" t="n">
        <x:v>59</x:v>
      </x:c>
      <x:c r="B62" s="74" t="n">
        <x:f>'Resumen'!$B$5*A62/'Resumen'!$B$6</x:f>
        <x:v>0.59</x:v>
      </x:c>
      <x:c r="C62" s="74" t="n">
        <x:f>B62^3/3</x:f>
        <x:v>0.06845966666666665</x:v>
      </x:c>
      <x:c r="D62" s="74" t="n">
        <x:f>C62-C61</x:f>
        <x:v>0.003422333333333333</x:v>
      </x:c>
      <x:c r="E62" s="80" t="n">
        <x:v>0.5100806966483531</x:v>
      </x:c>
      <x:c r="F62" s="84" t="n">
        <x:f>SQRT(D62)*E62</x:f>
        <x:v>0.02984008405705651</x:v>
      </x:c>
      <x:c r="G62" s="84" t="n">
        <x:f>G61+F62</x:f>
        <x:v>-0.7755432158001954</x:v>
      </x:c>
      <x:c r="H62" s="85" t="n">
        <x:f>G62^2-C62</x:f>
        <x:v>0.5330076129070417</x:v>
      </x:c>
      <x:c r="J62" t="n">
        <x:f>B62</x:f>
        <x:v>0.59</x:v>
      </x:c>
      <x:c r="K62" t="n">
        <x:f>H62</x:f>
        <x:v>0.5330076129070417</x:v>
      </x:c>
    </x:row>
    <x:row r="63">
      <x:c r="A63" s="73" t="n">
        <x:v>60</x:v>
      </x:c>
      <x:c r="B63" s="74" t="n">
        <x:f>'Resumen'!$B$5*A63/'Resumen'!$B$6</x:f>
        <x:v>0.6</x:v>
      </x:c>
      <x:c r="C63" s="74" t="n">
        <x:f>B63^3/3</x:f>
        <x:v>0.072</x:v>
      </x:c>
      <x:c r="D63" s="74" t="n">
        <x:f>C63-C62</x:f>
        <x:v>0.0035403333333333398</x:v>
      </x:c>
      <x:c r="E63" s="80" t="n">
        <x:v>0.2973988995882617</x:v>
      </x:c>
      <x:c r="F63" s="84" t="n">
        <x:f>SQRT(D63)*E63</x:f>
        <x:v>0.017695442786810765</x:v>
      </x:c>
      <x:c r="G63" s="84" t="n">
        <x:f>G62+F63</x:f>
        <x:v>-0.7578477730133846</x:v>
      </x:c>
      <x:c r="H63" s="85" t="n">
        <x:f>G63^2-C63</x:f>
        <x:v>0.5023332470613465</x:v>
      </x:c>
      <x:c r="J63" t="n">
        <x:f>B63</x:f>
        <x:v>0.6</x:v>
      </x:c>
      <x:c r="K63" t="n">
        <x:f>H63</x:f>
        <x:v>0.5023332470613465</x:v>
      </x:c>
    </x:row>
    <x:row r="64">
      <x:c r="A64" s="73" t="n">
        <x:v>61</x:v>
      </x:c>
      <x:c r="B64" s="74" t="n">
        <x:f>'Resumen'!$B$5*A64/'Resumen'!$B$6</x:f>
        <x:v>0.61</x:v>
      </x:c>
      <x:c r="C64" s="74" t="n">
        <x:f>B64^3/3</x:f>
        <x:v>0.07566033333333333</x:v>
      </x:c>
      <x:c r="D64" s="74" t="n">
        <x:f>C64-C63</x:f>
        <x:v>0.003660333333333335</x:v>
      </x:c>
      <x:c r="E64" s="80" t="n">
        <x:v>0.5661550138335729</x:v>
      </x:c>
      <x:c r="F64" s="84" t="n">
        <x:f>SQRT(D64)*E64</x:f>
        <x:v>0.03425276824863326</x:v>
      </x:c>
      <x:c r="G64" s="84" t="n">
        <x:f>G63+F64</x:f>
        <x:v>-0.7235950047647514</x:v>
      </x:c>
      <x:c r="H64" s="85" t="n">
        <x:f>G64^2-C64</x:f>
        <x:v>0.4479293975871672</x:v>
      </x:c>
      <x:c r="J64" t="n">
        <x:f>B64</x:f>
        <x:v>0.61</x:v>
      </x:c>
      <x:c r="K64" t="n">
        <x:f>H64</x:f>
        <x:v>0.4479293975871672</x:v>
      </x:c>
    </x:row>
    <x:row r="65">
      <x:c r="A65" s="73" t="n">
        <x:v>62</x:v>
      </x:c>
      <x:c r="B65" s="74" t="n">
        <x:f>'Resumen'!$B$5*A65/'Resumen'!$B$6</x:f>
        <x:v>0.62</x:v>
      </x:c>
      <x:c r="C65" s="74" t="n">
        <x:f>B65^3/3</x:f>
        <x:v>0.07944266666666666</x:v>
      </x:c>
      <x:c r="D65" s="74" t="n">
        <x:f>C65-C64</x:f>
        <x:v>0.003782333333333332</x:v>
      </x:c>
      <x:c r="E65" s="80" t="n">
        <x:v>1.661076069933416</x:v>
      </x:c>
      <x:c r="F65" s="84" t="n">
        <x:f>SQRT(D65)*E65</x:f>
        <x:v>0.10215730368499755</x:v>
      </x:c>
      <x:c r="G65" s="84" t="n">
        <x:f>G64+F65</x:f>
        <x:v>-0.6214377010797538</x:v>
      </x:c>
      <x:c r="H65" s="85" t="n">
        <x:f>G65^2-C65</x:f>
        <x:v>0.30674214965662283</x:v>
      </x:c>
      <x:c r="J65" t="n">
        <x:f>B65</x:f>
        <x:v>0.62</x:v>
      </x:c>
      <x:c r="K65" t="n">
        <x:f>H65</x:f>
        <x:v>0.30674214965662283</x:v>
      </x:c>
    </x:row>
    <x:row r="66">
      <x:c r="A66" s="73" t="n">
        <x:v>63</x:v>
      </x:c>
      <x:c r="B66" s="74" t="n">
        <x:f>'Resumen'!$B$5*A66/'Resumen'!$B$6</x:f>
        <x:v>0.63</x:v>
      </x:c>
      <x:c r="C66" s="74" t="n">
        <x:f>B66^3/3</x:f>
        <x:v>0.083349</x:v>
      </x:c>
      <x:c r="D66" s="74" t="n">
        <x:f>C66-C65</x:f>
        <x:v>0.003906333333333345</x:v>
      </x:c>
      <x:c r="E66" s="80" t="n">
        <x:v>0.7463727219556995</x:v>
      </x:c>
      <x:c r="F66" s="84" t="n">
        <x:f>SQRT(D66)*E66</x:f>
        <x:v>0.04664879270139218</x:v>
      </x:c>
      <x:c r="G66" s="84" t="n">
        <x:f>G65+F66</x:f>
        <x:v>-0.5747889083783616</x:v>
      </x:c>
      <x:c r="H66" s="85" t="n">
        <x:f>G66^2-C66</x:f>
        <x:v>0.24703328919478856</x:v>
      </x:c>
      <x:c r="J66" t="n">
        <x:f>B66</x:f>
        <x:v>0.63</x:v>
      </x:c>
      <x:c r="K66" t="n">
        <x:f>H66</x:f>
        <x:v>0.24703328919478856</x:v>
      </x:c>
    </x:row>
    <x:row r="67">
      <x:c r="A67" s="73" t="n">
        <x:v>64</x:v>
      </x:c>
      <x:c r="B67" s="74" t="n">
        <x:f>'Resumen'!$B$5*A67/'Resumen'!$B$6</x:f>
        <x:v>0.64</x:v>
      </x:c>
      <x:c r="C67" s="74" t="n">
        <x:f>B67^3/3</x:f>
        <x:v>0.08738133333333335</x:v>
      </x:c>
      <x:c r="D67" s="74" t="n">
        <x:f>C67-C66</x:f>
        <x:v>0.004032333333333346</x:v>
      </x:c>
      <x:c r="E67" s="80" t="n">
        <x:v>1.240152204487159</x:v>
      </x:c>
      <x:c r="F67" s="84" t="n">
        <x:f>SQRT(D67)*E67</x:f>
        <x:v>0.07875047872889605</x:v>
      </x:c>
      <x:c r="G67" s="84" t="n">
        <x:f>G66+F67</x:f>
        <x:v>-0.49603842964946554</x:v>
      </x:c>
      <x:c r="H67" s="85" t="n">
        <x:f>G67^2-C67</x:f>
        <x:v>0.15867279035577442</x:v>
      </x:c>
      <x:c r="J67" t="n">
        <x:f>B67</x:f>
        <x:v>0.64</x:v>
      </x:c>
      <x:c r="K67" t="n">
        <x:f>H67</x:f>
        <x:v>0.15867279035577442</x:v>
      </x:c>
    </x:row>
    <x:row r="68">
      <x:c r="A68" s="73" t="n">
        <x:v>65</x:v>
      </x:c>
      <x:c r="B68" s="74" t="n">
        <x:f>'Resumen'!$B$5*A68/'Resumen'!$B$6</x:f>
        <x:v>0.65</x:v>
      </x:c>
      <x:c r="C68" s="74" t="n">
        <x:f>B68^3/3</x:f>
        <x:v>0.09154166666666667</x:v>
      </x:c>
      <x:c r="D68" s="74" t="n">
        <x:f>C68-C67</x:f>
        <x:v>0.0041603333333333214</x:v>
      </x:c>
      <x:c r="E68" s="80" t="n">
        <x:v>-0.7728713189328781</x:v>
      </x:c>
      <x:c r="F68" s="84" t="n">
        <x:f>SQRT(D68)*E68</x:f>
        <x:v>-0.04985069933954825</x:v>
      </x:c>
      <x:c r="G68" s="84" t="n">
        <x:f>G67+F68</x:f>
        <x:v>-0.5458891289890138</x:v>
      </x:c>
      <x:c r="H68" s="85" t="n">
        <x:f>G68^2-C68</x:f>
        <x:v>0.2064532744817174</x:v>
      </x:c>
      <x:c r="J68" t="n">
        <x:f>B68</x:f>
        <x:v>0.65</x:v>
      </x:c>
      <x:c r="K68" t="n">
        <x:f>H68</x:f>
        <x:v>0.2064532744817174</x:v>
      </x:c>
    </x:row>
    <x:row r="69">
      <x:c r="A69" s="73" t="n">
        <x:v>66</x:v>
      </x:c>
      <x:c r="B69" s="74" t="n">
        <x:f>'Resumen'!$B$5*A69/'Resumen'!$B$6</x:f>
        <x:v>0.66</x:v>
      </x:c>
      <x:c r="C69" s="74" t="n">
        <x:f>B69^3/3</x:f>
        <x:v>0.09583200000000001</x:v>
      </x:c>
      <x:c r="D69" s="74" t="n">
        <x:f>C69-C68</x:f>
        <x:v>0.0042903333333333404</x:v>
      </x:c>
      <x:c r="E69" s="80" t="n">
        <x:v>-3.11885874808243</x:v>
      </x:c>
      <x:c r="F69" s="84" t="n">
        <x:f>SQRT(D69)*E69</x:f>
        <x:v>-0.20428723199660234</x:v>
      </x:c>
      <x:c r="G69" s="84" t="n">
        <x:f>G68+F69</x:f>
        <x:v>-0.7501763609856161</x:v>
      </x:c>
      <x:c r="H69" s="85" t="n">
        <x:f>G69^2-C69</x:f>
        <x:v>0.46693257258162146</x:v>
      </x:c>
      <x:c r="J69" t="n">
        <x:f>B69</x:f>
        <x:v>0.66</x:v>
      </x:c>
      <x:c r="K69" t="n">
        <x:f>H69</x:f>
        <x:v>0.46693257258162146</x:v>
      </x:c>
    </x:row>
    <x:row r="70">
      <x:c r="A70" s="73" t="n">
        <x:v>67</x:v>
      </x:c>
      <x:c r="B70" s="74" t="n">
        <x:f>'Resumen'!$B$5*A70/'Resumen'!$B$6</x:f>
        <x:v>0.67</x:v>
      </x:c>
      <x:c r="C70" s="74" t="n">
        <x:f>B70^3/3</x:f>
        <x:v>0.10025433333333335</x:v>
      </x:c>
      <x:c r="D70" s="74" t="n">
        <x:f>C70-C69</x:f>
        <x:v>0.004422333333333334</x:v>
      </x:c>
      <x:c r="E70" s="80" t="n">
        <x:v>-0.48483791667966675</x:v>
      </x:c>
      <x:c r="F70" s="84" t="n">
        <x:f>SQRT(D70)*E70</x:f>
        <x:v>-0.03224202524092253</x:v>
      </x:c>
      <x:c r="G70" s="84" t="n">
        <x:f>G69+F70</x:f>
        <x:v>-0.7824183862265387</x:v>
      </x:c>
      <x:c r="H70" s="85" t="n">
        <x:f>G70^2-C70</x:f>
        <x:v>0.5119241977720077</x:v>
      </x:c>
      <x:c r="J70" t="n">
        <x:f>B70</x:f>
        <x:v>0.67</x:v>
      </x:c>
      <x:c r="K70" t="n">
        <x:f>H70</x:f>
        <x:v>0.5119241977720077</x:v>
      </x:c>
    </x:row>
    <x:row r="71">
      <x:c r="A71" s="73" t="n">
        <x:v>68</x:v>
      </x:c>
      <x:c r="B71" s="74" t="n">
        <x:f>'Resumen'!$B$5*A71/'Resumen'!$B$6</x:f>
        <x:v>0.68</x:v>
      </x:c>
      <x:c r="C71" s="74" t="n">
        <x:f>B71^3/3</x:f>
        <x:v>0.10481066666666668</x:v>
      </x:c>
      <x:c r="D71" s="74" t="n">
        <x:f>C71-C70</x:f>
        <x:v>0.004556333333333329</x:v>
      </x:c>
      <x:c r="E71" s="80" t="n">
        <x:v>-0.9442762396727603</x:v>
      </x:c>
      <x:c r="F71" s="84" t="n">
        <x:f>SQRT(D71)*E71</x:f>
        <x:v>-0.06373922906181377</x:v>
      </x:c>
      <x:c r="G71" s="84" t="n">
        <x:f>G70+F71</x:f>
        <x:v>-0.8461576152883524</x:v>
      </x:c>
      <x:c r="H71" s="85" t="n">
        <x:f>G71^2-C71</x:f>
        <x:v>0.6111720432438047</x:v>
      </x:c>
      <x:c r="J71" t="n">
        <x:f>B71</x:f>
        <x:v>0.68</x:v>
      </x:c>
      <x:c r="K71" t="n">
        <x:f>H71</x:f>
        <x:v>0.6111720432438047</x:v>
      </x:c>
    </x:row>
    <x:row r="72">
      <x:c r="A72" s="73" t="n">
        <x:v>69</x:v>
      </x:c>
      <x:c r="B72" s="74" t="n">
        <x:f>'Resumen'!$B$5*A72/'Resumen'!$B$6</x:f>
        <x:v>0.69</x:v>
      </x:c>
      <x:c r="C72" s="74" t="n">
        <x:f>B72^3/3</x:f>
        <x:v>0.10950299999999998</x:v>
      </x:c>
      <x:c r="D72" s="74" t="n">
        <x:f>C72-C71</x:f>
        <x:v>0.004692333333333298</x:v>
      </x:c>
      <x:c r="E72" s="80" t="n">
        <x:v>-0.37650639181844475</x:v>
      </x:c>
      <x:c r="F72" s="84" t="n">
        <x:f>SQRT(D72)*E72</x:f>
        <x:v>-0.025790916857033056</x:v>
      </x:c>
      <x:c r="G72" s="84" t="n">
        <x:f>G71+F72</x:f>
        <x:v>-0.8719485321453855</x:v>
      </x:c>
      <x:c r="H72" s="85" t="n">
        <x:f>G72^2-C72</x:f>
        <x:v>0.6507912427104923</x:v>
      </x:c>
      <x:c r="J72" t="n">
        <x:f>B72</x:f>
        <x:v>0.69</x:v>
      </x:c>
      <x:c r="K72" t="n">
        <x:f>H72</x:f>
        <x:v>0.6507912427104923</x:v>
      </x:c>
    </x:row>
    <x:row r="73">
      <x:c r="A73" s="73" t="n">
        <x:v>70</x:v>
      </x:c>
      <x:c r="B73" s="74" t="n">
        <x:f>'Resumen'!$B$5*A73/'Resumen'!$B$6</x:f>
        <x:v>0.7</x:v>
      </x:c>
      <x:c r="C73" s="74" t="n">
        <x:f>B73^3/3</x:f>
        <x:v>0.1143333333333333</x:v>
      </x:c>
      <x:c r="D73" s="74" t="n">
        <x:f>C73-C72</x:f>
        <x:v>0.004830333333333325</x:v>
      </x:c>
      <x:c r="E73" s="80" t="n">
        <x:v>-0.19672246421249004</x:v>
      </x:c>
      <x:c r="F73" s="84" t="n">
        <x:f>SQRT(D73)*E73</x:f>
        <x:v>-0.013672329201386594</x:v>
      </x:c>
      <x:c r="G73" s="84" t="n">
        <x:f>G72+F73</x:f>
        <x:v>-0.8856208613467721</x:v>
      </x:c>
      <x:c r="H73" s="85" t="n">
        <x:f>G73^2-C73</x:f>
        <x:v>0.6699909767192652</x:v>
      </x:c>
      <x:c r="J73" t="n">
        <x:f>B73</x:f>
        <x:v>0.7</x:v>
      </x:c>
      <x:c r="K73" t="n">
        <x:f>H73</x:f>
        <x:v>0.6699909767192652</x:v>
      </x:c>
    </x:row>
    <x:row r="74">
      <x:c r="A74" s="73" t="n">
        <x:v>71</x:v>
      </x:c>
      <x:c r="B74" s="74" t="n">
        <x:f>'Resumen'!$B$5*A74/'Resumen'!$B$6</x:f>
        <x:v>0.71</x:v>
      </x:c>
      <x:c r="C74" s="74" t="n">
        <x:f>B74^3/3</x:f>
        <x:v>0.11930366666666664</x:v>
      </x:c>
      <x:c r="D74" s="74" t="n">
        <x:f>C74-C73</x:f>
        <x:v>0.0049703333333333405</x:v>
      </x:c>
      <x:c r="E74" s="80" t="n">
        <x:v>-0.4409744703306935</x:v>
      </x:c>
      <x:c r="F74" s="84" t="n">
        <x:f>SQRT(D74)*E74</x:f>
        <x:v>-0.03108896078043091</x:v>
      </x:c>
      <x:c r="G74" s="84" t="n">
        <x:f>G73+F74</x:f>
        <x:v>-0.916709822127203</x:v>
      </x:c>
      <x:c r="H74" s="85" t="n">
        <x:f>G74^2-C74</x:f>
        <x:v>0.7210532313178215</x:v>
      </x:c>
      <x:c r="J74" t="n">
        <x:f>B74</x:f>
        <x:v>0.71</x:v>
      </x:c>
      <x:c r="K74" t="n">
        <x:f>H74</x:f>
        <x:v>0.7210532313178215</x:v>
      </x:c>
    </x:row>
    <x:row r="75">
      <x:c r="A75" s="73" t="n">
        <x:v>72</x:v>
      </x:c>
      <x:c r="B75" s="74" t="n">
        <x:f>'Resumen'!$B$5*A75/'Resumen'!$B$6</x:f>
        <x:v>0.72</x:v>
      </x:c>
      <x:c r="C75" s="74" t="n">
        <x:f>B75^3/3</x:f>
        <x:v>0.12441599999999998</x:v>
      </x:c>
      <x:c r="D75" s="74" t="n">
        <x:f>C75-C74</x:f>
        <x:v>0.005112333333333344</x:v>
      </x:c>
      <x:c r="E75" s="80" t="n">
        <x:v>0.1101143269431415</x:v>
      </x:c>
      <x:c r="F75" s="84" t="n">
        <x:f>SQRT(D75)*E75</x:f>
        <x:v>0.007873238545361321</x:v>
      </x:c>
      <x:c r="G75" s="84" t="n">
        <x:f>G74+F75</x:f>
        <x:v>-0.9088365835818416</x:v>
      </x:c>
      <x:c r="H75" s="85" t="n">
        <x:f>G75^2-C75</x:f>
        <x:v>0.7015679356567138</x:v>
      </x:c>
      <x:c r="J75" t="n">
        <x:f>B75</x:f>
        <x:v>0.72</x:v>
      </x:c>
      <x:c r="K75" t="n">
        <x:f>H75</x:f>
        <x:v>0.7015679356567138</x:v>
      </x:c>
    </x:row>
    <x:row r="76">
      <x:c r="A76" s="73" t="n">
        <x:v>73</x:v>
      </x:c>
      <x:c r="B76" s="74" t="n">
        <x:f>'Resumen'!$B$5*A76/'Resumen'!$B$6</x:f>
        <x:v>0.73</x:v>
      </x:c>
      <x:c r="C76" s="74" t="n">
        <x:f>B76^3/3</x:f>
        <x:v>0.1296723333333333</x:v>
      </x:c>
      <x:c r="D76" s="74" t="n">
        <x:f>C76-C75</x:f>
        <x:v>0.005256333333333321</x:v>
      </x:c>
      <x:c r="E76" s="80" t="n">
        <x:v>1.808388167334497</x:v>
      </x:c>
      <x:c r="F76" s="84" t="n">
        <x:f>SQRT(D76)*E76</x:f>
        <x:v>0.13110918143117606</x:v>
      </x:c>
      <x:c r="G76" s="84" t="n">
        <x:f>G75+F76</x:f>
        <x:v>-0.7777274021506655</x:v>
      </x:c>
      <x:c r="H76" s="85" t="n">
        <x:f>G76^2-C76</x:f>
        <x:v>0.4751875787226897</x:v>
      </x:c>
      <x:c r="J76" t="n">
        <x:f>B76</x:f>
        <x:v>0.73</x:v>
      </x:c>
      <x:c r="K76" t="n">
        <x:f>H76</x:f>
        <x:v>0.4751875787226897</x:v>
      </x:c>
    </x:row>
    <x:row r="77">
      <x:c r="A77" s="73" t="n">
        <x:v>74</x:v>
      </x:c>
      <x:c r="B77" s="74" t="n">
        <x:f>'Resumen'!$B$5*A77/'Resumen'!$B$6</x:f>
        <x:v>0.74</x:v>
      </x:c>
      <x:c r="C77" s="74" t="n">
        <x:f>B77^3/3</x:f>
        <x:v>0.13507466666666665</x:v>
      </x:c>
      <x:c r="D77" s="74" t="n">
        <x:f>C77-C76</x:f>
        <x:v>0.005402333333333342</x:v>
      </x:c>
      <x:c r="E77" s="80" t="n">
        <x:v>-1.2829738143703868</x:v>
      </x:c>
      <x:c r="F77" s="84" t="n">
        <x:f>SQRT(D77)*E77</x:f>
        <x:v>-0.0942993026628373</x:v>
      </x:c>
      <x:c r="G77" s="84" t="n">
        <x:f>G76+F77</x:f>
        <x:v>-0.8720267048135028</x:v>
      </x:c>
      <x:c r="H77" s="85" t="n">
        <x:f>G77^2-C77</x:f>
        <x:v>0.6253559072412291</x:v>
      </x:c>
      <x:c r="J77" t="n">
        <x:f>B77</x:f>
        <x:v>0.74</x:v>
      </x:c>
      <x:c r="K77" t="n">
        <x:f>H77</x:f>
        <x:v>0.6253559072412291</x:v>
      </x:c>
    </x:row>
    <x:row r="78">
      <x:c r="A78" s="73" t="n">
        <x:v>75</x:v>
      </x:c>
      <x:c r="B78" s="74" t="n">
        <x:f>'Resumen'!$B$5*A78/'Resumen'!$B$6</x:f>
        <x:v>0.75</x:v>
      </x:c>
      <x:c r="C78" s="74" t="n">
        <x:f>B78^3/3</x:f>
        <x:v>0.140625</x:v>
      </x:c>
      <x:c r="D78" s="74" t="n">
        <x:f>C78-C77</x:f>
        <x:v>0.0055503333333333515</x:v>
      </x:c>
      <x:c r="E78" s="80" t="n">
        <x:v>-0.9837059959026229</x:v>
      </x:c>
      <x:c r="F78" s="84" t="n">
        <x:f>SQRT(D78)*E78</x:f>
        <x:v>-0.07328664686381908</x:v>
      </x:c>
      <x:c r="G78" s="84" t="n">
        <x:f>G77+F78</x:f>
        <x:v>-0.9453133516773218</x:v>
      </x:c>
      <x:c r="H78" s="85" t="n">
        <x:f>G78^2-C78</x:f>
        <x:v>0.7529923328594118</x:v>
      </x:c>
      <x:c r="J78" t="n">
        <x:f>B78</x:f>
        <x:v>0.75</x:v>
      </x:c>
      <x:c r="K78" t="n">
        <x:f>H78</x:f>
        <x:v>0.7529923328594118</x:v>
      </x:c>
    </x:row>
    <x:row r="79">
      <x:c r="A79" s="73" t="n">
        <x:v>76</x:v>
      </x:c>
      <x:c r="B79" s="74" t="n">
        <x:f>'Resumen'!$B$5*A79/'Resumen'!$B$6</x:f>
        <x:v>0.76</x:v>
      </x:c>
      <x:c r="C79" s="74" t="n">
        <x:f>B79^3/3</x:f>
        <x:v>0.14632533333333334</x:v>
      </x:c>
      <x:c r="D79" s="74" t="n">
        <x:f>C79-C78</x:f>
        <x:v>0.005700333333333335</x:v>
      </x:c>
      <x:c r="E79" s="80" t="n">
        <x:v>0.033140799733042105</x:v>
      </x:c>
      <x:c r="F79" s="84" t="n">
        <x:f>SQRT(D79)*E79</x:f>
        <x:v>0.0025021486694024116</x:v>
      </x:c>
      <x:c r="G79" s="84" t="n">
        <x:f>G78+F79</x:f>
        <x:v>-0.9428112030079193</x:v>
      </x:c>
      <x:c r="H79" s="85" t="n">
        <x:f>G79^2-C79</x:f>
        <x:v>0.7425676311839068</x:v>
      </x:c>
      <x:c r="J79" t="n">
        <x:f>B79</x:f>
        <x:v>0.76</x:v>
      </x:c>
      <x:c r="K79" t="n">
        <x:f>H79</x:f>
        <x:v>0.7425676311839068</x:v>
      </x:c>
    </x:row>
    <x:row r="80">
      <x:c r="A80" s="73" t="n">
        <x:v>77</x:v>
      </x:c>
      <x:c r="B80" s="74" t="n">
        <x:f>'Resumen'!$B$5*A80/'Resumen'!$B$6</x:f>
        <x:v>0.77</x:v>
      </x:c>
      <x:c r="C80" s="74" t="n">
        <x:f>B80^3/3</x:f>
        <x:v>0.15217766666666668</x:v>
      </x:c>
      <x:c r="D80" s="74" t="n">
        <x:f>C80-C79</x:f>
        <x:v>0.005852333333333348</x:v>
      </x:c>
      <x:c r="E80" s="80" t="n">
        <x:v>-0.8862025398561917</x:v>
      </x:c>
      <x:c r="F80" s="84" t="n">
        <x:f>SQRT(D80)*E80</x:f>
        <x:v>-0.0677949769784024</x:v>
      </x:c>
      <x:c r="G80" s="84" t="n">
        <x:f>G79+F80</x:f>
        <x:v>-1.0106061799863217</x:v>
      </x:c>
      <x:c r="H80" s="85" t="n">
        <x:f>G80^2-C80</x:f>
        <x:v>0.8691471843598791</x:v>
      </x:c>
      <x:c r="J80" t="n">
        <x:f>B80</x:f>
        <x:v>0.77</x:v>
      </x:c>
      <x:c r="K80" t="n">
        <x:f>H80</x:f>
        <x:v>0.8691471843598791</x:v>
      </x:c>
    </x:row>
    <x:row r="81">
      <x:c r="A81" s="73" t="n">
        <x:v>78</x:v>
      </x:c>
      <x:c r="B81" s="74" t="n">
        <x:f>'Resumen'!$B$5*A81/'Resumen'!$B$6</x:f>
        <x:v>0.78</x:v>
      </x:c>
      <x:c r="C81" s="74" t="n">
        <x:f>B81^3/3</x:f>
        <x:v>0.15818400000000002</x:v>
      </x:c>
      <x:c r="D81" s="74" t="n">
        <x:f>C81-C80</x:f>
        <x:v>0.006006333333333336</x:v>
      </x:c>
      <x:c r="E81" s="80" t="n">
        <x:v>-0.3069789669123386</x:v>
      </x:c>
      <x:c r="F81" s="84" t="n">
        <x:f>SQRT(D81)*E81</x:f>
        <x:v>-0.023791034977589113</x:v>
      </x:c>
      <x:c r="G81" s="84" t="n">
        <x:f>G80+F81</x:f>
        <x:v>-1.034397214963911</x:v>
      </x:c>
      <x:c r="H81" s="85" t="n">
        <x:f>G81^2-C81</x:f>
        <x:v>0.9117935983250952</x:v>
      </x:c>
      <x:c r="J81" t="n">
        <x:f>B81</x:f>
        <x:v>0.78</x:v>
      </x:c>
      <x:c r="K81" t="n">
        <x:f>H81</x:f>
        <x:v>0.9117935983250952</x:v>
      </x:c>
    </x:row>
    <x:row r="82">
      <x:c r="A82" s="73" t="n">
        <x:v>79</x:v>
      </x:c>
      <x:c r="B82" s="74" t="n">
        <x:f>'Resumen'!$B$5*A82/'Resumen'!$B$6</x:f>
        <x:v>0.79</x:v>
      </x:c>
      <x:c r="C82" s="74" t="n">
        <x:f>B82^3/3</x:f>
        <x:v>0.16434633333333334</x:v>
      </x:c>
      <x:c r="D82" s="74" t="n">
        <x:f>C82-C81</x:f>
        <x:v>0.006162333333333325</x:v>
      </x:c>
      <x:c r="E82" s="80" t="n">
        <x:v>0.6765041803717324</x:v>
      </x:c>
      <x:c r="F82" s="84" t="n">
        <x:f>SQRT(D82)*E82</x:f>
        <x:v>0.053105937236619</x:v>
      </x:c>
      <x:c r="G82" s="84" t="n">
        <x:f>G81+F82</x:f>
        <x:v>-0.9812912777272919</x:v>
      </x:c>
      <x:c r="H82" s="85" t="n">
        <x:f>G82^2-C82</x:f>
        <x:v>0.7985862384103276</x:v>
      </x:c>
      <x:c r="J82" t="n">
        <x:f>B82</x:f>
        <x:v>0.79</x:v>
      </x:c>
      <x:c r="K82" t="n">
        <x:f>H82</x:f>
        <x:v>0.7985862384103276</x:v>
      </x:c>
    </x:row>
    <x:row r="83">
      <x:c r="A83" s="73" t="n">
        <x:v>80</x:v>
      </x:c>
      <x:c r="B83" s="74" t="n">
        <x:f>'Resumen'!$B$5*A83/'Resumen'!$B$6</x:f>
        <x:v>0.8</x:v>
      </x:c>
      <x:c r="C83" s="74" t="n">
        <x:f>B83^3/3</x:f>
        <x:v>0.17066666666666672</x:v>
      </x:c>
      <x:c r="D83" s="74" t="n">
        <x:f>C83-C82</x:f>
        <x:v>0.006320333333333372</x:v>
      </x:c>
      <x:c r="E83" s="80" t="n">
        <x:v>0.02085686828140498</x:v>
      </x:c>
      <x:c r="F83" s="84" t="n">
        <x:f>SQRT(D83)*E83</x:f>
        <x:v>0.0016581319596083528</x:v>
      </x:c>
      <x:c r="G83" s="84" t="n">
        <x:f>G82+F83</x:f>
        <x:v>-0.9796331457676835</x:v>
      </x:c>
      <x:c r="H83" s="85" t="n">
        <x:f>G83^2-C83</x:f>
        <x:v>0.7890144336200205</x:v>
      </x:c>
      <x:c r="J83" t="n">
        <x:f>B83</x:f>
        <x:v>0.8</x:v>
      </x:c>
      <x:c r="K83" t="n">
        <x:f>H83</x:f>
        <x:v>0.7890144336200205</x:v>
      </x:c>
    </x:row>
    <x:row r="84">
      <x:c r="A84" s="73" t="n">
        <x:v>81</x:v>
      </x:c>
      <x:c r="B84" s="74" t="n">
        <x:f>'Resumen'!$B$5*A84/'Resumen'!$B$6</x:f>
        <x:v>0.81</x:v>
      </x:c>
      <x:c r="C84" s="74" t="n">
        <x:f>B84^3/3</x:f>
        <x:v>0.17714700000000003</x:v>
      </x:c>
      <x:c r="D84" s="74" t="n">
        <x:f>C84-C83</x:f>
        <x:v>0.00648033333333331</x:v>
      </x:c>
      <x:c r="E84" s="80" t="n">
        <x:v>-0.6111241806487215</x:v>
      </x:c>
      <x:c r="F84" s="84" t="n">
        <x:f>SQRT(D84)*E84</x:f>
        <x:v>-0.04919581285806877</x:v>
      </x:c>
      <x:c r="G84" s="84" t="n">
        <x:f>G83+F84</x:f>
        <x:v>-1.0288289586257522</x:v>
      </x:c>
      <x:c r="H84" s="85" t="n">
        <x:f>G84^2-C84</x:f>
        <x:v>0.8813420261069497</x:v>
      </x:c>
      <x:c r="J84" t="n">
        <x:f>B84</x:f>
        <x:v>0.81</x:v>
      </x:c>
      <x:c r="K84" t="n">
        <x:f>H84</x:f>
        <x:v>0.8813420261069497</x:v>
      </x:c>
    </x:row>
    <x:row r="85">
      <x:c r="A85" s="73" t="n">
        <x:v>82</x:v>
      </x:c>
      <x:c r="B85" s="74" t="n">
        <x:f>'Resumen'!$B$5*A85/'Resumen'!$B$6</x:f>
        <x:v>0.82</x:v>
      </x:c>
      <x:c r="C85" s="74" t="n">
        <x:f>B85^3/3</x:f>
        <x:v>0.18378933333333328</x:v>
      </x:c>
      <x:c r="D85" s="74" t="n">
        <x:f>C85-C84</x:f>
        <x:v>0.00664233333333325</x:v>
      </x:c>
      <x:c r="E85" s="80" t="n">
        <x:v>0.6509379686966573</x:v>
      </x:c>
      <x:c r="F85" s="84" t="n">
        <x:f>SQRT(D85)*E85</x:f>
        <x:v>0.053051777238105995</x:v>
      </x:c>
      <x:c r="G85" s="84" t="n">
        <x:f>G84+F85</x:f>
        <x:v>-0.9757771813876462</x:v>
      </x:c>
      <x:c r="H85" s="85" t="n">
        <x:f>G85^2-C85</x:f>
        <x:v>0.7683517743834862</x:v>
      </x:c>
      <x:c r="J85" t="n">
        <x:f>B85</x:f>
        <x:v>0.82</x:v>
      </x:c>
      <x:c r="K85" t="n">
        <x:f>H85</x:f>
        <x:v>0.7683517743834862</x:v>
      </x:c>
    </x:row>
    <x:row r="86">
      <x:c r="A86" s="73" t="n">
        <x:v>83</x:v>
      </x:c>
      <x:c r="B86" s="74" t="n">
        <x:f>'Resumen'!$B$5*A86/'Resumen'!$B$6</x:f>
        <x:v>0.83</x:v>
      </x:c>
      <x:c r="C86" s="74" t="n">
        <x:f>B86^3/3</x:f>
        <x:v>0.19059566666666664</x:v>
      </x:c>
      <x:c r="D86" s="74" t="n">
        <x:f>C86-C85</x:f>
        <x:v>0.006806333333333359</x:v>
      </x:c>
      <x:c r="E86" s="80" t="n">
        <x:v>1.119852566462552</x:v>
      </x:c>
      <x:c r="F86" s="84" t="n">
        <x:f>SQRT(D86)*E86</x:f>
        <x:v>0.0923884023135338</x:v>
      </x:c>
      <x:c r="G86" s="84" t="n">
        <x:f>G85+F86</x:f>
        <x:v>-0.8833887790741124</x:v>
      </x:c>
      <x:c r="H86" s="85" t="n">
        <x:f>G86^2-C86</x:f>
        <x:v>0.5897800683273844</x:v>
      </x:c>
      <x:c r="J86" t="n">
        <x:f>B86</x:f>
        <x:v>0.83</x:v>
      </x:c>
      <x:c r="K86" t="n">
        <x:f>H86</x:f>
        <x:v>0.5897800683273844</x:v>
      </x:c>
    </x:row>
    <x:row r="87">
      <x:c r="A87" s="73" t="n">
        <x:v>84</x:v>
      </x:c>
      <x:c r="B87" s="74" t="n">
        <x:f>'Resumen'!$B$5*A87/'Resumen'!$B$6</x:f>
        <x:v>0.84</x:v>
      </x:c>
      <x:c r="C87" s="74" t="n">
        <x:f>B87^3/3</x:f>
        <x:v>0.19756799999999997</x:v>
      </x:c>
      <x:c r="D87" s="74" t="n">
        <x:f>C87-C86</x:f>
        <x:v>0.00697233333333333</x:v>
      </x:c>
      <x:c r="E87" s="80" t="n">
        <x:v>-1.038135366780366</x:v>
      </x:c>
      <x:c r="F87" s="84" t="n">
        <x:f>SQRT(D87)*E87</x:f>
        <x:v>-0.08668482115623281</x:v>
      </x:c>
      <x:c r="G87" s="84" t="n">
        <x:f>G86+F87</x:f>
        <x:v>-0.9700736002303452</x:v>
      </x:c>
      <x:c r="H87" s="85" t="n">
        <x:f>G87^2-C87</x:f>
        <x:v>0.7434747898638636</x:v>
      </x:c>
      <x:c r="J87" t="n">
        <x:f>B87</x:f>
        <x:v>0.84</x:v>
      </x:c>
      <x:c r="K87" t="n">
        <x:f>H87</x:f>
        <x:v>0.7434747898638636</x:v>
      </x:c>
    </x:row>
    <x:row r="88">
      <x:c r="A88" s="73" t="n">
        <x:v>85</x:v>
      </x:c>
      <x:c r="B88" s="74" t="n">
        <x:f>'Resumen'!$B$5*A88/'Resumen'!$B$6</x:f>
        <x:v>0.85</x:v>
      </x:c>
      <x:c r="C88" s="74" t="n">
        <x:f>B88^3/3</x:f>
        <x:v>0.2047083333333333</x:v>
      </x:c>
      <x:c r="D88" s="74" t="n">
        <x:f>C88-C87</x:f>
        <x:v>0.007140333333333332</x:v>
      </x:c>
      <x:c r="E88" s="80" t="n">
        <x:v>-0.6763535199156205</x:v>
      </x:c>
      <x:c r="F88" s="84" t="n">
        <x:f>SQRT(D88)*E88</x:f>
        <x:v>-0.057152205939549665</x:v>
      </x:c>
      <x:c r="G88" s="84" t="n">
        <x:f>G87+F88</x:f>
        <x:v>-1.027225806169895</x:v>
      </x:c>
      <x:c r="H88" s="85" t="n">
        <x:f>G88^2-C88</x:f>
        <x:v>0.8504845235280571</x:v>
      </x:c>
      <x:c r="J88" t="n">
        <x:f>B88</x:f>
        <x:v>0.85</x:v>
      </x:c>
      <x:c r="K88" t="n">
        <x:f>H88</x:f>
        <x:v>0.8504845235280571</x:v>
      </x:c>
    </x:row>
    <x:row r="89">
      <x:c r="A89" s="73" t="n">
        <x:v>86</x:v>
      </x:c>
      <x:c r="B89" s="74" t="n">
        <x:f>'Resumen'!$B$5*A89/'Resumen'!$B$6</x:f>
        <x:v>0.86</x:v>
      </x:c>
      <x:c r="C89" s="74" t="n">
        <x:f>B89^3/3</x:f>
        <x:v>0.21201866666666666</x:v>
      </x:c>
      <x:c r="D89" s="74" t="n">
        <x:f>C89-C88</x:f>
        <x:v>0.007310333333333363</x:v>
      </x:c>
      <x:c r="E89" s="80" t="n">
        <x:v>0.05141648910933251</x:v>
      </x:c>
      <x:c r="F89" s="84" t="n">
        <x:f>SQRT(D89)*E89</x:f>
        <x:v>0.004396134875545102</x:v>
      </x:c>
      <x:c r="G89" s="84" t="n">
        <x:f>G88+F89</x:f>
        <x:v>-1.0228296712943499</x:v>
      </x:c>
      <x:c r="H89" s="85" t="n">
        <x:f>G89^2-C89</x:f>
        <x:v>0.8341618698134411</x:v>
      </x:c>
      <x:c r="J89" t="n">
        <x:f>B89</x:f>
        <x:v>0.86</x:v>
      </x:c>
      <x:c r="K89" t="n">
        <x:f>H89</x:f>
        <x:v>0.8341618698134411</x:v>
      </x:c>
    </x:row>
    <x:row r="90">
      <x:c r="A90" s="73" t="n">
        <x:v>87</x:v>
      </x:c>
      <x:c r="B90" s="74" t="n">
        <x:f>'Resumen'!$B$5*A90/'Resumen'!$B$6</x:f>
        <x:v>0.87</x:v>
      </x:c>
      <x:c r="C90" s="74" t="n">
        <x:f>B90^3/3</x:f>
        <x:v>0.21950099999999997</x:v>
      </x:c>
      <x:c r="D90" s="74" t="n">
        <x:f>C90-C89</x:f>
        <x:v>0.007482333333333313</x:v>
      </x:c>
      <x:c r="E90" s="80" t="n">
        <x:v>-0.024213106127362903</x:v>
      </x:c>
      <x:c r="F90" s="84" t="n">
        <x:f>SQRT(D90)*E90</x:f>
        <x:v>-0.002094445343330332</x:v>
      </x:c>
      <x:c r="G90" s="84" t="n">
        <x:f>G89+F90</x:f>
        <x:v>-1.0249241166376801</x:v>
      </x:c>
      <x:c r="H90" s="85" t="n">
        <x:f>G90^2-C90</x:f>
        <x:v>0.830968444865529</x:v>
      </x:c>
      <x:c r="J90" t="n">
        <x:f>B90</x:f>
        <x:v>0.87</x:v>
      </x:c>
      <x:c r="K90" t="n">
        <x:f>H90</x:f>
        <x:v>0.830968444865529</x:v>
      </x:c>
    </x:row>
    <x:row r="91">
      <x:c r="A91" s="73" t="n">
        <x:v>88</x:v>
      </x:c>
      <x:c r="B91" s="74" t="n">
        <x:f>'Resumen'!$B$5*A91/'Resumen'!$B$6</x:f>
        <x:v>0.88</x:v>
      </x:c>
      <x:c r="C91" s="74" t="n">
        <x:f>B91^3/3</x:f>
        <x:v>0.22715733333333332</x:v>
      </x:c>
      <x:c r="D91" s="74" t="n">
        <x:f>C91-C90</x:f>
        <x:v>0.007656333333333348</x:v>
      </x:c>
      <x:c r="E91" s="80" t="n">
        <x:v>2.5971870804987987</x:v>
      </x:c>
      <x:c r="F91" s="84" t="n">
        <x:f>SQRT(D91)*E91</x:f>
        <x:v>0.2272551062960324</x:v>
      </x:c>
      <x:c r="G91" s="84" t="n">
        <x:f>G90+F91</x:f>
        <x:v>-0.7976690103416477</x:v>
      </x:c>
      <x:c r="H91" s="85" t="n">
        <x:f>G91^2-C91</x:f>
        <x:v>0.40911851672609034</x:v>
      </x:c>
      <x:c r="J91" t="n">
        <x:f>B91</x:f>
        <x:v>0.88</x:v>
      </x:c>
      <x:c r="K91" t="n">
        <x:f>H91</x:f>
        <x:v>0.40911851672609034</x:v>
      </x:c>
    </x:row>
    <x:row r="92">
      <x:c r="A92" s="73" t="n">
        <x:v>89</x:v>
      </x:c>
      <x:c r="B92" s="74" t="n">
        <x:f>'Resumen'!$B$5*A92/'Resumen'!$B$6</x:f>
        <x:v>0.89</x:v>
      </x:c>
      <x:c r="C92" s="74" t="n">
        <x:f>B92^3/3</x:f>
        <x:v>0.23498966666666668</x:v>
      </x:c>
      <x:c r="D92" s="74" t="n">
        <x:f>C92-C91</x:f>
        <x:v>0.007832333333333358</x:v>
      </x:c>
      <x:c r="E92" s="80" t="n">
        <x:v>-0.6028133724892978</x:v>
      </x:c>
      <x:c r="F92" s="84" t="n">
        <x:f>SQRT(D92)*E92</x:f>
        <x:v>-0.053349267274987046</x:v>
      </x:c>
      <x:c r="G92" s="84" t="n">
        <x:f>G91+F92</x:f>
        <x:v>-0.8510182776166347</x:v>
      </x:c>
      <x:c r="H92" s="85" t="n">
        <x:f>G92^2-C92</x:f>
        <x:v>0.48924244217091695</x:v>
      </x:c>
      <x:c r="J92" t="n">
        <x:f>B92</x:f>
        <x:v>0.89</x:v>
      </x:c>
      <x:c r="K92" t="n">
        <x:f>H92</x:f>
        <x:v>0.48924244217091695</x:v>
      </x:c>
    </x:row>
    <x:row r="93">
      <x:c r="A93" s="73" t="n">
        <x:v>90</x:v>
      </x:c>
      <x:c r="B93" s="74" t="n">
        <x:f>'Resumen'!$B$5*A93/'Resumen'!$B$6</x:f>
        <x:v>0.9</x:v>
      </x:c>
      <x:c r="C93" s="74" t="n">
        <x:f>B93^3/3</x:f>
        <x:v>0.24300000000000002</x:v>
      </x:c>
      <x:c r="D93" s="74" t="n">
        <x:f>C93-C92</x:f>
        <x:v>0.008010333333333342</x:v>
      </x:c>
      <x:c r="E93" s="80" t="n">
        <x:v>0.12676025246634656</x:v>
      </x:c>
      <x:c r="F93" s="84" t="n">
        <x:f>SQRT(D93)*E93</x:f>
        <x:v>0.011345101608737458</x:v>
      </x:c>
      <x:c r="G93" s="84" t="n">
        <x:f>G92+F93</x:f>
        <x:v>-0.8396731760078973</x:v>
      </x:c>
      <x:c r="H93" s="85" t="n">
        <x:f>G93^2-C93</x:f>
        <x:v>0.4620510425071892</x:v>
      </x:c>
      <x:c r="J93" t="n">
        <x:f>B93</x:f>
        <x:v>0.9</x:v>
      </x:c>
      <x:c r="K93" t="n">
        <x:f>H93</x:f>
        <x:v>0.4620510425071892</x:v>
      </x:c>
    </x:row>
    <x:row r="94">
      <x:c r="A94" s="73" t="n">
        <x:v>91</x:v>
      </x:c>
      <x:c r="B94" s="74" t="n">
        <x:f>'Resumen'!$B$5*A94/'Resumen'!$B$6</x:f>
        <x:v>0.91</x:v>
      </x:c>
      <x:c r="C94" s="74" t="n">
        <x:f>B94^3/3</x:f>
        <x:v>0.25119033333333335</x:v>
      </x:c>
      <x:c r="D94" s="74" t="n">
        <x:f>C94-C93</x:f>
        <x:v>0.008190333333333327</x:v>
      </x:c>
      <x:c r="E94" s="80" t="n">
        <x:v>-0.2653529278758518</x:v>
      </x:c>
      <x:c r="F94" s="84" t="n">
        <x:f>SQRT(D94)*E94</x:f>
        <x:v>-0.024014562142310118</x:v>
      </x:c>
      <x:c r="G94" s="84" t="n">
        <x:f>G93+F94</x:f>
        <x:v>-0.8636877381502074</x:v>
      </x:c>
      <x:c r="H94" s="85" t="n">
        <x:f>G94^2-C94</x:f>
        <x:v>0.4947661756976878</x:v>
      </x:c>
      <x:c r="J94" t="n">
        <x:f>B94</x:f>
        <x:v>0.91</x:v>
      </x:c>
      <x:c r="K94" t="n">
        <x:f>H94</x:f>
        <x:v>0.4947661756976878</x:v>
      </x:c>
    </x:row>
    <x:row r="95">
      <x:c r="A95" s="73" t="n">
        <x:v>92</x:v>
      </x:c>
      <x:c r="B95" s="74" t="n">
        <x:f>'Resumen'!$B$5*A95/'Resumen'!$B$6</x:f>
        <x:v>0.92</x:v>
      </x:c>
      <x:c r="C95" s="74" t="n">
        <x:f>B95^3/3</x:f>
        <x:v>0.25956266666666666</x:v>
      </x:c>
      <x:c r="D95" s="74" t="n">
        <x:f>C95-C94</x:f>
        <x:v>0.008372333333333315</x:v>
      </x:c>
      <x:c r="E95" s="80" t="n">
        <x:v>-0.19970842149809648</x:v>
      </x:c>
      <x:c r="F95" s="84" t="n">
        <x:f>SQRT(D95)*E95</x:f>
        <x:v>-0.018273411508753654</x:v>
      </x:c>
      <x:c r="G95" s="84" t="n">
        <x:f>G94+F95</x:f>
        <x:v>-0.881961149658961</x:v>
      </x:c>
      <x:c r="H95" s="85" t="n">
        <x:f>G95^2-C95</x:f>
        <x:v>0.5182928028410896</x:v>
      </x:c>
      <x:c r="J95" t="n">
        <x:f>B95</x:f>
        <x:v>0.92</x:v>
      </x:c>
      <x:c r="K95" t="n">
        <x:f>H95</x:f>
        <x:v>0.5182928028410896</x:v>
      </x:c>
    </x:row>
    <x:row r="96">
      <x:c r="A96" s="73" t="n">
        <x:v>93</x:v>
      </x:c>
      <x:c r="B96" s="74" t="n">
        <x:f>'Resumen'!$B$5*A96/'Resumen'!$B$6</x:f>
        <x:v>0.93</x:v>
      </x:c>
      <x:c r="C96" s="74" t="n">
        <x:f>B96^3/3</x:f>
        <x:v>0.26811900000000005</x:v>
      </x:c>
      <x:c r="D96" s="74" t="n">
        <x:f>C96-C95</x:f>
        <x:v>0.008556333333333388</x:v>
      </x:c>
      <x:c r="E96" s="80" t="n">
        <x:v>0.468124079464442</x:v>
      </x:c>
      <x:c r="F96" s="84" t="n">
        <x:f>SQRT(D96)*E96</x:f>
        <x:v>0.04330168821665006</x:v>
      </x:c>
      <x:c r="G96" s="84" t="n">
        <x:f>G95+F96</x:f>
        <x:v>-0.838659461442311</x:v>
      </x:c>
      <x:c r="H96" s="85" t="n">
        <x:f>G96^2-C96</x:f>
        <x:v>0.435230692266707</x:v>
      </x:c>
      <x:c r="J96" t="n">
        <x:f>B96</x:f>
        <x:v>0.93</x:v>
      </x:c>
      <x:c r="K96" t="n">
        <x:f>H96</x:f>
        <x:v>0.435230692266707</x:v>
      </x:c>
    </x:row>
    <x:row r="97">
      <x:c r="A97" s="73" t="n">
        <x:v>94</x:v>
      </x:c>
      <x:c r="B97" s="74" t="n">
        <x:f>'Resumen'!$B$5*A97/'Resumen'!$B$6</x:f>
        <x:v>0.94</x:v>
      </x:c>
      <x:c r="C97" s="74" t="n">
        <x:f>B97^3/3</x:f>
        <x:v>0.2768613333333333</x:v>
      </x:c>
      <x:c r="D97" s="74" t="n">
        <x:f>C97-C96</x:f>
        <x:v>0.008742333333333241</x:v>
      </x:c>
      <x:c r="E97" s="80" t="n">
        <x:v>0.058044672849945765</x:v>
      </x:c>
      <x:c r="F97" s="84" t="n">
        <x:f>SQRT(D97)*E97</x:f>
        <x:v>0.005427202778018263</x:v>
      </x:c>
      <x:c r="G97" s="84" t="n">
        <x:f>G96+F97</x:f>
        <x:v>-0.8332322586642927</x:v>
      </x:c>
      <x:c r="H97" s="85" t="n">
        <x:f>G97^2-C97</x:f>
        <x:v>0.4174146635454655</x:v>
      </x:c>
      <x:c r="J97" t="n">
        <x:f>B97</x:f>
        <x:v>0.94</x:v>
      </x:c>
      <x:c r="K97" t="n">
        <x:f>H97</x:f>
        <x:v>0.4174146635454655</x:v>
      </x:c>
    </x:row>
    <x:row r="98">
      <x:c r="A98" s="73" t="n">
        <x:v>95</x:v>
      </x:c>
      <x:c r="B98" s="74" t="n">
        <x:f>'Resumen'!$B$5*A98/'Resumen'!$B$6</x:f>
        <x:v>0.95</x:v>
      </x:c>
      <x:c r="C98" s="74" t="n">
        <x:f>B98^3/3</x:f>
        <x:v>0.2857916666666666</x:v>
      </x:c>
      <x:c r="D98" s="74" t="n">
        <x:f>C98-C97</x:f>
        <x:v>0.008930333333333318</x:v>
      </x:c>
      <x:c r="E98" s="80" t="n">
        <x:v>-1.5553845242639333</x:v>
      </x:c>
      <x:c r="F98" s="84" t="n">
        <x:f>SQRT(D98)*E98</x:f>
        <x:v>-0.1469845233369873</x:v>
      </x:c>
      <x:c r="G98" s="84" t="n">
        <x:f>G97+F98</x:f>
        <x:v>-0.98021678200128</x:v>
      </x:c>
      <x:c r="H98" s="85" t="n">
        <x:f>G98^2-C98</x:f>
        <x:v>0.6750332730502784</x:v>
      </x:c>
      <x:c r="J98" t="n">
        <x:f>B98</x:f>
        <x:v>0.95</x:v>
      </x:c>
      <x:c r="K98" t="n">
        <x:f>H98</x:f>
        <x:v>0.6750332730502784</x:v>
      </x:c>
    </x:row>
    <x:row r="99">
      <x:c r="A99" s="73" t="n">
        <x:v>96</x:v>
      </x:c>
      <x:c r="B99" s="74" t="n">
        <x:f>'Resumen'!$B$5*A99/'Resumen'!$B$6</x:f>
        <x:v>0.96</x:v>
      </x:c>
      <x:c r="C99" s="74" t="n">
        <x:f>B99^3/3</x:f>
        <x:v>0.29491199999999995</x:v>
      </x:c>
      <x:c r="D99" s="74" t="n">
        <x:f>C99-C98</x:f>
        <x:v>0.009120333333333341</x:v>
      </x:c>
      <x:c r="E99" s="80" t="n">
        <x:v>-0.6111042262645439</x:v>
      </x:c>
      <x:c r="F99" s="84" t="n">
        <x:f>SQRT(D99)*E99</x:f>
        <x:v>-0.05836072023253548</x:v>
      </x:c>
      <x:c r="G99" s="84" t="n">
        <x:f>G98+F99</x:f>
        <x:v>-1.0385775022338155</x:v>
      </x:c>
      <x:c r="H99" s="85" t="n">
        <x:f>G99^2-C99</x:f>
        <x:v>0.7837312281462311</x:v>
      </x:c>
      <x:c r="J99" t="n">
        <x:f>B99</x:f>
        <x:v>0.96</x:v>
      </x:c>
      <x:c r="K99" t="n">
        <x:f>H99</x:f>
        <x:v>0.7837312281462311</x:v>
      </x:c>
    </x:row>
    <x:row r="100">
      <x:c r="A100" s="73" t="n">
        <x:v>97</x:v>
      </x:c>
      <x:c r="B100" s="74" t="n">
        <x:f>'Resumen'!$B$5*A100/'Resumen'!$B$6</x:f>
        <x:v>0.97</x:v>
      </x:c>
      <x:c r="C100" s="74" t="n">
        <x:f>B100^3/3</x:f>
        <x:v>0.3042243333333333</x:v>
      </x:c>
      <x:c r="D100" s="74" t="n">
        <x:f>C100-C99</x:f>
        <x:v>0.009312333333333367</x:v>
      </x:c>
      <x:c r="E100" s="80" t="n">
        <x:v>1.6017808199861496</x:v>
      </x:c>
      <x:c r="F100" s="84" t="n">
        <x:f>SQRT(D100)*E100</x:f>
        <x:v>0.15457254074232368</x:v>
      </x:c>
      <x:c r="G100" s="84" t="n">
        <x:f>G99+F100</x:f>
        <x:v>-0.8840049614914918</x:v>
      </x:c>
      <x:c r="H100" s="85" t="n">
        <x:f>G100^2-C100</x:f>
        <x:v>0.4772404386082405</x:v>
      </x:c>
      <x:c r="J100" t="n">
        <x:f>B100</x:f>
        <x:v>0.97</x:v>
      </x:c>
      <x:c r="K100" t="n">
        <x:f>H100</x:f>
        <x:v>0.4772404386082405</x:v>
      </x:c>
    </x:row>
    <x:row r="101">
      <x:c r="A101" s="73" t="n">
        <x:v>98</x:v>
      </x:c>
      <x:c r="B101" s="74" t="n">
        <x:f>'Resumen'!$B$5*A101/'Resumen'!$B$6</x:f>
        <x:v>0.98</x:v>
      </x:c>
      <x:c r="C101" s="74" t="n">
        <x:f>B101^3/3</x:f>
        <x:v>0.31373066666666666</x:v>
      </x:c>
      <x:c r="D101" s="74" t="n">
        <x:f>C101-C100</x:f>
        <x:v>0.009506333333333339</x:v>
      </x:c>
      <x:c r="E101" s="80" t="n">
        <x:v>2.2761273832286792</x:v>
      </x:c>
      <x:c r="F101" s="84" t="n">
        <x:f>SQRT(D101)*E101</x:f>
        <x:v>0.2219233925666745</x:v>
      </x:c>
      <x:c r="G101" s="84" t="n">
        <x:f>G100+F101</x:f>
        <x:v>-0.6620815689248173</x:v>
      </x:c>
      <x:c r="H101" s="85" t="n">
        <x:f>G101^2-C101</x:f>
        <x:v>0.12462133724328095</x:v>
      </x:c>
      <x:c r="J101" t="n">
        <x:f>B101</x:f>
        <x:v>0.98</x:v>
      </x:c>
      <x:c r="K101" t="n">
        <x:f>H101</x:f>
        <x:v>0.12462133724328095</x:v>
      </x:c>
    </x:row>
    <x:row r="102">
      <x:c r="A102" s="73" t="n">
        <x:v>99</x:v>
      </x:c>
      <x:c r="B102" s="74" t="n">
        <x:f>'Resumen'!$B$5*A102/'Resumen'!$B$6</x:f>
        <x:v>0.99</x:v>
      </x:c>
      <x:c r="C102" s="74" t="n">
        <x:f>B102^3/3</x:f>
        <x:v>0.323433</x:v>
      </x:c>
      <x:c r="D102" s="74" t="n">
        <x:f>C102-C101</x:f>
        <x:v>0.009702333333333368</x:v>
      </x:c>
      <x:c r="E102" s="80" t="n">
        <x:v>-2.4027931771431437</x:v>
      </x:c>
      <x:c r="F102" s="84" t="n">
        <x:f>SQRT(D102)*E102</x:f>
        <x:v>-0.236676144356391</x:v>
      </x:c>
      <x:c r="G102" s="84" t="n">
        <x:f>G101+F102</x:f>
        <x:v>-0.8987577132812083</x:v>
      </x:c>
      <x:c r="H102" s="85" t="n">
        <x:f>G102^2-C102</x:f>
        <x:v>0.48433242718246666</x:v>
      </x:c>
      <x:c r="J102" t="n">
        <x:f>B102</x:f>
        <x:v>0.99</x:v>
      </x:c>
      <x:c r="K102" t="n">
        <x:f>H102</x:f>
        <x:v>0.48433242718246666</x:v>
      </x:c>
    </x:row>
    <x:row r="103">
      <x:c r="A103" s="76" t="n">
        <x:v>100</x:v>
      </x:c>
      <x:c r="B103" s="77" t="n">
        <x:f>'Resumen'!$B$5*A103/'Resumen'!$B$6</x:f>
        <x:v>1</x:v>
      </x:c>
      <x:c r="C103" s="77" t="n">
        <x:f>B103^3/3</x:f>
        <x:v>0.3333333333333333</x:v>
      </x:c>
      <x:c r="D103" s="77" t="n">
        <x:f>C103-C102</x:f>
        <x:v>0.009900333333333289</x:v>
      </x:c>
      <x:c r="E103" s="81" t="n">
        <x:v>-0.26416267894331436</x:v>
      </x:c>
      <x:c r="F103" s="86" t="n">
        <x:f>SQRT(D103)*E103</x:f>
        <x:v>-0.026284297175514268</x:v>
      </x:c>
      <x:c r="G103" s="86" t="n">
        <x:f>G102+F103</x:f>
        <x:v>-0.9250420104567226</x:v>
      </x:c>
      <x:c r="H103" s="87" t="n">
        <x:f>G103^2-C103</x:f>
        <x:v>0.5223693877764821</x:v>
      </x:c>
      <x:c r="J103" t="n">
        <x:f>B103</x:f>
        <x:v>1</x:v>
      </x:c>
      <x:c r="K103" t="n">
        <x:f>H103</x:f>
        <x:v>0.5223693877764821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8296fcbdaa454bf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18" hidden="0" customWidth="1"/>
    <x:col min="12" max="12" width="14" hidden="0" customWidth="1"/>
  </x:cols>
  <x:sheetData>
    <x:row r="1">
      <x:c r="A1" s="66" t="str">
        <x:v>5.000 réplicas independientes de M₁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>
      <x:c r="A2" s="67" t="str">
        <x:v>Réplica</x:v>
      </x:c>
      <x:c r="B2" s="67" t="str">
        <x:v>Z fijo</x:v>
      </x:c>
      <x:c r="C2" s="67" t="str">
        <x:v>A₁=√(1/3)·Z</x:v>
      </x:c>
      <x:c r="D2" s="67" t="str">
        <x:v>M₁=A₁²−1/3</x:v>
      </x:c>
      <x:c r="E2" s="67" t="str">
        <x:v>M₁+1/3</x:v>
      </x:c>
      <x:c r="G2" s="8" t="str">
        <x:v>Desde</x:v>
      </x:c>
      <x:c r="H2" s="8" t="str">
        <x:v>Hasta</x:v>
      </x:c>
      <x:c r="I2" s="8" t="str">
        <x:v>Frecuencia</x:v>
      </x:c>
      <x:c r="K2" t="str">
        <x:v>Intervalo</x:v>
      </x:c>
      <x:c r="L2" t="str">
        <x:v>Frecuencia</x:v>
      </x:c>
    </x:row>
    <x:row r="3">
      <x:c r="A3" s="88" t="n">
        <x:v>1</x:v>
      </x:c>
      <x:c r="B3" s="79" t="n">
        <x:v>0.0573605551342864</x:v>
      </x:c>
      <x:c r="C3" s="82" t="n">
        <x:f>SQRT('Resumen'!$B$5^3/3)*B3</x:f>
        <x:v>0.03311713194764662</x:v>
      </x:c>
      <x:c r="D3" s="82" t="n">
        <x:f>C3^2-'Resumen'!$B$5^3/3</x:f>
        <x:v>-0.3322365889048955</x:v>
      </x:c>
      <x:c r="E3" s="83" t="n">
        <x:f>D3+'Resumen'!$B$5^3/3</x:f>
        <x:v>0.0010967444284378236</x:v>
      </x:c>
      <x:c r="G3" s="91" t="n">
        <x:v>-0.3333333333333333</x:v>
      </x:c>
      <x:c r="H3" s="91" t="n">
        <x:v>-0.19555555555555557</x:v>
      </x:c>
      <x:c r="I3" s="92" t="n">
        <x:f>COUNTIFS($D$3:$D$5002,"&gt;="&amp;G3,$D$3:$D$5002,"&lt;"&amp;H3)</x:f>
        <x:v>2385</x:v>
      </x:c>
      <x:c r="K3" t="str">
        <x:v>-0.33 a -0.20</x:v>
      </x:c>
      <x:c r="L3" t="n">
        <x:f>I3</x:f>
        <x:v>2385</x:v>
      </x:c>
    </x:row>
    <x:row r="4">
      <x:c r="A4" s="89" t="n">
        <x:v>2</x:v>
      </x:c>
      <x:c r="B4" s="80" t="n">
        <x:v>-0.31096061149967086</x:v>
      </x:c>
      <x:c r="C4" s="84" t="n">
        <x:f>SQRT('Resumen'!$B$5^3/3)*B4</x:f>
        <x:v>-0.1795331927567056</x:v>
      </x:c>
      <x:c r="D4" s="84" t="n">
        <x:f>C4^2-'Resumen'!$B$5^3/3</x:f>
        <x:v>-0.3011011660319169</x:v>
      </x:c>
      <x:c r="E4" s="85" t="n">
        <x:f>D4+'Resumen'!$B$5^3/3</x:f>
        <x:v>0.032232167301416426</x:v>
      </x:c>
      <x:c r="G4" s="91" t="n">
        <x:v>-0.19555555555555557</x:v>
      </x:c>
      <x:c r="H4" s="91" t="n">
        <x:v>-0.05777777777777782</x:v>
      </x:c>
      <x:c r="I4" s="92" t="n">
        <x:f>COUNTIFS($D$3:$D$5002,"&gt;="&amp;G4,$D$3:$D$5002,"&lt;"&amp;H4)</x:f>
        <x:v>749</x:v>
      </x:c>
      <x:c r="K4" t="str">
        <x:v>-0.20 a -0.06</x:v>
      </x:c>
      <x:c r="L4" t="n">
        <x:f>I4</x:f>
        <x:v>749</x:v>
      </x:c>
    </x:row>
    <x:row r="5">
      <x:c r="A5" s="89" t="n">
        <x:v>3</x:v>
      </x:c>
      <x:c r="B5" s="80" t="n">
        <x:v>0.7478384547893403</x:v>
      </x:c>
      <x:c r="C5" s="84" t="n">
        <x:f>SQRT('Resumen'!$B$5^3/3)*B5</x:f>
        <x:v>0.43176473318297937</x:v>
      </x:c>
      <x:c r="D5" s="84" t="n">
        <x:f>C5^2-'Resumen'!$B$5^3/3</x:f>
        <x:v>-0.14691254851276395</x:v>
      </x:c>
      <x:c r="E5" s="85" t="n">
        <x:f>D5+'Resumen'!$B$5^3/3</x:f>
        <x:v>0.18642078482056937</x:v>
      </x:c>
      <x:c r="G5" s="91" t="n">
        <x:v>-0.05777777777777782</x:v>
      </x:c>
      <x:c r="H5" s="91" t="n">
        <x:v>0.0799999999999999</x:v>
      </x:c>
      <x:c r="I5" s="92" t="n">
        <x:f>COUNTIFS($D$3:$D$5002,"&gt;="&amp;G5,$D$3:$D$5002,"&lt;"&amp;H5)</x:f>
        <x:v>490</x:v>
      </x:c>
      <x:c r="K5" t="str">
        <x:v>-0.06 a 0.08</x:v>
      </x:c>
      <x:c r="L5" t="n">
        <x:f>I5</x:f>
        <x:v>490</x:v>
      </x:c>
    </x:row>
    <x:row r="6">
      <x:c r="A6" s="89" t="n">
        <x:v>4</x:v>
      </x:c>
      <x:c r="B6" s="80" t="n">
        <x:v>0.5816933161473619</x:v>
      </x:c>
      <x:c r="C6" s="84" t="n">
        <x:f>SQRT('Resumen'!$B$5^3/3)*B6</x:f>
        <x:v>0.33584079266348543</x:v>
      </x:c>
      <x:c r="D6" s="84" t="n">
        <x:f>C6^2-'Resumen'!$B$5^3/3</x:f>
        <x:v>-0.2205442953164951</x:v>
      </x:c>
      <x:c r="E6" s="85" t="n">
        <x:f>D6+'Resumen'!$B$5^3/3</x:f>
        <x:v>0.1127890380168382</x:v>
      </x:c>
      <x:c r="G6" s="91" t="n">
        <x:v>0.0799999999999999</x:v>
      </x:c>
      <x:c r="H6" s="91" t="n">
        <x:v>0.21777777777777768</x:v>
      </x:c>
      <x:c r="I6" s="92" t="n">
        <x:f>COUNTIFS($D$3:$D$5002,"&gt;="&amp;G6,$D$3:$D$5002,"&lt;"&amp;H6)</x:f>
        <x:v>312</x:v>
      </x:c>
      <x:c r="K6" t="str">
        <x:v>0.08 a 0.22</x:v>
      </x:c>
      <x:c r="L6" t="n">
        <x:f>I6</x:f>
        <x:v>312</x:v>
      </x:c>
    </x:row>
    <x:row r="7">
      <x:c r="A7" s="89" t="n">
        <x:v>5</x:v>
      </x:c>
      <x:c r="B7" s="80" t="n">
        <x:v>-0.45254745385939965</x:v>
      </x:c>
      <x:c r="C7" s="84" t="n">
        <x:f>SQRT('Resumen'!$B$5^3/3)*B7</x:f>
        <x:v>-0.2612783943068041</x:v>
      </x:c>
      <x:c r="D7" s="84" t="n">
        <x:f>C7^2-'Resumen'!$B$5^3/3</x:f>
        <x:v>-0.2650669340017915</x:v>
      </x:c>
      <x:c r="E7" s="85" t="n">
        <x:f>D7+'Resumen'!$B$5^3/3</x:f>
        <x:v>0.06826639933154183</x:v>
      </x:c>
      <x:c r="G7" s="91" t="n">
        <x:v>0.21777777777777768</x:v>
      </x:c>
      <x:c r="H7" s="91" t="n">
        <x:v>0.35555555555555546</x:v>
      </x:c>
      <x:c r="I7" s="92" t="n">
        <x:f>COUNTIFS($D$3:$D$5002,"&gt;="&amp;G7,$D$3:$D$5002,"&lt;"&amp;H7)</x:f>
        <x:v>273</x:v>
      </x:c>
      <x:c r="K7" t="str">
        <x:v>0.22 a 0.36</x:v>
      </x:c>
      <x:c r="L7" t="n">
        <x:f>I7</x:f>
        <x:v>273</x:v>
      </x:c>
    </x:row>
    <x:row r="8">
      <x:c r="A8" s="89" t="n">
        <x:v>6</x:v>
      </x:c>
      <x:c r="B8" s="80" t="n">
        <x:v>-0.14427759713126995</x:v>
      </x:c>
      <x:c r="C8" s="84" t="n">
        <x:f>SQRT('Resumen'!$B$5^3/3)*B8</x:f>
        <x:v>-0.08329870954177107</x:v>
      </x:c>
      <x:c r="D8" s="84" t="n">
        <x:f>C8^2-'Resumen'!$B$5^3/3</x:f>
        <x:v>-0.326394658322009</x:v>
      </x:c>
      <x:c r="E8" s="85" t="n">
        <x:f>D8+'Resumen'!$B$5^3/3</x:f>
        <x:v>0.006938675011324336</x:v>
      </x:c>
      <x:c r="G8" s="91" t="n">
        <x:v>0.35555555555555546</x:v>
      </x:c>
      <x:c r="H8" s="91" t="n">
        <x:v>0.4933333333333331</x:v>
      </x:c>
      <x:c r="I8" s="92" t="n">
        <x:f>COUNTIFS($D$3:$D$5002,"&gt;="&amp;G8,$D$3:$D$5002,"&lt;"&amp;H8)</x:f>
        <x:v>189</x:v>
      </x:c>
      <x:c r="K8" t="str">
        <x:v>0.36 a 0.49</x:v>
      </x:c>
      <x:c r="L8" t="n">
        <x:f>I8</x:f>
        <x:v>189</x:v>
      </x:c>
    </x:row>
    <x:row r="9">
      <x:c r="A9" s="89" t="n">
        <x:v>7</x:v>
      </x:c>
      <x:c r="B9" s="80" t="n">
        <x:v>-0.6026032626984548</x:v>
      </x:c>
      <x:c r="C9" s="84" t="n">
        <x:f>SQRT('Resumen'!$B$5^3/3)*B9</x:f>
        <x:v>-0.3479131559334996</x:v>
      </x:c>
      <x:c r="D9" s="84" t="n">
        <x:f>C9^2-'Resumen'!$B$5^3/3</x:f>
        <x:v>-0.2122897692617257</x:v>
      </x:c>
      <x:c r="E9" s="85" t="n">
        <x:f>D9+'Resumen'!$B$5^3/3</x:f>
        <x:v>0.1210435640716076</x:v>
      </x:c>
      <x:c r="G9" s="91" t="n">
        <x:v>0.4933333333333331</x:v>
      </x:c>
      <x:c r="H9" s="91" t="n">
        <x:v>0.631111111111111</x:v>
      </x:c>
      <x:c r="I9" s="92" t="n">
        <x:f>COUNTIFS($D$3:$D$5002,"&gt;="&amp;G9,$D$3:$D$5002,"&lt;"&amp;H9)</x:f>
        <x:v>142</x:v>
      </x:c>
      <x:c r="K9" t="str">
        <x:v>0.49 a 0.63</x:v>
      </x:c>
      <x:c r="L9" t="n">
        <x:f>I9</x:f>
        <x:v>142</x:v>
      </x:c>
    </x:row>
    <x:row r="10">
      <x:c r="A10" s="89" t="n">
        <x:v>8</x:v>
      </x:c>
      <x:c r="B10" s="80" t="n">
        <x:v>-0.23028506948583086</x:v>
      </x:c>
      <x:c r="C10" s="84" t="n">
        <x:f>SQRT('Resumen'!$B$5^3/3)*B10</x:f>
        <x:v>-0.13295514685799611</x:v>
      </x:c>
      <x:c r="D10" s="84" t="n">
        <x:f>C10^2-'Resumen'!$B$5^3/3</x:f>
        <x:v>-0.315656262257302</x:v>
      </x:c>
      <x:c r="E10" s="85" t="n">
        <x:f>D10+'Resumen'!$B$5^3/3</x:f>
        <x:v>0.017677071076031337</x:v>
      </x:c>
      <x:c r="G10" s="91" t="n">
        <x:v>0.631111111111111</x:v>
      </x:c>
      <x:c r="H10" s="91" t="n">
        <x:v>0.7688888888888887</x:v>
      </x:c>
      <x:c r="I10" s="92" t="n">
        <x:f>COUNTIFS($D$3:$D$5002,"&gt;="&amp;G10,$D$3:$D$5002,"&lt;"&amp;H10)</x:f>
        <x:v>98</x:v>
      </x:c>
      <x:c r="K10" t="str">
        <x:v>0.63 a 0.77</x:v>
      </x:c>
      <x:c r="L10" t="n">
        <x:f>I10</x:f>
        <x:v>98</x:v>
      </x:c>
    </x:row>
    <x:row r="11">
      <x:c r="A11" s="89" t="n">
        <x:v>9</x:v>
      </x:c>
      <x:c r="B11" s="80" t="n">
        <x:v>0.933353766100879</x:v>
      </x:c>
      <x:c r="C11" s="84" t="n">
        <x:f>SQRT('Resumen'!$B$5^3/3)*B11</x:f>
        <x:v>0.5388720481074935</x:v>
      </x:c>
      <x:c r="D11" s="84" t="n">
        <x:f>C11^2-'Resumen'!$B$5^3/3</x:f>
        <x:v>-0.04295024910176859</x:v>
      </x:c>
      <x:c r="E11" s="85" t="n">
        <x:f>D11+'Resumen'!$B$5^3/3</x:f>
        <x:v>0.2903830842315647</x:v>
      </x:c>
      <x:c r="G11" s="91" t="n">
        <x:v>0.7688888888888887</x:v>
      </x:c>
      <x:c r="H11" s="91" t="n">
        <x:v>0.9066666666666665</x:v>
      </x:c>
      <x:c r="I11" s="92" t="n">
        <x:f>COUNTIFS($D$3:$D$5002,"&gt;="&amp;G11,$D$3:$D$5002,"&lt;"&amp;H11)</x:f>
        <x:v>80</x:v>
      </x:c>
      <x:c r="K11" t="str">
        <x:v>0.77 a 0.91</x:v>
      </x:c>
      <x:c r="L11" t="n">
        <x:f>I11</x:f>
        <x:v>80</x:v>
      </x:c>
    </x:row>
    <x:row r="12">
      <x:c r="A12" s="89" t="n">
        <x:v>10</x:v>
      </x:c>
      <x:c r="B12" s="80" t="n">
        <x:v>0.4019241431371779</x:v>
      </x:c>
      <x:c r="C12" s="84" t="n">
        <x:f>SQRT('Resumen'!$B$5^3/3)*B12</x:f>
        <x:v>0.23205101223405933</x:v>
      </x:c>
      <x:c r="D12" s="84" t="n">
        <x:f>C12^2-'Resumen'!$B$5^3/3</x:f>
        <x:v>-0.27948566105448175</x:v>
      </x:c>
      <x:c r="E12" s="85" t="n">
        <x:f>D12+'Resumen'!$B$5^3/3</x:f>
        <x:v>0.053847672278851566</x:v>
      </x:c>
      <x:c r="G12" s="91" t="n">
        <x:v>0.9066666666666665</x:v>
      </x:c>
      <x:c r="H12" s="91" t="n">
        <x:v>1.0444444444444443</x:v>
      </x:c>
      <x:c r="I12" s="92" t="n">
        <x:f>COUNTIFS($D$3:$D$5002,"&gt;="&amp;G12,$D$3:$D$5002,"&lt;"&amp;H12)</x:f>
        <x:v>68</x:v>
      </x:c>
      <x:c r="K12" t="str">
        <x:v>0.91 a 1.04</x:v>
      </x:c>
      <x:c r="L12" t="n">
        <x:f>I12</x:f>
        <x:v>68</x:v>
      </x:c>
    </x:row>
    <x:row r="13">
      <x:c r="A13" s="89" t="n">
        <x:v>11</x:v>
      </x:c>
      <x:c r="B13" s="80" t="n">
        <x:v>0.7413349446660409</x:v>
      </x:c>
      <x:c r="C13" s="84" t="n">
        <x:f>SQRT('Resumen'!$B$5^3/3)*B13</x:f>
        <x:v>0.428009929862615</x:v>
      </x:c>
      <x:c r="D13" s="84" t="n">
        <x:f>C13^2-'Resumen'!$B$5^3/3</x:f>
        <x:v>-0.1501408332723327</x:v>
      </x:c>
      <x:c r="E13" s="85" t="n">
        <x:f>D13+'Resumen'!$B$5^3/3</x:f>
        <x:v>0.1831925000610006</x:v>
      </x:c>
      <x:c r="G13" s="91" t="n">
        <x:v>1.0444444444444443</x:v>
      </x:c>
      <x:c r="H13" s="91" t="n">
        <x:v>1.182222222222222</x:v>
      </x:c>
      <x:c r="I13" s="92" t="n">
        <x:f>COUNTIFS($D$3:$D$5002,"&gt;="&amp;G13,$D$3:$D$5002,"&lt;"&amp;H13)</x:f>
        <x:v>44</x:v>
      </x:c>
      <x:c r="K13" t="str">
        <x:v>1.04 a 1.18</x:v>
      </x:c>
      <x:c r="L13" t="n">
        <x:f>I13</x:f>
        <x:v>44</x:v>
      </x:c>
    </x:row>
    <x:row r="14">
      <x:c r="A14" s="89" t="n">
        <x:v>12</x:v>
      </x:c>
      <x:c r="B14" s="80" t="n">
        <x:v>-0.21220592819986964</x:v>
      </x:c>
      <x:c r="C14" s="84" t="n">
        <x:f>SQRT('Resumen'!$B$5^3/3)*B14</x:f>
        <x:v>-0.12251714976982912</x:v>
      </x:c>
      <x:c r="D14" s="84" t="n">
        <x:f>C14^2-'Resumen'!$B$5^3/3</x:f>
        <x:v>-0.3183228813456106</x:v>
      </x:c>
      <x:c r="E14" s="85" t="n">
        <x:f>D14+'Resumen'!$B$5^3/3</x:f>
        <x:v>0.015010451987722717</x:v>
      </x:c>
      <x:c r="G14" s="91" t="n">
        <x:v>1.182222222222222</x:v>
      </x:c>
      <x:c r="H14" s="91" t="n">
        <x:v>1.3199999999999996</x:v>
      </x:c>
      <x:c r="I14" s="92" t="n">
        <x:f>COUNTIFS($D$3:$D$5002,"&gt;="&amp;G14,$D$3:$D$5002,"&lt;"&amp;H14)</x:f>
        <x:v>36</x:v>
      </x:c>
      <x:c r="K14" t="str">
        <x:v>1.18 a 1.32</x:v>
      </x:c>
      <x:c r="L14" t="n">
        <x:f>I14</x:f>
        <x:v>36</x:v>
      </x:c>
    </x:row>
    <x:row r="15">
      <x:c r="A15" s="89" t="n">
        <x:v>13</x:v>
      </x:c>
      <x:c r="B15" s="80" t="n">
        <x:v>0.3846960853717952</x:v>
      </x:c>
      <x:c r="C15" s="84" t="n">
        <x:f>SQRT('Resumen'!$B$5^3/3)*B15</x:f>
        <x:v>0.2221043884456012</x:v>
      </x:c>
      <x:c r="D15" s="84" t="n">
        <x:f>C15^2-'Resumen'!$B$5^3/3</x:f>
        <x:v>-0.2840029739665388</x:v>
      </x:c>
      <x:c r="E15" s="85" t="n">
        <x:f>D15+'Resumen'!$B$5^3/3</x:f>
        <x:v>0.04933035936679453</x:v>
      </x:c>
      <x:c r="G15" s="91" t="n">
        <x:v>1.3199999999999996</x:v>
      </x:c>
      <x:c r="H15" s="91" t="n">
        <x:v>1.4577777777777774</x:v>
      </x:c>
      <x:c r="I15" s="92" t="n">
        <x:f>COUNTIFS($D$3:$D$5002,"&gt;="&amp;G15,$D$3:$D$5002,"&lt;"&amp;H15)</x:f>
        <x:v>27</x:v>
      </x:c>
      <x:c r="K15" t="str">
        <x:v>1.32 a 1.46</x:v>
      </x:c>
      <x:c r="L15" t="n">
        <x:f>I15</x:f>
        <x:v>27</x:v>
      </x:c>
    </x:row>
    <x:row r="16">
      <x:c r="A16" s="89" t="n">
        <x:v>14</x:v>
      </x:c>
      <x:c r="B16" s="80" t="n">
        <x:v>1.946481997418083</x:v>
      </x:c>
      <x:c r="C16" s="84" t="n">
        <x:f>SQRT('Resumen'!$B$5^3/3)*B16</x:f>
        <x:v>1.1238019051820904</x:v>
      </x:c>
      <x:c r="D16" s="84" t="n">
        <x:f>C16^2-'Resumen'!$B$5^3/3</x:f>
        <x:v>0.929597388757563</x:v>
      </x:c>
      <x:c r="E16" s="85" t="n">
        <x:f>D16+'Resumen'!$B$5^3/3</x:f>
        <x:v>1.2629307220908963</x:v>
      </x:c>
      <x:c r="G16" s="91" t="n">
        <x:v>1.4577777777777774</x:v>
      </x:c>
      <x:c r="H16" s="91" t="n">
        <x:v>1.5955555555555552</x:v>
      </x:c>
      <x:c r="I16" s="92" t="n">
        <x:f>COUNTIFS($D$3:$D$5002,"&gt;="&amp;G16,$D$3:$D$5002,"&lt;"&amp;H16)</x:f>
        <x:v>23</x:v>
      </x:c>
      <x:c r="K16" t="str">
        <x:v>1.46 a 1.60</x:v>
      </x:c>
      <x:c r="L16" t="n">
        <x:f>I16</x:f>
        <x:v>23</x:v>
      </x:c>
    </x:row>
    <x:row r="17">
      <x:c r="A17" s="89" t="n">
        <x:v>15</x:v>
      </x:c>
      <x:c r="B17" s="80" t="n">
        <x:v>-0.8485944491349604</x:v>
      </x:c>
      <x:c r="C17" s="84" t="n">
        <x:f>SQRT('Resumen'!$B$5^3/3)*B17</x:f>
        <x:v>-0.48993623364089156</x:v>
      </x:c>
      <x:c r="D17" s="84" t="n">
        <x:f>C17^2-'Resumen'!$B$5^3/3</x:f>
        <x:v>-0.09329582029911104</x:v>
      </x:c>
      <x:c r="E17" s="85" t="n">
        <x:f>D17+'Resumen'!$B$5^3/3</x:f>
        <x:v>0.24003751303422227</x:v>
      </x:c>
      <x:c r="G17" s="91" t="n">
        <x:v>1.5955555555555552</x:v>
      </x:c>
      <x:c r="H17" s="91" t="n">
        <x:v>1.7333333333333332</x:v>
      </x:c>
      <x:c r="I17" s="92" t="n">
        <x:f>COUNTIFS($D$3:$D$5002,"&gt;="&amp;G17,$D$3:$D$5002,"&lt;"&amp;H17)</x:f>
        <x:v>22</x:v>
      </x:c>
      <x:c r="K17" t="str">
        <x:v>1.60 a 1.73</x:v>
      </x:c>
      <x:c r="L17" t="n">
        <x:f>I17</x:f>
        <x:v>22</x:v>
      </x:c>
    </x:row>
    <x:row r="18">
      <x:c r="A18" s="89" t="n">
        <x:v>16</x:v>
      </x:c>
      <x:c r="B18" s="80" t="n">
        <x:v>1.732772366819117</x:v>
      </x:c>
      <x:c r="C18" s="84" t="n">
        <x:f>SQRT('Resumen'!$B$5^3/3)*B18</x:f>
        <x:v>1.000416592427362</x:v>
      </x:c>
      <x:c r="D18" s="84" t="n">
        <x:f>C18^2-'Resumen'!$B$5^3/3</x:f>
        <x:v>0.6675000250706413</x:v>
      </x:c>
      <x:c r="E18" s="85" t="n">
        <x:f>D18+'Resumen'!$B$5^3/3</x:f>
        <x:v>1.0008333584039746</x:v>
      </x:c>
      <x:c r="G18" s="91" t="n">
        <x:v>1.7333333333333332</x:v>
      </x:c>
      <x:c r="H18" s="91" t="n">
        <x:v>1.8711111111111107</x:v>
      </x:c>
      <x:c r="I18" s="92" t="n">
        <x:f>COUNTIFS($D$3:$D$5002,"&gt;="&amp;G18,$D$3:$D$5002,"&lt;"&amp;H18)</x:f>
        <x:v>11</x:v>
      </x:c>
      <x:c r="K18" t="str">
        <x:v>1.73 a 1.87</x:v>
      </x:c>
      <x:c r="L18" t="n">
        <x:f>I18</x:f>
        <x:v>11</x:v>
      </x:c>
    </x:row>
    <x:row r="19">
      <x:c r="A19" s="89" t="n">
        <x:v>17</x:v>
      </x:c>
      <x:c r="B19" s="80" t="n">
        <x:v>-0.10227542682478855</x:v>
      </x:c>
      <x:c r="C19" s="84" t="n">
        <x:f>SQRT('Resumen'!$B$5^3/3)*B19</x:f>
        <x:v>-0.05904874520877554</x:v>
      </x:c>
      <x:c r="D19" s="84" t="n">
        <x:f>C19^2-'Resumen'!$B$5^3/3</x:f>
        <x:v>-0.32984657902260245</x:v>
      </x:c>
      <x:c r="E19" s="85" t="n">
        <x:f>D19+'Resumen'!$B$5^3/3</x:f>
        <x:v>0.0034867543107308663</x:v>
      </x:c>
      <x:c r="G19" s="91" t="n">
        <x:v>1.8711111111111107</x:v>
      </x:c>
      <x:c r="H19" s="91" t="n">
        <x:v>2.008888888888888</x:v>
      </x:c>
      <x:c r="I19" s="92" t="n">
        <x:f>COUNTIFS($D$3:$D$5002,"&gt;="&amp;G19,$D$3:$D$5002,"&lt;"&amp;H19)</x:f>
        <x:v>11</x:v>
      </x:c>
      <x:c r="K19" t="str">
        <x:v>1.87 a 2.01</x:v>
      </x:c>
      <x:c r="L19" t="n">
        <x:f>I19</x:f>
        <x:v>11</x:v>
      </x:c>
    </x:row>
    <x:row r="20">
      <x:c r="A20" s="89" t="n">
        <x:v>18</x:v>
      </x:c>
      <x:c r="B20" s="80" t="n">
        <x:v>-2.490093784632568</x:v>
      </x:c>
      <x:c r="C20" s="84" t="n">
        <x:f>SQRT('Resumen'!$B$5^3/3)*B20</x:f>
        <x:v>-1.4376563168650272</x:v>
      </x:c>
      <x:c r="D20" s="84" t="n">
        <x:f>C20^2-'Resumen'!$B$5^3/3</x:f>
        <x:v>1.7335223520885823</x:v>
      </x:c>
      <x:c r="E20" s="85" t="n">
        <x:f>D20+'Resumen'!$B$5^3/3</x:f>
        <x:v>2.0668556854219156</x:v>
      </x:c>
      <x:c r="G20" s="91" t="n">
        <x:v>2.008888888888888</x:v>
      </x:c>
      <x:c r="H20" s="91" t="n">
        <x:v>2.146666666666666</x:v>
      </x:c>
      <x:c r="I20" s="92" t="n">
        <x:f>COUNTIFS($D$3:$D$5002,"&gt;="&amp;G20,$D$3:$D$5002,"&lt;"&amp;H20)</x:f>
        <x:v>11</x:v>
      </x:c>
      <x:c r="K20" t="str">
        <x:v>2.01 a 2.15</x:v>
      </x:c>
      <x:c r="L20" t="n">
        <x:f>I20</x:f>
        <x:v>11</x:v>
      </x:c>
    </x:row>
    <x:row r="21">
      <x:c r="A21" s="89" t="n">
        <x:v>19</x:v>
      </x:c>
      <x:c r="B21" s="80" t="n">
        <x:v>-1.486107732076464</x:v>
      </x:c>
      <x:c r="C21" s="84" t="n">
        <x:f>SQRT('Resumen'!$B$5^3/3)*B21</x:f>
        <x:v>-0.8580046991591307</x:v>
      </x:c>
      <x:c r="D21" s="84" t="n">
        <x:f>C21^2-'Resumen'!$B$5^3/3</x:f>
        <x:v>0.40283873044581703</x:v>
      </x:c>
      <x:c r="E21" s="85" t="n">
        <x:f>D21+'Resumen'!$B$5^3/3</x:f>
        <x:v>0.7361720637791503</x:v>
      </x:c>
      <x:c r="G21" s="91" t="n">
        <x:v>2.146666666666666</x:v>
      </x:c>
      <x:c r="H21" s="91" t="n">
        <x:v>2.2844444444444436</x:v>
      </x:c>
      <x:c r="I21" s="92" t="n">
        <x:f>COUNTIFS($D$3:$D$5002,"&gt;="&amp;G21,$D$3:$D$5002,"&lt;"&amp;H21)</x:f>
        <x:v>3</x:v>
      </x:c>
      <x:c r="K21" t="str">
        <x:v>2.15 a 2.28</x:v>
      </x:c>
      <x:c r="L21" t="n">
        <x:f>I21</x:f>
        <x:v>3</x:v>
      </x:c>
    </x:row>
    <x:row r="22">
      <x:c r="A22" s="89" t="n">
        <x:v>20</x:v>
      </x:c>
      <x:c r="B22" s="80" t="n">
        <x:v>0.15822632912688503</x:v>
      </x:c>
      <x:c r="C22" s="84" t="n">
        <x:f>SQRT('Resumen'!$B$5^3/3)*B22</x:f>
        <x:v>0.09135201371429338</x:v>
      </x:c>
      <x:c r="D22" s="84" t="n">
        <x:f>C22^2-'Resumen'!$B$5^3/3</x:f>
        <x:v>-0.3249881429236769</x:v>
      </x:c>
      <x:c r="E22" s="85" t="n">
        <x:f>D22+'Resumen'!$B$5^3/3</x:f>
        <x:v>0.008345190409656422</x:v>
      </x:c>
      <x:c r="G22" s="91" t="n">
        <x:v>2.2844444444444436</x:v>
      </x:c>
      <x:c r="H22" s="91" t="n">
        <x:v>2.4222222222222216</x:v>
      </x:c>
      <x:c r="I22" s="92" t="n">
        <x:f>COUNTIFS($D$3:$D$5002,"&gt;="&amp;G22,$D$3:$D$5002,"&lt;"&amp;H22)</x:f>
        <x:v>3</x:v>
      </x:c>
      <x:c r="K22" t="str">
        <x:v>2.28 a 2.42</x:v>
      </x:c>
      <x:c r="L22" t="n">
        <x:f>I22</x:f>
        <x:v>3</x:v>
      </x:c>
    </x:row>
    <x:row r="23">
      <x:c r="A23" s="89" t="n">
        <x:v>21</x:v>
      </x:c>
      <x:c r="B23" s="80" t="n">
        <x:v>-0.7267533040745996</x:v>
      </x:c>
      <x:c r="C23" s="84" t="n">
        <x:f>SQRT('Resumen'!$B$5^3/3)*B23</x:f>
        <x:v>-0.41959121574192</x:v>
      </x:c>
      <x:c r="D23" s="84" t="n">
        <x:f>C23^2-'Resumen'!$B$5^3/3</x:f>
        <x:v>-0.15727654500555088</x:v>
      </x:c>
      <x:c r="E23" s="85" t="n">
        <x:f>D23+'Resumen'!$B$5^3/3</x:f>
        <x:v>0.17605678832778243</x:v>
      </x:c>
      <x:c r="G23" s="91" t="n">
        <x:v>2.4222222222222216</x:v>
      </x:c>
      <x:c r="H23" s="91" t="n">
        <x:v>2.559999999999999</x:v>
      </x:c>
      <x:c r="I23" s="92" t="n">
        <x:f>COUNTIFS($D$3:$D$5002,"&gt;="&amp;G23,$D$3:$D$5002,"&lt;"&amp;H23)</x:f>
        <x:v>7</x:v>
      </x:c>
      <x:c r="K23" t="str">
        <x:v>2.42 a 2.56</x:v>
      </x:c>
      <x:c r="L23" t="n">
        <x:f>I23</x:f>
        <x:v>7</x:v>
      </x:c>
    </x:row>
    <x:row r="24">
      <x:c r="A24" s="89" t="n">
        <x:v>22</x:v>
      </x:c>
      <x:c r="B24" s="80" t="n">
        <x:v>-1.965142838463868</x:v>
      </x:c>
      <x:c r="C24" s="84" t="n">
        <x:f>SQRT('Resumen'!$B$5^3/3)*B24</x:f>
        <x:v>-1.1345757467831794</x:v>
      </x:c>
      <x:c r="D24" s="84" t="n">
        <x:f>C24^2-'Resumen'!$B$5^3/3</x:f>
        <x:v>0.9539287918552759</x:v>
      </x:c>
      <x:c r="E24" s="85" t="n">
        <x:f>D24+'Resumen'!$B$5^3/3</x:f>
        <x:v>1.2872621251886092</x:v>
      </x:c>
      <x:c r="G24" s="91" t="n">
        <x:v>2.559999999999999</x:v>
      </x:c>
      <x:c r="H24" s="91" t="n">
        <x:v>2.697777777777777</x:v>
      </x:c>
      <x:c r="I24" s="92" t="n">
        <x:f>COUNTIFS($D$3:$D$5002,"&gt;="&amp;G24,$D$3:$D$5002,"&lt;"&amp;H24)</x:f>
        <x:v>3</x:v>
      </x:c>
      <x:c r="K24" t="str">
        <x:v>2.56 a 2.70</x:v>
      </x:c>
      <x:c r="L24" t="n">
        <x:f>I24</x:f>
        <x:v>3</x:v>
      </x:c>
    </x:row>
    <x:row r="25">
      <x:c r="A25" s="89" t="n">
        <x:v>23</x:v>
      </x:c>
      <x:c r="B25" s="80" t="n">
        <x:v>1.6004387747485807</x:v>
      </x:c>
      <x:c r="C25" s="84" t="n">
        <x:f>SQRT('Resumen'!$B$5^3/3)*B25</x:f>
        <x:v>0.9240137574226078</x:v>
      </x:c>
      <x:c r="D25" s="84" t="n">
        <x:f>C25^2-'Resumen'!$B$5^3/3</x:f>
        <x:v>0.5204680905729127</x:v>
      </x:c>
      <x:c r="E25" s="85" t="n">
        <x:f>D25+'Resumen'!$B$5^3/3</x:f>
        <x:v>0.8538014239062459</x:v>
      </x:c>
      <x:c r="G25" s="91" t="n">
        <x:v>2.697777777777777</x:v>
      </x:c>
      <x:c r="H25" s="91" t="n">
        <x:v>2.8355555555555547</x:v>
      </x:c>
      <x:c r="I25" s="92" t="n">
        <x:f>COUNTIFS($D$3:$D$5002,"&gt;="&amp;G25,$D$3:$D$5002,"&lt;"&amp;H25)</x:f>
        <x:v>3</x:v>
      </x:c>
      <x:c r="K25" t="str">
        <x:v>2.70 a 2.84</x:v>
      </x:c>
      <x:c r="L25" t="n">
        <x:f>I25</x:f>
        <x:v>3</x:v>
      </x:c>
    </x:row>
    <x:row r="26">
      <x:c r="A26" s="89" t="n">
        <x:v>24</x:v>
      </x:c>
      <x:c r="B26" s="80" t="n">
        <x:v>-1.1583397806813158</x:v>
      </x:c>
      <x:c r="C26" s="84" t="n">
        <x:f>SQRT('Resumen'!$B$5^3/3)*B26</x:f>
        <x:v>-0.6687677841894097</x:v>
      </x:c>
      <x:c r="D26" s="84" t="n">
        <x:f>C26^2-'Resumen'!$B$5^3/3</x:f>
        <x:v>0.11391701583627961</x:v>
      </x:c>
      <x:c r="E26" s="85" t="n">
        <x:f>D26+'Resumen'!$B$5^3/3</x:f>
        <x:v>0.4472503491696129</x:v>
      </x:c>
      <x:c r="G26" s="91" t="n">
        <x:v>2.8355555555555547</x:v>
      </x:c>
      <x:c r="H26" s="91" t="n">
        <x:v>2.9733333333333323</x:v>
      </x:c>
      <x:c r="I26" s="92" t="n">
        <x:f>COUNTIFS($D$3:$D$5002,"&gt;="&amp;G26,$D$3:$D$5002,"&lt;"&amp;H26)</x:f>
        <x:v>1</x:v>
      </x:c>
      <x:c r="K26" t="str">
        <x:v>2.84 a 2.97</x:v>
      </x:c>
      <x:c r="L26" t="n">
        <x:f>I26</x:f>
        <x:v>1</x:v>
      </x:c>
    </x:row>
    <x:row r="27">
      <x:c r="A27" s="89" t="n">
        <x:v>25</x:v>
      </x:c>
      <x:c r="B27" s="80" t="n">
        <x:v>-0.18576149638212566</x:v>
      </x:c>
      <x:c r="C27" s="84" t="n">
        <x:f>SQRT('Resumen'!$B$5^3/3)*B27</x:f>
        <x:v>-0.10724944994128793</x:v>
      </x:c>
      <x:c r="D27" s="84" t="n">
        <x:f>C27^2-'Resumen'!$B$5^3/3</x:f>
        <x:v>-0.3218308888206245</x:v>
      </x:c>
      <x:c r="E27" s="85" t="n">
        <x:f>D27+'Resumen'!$B$5^3/3</x:f>
        <x:v>0.01150244451270882</x:v>
      </x:c>
      <x:c r="G27" s="91" t="n">
        <x:v>2.9733333333333323</x:v>
      </x:c>
      <x:c r="H27" s="91" t="n">
        <x:v>3.1111111111111103</x:v>
      </x:c>
      <x:c r="I27" s="92" t="n">
        <x:f>COUNTIFS($D$3:$D$5002,"&gt;="&amp;G27,$D$3:$D$5002,"&lt;"&amp;H27)</x:f>
        <x:v>1</x:v>
      </x:c>
      <x:c r="K27" t="str">
        <x:v>2.97 a 3.11</x:v>
      </x:c>
      <x:c r="L27" t="n">
        <x:f>I27</x:f>
        <x:v>1</x:v>
      </x:c>
    </x:row>
    <x:row r="28">
      <x:c r="A28" s="89" t="n">
        <x:v>26</x:v>
      </x:c>
      <x:c r="B28" s="80" t="n">
        <x:v>-0.7040519751279719</x:v>
      </x:c>
      <x:c r="C28" s="84" t="n">
        <x:f>SQRT('Resumen'!$B$5^3/3)*B28</x:f>
        <x:v>-0.40648459736362225</x:v>
      </x:c>
      <x:c r="D28" s="84" t="n">
        <x:f>C28^2-'Resumen'!$B$5^3/3</x:f>
        <x:v>-0.16810360543946723</x:v>
      </x:c>
      <x:c r="E28" s="85" t="n">
        <x:f>D28+'Resumen'!$B$5^3/3</x:f>
        <x:v>0.16522972789386609</x:v>
      </x:c>
      <x:c r="G28" s="91" t="n">
        <x:v>3.1111111111111103</x:v>
      </x:c>
      <x:c r="H28" s="91" t="n">
        <x:v>3.248888888888888</x:v>
      </x:c>
      <x:c r="I28" s="92" t="n">
        <x:f>COUNTIFS($D$3:$D$5002,"&gt;="&amp;G28,$D$3:$D$5002,"&lt;"&amp;H28)</x:f>
        <x:v>3</x:v>
      </x:c>
      <x:c r="K28" t="str">
        <x:v>3.11 a 3.25</x:v>
      </x:c>
      <x:c r="L28" t="n">
        <x:f>I28</x:f>
        <x:v>3</x:v>
      </x:c>
    </x:row>
    <x:row r="29">
      <x:c r="A29" s="89" t="n">
        <x:v>27</x:v>
      </x:c>
      <x:c r="B29" s="80" t="n">
        <x:v>1.4076144882512196</x:v>
      </x:c>
      <x:c r="C29" s="84" t="n">
        <x:f>SQRT('Resumen'!$B$5^3/3)*B29</x:f>
        <x:v>0.8126866037070589</x:v>
      </x:c>
      <x:c r="D29" s="84" t="n">
        <x:f>C29^2-'Resumen'!$B$5^3/3</x:f>
        <x:v>0.32712618251158093</x:v>
      </x:c>
      <x:c r="E29" s="85" t="n">
        <x:f>D29+'Resumen'!$B$5^3/3</x:f>
        <x:v>0.6604595158449142</x:v>
      </x:c>
      <x:c r="G29" s="91" t="n">
        <x:v>3.248888888888888</x:v>
      </x:c>
      <x:c r="H29" s="91" t="n">
        <x:v>3.386666666666666</x:v>
      </x:c>
      <x:c r="I29" s="92" t="n">
        <x:f>COUNTIFS($D$3:$D$5002,"&gt;="&amp;G29,$D$3:$D$5002,"&lt;"&amp;H29)</x:f>
        <x:v>2</x:v>
      </x:c>
      <x:c r="K29" t="str">
        <x:v>3.25 a 3.39</x:v>
      </x:c>
      <x:c r="L29" t="n">
        <x:f>I29</x:f>
        <x:v>2</x:v>
      </x:c>
    </x:row>
    <x:row r="30">
      <x:c r="A30" s="89" t="n">
        <x:v>28</x:v>
      </x:c>
      <x:c r="B30" s="80" t="n">
        <x:v>-1.364328862389424</x:v>
      </x:c>
      <x:c r="C30" s="84" t="n">
        <x:f>SQRT('Resumen'!$B$5^3/3)*B30</x:f>
        <x:v>-0.7876956359637098</x:v>
      </x:c>
      <x:c r="D30" s="84" t="n">
        <x:f>C30^2-'Resumen'!$B$5^3/3</x:f>
        <x:v>0.28713108158293993</x:v>
      </x:c>
      <x:c r="E30" s="85" t="n">
        <x:f>D30+'Resumen'!$B$5^3/3</x:f>
        <x:v>0.6204644149162732</x:v>
      </x:c>
      <x:c r="G30" s="91" t="n">
        <x:v>3.386666666666666</x:v>
      </x:c>
      <x:c r="H30" s="91" t="n">
        <x:v>3.5244444444444434</x:v>
      </x:c>
      <x:c r="I30" s="92" t="n">
        <x:f>COUNTIFS($D$3:$D$5002,"&gt;="&amp;G30,$D$3:$D$5002,"&lt;"&amp;H30)</x:f>
        <x:v>1</x:v>
      </x:c>
      <x:c r="K30" t="str">
        <x:v>3.39 a 3.52</x:v>
      </x:c>
      <x:c r="L30" t="n">
        <x:f>I30</x:f>
        <x:v>1</x:v>
      </x:c>
    </x:row>
    <x:row r="31">
      <x:c r="A31" s="89" t="n">
        <x:v>29</x:v>
      </x:c>
      <x:c r="B31" s="80" t="n">
        <x:v>-0.7244134781377818</x:v>
      </x:c>
      <x:c r="C31" s="84" t="n">
        <x:f>SQRT('Resumen'!$B$5^3/3)*B31</x:f>
        <x:v>-0.4182403166074414</x:v>
      </x:c>
      <x:c r="D31" s="84" t="n">
        <x:f>C31^2-'Resumen'!$B$5^3/3</x:f>
        <x:v>-0.1584083708974405</x:v>
      </x:c>
      <x:c r="E31" s="85" t="n">
        <x:f>D31+'Resumen'!$B$5^3/3</x:f>
        <x:v>0.1749249624358928</x:v>
      </x:c>
      <x:c r="G31" s="91" t="n">
        <x:v>3.5244444444444434</x:v>
      </x:c>
      <x:c r="H31" s="91" t="n">
        <x:v>3.6622222222222214</x:v>
      </x:c>
      <x:c r="I31" s="92" t="n">
        <x:f>COUNTIFS($D$3:$D$5002,"&gt;="&amp;G31,$D$3:$D$5002,"&lt;"&amp;H31)</x:f>
        <x:v>2</x:v>
      </x:c>
      <x:c r="K31" t="str">
        <x:v>3.52 a 3.66</x:v>
      </x:c>
      <x:c r="L31" t="n">
        <x:f>I31</x:f>
        <x:v>2</x:v>
      </x:c>
    </x:row>
    <x:row r="32">
      <x:c r="A32" s="89" t="n">
        <x:v>30</x:v>
      </x:c>
      <x:c r="B32" s="80" t="n">
        <x:v>2.1410461309243245</x:v>
      </x:c>
      <x:c r="C32" s="84" t="n">
        <x:f>SQRT('Resumen'!$B$5^3/3)*B32</x:f>
        <x:v>1.2361335600365655</x:v>
      </x:c>
      <x:c r="D32" s="84" t="n">
        <x:f>C32^2-'Resumen'!$B$5^3/3</x:f>
        <x:v>1.19469284491534</x:v>
      </x:c>
      <x:c r="E32" s="85" t="n">
        <x:f>D32+'Resumen'!$B$5^3/3</x:f>
        <x:v>1.5280261782486733</x:v>
      </x:c>
      <x:c r="G32" s="91" t="n">
        <x:v>3.6622222222222214</x:v>
      </x:c>
      <x:c r="H32" s="91" t="n">
        <x:v>3.7999999999999994</x:v>
      </x:c>
      <x:c r="I32" s="92" t="n">
        <x:f>COUNTIFS($D$3:$D$5002,"&gt;="&amp;G32,$D$3:$D$5002,"&lt;="&amp;H32)</x:f>
        <x:v>0</x:v>
      </x:c>
      <x:c r="K32" t="str">
        <x:v>3.66 a 3.80</x:v>
      </x:c>
      <x:c r="L32" t="n">
        <x:f>I32</x:f>
        <x:v>0</x:v>
      </x:c>
    </x:row>
    <x:row r="33">
      <x:c r="A33" s="89" t="n">
        <x:v>31</x:v>
      </x:c>
      <x:c r="B33" s="80" t="n">
        <x:v>1.0208589081778312</x:v>
      </x:c>
      <x:c r="C33" s="84" t="n">
        <x:f>SQRT('Resumen'!$B$5^3/3)*B33</x:f>
        <x:v>0.5893931654410982</x:v>
      </x:c>
      <x:c r="D33" s="84" t="n">
        <x:f>C33^2-'Resumen'!$B$5^3/3</x:f>
        <x:v>0.014050970135344454</x:v>
      </x:c>
      <x:c r="E33" s="85" t="n">
        <x:f>D33+'Resumen'!$B$5^3/3</x:f>
        <x:v>0.34738430346867777</x:v>
      </x:c>
    </x:row>
    <x:row r="34">
      <x:c r="A34" s="89" t="n">
        <x:v>32</x:v>
      </x:c>
      <x:c r="B34" s="80" t="n">
        <x:v>-0.6006235950025617</x:v>
      </x:c>
      <x:c r="C34" s="84" t="n">
        <x:f>SQRT('Resumen'!$B$5^3/3)*B34</x:f>
        <x:v>-0.34677019425636973</x:v>
      </x:c>
      <x:c r="D34" s="84" t="n">
        <x:f>C34^2-'Resumen'!$B$5^3/3</x:f>
        <x:v>-0.21308376570873291</x:v>
      </x:c>
      <x:c r="E34" s="85" t="n">
        <x:f>D34+'Resumen'!$B$5^3/3</x:f>
        <x:v>0.1202495676246004</x:v>
      </x:c>
    </x:row>
    <x:row r="35">
      <x:c r="A35" s="89" t="n">
        <x:v>33</x:v>
      </x:c>
      <x:c r="B35" s="80" t="n">
        <x:v>0.16171214818042523</x:v>
      </x:c>
      <x:c r="C35" s="84" t="n">
        <x:f>SQRT('Resumen'!$B$5^3/3)*B35</x:f>
        <x:v>0.09336455228320115</x:v>
      </x:c>
      <x:c r="D35" s="84" t="n">
        <x:f>C35^2-'Resumen'!$B$5^3/3</x:f>
        <x:v>-0.3246163937102907</x:v>
      </x:c>
      <x:c r="E35" s="85" t="n">
        <x:f>D35+'Resumen'!$B$5^3/3</x:f>
        <x:v>0.008716939623042597</x:v>
      </x:c>
    </x:row>
    <x:row r="36">
      <x:c r="A36" s="89" t="n">
        <x:v>34</x:v>
      </x:c>
      <x:c r="B36" s="80" t="n">
        <x:v>-1.9323933468555528</x:v>
      </x:c>
      <x:c r="C36" s="84" t="n">
        <x:f>SQRT('Resumen'!$B$5^3/3)*B36</x:f>
        <x:v>-1.1156678189872953</x:v>
      </x:c>
      <x:c r="D36" s="84" t="n">
        <x:f>C36^2-'Resumen'!$B$5^3/3</x:f>
        <x:v>0.9113813489905349</x:v>
      </x:c>
      <x:c r="E36" s="85" t="n">
        <x:f>D36+'Resumen'!$B$5^3/3</x:f>
        <x:v>1.2447146823238682</x:v>
      </x:c>
    </x:row>
    <x:row r="37">
      <x:c r="A37" s="89" t="n">
        <x:v>35</x:v>
      </x:c>
      <x:c r="B37" s="80" t="n">
        <x:v>0.1497437074140902</x:v>
      </x:c>
      <x:c r="C37" s="84" t="n">
        <x:f>SQRT('Resumen'!$B$5^3/3)*B37</x:f>
        <x:v>0.08645456978497754</x:v>
      </x:c>
      <x:c r="D37" s="84" t="n">
        <x:f>C37^2-'Resumen'!$B$5^3/3</x:f>
        <x:v>-0.32585894069662774</x:v>
      </x:c>
      <x:c r="E37" s="85" t="n">
        <x:f>D37+'Resumen'!$B$5^3/3</x:f>
        <x:v>0.0074743926367055735</x:v>
      </x:c>
    </x:row>
    <x:row r="38">
      <x:c r="A38" s="89" t="n">
        <x:v>36</x:v>
      </x:c>
      <x:c r="B38" s="80" t="n">
        <x:v>-2.1625278011723132</x:v>
      </x:c>
      <x:c r="C38" s="84" t="n">
        <x:f>SQRT('Resumen'!$B$5^3/3)*B38</x:f>
        <x:v>-1.2485360081368846</x:v>
      </x:c>
      <x:c r="D38" s="84" t="n">
        <x:f>C38^2-'Resumen'!$B$5^3/3</x:f>
        <x:v>1.2255088302810535</x:v>
      </x:c>
      <x:c r="E38" s="85" t="n">
        <x:f>D38+'Resumen'!$B$5^3/3</x:f>
        <x:v>1.5588421636143868</x:v>
      </x:c>
    </x:row>
    <x:row r="39">
      <x:c r="A39" s="89" t="n">
        <x:v>37</x:v>
      </x:c>
      <x:c r="B39" s="80" t="n">
        <x:v>1.7490333930374946</x:v>
      </x:c>
      <x:c r="C39" s="84" t="n">
        <x:f>SQRT('Resumen'!$B$5^3/3)*B39</x:f>
        <x:v>1.009804900291842</x:v>
      </x:c>
      <x:c r="D39" s="84" t="n">
        <x:f>C39^2-'Resumen'!$B$5^3/3</x:f>
        <x:v>0.6863726033200834</x:v>
      </x:c>
      <x:c r="E39" s="85" t="n">
        <x:f>D39+'Resumen'!$B$5^3/3</x:f>
        <x:v>1.0197059366534167</x:v>
      </x:c>
    </x:row>
    <x:row r="40">
      <x:c r="A40" s="89" t="n">
        <x:v>38</x:v>
      </x:c>
      <x:c r="B40" s="80" t="n">
        <x:v>0.19939998752378169</x:v>
      </x:c>
      <x:c r="C40" s="84" t="n">
        <x:f>SQRT('Resumen'!$B$5^3/3)*B40</x:f>
        <x:v>0.11512363647326337</x:v>
      </x:c>
      <x:c r="D40" s="84" t="n">
        <x:f>C40^2-'Resumen'!$B$5^3/3</x:f>
        <x:v>-0.3200798816585052</x:v>
      </x:c>
      <x:c r="E40" s="85" t="n">
        <x:f>D40+'Resumen'!$B$5^3/3</x:f>
        <x:v>0.01325345167482811</x:v>
      </x:c>
    </x:row>
    <x:row r="41">
      <x:c r="A41" s="89" t="n">
        <x:v>39</x:v>
      </x:c>
      <x:c r="B41" s="80" t="n">
        <x:v>0.6559009826185265</x:v>
      </x:c>
      <x:c r="C41" s="84" t="n">
        <x:f>SQRT('Resumen'!$B$5^3/3)*B41</x:f>
        <x:v>0.3786846088765463</x:v>
      </x:c>
      <x:c r="D41" s="84" t="n">
        <x:f>C41^2-'Resumen'!$B$5^3/3</x:f>
        <x:v>-0.18993130033335046</x:v>
      </x:c>
      <x:c r="E41" s="85" t="n">
        <x:f>D41+'Resumen'!$B$5^3/3</x:f>
        <x:v>0.14340203299998286</x:v>
      </x:c>
    </x:row>
    <x:row r="42">
      <x:c r="A42" s="89" t="n">
        <x:v>40</x:v>
      </x:c>
      <x:c r="B42" s="80" t="n">
        <x:v>-1.664274832233862</x:v>
      </x:c>
      <x:c r="C42" s="84" t="n">
        <x:f>SQRT('Resumen'!$B$5^3/3)*B42</x:f>
        <x:v>-0.9608695223957395</x:v>
      </x:c>
      <x:c r="D42" s="84" t="n">
        <x:f>C42^2-'Resumen'!$B$5^3/3</x:f>
        <x:v>0.5899369057356834</x:v>
      </x:c>
      <x:c r="E42" s="85" t="n">
        <x:f>D42+'Resumen'!$B$5^3/3</x:f>
        <x:v>0.9232702390690166</x:v>
      </x:c>
    </x:row>
    <x:row r="43">
      <x:c r="A43" s="89" t="n">
        <x:v>41</x:v>
      </x:c>
      <x:c r="B43" s="80" t="n">
        <x:v>-0.24990484747862843</x:v>
      </x:c>
      <x:c r="C43" s="84" t="n">
        <x:f>SQRT('Resumen'!$B$5^3/3)*B43</x:f>
        <x:v>-0.1442826309635785</x:v>
      </x:c>
      <x:c r="D43" s="84" t="n">
        <x:f>C43^2-'Resumen'!$B$5^3/3</x:f>
        <x:v>-0.3125158557355611</x:v>
      </x:c>
      <x:c r="E43" s="85" t="n">
        <x:f>D43+'Resumen'!$B$5^3/3</x:f>
        <x:v>0.020817477597772194</x:v>
      </x:c>
    </x:row>
    <x:row r="44">
      <x:c r="A44" s="89" t="n">
        <x:v>42</x:v>
      </x:c>
      <x:c r="B44" s="80" t="n">
        <x:v>-1.1760433979565155</x:v>
      </x:c>
      <x:c r="C44" s="84" t="n">
        <x:f>SQRT('Resumen'!$B$5^3/3)*B44</x:f>
        <x:v>-0.6789889723888763</x:v>
      </x:c>
      <x:c r="D44" s="84" t="n">
        <x:f>C44^2-'Resumen'!$B$5^3/3</x:f>
        <x:v>0.127692691292369</x:v>
      </x:c>
      <x:c r="E44" s="85" t="n">
        <x:f>D44+'Resumen'!$B$5^3/3</x:f>
        <x:v>0.4610260246257023</x:v>
      </x:c>
    </x:row>
    <x:row r="45">
      <x:c r="A45" s="89" t="n">
        <x:v>43</x:v>
      </x:c>
      <x:c r="B45" s="80" t="n">
        <x:v>-0.8005847158349833</x:v>
      </x:c>
      <x:c r="C45" s="84" t="n">
        <x:f>SQRT('Resumen'!$B$5^3/3)*B45</x:f>
        <x:v>-0.4622178011964276</x:v>
      </x:c>
      <x:c r="D45" s="84" t="n">
        <x:f>C45^2-'Resumen'!$B$5^3/3</x:f>
        <x:v>-0.11968803759047306</x:v>
      </x:c>
      <x:c r="E45" s="85" t="n">
        <x:f>D45+'Resumen'!$B$5^3/3</x:f>
        <x:v>0.21364529574286026</x:v>
      </x:c>
    </x:row>
    <x:row r="46">
      <x:c r="A46" s="89" t="n">
        <x:v>44</x:v>
      </x:c>
      <x:c r="B46" s="80" t="n">
        <x:v>-1.0252987953540769</x:v>
      </x:c>
      <x:c r="C46" s="84" t="n">
        <x:f>SQRT('Resumen'!$B$5^3/3)*B46</x:f>
        <x:v>-0.5919565354974753</x:v>
      </x:c>
      <x:c r="D46" s="84" t="n">
        <x:f>C46^2-'Resumen'!$B$5^3/3</x:f>
        <x:v>0.017079206584840412</x:v>
      </x:c>
      <x:c r="E46" s="85" t="n">
        <x:f>D46+'Resumen'!$B$5^3/3</x:f>
        <x:v>0.3504125399181737</x:v>
      </x:c>
    </x:row>
    <x:row r="47">
      <x:c r="A47" s="89" t="n">
        <x:v>45</x:v>
      </x:c>
      <x:c r="B47" s="80" t="n">
        <x:v>1.9466545125906365</x:v>
      </x:c>
      <x:c r="C47" s="84" t="n">
        <x:f>SQRT('Resumen'!$B$5^3/3)*B47</x:f>
        <x:v>1.1239015068634037</x:v>
      </x:c>
      <x:c r="D47" s="84" t="n">
        <x:f>C47^2-'Resumen'!$B$5^3/3</x:f>
        <x:v>0.9298212637964962</x:v>
      </x:c>
      <x:c r="E47" s="85" t="n">
        <x:f>D47+'Resumen'!$B$5^3/3</x:f>
        <x:v>1.2631545971298295</x:v>
      </x:c>
    </x:row>
    <x:row r="48">
      <x:c r="A48" s="89" t="n">
        <x:v>46</x:v>
      </x:c>
      <x:c r="B48" s="80" t="n">
        <x:v>-0.2662819260474778</x:v>
      </x:c>
      <x:c r="C48" s="84" t="n">
        <x:f>SQRT('Resumen'!$B$5^3/3)*B48</x:f>
        <x:v>-0.15373794168384333</x:v>
      </x:c>
      <x:c r="D48" s="84" t="n">
        <x:f>C48^2-'Resumen'!$B$5^3/3</x:f>
        <x:v>-0.3096979786201485</x:v>
      </x:c>
      <x:c r="E48" s="85" t="n">
        <x:f>D48+'Resumen'!$B$5^3/3</x:f>
        <x:v>0.023635354713184842</x:v>
      </x:c>
    </x:row>
    <x:row r="49">
      <x:c r="A49" s="89" t="n">
        <x:v>47</x:v>
      </x:c>
      <x:c r="B49" s="80" t="n">
        <x:v>-0.7124168034042396</x:v>
      </x:c>
      <x:c r="C49" s="84" t="n">
        <x:f>SQRT('Resumen'!$B$5^3/3)*B49</x:f>
        <x:v>-0.4113140332206504</x:v>
      </x:c>
      <x:c r="D49" s="84" t="n">
        <x:f>C49^2-'Resumen'!$B$5^3/3</x:f>
        <x:v>-0.164154099409095</x:v>
      </x:c>
      <x:c r="E49" s="85" t="n">
        <x:f>D49+'Resumen'!$B$5^3/3</x:f>
        <x:v>0.1691792339242383</x:v>
      </x:c>
    </x:row>
    <x:row r="50">
      <x:c r="A50" s="89" t="n">
        <x:v>48</x:v>
      </x:c>
      <x:c r="B50" s="80" t="n">
        <x:v>-1.2459492957112843</x:v>
      </x:c>
      <x:c r="C50" s="84" t="n">
        <x:f>SQRT('Resumen'!$B$5^3/3)*B50</x:f>
        <x:v>-0.7193491612755346</x:v>
      </x:c>
      <x:c r="D50" s="84" t="n">
        <x:f>C50^2-'Resumen'!$B$5^3/3</x:f>
        <x:v>0.18412988249448176</x:v>
      </x:c>
      <x:c r="E50" s="85" t="n">
        <x:f>D50+'Resumen'!$B$5^3/3</x:f>
        <x:v>0.5174632158278151</x:v>
      </x:c>
    </x:row>
    <x:row r="51">
      <x:c r="A51" s="89" t="n">
        <x:v>49</x:v>
      </x:c>
      <x:c r="B51" s="80" t="n">
        <x:v>-0.19582376105832272</x:v>
      </x:c>
      <x:c r="C51" s="84" t="n">
        <x:f>SQRT('Resumen'!$B$5^3/3)*B51</x:f>
        <x:v>-0.11305890116074757</x:v>
      </x:c>
      <x:c r="D51" s="84" t="n">
        <x:f>C51^2-'Resumen'!$B$5^3/3</x:f>
        <x:v>-0.3205510182016576</x:v>
      </x:c>
      <x:c r="E51" s="85" t="n">
        <x:f>D51+'Resumen'!$B$5^3/3</x:f>
        <x:v>0.012782315131675714</x:v>
      </x:c>
    </x:row>
    <x:row r="52">
      <x:c r="A52" s="89" t="n">
        <x:v>50</x:v>
      </x:c>
      <x:c r="B52" s="80" t="n">
        <x:v>0.5140909295506418</x:v>
      </x:c>
      <x:c r="C52" s="84" t="n">
        <x:f>SQRT('Resumen'!$B$5^3/3)*B52</x:f>
        <x:v>0.29681053656400797</x:v>
      </x:c>
      <x:c r="D52" s="84" t="n">
        <x:f>C52^2-'Resumen'!$B$5^3/3</x:f>
        <x:v>-0.24523683871791901</x:v>
      </x:c>
      <x:c r="E52" s="85" t="n">
        <x:f>D52+'Resumen'!$B$5^3/3</x:f>
        <x:v>0.0880964946154143</x:v>
      </x:c>
    </x:row>
    <x:row r="53">
      <x:c r="A53" s="89" t="n">
        <x:v>51</x:v>
      </x:c>
      <x:c r="B53" s="80" t="n">
        <x:v>0.5870765738334736</x:v>
      </x:c>
      <x:c r="C53" s="84" t="n">
        <x:f>SQRT('Resumen'!$B$5^3/3)*B53</x:f>
        <x:v>0.33894881793767917</x:v>
      </x:c>
      <x:c r="D53" s="84" t="n">
        <x:f>C53^2-'Resumen'!$B$5^3/3</x:f>
        <x:v>-0.21844703215198333</x:v>
      </x:c>
      <x:c r="E53" s="85" t="n">
        <x:f>D53+'Resumen'!$B$5^3/3</x:f>
        <x:v>0.11488630118134999</x:v>
      </x:c>
    </x:row>
    <x:row r="54">
      <x:c r="A54" s="89" t="n">
        <x:v>52</x:v>
      </x:c>
      <x:c r="B54" s="80" t="n">
        <x:v>1.9345675144657943</x:v>
      </x:c>
      <x:c r="C54" s="84" t="n">
        <x:f>SQRT('Resumen'!$B$5^3/3)*B54</x:f>
        <x:v>1.1169230752423316</x:v>
      </x:c>
      <x:c r="D54" s="84" t="n">
        <x:f>C54^2-'Resumen'!$B$5^3/3</x:f>
        <x:v>0.914183822675454</x:v>
      </x:c>
      <x:c r="E54" s="85" t="n">
        <x:f>D54+'Resumen'!$B$5^3/3</x:f>
        <x:v>1.2475171560087872</x:v>
      </x:c>
    </x:row>
    <x:row r="55">
      <x:c r="A55" s="89" t="n">
        <x:v>53</x:v>
      </x:c>
      <x:c r="B55" s="80" t="n">
        <x:v>-0.9782972355937177</x:v>
      </x:c>
      <x:c r="C55" s="84" t="n">
        <x:f>SQRT('Resumen'!$B$5^3/3)*B55</x:f>
        <x:v>-0.5648201723174996</x:v>
      </x:c>
      <x:c r="D55" s="84" t="n">
        <x:f>C55^2-'Resumen'!$B$5^3/3</x:f>
        <x:v>-0.014311506276563357</x:v>
      </x:c>
      <x:c r="E55" s="85" t="n">
        <x:f>D55+'Resumen'!$B$5^3/3</x:f>
        <x:v>0.31902182705676996</x:v>
      </x:c>
    </x:row>
    <x:row r="56">
      <x:c r="A56" s="89" t="n">
        <x:v>54</x:v>
      </x:c>
      <x:c r="B56" s="80" t="n">
        <x:v>0.6001256724174504</x:v>
      </x:c>
      <x:c r="C56" s="84" t="n">
        <x:f>SQRT('Resumen'!$B$5^3/3)*B56</x:f>
        <x:v>0.34648271851782014</x:v>
      </x:c>
      <x:c r="D56" s="84" t="n">
        <x:f>C56^2-'Resumen'!$B$5^3/3</x:f>
        <x:v>-0.21328305910183432</x:v>
      </x:c>
      <x:c r="E56" s="85" t="n">
        <x:f>D56+'Resumen'!$B$5^3/3</x:f>
        <x:v>0.120050274231499</x:v>
      </x:c>
    </x:row>
    <x:row r="57">
      <x:c r="A57" s="89" t="n">
        <x:v>55</x:v>
      </x:c>
      <x:c r="B57" s="80" t="n">
        <x:v>0.3391021510430082</x:v>
      </x:c>
      <x:c r="C57" s="84" t="n">
        <x:f>SQRT('Resumen'!$B$5^3/3)*B57</x:f>
        <x:v>0.19578071818746193</x:v>
      </x:c>
      <x:c r="D57" s="84" t="n">
        <x:f>C57^2-'Resumen'!$B$5^3/3</x:f>
        <x:v>-0.29500324371933495</x:v>
      </x:c>
      <x:c r="E57" s="85" t="n">
        <x:f>D57+'Resumen'!$B$5^3/3</x:f>
        <x:v>0.038330089613998364</x:v>
      </x:c>
    </x:row>
    <x:row r="58">
      <x:c r="A58" s="89" t="n">
        <x:v>56</x:v>
      </x:c>
      <x:c r="B58" s="80" t="n">
        <x:v>-0.031716672317495746</x:v>
      </x:c>
      <x:c r="C58" s="84" t="n">
        <x:f>SQRT('Resumen'!$B$5^3/3)*B58</x:f>
        <x:v>-0.018311629300305318</x:v>
      </x:c>
      <x:c r="D58" s="84" t="n">
        <x:f>C58^2-'Resumen'!$B$5^3/3</x:f>
        <x:v>-0.3329980175657015</x:v>
      </x:c>
      <x:c r="E58" s="85" t="n">
        <x:f>D58+'Resumen'!$B$5^3/3</x:f>
        <x:v>0.00033531576763179416</x:v>
      </x:c>
    </x:row>
    <x:row r="59">
      <x:c r="A59" s="89" t="n">
        <x:v>57</x:v>
      </x:c>
      <x:c r="B59" s="80" t="n">
        <x:v>0.6227010519936634</x:v>
      </x:c>
      <x:c r="C59" s="84" t="n">
        <x:f>SQRT('Resumen'!$B$5^3/3)*B59</x:f>
        <x:v>0.3595166199932047</x:v>
      </x:c>
      <x:c r="D59" s="84" t="n">
        <x:f>C59^2-'Resumen'!$B$5^3/3</x:f>
        <x:v>-0.20408113328199495</x:v>
      </x:c>
      <x:c r="E59" s="85" t="n">
        <x:f>D59+'Resumen'!$B$5^3/3</x:f>
        <x:v>0.12925220005133836</x:v>
      </x:c>
    </x:row>
    <x:row r="60">
      <x:c r="A60" s="89" t="n">
        <x:v>58</x:v>
      </x:c>
      <x:c r="B60" s="80" t="n">
        <x:v>-1.3724302906208972</x:v>
      </x:c>
      <x:c r="C60" s="84" t="n">
        <x:f>SQRT('Resumen'!$B$5^3/3)*B60</x:f>
        <x:v>-0.7923729977339713</x:v>
      </x:c>
      <x:c r="D60" s="84" t="n">
        <x:f>C60^2-'Resumen'!$B$5^3/3</x:f>
        <x:v>0.2945216342045867</x:v>
      </x:c>
      <x:c r="E60" s="85" t="n">
        <x:f>D60+'Resumen'!$B$5^3/3</x:f>
        <x:v>0.62785496753792</x:v>
      </x:c>
    </x:row>
    <x:row r="61">
      <x:c r="A61" s="89" t="n">
        <x:v>59</x:v>
      </x:c>
      <x:c r="B61" s="80" t="n">
        <x:v>-2.0528077017253055</x:v>
      </x:c>
      <x:c r="C61" s="84" t="n">
        <x:f>SQRT('Resumen'!$B$5^3/3)*B61</x:f>
        <x:v>-1.185189079185642</x:v>
      </x:c>
      <x:c r="D61" s="84" t="n">
        <x:f>C61^2-'Resumen'!$B$5^3/3</x:f>
        <x:v>1.071339820087577</x:v>
      </x:c>
      <x:c r="E61" s="85" t="n">
        <x:f>D61+'Resumen'!$B$5^3/3</x:f>
        <x:v>1.4046731534209103</x:v>
      </x:c>
    </x:row>
    <x:row r="62">
      <x:c r="A62" s="89" t="n">
        <x:v>60</x:v>
      </x:c>
      <x:c r="B62" s="80" t="n">
        <x:v>-0.5912883017633529</x:v>
      </x:c>
      <x:c r="C62" s="84" t="n">
        <x:f>SQRT('Resumen'!$B$5^3/3)*B62</x:f>
        <x:v>-0.34138046019174845</x:v>
      </x:c>
      <x:c r="D62" s="84" t="n">
        <x:f>C62^2-'Resumen'!$B$5^3/3</x:f>
        <x:v>-0.21679271473260336</x:v>
      </x:c>
      <x:c r="E62" s="85" t="n">
        <x:f>D62+'Resumen'!$B$5^3/3</x:f>
        <x:v>0.11654061860072995</x:v>
      </x:c>
    </x:row>
    <x:row r="63">
      <x:c r="A63" s="89" t="n">
        <x:v>61</x:v>
      </x:c>
      <x:c r="B63" s="80" t="n">
        <x:v>0.647954449644865</x:v>
      </x:c>
      <x:c r="C63" s="84" t="n">
        <x:f>SQRT('Resumen'!$B$5^3/3)*B63</x:f>
        <x:v>0.3740966759250786</x:v>
      </x:c>
      <x:c r="D63" s="84" t="n">
        <x:f>C63^2-'Resumen'!$B$5^3/3</x:f>
        <x:v>-0.19338501039514003</x:v>
      </x:c>
      <x:c r="E63" s="85" t="n">
        <x:f>D63+'Resumen'!$B$5^3/3</x:f>
        <x:v>0.1399483229381933</x:v>
      </x:c>
    </x:row>
    <x:row r="64">
      <x:c r="A64" s="89" t="n">
        <x:v>62</x:v>
      </x:c>
      <x:c r="B64" s="80" t="n">
        <x:v>1.1997680708852647</x:v>
      </x:c>
      <x:c r="C64" s="84" t="n">
        <x:f>SQRT('Resumen'!$B$5^3/3)*B64</x:f>
        <x:v>0.6926864186907256</x:v>
      </x:c>
      <x:c r="D64" s="84" t="n">
        <x:f>C64^2-'Resumen'!$B$5^3/3</x:f>
        <x:v>0.14648114130524986</x:v>
      </x:c>
      <x:c r="E64" s="85" t="n">
        <x:f>D64+'Resumen'!$B$5^3/3</x:f>
        <x:v>0.4798144746385832</x:v>
      </x:c>
    </x:row>
    <x:row r="65">
      <x:c r="A65" s="89" t="n">
        <x:v>63</x:v>
      </x:c>
      <x:c r="B65" s="80" t="n">
        <x:v>0.49021237419648694</x:v>
      </x:c>
      <x:c r="C65" s="84" t="n">
        <x:f>SQRT('Resumen'!$B$5^3/3)*B65</x:f>
        <x:v>0.2830242462024273</x:v>
      </x:c>
      <x:c r="D65" s="84" t="n">
        <x:f>C65^2-'Resumen'!$B$5^3/3</x:f>
        <x:v>-0.2532306093948812</x:v>
      </x:c>
      <x:c r="E65" s="85" t="n">
        <x:f>D65+'Resumen'!$B$5^3/3</x:f>
        <x:v>0.08010272393845214</x:v>
      </x:c>
    </x:row>
    <x:row r="66">
      <x:c r="A66" s="89" t="n">
        <x:v>64</x:v>
      </x:c>
      <x:c r="B66" s="80" t="n">
        <x:v>-0.9147737860661456</x:v>
      </x:c>
      <x:c r="C66" s="84" t="n">
        <x:f>SQRT('Resumen'!$B$5^3/3)*B66</x:f>
        <x:v>-0.5281448916329022</x:v>
      </x:c>
      <x:c r="D66" s="84" t="n">
        <x:f>C66^2-'Resumen'!$B$5^3/3</x:f>
        <x:v>-0.05439630677540325</x:v>
      </x:c>
      <x:c r="E66" s="85" t="n">
        <x:f>D66+'Resumen'!$B$5^3/3</x:f>
        <x:v>0.27893702655793007</x:v>
      </x:c>
    </x:row>
    <x:row r="67">
      <x:c r="A67" s="89" t="n">
        <x:v>65</x:v>
      </x:c>
      <x:c r="B67" s="80" t="n">
        <x:v>-0.5314101193436558</x:v>
      </x:c>
      <x:c r="C67" s="84" t="n">
        <x:f>SQRT('Resumen'!$B$5^3/3)*B67</x:f>
        <x:v>-0.3068097754531508</x:v>
      </x:c>
      <x:c r="D67" s="84" t="n">
        <x:f>C67^2-'Resumen'!$B$5^3/3</x:f>
        <x:v>-0.2392010950197205</x:v>
      </x:c>
      <x:c r="E67" s="85" t="n">
        <x:f>D67+'Resumen'!$B$5^3/3</x:f>
        <x:v>0.09413223831361281</x:v>
      </x:c>
    </x:row>
    <x:row r="68">
      <x:c r="A68" s="89" t="n">
        <x:v>66</x:v>
      </x:c>
      <x:c r="B68" s="80" t="n">
        <x:v>1.0307799915612763</x:v>
      </x:c>
      <x:c r="C68" s="84" t="n">
        <x:f>SQRT('Resumen'!$B$5^3/3)*B68</x:f>
        <x:v>0.595121105603183</x:v>
      </x:c>
      <x:c r="D68" s="84" t="n">
        <x:f>C68^2-'Resumen'!$B$5^3/3</x:f>
        <x:v>0.02083579700102156</x:v>
      </x:c>
      <x:c r="E68" s="85" t="n">
        <x:f>D68+'Resumen'!$B$5^3/3</x:f>
        <x:v>0.3541691303343549</x:v>
      </x:c>
    </x:row>
    <x:row r="69">
      <x:c r="A69" s="89" t="n">
        <x:v>67</x:v>
      </x:c>
      <x:c r="B69" s="80" t="n">
        <x:v>-1.6060441490086033</x:v>
      </x:c>
      <x:c r="C69" s="84" t="n">
        <x:f>SQRT('Resumen'!$B$5^3/3)*B69</x:f>
        <x:v>-0.9272500217605405</x:v>
      </x:c>
      <x:c r="D69" s="84" t="n">
        <x:f>C69^2-'Resumen'!$B$5^3/3</x:f>
        <x:v>0.5264592695215895</x:v>
      </x:c>
      <x:c r="E69" s="85" t="n">
        <x:f>D69+'Resumen'!$B$5^3/3</x:f>
        <x:v>0.8597926028549228</x:v>
      </x:c>
    </x:row>
    <x:row r="70">
      <x:c r="A70" s="89" t="n">
        <x:v>68</x:v>
      </x:c>
      <x:c r="B70" s="80" t="n">
        <x:v>-0.131570574168378</x:v>
      </x:c>
      <x:c r="C70" s="84" t="n">
        <x:f>SQRT('Resumen'!$B$5^3/3)*B70</x:f>
        <x:v>-0.07596230641354666</x:v>
      </x:c>
      <x:c r="D70" s="84" t="n">
        <x:f>C70^2-'Resumen'!$B$5^3/3</x:f>
        <x:v>-0.32756306133766777</x:v>
      </x:c>
      <x:c r="E70" s="85" t="n">
        <x:f>D70+'Resumen'!$B$5^3/3</x:f>
        <x:v>0.0057702719956655435</x:v>
      </x:c>
    </x:row>
    <x:row r="71">
      <x:c r="A71" s="89" t="n">
        <x:v>69</x:v>
      </x:c>
      <x:c r="B71" s="80" t="n">
        <x:v>-1.4182991251650994</x:v>
      </x:c>
      <x:c r="C71" s="84" t="n">
        <x:f>SQRT('Resumen'!$B$5^3/3)*B71</x:f>
        <x:v>-0.8188553817054808</x:v>
      </x:c>
      <x:c r="D71" s="84" t="n">
        <x:f>C71^2-'Resumen'!$B$5^3/3</x:f>
        <x:v>0.3371908028146953</x:v>
      </x:c>
      <x:c r="E71" s="85" t="n">
        <x:f>D71+'Resumen'!$B$5^3/3</x:f>
        <x:v>0.6705241361480286</x:v>
      </x:c>
    </x:row>
    <x:row r="72">
      <x:c r="A72" s="89" t="n">
        <x:v>70</x:v>
      </x:c>
      <x:c r="B72" s="80" t="n">
        <x:v>0.9822799667815794</x:v>
      </x:c>
      <x:c r="C72" s="84" t="n">
        <x:f>SQRT('Resumen'!$B$5^3/3)*B72</x:f>
        <x:v>0.5671196032409215</x:v>
      </x:c>
      <x:c r="D72" s="84" t="n">
        <x:f>C72^2-'Resumen'!$B$5^3/3</x:f>
        <x:v>-0.011708688953193103</x:v>
      </x:c>
      <x:c r="E72" s="85" t="n">
        <x:f>D72+'Resumen'!$B$5^3/3</x:f>
        <x:v>0.3216246443801402</x:v>
      </x:c>
    </x:row>
    <x:row r="73">
      <x:c r="A73" s="89" t="n">
        <x:v>71</x:v>
      </x:c>
      <x:c r="B73" s="80" t="n">
        <x:v>0.3753324359434239</x:v>
      </x:c>
      <x:c r="C73" s="84" t="n">
        <x:f>SQRT('Resumen'!$B$5^3/3)*B73</x:f>
        <x:v>0.21669828292753376</x:v>
      </x:c>
      <x:c r="D73" s="84" t="n">
        <x:f>C73^2-'Resumen'!$B$5^3/3</x:f>
        <x:v>-0.28637518750959184</x:v>
      </x:c>
      <x:c r="E73" s="85" t="n">
        <x:f>D73+'Resumen'!$B$5^3/3</x:f>
        <x:v>0.04695814582374147</x:v>
      </x:c>
    </x:row>
    <x:row r="74">
      <x:c r="A74" s="89" t="n">
        <x:v>72</x:v>
      </x:c>
      <x:c r="B74" s="80" t="n">
        <x:v>0.49367299577142376</x:v>
      </x:c>
      <x:c r="C74" s="84" t="n">
        <x:f>SQRT('Resumen'!$B$5^3/3)*B74</x:f>
        <x:v>0.28502223700028045</x:v>
      </x:c>
      <x:c r="D74" s="84" t="n">
        <x:f>C74^2-'Resumen'!$B$5^3/3</x:f>
        <x:v>-0.25209565774868925</x:v>
      </x:c>
      <x:c r="E74" s="85" t="n">
        <x:f>D74+'Resumen'!$B$5^3/3</x:f>
        <x:v>0.08123767558464406</x:v>
      </x:c>
    </x:row>
    <x:row r="75">
      <x:c r="A75" s="89" t="n">
        <x:v>73</x:v>
      </x:c>
      <x:c r="B75" s="80" t="n">
        <x:v>1.148764237231111</x:v>
      </x:c>
      <x:c r="C75" s="84" t="n">
        <x:f>SQRT('Resumen'!$B$5^3/3)*B75</x:f>
        <x:v>0.6632393416007971</x:v>
      </x:c>
      <x:c r="D75" s="84" t="n">
        <x:f>C75^2-'Resumen'!$B$5^3/3</x:f>
        <x:v>0.10655309091372556</x:v>
      </x:c>
      <x:c r="E75" s="85" t="n">
        <x:f>D75+'Resumen'!$B$5^3/3</x:f>
        <x:v>0.43988642424705887</x:v>
      </x:c>
    </x:row>
    <x:row r="76">
      <x:c r="A76" s="89" t="n">
        <x:v>74</x:v>
      </x:c>
      <x:c r="B76" s="80" t="n">
        <x:v>-0.4381171923053358</x:v>
      </x:c>
      <x:c r="C76" s="84" t="n">
        <x:f>SQRT('Resumen'!$B$5^3/3)*B76</x:f>
        <x:v>-0.25294707891408863</x:v>
      </x:c>
      <x:c r="D76" s="84" t="n">
        <x:f>C76^2-'Resumen'!$B$5^3/3</x:f>
        <x:v>-0.26935110860216316</x:v>
      </x:c>
      <x:c r="E76" s="85" t="n">
        <x:f>D76+'Resumen'!$B$5^3/3</x:f>
        <x:v>0.06398222473117016</x:v>
      </x:c>
    </x:row>
    <x:row r="77">
      <x:c r="A77" s="89" t="n">
        <x:v>75</x:v>
      </x:c>
      <x:c r="B77" s="80" t="n">
        <x:v>-0.8377130938913518</x:v>
      </x:c>
      <x:c r="C77" s="84" t="n">
        <x:f>SQRT('Resumen'!$B$5^3/3)*B77</x:f>
        <x:v>-0.4836538802618462</x:v>
      </x:c>
      <x:c r="D77" s="84" t="n">
        <x:f>C77^2-'Resumen'!$B$5^3/3</x:f>
        <x:v>-0.09941225744099305</x:v>
      </x:c>
      <x:c r="E77" s="85" t="n">
        <x:f>D77+'Resumen'!$B$5^3/3</x:f>
        <x:v>0.23392107589234026</x:v>
      </x:c>
    </x:row>
    <x:row r="78">
      <x:c r="A78" s="89" t="n">
        <x:v>76</x:v>
      </x:c>
      <x:c r="B78" s="80" t="n">
        <x:v>-1.3629618197401465</x:v>
      </x:c>
      <x:c r="C78" s="84" t="n">
        <x:f>SQRT('Resumen'!$B$5^3/3)*B78</x:f>
        <x:v>-0.7869063735221558</x:v>
      </x:c>
      <x:c r="D78" s="84" t="n">
        <x:f>C78^2-'Resumen'!$B$5^3/3</x:f>
        <x:v>0.28588830735645715</x:v>
      </x:c>
      <x:c r="E78" s="85" t="n">
        <x:f>D78+'Resumen'!$B$5^3/3</x:f>
        <x:v>0.6192216406897905</x:v>
      </x:c>
    </x:row>
    <x:row r="79">
      <x:c r="A79" s="89" t="n">
        <x:v>77</x:v>
      </x:c>
      <x:c r="B79" s="80" t="n">
        <x:v>-0.678474078338847</x:v>
      </x:c>
      <x:c r="C79" s="84" t="n">
        <x:f>SQRT('Resumen'!$B$5^3/3)*B79</x:f>
        <x:v>-0.3917171917671165</x:v>
      </x:c>
      <x:c r="D79" s="84" t="n">
        <x:f>C79^2-'Resumen'!$B$5^3/3</x:f>
        <x:v>-0.17989097500741738</x:v>
      </x:c>
      <x:c r="E79" s="85" t="n">
        <x:f>D79+'Resumen'!$B$5^3/3</x:f>
        <x:v>0.15344235832591593</x:v>
      </x:c>
    </x:row>
    <x:row r="80">
      <x:c r="A80" s="89" t="n">
        <x:v>78</x:v>
      </x:c>
      <x:c r="B80" s="80" t="n">
        <x:v>-0.22811314493067555</x:v>
      </x:c>
      <x:c r="C80" s="84" t="n">
        <x:f>SQRT('Resumen'!$B$5^3/3)*B80</x:f>
        <x:v>-0.13170118563141764</x:v>
      </x:c>
      <x:c r="D80" s="84" t="n">
        <x:f>C80^2-'Resumen'!$B$5^3/3</x:f>
        <x:v>-0.31598813103661216</x:v>
      </x:c>
      <x:c r="E80" s="85" t="n">
        <x:f>D80+'Resumen'!$B$5^3/3</x:f>
        <x:v>0.01734520229672115</x:v>
      </x:c>
    </x:row>
    <x:row r="81">
      <x:c r="A81" s="89" t="n">
        <x:v>79</x:v>
      </x:c>
      <x:c r="B81" s="80" t="n">
        <x:v>0.4713773133995377</x:v>
      </x:c>
      <x:c r="C81" s="84" t="n">
        <x:f>SQRT('Resumen'!$B$5^3/3)*B81</x:f>
        <x:v>0.27214981878110567</x:v>
      </x:c>
      <x:c r="D81" s="84" t="n">
        <x:f>C81^2-'Resumen'!$B$5^3/3</x:f>
        <x:v>-0.2592678094707447</x:v>
      </x:c>
      <x:c r="E81" s="85" t="n">
        <x:f>D81+'Resumen'!$B$5^3/3</x:f>
        <x:v>0.07406552386258863</x:v>
      </x:c>
    </x:row>
    <x:row r="82">
      <x:c r="A82" s="89" t="n">
        <x:v>80</x:v>
      </x:c>
      <x:c r="B82" s="80" t="n">
        <x:v>-1.9986131314157902</x:v>
      </x:c>
      <x:c r="C82" s="84" t="n">
        <x:f>SQRT('Resumen'!$B$5^3/3)*B82</x:f>
        <x:v>-1.1538998294288274</x:v>
      </x:c>
      <x:c r="D82" s="84" t="n">
        <x:f>C82^2-'Resumen'!$B$5^3/3</x:f>
        <x:v>0.9981514830225438</x:v>
      </x:c>
      <x:c r="E82" s="85" t="n">
        <x:f>D82+'Resumen'!$B$5^3/3</x:f>
        <x:v>1.331484816355877</x:v>
      </x:c>
    </x:row>
    <x:row r="83">
      <x:c r="A83" s="89" t="n">
        <x:v>81</x:v>
      </x:c>
      <x:c r="B83" s="80" t="n">
        <x:v>-1.1674718814532679</x:v>
      </x:c>
      <x:c r="C83" s="84" t="n">
        <x:f>SQRT('Resumen'!$B$5^3/3)*B83</x:f>
        <x:v>-0.674040205028363</x:v>
      </x:c>
      <x:c r="D83" s="84" t="n">
        <x:f>C83^2-'Resumen'!$B$5^3/3</x:f>
        <x:v>0.12099686466134435</x:v>
      </x:c>
      <x:c r="E83" s="85" t="n">
        <x:f>D83+'Resumen'!$B$5^3/3</x:f>
        <x:v>0.45433019799467766</x:v>
      </x:c>
    </x:row>
    <x:row r="84">
      <x:c r="A84" s="89" t="n">
        <x:v>82</x:v>
      </x:c>
      <x:c r="B84" s="80" t="n">
        <x:v>0.11948684376761841</x:v>
      </x:c>
      <x:c r="C84" s="84" t="n">
        <x:f>SQRT('Resumen'!$B$5^3/3)*B84</x:f>
        <x:v>0.06898576141385324</x:v>
      </x:c>
      <x:c r="D84" s="84" t="n">
        <x:f>C84^2-'Resumen'!$B$5^3/3</x:f>
        <x:v>-0.3285742980554842</x:v>
      </x:c>
      <x:c r="E84" s="85" t="n">
        <x:f>D84+'Resumen'!$B$5^3/3</x:f>
        <x:v>0.0047590352778491</x:v>
      </x:c>
    </x:row>
    <x:row r="85">
      <x:c r="A85" s="89" t="n">
        <x:v>83</x:v>
      </x:c>
      <x:c r="B85" s="80" t="n">
        <x:v>-1.3409534072695475</x:v>
      </x:c>
      <x:c r="C85" s="84" t="n">
        <x:f>SQRT('Resumen'!$B$5^3/3)*B85</x:f>
        <x:v>-0.7741998106578191</x:v>
      </x:c>
      <x:c r="D85" s="84" t="n">
        <x:f>C85^2-'Resumen'!$B$5^3/3</x:f>
        <x:v>0.2660520134892696</x:v>
      </x:c>
      <x:c r="E85" s="85" t="n">
        <x:f>D85+'Resumen'!$B$5^3/3</x:f>
        <x:v>0.5993853468226029</x:v>
      </x:c>
    </x:row>
    <x:row r="86">
      <x:c r="A86" s="89" t="n">
        <x:v>84</x:v>
      </x:c>
      <x:c r="B86" s="80" t="n">
        <x:v>-0.07726794830357506</x:v>
      </x:c>
      <x:c r="C86" s="84" t="n">
        <x:f>SQRT('Resumen'!$B$5^3/3)*B86</x:f>
        <x:v>-0.04461067075279914</x:v>
      </x:c>
      <x:c r="D86" s="84" t="n">
        <x:f>C86^2-'Resumen'!$B$5^3/3</x:f>
        <x:v>-0.3313432213883187</x:v>
      </x:c>
      <x:c r="E86" s="85" t="n">
        <x:f>D86+'Resumen'!$B$5^3/3</x:f>
        <x:v>0.0019901119450146387</x:v>
      </x:c>
    </x:row>
    <x:row r="87">
      <x:c r="A87" s="89" t="n">
        <x:v>85</x:v>
      </x:c>
      <x:c r="B87" s="80" t="n">
        <x:v>0.5850733016275466</x:v>
      </x:c>
      <x:c r="C87" s="84" t="n">
        <x:f>SQRT('Resumen'!$B$5^3/3)*B87</x:f>
        <x:v>0.3377922281903271</x:v>
      </x:c>
      <x:c r="D87" s="84" t="n">
        <x:f>C87^2-'Resumen'!$B$5^3/3</x:f>
        <x:v>-0.2192297439075473</x:v>
      </x:c>
      <x:c r="E87" s="85" t="n">
        <x:f>D87+'Resumen'!$B$5^3/3</x:f>
        <x:v>0.11410358942578602</x:v>
      </x:c>
    </x:row>
    <x:row r="88">
      <x:c r="A88" s="89" t="n">
        <x:v>86</x:v>
      </x:c>
      <x:c r="B88" s="80" t="n">
        <x:v>0.6527032545960261</x:v>
      </x:c>
      <x:c r="C88" s="84" t="n">
        <x:f>SQRT('Resumen'!$B$5^3/3)*B88</x:f>
        <x:v>0.3768383997419605</x:v>
      </x:c>
      <x:c r="D88" s="84" t="n">
        <x:f>C88^2-'Resumen'!$B$5^3/3</x:f>
        <x:v>-0.19132615381325171</x:v>
      </x:c>
      <x:c r="E88" s="85" t="n">
        <x:f>D88+'Resumen'!$B$5^3/3</x:f>
        <x:v>0.1420071795200816</x:v>
      </x:c>
    </x:row>
    <x:row r="89">
      <x:c r="A89" s="89" t="n">
        <x:v>87</x:v>
      </x:c>
      <x:c r="B89" s="80" t="n">
        <x:v>1.977833387285658</x:v>
      </x:c>
      <x:c r="C89" s="84" t="n">
        <x:f>SQRT('Resumen'!$B$5^3/3)*B89</x:f>
        <x:v>1.1419026385616038</x:v>
      </x:c>
      <x:c r="D89" s="84" t="n">
        <x:f>C89^2-'Resumen'!$B$5^3/3</x:f>
        <x:v>0.9706083026206196</x:v>
      </x:c>
      <x:c r="E89" s="85" t="n">
        <x:f>D89+'Resumen'!$B$5^3/3</x:f>
        <x:v>1.3039416359539528</x:v>
      </x:c>
    </x:row>
    <x:row r="90">
      <x:c r="A90" s="89" t="n">
        <x:v>88</x:v>
      </x:c>
      <x:c r="B90" s="80" t="n">
        <x:v>0.4912259683597913</x:v>
      </x:c>
      <x:c r="C90" s="84" t="n">
        <x:f>SQRT('Resumen'!$B$5^3/3)*B90</x:f>
        <x:v>0.2836094450654601</x:v>
      </x:c>
      <x:c r="D90" s="84" t="n">
        <x:f>C90^2-'Resumen'!$B$5^3/3</x:f>
        <x:v>-0.2528990160029951</x:v>
      </x:c>
      <x:c r="E90" s="85" t="n">
        <x:f>D90+'Resumen'!$B$5^3/3</x:f>
        <x:v>0.08043431733033823</x:v>
      </x:c>
    </x:row>
    <x:row r="91">
      <x:c r="A91" s="89" t="n">
        <x:v>89</x:v>
      </x:c>
      <x:c r="B91" s="80" t="n">
        <x:v>-1.9197638550728617</x:v>
      </x:c>
      <x:c r="C91" s="84" t="n">
        <x:f>SQRT('Resumen'!$B$5^3/3)*B91</x:f>
        <x:v>-1.1083761785068305</x:v>
      </x:c>
      <x:c r="D91" s="84" t="n">
        <x:f>C91^2-'Resumen'!$B$5^3/3</x:f>
        <x:v>0.8951644197480719</x:v>
      </x:c>
      <x:c r="E91" s="85" t="n">
        <x:f>D91+'Resumen'!$B$5^3/3</x:f>
        <x:v>1.2284977530814052</x:v>
      </x:c>
    </x:row>
    <x:row r="92">
      <x:c r="A92" s="89" t="n">
        <x:v>90</x:v>
      </x:c>
      <x:c r="B92" s="80" t="n">
        <x:v>0.889434952239585</x:v>
      </x:c>
      <x:c r="C92" s="84" t="n">
        <x:f>SQRT('Resumen'!$B$5^3/3)*B92</x:f>
        <x:v>0.5135155091021864</x:v>
      </x:c>
      <x:c r="D92" s="84" t="n">
        <x:f>C92^2-'Resumen'!$B$5^3/3</x:f>
        <x:v>-0.0696351552448557</x:v>
      </x:c>
      <x:c r="E92" s="85" t="n">
        <x:f>D92+'Resumen'!$B$5^3/3</x:f>
        <x:v>0.2636981780884776</x:v>
      </x:c>
    </x:row>
    <x:row r="93">
      <x:c r="A93" s="89" t="n">
        <x:v>91</x:v>
      </x:c>
      <x:c r="B93" s="80" t="n">
        <x:v>-1.1602189537071594</x:v>
      </x:c>
      <x:c r="C93" s="84" t="n">
        <x:f>SQRT('Resumen'!$B$5^3/3)*B93</x:f>
        <x:v>-0.6698527252417344</x:v>
      </x:c>
      <x:c r="D93" s="84" t="n">
        <x:f>C93^2-'Resumen'!$B$5^3/3</x:f>
        <x:v>0.11536934018044526</x:v>
      </x:c>
      <x:c r="E93" s="85" t="n">
        <x:f>D93+'Resumen'!$B$5^3/3</x:f>
        <x:v>0.44870267351377857</x:v>
      </x:c>
    </x:row>
    <x:row r="94">
      <x:c r="A94" s="89" t="n">
        <x:v>92</x:v>
      </x:c>
      <x:c r="B94" s="80" t="n">
        <x:v>-0.11523160125795082</x:v>
      </x:c>
      <x:c r="C94" s="84" t="n">
        <x:f>SQRT('Resumen'!$B$5^3/3)*B94</x:f>
        <x:v>-0.06652899600542952</x:v>
      </x:c>
      <x:c r="D94" s="84" t="n">
        <x:f>C94^2-'Resumen'!$B$5^3/3</x:f>
        <x:v>-0.32890722602384287</x:v>
      </x:c>
      <x:c r="E94" s="85" t="n">
        <x:f>D94+'Resumen'!$B$5^3/3</x:f>
        <x:v>0.004426107309490446</x:v>
      </x:c>
    </x:row>
    <x:row r="95">
      <x:c r="A95" s="89" t="n">
        <x:v>93</x:v>
      </x:c>
      <x:c r="B95" s="80" t="n">
        <x:v>1.1316416435683714</x:v>
      </x:c>
      <x:c r="C95" s="84" t="n">
        <x:f>SQRT('Resumen'!$B$5^3/3)*B95</x:f>
        <x:v>0.6533536075403897</x:v>
      </x:c>
      <x:c r="D95" s="84" t="n">
        <x:f>C95^2-'Resumen'!$B$5^3/3</x:f>
        <x:v>0.09353760315270832</x:v>
      </x:c>
      <x:c r="E95" s="85" t="n">
        <x:f>D95+'Resumen'!$B$5^3/3</x:f>
        <x:v>0.42687093648604163</x:v>
      </x:c>
    </x:row>
    <x:row r="96">
      <x:c r="A96" s="89" t="n">
        <x:v>94</x:v>
      </x:c>
      <x:c r="B96" s="80" t="n">
        <x:v>-0.03552768032914615</x:v>
      </x:c>
      <x:c r="C96" s="84" t="n">
        <x:f>SQRT('Resumen'!$B$5^3/3)*B96</x:f>
        <x:v>-0.020511915801715498</x:v>
      </x:c>
      <x:c r="D96" s="84" t="n">
        <x:f>C96^2-'Resumen'!$B$5^3/3</x:f>
        <x:v>-0.33291259464347667</x:v>
      </x:c>
      <x:c r="E96" s="85" t="n">
        <x:f>D96+'Resumen'!$B$5^3/3</x:f>
        <x:v>0.00042073868985664786</x:v>
      </x:c>
    </x:row>
    <x:row r="97">
      <x:c r="A97" s="89" t="n">
        <x:v>95</x:v>
      </x:c>
      <x:c r="B97" s="80" t="n">
        <x:v>2.13872053558818</x:v>
      </x:c>
      <x:c r="C97" s="84" t="n">
        <x:f>SQRT('Resumen'!$B$5^3/3)*B97</x:f>
        <x:v>1.2347908769432163</x:v>
      </x:c>
      <x:c r="D97" s="84" t="n">
        <x:f>C97^2-'Resumen'!$B$5^3/3</x:f>
        <x:v>1.191375176448864</x:v>
      </x:c>
      <x:c r="E97" s="85" t="n">
        <x:f>D97+'Resumen'!$B$5^3/3</x:f>
        <x:v>1.5247085097821973</x:v>
      </x:c>
    </x:row>
    <x:row r="98">
      <x:c r="A98" s="89" t="n">
        <x:v>96</x:v>
      </x:c>
      <x:c r="B98" s="80" t="n">
        <x:v>1.3036554096894795</x:v>
      </x:c>
      <x:c r="C98" s="84" t="n">
        <x:f>SQRT('Resumen'!$B$5^3/3)*B98</x:f>
        <x:v>0.7526658017147327</x:v>
      </x:c>
      <x:c r="D98" s="84" t="n">
        <x:f>C98^2-'Resumen'!$B$5^3/3</x:f>
        <x:v>0.233172475737548</x:v>
      </x:c>
      <x:c r="E98" s="85" t="n">
        <x:f>D98+'Resumen'!$B$5^3/3</x:f>
        <x:v>0.5665058090708813</x:v>
      </x:c>
    </x:row>
    <x:row r="99">
      <x:c r="A99" s="89" t="n">
        <x:v>97</x:v>
      </x:c>
      <x:c r="B99" s="80" t="n">
        <x:v>0.4510654439390068</x:v>
      </x:c>
      <x:c r="C99" s="84" t="n">
        <x:f>SQRT('Resumen'!$B$5^3/3)*B99</x:f>
        <x:v>0.2604227554803236</x:v>
      </x:c>
      <x:c r="D99" s="84" t="n">
        <x:f>C99^2-'Resumen'!$B$5^3/3</x:f>
        <x:v>-0.2655133217613689</x:v>
      </x:c>
      <x:c r="E99" s="85" t="n">
        <x:f>D99+'Resumen'!$B$5^3/3</x:f>
        <x:v>0.06782001157196443</x:v>
      </x:c>
    </x:row>
    <x:row r="100">
      <x:c r="A100" s="89" t="n">
        <x:v>98</x:v>
      </x:c>
      <x:c r="B100" s="80" t="n">
        <x:v>0.922710113027054</x:v>
      </x:c>
      <x:c r="C100" s="84" t="n">
        <x:f>SQRT('Resumen'!$B$5^3/3)*B100</x:f>
        <x:v>0.5327269321401596</x:v>
      </x:c>
      <x:c r="D100" s="84" t="n">
        <x:f>C100^2-'Resumen'!$B$5^3/3</x:f>
        <x:v>-0.049535349105867044</x:v>
      </x:c>
      <x:c r="E100" s="85" t="n">
        <x:f>D100+'Resumen'!$B$5^3/3</x:f>
        <x:v>0.28379798422746627</x:v>
      </x:c>
    </x:row>
    <x:row r="101">
      <x:c r="A101" s="89" t="n">
        <x:v>99</x:v>
      </x:c>
      <x:c r="B101" s="80" t="n">
        <x:v>0.11900281367526971</x:v>
      </x:c>
      <x:c r="C101" s="84" t="n">
        <x:f>SQRT('Resumen'!$B$5^3/3)*B101</x:f>
        <x:v>0.06870630650973984</x:v>
      </x:c>
      <x:c r="D101" s="84" t="n">
        <x:f>C101^2-'Resumen'!$B$5^3/3</x:f>
        <x:v>-0.328612776779123</x:v>
      </x:c>
      <x:c r="E101" s="85" t="n">
        <x:f>D101+'Resumen'!$B$5^3/3</x:f>
        <x:v>0.004720556554210331</x:v>
      </x:c>
    </x:row>
    <x:row r="102">
      <x:c r="A102" s="89" t="n">
        <x:v>100</x:v>
      </x:c>
      <x:c r="B102" s="80" t="n">
        <x:v>0.4420894295614599</x:v>
      </x:c>
      <x:c r="C102" s="84" t="n">
        <x:f>SQRT('Resumen'!$B$5^3/3)*B102</x:f>
        <x:v>0.255240451163197</x:v>
      </x:c>
      <x:c r="D102" s="84" t="n">
        <x:f>C102^2-'Resumen'!$B$5^3/3</x:f>
        <x:v>-0.268185645423341</x:v>
      </x:c>
      <x:c r="E102" s="85" t="n">
        <x:f>D102+'Resumen'!$B$5^3/3</x:f>
        <x:v>0.06514768790999231</x:v>
      </x:c>
    </x:row>
    <x:row r="103">
      <x:c r="A103" s="89" t="n">
        <x:v>101</x:v>
      </x:c>
      <x:c r="B103" s="80" t="n">
        <x:v>0.9612053372564197</x:v>
      </x:c>
      <x:c r="C103" s="84" t="n">
        <x:f>SQRT('Resumen'!$B$5^3/3)*B103</x:f>
        <x:v>0.5549521602114988</x:v>
      </x:c>
      <x:c r="D103" s="84" t="n">
        <x:f>C103^2-'Resumen'!$B$5^3/3</x:f>
        <x:v>-0.025361433209924233</x:v>
      </x:c>
      <x:c r="E103" s="85" t="n">
        <x:f>D103+'Resumen'!$B$5^3/3</x:f>
        <x:v>0.3079719001234091</x:v>
      </x:c>
    </x:row>
    <x:row r="104">
      <x:c r="A104" s="89" t="n">
        <x:v>102</x:v>
      </x:c>
      <x:c r="B104" s="80" t="n">
        <x:v>-0.35028715116632436</x:v>
      </x:c>
      <x:c r="C104" s="84" t="n">
        <x:f>SQRT('Resumen'!$B$5^3/3)*B104</x:f>
        <x:v>-0.2022383810195445</x:v>
      </x:c>
      <x:c r="D104" s="84" t="n">
        <x:f>C104^2-'Resumen'!$B$5^3/3</x:f>
        <x:v>-0.2924329705759269</x:v>
      </x:c>
      <x:c r="E104" s="85" t="n">
        <x:f>D104+'Resumen'!$B$5^3/3</x:f>
        <x:v>0.04090036275740644</x:v>
      </x:c>
    </x:row>
    <x:row r="105">
      <x:c r="A105" s="89" t="n">
        <x:v>103</x:v>
      </x:c>
      <x:c r="B105" s="80" t="n">
        <x:v>-0.072556291107557</x:v>
      </x:c>
      <x:c r="C105" s="84" t="n">
        <x:f>SQRT('Resumen'!$B$5^3/3)*B105</x:f>
        <x:v>-0.04189039420234888</x:v>
      </x:c>
      <x:c r="D105" s="84" t="n">
        <x:f>C105^2-'Resumen'!$B$5^3/3</x:f>
        <x:v>-0.33157852820690514</x:v>
      </x:c>
      <x:c r="E105" s="85" t="n">
        <x:f>D105+'Resumen'!$B$5^3/3</x:f>
        <x:v>0.0017548051264281717</x:v>
      </x:c>
    </x:row>
    <x:row r="106">
      <x:c r="A106" s="89" t="n">
        <x:v>104</x:v>
      </x:c>
      <x:c r="B106" s="80" t="n">
        <x:v>-0.5227692460304294</x:v>
      </x:c>
      <x:c r="C106" s="84" t="n">
        <x:f>SQRT('Resumen'!$B$5^3/3)*B106</x:f>
        <x:v>-0.3018209649197261</x:v>
      </x:c>
      <x:c r="D106" s="84" t="n">
        <x:f>C106^2-'Resumen'!$B$5^3/3</x:f>
        <x:v>-0.2422374384682588</x:v>
      </x:c>
      <x:c r="E106" s="85" t="n">
        <x:f>D106+'Resumen'!$B$5^3/3</x:f>
        <x:v>0.09109589486507452</x:v>
      </x:c>
    </x:row>
    <x:row r="107">
      <x:c r="A107" s="89" t="n">
        <x:v>105</x:v>
      </x:c>
      <x:c r="B107" s="80" t="n">
        <x:v>0.060215134303686337</x:v>
      </x:c>
      <x:c r="C107" s="84" t="n">
        <x:f>SQRT('Resumen'!$B$5^3/3)*B107</x:f>
        <x:v>0.034765223999522775</x:v>
      </x:c>
      <x:c r="D107" s="84" t="n">
        <x:f>C107^2-'Resumen'!$B$5^3/3</x:f>
        <x:v>-0.3321247125335963</x:v>
      </x:c>
      <x:c r="E107" s="85" t="n">
        <x:f>D107+'Resumen'!$B$5^3/3</x:f>
        <x:v>0.0012086207997369924</x:v>
      </x:c>
    </x:row>
    <x:row r="108">
      <x:c r="A108" s="89" t="n">
        <x:v>106</x:v>
      </x:c>
      <x:c r="B108" s="80" t="n">
        <x:v>0.42386318604859674</x:v>
      </x:c>
      <x:c r="C108" s="84" t="n">
        <x:f>SQRT('Resumen'!$B$5^3/3)*B108</x:f>
        <x:v>0.24471752456472975</x:v>
      </x:c>
      <x:c r="D108" s="84" t="n">
        <x:f>C108^2-'Resumen'!$B$5^3/3</x:f>
        <x:v>-0.2734466665042442</x:v>
      </x:c>
      <x:c r="E108" s="85" t="n">
        <x:f>D108+'Resumen'!$B$5^3/3</x:f>
        <x:v>0.05988666682908911</x:v>
      </x:c>
    </x:row>
    <x:row r="109">
      <x:c r="A109" s="89" t="n">
        <x:v>107</x:v>
      </x:c>
      <x:c r="B109" s="80" t="n">
        <x:v>1.1453661998187743</x:v>
      </x:c>
      <x:c r="C109" s="84" t="n">
        <x:f>SQRT('Resumen'!$B$5^3/3)*B109</x:f>
        <x:v>0.661277483786068</x:v>
      </x:c>
      <x:c r="D109" s="84" t="n">
        <x:f>C109^2-'Resumen'!$B$5^3/3</x:f>
        <x:v>0.10395457722910012</x:v>
      </x:c>
      <x:c r="E109" s="85" t="n">
        <x:f>D109+'Resumen'!$B$5^3/3</x:f>
        <x:v>0.43728791056243344</x:v>
      </x:c>
    </x:row>
    <x:row r="110">
      <x:c r="A110" s="89" t="n">
        <x:v>108</x:v>
      </x:c>
      <x:c r="B110" s="80" t="n">
        <x:v>-1.2489957333680008</x:v>
      </x:c>
      <x:c r="C110" s="84" t="n">
        <x:f>SQRT('Resumen'!$B$5^3/3)*B110</x:f>
        <x:v>-0.7211080228767093</x:v>
      </x:c>
      <x:c r="D110" s="84" t="n">
        <x:f>C110^2-'Resumen'!$B$5^3/3</x:f>
        <x:v>0.1866634473238234</x:v>
      </x:c>
      <x:c r="E110" s="85" t="n">
        <x:f>D110+'Resumen'!$B$5^3/3</x:f>
        <x:v>0.5199967806571567</x:v>
      </x:c>
    </x:row>
    <x:row r="111">
      <x:c r="A111" s="89" t="n">
        <x:v>109</x:v>
      </x:c>
      <x:c r="B111" s="80" t="n">
        <x:v>1.69475825095706</x:v>
      </x:c>
      <x:c r="C111" s="84" t="n">
        <x:f>SQRT('Resumen'!$B$5^3/3)*B111</x:f>
        <x:v>0.9784691324013979</x:v>
      </x:c>
      <x:c r="D111" s="84" t="n">
        <x:f>C111^2-'Resumen'!$B$5^3/3</x:f>
        <x:v>0.6240685097290111</x:v>
      </x:c>
      <x:c r="E111" s="85" t="n">
        <x:f>D111+'Resumen'!$B$5^3/3</x:f>
        <x:v>0.9574018430623443</x:v>
      </x:c>
    </x:row>
    <x:row r="112">
      <x:c r="A112" s="89" t="n">
        <x:v>110</x:v>
      </x:c>
      <x:c r="B112" s="80" t="n">
        <x:v>-0.47319177418037506</x:v>
      </x:c>
      <x:c r="C112" s="84" t="n">
        <x:f>SQRT('Resumen'!$B$5^3/3)*B112</x:f>
        <x:v>-0.27319739820135613</x:v>
      </x:c>
      <x:c r="D112" s="84" t="n">
        <x:f>C112^2-'Resumen'!$B$5^3/3</x:f>
        <x:v>-0.258696514949343</x:v>
      </x:c>
      <x:c r="E112" s="85" t="n">
        <x:f>D112+'Resumen'!$B$5^3/3</x:f>
        <x:v>0.07463681838399033</x:v>
      </x:c>
    </x:row>
    <x:row r="113">
      <x:c r="A113" s="89" t="n">
        <x:v>111</x:v>
      </x:c>
      <x:c r="B113" s="80" t="n">
        <x:v>-0.8454057035874887</x:v>
      </x:c>
      <x:c r="C113" s="84" t="n">
        <x:f>SQRT('Resumen'!$B$5^3/3)*B113</x:f>
        <x:v>-0.4880952105406815</x:v>
      </x:c>
      <x:c r="D113" s="84" t="n">
        <x:f>C113^2-'Resumen'!$B$5^3/3</x:f>
        <x:v>-0.09509639878058113</x:v>
      </x:c>
      <x:c r="E113" s="85" t="n">
        <x:f>D113+'Resumen'!$B$5^3/3</x:f>
        <x:v>0.2382369345527522</x:v>
      </x:c>
    </x:row>
    <x:row r="114">
      <x:c r="A114" s="89" t="n">
        <x:v>112</x:v>
      </x:c>
      <x:c r="B114" s="80" t="n">
        <x:v>-0.20712835458394513</x:v>
      </x:c>
      <x:c r="C114" s="84" t="n">
        <x:f>SQRT('Resumen'!$B$5^3/3)*B114</x:f>
        <x:v>-0.11958561127584497</x:v>
      </x:c>
      <x:c r="D114" s="84" t="n">
        <x:f>C114^2-'Resumen'!$B$5^3/3</x:f>
        <x:v>-0.31903261490911583</x:v>
      </x:c>
      <x:c r="E114" s="85" t="n">
        <x:f>D114+'Resumen'!$B$5^3/3</x:f>
        <x:v>0.014300718424217485</x:v>
      </x:c>
    </x:row>
    <x:row r="115">
      <x:c r="A115" s="89" t="n">
        <x:v>113</x:v>
      </x:c>
      <x:c r="B115" s="80" t="n">
        <x:v>-0.2915441240312727</x:v>
      </x:c>
      <x:c r="C115" s="84" t="n">
        <x:f>SQRT('Resumen'!$B$5^3/3)*B115</x:f>
        <x:v>-0.16832307849010894</x:v>
      </x:c>
      <x:c r="D115" s="84" t="n">
        <x:f>C115^2-'Resumen'!$B$5^3/3</x:f>
        <x:v>-0.30500067458094593</x:v>
      </x:c>
      <x:c r="E115" s="85" t="n">
        <x:f>D115+'Resumen'!$B$5^3/3</x:f>
        <x:v>0.028332658752387385</x:v>
      </x:c>
    </x:row>
    <x:row r="116">
      <x:c r="A116" s="89" t="n">
        <x:v>114</x:v>
      </x:c>
      <x:c r="B116" s="80" t="n">
        <x:v>0.24423902598634506</x:v>
      </x:c>
      <x:c r="C116" s="84" t="n">
        <x:f>SQRT('Resumen'!$B$5^3/3)*B116</x:f>
        <x:v>0.1410114673998283</x:v>
      </x:c>
      <x:c r="D116" s="84" t="n">
        <x:f>C116^2-'Resumen'!$B$5^3/3</x:f>
        <x:v>-0.3134490993950805</x:v>
      </x:c>
      <x:c r="E116" s="85" t="n">
        <x:f>D116+'Resumen'!$B$5^3/3</x:f>
        <x:v>0.019884233938252838</x:v>
      </x:c>
    </x:row>
    <x:row r="117">
      <x:c r="A117" s="89" t="n">
        <x:v>115</x:v>
      </x:c>
      <x:c r="B117" s="80" t="n">
        <x:v>-0.03882268531207097</x:v>
      </x:c>
      <x:c r="C117" s="84" t="n">
        <x:f>SQRT('Resumen'!$B$5^3/3)*B117</x:f>
        <x:v>-0.022414287815588303</x:v>
      </x:c>
      <x:c r="D117" s="84" t="n">
        <x:f>C117^2-'Resumen'!$B$5^3/3</x:f>
        <x:v>-0.3328309330350533</x:v>
      </x:c>
      <x:c r="E117" s="85" t="n">
        <x:f>D117+'Resumen'!$B$5^3/3</x:f>
        <x:v>0.0005024002982800257</x:v>
      </x:c>
    </x:row>
    <x:row r="118">
      <x:c r="A118" s="89" t="n">
        <x:v>116</x:v>
      </x:c>
      <x:c r="B118" s="80" t="n">
        <x:v>0.05362104399152414</x:v>
      </x:c>
      <x:c r="C118" s="84" t="n">
        <x:f>SQRT('Resumen'!$B$5^3/3)*B118</x:f>
        <x:v>0.030958124182735226</x:v>
      </x:c>
      <x:c r="D118" s="84" t="n">
        <x:f>C118^2-'Resumen'!$B$5^3/3</x:f>
        <x:v>-0.33237492788041967</x:v>
      </x:c>
      <x:c r="E118" s="85" t="n">
        <x:f>D118+'Resumen'!$B$5^3/3</x:f>
        <x:v>0.0009584054529136465</x:v>
      </x:c>
    </x:row>
    <x:row r="119">
      <x:c r="A119" s="89" t="n">
        <x:v>117</x:v>
      </x:c>
      <x:c r="B119" s="80" t="n">
        <x:v>0.9193773908400524</x:v>
      </x:c>
      <x:c r="C119" s="84" t="n">
        <x:f>SQRT('Resumen'!$B$5^3/3)*B119</x:f>
        <x:v>0.53080278408836</x:v>
      </x:c>
      <x:c r="D119" s="84" t="n">
        <x:f>C119^2-'Resumen'!$B$5^3/3</x:f>
        <x:v>-0.051581737737379174</x:v>
      </x:c>
      <x:c r="E119" s="85" t="n">
        <x:f>D119+'Resumen'!$B$5^3/3</x:f>
        <x:v>0.28175159559595414</x:v>
      </x:c>
    </x:row>
    <x:row r="120">
      <x:c r="A120" s="89" t="n">
        <x:v>118</x:v>
      </x:c>
      <x:c r="B120" s="80" t="n">
        <x:v>-0.7417393025074646</x:v>
      </x:c>
      <x:c r="C120" s="84" t="n">
        <x:f>SQRT('Resumen'!$B$5^3/3)*B120</x:f>
        <x:v>-0.4282433859712099</x:v>
      </x:c>
      <x:c r="D120" s="84" t="n">
        <x:f>C120^2-'Resumen'!$B$5^3/3</x:f>
        <x:v>-0.14994093570524664</x:v>
      </x:c>
      <x:c r="E120" s="85" t="n">
        <x:f>D120+'Resumen'!$B$5^3/3</x:f>
        <x:v>0.18339239762808668</x:v>
      </x:c>
    </x:row>
    <x:row r="121">
      <x:c r="A121" s="89" t="n">
        <x:v>119</x:v>
      </x:c>
      <x:c r="B121" s="80" t="n">
        <x:v>0.4963690936703858</x:v>
      </x:c>
      <x:c r="C121" s="84" t="n">
        <x:f>SQRT('Resumen'!$B$5^3/3)*B121</x:f>
        <x:v>0.2865788298480078</x:v>
      </x:c>
      <x:c r="D121" s="84" t="n">
        <x:f>C121^2-'Resumen'!$B$5^3/3</x:f>
        <x:v>-0.2512059076162799</x:v>
      </x:c>
      <x:c r="E121" s="85" t="n">
        <x:f>D121+'Resumen'!$B$5^3/3</x:f>
        <x:v>0.08212742571705339</x:v>
      </x:c>
    </x:row>
    <x:row r="122">
      <x:c r="A122" s="89" t="n">
        <x:v>120</x:v>
      </x:c>
      <x:c r="B122" s="80" t="n">
        <x:v>1.0966250609080344</x:v>
      </x:c>
      <x:c r="C122" s="84" t="n">
        <x:f>SQRT('Resumen'!$B$5^3/3)*B122</x:f>
        <x:v>0.6331367741153433</x:v>
      </x:c>
      <x:c r="D122" s="84" t="n">
        <x:f>C122^2-'Resumen'!$B$5^3/3</x:f>
        <x:v>0.06752884140384996</x:v>
      </x:c>
      <x:c r="E122" s="85" t="n">
        <x:f>D122+'Resumen'!$B$5^3/3</x:f>
        <x:v>0.4008621747371833</x:v>
      </x:c>
    </x:row>
    <x:row r="123">
      <x:c r="A123" s="89" t="n">
        <x:v>121</x:v>
      </x:c>
      <x:c r="B123" s="80" t="n">
        <x:v>-0.01891787428085647</x:v>
      </x:c>
      <x:c r="C123" s="84" t="n">
        <x:f>SQRT('Resumen'!$B$5^3/3)*B123</x:f>
        <x:v>-0.01092223980854798</x:v>
      </x:c>
      <x:c r="D123" s="84" t="n">
        <x:f>C123^2-'Resumen'!$B$5^3/3</x:f>
        <x:v>-0.3332140380108979</x:v>
      </x:c>
      <x:c r="E123" s="85" t="n">
        <x:f>D123+'Resumen'!$B$5^3/3</x:f>
        <x:v>0.00011929532243543095</x:v>
      </x:c>
    </x:row>
    <x:row r="124">
      <x:c r="A124" s="89" t="n">
        <x:v>122</x:v>
      </x:c>
      <x:c r="B124" s="80" t="n">
        <x:v>-0.5296544222076063</x:v>
      </x:c>
      <x:c r="C124" s="84" t="n">
        <x:f>SQRT('Resumen'!$B$5^3/3)*B124</x:f>
        <x:v>-0.30579612323903715</x:v>
      </x:c>
      <x:c r="D124" s="84" t="n">
        <x:f>C124^2-'Resumen'!$B$5^3/3</x:f>
        <x:v>-0.23982206434530892</x:v>
      </x:c>
      <x:c r="E124" s="85" t="n">
        <x:f>D124+'Resumen'!$B$5^3/3</x:f>
        <x:v>0.09351126898802439</x:v>
      </x:c>
    </x:row>
    <x:row r="125">
      <x:c r="A125" s="89" t="n">
        <x:v>123</x:v>
      </x:c>
      <x:c r="B125" s="80" t="n">
        <x:v>0.8570716292405341</x:v>
      </x:c>
      <x:c r="C125" s="84" t="n">
        <x:f>SQRT('Resumen'!$B$5^3/3)*B125</x:f>
        <x:v>0.49483053585681347</x:v>
      </x:c>
      <x:c r="D125" s="84" t="n">
        <x:f>C125^2-'Resumen'!$B$5^3/3</x:f>
        <x:v>-0.08847607411699215</x:v>
      </x:c>
      <x:c r="E125" s="85" t="n">
        <x:f>D125+'Resumen'!$B$5^3/3</x:f>
        <x:v>0.24485725921634116</x:v>
      </x:c>
    </x:row>
    <x:row r="126">
      <x:c r="A126" s="89" t="n">
        <x:v>124</x:v>
      </x:c>
      <x:c r="B126" s="80" t="n">
        <x:v>-0.9867764547686998</x:v>
      </x:c>
      <x:c r="C126" s="84" t="n">
        <x:f>SQRT('Resumen'!$B$5^3/3)*B126</x:f>
        <x:v>-0.5697156517906934</x:v>
      </x:c>
      <x:c r="D126" s="84" t="n">
        <x:f>C126^2-'Resumen'!$B$5^3/3</x:f>
        <x:v>-0.00875740943803871</x:v>
      </x:c>
      <x:c r="E126" s="85" t="n">
        <x:f>D126+'Resumen'!$B$5^3/3</x:f>
        <x:v>0.3245759238952946</x:v>
      </x:c>
    </x:row>
    <x:row r="127">
      <x:c r="A127" s="89" t="n">
        <x:v>125</x:v>
      </x:c>
      <x:c r="B127" s="80" t="n">
        <x:v>2.016573791218907</x:v>
      </x:c>
      <x:c r="C127" s="84" t="n">
        <x:f>SQRT('Resumen'!$B$5^3/3)*B127</x:f>
        <x:v>1.16426942120098</x:v>
      </x:c>
      <x:c r="D127" s="84" t="n">
        <x:f>C127^2-'Resumen'!$B$5^3/3</x:f>
        <x:v>1.022189951810332</x:v>
      </x:c>
      <x:c r="E127" s="85" t="n">
        <x:f>D127+'Resumen'!$B$5^3/3</x:f>
        <x:v>1.3555232851436652</x:v>
      </x:c>
    </x:row>
    <x:row r="128">
      <x:c r="A128" s="89" t="n">
        <x:v>126</x:v>
      </x:c>
      <x:c r="B128" s="80" t="n">
        <x:v>1.8665002019022316</x:v>
      </x:c>
      <x:c r="C128" s="84" t="n">
        <x:f>SQRT('Resumen'!$B$5^3/3)*B128</x:f>
        <x:v>1.0776243940107442</x:v>
      </x:c>
      <x:c r="D128" s="84" t="n">
        <x:f>C128^2-'Resumen'!$B$5^3/3</x:f>
        <x:v>0.8279410012336903</x:v>
      </x:c>
      <x:c r="E128" s="85" t="n">
        <x:f>D128+'Resumen'!$B$5^3/3</x:f>
        <x:v>1.1612743345670236</x:v>
      </x:c>
    </x:row>
    <x:row r="129">
      <x:c r="A129" s="89" t="n">
        <x:v>127</x:v>
      </x:c>
      <x:c r="B129" s="80" t="n">
        <x:v>-1.6033209945375806</x:v>
      </x:c>
      <x:c r="C129" s="84" t="n">
        <x:f>SQRT('Resumen'!$B$5^3/3)*B129</x:f>
        <x:v>-0.9256778077936506</x:v>
      </x:c>
      <x:c r="D129" s="84" t="n">
        <x:f>C129^2-'Resumen'!$B$5^3/3</x:f>
        <x:v>0.5235460705083255</x:v>
      </x:c>
      <x:c r="E129" s="85" t="n">
        <x:f>D129+'Resumen'!$B$5^3/3</x:f>
        <x:v>0.8568794038416587</x:v>
      </x:c>
    </x:row>
    <x:row r="130">
      <x:c r="A130" s="89" t="n">
        <x:v>128</x:v>
      </x:c>
      <x:c r="B130" s="80" t="n">
        <x:v>-0.5708518510442242</x:v>
      </x:c>
      <x:c r="C130" s="84" t="n">
        <x:f>SQRT('Resumen'!$B$5^3/3)*B130</x:f>
        <x:v>-0.329581469867779</x:v>
      </x:c>
      <x:c r="D130" s="84" t="n">
        <x:f>C130^2-'Resumen'!$B$5^3/3</x:f>
        <x:v>-0.22470938805312762</x:v>
      </x:c>
      <x:c r="E130" s="85" t="n">
        <x:f>D130+'Resumen'!$B$5^3/3</x:f>
        <x:v>0.10862394528020569</x:v>
      </x:c>
    </x:row>
    <x:row r="131">
      <x:c r="A131" s="89" t="n">
        <x:v>129</x:v>
      </x:c>
      <x:c r="B131" s="80" t="n">
        <x:v>0.4519463901502835</x:v>
      </x:c>
      <x:c r="C131" s="84" t="n">
        <x:f>SQRT('Resumen'!$B$5^3/3)*B131</x:f>
        <x:v>0.2609313700125458</x:v>
      </x:c>
      <x:c r="D131" s="84" t="n">
        <x:f>C131^2-'Resumen'!$B$5^3/3</x:f>
        <x:v>-0.2652481534767092</x:v>
      </x:c>
      <x:c r="E131" s="85" t="n">
        <x:f>D131+'Resumen'!$B$5^3/3</x:f>
        <x:v>0.0680851798566241</x:v>
      </x:c>
    </x:row>
    <x:row r="132">
      <x:c r="A132" s="89" t="n">
        <x:v>130</x:v>
      </x:c>
      <x:c r="B132" s="80" t="n">
        <x:v>1.1940370075843367</x:v>
      </x:c>
      <x:c r="C132" s="84" t="n">
        <x:f>SQRT('Resumen'!$B$5^3/3)*B132</x:f>
        <x:v>0.689377587751192</x:v>
      </x:c>
      <x:c r="D132" s="84" t="n">
        <x:f>C132^2-'Resumen'!$B$5^3/3</x:f>
        <x:v>0.14190812516031903</x:v>
      </x:c>
      <x:c r="E132" s="85" t="n">
        <x:f>D132+'Resumen'!$B$5^3/3</x:f>
        <x:v>0.47524145849365235</x:v>
      </x:c>
    </x:row>
    <x:row r="133">
      <x:c r="A133" s="89" t="n">
        <x:v>131</x:v>
      </x:c>
      <x:c r="B133" s="80" t="n">
        <x:v>-0.29558107472285455</x:v>
      </x:c>
      <x:c r="C133" s="84" t="n">
        <x:f>SQRT('Resumen'!$B$5^3/3)*B133</x:f>
        <x:v>-0.17065381305859895</x:v>
      </x:c>
      <x:c r="D133" s="84" t="n">
        <x:f>C133^2-'Resumen'!$B$5^3/3</x:f>
        <x:v>-0.3042106094218941</x:v>
      </x:c>
      <x:c r="E133" s="85" t="n">
        <x:f>D133+'Resumen'!$B$5^3/3</x:f>
        <x:v>0.02912272391143922</x:v>
      </x:c>
    </x:row>
    <x:row r="134">
      <x:c r="A134" s="89" t="n">
        <x:v>132</x:v>
      </x:c>
      <x:c r="B134" s="80" t="n">
        <x:v>1.1731569990541173</x:v>
      </x:c>
      <x:c r="C134" s="84" t="n">
        <x:f>SQRT('Resumen'!$B$5^3/3)*B134</x:f>
        <x:v>0.6773225092055881</x:v>
      </x:c>
      <x:c r="D134" s="84" t="n">
        <x:f>C134^2-'Resumen'!$B$5^3/3</x:f>
        <x:v>0.1254324481432207</x:v>
      </x:c>
      <x:c r="E134" s="85" t="n">
        <x:f>D134+'Resumen'!$B$5^3/3</x:f>
        <x:v>0.458765781476554</x:v>
      </x:c>
    </x:row>
    <x:row r="135">
      <x:c r="A135" s="89" t="n">
        <x:v>133</x:v>
      </x:c>
      <x:c r="B135" s="80" t="n">
        <x:v>-0.9735174707025562</x:v>
      </x:c>
      <x:c r="C135" s="84" t="n">
        <x:f>SQRT('Resumen'!$B$5^3/3)*B135</x:f>
        <x:v>-0.5620605737709244</x:v>
      </x:c>
      <x:c r="D135" s="84" t="n">
        <x:f>C135^2-'Resumen'!$B$5^3/3</x:f>
        <x:v>-0.017421244745632503</x:v>
      </x:c>
      <x:c r="E135" s="85" t="n">
        <x:f>D135+'Resumen'!$B$5^3/3</x:f>
        <x:v>0.3159120885877008</x:v>
      </x:c>
    </x:row>
    <x:row r="136">
      <x:c r="A136" s="89" t="n">
        <x:v>134</x:v>
      </x:c>
      <x:c r="B136" s="80" t="n">
        <x:v>-0.04024871307732773</x:v>
      </x:c>
      <x:c r="C136" s="84" t="n">
        <x:f>SQRT('Resumen'!$B$5^3/3)*B136</x:f>
        <x:v>-0.023237605329731174</x:v>
      </x:c>
      <x:c r="D136" s="84" t="n">
        <x:f>C136^2-'Resumen'!$B$5^3/3</x:f>
        <x:v>-0.33279334703187297</x:v>
      </x:c>
      <x:c r="E136" s="85" t="n">
        <x:f>D136+'Resumen'!$B$5^3/3</x:f>
        <x:v>0.000539986301460349</x:v>
      </x:c>
    </x:row>
    <x:row r="137">
      <x:c r="A137" s="89" t="n">
        <x:v>135</x:v>
      </x:c>
      <x:c r="B137" s="80" t="n">
        <x:v>-0.5704589954684571</x:v>
      </x:c>
      <x:c r="C137" s="84" t="n">
        <x:f>SQRT('Resumen'!$B$5^3/3)*B137</x:f>
        <x:v>-0.32935465459535723</x:v>
      </x:c>
      <x:c r="D137" s="84" t="n">
        <x:f>C137^2-'Resumen'!$B$5^3/3</x:f>
        <x:v>-0.22485884482970625</x:v>
      </x:c>
      <x:c r="E137" s="85" t="n">
        <x:f>D137+'Resumen'!$B$5^3/3</x:f>
        <x:v>0.10847448850362706</x:v>
      </x:c>
    </x:row>
    <x:row r="138">
      <x:c r="A138" s="89" t="n">
        <x:v>136</x:v>
      </x:c>
      <x:c r="B138" s="80" t="n">
        <x:v>0.32773157209992904</x:v>
      </x:c>
      <x:c r="C138" s="84" t="n">
        <x:f>SQRT('Resumen'!$B$5^3/3)*B138</x:f>
        <x:v>0.18921591137383326</x:v>
      </x:c>
      <x:c r="D138" s="84" t="n">
        <x:f>C138^2-'Resumen'!$B$5^3/3</x:f>
        <x:v>-0.29753067221630297</x:v>
      </x:c>
      <x:c r="E138" s="85" t="n">
        <x:f>D138+'Resumen'!$B$5^3/3</x:f>
        <x:v>0.03580266111703034</x:v>
      </x:c>
    </x:row>
    <x:row r="139">
      <x:c r="A139" s="89" t="n">
        <x:v>137</x:v>
      </x:c>
      <x:c r="B139" s="80" t="n">
        <x:v>0.9834830777253185</x:v>
      </x:c>
      <x:c r="C139" s="84" t="n">
        <x:f>SQRT('Resumen'!$B$5^3/3)*B139</x:f>
        <x:v>0.5678142196681543</x:v>
      </x:c>
      <x:c r="D139" s="84" t="n">
        <x:f>C139^2-'Resumen'!$B$5^3/3</x:f>
        <x:v>-0.01092034527597835</x:v>
      </x:c>
      <x:c r="E139" s="85" t="n">
        <x:f>D139+'Resumen'!$B$5^3/3</x:f>
        <x:v>0.32241298805735497</x:v>
      </x:c>
    </x:row>
    <x:row r="140">
      <x:c r="A140" s="89" t="n">
        <x:v>138</x:v>
      </x:c>
      <x:c r="B140" s="80" t="n">
        <x:v>1.3400275894188283</x:v>
      </x:c>
      <x:c r="C140" s="84" t="n">
        <x:f>SQRT('Resumen'!$B$5^3/3)*B140</x:f>
        <x:v>0.7736652894724858</x:v>
      </x:c>
      <x:c r="D140" s="84" t="n">
        <x:f>C140^2-'Resumen'!$B$5^3/3</x:f>
        <x:v>0.265224646801212</x:v>
      </x:c>
      <x:c r="E140" s="85" t="n">
        <x:f>D140+'Resumen'!$B$5^3/3</x:f>
        <x:v>0.5985579801345453</x:v>
      </x:c>
    </x:row>
    <x:row r="141">
      <x:c r="A141" s="89" t="n">
        <x:v>139</x:v>
      </x:c>
      <x:c r="B141" s="80" t="n">
        <x:v>0.1395946402449329</x:v>
      </x:c>
      <x:c r="C141" s="84" t="n">
        <x:f>SQRT('Resumen'!$B$5^3/3)*B141</x:f>
        <x:v>0.08059500312284097</x:v>
      </x:c>
      <x:c r="D141" s="84" t="n">
        <x:f>C141^2-'Resumen'!$B$5^3/3</x:f>
        <x:v>-0.32683777880496256</x:v>
      </x:c>
      <x:c r="E141" s="85" t="n">
        <x:f>D141+'Resumen'!$B$5^3/3</x:f>
        <x:v>0.0064955545283707505</x:v>
      </x:c>
    </x:row>
    <x:row r="142">
      <x:c r="A142" s="89" t="n">
        <x:v>140</x:v>
      </x:c>
      <x:c r="B142" s="80" t="n">
        <x:v>0.19840966434187893</x:v>
      </x:c>
      <x:c r="C142" s="84" t="n">
        <x:f>SQRT('Resumen'!$B$5^3/3)*B142</x:f>
        <x:v>0.11455187311760709</x:v>
      </x:c>
      <x:c r="D142" s="84" t="n">
        <x:f>C142^2-'Resumen'!$B$5^3/3</x:f>
        <x:v>-0.32021120169858097</x:v>
      </x:c>
      <x:c r="E142" s="85" t="n">
        <x:f>D142+'Resumen'!$B$5^3/3</x:f>
        <x:v>0.013122131634752343</x:v>
      </x:c>
    </x:row>
    <x:row r="143">
      <x:c r="A143" s="89" t="n">
        <x:v>141</x:v>
      </x:c>
      <x:c r="B143" s="80" t="n">
        <x:v>0.9687921507539203</x:v>
      </x:c>
      <x:c r="C143" s="84" t="n">
        <x:f>SQRT('Resumen'!$B$5^3/3)*B143</x:f>
        <x:v>0.5593324090265723</x:v>
      </x:c>
      <x:c r="D143" s="84" t="n">
        <x:f>C143^2-'Resumen'!$B$5^3/3</x:f>
        <x:v>-0.020480589545864514</x:v>
      </x:c>
      <x:c r="E143" s="85" t="n">
        <x:f>D143+'Resumen'!$B$5^3/3</x:f>
        <x:v>0.3128527437874688</x:v>
      </x:c>
    </x:row>
    <x:row r="144">
      <x:c r="A144" s="89" t="n">
        <x:v>142</x:v>
      </x:c>
      <x:c r="B144" s="80" t="n">
        <x:v>0.7159894778471223</x:v>
      </x:c>
      <x:c r="C144" s="84" t="n">
        <x:f>SQRT('Resumen'!$B$5^3/3)*B144</x:f>
        <x:v>0.41337671777197565</x:v>
      </x:c>
      <x:c r="D144" s="84" t="n">
        <x:f>C144^2-'Resumen'!$B$5^3/3</x:f>
        <x:v>-0.1624530225374017</x:v>
      </x:c>
      <x:c r="E144" s="85" t="n">
        <x:f>D144+'Resumen'!$B$5^3/3</x:f>
        <x:v>0.1708803107959316</x:v>
      </x:c>
    </x:row>
    <x:row r="145">
      <x:c r="A145" s="89" t="n">
        <x:v>143</x:v>
      </x:c>
      <x:c r="B145" s="80" t="n">
        <x:v>-1.1960709772701983</x:v>
      </x:c>
      <x:c r="C145" s="84" t="n">
        <x:f>SQRT('Resumen'!$B$5^3/3)*B145</x:f>
        <x:v>-0.6905519006968477</x:v>
      </x:c>
      <x:c r="D145" s="84" t="n">
        <x:f>C145^2-'Resumen'!$B$5^3/3</x:f>
        <x:v>0.14352859422269565</x:v>
      </x:c>
      <x:c r="E145" s="85" t="n">
        <x:f>D145+'Resumen'!$B$5^3/3</x:f>
        <x:v>0.47686192755602896</x:v>
      </x:c>
    </x:row>
    <x:row r="146">
      <x:c r="A146" s="89" t="n">
        <x:v>144</x:v>
      </x:c>
      <x:c r="B146" s="80" t="n">
        <x:v>1.0677572062955758</x:v>
      </x:c>
      <x:c r="C146" s="84" t="n">
        <x:f>SQRT('Resumen'!$B$5^3/3)*B146</x:f>
        <x:v>0.6164699104839134</x:v>
      </x:c>
      <x:c r="D146" s="84" t="n">
        <x:f>C146^2-'Resumen'!$B$5^3/3</x:f>
        <x:v>0.046701817198710915</x:v>
      </x:c>
      <x:c r="E146" s="85" t="n">
        <x:f>D146+'Resumen'!$B$5^3/3</x:f>
        <x:v>0.38003515053204423</x:v>
      </x:c>
    </x:row>
    <x:row r="147">
      <x:c r="A147" s="89" t="n">
        <x:v>145</x:v>
      </x:c>
      <x:c r="B147" s="80" t="n">
        <x:v>-0.36103442426796417</x:v>
      </x:c>
      <x:c r="C147" s="84" t="n">
        <x:f>SQRT('Resumen'!$B$5^3/3)*B147</x:f>
        <x:v>-0.20844332203783067</x:v>
      </x:c>
      <x:c r="D147" s="84" t="n">
        <x:f>C147^2-'Resumen'!$B$5^3/3</x:f>
        <x:v>-0.2898847148311665</x:v>
      </x:c>
      <x:c r="E147" s="85" t="n">
        <x:f>D147+'Resumen'!$B$5^3/3</x:f>
        <x:v>0.0434486185021668</x:v>
      </x:c>
    </x:row>
    <x:row r="148">
      <x:c r="A148" s="89" t="n">
        <x:v>146</x:v>
      </x:c>
      <x:c r="B148" s="80" t="n">
        <x:v>-0.282856507858314</x:v>
      </x:c>
      <x:c r="C148" s="84" t="n">
        <x:f>SQRT('Resumen'!$B$5^3/3)*B148</x:f>
        <x:v>-0.16330728095403507</x:v>
      </x:c>
      <x:c r="D148" s="84" t="n">
        <x:f>C148^2-'Resumen'!$B$5^3/3</x:f>
        <x:v>-0.30666406532073315</x:v>
      </x:c>
      <x:c r="E148" s="85" t="n">
        <x:f>D148+'Resumen'!$B$5^3/3</x:f>
        <x:v>0.026669268012600167</x:v>
      </x:c>
    </x:row>
    <x:row r="149">
      <x:c r="A149" s="89" t="n">
        <x:v>147</x:v>
      </x:c>
      <x:c r="B149" s="80" t="n">
        <x:v>-0.07191437066311161</x:v>
      </x:c>
      <x:c r="C149" s="84" t="n">
        <x:f>SQRT('Resumen'!$B$5^3/3)*B149</x:f>
        <x:v>-0.04151978126095001</x:v>
      </x:c>
      <x:c r="D149" s="84" t="n">
        <x:f>C149^2-'Resumen'!$B$5^3/3</x:f>
        <x:v>-0.33160944109737617</x:v>
      </x:c>
      <x:c r="E149" s="85" t="n">
        <x:f>D149+'Resumen'!$B$5^3/3</x:f>
        <x:v>0.0017238922359571474</x:v>
      </x:c>
    </x:row>
    <x:row r="150">
      <x:c r="A150" s="89" t="n">
        <x:v>148</x:v>
      </x:c>
      <x:c r="B150" s="80" t="n">
        <x:v>0.0997712471676023</x:v>
      </x:c>
      <x:c r="C150" s="84" t="n">
        <x:f>SQRT('Resumen'!$B$5^3/3)*B150</x:f>
        <x:v>0.05760295640959987</x:v>
      </x:c>
      <x:c r="D150" s="84" t="n">
        <x:f>C150^2-'Resumen'!$B$5^3/3</x:f>
        <x:v>-0.33001523274620703</x:v>
      </x:c>
      <x:c r="E150" s="85" t="n">
        <x:f>D150+'Resumen'!$B$5^3/3</x:f>
        <x:v>0.0033181005871262825</x:v>
      </x:c>
    </x:row>
    <x:row r="151">
      <x:c r="A151" s="89" t="n">
        <x:v>149</x:v>
      </x:c>
      <x:c r="B151" s="80" t="n">
        <x:v>-1.1914936962551508</x:v>
      </x:c>
      <x:c r="C151" s="84" t="n">
        <x:f>SQRT('Resumen'!$B$5^3/3)*B151</x:f>
        <x:v>-0.6879092062706534</x:v>
      </x:c>
      <x:c r="D151" s="84" t="n">
        <x:f>C151^2-'Resumen'!$B$5^3/3</x:f>
        <x:v>0.13988574273858712</x:v>
      </x:c>
      <x:c r="E151" s="85" t="n">
        <x:f>D151+'Resumen'!$B$5^3/3</x:f>
        <x:v>0.47321907607192043</x:v>
      </x:c>
    </x:row>
    <x:row r="152">
      <x:c r="A152" s="89" t="n">
        <x:v>150</x:v>
      </x:c>
      <x:c r="B152" s="80" t="n">
        <x:v>-0.6879882472974682</x:v>
      </x:c>
      <x:c r="C152" s="84" t="n">
        <x:f>SQRT('Resumen'!$B$5^3/3)*B152</x:f>
        <x:v>-0.3972101997764921</x:v>
      </x:c>
      <x:c r="D152" s="84" t="n">
        <x:f>C152^2-'Resumen'!$B$5^3/3</x:f>
        <x:v>-0.17555739052685257</x:v>
      </x:c>
      <x:c r="E152" s="85" t="n">
        <x:f>D152+'Resumen'!$B$5^3/3</x:f>
        <x:v>0.15777594280648075</x:v>
      </x:c>
    </x:row>
    <x:row r="153">
      <x:c r="A153" s="89" t="n">
        <x:v>151</x:v>
      </x:c>
      <x:c r="B153" s="80" t="n">
        <x:v>0.061095314599996016</x:v>
      </x:c>
      <x:c r="C153" s="84" t="n">
        <x:f>SQRT('Resumen'!$B$5^3/3)*B153</x:f>
        <x:v>0.03527339633053257</x:v>
      </x:c>
      <x:c r="D153" s="84" t="n">
        <x:f>C153^2-'Resumen'!$B$5^3/3</x:f>
        <x:v>-0.3320891208446425</x:v>
      </x:c>
      <x:c r="E153" s="85" t="n">
        <x:f>D153+'Resumen'!$B$5^3/3</x:f>
        <x:v>0.0012442124886908323</x:v>
      </x:c>
    </x:row>
    <x:row r="154">
      <x:c r="A154" s="89" t="n">
        <x:v>152</x:v>
      </x:c>
      <x:c r="B154" s="80" t="n">
        <x:v>0.007529873944225203</x:v>
      </x:c>
      <x:c r="C154" s="84" t="n">
        <x:f>SQRT('Resumen'!$B$5^3/3)*B154</x:f>
        <x:v>0.004347374748662369</x:v>
      </x:c>
      <x:c r="D154" s="84" t="n">
        <x:f>C154^2-'Resumen'!$B$5^3/3</x:f>
        <x:v>-0.333314433666128</x:v>
      </x:c>
      <x:c r="E154" s="85" t="n">
        <x:f>D154+'Resumen'!$B$5^3/3</x:f>
        <x:v>0.00001889966720530767</x:v>
      </x:c>
    </x:row>
    <x:row r="155">
      <x:c r="A155" s="89" t="n">
        <x:v>153</x:v>
      </x:c>
      <x:c r="B155" s="80" t="n">
        <x:v>-1.1499291130687108</x:v>
      </x:c>
      <x:c r="C155" s="84" t="n">
        <x:f>SQRT('Resumen'!$B$5^3/3)*B155</x:f>
        <x:v>-0.6639118829792078</x:v>
      </x:c>
      <x:c r="D155" s="84" t="n">
        <x:f>C155^2-'Resumen'!$B$5^3/3</x:f>
        <x:v>0.10744565502766396</x:v>
      </x:c>
      <x:c r="E155" s="85" t="n">
        <x:f>D155+'Resumen'!$B$5^3/3</x:f>
        <x:v>0.44077898836099727</x:v>
      </x:c>
    </x:row>
    <x:row r="156">
      <x:c r="A156" s="89" t="n">
        <x:v>154</x:v>
      </x:c>
      <x:c r="B156" s="80" t="n">
        <x:v>-0.2502861970353399</x:v>
      </x:c>
      <x:c r="C156" s="84" t="n">
        <x:f>SQRT('Resumen'!$B$5^3/3)*B156</x:f>
        <x:v>-0.14450280323280118</x:v>
      </x:c>
      <x:c r="D156" s="84" t="n">
        <x:f>C156^2-'Resumen'!$B$5^3/3</x:f>
        <x:v>-0.3124522731911957</x:v>
      </x:c>
      <x:c r="E156" s="85" t="n">
        <x:f>D156+'Resumen'!$B$5^3/3</x:f>
        <x:v>0.020881060142137642</x:v>
      </x:c>
    </x:row>
    <x:row r="157">
      <x:c r="A157" s="89" t="n">
        <x:v>155</x:v>
      </x:c>
      <x:c r="B157" s="80" t="n">
        <x:v>-0.9153803139462173</x:v>
      </x:c>
      <x:c r="C157" s="84" t="n">
        <x:f>SQRT('Resumen'!$B$5^3/3)*B157</x:f>
        <x:v>-0.5284950706677327</x:v>
      </x:c>
      <x:c r="D157" s="84" t="n">
        <x:f>C157^2-'Resumen'!$B$5^3/3</x:f>
        <x:v>-0.054026293613241516</x:v>
      </x:c>
      <x:c r="E157" s="85" t="n">
        <x:f>D157+'Resumen'!$B$5^3/3</x:f>
        <x:v>0.2793070397200918</x:v>
      </x:c>
    </x:row>
    <x:row r="158">
      <x:c r="A158" s="89" t="n">
        <x:v>156</x:v>
      </x:c>
      <x:c r="B158" s="80" t="n">
        <x:v>1.6895381211269842</x:v>
      </x:c>
      <x:c r="C158" s="84" t="n">
        <x:f>SQRT('Resumen'!$B$5^3/3)*B158</x:f>
        <x:v>0.9754552890387989</x:v>
      </x:c>
      <x:c r="D158" s="84" t="n">
        <x:f>C158^2-'Resumen'!$B$5^3/3</x:f>
        <x:v>0.6181796875804333</x:v>
      </x:c>
      <x:c r="E158" s="85" t="n">
        <x:f>D158+'Resumen'!$B$5^3/3</x:f>
        <x:v>0.9515130209137665</x:v>
      </x:c>
    </x:row>
    <x:row r="159">
      <x:c r="A159" s="89" t="n">
        <x:v>157</x:v>
      </x:c>
      <x:c r="B159" s="80" t="n">
        <x:v>-0.3760529035479331</x:v>
      </x:c>
      <x:c r="C159" s="84" t="n">
        <x:f>SQRT('Resumen'!$B$5^3/3)*B159</x:f>
        <x:v>-0.21711424509293953</x:v>
      </x:c>
      <x:c r="D159" s="84" t="n">
        <x:f>C159^2-'Resumen'!$B$5^3/3</x:f>
        <x:v>-0.2861947379110563</x:v>
      </x:c>
      <x:c r="E159" s="85" t="n">
        <x:f>D159+'Resumen'!$B$5^3/3</x:f>
        <x:v>0.047138595422276997</x:v>
      </x:c>
    </x:row>
    <x:row r="160">
      <x:c r="A160" s="89" t="n">
        <x:v>158</x:v>
      </x:c>
      <x:c r="B160" s="80" t="n">
        <x:v>-0.2363418163130677</x:v>
      </x:c>
      <x:c r="C160" s="84" t="n">
        <x:f>SQRT('Resumen'!$B$5^3/3)*B160</x:f>
        <x:v>-0.13645201126911471</x:v>
      </x:c>
      <x:c r="D160" s="84" t="n">
        <x:f>C160^2-'Resumen'!$B$5^3/3</x:f>
        <x:v>-0.3147141819539467</x:v>
      </x:c>
      <x:c r="E160" s="85" t="n">
        <x:f>D160+'Resumen'!$B$5^3/3</x:f>
        <x:v>0.018619151379386634</x:v>
      </x:c>
    </x:row>
    <x:row r="161">
      <x:c r="A161" s="89" t="n">
        <x:v>159</x:v>
      </x:c>
      <x:c r="B161" s="80" t="n">
        <x:v>-0.272169501290215</x:v>
      </x:c>
      <x:c r="C161" s="84" t="n">
        <x:f>SQRT('Resumen'!$B$5^3/3)*B161</x:f>
        <x:v>-0.15713713483511182</x:v>
      </x:c>
      <x:c r="D161" s="84" t="n">
        <x:f>C161^2-'Resumen'!$B$5^3/3</x:f>
        <x:v>-0.3086412541891452</x:v>
      </x:c>
      <x:c r="E161" s="85" t="n">
        <x:f>D161+'Resumen'!$B$5^3/3</x:f>
        <x:v>0.02469207914418814</x:v>
      </x:c>
    </x:row>
    <x:row r="162">
      <x:c r="A162" s="89" t="n">
        <x:v>160</x:v>
      </x:c>
      <x:c r="B162" s="80" t="n">
        <x:v>-1.0731038553591865</x:v>
      </x:c>
      <x:c r="C162" s="84" t="n">
        <x:f>SQRT('Resumen'!$B$5^3/3)*B162</x:f>
        <x:v>-0.6195567997600515</x:v>
      </x:c>
      <x:c r="D162" s="84" t="n">
        <x:f>C162^2-'Resumen'!$B$5^3/3</x:f>
        <x:v>0.050517294795583256</x:v>
      </x:c>
      <x:c r="E162" s="85" t="n">
        <x:f>D162+'Resumen'!$B$5^3/3</x:f>
        <x:v>0.38385062812891657</x:v>
      </x:c>
    </x:row>
    <x:row r="163">
      <x:c r="A163" s="89" t="n">
        <x:v>161</x:v>
      </x:c>
      <x:c r="B163" s="80" t="n">
        <x:v>0.30278928513789166</x:v>
      </x:c>
      <x:c r="C163" s="84" t="n">
        <x:f>SQRT('Resumen'!$B$5^3/3)*B163</x:f>
        <x:v>0.1748154752820961</x:v>
      </x:c>
      <x:c r="D163" s="84" t="n">
        <x:f>C163^2-'Resumen'!$B$5^3/3</x:f>
        <x:v>-0.3027728829352282</x:v>
      </x:c>
      <x:c r="E163" s="85" t="n">
        <x:f>D163+'Resumen'!$B$5^3/3</x:f>
        <x:v>0.03056045039810512</x:v>
      </x:c>
    </x:row>
    <x:row r="164">
      <x:c r="A164" s="89" t="n">
        <x:v>162</x:v>
      </x:c>
      <x:c r="B164" s="80" t="n">
        <x:v>-0.5027587285720099</x:v>
      </x:c>
      <x:c r="C164" s="84" t="n">
        <x:f>SQRT('Resumen'!$B$5^3/3)*B164</x:f>
        <x:v>-0.29026788727848385</x:v>
      </x:c>
      <x:c r="D164" s="84" t="n">
        <x:f>C164^2-'Resumen'!$B$5^3/3</x:f>
        <x:v>-0.2490778869482187</x:v>
      </x:c>
      <x:c r="E164" s="85" t="n">
        <x:f>D164+'Resumen'!$B$5^3/3</x:f>
        <x:v>0.08425544638511462</x:v>
      </x:c>
    </x:row>
    <x:row r="165">
      <x:c r="A165" s="89" t="n">
        <x:v>163</x:v>
      </x:c>
      <x:c r="B165" s="80" t="n">
        <x:v>-0.1886744407012325</x:v>
      </x:c>
      <x:c r="C165" s="84" t="n">
        <x:f>SQRT('Resumen'!$B$5^3/3)*B165</x:f>
        <x:v>-0.10893123912805866</x:v>
      </x:c>
      <x:c r="D165" s="84" t="n">
        <x:f>C165^2-'Resumen'!$B$5^3/3</x:f>
        <x:v>-0.32146731847535903</x:v>
      </x:c>
      <x:c r="E165" s="85" t="n">
        <x:f>D165+'Resumen'!$B$5^3/3</x:f>
        <x:v>0.011866014857974283</x:v>
      </x:c>
    </x:row>
    <x:row r="166">
      <x:c r="A166" s="89" t="n">
        <x:v>164</x:v>
      </x:c>
      <x:c r="B166" s="80" t="n">
        <x:v>-0.4227437778128808</x:v>
      </x:c>
      <x:c r="C166" s="84" t="n">
        <x:f>SQRT('Resumen'!$B$5^3/3)*B166</x:f>
        <x:v>-0.24407123391850608</x:v>
      </x:c>
      <x:c r="D166" s="84" t="n">
        <x:f>C166^2-'Resumen'!$B$5^3/3</x:f>
        <x:v>-0.2737625661068312</x:v>
      </x:c>
      <x:c r="E166" s="85" t="n">
        <x:f>D166+'Resumen'!$B$5^3/3</x:f>
        <x:v>0.05957076722650212</x:v>
      </x:c>
    </x:row>
    <x:row r="167">
      <x:c r="A167" s="89" t="n">
        <x:v>165</x:v>
      </x:c>
      <x:c r="B167" s="80" t="n">
        <x:v>-1.9220233598412235</x:v>
      </x:c>
      <x:c r="C167" s="84" t="n">
        <x:f>SQRT('Resumen'!$B$5^3/3)*B167</x:f>
        <x:v>-1.1096807041930792</x:v>
      </x:c>
      <x:c r="D167" s="84" t="n">
        <x:f>C167^2-'Resumen'!$B$5^3/3</x:f>
        <x:v>0.8980579319251147</x:v>
      </x:c>
      <x:c r="E167" s="85" t="n">
        <x:f>D167+'Resumen'!$B$5^3/3</x:f>
        <x:v>1.231391265258448</x:v>
      </x:c>
    </x:row>
    <x:row r="168">
      <x:c r="A168" s="89" t="n">
        <x:v>166</x:v>
      </x:c>
      <x:c r="B168" s="80" t="n">
        <x:v>0.3795797498549029</x:v>
      </x:c>
      <x:c r="C168" s="84" t="n">
        <x:f>SQRT('Resumen'!$B$5^3/3)*B168</x:f>
        <x:v>0.21915047075765898</x:v>
      </x:c>
      <x:c r="D168" s="84" t="n">
        <x:f>C168^2-'Resumen'!$B$5^3/3</x:f>
        <x:v>-0.28530640450002975</x:v>
      </x:c>
      <x:c r="E168" s="85" t="n">
        <x:f>D168+'Resumen'!$B$5^3/3</x:f>
        <x:v>0.04802692883330356</x:v>
      </x:c>
    </x:row>
    <x:row r="169">
      <x:c r="A169" s="89" t="n">
        <x:v>167</x:v>
      </x:c>
      <x:c r="B169" s="80" t="n">
        <x:v>-0.553917570195329</x:v>
      </x:c>
      <x:c r="C169" s="84" t="n">
        <x:f>SQRT('Resumen'!$B$5^3/3)*B169</x:f>
        <x:v>-0.31980445826113657</x:v>
      </x:c>
      <x:c r="D169" s="84" t="n">
        <x:f>C169^2-'Resumen'!$B$5^3/3</x:f>
        <x:v>-0.23105844180963425</x:v>
      </x:c>
      <x:c r="E169" s="85" t="n">
        <x:f>D169+'Resumen'!$B$5^3/3</x:f>
        <x:v>0.10227489152369906</x:v>
      </x:c>
    </x:row>
    <x:row r="170">
      <x:c r="A170" s="89" t="n">
        <x:v>168</x:v>
      </x:c>
      <x:c r="B170" s="80" t="n">
        <x:v>-0.34909864825897297</x:v>
      </x:c>
      <x:c r="C170" s="84" t="n">
        <x:f>SQRT('Resumen'!$B$5^3/3)*B170</x:f>
        <x:v>-0.2015521985460525</x:v>
      </x:c>
      <x:c r="D170" s="84" t="n">
        <x:f>C170^2-'Resumen'!$B$5^3/3</x:f>
        <x:v>-0.29271004459458594</x:v>
      </x:c>
      <x:c r="E170" s="85" t="n">
        <x:f>D170+'Resumen'!$B$5^3/3</x:f>
        <x:v>0.040623288738747376</x:v>
      </x:c>
    </x:row>
    <x:row r="171">
      <x:c r="A171" s="89" t="n">
        <x:v>169</x:v>
      </x:c>
      <x:c r="B171" s="80" t="n">
        <x:v>-1.6014702919366033</x:v>
      </x:c>
      <x:c r="C171" s="84" t="n">
        <x:f>SQRT('Resumen'!$B$5^3/3)*B171</x:f>
        <x:v>-0.9246093041487864</x:v>
      </x:c>
      <x:c r="D171" s="84" t="n">
        <x:f>C171^2-'Resumen'!$B$5^3/3</x:f>
        <x:v>0.5215690319851696</x:v>
      </x:c>
      <x:c r="E171" s="85" t="n">
        <x:f>D171+'Resumen'!$B$5^3/3</x:f>
        <x:v>0.8549023653185028</x:v>
      </x:c>
    </x:row>
    <x:row r="172">
      <x:c r="A172" s="89" t="n">
        <x:v>170</x:v>
      </x:c>
      <x:c r="B172" s="80" t="n">
        <x:v>-1.0410861499762578</x:v>
      </x:c>
      <x:c r="C172" s="84" t="n">
        <x:f>SQRT('Resumen'!$B$5^3/3)*B172</x:f>
        <x:v>-0.6010713689383835</x:v>
      </x:c>
      <x:c r="D172" s="84" t="n">
        <x:f>C172^2-'Resumen'!$B$5^3/3</x:f>
        <x:v>0.027953457224129064</x:v>
      </x:c>
      <x:c r="E172" s="85" t="n">
        <x:f>D172+'Resumen'!$B$5^3/3</x:f>
        <x:v>0.3612867905574624</x:v>
      </x:c>
    </x:row>
    <x:row r="173">
      <x:c r="A173" s="89" t="n">
        <x:v>171</x:v>
      </x:c>
      <x:c r="B173" s="80" t="n">
        <x:v>0.33322818574778457</x:v>
      </x:c>
      <x:c r="C173" s="84" t="n">
        <x:f>SQRT('Resumen'!$B$5^3/3)*B173</x:f>
        <x:v>0.19238938274305403</x:v>
      </x:c>
      <x:c r="D173" s="84" t="n">
        <x:f>C173^2-'Resumen'!$B$5^3/3</x:f>
        <x:v>-0.29631965874107996</x:v>
      </x:c>
      <x:c r="E173" s="85" t="n">
        <x:f>D173+'Resumen'!$B$5^3/3</x:f>
        <x:v>0.037013674592253354</x:v>
      </x:c>
    </x:row>
    <x:row r="174">
      <x:c r="A174" s="89" t="n">
        <x:v>172</x:v>
      </x:c>
      <x:c r="B174" s="80" t="n">
        <x:v>-0.6257422268259284</x:v>
      </x:c>
      <x:c r="C174" s="84" t="n">
        <x:f>SQRT('Resumen'!$B$5^3/3)*B174</x:f>
        <x:v>-0.3612724431012656</x:v>
      </x:c>
      <x:c r="D174" s="84" t="n">
        <x:f>C174^2-'Resumen'!$B$5^3/3</x:f>
        <x:v>-0.20281555518897612</x:v>
      </x:c>
      <x:c r="E174" s="85" t="n">
        <x:f>D174+'Resumen'!$B$5^3/3</x:f>
        <x:v>0.1305177781443572</x:v>
      </x:c>
    </x:row>
    <x:row r="175">
      <x:c r="A175" s="89" t="n">
        <x:v>173</x:v>
      </x:c>
      <x:c r="B175" s="80" t="n">
        <x:v>0.5438051678610037</x:v>
      </x:c>
      <x:c r="C175" s="84" t="n">
        <x:f>SQRT('Resumen'!$B$5^3/3)*B175</x:f>
        <x:v>0.3139660600512601</x:v>
      </x:c>
      <x:c r="D175" s="84" t="n">
        <x:f>C175^2-'Resumen'!$B$5^3/3</x:f>
        <x:v>-0.23475864646922184</x:v>
      </x:c>
      <x:c r="E175" s="85" t="n">
        <x:f>D175+'Resumen'!$B$5^3/3</x:f>
        <x:v>0.09857468686411147</x:v>
      </x:c>
    </x:row>
    <x:row r="176">
      <x:c r="A176" s="89" t="n">
        <x:v>174</x:v>
      </x:c>
      <x:c r="B176" s="80" t="n">
        <x:v>0.34808271818287406</x:v>
      </x:c>
      <x:c r="C176" s="84" t="n">
        <x:f>SQRT('Resumen'!$B$5^3/3)*B176</x:f>
        <x:v>0.20096565104313896</x:v>
      </x:c>
      <x:c r="D176" s="84" t="n">
        <x:f>C176^2-'Resumen'!$B$5^3/3</x:f>
        <x:v>-0.29294614043414063</x:v>
      </x:c>
      <x:c r="E176" s="85" t="n">
        <x:f>D176+'Resumen'!$B$5^3/3</x:f>
        <x:v>0.04038719289919268</x:v>
      </x:c>
    </x:row>
    <x:row r="177">
      <x:c r="A177" s="89" t="n">
        <x:v>175</x:v>
      </x:c>
      <x:c r="B177" s="80" t="n">
        <x:v>0.3615653015401497</x:v>
      </x:c>
      <x:c r="C177" s="84" t="n">
        <x:f>SQRT('Resumen'!$B$5^3/3)*B177</x:f>
        <x:v>0.20874982417383364</x:v>
      </x:c>
      <x:c r="D177" s="84" t="n">
        <x:f>C177^2-'Resumen'!$B$5^3/3</x:f>
        <x:v>-0.28975684424072684</x:v>
      </x:c>
      <x:c r="E177" s="85" t="n">
        <x:f>D177+'Resumen'!$B$5^3/3</x:f>
        <x:v>0.043576489092606474</x:v>
      </x:c>
    </x:row>
    <x:row r="178">
      <x:c r="A178" s="89" t="n">
        <x:v>176</x:v>
      </x:c>
      <x:c r="B178" s="80" t="n">
        <x:v>-0.14250294801639485</x:v>
      </x:c>
      <x:c r="C178" s="84" t="n">
        <x:f>SQRT('Resumen'!$B$5^3/3)*B178</x:f>
        <x:v>-0.08227411539758081</x:v>
      </x:c>
      <x:c r="D178" s="84" t="n">
        <x:f>C178^2-'Resumen'!$B$5^3/3</x:f>
        <x:v>-0.32656430326887886</x:v>
      </x:c>
      <x:c r="E178" s="85" t="n">
        <x:f>D178+'Resumen'!$B$5^3/3</x:f>
        <x:v>0.006769030064454451</x:v>
      </x:c>
    </x:row>
    <x:row r="179">
      <x:c r="A179" s="89" t="n">
        <x:v>177</x:v>
      </x:c>
      <x:c r="B179" s="80" t="n">
        <x:v>0.7195141652188421</x:v>
      </x:c>
      <x:c r="C179" s="84" t="n">
        <x:f>SQRT('Resumen'!$B$5^3/3)*B179</x:f>
        <x:v>0.41541169697484737</x:v>
      </x:c>
      <x:c r="D179" s="84" t="n">
        <x:f>C179^2-'Resumen'!$B$5^3/3</x:f>
        <x:v>-0.1607664553498109</x:v>
      </x:c>
      <x:c r="E179" s="85" t="n">
        <x:f>D179+'Resumen'!$B$5^3/3</x:f>
        <x:v>0.1725668779835224</x:v>
      </x:c>
    </x:row>
    <x:row r="180">
      <x:c r="A180" s="89" t="n">
        <x:v>178</x:v>
      </x:c>
      <x:c r="B180" s="80" t="n">
        <x:v>0.10259776822048651</x:v>
      </x:c>
      <x:c r="C180" s="84" t="n">
        <x:f>SQRT('Resumen'!$B$5^3/3)*B180</x:f>
        <x:v>0.05923484910035271</x:v>
      </x:c>
      <x:c r="D180" s="84" t="n">
        <x:f>C180^2-'Resumen'!$B$5^3/3</x:f>
        <x:v>-0.3298245659853918</x:v>
      </x:c>
      <x:c r="E180" s="85" t="n">
        <x:f>D180+'Resumen'!$B$5^3/3</x:f>
        <x:v>0.0035087673479415327</x:v>
      </x:c>
    </x:row>
    <x:row r="181">
      <x:c r="A181" s="89" t="n">
        <x:v>179</x:v>
      </x:c>
      <x:c r="B181" s="80" t="n">
        <x:v>-0.5201475681762041</x:v>
      </x:c>
      <x:c r="C181" s="84" t="n">
        <x:f>SQRT('Resumen'!$B$5^3/3)*B181</x:f>
        <x:v>-0.30030733850486063</x:v>
      </x:c>
      <x:c r="D181" s="84" t="n">
        <x:f>C181^2-'Resumen'!$B$5^3/3</x:f>
        <x:v>-0.24314883577346036</x:v>
      </x:c>
      <x:c r="E181" s="85" t="n">
        <x:f>D181+'Resumen'!$B$5^3/3</x:f>
        <x:v>0.09018449755987296</x:v>
      </x:c>
    </x:row>
    <x:row r="182">
      <x:c r="A182" s="89" t="n">
        <x:v>180</x:v>
      </x:c>
      <x:c r="B182" s="80" t="n">
        <x:v>-1.7372823217294424</x:v>
      </x:c>
      <x:c r="C182" s="84" t="n">
        <x:f>SQRT('Resumen'!$B$5^3/3)*B182</x:f>
        <x:v>-1.0030204161088716</x:v>
      </x:c>
      <x:c r="D182" s="84" t="n">
        <x:f>C182^2-'Resumen'!$B$5^3/3</x:f>
        <x:v>0.6727166217978806</x:v>
      </x:c>
      <x:c r="E182" s="85" t="n">
        <x:f>D182+'Resumen'!$B$5^3/3</x:f>
        <x:v>1.0060499551312139</x:v>
      </x:c>
    </x:row>
    <x:row r="183">
      <x:c r="A183" s="89" t="n">
        <x:v>181</x:v>
      </x:c>
      <x:c r="B183" s="80" t="n">
        <x:v>0.656947790605105</x:v>
      </x:c>
      <x:c r="C183" s="84" t="n">
        <x:f>SQRT('Resumen'!$B$5^3/3)*B183</x:f>
        <x:v>0.37928898374938724</x:v>
      </x:c>
      <x:c r="D183" s="84" t="n">
        <x:f>C183^2-'Resumen'!$B$5^3/3</x:f>
        <x:v>-0.18947320013969038</x:v>
      </x:c>
      <x:c r="E183" s="85" t="n">
        <x:f>D183+'Resumen'!$B$5^3/3</x:f>
        <x:v>0.14386013319364294</x:v>
      </x:c>
    </x:row>
    <x:row r="184">
      <x:c r="A184" s="89" t="n">
        <x:v>182</x:v>
      </x:c>
      <x:c r="B184" s="80" t="n">
        <x:v>-0.6510144220913132</x:v>
      </x:c>
      <x:c r="C184" s="84" t="n">
        <x:f>SQRT('Resumen'!$B$5^3/3)*B184</x:f>
        <x:v>-0.3758633518407483</x:v>
      </x:c>
      <x:c r="D184" s="84" t="n">
        <x:f>C184^2-'Resumen'!$B$5^3/3</x:f>
        <x:v>-0.19206007407637116</x:v>
      </x:c>
      <x:c r="E184" s="85" t="n">
        <x:f>D184+'Resumen'!$B$5^3/3</x:f>
        <x:v>0.14127325925696216</x:v>
      </x:c>
    </x:row>
    <x:row r="185">
      <x:c r="A185" s="89" t="n">
        <x:v>183</x:v>
      </x:c>
      <x:c r="B185" s="80" t="n">
        <x:v>0.2599449022266999</x:v>
      </x:c>
      <x:c r="C185" s="84" t="n">
        <x:f>SQRT('Resumen'!$B$5^3/3)*B185</x:f>
        <x:v>0.15007925927505614</x:v>
      </x:c>
      <x:c r="D185" s="84" t="n">
        <x:f>C185^2-'Resumen'!$B$5^3/3</x:f>
        <x:v>-0.3108095492687838</x:v>
      </x:c>
      <x:c r="E185" s="85" t="n">
        <x:f>D185+'Resumen'!$B$5^3/3</x:f>
        <x:v>0.022523784064549524</x:v>
      </x:c>
    </x:row>
    <x:row r="186">
      <x:c r="A186" s="89" t="n">
        <x:v>184</x:v>
      </x:c>
      <x:c r="B186" s="80" t="n">
        <x:v>-0.4433513339727025</x:v>
      </x:c>
      <x:c r="C186" s="84" t="n">
        <x:f>SQRT('Resumen'!$B$5^3/3)*B186</x:f>
        <x:v>-0.25596901201471944</x:v>
      </x:c>
      <x:c r="D186" s="84" t="n">
        <x:f>C186^2-'Resumen'!$B$5^3/3</x:f>
        <x:v>-0.2678131982215417</x:v>
      </x:c>
      <x:c r="E186" s="85" t="n">
        <x:f>D186+'Resumen'!$B$5^3/3</x:f>
        <x:v>0.06552013511179161</x:v>
      </x:c>
    </x:row>
    <x:row r="187">
      <x:c r="A187" s="89" t="n">
        <x:v>185</x:v>
      </x:c>
      <x:c r="B187" s="80" t="n">
        <x:v>-0.9648877606211849</x:v>
      </x:c>
      <x:c r="C187" s="84" t="n">
        <x:f>SQRT('Resumen'!$B$5^3/3)*B187</x:f>
        <x:v>-0.5570782083324163</x:v>
      </x:c>
      <x:c r="D187" s="84" t="n">
        <x:f>C187^2-'Resumen'!$B$5^3/3</x:f>
        <x:v>-0.02299720313447834</x:v>
      </x:c>
      <x:c r="E187" s="85" t="n">
        <x:f>D187+'Resumen'!$B$5^3/3</x:f>
        <x:v>0.310336130198855</x:v>
      </x:c>
    </x:row>
    <x:row r="188">
      <x:c r="A188" s="89" t="n">
        <x:v>186</x:v>
      </x:c>
      <x:c r="B188" s="80" t="n">
        <x:v>0.07630855417758844</x:v>
      </x:c>
      <x:c r="C188" s="84" t="n">
        <x:f>SQRT('Resumen'!$B$5^3/3)*B188</x:f>
        <x:v>0.04405676429590183</x:v>
      </x:c>
      <x:c r="D188" s="84" t="n">
        <x:f>C188^2-'Resumen'!$B$5^3/3</x:f>
        <x:v>-0.33139233485310865</x:v>
      </x:c>
      <x:c r="E188" s="85" t="n">
        <x:f>D188+'Resumen'!$B$5^3/3</x:f>
        <x:v>0.001940998480224665</x:v>
      </x:c>
    </x:row>
    <x:row r="189">
      <x:c r="A189" s="89" t="n">
        <x:v>187</x:v>
      </x:c>
      <x:c r="B189" s="80" t="n">
        <x:v>0.6918323411579731</x:v>
      </x:c>
      <x:c r="C189" s="84" t="n">
        <x:f>SQRT('Resumen'!$B$5^3/3)*B189</x:f>
        <x:v>0.3994295884016448</x:v>
      </x:c>
      <x:c r="D189" s="84" t="n">
        <x:f>C189^2-'Resumen'!$B$5^3/3</x:f>
        <x:v>-0.17378933724262596</x:v>
      </x:c>
      <x:c r="E189" s="85" t="n">
        <x:f>D189+'Resumen'!$B$5^3/3</x:f>
        <x:v>0.15954399609070735</x:v>
      </x:c>
    </x:row>
    <x:row r="190">
      <x:c r="A190" s="89" t="n">
        <x:v>188</x:v>
      </x:c>
      <x:c r="B190" s="80" t="n">
        <x:v>1.415242237575609</x:v>
      </x:c>
      <x:c r="C190" s="84" t="n">
        <x:f>SQRT('Resumen'!$B$5^3/3)*B190</x:f>
        <x:v>0.8170904868328062</x:v>
      </x:c>
      <x:c r="D190" s="84" t="n">
        <x:f>C190^2-'Resumen'!$B$5^3/3</x:f>
        <x:v>0.33430353033933885</x:v>
      </x:c>
      <x:c r="E190" s="85" t="n">
        <x:f>D190+'Resumen'!$B$5^3/3</x:f>
        <x:v>0.6676368636726722</x:v>
      </x:c>
    </x:row>
    <x:row r="191">
      <x:c r="A191" s="89" t="n">
        <x:v>189</x:v>
      </x:c>
      <x:c r="B191" s="80" t="n">
        <x:v>0.5905205046056887</x:v>
      </x:c>
      <x:c r="C191" s="84" t="n">
        <x:f>SQRT('Resumen'!$B$5^3/3)*B191</x:f>
        <x:v>0.340937172296088</x:v>
      </x:c>
      <x:c r="D191" s="84" t="n">
        <x:f>C191^2-'Resumen'!$B$5^3/3</x:f>
        <x:v>-0.21709517788008093</x:v>
      </x:c>
      <x:c r="E191" s="85" t="n">
        <x:f>D191+'Resumen'!$B$5^3/3</x:f>
        <x:v>0.11623815545325239</x:v>
      </x:c>
    </x:row>
    <x:row r="192">
      <x:c r="A192" s="89" t="n">
        <x:v>190</x:v>
      </x:c>
      <x:c r="B192" s="80" t="n">
        <x:v>-0.5270206222313306</x:v>
      </x:c>
      <x:c r="C192" s="84" t="n">
        <x:f>SQRT('Resumen'!$B$5^3/3)*B192</x:f>
        <x:v>-0.30427549811374277</x:v>
      </x:c>
      <x:c r="D192" s="84" t="n">
        <x:f>C192^2-'Resumen'!$B$5^3/3</x:f>
        <x:v>-0.24074975458096703</x:v>
      </x:c>
      <x:c r="E192" s="85" t="n">
        <x:f>D192+'Resumen'!$B$5^3/3</x:f>
        <x:v>0.09258357875236628</x:v>
      </x:c>
    </x:row>
    <x:row r="193">
      <x:c r="A193" s="89" t="n">
        <x:v>191</x:v>
      </x:c>
      <x:c r="B193" s="80" t="n">
        <x:v>0.5950186385273332</x:v>
      </x:c>
      <x:c r="C193" s="84" t="n">
        <x:f>SQRT('Resumen'!$B$5^3/3)*B193</x:f>
        <x:v>0.3435341711266004</x:v>
      </x:c>
      <x:c r="D193" s="84" t="n">
        <x:f>C193^2-'Resumen'!$B$5^3/3</x:f>
        <x:v>-0.21531760660169297</x:v>
      </x:c>
      <x:c r="E193" s="85" t="n">
        <x:f>D193+'Resumen'!$B$5^3/3</x:f>
        <x:v>0.11801572673164035</x:v>
      </x:c>
    </x:row>
    <x:row r="194">
      <x:c r="A194" s="89" t="n">
        <x:v>192</x:v>
      </x:c>
      <x:c r="B194" s="80" t="n">
        <x:v>1.4971847640149676</x:v>
      </x:c>
      <x:c r="C194" s="84" t="n">
        <x:f>SQRT('Resumen'!$B$5^3/3)*B194</x:f>
        <x:v>0.8644000265306478</x:v>
      </x:c>
      <x:c r="D194" s="84" t="n">
        <x:f>C194^2-'Resumen'!$B$5^3/3</x:f>
        <x:v>0.4138540725328514</x:v>
      </x:c>
      <x:c r="E194" s="85" t="n">
        <x:f>D194+'Resumen'!$B$5^3/3</x:f>
        <x:v>0.7471874058661847</x:v>
      </x:c>
    </x:row>
    <x:row r="195">
      <x:c r="A195" s="89" t="n">
        <x:v>193</x:v>
      </x:c>
      <x:c r="B195" s="80" t="n">
        <x:v>0.8454526303611001</x:v>
      </x:c>
      <x:c r="C195" s="84" t="n">
        <x:f>SQRT('Resumen'!$B$5^3/3)*B195</x:f>
        <x:v>0.48812230372605825</x:v>
      </x:c>
      <x:c r="D195" s="84" t="n">
        <x:f>C195^2-'Resumen'!$B$5^3/3</x:f>
        <x:v>-0.09506994993849904</x:v>
      </x:c>
      <x:c r="E195" s="85" t="n">
        <x:f>D195+'Resumen'!$B$5^3/3</x:f>
        <x:v>0.23826338339483427</x:v>
      </x:c>
    </x:row>
    <x:row r="196">
      <x:c r="A196" s="89" t="n">
        <x:v>194</x:v>
      </x:c>
      <x:c r="B196" s="80" t="n">
        <x:v>3.0010679277151673</x:v>
      </x:c>
      <x:c r="C196" s="84" t="n">
        <x:f>SQRT('Resumen'!$B$5^3/3)*B196</x:f>
        <x:v>1.732667375922704</x:v>
      </x:c>
      <x:c r="D196" s="84" t="n">
        <x:f>C196^2-'Resumen'!$B$5^3/3</x:f>
        <x:v>2.6688029022535353</x:v>
      </x:c>
      <x:c r="E196" s="85" t="n">
        <x:f>D196+'Resumen'!$B$5^3/3</x:f>
        <x:v>3.002136235586869</x:v>
      </x:c>
    </x:row>
    <x:row r="197">
      <x:c r="A197" s="89" t="n">
        <x:v>195</x:v>
      </x:c>
      <x:c r="B197" s="80" t="n">
        <x:v>0.4110657306867463</x:v>
      </x:c>
      <x:c r="C197" s="84" t="n">
        <x:f>SQRT('Resumen'!$B$5^3/3)*B197</x:f>
        <x:v>0.23732891026662317</x:v>
      </x:c>
      <x:c r="D197" s="84" t="n">
        <x:f>C197^2-'Resumen'!$B$5^3/3</x:f>
        <x:v>-0.27700832168499046</x:v>
      </x:c>
      <x:c r="E197" s="85" t="n">
        <x:f>D197+'Resumen'!$B$5^3/3</x:f>
        <x:v>0.05632501164834286</x:v>
      </x:c>
    </x:row>
    <x:row r="198">
      <x:c r="A198" s="89" t="n">
        <x:v>196</x:v>
      </x:c>
      <x:c r="B198" s="80" t="n">
        <x:v>-0.051417769897803084</x:v>
      </x:c>
      <x:c r="C198" s="84" t="n">
        <x:f>SQRT('Resumen'!$B$5^3/3)*B198</x:f>
        <x:v>-0.029686063291626846</x:v>
      </x:c>
      <x:c r="D198" s="84" t="n">
        <x:f>C198^2-'Resumen'!$B$5^3/3</x:f>
        <x:v>-0.33245207097957885</x:v>
      </x:c>
      <x:c r="E198" s="85" t="n">
        <x:f>D198+'Resumen'!$B$5^3/3</x:f>
        <x:v>0.0008812623537544639</x:v>
      </x:c>
    </x:row>
    <x:row r="199">
      <x:c r="A199" s="89" t="n">
        <x:v>197</x:v>
      </x:c>
      <x:c r="B199" s="80" t="n">
        <x:v>0.047679994647747866</x:v>
      </x:c>
      <x:c r="C199" s="84" t="n">
        <x:f>SQRT('Resumen'!$B$5^3/3)*B199</x:f>
        <x:v>0.027528057744837145</x:v>
      </x:c>
      <x:c r="D199" s="84" t="n">
        <x:f>C199^2-'Resumen'!$B$5^3/3</x:f>
        <x:v>-0.33257553937013024</x:v>
      </x:c>
      <x:c r="E199" s="85" t="n">
        <x:f>D199+'Resumen'!$B$5^3/3</x:f>
        <x:v>0.0007577939632030795</x:v>
      </x:c>
    </x:row>
    <x:row r="200">
      <x:c r="A200" s="89" t="n">
        <x:v>198</x:v>
      </x:c>
      <x:c r="B200" s="80" t="n">
        <x:v>0.2950098773472628</x:v>
      </x:c>
      <x:c r="C200" s="84" t="n">
        <x:f>SQRT('Resumen'!$B$5^3/3)*B200</x:f>
        <x:v>0.17032403210004066</x:v>
      </x:c>
      <x:c r="D200" s="84" t="n">
        <x:f>C200^2-'Resumen'!$B$5^3/3</x:f>
        <x:v>-0.30432305742251764</x:v>
      </x:c>
      <x:c r="E200" s="85" t="n">
        <x:f>D200+'Resumen'!$B$5^3/3</x:f>
        <x:v>0.029010275910815675</x:v>
      </x:c>
    </x:row>
    <x:row r="201">
      <x:c r="A201" s="89" t="n">
        <x:v>199</x:v>
      </x:c>
      <x:c r="B201" s="80" t="n">
        <x:v>-0.5817630875862707</x:v>
      </x:c>
      <x:c r="C201" s="84" t="n">
        <x:f>SQRT('Resumen'!$B$5^3/3)*B201</x:f>
        <x:v>-0.3358810752225212</x:v>
      </x:c>
      <x:c r="D201" s="84" t="n">
        <x:f>C201^2-'Resumen'!$B$5^3/3</x:f>
        <x:v>-0.2205172366406964</x:v>
      </x:c>
      <x:c r="E201" s="85" t="n">
        <x:f>D201+'Resumen'!$B$5^3/3</x:f>
        <x:v>0.11281609669263692</x:v>
      </x:c>
    </x:row>
    <x:row r="202">
      <x:c r="A202" s="89" t="n">
        <x:v>200</x:v>
      </x:c>
      <x:c r="B202" s="80" t="n">
        <x:v>3.293701819650977</x:v>
      </x:c>
      <x:c r="C202" s="84" t="n">
        <x:f>SQRT('Resumen'!$B$5^3/3)*B202</x:f>
        <x:v>1.9016196322058516</x:v>
      </x:c>
      <x:c r="D202" s="84" t="n">
        <x:f>C202^2-'Resumen'!$B$5^3/3</x:f>
        <x:v>3.282823892257385</x:v>
      </x:c>
      <x:c r="E202" s="85" t="n">
        <x:f>D202+'Resumen'!$B$5^3/3</x:f>
        <x:v>3.6161572255907184</x:v>
      </x:c>
    </x:row>
    <x:row r="203">
      <x:c r="A203" s="89" t="n">
        <x:v>201</x:v>
      </x:c>
      <x:c r="B203" s="80" t="n">
        <x:v>0.8811331247478812</x:v>
      </x:c>
      <x:c r="C203" s="84" t="n">
        <x:f>SQRT('Resumen'!$B$5^3/3)*B203</x:f>
        <x:v>0.5087224467650853</x:v>
      </x:c>
      <x:c r="D203" s="84" t="n">
        <x:f>C203^2-'Resumen'!$B$5^3/3</x:f>
        <x:v>-0.07453480549067831</x:v>
      </x:c>
      <x:c r="E203" s="85" t="n">
        <x:f>D203+'Resumen'!$B$5^3/3</x:f>
        <x:v>0.258798527842655</x:v>
      </x:c>
    </x:row>
    <x:row r="204">
      <x:c r="A204" s="89" t="n">
        <x:v>202</x:v>
      </x:c>
      <x:c r="B204" s="80" t="n">
        <x:v>0.05599688779280384</x:v>
      </x:c>
      <x:c r="C204" s="84" t="n">
        <x:f>SQRT('Resumen'!$B$5^3/3)*B204</x:f>
        <x:v>0.032329818240956563</x:v>
      </x:c>
      <x:c r="D204" s="84" t="n">
        <x:f>C204^2-'Resumen'!$B$5^3/3</x:f>
        <x:v>-0.33228811618584003</x:v>
      </x:c>
      <x:c r="E204" s="85" t="n">
        <x:f>D204+'Resumen'!$B$5^3/3</x:f>
        <x:v>0.0010452171474932825</x:v>
      </x:c>
    </x:row>
    <x:row r="205">
      <x:c r="A205" s="89" t="n">
        <x:v>203</x:v>
      </x:c>
      <x:c r="B205" s="80" t="n">
        <x:v>0.9001753794965486</x:v>
      </x:c>
      <x:c r="C205" s="84" t="n">
        <x:f>SQRT('Resumen'!$B$5^3/3)*B205</x:f>
        <x:v>0.5197164976702058</x:v>
      </x:c>
      <x:c r="D205" s="84" t="n">
        <x:f>C205^2-'Resumen'!$B$5^3/3</x:f>
        <x:v>-0.06322809538274832</x:v>
      </x:c>
      <x:c r="E205" s="85" t="n">
        <x:f>D205+'Resumen'!$B$5^3/3</x:f>
        <x:v>0.270105237950585</x:v>
      </x:c>
    </x:row>
    <x:row r="206">
      <x:c r="A206" s="89" t="n">
        <x:v>204</x:v>
      </x:c>
      <x:c r="B206" s="80" t="n">
        <x:v>-0.688347016470864</x:v>
      </x:c>
      <x:c r="C206" s="84" t="n">
        <x:f>SQRT('Resumen'!$B$5^3/3)*B206</x:f>
        <x:v>-0.3974173352553291</x:v>
      </x:c>
      <x:c r="D206" s="84" t="n">
        <x:f>C206^2-'Resumen'!$B$5^3/3</x:f>
        <x:v>-0.1753927949718867</x:v>
      </x:c>
      <x:c r="E206" s="85" t="n">
        <x:f>D206+'Resumen'!$B$5^3/3</x:f>
        <x:v>0.15794053836144661</x:v>
      </x:c>
    </x:row>
    <x:row r="207">
      <x:c r="A207" s="89" t="n">
        <x:v>205</x:v>
      </x:c>
      <x:c r="B207" s="80" t="n">
        <x:v>0.947859255815056</x:v>
      </x:c>
      <x:c r="C207" s="84" t="n">
        <x:f>SQRT('Resumen'!$B$5^3/3)*B207</x:f>
        <x:v>0.5472467964987009</x:v>
      </x:c>
      <x:c r="D207" s="84" t="n">
        <x:f>C207^2-'Resumen'!$B$5^3/3</x:f>
        <x:v>-0.03385427705524274</x:v>
      </x:c>
      <x:c r="E207" s="85" t="n">
        <x:f>D207+'Resumen'!$B$5^3/3</x:f>
        <x:v>0.29947905627809057</x:v>
      </x:c>
    </x:row>
    <x:row r="208">
      <x:c r="A208" s="89" t="n">
        <x:v>206</x:v>
      </x:c>
      <x:c r="B208" s="80" t="n">
        <x:v>0.24189286771933738</x:v>
      </x:c>
      <x:c r="C208" s="84" t="n">
        <x:f>SQRT('Resumen'!$B$5^3/3)*B208</x:f>
        <x:v>0.13965691229280996</x:v>
      </x:c>
      <x:c r="D208" s="84" t="n">
        <x:f>C208^2-'Resumen'!$B$5^3/3</x:f>
        <x:v>-0.3138292801821717</x:v>
      </x:c>
      <x:c r="E208" s="85" t="n">
        <x:f>D208+'Resumen'!$B$5^3/3</x:f>
        <x:v>0.019504053151161604</x:v>
      </x:c>
    </x:row>
    <x:row r="209">
      <x:c r="A209" s="89" t="n">
        <x:v>207</x:v>
      </x:c>
      <x:c r="B209" s="80" t="n">
        <x:v>0.6854720074041838</x:v>
      </x:c>
      <x:c r="C209" s="84" t="n">
        <x:f>SQRT('Resumen'!$B$5^3/3)*B209</x:f>
        <x:v>0.39575744799675866</x:v>
      </x:c>
      <x:c r="D209" s="84" t="n">
        <x:f>C209^2-'Resumen'!$B$5^3/3</x:f>
        <x:v>-0.17670937568842618</x:v>
      </x:c>
      <x:c r="E209" s="85" t="n">
        <x:f>D209+'Resumen'!$B$5^3/3</x:f>
        <x:v>0.15662395764490714</x:v>
      </x:c>
    </x:row>
    <x:row r="210">
      <x:c r="A210" s="89" t="n">
        <x:v>208</x:v>
      </x:c>
      <x:c r="B210" s="80" t="n">
        <x:v>-1.6733984750628113</x:v>
      </x:c>
      <x:c r="C210" s="84" t="n">
        <x:f>SQRT('Resumen'!$B$5^3/3)*B210</x:f>
        <x:v>-0.9661370600390233</x:v>
      </x:c>
      <x:c r="D210" s="84" t="n">
        <x:f>C210^2-'Resumen'!$B$5^3/3</x:f>
        <x:v>0.600087485447514</x:v>
      </x:c>
      <x:c r="E210" s="85" t="n">
        <x:f>D210+'Resumen'!$B$5^3/3</x:f>
        <x:v>0.9334208187808473</x:v>
      </x:c>
    </x:row>
    <x:row r="211">
      <x:c r="A211" s="89" t="n">
        <x:v>209</x:v>
      </x:c>
      <x:c r="B211" s="80" t="n">
        <x:v>1.1153991616052406</x:v>
      </x:c>
      <x:c r="C211" s="84" t="n">
        <x:f>SQRT('Resumen'!$B$5^3/3)*B211</x:f>
        <x:v>0.6439760062066685</x:v>
      </x:c>
      <x:c r="D211" s="84" t="n">
        <x:f>C211^2-'Resumen'!$B$5^3/3</x:f>
        <x:v>0.08137176323655781</x:v>
      </x:c>
      <x:c r="E211" s="85" t="n">
        <x:f>D211+'Resumen'!$B$5^3/3</x:f>
        <x:v>0.41470509656989113</x:v>
      </x:c>
    </x:row>
    <x:row r="212">
      <x:c r="A212" s="89" t="n">
        <x:v>210</x:v>
      </x:c>
      <x:c r="B212" s="80" t="n">
        <x:v>-0.8453533441449166</x:v>
      </x:c>
      <x:c r="C212" s="84" t="n">
        <x:f>SQRT('Resumen'!$B$5^3/3)*B212</x:f>
        <x:v>-0.4880649808024179</x:v>
      </x:c>
      <x:c r="D212" s="84" t="n">
        <x:f>C212^2-'Resumen'!$B$5^3/3</x:f>
        <x:v>-0.09512590784766878</x:v>
      </x:c>
      <x:c r="E212" s="85" t="n">
        <x:f>D212+'Resumen'!$B$5^3/3</x:f>
        <x:v>0.23820742548566454</x:v>
      </x:c>
    </x:row>
    <x:row r="213">
      <x:c r="A213" s="89" t="n">
        <x:v>211</x:v>
      </x:c>
      <x:c r="B213" s="80" t="n">
        <x:v>0.25793001397627713</x:v>
      </x:c>
      <x:c r="C213" s="84" t="n">
        <x:f>SQRT('Resumen'!$B$5^3/3)*B213</x:f>
        <x:v>0.14891596300128754</x:v>
      </x:c>
      <x:c r="D213" s="84" t="n">
        <x:f>C213^2-'Resumen'!$B$5^3/3</x:f>
        <x:v>-0.3111573692967325</x:v>
      </x:c>
      <x:c r="E213" s="85" t="n">
        <x:f>D213+'Resumen'!$B$5^3/3</x:f>
        <x:v>0.022175964036600826</x:v>
      </x:c>
    </x:row>
    <x:row r="214">
      <x:c r="A214" s="89" t="n">
        <x:v>212</x:v>
      </x:c>
      <x:c r="B214" s="80" t="n">
        <x:v>1.2505944733226502</x:v>
      </x:c>
      <x:c r="C214" s="84" t="n">
        <x:f>SQRT('Resumen'!$B$5^3/3)*B214</x:f>
        <x:v>0.7220310558198902</x:v>
      </x:c>
      <x:c r="D214" s="84" t="n">
        <x:f>C214^2-'Resumen'!$B$5^3/3</x:f>
        <x:v>0.18799551223505212</x:v>
      </x:c>
      <x:c r="E214" s="85" t="n">
        <x:f>D214+'Resumen'!$B$5^3/3</x:f>
        <x:v>0.5213288455683854</x:v>
      </x:c>
    </x:row>
    <x:row r="215">
      <x:c r="A215" s="89" t="n">
        <x:v>213</x:v>
      </x:c>
      <x:c r="B215" s="80" t="n">
        <x:v>-1.518732010543479</x:v>
      </x:c>
      <x:c r="C215" s="84" t="n">
        <x:f>SQRT('Resumen'!$B$5^3/3)*B215</x:f>
        <x:v>-0.876840335114179</x:v>
      </x:c>
      <x:c r="D215" s="84" t="n">
        <x:f>C215^2-'Resumen'!$B$5^3/3</x:f>
        <x:v>0.4355156399498124</x:v>
      </x:c>
      <x:c r="E215" s="85" t="n">
        <x:f>D215+'Resumen'!$B$5^3/3</x:f>
        <x:v>0.7688489732831457</x:v>
      </x:c>
    </x:row>
    <x:row r="216">
      <x:c r="A216" s="89" t="n">
        <x:v>214</x:v>
      </x:c>
      <x:c r="B216" s="80" t="n">
        <x:v>-0.25169206990445064</x:v>
      </x:c>
      <x:c r="C216" s="84" t="n">
        <x:f>SQRT('Resumen'!$B$5^3/3)*B216</x:f>
        <x:v>-0.14531448431222868</x:v>
      </x:c>
      <x:c r="D216" s="84" t="n">
        <x:f>C216^2-'Resumen'!$B$5^3/3</x:f>
        <x:v>-0.31221703398240436</x:v>
      </x:c>
      <x:c r="E216" s="85" t="n">
        <x:f>D216+'Resumen'!$B$5^3/3</x:f>
        <x:v>0.021116299350928958</x:v>
      </x:c>
    </x:row>
    <x:row r="217">
      <x:c r="A217" s="89" t="n">
        <x:v>215</x:v>
      </x:c>
      <x:c r="B217" s="80" t="n">
        <x:v>-1.3748433037023267</x:v>
      </x:c>
      <x:c r="C217" s="84" t="n">
        <x:f>SQRT('Resumen'!$B$5^3/3)*B217</x:f>
        <x:v>-0.7937661514860926</x:v>
      </x:c>
      <x:c r="D217" s="84" t="n">
        <x:f>C217^2-'Resumen'!$B$5^3/3</x:f>
        <x:v>0.2967313699117093</x:v>
      </x:c>
      <x:c r="E217" s="85" t="n">
        <x:f>D217+'Resumen'!$B$5^3/3</x:f>
        <x:v>0.6300647032450426</x:v>
      </x:c>
    </x:row>
    <x:row r="218">
      <x:c r="A218" s="89" t="n">
        <x:v>216</x:v>
      </x:c>
      <x:c r="B218" s="80" t="n">
        <x:v>-0.8857433239000458</x:v>
      </x:c>
      <x:c r="C218" s="84" t="n">
        <x:f>SQRT('Resumen'!$B$5^3/3)*B218</x:f>
        <x:v>-0.5113841464866054</x:v>
      </x:c>
      <x:c r="D218" s="84" t="n">
        <x:f>C218^2-'Resumen'!$B$5^3/3</x:f>
        <x:v>-0.07181958805549948</x:v>
      </x:c>
      <x:c r="E218" s="85" t="n">
        <x:f>D218+'Resumen'!$B$5^3/3</x:f>
        <x:v>0.26151374527783383</x:v>
      </x:c>
    </x:row>
    <x:row r="219">
      <x:c r="A219" s="89" t="n">
        <x:v>217</x:v>
      </x:c>
      <x:c r="B219" s="80" t="n">
        <x:v>-0.9430342881869954</x:v>
      </x:c>
      <x:c r="C219" s="84" t="n">
        <x:f>SQRT('Resumen'!$B$5^3/3)*B219</x:f>
        <x:v>-0.5444611001398089</x:v>
      </x:c>
      <x:c r="D219" s="84" t="n">
        <x:f>C219^2-'Resumen'!$B$5^3/3</x:f>
        <x:v>-0.03689544376788234</x:v>
      </x:c>
      <x:c r="E219" s="85" t="n">
        <x:f>D219+'Resumen'!$B$5^3/3</x:f>
        <x:v>0.296437889565451</x:v>
      </x:c>
    </x:row>
    <x:row r="220">
      <x:c r="A220" s="89" t="n">
        <x:v>218</x:v>
      </x:c>
      <x:c r="B220" s="80" t="n">
        <x:v>0.45738647695379964</x:v>
      </x:c>
      <x:c r="C220" s="84" t="n">
        <x:f>SQRT('Resumen'!$B$5^3/3)*B220</x:f>
        <x:v>0.2640722055929708</x:v>
      </x:c>
      <x:c r="D220" s="84" t="n">
        <x:f>C220^2-'Resumen'!$B$5^3/3</x:f>
        <x:v>-0.26359920356659705</x:v>
      </x:c>
      <x:c r="E220" s="85" t="n">
        <x:f>D220+'Resumen'!$B$5^3/3</x:f>
        <x:v>0.06973412976673626</x:v>
      </x:c>
    </x:row>
    <x:row r="221">
      <x:c r="A221" s="89" t="n">
        <x:v>219</x:v>
      </x:c>
      <x:c r="B221" s="80" t="n">
        <x:v>1.155262800486856</x:v>
      </x:c>
      <x:c r="C221" s="84" t="n">
        <x:f>SQRT('Resumen'!$B$5^3/3)*B221</x:f>
        <x:v>0.6669912888458471</x:v>
      </x:c>
      <x:c r="D221" s="84" t="n">
        <x:f>C221^2-'Resumen'!$B$5^3/3</x:f>
        <x:v>0.11154404606291096</x:v>
      </x:c>
      <x:c r="E221" s="85" t="n">
        <x:f>D221+'Resumen'!$B$5^3/3</x:f>
        <x:v>0.4448773793962443</x:v>
      </x:c>
    </x:row>
    <x:row r="222">
      <x:c r="A222" s="89" t="n">
        <x:v>220</x:v>
      </x:c>
      <x:c r="B222" s="80" t="n">
        <x:v>-1.3619782775169367</x:v>
      </x:c>
      <x:c r="C222" s="84" t="n">
        <x:f>SQRT('Resumen'!$B$5^3/3)*B222</x:f>
        <x:v>-0.7863385251548262</x:v>
      </x:c>
      <x:c r="D222" s="84" t="n">
        <x:f>C222^2-'Resumen'!$B$5^3/3</x:f>
        <x:v>0.28499494280933385</x:v>
      </x:c>
      <x:c r="E222" s="85" t="n">
        <x:f>D222+'Resumen'!$B$5^3/3</x:f>
        <x:v>0.6183282761426672</x:v>
      </x:c>
    </x:row>
    <x:row r="223">
      <x:c r="A223" s="89" t="n">
        <x:v>221</x:v>
      </x:c>
      <x:c r="B223" s="80" t="n">
        <x:v>0.9988862255445555</x:v>
      </x:c>
      <x:c r="C223" s="84" t="n">
        <x:f>SQRT('Resumen'!$B$5^3/3)*B223</x:f>
        <x:v>0.5767072312079583</x:v>
      </x:c>
      <x:c r="D223" s="84" t="n">
        <x:f>C223^2-'Resumen'!$B$5^3/3</x:f>
        <x:v>-0.0007421028057838508</x:v>
      </x:c>
      <x:c r="E223" s="85" t="n">
        <x:f>D223+'Resumen'!$B$5^3/3</x:f>
        <x:v>0.33259123052754946</x:v>
      </x:c>
    </x:row>
    <x:row r="224">
      <x:c r="A224" s="89" t="n">
        <x:v>222</x:v>
      </x:c>
      <x:c r="B224" s="80" t="n">
        <x:v>1.3694381313847688</x:v>
      </x:c>
      <x:c r="C224" s="84" t="n">
        <x:f>SQRT('Resumen'!$B$5^3/3)*B224</x:f>
        <x:v>0.7906454737935343</x:v>
      </x:c>
      <x:c r="D224" s="84" t="n">
        <x:f>C224^2-'Resumen'!$B$5^3/3</x:f>
        <x:v>0.29178693189686905</x:v>
      </x:c>
      <x:c r="E224" s="85" t="n">
        <x:f>D224+'Resumen'!$B$5^3/3</x:f>
        <x:v>0.6251202652302024</x:v>
      </x:c>
    </x:row>
    <x:row r="225">
      <x:c r="A225" s="89" t="n">
        <x:v>223</x:v>
      </x:c>
      <x:c r="B225" s="80" t="n">
        <x:v>-1.3407539422708257</x:v>
      </x:c>
      <x:c r="C225" s="84" t="n">
        <x:f>SQRT('Resumen'!$B$5^3/3)*B225</x:f>
        <x:v>-0.7740846494871131</x:v>
      </x:c>
      <x:c r="D225" s="84" t="n">
        <x:f>C225^2-'Resumen'!$B$5^3/3</x:f>
        <x:v>0.2658737112382534</x:v>
      </x:c>
      <x:c r="E225" s="85" t="n">
        <x:f>D225+'Resumen'!$B$5^3/3</x:f>
        <x:v>0.5992070445715867</x:v>
      </x:c>
    </x:row>
    <x:row r="226">
      <x:c r="A226" s="89" t="n">
        <x:v>224</x:v>
      </x:c>
      <x:c r="B226" s="80" t="n">
        <x:v>0.09724591584299806</x:v>
      </x:c>
      <x:c r="C226" s="84" t="n">
        <x:f>SQRT('Resumen'!$B$5^3/3)*B226</x:f>
        <x:v>0.05614495568954662</x:v>
      </x:c>
      <x:c r="D226" s="84" t="n">
        <x:f>C226^2-'Resumen'!$B$5^3/3</x:f>
        <x:v>-0.3301810772839522</x:v>
      </x:c>
      <x:c r="E226" s="85" t="n">
        <x:f>D226+'Resumen'!$B$5^3/3</x:f>
        <x:v>0.0031522560493811302</x:v>
      </x:c>
    </x:row>
    <x:row r="227">
      <x:c r="A227" s="89" t="n">
        <x:v>225</x:v>
      </x:c>
      <x:c r="B227" s="80" t="n">
        <x:v>-0.18650948117146826</x:v>
      </x:c>
      <x:c r="C227" s="84" t="n">
        <x:f>SQRT('Resumen'!$B$5^3/3)*B227</x:f>
        <x:v>-0.10768129916076463</x:v>
      </x:c>
      <x:c r="D227" s="84" t="n">
        <x:f>C227^2-'Resumen'!$B$5^3/3</x:f>
        <x:v>-0.32173807114438324</x:v>
      </x:c>
      <x:c r="E227" s="85" t="n">
        <x:f>D227+'Resumen'!$B$5^3/3</x:f>
        <x:v>0.011595262188950073</x:v>
      </x:c>
    </x:row>
    <x:row r="228">
      <x:c r="A228" s="89" t="n">
        <x:v>226</x:v>
      </x:c>
      <x:c r="B228" s="80" t="n">
        <x:v>0.5839102310094697</x:v>
      </x:c>
      <x:c r="C228" s="84" t="n">
        <x:f>SQRT('Resumen'!$B$5^3/3)*B228</x:f>
        <x:v>0.33712072905589385</x:v>
      </x:c>
      <x:c r="D228" s="84" t="n">
        <x:f>C228^2-'Resumen'!$B$5^3/3</x:f>
        <x:v>-0.21968294737415592</x:v>
      </x:c>
      <x:c r="E228" s="85" t="n">
        <x:f>D228+'Resumen'!$B$5^3/3</x:f>
        <x:v>0.1136503859591774</x:v>
      </x:c>
    </x:row>
    <x:row r="229">
      <x:c r="A229" s="89" t="n">
        <x:v>227</x:v>
      </x:c>
      <x:c r="B229" s="80" t="n">
        <x:v>-0.08755934234848917</x:v>
      </x:c>
      <x:c r="C229" s="84" t="n">
        <x:f>SQRT('Resumen'!$B$5^3/3)*B229</x:f>
        <x:v>-0.050552409874966814</x:v>
      </x:c>
      <x:c r="D229" s="84" t="n">
        <x:f>C229^2-'Resumen'!$B$5^3/3</x:f>
        <x:v>-0.33077778718916667</x:v>
      </x:c>
      <x:c r="E229" s="85" t="n">
        <x:f>D229+'Resumen'!$B$5^3/3</x:f>
        <x:v>0.0025555461441666427</x:v>
      </x:c>
    </x:row>
    <x:row r="230">
      <x:c r="A230" s="89" t="n">
        <x:v>228</x:v>
      </x:c>
      <x:c r="B230" s="80" t="n">
        <x:v>0.3452161934924739</x:v>
      </x:c>
      <x:c r="C230" s="84" t="n">
        <x:f>SQRT('Resumen'!$B$5^3/3)*B230</x:f>
        <x:v>0.19931066224149774</x:v>
      </x:c>
      <x:c r="D230" s="84" t="n">
        <x:f>C230^2-'Resumen'!$B$5^3/3</x:f>
        <x:v>-0.2936085932501889</x:v>
      </x:c>
      <x:c r="E230" s="85" t="n">
        <x:f>D230+'Resumen'!$B$5^3/3</x:f>
        <x:v>0.039724740083144416</x:v>
      </x:c>
    </x:row>
    <x:row r="231">
      <x:c r="A231" s="89" t="n">
        <x:v>229</x:v>
      </x:c>
      <x:c r="B231" s="80" t="n">
        <x:v>0.12661028105104732</x:v>
      </x:c>
      <x:c r="C231" s="84" t="n">
        <x:f>SQRT('Resumen'!$B$5^3/3)*B231</x:f>
        <x:v>0.07309847984699634</x:v>
      </x:c>
      <x:c r="D231" s="84" t="n">
        <x:f>C231^2-'Resumen'!$B$5^3/3</x:f>
        <x:v>-0.3279899455773916</x:v>
      </x:c>
      <x:c r="E231" s="85" t="n">
        <x:f>D231+'Resumen'!$B$5^3/3</x:f>
        <x:v>0.005343387755941731</x:v>
      </x:c>
    </x:row>
    <x:row r="232">
      <x:c r="A232" s="89" t="n">
        <x:v>230</x:v>
      </x:c>
      <x:c r="B232" s="80" t="n">
        <x:v>1.3541596432891152</x:v>
      </x:c>
      <x:c r="C232" s="84" t="n">
        <x:f>SQRT('Resumen'!$B$5^3/3)*B232</x:f>
        <x:v>0.7818244345786982</x:v>
      </x:c>
      <x:c r="D232" s="84" t="n">
        <x:f>C232^2-'Resumen'!$B$5^3/3</x:f>
        <x:v>0.2779161131709678</x:v>
      </x:c>
      <x:c r="E232" s="85" t="n">
        <x:f>D232+'Resumen'!$B$5^3/3</x:f>
        <x:v>0.6112494465043011</x:v>
      </x:c>
    </x:row>
    <x:row r="233">
      <x:c r="A233" s="89" t="n">
        <x:v>231</x:v>
      </x:c>
      <x:c r="B233" s="80" t="n">
        <x:v>-1.0967570052152844</x:v>
      </x:c>
      <x:c r="C233" s="84" t="n">
        <x:f>SQRT('Resumen'!$B$5^3/3)*B233</x:f>
        <x:v>-0.6332129521966522</x:v>
      </x:c>
      <x:c r="D233" s="84" t="n">
        <x:f>C233^2-'Resumen'!$B$5^3/3</x:f>
        <x:v>0.06762530949626644</x:v>
      </x:c>
      <x:c r="E233" s="85" t="n">
        <x:f>D233+'Resumen'!$B$5^3/3</x:f>
        <x:v>0.40095864282959975</x:v>
      </x:c>
    </x:row>
    <x:row r="234">
      <x:c r="A234" s="89" t="n">
        <x:v>232</x:v>
      </x:c>
      <x:c r="B234" s="80" t="n">
        <x:v>1.7753280589945601</x:v>
      </x:c>
      <x:c r="C234" s="84" t="n">
        <x:f>SQRT('Resumen'!$B$5^3/3)*B234</x:f>
        <x:v>1.024986132760405</x:v>
      </x:c>
      <x:c r="D234" s="84" t="n">
        <x:f>C234^2-'Resumen'!$B$5^3/3</x:f>
        <x:v>0.7172632390177975</x:v>
      </x:c>
      <x:c r="E234" s="85" t="n">
        <x:f>D234+'Resumen'!$B$5^3/3</x:f>
        <x:v>1.0505965723511308</x:v>
      </x:c>
    </x:row>
    <x:row r="235">
      <x:c r="A235" s="89" t="n">
        <x:v>233</x:v>
      </x:c>
      <x:c r="B235" s="80" t="n">
        <x:v>0.8691974004778678</x:v>
      </x:c>
      <x:c r="C235" s="84" t="n">
        <x:f>SQRT('Resumen'!$B$5^3/3)*B235</x:f>
        <x:v>0.5018313531448199</x:v>
      </x:c>
      <x:c r="D235" s="84" t="n">
        <x:f>C235^2-'Resumen'!$B$5^3/3</x:f>
        <x:v>-0.08149862633417243</x:v>
      </x:c>
      <x:c r="E235" s="85" t="n">
        <x:f>D235+'Resumen'!$B$5^3/3</x:f>
        <x:v>0.2518347069991609</x:v>
      </x:c>
    </x:row>
    <x:row r="236">
      <x:c r="A236" s="89" t="n">
        <x:v>234</x:v>
      </x:c>
      <x:c r="B236" s="80" t="n">
        <x:v>-1.1203719722127758</x:v>
      </x:c>
      <x:c r="C236" s="84" t="n">
        <x:f>SQRT('Resumen'!$B$5^3/3)*B236</x:f>
        <x:v>-0.646847059749558</x:v>
      </x:c>
      <x:c r="D236" s="84" t="n">
        <x:f>C236^2-'Resumen'!$B$5^3/3</x:f>
        <x:v>0.085077785373315</x:v>
      </x:c>
      <x:c r="E236" s="85" t="n">
        <x:f>D236+'Resumen'!$B$5^3/3</x:f>
        <x:v>0.4184111187066483</x:v>
      </x:c>
    </x:row>
    <x:row r="237">
      <x:c r="A237" s="89" t="n">
        <x:v>235</x:v>
      </x:c>
      <x:c r="B237" s="80" t="n">
        <x:v>0.7655930667816038</x:v>
      </x:c>
      <x:c r="C237" s="84" t="n">
        <x:f>SQRT('Resumen'!$B$5^3/3)*B237</x:f>
        <x:v>0.44201536319607004</x:v>
      </x:c>
      <x:c r="D237" s="84" t="n">
        <x:f>C237^2-'Resumen'!$B$5^3/3</x:f>
        <x:v>-0.1379557520319796</x:v>
      </x:c>
      <x:c r="E237" s="85" t="n">
        <x:f>D237+'Resumen'!$B$5^3/3</x:f>
        <x:v>0.19537758130135371</x:v>
      </x:c>
    </x:row>
    <x:row r="238">
      <x:c r="A238" s="89" t="n">
        <x:v>236</x:v>
      </x:c>
      <x:c r="B238" s="80" t="n">
        <x:v>1.0278538931852068</x:v>
      </x:c>
      <x:c r="C238" s="84" t="n">
        <x:f>SQRT('Resumen'!$B$5^3/3)*B238</x:f>
        <x:v>0.593431721918084</x:v>
      </x:c>
      <x:c r="D238" s="84" t="n">
        <x:f>C238^2-'Resumen'!$B$5^3/3</x:f>
        <x:v>0.018827875245328862</x:v>
      </x:c>
      <x:c r="E238" s="85" t="n">
        <x:f>D238+'Resumen'!$B$5^3/3</x:f>
        <x:v>0.3521612085786622</x:v>
      </x:c>
    </x:row>
    <x:row r="239">
      <x:c r="A239" s="89" t="n">
        <x:v>237</x:v>
      </x:c>
      <x:c r="B239" s="80" t="n">
        <x:v>-0.0727285593590428</x:v>
      </x:c>
      <x:c r="C239" s="84" t="n">
        <x:f>SQRT('Resumen'!$B$5^3/3)*B239</x:f>
        <x:v>-0.04198985332371703</x:v>
      </x:c>
      <x:c r="D239" s="84" t="n">
        <x:f>C239^2-'Resumen'!$B$5^3/3</x:f>
        <x:v>-0.33157018555118606</x:v>
      </x:c>
      <x:c r="E239" s="85" t="n">
        <x:f>D239+'Resumen'!$B$5^3/3</x:f>
        <x:v>0.0017631477821472563</x:v>
      </x:c>
    </x:row>
    <x:row r="240">
      <x:c r="A240" s="89" t="n">
        <x:v>238</x:v>
      </x:c>
      <x:c r="B240" s="80" t="n">
        <x:v>-2.343164021842378</x:v>
      </x:c>
      <x:c r="C240" s="84" t="n">
        <x:f>SQRT('Resumen'!$B$5^3/3)*B240</x:f>
        <x:v>-1.352826378766143</x:v>
      </x:c>
      <x:c r="D240" s="84" t="n">
        <x:f>C240^2-'Resumen'!$B$5^3/3</x:f>
        <x:v>1.4968058777521824</x:v>
      </x:c>
      <x:c r="E240" s="85" t="n">
        <x:f>D240+'Resumen'!$B$5^3/3</x:f>
        <x:v>1.8301392110855157</x:v>
      </x:c>
    </x:row>
    <x:row r="241">
      <x:c r="A241" s="89" t="n">
        <x:v>239</x:v>
      </x:c>
      <x:c r="B241" s="80" t="n">
        <x:v>-0.7556040755008999</x:v>
      </x:c>
      <x:c r="C241" s="84" t="n">
        <x:f>SQRT('Resumen'!$B$5^3/3)*B241</x:f>
        <x:v>-0.43624821639122285</x:v>
      </x:c>
      <x:c r="D241" s="84" t="n">
        <x:f>C241^2-'Resumen'!$B$5^3/3</x:f>
        <x:v>-0.1430208270288101</x:v>
      </x:c>
      <x:c r="E241" s="85" t="n">
        <x:f>D241+'Resumen'!$B$5^3/3</x:f>
        <x:v>0.1903125063045232</x:v>
      </x:c>
    </x:row>
    <x:row r="242">
      <x:c r="A242" s="89" t="n">
        <x:v>240</x:v>
      </x:c>
      <x:c r="B242" s="80" t="n">
        <x:v>2.0954109349548053</x:v>
      </x:c>
      <x:c r="C242" s="84" t="n">
        <x:f>SQRT('Resumen'!$B$5^3/3)*B242</x:f>
        <x:v>1.2097860673590421</x:v>
      </x:c>
      <x:c r="D242" s="84" t="n">
        <x:f>C242^2-'Resumen'!$B$5^3/3</x:f>
        <x:v>1.1302489954427235</x:v>
      </x:c>
      <x:c r="E242" s="85" t="n">
        <x:f>D242+'Resumen'!$B$5^3/3</x:f>
        <x:v>1.4635823287760568</x:v>
      </x:c>
    </x:row>
    <x:row r="243">
      <x:c r="A243" s="89" t="n">
        <x:v>241</x:v>
      </x:c>
      <x:c r="B243" s="80" t="n">
        <x:v>-0.2461873983982465</x:v>
      </x:c>
      <x:c r="C243" s="84" t="n">
        <x:f>SQRT('Resumen'!$B$5^3/3)*B243</x:f>
        <x:v>-0.14213636073632124</x:v>
      </x:c>
      <x:c r="D243" s="84" t="n">
        <x:f>C243^2-'Resumen'!$B$5^3/3</x:f>
        <x:v>-0.31313058828996765</x:v>
      </x:c>
      <x:c r="E243" s="85" t="n">
        <x:f>D243+'Resumen'!$B$5^3/3</x:f>
        <x:v>0.020202745043365666</x:v>
      </x:c>
    </x:row>
    <x:row r="244">
      <x:c r="A244" s="89" t="n">
        <x:v>242</x:v>
      </x:c>
      <x:c r="B244" s="80" t="n">
        <x:v>0.06452102082266989</x:v>
      </x:c>
      <x:c r="C244" s="84" t="n">
        <x:f>SQRT('Resumen'!$B$5^3/3)*B244</x:f>
        <x:v>0.037251228740357904</x:v>
      </x:c>
      <x:c r="D244" s="84" t="n">
        <x:f>C244^2-'Resumen'!$B$5^3/3</x:f>
        <x:v>-0.3319456792906669</x:v>
      </x:c>
      <x:c r="E244" s="85" t="n">
        <x:f>D244+'Resumen'!$B$5^3/3</x:f>
        <x:v>0.0013876540426664419</x:v>
      </x:c>
    </x:row>
    <x:row r="245">
      <x:c r="A245" s="89" t="n">
        <x:v>243</x:v>
      </x:c>
      <x:c r="B245" s="80" t="n">
        <x:v>0.5861571230971931</x:v>
      </x:c>
      <x:c r="C245" s="84" t="n">
        <x:f>SQRT('Resumen'!$B$5^3/3)*B245</x:f>
        <x:v>0.33841797280758107</x:v>
      </x:c>
      <x:c r="D245" s="84" t="n">
        <x:f>C245^2-'Resumen'!$B$5^3/3</x:f>
        <x:v>-0.21880660901414062</x:v>
      </x:c>
      <x:c r="E245" s="85" t="n">
        <x:f>D245+'Resumen'!$B$5^3/3</x:f>
        <x:v>0.1145267243191927</x:v>
      </x:c>
    </x:row>
    <x:row r="246">
      <x:c r="A246" s="89" t="n">
        <x:v>244</x:v>
      </x:c>
      <x:c r="B246" s="80" t="n">
        <x:v>0.49613767411761506</x:v>
      </x:c>
      <x:c r="C246" s="84" t="n">
        <x:f>SQRT('Resumen'!$B$5^3/3)*B246</x:f>
        <x:v>0.2864452197069199</x:v>
      </x:c>
      <x:c r="D246" s="84" t="n">
        <x:f>C246^2-'Resumen'!$B$5^3/3</x:f>
        <x:v>-0.2512824694403877</x:v>
      </x:c>
      <x:c r="E246" s="85" t="n">
        <x:f>D246+'Resumen'!$B$5^3/3</x:f>
        <x:v>0.08205086389294564</x:v>
      </x:c>
    </x:row>
    <x:row r="247">
      <x:c r="A247" s="89" t="n">
        <x:v>245</x:v>
      </x:c>
      <x:c r="B247" s="80" t="n">
        <x:v>1.935292194848219</x:v>
      </x:c>
      <x:c r="C247" s="84" t="n">
        <x:f>SQRT('Resumen'!$B$5^3/3)*B247</x:f>
        <x:v>1.1173414696562007</x:v>
      </x:c>
      <x:c r="D247" s="84" t="n">
        <x:f>C247^2-'Resumen'!$B$5^3/3</x:f>
        <x:v>0.9151186264801452</x:v>
      </x:c>
      <x:c r="E247" s="85" t="n">
        <x:f>D247+'Resumen'!$B$5^3/3</x:f>
        <x:v>1.2484519598134785</x:v>
      </x:c>
    </x:row>
    <x:row r="248">
      <x:c r="A248" s="89" t="n">
        <x:v>246</x:v>
      </x:c>
      <x:c r="B248" s="80" t="n">
        <x:v>0.3470733101181549</x:v>
      </x:c>
      <x:c r="C248" s="84" t="n">
        <x:f>SQRT('Resumen'!$B$5^3/3)*B248</x:f>
        <x:v>0.20038286902525118</x:v>
      </x:c>
      <x:c r="D248" s="84" t="n">
        <x:f>C248^2-'Resumen'!$B$5^3/3</x:f>
        <x:v>-0.2931800391345423</x:v>
      </x:c>
      <x:c r="E248" s="85" t="n">
        <x:f>D248+'Resumen'!$B$5^3/3</x:f>
        <x:v>0.04015329419879099</x:v>
      </x:c>
    </x:row>
    <x:row r="249">
      <x:c r="A249" s="89" t="n">
        <x:v>247</x:v>
      </x:c>
      <x:c r="B249" s="80" t="n">
        <x:v>-1.4458995527464757</x:v>
      </x:c>
      <x:c r="C249" s="84" t="n">
        <x:f>SQRT('Resumen'!$B$5^3/3)*B249</x:f>
        <x:v>-0.8347904959993372</x:v>
      </x:c>
      <x:c r="D249" s="84" t="n">
        <x:f>C249^2-'Resumen'!$B$5^3/3</x:f>
        <x:v>0.3635418388774861</x:v>
      </x:c>
      <x:c r="E249" s="85" t="n">
        <x:f>D249+'Resumen'!$B$5^3/3</x:f>
        <x:v>0.6968751722108194</x:v>
      </x:c>
    </x:row>
    <x:row r="250">
      <x:c r="A250" s="89" t="n">
        <x:v>248</x:v>
      </x:c>
      <x:c r="B250" s="80" t="n">
        <x:v>-0.5125602238599385</x:v>
      </x:c>
      <x:c r="C250" s="84" t="n">
        <x:f>SQRT('Resumen'!$B$5^3/3)*B250</x:f>
        <x:v>-0.2959267832214303</x:v>
      </x:c>
      <x:c r="D250" s="84" t="n">
        <x:f>C250^2-'Resumen'!$B$5^3/3</x:f>
        <x:v>-0.24576067230554993</x:v>
      </x:c>
      <x:c r="E250" s="85" t="n">
        <x:f>D250+'Resumen'!$B$5^3/3</x:f>
        <x:v>0.08757266102778338</x:v>
      </x:c>
    </x:row>
    <x:row r="251">
      <x:c r="A251" s="89" t="n">
        <x:v>249</x:v>
      </x:c>
      <x:c r="B251" s="80" t="n">
        <x:v>-2.078519018771397</x:v>
      </x:c>
      <x:c r="C251" s="84" t="n">
        <x:f>SQRT('Resumen'!$B$5^3/3)*B251</x:f>
        <x:v>-1.2000335150034227</x:v>
      </x:c>
      <x:c r="D251" s="84" t="n">
        <x:f>C251^2-'Resumen'!$B$5^3/3</x:f>
        <x:v>1.1067471037981367</x:v>
      </x:c>
      <x:c r="E251" s="85" t="n">
        <x:f>D251+'Resumen'!$B$5^3/3</x:f>
        <x:v>1.44008043713147</x:v>
      </x:c>
    </x:row>
    <x:row r="252">
      <x:c r="A252" s="89" t="n">
        <x:v>250</x:v>
      </x:c>
      <x:c r="B252" s="80" t="n">
        <x:v>-0.07959361787817357</x:v>
      </x:c>
      <x:c r="C252" s="84" t="n">
        <x:f>SQRT('Resumen'!$B$5^3/3)*B252</x:f>
        <x:v>-0.045953396707739715</x:v>
      </x:c>
      <x:c r="D252" s="84" t="n">
        <x:f>C252^2-'Resumen'!$B$5^3/3</x:f>
        <x:v>-0.3312216186643544</x:v>
      </x:c>
      <x:c r="E252" s="85" t="n">
        <x:f>D252+'Resumen'!$B$5^3/3</x:f>
        <x:v>0.0021117146689789146</x:v>
      </x:c>
    </x:row>
    <x:row r="253">
      <x:c r="A253" s="89" t="n">
        <x:v>251</x:v>
      </x:c>
      <x:c r="B253" s="80" t="n">
        <x:v>-0.31456387636569794</x:v>
      </x:c>
      <x:c r="C253" s="84" t="n">
        <x:f>SQRT('Resumen'!$B$5^3/3)*B253</x:f>
        <x:v>-0.18161353869706784</x:v>
      </x:c>
      <x:c r="D253" s="84" t="n">
        <x:f>C253^2-'Resumen'!$B$5^3/3</x:f>
        <x:v>-0.300349855895262</x:v>
      </x:c>
      <x:c r="E253" s="85" t="n">
        <x:f>D253+'Resumen'!$B$5^3/3</x:f>
        <x:v>0.03298347743807134</x:v>
      </x:c>
    </x:row>
    <x:row r="254">
      <x:c r="A254" s="89" t="n">
        <x:v>252</x:v>
      </x:c>
      <x:c r="B254" s="80" t="n">
        <x:v>1.1485743573878022</x:v>
      </x:c>
      <x:c r="C254" s="84" t="n">
        <x:f>SQRT('Resumen'!$B$5^3/3)*B254</x:f>
        <x:v>0.663129714422149</x:v>
      </x:c>
      <x:c r="D254" s="84" t="n">
        <x:f>C254^2-'Resumen'!$B$5^3/3</x:f>
        <x:v>0.1064076848162675</x:v>
      </x:c>
      <x:c r="E254" s="85" t="n">
        <x:f>D254+'Resumen'!$B$5^3/3</x:f>
        <x:v>0.4397410181496008</x:v>
      </x:c>
    </x:row>
    <x:row r="255">
      <x:c r="A255" s="89" t="n">
        <x:v>253</x:v>
      </x:c>
      <x:c r="B255" s="80" t="n">
        <x:v>0.7610757928733077</x:v>
      </x:c>
      <x:c r="C255" s="84" t="n">
        <x:f>SQRT('Resumen'!$B$5^3/3)*B255</x:f>
        <x:v>0.4394073138891121</x:v>
      </x:c>
      <x:c r="D255" s="84" t="n">
        <x:f>C255^2-'Resumen'!$B$5^3/3</x:f>
        <x:v>-0.14025454583408864</x:v>
      </x:c>
      <x:c r="E255" s="85" t="n">
        <x:f>D255+'Resumen'!$B$5^3/3</x:f>
        <x:v>0.19307878749924468</x:v>
      </x:c>
    </x:row>
    <x:row r="256">
      <x:c r="A256" s="89" t="n">
        <x:v>254</x:v>
      </x:c>
      <x:c r="B256" s="80" t="n">
        <x:v>0.2090647019226618</x:v>
      </x:c>
      <x:c r="C256" s="84" t="n">
        <x:f>SQRT('Resumen'!$B$5^3/3)*B256</x:f>
        <x:v>0.12070356193309766</x:v>
      </x:c>
      <x:c r="D256" s="84" t="n">
        <x:f>C256^2-'Resumen'!$B$5^3/3</x:f>
        <x:v>-0.3187639834699962</x:v>
      </x:c>
      <x:c r="E256" s="85" t="n">
        <x:f>D256+'Resumen'!$B$5^3/3</x:f>
        <x:v>0.014569349863337133</x:v>
      </x:c>
    </x:row>
    <x:row r="257">
      <x:c r="A257" s="89" t="n">
        <x:v>255</x:v>
      </x:c>
      <x:c r="B257" s="80" t="n">
        <x:v>-0.560740206839718</x:v>
      </x:c>
      <x:c r="C257" s="84" t="n">
        <x:f>SQRT('Resumen'!$B$5^3/3)*B257</x:f>
        <x:v>-0.32374350936435764</x:v>
      </x:c>
      <x:c r="D257" s="84" t="n">
        <x:f>C257^2-'Resumen'!$B$5^3/3</x:f>
        <x:v>-0.2285234734777834</x:v>
      </x:c>
      <x:c r="E257" s="85" t="n">
        <x:f>D257+'Resumen'!$B$5^3/3</x:f>
        <x:v>0.10480985985554991</x:v>
      </x:c>
    </x:row>
    <x:row r="258">
      <x:c r="A258" s="89" t="n">
        <x:v>256</x:v>
      </x:c>
      <x:c r="B258" s="80" t="n">
        <x:v>0.6980144750734026</x:v>
      </x:c>
      <x:c r="C258" s="84" t="n">
        <x:f>SQRT('Resumen'!$B$5^3/3)*B258</x:f>
        <x:v>0.4029988450818843</x:v>
      </x:c>
      <x:c r="D258" s="84" t="n">
        <x:f>C258^2-'Resumen'!$B$5^3/3</x:f>
        <x:v>-0.1709252641960007</x:v>
      </x:c>
      <x:c r="E258" s="85" t="n">
        <x:f>D258+'Resumen'!$B$5^3/3</x:f>
        <x:v>0.1624080691373326</x:v>
      </x:c>
    </x:row>
    <x:row r="259">
      <x:c r="A259" s="89" t="n">
        <x:v>257</x:v>
      </x:c>
      <x:c r="B259" s="80" t="n">
        <x:v>-0.5809406904565119</x:v>
      </x:c>
      <x:c r="C259" s="84" t="n">
        <x:f>SQRT('Resumen'!$B$5^3/3)*B259</x:f>
        <x:v>-0.33540626401827417</x:v>
      </x:c>
      <x:c r="D259" s="84" t="n">
        <x:f>C259^2-'Resumen'!$B$5^3/3</x:f>
        <x:v>-0.22083597139063707</x:v>
      </x:c>
      <x:c r="E259" s="85" t="n">
        <x:f>D259+'Resumen'!$B$5^3/3</x:f>
        <x:v>0.11249736194269624</x:v>
      </x:c>
    </x:row>
    <x:row r="260">
      <x:c r="A260" s="89" t="n">
        <x:v>258</x:v>
      </x:c>
      <x:c r="B260" s="80" t="n">
        <x:v>0.36438056977523514</x:v>
      </x:c>
      <x:c r="C260" s="84" t="n">
        <x:f>SQRT('Resumen'!$B$5^3/3)*B260</x:f>
        <x:v>0.21037522004720122</x:v>
      </x:c>
      <x:c r="D260" s="84" t="n">
        <x:f>C260^2-'Resumen'!$B$5^3/3</x:f>
        <x:v>-0.289075600123425</x:v>
      </x:c>
      <x:c r="E260" s="85" t="n">
        <x:f>D260+'Resumen'!$B$5^3/3</x:f>
        <x:v>0.044257733209908334</x:v>
      </x:c>
    </x:row>
    <x:row r="261">
      <x:c r="A261" s="89" t="n">
        <x:v>259</x:v>
      </x:c>
      <x:c r="B261" s="80" t="n">
        <x:v>-0.636524967771216</x:v>
      </x:c>
      <x:c r="C261" s="84" t="n">
        <x:f>SQRT('Resumen'!$B$5^3/3)*B261</x:f>
        <x:v>-0.3674978614886294</x:v>
      </x:c>
      <x:c r="D261" s="84" t="n">
        <x:f>C261^2-'Resumen'!$B$5^3/3</x:f>
        <x:v>-0.19827865513461748</x:v>
      </x:c>
      <x:c r="E261" s="85" t="n">
        <x:f>D261+'Resumen'!$B$5^3/3</x:f>
        <x:v>0.13505467819871583</x:v>
      </x:c>
    </x:row>
    <x:row r="262">
      <x:c r="A262" s="89" t="n">
        <x:v>260</x:v>
      </x:c>
      <x:c r="B262" s="80" t="n">
        <x:v>0.7409203492788897</x:v>
      </x:c>
      <x:c r="C262" s="84" t="n">
        <x:f>SQRT('Resumen'!$B$5^3/3)*B262</x:f>
        <x:v>0.4277705631042385</x:v>
      </x:c>
      <x:c r="D262" s="84" t="n">
        <x:f>C262^2-'Resumen'!$B$5^3/3</x:f>
        <x:v>-0.15034567867481602</x:v>
      </x:c>
      <x:c r="E262" s="85" t="n">
        <x:f>D262+'Resumen'!$B$5^3/3</x:f>
        <x:v>0.1829876546585173</x:v>
      </x:c>
    </x:row>
    <x:row r="263">
      <x:c r="A263" s="89" t="n">
        <x:v>261</x:v>
      </x:c>
      <x:c r="B263" s="80" t="n">
        <x:v>0.47269871548454634</x:v>
      </x:c>
      <x:c r="C263" s="84" t="n">
        <x:f>SQRT('Resumen'!$B$5^3/3)*B263</x:f>
        <x:v>0.2729127306305931</x:v>
      </x:c>
      <x:c r="D263" s="84" t="n">
        <x:f>C263^2-'Resumen'!$B$5^3/3</x:f>
        <x:v>-0.25885197479308664</x:v>
      </x:c>
      <x:c r="E263" s="85" t="n">
        <x:f>D263+'Resumen'!$B$5^3/3</x:f>
        <x:v>0.07448135854024668</x:v>
      </x:c>
    </x:row>
    <x:row r="264">
      <x:c r="A264" s="89" t="n">
        <x:v>262</x:v>
      </x:c>
      <x:c r="B264" s="80" t="n">
        <x:v>-1.2617497427516668</x:v>
      </x:c>
      <x:c r="C264" s="84" t="n">
        <x:f>SQRT('Resumen'!$B$5^3/3)*B264</x:f>
        <x:v>-0.7284715536276158</x:v>
      </x:c>
      <x:c r="D264" s="84" t="n">
        <x:f>C264^2-'Resumen'!$B$5^3/3</x:f>
        <x:v>0.19733747111129912</x:v>
      </x:c>
      <x:c r="E264" s="85" t="n">
        <x:f>D264+'Resumen'!$B$5^3/3</x:f>
        <x:v>0.5306708044446324</x:v>
      </x:c>
    </x:row>
    <x:row r="265">
      <x:c r="A265" s="89" t="n">
        <x:v>263</x:v>
      </x:c>
      <x:c r="B265" s="80" t="n">
        <x:v>-0.3814279799840968</x:v>
      </x:c>
      <x:c r="C265" s="84" t="n">
        <x:f>SQRT('Resumen'!$B$5^3/3)*B265</x:f>
        <x:v>-0.22021754692027345</x:v>
      </x:c>
      <x:c r="D265" s="84" t="n">
        <x:f>C265^2-'Resumen'!$B$5^3/3</x:f>
        <x:v>-0.2848375653617505</x:v>
      </x:c>
      <x:c r="E265" s="85" t="n">
        <x:f>D265+'Resumen'!$B$5^3/3</x:f>
        <x:v>0.04849576797158284</x:v>
      </x:c>
    </x:row>
    <x:row r="266">
      <x:c r="A266" s="89" t="n">
        <x:v>264</x:v>
      </x:c>
      <x:c r="B266" s="80" t="n">
        <x:v>-1.0271239088527633</x:v>
      </x:c>
      <x:c r="C266" s="84" t="n">
        <x:f>SQRT('Resumen'!$B$5^3/3)*B266</x:f>
        <x:v>-0.5930102652672434</x:v>
      </x:c>
      <x:c r="D266" s="84" t="n">
        <x:f>C266^2-'Resumen'!$B$5^3/3</x:f>
        <x:v>0.018327841378993126</x:v>
      </x:c>
      <x:c r="E266" s="85" t="n">
        <x:f>D266+'Resumen'!$B$5^3/3</x:f>
        <x:v>0.35166117471232644</x:v>
      </x:c>
    </x:row>
    <x:row r="267">
      <x:c r="A267" s="89" t="n">
        <x:v>265</x:v>
      </x:c>
      <x:c r="B267" s="80" t="n">
        <x:v>0.5908329632100308</x:v>
      </x:c>
      <x:c r="C267" s="84" t="n">
        <x:f>SQRT('Resumen'!$B$5^3/3)*B267</x:f>
        <x:v>0.3411175703554155</x:v>
      </x:c>
      <x:c r="D267" s="84" t="n">
        <x:f>C267^2-'Resumen'!$B$5^3/3</x:f>
        <x:v>-0.21697213652815145</x:v>
      </x:c>
      <x:c r="E267" s="85" t="n">
        <x:f>D267+'Resumen'!$B$5^3/3</x:f>
        <x:v>0.11636119680518187</x:v>
      </x:c>
    </x:row>
    <x:row r="268">
      <x:c r="A268" s="89" t="n">
        <x:v>266</x:v>
      </x:c>
      <x:c r="B268" s="80" t="n">
        <x:v>0.5640825704494492</x:v>
      </x:c>
      <x:c r="C268" s="84" t="n">
        <x:f>SQRT('Resumen'!$B$5^3/3)*B268</x:f>
        <x:v>0.32567322389416553</x:v>
      </x:c>
      <x:c r="D268" s="84" t="n">
        <x:f>C268^2-'Resumen'!$B$5^3/3</x:f>
        <x:v>-0.22727028457171405</x:v>
      </x:c>
      <x:c r="E268" s="85" t="n">
        <x:f>D268+'Resumen'!$B$5^3/3</x:f>
        <x:v>0.10606304876161926</x:v>
      </x:c>
    </x:row>
    <x:row r="269">
      <x:c r="A269" s="89" t="n">
        <x:v>267</x:v>
      </x:c>
      <x:c r="B269" s="80" t="n">
        <x:v>-0.7163885562104553</x:v>
      </x:c>
      <x:c r="C269" s="84" t="n">
        <x:f>SQRT('Resumen'!$B$5^3/3)*B269</x:f>
        <x:v>-0.41360712577247366</x:v>
      </x:c>
      <x:c r="D269" s="84" t="n">
        <x:f>C269^2-'Resumen'!$B$5^3/3</x:f>
        <x:v>-0.16226247884356648</x:v>
      </x:c>
      <x:c r="E269" s="85" t="n">
        <x:f>D269+'Resumen'!$B$5^3/3</x:f>
        <x:v>0.17107085448976683</x:v>
      </x:c>
    </x:row>
    <x:row r="270">
      <x:c r="A270" s="89" t="n">
        <x:v>268</x:v>
      </x:c>
      <x:c r="B270" s="80" t="n">
        <x:v>-0.05236473234820314</x:v>
      </x:c>
      <x:c r="C270" s="84" t="n">
        <x:f>SQRT('Resumen'!$B$5^3/3)*B270</x:f>
        <x:v>-0.030232792317277782</x:v>
      </x:c>
      <x:c r="D270" s="84" t="n">
        <x:f>C270^2-'Resumen'!$B$5^3/3</x:f>
        <x:v>-0.33241931160203364</x:v>
      </x:c>
      <x:c r="E270" s="85" t="n">
        <x:f>D270+'Resumen'!$B$5^3/3</x:f>
        <x:v>0.0009140217312996746</x:v>
      </x:c>
    </x:row>
    <x:row r="271">
      <x:c r="A271" s="89" t="n">
        <x:v>269</x:v>
      </x:c>
      <x:c r="B271" s="80" t="n">
        <x:v>-0.2611941905287071</x:v>
      </x:c>
      <x:c r="C271" s="84" t="n">
        <x:f>SQRT('Resumen'!$B$5^3/3)*B271</x:f>
        <x:v>-0.15080053621251546</x:v>
      </x:c>
      <x:c r="D271" s="84" t="n">
        <x:f>C271^2-'Resumen'!$B$5^3/3</x:f>
        <x:v>-0.31059253161135114</x:v>
      </x:c>
      <x:c r="E271" s="85" t="n">
        <x:f>D271+'Resumen'!$B$5^3/3</x:f>
        <x:v>0.022740801721982173</x:v>
      </x:c>
    </x:row>
    <x:row r="272">
      <x:c r="A272" s="89" t="n">
        <x:v>270</x:v>
      </x:c>
      <x:c r="B272" s="80" t="n">
        <x:v>-0.0868499750205033</x:v>
      </x:c>
      <x:c r="C272" s="84" t="n">
        <x:f>SQRT('Resumen'!$B$5^3/3)*B272</x:f>
        <x:v>-0.050142856457199854</x:v>
      </x:c>
      <x:c r="D272" s="84" t="n">
        <x:f>C272^2-'Resumen'!$B$5^3/3</x:f>
        <x:v>-0.33081902727964596</x:v>
      </x:c>
      <x:c r="E272" s="85" t="n">
        <x:f>D272+'Resumen'!$B$5^3/3</x:f>
        <x:v>0.002514306053687354</x:v>
      </x:c>
    </x:row>
    <x:row r="273">
      <x:c r="A273" s="89" t="n">
        <x:v>271</x:v>
      </x:c>
      <x:c r="B273" s="80" t="n">
        <x:v>1.4338920962283708</x:v>
      </x:c>
      <x:c r="C273" s="84" t="n">
        <x:f>SQRT('Resumen'!$B$5^3/3)*B273</x:f>
        <x:v>0.8278579877463266</x:v>
      </x:c>
      <x:c r="D273" s="84" t="n">
        <x:f>C273^2-'Resumen'!$B$5^3/3</x:f>
        <x:v>0.35201551454206365</x:v>
      </x:c>
      <x:c r="E273" s="85" t="n">
        <x:f>D273+'Resumen'!$B$5^3/3</x:f>
        <x:v>0.685348847875397</x:v>
      </x:c>
    </x:row>
    <x:row r="274">
      <x:c r="A274" s="89" t="n">
        <x:v>272</x:v>
      </x:c>
      <x:c r="B274" s="80" t="n">
        <x:v>1.4903304597765972</x:v>
      </x:c>
      <x:c r="C274" s="84" t="n">
        <x:f>SQRT('Resumen'!$B$5^3/3)*B274</x:f>
        <x:v>0.8604426921335171</x:v>
      </x:c>
      <x:c r="D274" s="84" t="n">
        <x:f>C274^2-'Resumen'!$B$5^3/3</x:f>
        <x:v>0.40702829311264116</x:v>
      </x:c>
      <x:c r="E274" s="85" t="n">
        <x:f>D274+'Resumen'!$B$5^3/3</x:f>
        <x:v>0.7403616264459745</x:v>
      </x:c>
    </x:row>
    <x:row r="275">
      <x:c r="A275" s="89" t="n">
        <x:v>273</x:v>
      </x:c>
      <x:c r="B275" s="80" t="n">
        <x:v>0.26058270190135785</x:v>
      </x:c>
      <x:c r="C275" s="84" t="n">
        <x:f>SQRT('Resumen'!$B$5^3/3)*B275</x:f>
        <x:v>0.15044749308890895</x:v>
      </x:c>
      <x:c r="D275" s="84" t="n">
        <x:f>C275^2-'Resumen'!$B$5^3/3</x:f>
        <x:v>-0.310698885156596</x:v>
      </x:c>
      <x:c r="E275" s="85" t="n">
        <x:f>D275+'Resumen'!$B$5^3/3</x:f>
        <x:v>0.02263444817673732</x:v>
      </x:c>
    </x:row>
    <x:row r="276">
      <x:c r="A276" s="89" t="n">
        <x:v>274</x:v>
      </x:c>
      <x:c r="B276" s="80" t="n">
        <x:v>-0.9145859892107838</x:v>
      </x:c>
      <x:c r="C276" s="84" t="n">
        <x:f>SQRT('Resumen'!$B$5^3/3)*B276</x:f>
        <x:v>-0.5280364670679062</x:v>
      </x:c>
      <x:c r="D276" s="84" t="n">
        <x:f>C276^2-'Resumen'!$B$5^3/3</x:f>
        <x:v>-0.05451082277977731</x:v>
      </x:c>
      <x:c r="E276" s="85" t="n">
        <x:f>D276+'Resumen'!$B$5^3/3</x:f>
        <x:v>0.278822510553556</x:v>
      </x:c>
    </x:row>
    <x:row r="277">
      <x:c r="A277" s="89" t="n">
        <x:v>275</x:v>
      </x:c>
      <x:c r="B277" s="80" t="n">
        <x:v>0.9312703677501845</x:v>
      </x:c>
      <x:c r="C277" s="84" t="n">
        <x:f>SQRT('Resumen'!$B$5^3/3)*B277</x:f>
        <x:v>0.5376691975088908</x:v>
      </x:c>
      <x:c r="D277" s="84" t="n">
        <x:f>C277^2-'Resumen'!$B$5^3/3</x:f>
        <x:v>-0.04424516738347872</x:v>
      </x:c>
      <x:c r="E277" s="85" t="n">
        <x:f>D277+'Resumen'!$B$5^3/3</x:f>
        <x:v>0.2890881659498546</x:v>
      </x:c>
    </x:row>
    <x:row r="278">
      <x:c r="A278" s="89" t="n">
        <x:v>276</x:v>
      </x:c>
      <x:c r="B278" s="80" t="n">
        <x:v>-0.5117525951590297</x:v>
      </x:c>
      <x:c r="C278" s="84" t="n">
        <x:f>SQRT('Resumen'!$B$5^3/3)*B278</x:f>
        <x:v>-0.2954604985735554</x:v>
      </x:c>
      <x:c r="D278" s="84" t="n">
        <x:f>C278^2-'Resumen'!$B$5^3/3</x:f>
        <x:v>-0.24603642711599938</x:v>
      </x:c>
      <x:c r="E278" s="85" t="n">
        <x:f>D278+'Resumen'!$B$5^3/3</x:f>
        <x:v>0.08729690621733394</x:v>
      </x:c>
    </x:row>
    <x:row r="279">
      <x:c r="A279" s="89" t="n">
        <x:v>277</x:v>
      </x:c>
      <x:c r="B279" s="80" t="n">
        <x:v>1.2773829238393843</x:v>
      </x:c>
      <x:c r="C279" s="84" t="n">
        <x:f>SQRT('Resumen'!$B$5^3/3)*B279</x:f>
        <x:v>0.7374973749368997</x:v>
      </x:c>
      <x:c r="D279" s="84" t="n">
        <x:f>C279^2-'Resumen'!$B$5^3/3</x:f>
        <x:v>0.2105690447054847</x:v>
      </x:c>
      <x:c r="E279" s="85" t="n">
        <x:f>D279+'Resumen'!$B$5^3/3</x:f>
        <x:v>0.543902378038818</x:v>
      </x:c>
    </x:row>
    <x:row r="280">
      <x:c r="A280" s="89" t="n">
        <x:v>278</x:v>
      </x:c>
      <x:c r="B280" s="80" t="n">
        <x:v>0.935253725997967</x:v>
      </x:c>
      <x:c r="C280" s="84" t="n">
        <x:f>SQRT('Resumen'!$B$5^3/3)*B280</x:f>
        <x:v>0.5399689904655267</x:v>
      </x:c>
      <x:c r="D280" s="84" t="n">
        <x:f>C280^2-'Resumen'!$B$5^3/3</x:f>
        <x:v>-0.04176682266897325</x:v>
      </x:c>
      <x:c r="E280" s="85" t="n">
        <x:f>D280+'Resumen'!$B$5^3/3</x:f>
        <x:v>0.29156651066436007</x:v>
      </x:c>
    </x:row>
    <x:row r="281">
      <x:c r="A281" s="89" t="n">
        <x:v>279</x:v>
      </x:c>
      <x:c r="B281" s="80" t="n">
        <x:v>0.7647401533698842</x:v>
      </x:c>
      <x:c r="C281" s="84" t="n">
        <x:f>SQRT('Resumen'!$B$5^3/3)*B281</x:f>
        <x:v>0.4415229334082183</x:v>
      </x:c>
      <x:c r="D281" s="84" t="n">
        <x:f>C281^2-'Resumen'!$B$5^3/3</x:f>
        <x:v>-0.13839083260793533</x:v>
      </x:c>
      <x:c r="E281" s="85" t="n">
        <x:f>D281+'Resumen'!$B$5^3/3</x:f>
        <x:v>0.19494250072539798</x:v>
      </x:c>
    </x:row>
    <x:row r="282">
      <x:c r="A282" s="89" t="n">
        <x:v>280</x:v>
      </x:c>
      <x:c r="B282" s="80" t="n">
        <x:v>1.4097559407245859</x:v>
      </x:c>
      <x:c r="C282" s="84" t="n">
        <x:f>SQRT('Resumen'!$B$5^3/3)*B282</x:f>
        <x:v>0.8139229718690137</x:v>
      </x:c>
      <x:c r="D282" s="84" t="n">
        <x:f>C282^2-'Resumen'!$B$5^3/3</x:f>
        <x:v>0.32913727080275407</x:v>
      </x:c>
      <x:c r="E282" s="85" t="n">
        <x:f>D282+'Resumen'!$B$5^3/3</x:f>
        <x:v>0.6624706041360874</x:v>
      </x:c>
    </x:row>
    <x:row r="283">
      <x:c r="A283" s="89" t="n">
        <x:v>281</x:v>
      </x:c>
      <x:c r="B283" s="80" t="n">
        <x:v>0.8245891970894943</x:v>
      </x:c>
      <x:c r="C283" s="84" t="n">
        <x:f>SQRT('Resumen'!$B$5^3/3)*B283</x:f>
        <x:v>0.4760767949104769</x:v>
      </x:c>
      <x:c r="D283" s="84" t="n">
        <x:f>C283^2-'Resumen'!$B$5^3/3</x:f>
        <x:v>-0.10668421868110103</x:v>
      </x:c>
      <x:c r="E283" s="85" t="n">
        <x:f>D283+'Resumen'!$B$5^3/3</x:f>
        <x:v>0.22664911465223228</x:v>
      </x:c>
    </x:row>
    <x:row r="284">
      <x:c r="A284" s="89" t="n">
        <x:v>282</x:v>
      </x:c>
      <x:c r="B284" s="80" t="n">
        <x:v>0.8291748509640253</x:v>
      </x:c>
      <x:c r="C284" s="84" t="n">
        <x:f>SQRT('Resumen'!$B$5^3/3)*B284</x:f>
        <x:v>0.47872432340934784</x:v>
      </x:c>
      <x:c r="D284" s="84" t="n">
        <x:f>C284^2-'Resumen'!$B$5^3/3</x:f>
        <x:v>-0.10415635550959546</x:v>
      </x:c>
      <x:c r="E284" s="85" t="n">
        <x:f>D284+'Resumen'!$B$5^3/3</x:f>
        <x:v>0.22917697782373786</x:v>
      </x:c>
    </x:row>
    <x:row r="285">
      <x:c r="A285" s="89" t="n">
        <x:v>283</x:v>
      </x:c>
      <x:c r="B285" s="80" t="n">
        <x:v>-0.5868961166499116</x:v>
      </x:c>
      <x:c r="C285" s="84" t="n">
        <x:f>SQRT('Resumen'!$B$5^3/3)*B285</x:f>
        <x:v>-0.33884463093417244</x:v>
      </x:c>
      <x:c r="D285" s="84" t="n">
        <x:f>C285^2-'Resumen'!$B$5^3/3</x:f>
        <x:v>-0.2185176494204178</x:v>
      </x:c>
      <x:c r="E285" s="85" t="n">
        <x:f>D285+'Resumen'!$B$5^3/3</x:f>
        <x:v>0.11481568391291552</x:v>
      </x:c>
    </x:row>
    <x:row r="286">
      <x:c r="A286" s="89" t="n">
        <x:v>284</x:v>
      </x:c>
      <x:c r="B286" s="80" t="n">
        <x:v>0.051212946730036846</x:v>
      </x:c>
      <x:c r="C286" s="84" t="n">
        <x:f>SQRT('Resumen'!$B$5^3/3)*B286</x:f>
        <x:v>0.029567808580580737</x:v>
      </x:c>
      <x:c r="D286" s="84" t="n">
        <x:f>C286^2-'Resumen'!$B$5^3/3</x:f>
        <x:v>-0.3324590780290754</x:v>
      </x:c>
      <x:c r="E286" s="85" t="n">
        <x:f>D286+'Resumen'!$B$5^3/3</x:f>
        <x:v>0.0008742553042578871</x:v>
      </x:c>
    </x:row>
    <x:row r="287">
      <x:c r="A287" s="89" t="n">
        <x:v>285</x:v>
      </x:c>
      <x:c r="B287" s="80" t="n">
        <x:v>1.4480421870240587</x:v>
      </x:c>
      <x:c r="C287" s="84" t="n">
        <x:f>SQRT('Resumen'!$B$5^3/3)*B287</x:f>
        <x:v>0.8360275464762746</x:v>
      </x:c>
      <x:c r="D287" s="84" t="n">
        <x:f>C287^2-'Resumen'!$B$5^3/3</x:f>
        <x:v>0.3656087251338062</x:v>
      </x:c>
      <x:c r="E287" s="85" t="n">
        <x:f>D287+'Resumen'!$B$5^3/3</x:f>
        <x:v>0.6989420584671395</x:v>
      </x:c>
    </x:row>
    <x:row r="288">
      <x:c r="A288" s="89" t="n">
        <x:v>286</x:v>
      </x:c>
      <x:c r="B288" s="80" t="n">
        <x:v>0.2986988539901022</x:v>
      </x:c>
      <x:c r="C288" s="84" t="n">
        <x:f>SQRT('Resumen'!$B$5^3/3)*B288</x:f>
        <x:v>0.1724538637578182</x:v>
      </x:c>
      <x:c r="D288" s="84" t="n">
        <x:f>C288^2-'Resumen'!$B$5^3/3</x:f>
        <x:v>-0.3035929982083332</x:v>
      </x:c>
      <x:c r="E288" s="85" t="n">
        <x:f>D288+'Resumen'!$B$5^3/3</x:f>
        <x:v>0.029740335125000128</x:v>
      </x:c>
    </x:row>
    <x:row r="289">
      <x:c r="A289" s="89" t="n">
        <x:v>287</x:v>
      </x:c>
      <x:c r="B289" s="80" t="n">
        <x:v>-1.6158885858590268</x:v>
      </x:c>
      <x:c r="C289" s="84" t="n">
        <x:f>SQRT('Resumen'!$B$5^3/3)*B289</x:f>
        <x:v>-0.9329337100261528</x:v>
      </x:c>
      <x:c r="D289" s="84" t="n">
        <x:f>C289^2-'Resumen'!$B$5^3/3</x:f>
        <x:v>0.5370319739698284</x:v>
      </x:c>
      <x:c r="E289" s="85" t="n">
        <x:f>D289+'Resumen'!$B$5^3/3</x:f>
        <x:v>0.8703653073031616</x:v>
      </x:c>
    </x:row>
    <x:row r="290">
      <x:c r="A290" s="89" t="n">
        <x:v>288</x:v>
      </x:c>
      <x:c r="B290" s="80" t="n">
        <x:v>-0.3102030214139528</x:v>
      </x:c>
      <x:c r="C290" s="84" t="n">
        <x:f>SQRT('Resumen'!$B$5^3/3)*B290</x:f>
        <x:v>-0.17909579791678087</x:v>
      </x:c>
      <x:c r="D290" s="84" t="n">
        <x:f>C290^2-'Resumen'!$B$5^3/3</x:f>
        <x:v>-0.3012580285018849</x:v>
      </x:c>
      <x:c r="E290" s="85" t="n">
        <x:f>D290+'Resumen'!$B$5^3/3</x:f>
        <x:v>0.03207530483144844</x:v>
      </x:c>
    </x:row>
    <x:row r="291">
      <x:c r="A291" s="89" t="n">
        <x:v>289</x:v>
      </x:c>
      <x:c r="B291" s="80" t="n">
        <x:v>1.0791167261202264</x:v>
      </x:c>
      <x:c r="C291" s="84" t="n">
        <x:f>SQRT('Resumen'!$B$5^3/3)*B291</x:f>
        <x:v>0.6230283323125403</x:v>
      </x:c>
      <x:c r="D291" s="84" t="n">
        <x:f>C291^2-'Resumen'!$B$5^3/3</x:f>
        <x:v>0.054830969530811846</x:v>
      </x:c>
      <x:c r="E291" s="85" t="n">
        <x:f>D291+'Resumen'!$B$5^3/3</x:f>
        <x:v>0.38816430286414516</x:v>
      </x:c>
    </x:row>
    <x:row r="292">
      <x:c r="A292" s="89" t="n">
        <x:v>290</x:v>
      </x:c>
      <x:c r="B292" s="80" t="n">
        <x:v>-0.3271807264743909</x:v>
      </x:c>
      <x:c r="C292" s="84" t="n">
        <x:f>SQRT('Resumen'!$B$5^3/3)*B292</x:f>
        <x:v>-0.1888978805036469</x:v>
      </x:c>
      <x:c r="D292" s="84" t="n">
        <x:f>C292^2-'Resumen'!$B$5^3/3</x:f>
        <x:v>-0.2976509240745633</x:v>
      </x:c>
      <x:c r="E292" s="85" t="n">
        <x:f>D292+'Resumen'!$B$5^3/3</x:f>
        <x:v>0.03568240925877003</x:v>
      </x:c>
    </x:row>
    <x:row r="293">
      <x:c r="A293" s="89" t="n">
        <x:v>291</x:v>
      </x:c>
      <x:c r="B293" s="80" t="n">
        <x:v>0.3370621536445221</x:v>
      </x:c>
      <x:c r="C293" s="84" t="n">
        <x:f>SQRT('Resumen'!$B$5^3/3)*B293</x:f>
        <x:v>0.1946029251402998</x:v>
      </x:c>
      <x:c r="D293" s="84" t="n">
        <x:f>C293^2-'Resumen'!$B$5^3/3</x:f>
        <x:v>-0.29546303486017217</x:v>
      </x:c>
      <x:c r="E293" s="85" t="n">
        <x:f>D293+'Resumen'!$B$5^3/3</x:f>
        <x:v>0.037870298473161146</x:v>
      </x:c>
    </x:row>
    <x:row r="294">
      <x:c r="A294" s="89" t="n">
        <x:v>292</x:v>
      </x:c>
      <x:c r="B294" s="80" t="n">
        <x:v>-0.24828720594669065</x:v>
      </x:c>
      <x:c r="C294" s="84" t="n">
        <x:f>SQRT('Resumen'!$B$5^3/3)*B294</x:f>
        <x:v>-0.1433486851896619</x:v>
      </x:c>
      <x:c r="D294" s="84" t="n">
        <x:f>C294^2-'Resumen'!$B$5^3/3</x:f>
        <x:v>-0.3127844877877285</x:v>
      </x:c>
      <x:c r="E294" s="85" t="n">
        <x:f>D294+'Resumen'!$B$5^3/3</x:f>
        <x:v>0.02054884554560482</x:v>
      </x:c>
    </x:row>
    <x:row r="295">
      <x:c r="A295" s="89" t="n">
        <x:v>293</x:v>
      </x:c>
      <x:c r="B295" s="80" t="n">
        <x:v>1.2759982465569857</x:v>
      </x:c>
      <x:c r="C295" s="84" t="n">
        <x:f>SQRT('Resumen'!$B$5^3/3)*B295</x:f>
        <x:v>0.7366979311351661</x:v>
      </x:c>
      <x:c r="D295" s="84" t="n">
        <x:f>C295^2-'Resumen'!$B$5^3/3</x:f>
        <x:v>0.2093905084055006</x:v>
      </x:c>
      <x:c r="E295" s="85" t="n">
        <x:f>D295+'Resumen'!$B$5^3/3</x:f>
        <x:v>0.5427238417388339</x:v>
      </x:c>
    </x:row>
    <x:row r="296">
      <x:c r="A296" s="89" t="n">
        <x:v>294</x:v>
      </x:c>
      <x:c r="B296" s="80" t="n">
        <x:v>-0.9070373955798802</x:v>
      </x:c>
      <x:c r="C296" s="84" t="n">
        <x:f>SQRT('Resumen'!$B$5^3/3)*B296</x:f>
        <x:v>-0.5236782845031008</x:v>
      </x:c>
      <x:c r="D296" s="84" t="n">
        <x:f>C296^2-'Resumen'!$B$5^3/3</x:f>
        <x:v>-0.05909438767322267</x:v>
      </x:c>
      <x:c r="E296" s="85" t="n">
        <x:f>D296+'Resumen'!$B$5^3/3</x:f>
        <x:v>0.27423894566011064</x:v>
      </x:c>
    </x:row>
    <x:row r="297">
      <x:c r="A297" s="89" t="n">
        <x:v>295</x:v>
      </x:c>
      <x:c r="B297" s="80" t="n">
        <x:v>-0.2419287812708118</x:v>
      </x:c>
      <x:c r="C297" s="84" t="n">
        <x:f>SQRT('Resumen'!$B$5^3/3)*B297</x:f>
        <x:v>-0.13967764699142127</x:v>
      </x:c>
      <x:c r="D297" s="84" t="n">
        <x:f>C297^2-'Resumen'!$B$5^3/3</x:f>
        <x:v>-0.3138234882642732</x:v>
      </x:c>
      <x:c r="E297" s="85" t="n">
        <x:f>D297+'Resumen'!$B$5^3/3</x:f>
        <x:v>0.019509845069060117</x:v>
      </x:c>
    </x:row>
    <x:row r="298">
      <x:c r="A298" s="89" t="n">
        <x:v>296</x:v>
      </x:c>
      <x:c r="B298" s="80" t="n">
        <x:v>-0.2864258574396263</x:v>
      </x:c>
      <x:c r="C298" s="84" t="n">
        <x:f>SQRT('Resumen'!$B$5^3/3)*B298</x:f>
        <x:v>-0.1653680458956376</x:v>
      </x:c>
      <x:c r="D298" s="84" t="n">
        <x:f>C298^2-'Resumen'!$B$5^3/3</x:f>
        <x:v>-0.3059867427299916</x:v>
      </x:c>
      <x:c r="E298" s="85" t="n">
        <x:f>D298+'Resumen'!$B$5^3/3</x:f>
        <x:v>0.027346590603341714</x:v>
      </x:c>
    </x:row>
    <x:row r="299">
      <x:c r="A299" s="89" t="n">
        <x:v>297</x:v>
      </x:c>
      <x:c r="B299" s="80" t="n">
        <x:v>0.4594877200032917</x:v>
      </x:c>
      <x:c r="C299" s="84" t="n">
        <x:f>SQRT('Resumen'!$B$5^3/3)*B299</x:f>
        <x:v>0.26528535883322785</x:v>
      </x:c>
      <x:c r="D299" s="84" t="n">
        <x:f>C299^2-'Resumen'!$B$5^3/3</x:f>
        <x:v>-0.2629570117220589</x:v>
      </x:c>
      <x:c r="E299" s="85" t="n">
        <x:f>D299+'Resumen'!$B$5^3/3</x:f>
        <x:v>0.07037632161127444</x:v>
      </x:c>
    </x:row>
    <x:row r="300">
      <x:c r="A300" s="89" t="n">
        <x:v>298</x:v>
      </x:c>
      <x:c r="B300" s="80" t="n">
        <x:v>-2.27753707970801</x:v>
      </x:c>
      <x:c r="C300" s="84" t="n">
        <x:f>SQRT('Resumen'!$B$5^3/3)*B300</x:f>
        <x:v>-1.3149366460587737</x:v>
      </x:c>
      <x:c r="D300" s="84" t="n">
        <x:f>C300^2-'Resumen'!$B$5^3/3</x:f>
        <x:v>1.3957250498149634</x:v>
      </x:c>
      <x:c r="E300" s="85" t="n">
        <x:f>D300+'Resumen'!$B$5^3/3</x:f>
        <x:v>1.7290583831482966</x:v>
      </x:c>
    </x:row>
    <x:row r="301">
      <x:c r="A301" s="89" t="n">
        <x:v>299</x:v>
      </x:c>
      <x:c r="B301" s="80" t="n">
        <x:v>-0.4219552499603364</x:v>
      </x:c>
      <x:c r="C301" s="84" t="n">
        <x:f>SQRT('Resumen'!$B$5^3/3)*B301</x:f>
        <x:v>-0.24361597715057604</x:v>
      </x:c>
      <x:c r="D301" s="84" t="n">
        <x:f>C301^2-'Resumen'!$B$5^3/3</x:f>
        <x:v>-0.2739845890103033</x:v>
      </x:c>
      <x:c r="E301" s="85" t="n">
        <x:f>D301+'Resumen'!$B$5^3/3</x:f>
        <x:v>0.05934874432303</x:v>
      </x:c>
    </x:row>
    <x:row r="302">
      <x:c r="A302" s="89" t="n">
        <x:v>300</x:v>
      </x:c>
      <x:c r="B302" s="80" t="n">
        <x:v>1.1182447589866569</x:v>
      </x:c>
      <x:c r="C302" s="84" t="n">
        <x:f>SQRT('Resumen'!$B$5^3/3)*B302</x:f>
        <x:v>0.6456189126208345</x:v>
      </x:c>
      <x:c r="D302" s="84" t="n">
        <x:f>C302^2-'Resumen'!$B$5^3/3</x:f>
        <x:v>0.08349044700037539</x:v>
      </x:c>
      <x:c r="E302" s="85" t="n">
        <x:f>D302+'Resumen'!$B$5^3/3</x:f>
        <x:v>0.4168237803337087</x:v>
      </x:c>
    </x:row>
    <x:row r="303">
      <x:c r="A303" s="89" t="n">
        <x:v>301</x:v>
      </x:c>
      <x:c r="B303" s="80" t="n">
        <x:v>-2.355467952241025</x:v>
      </x:c>
      <x:c r="C303" s="84" t="n">
        <x:f>SQRT('Resumen'!$B$5^3/3)*B303</x:f>
        <x:v>-1.3599300562938923</x:v>
      </x:c>
      <x:c r="D303" s="84" t="n">
        <x:f>C303^2-'Resumen'!$B$5^3/3</x:f>
        <x:v>1.5160764246781757</x:v>
      </x:c>
      <x:c r="E303" s="85" t="n">
        <x:f>D303+'Resumen'!$B$5^3/3</x:f>
        <x:v>1.849409758011509</x:v>
      </x:c>
    </x:row>
    <x:row r="304">
      <x:c r="A304" s="89" t="n">
        <x:v>302</x:v>
      </x:c>
      <x:c r="B304" s="80" t="n">
        <x:v>-1.3425394805455089</x:v>
      </x:c>
      <x:c r="C304" s="84" t="n">
        <x:f>SQRT('Resumen'!$B$5^3/3)*B304</x:f>
        <x:v>-0.7751155304906499</x:v>
      </x:c>
      <x:c r="D304" s="84" t="n">
        <x:f>C304^2-'Resumen'!$B$5^3/3</x:f>
        <x:v>0.2674707522744682</x:v>
      </x:c>
      <x:c r="E304" s="85" t="n">
        <x:f>D304+'Resumen'!$B$5^3/3</x:f>
        <x:v>0.6008040856078015</x:v>
      </x:c>
    </x:row>
    <x:row r="305">
      <x:c r="A305" s="89" t="n">
        <x:v>303</x:v>
      </x:c>
      <x:c r="B305" s="80" t="n">
        <x:v>0.23953767868512219</x:v>
      </x:c>
      <x:c r="C305" s="84" t="n">
        <x:f>SQRT('Resumen'!$B$5^3/3)*B305</x:f>
        <x:v>0.13829714326991338</x:v>
      </x:c>
      <x:c r="D305" s="84" t="n">
        <x:f>C305^2-'Resumen'!$B$5^3/3</x:f>
        <x:v>-0.31420723349671437</x:v>
      </x:c>
      <x:c r="E305" s="85" t="n">
        <x:f>D305+'Resumen'!$B$5^3/3</x:f>
        <x:v>0.01912609983661895</x:v>
      </x:c>
    </x:row>
    <x:row r="306">
      <x:c r="A306" s="89" t="n">
        <x:v>304</x:v>
      </x:c>
      <x:c r="B306" s="80" t="n">
        <x:v>-0.8182522644352145</x:v>
      </x:c>
      <x:c r="C306" s="84" t="n">
        <x:f>SQRT('Resumen'!$B$5^3/3)*B306</x:f>
        <x:v>-0.4724181651366919</x:v>
      </x:c>
      <x:c r="D306" s="84" t="n">
        <x:f>C306^2-'Resumen'!$B$5^3/3</x:f>
        <x:v>-0.11015441058221465</x:v>
      </x:c>
      <x:c r="E306" s="85" t="n">
        <x:f>D306+'Resumen'!$B$5^3/3</x:f>
        <x:v>0.22317892275111867</x:v>
      </x:c>
    </x:row>
    <x:row r="307">
      <x:c r="A307" s="89" t="n">
        <x:v>305</x:v>
      </x:c>
      <x:c r="B307" s="80" t="n">
        <x:v>0.8451075247171825</x:v>
      </x:c>
      <x:c r="C307" s="84" t="n">
        <x:f>SQRT('Resumen'!$B$5^3/3)*B307</x:f>
        <x:v>0.4879230568896436</x:v>
      </x:c>
      <x:c r="D307" s="84" t="n">
        <x:f>C307^2-'Resumen'!$B$5^3/3</x:f>
        <x:v>-0.09526442388879894</x:v>
      </x:c>
      <x:c r="E307" s="85" t="n">
        <x:f>D307+'Resumen'!$B$5^3/3</x:f>
        <x:v>0.23806890944453438</x:v>
      </x:c>
    </x:row>
    <x:row r="308">
      <x:c r="A308" s="89" t="n">
        <x:v>306</x:v>
      </x:c>
      <x:c r="B308" s="80" t="n">
        <x:v>-0.4729934981643848</x:v>
      </x:c>
      <x:c r="C308" s="84" t="n">
        <x:f>SQRT('Resumen'!$B$5^3/3)*B308</x:f>
        <x:v>-0.2730829234901503</x:v>
      </x:c>
      <x:c r="D308" s="84" t="n">
        <x:f>C308^2-'Resumen'!$B$5^3/3</x:f>
        <x:v>-0.25875905023140605</x:v>
      </x:c>
      <x:c r="E308" s="85" t="n">
        <x:f>D308+'Resumen'!$B$5^3/3</x:f>
        <x:v>0.07457428310192726</x:v>
      </x:c>
    </x:row>
    <x:row r="309">
      <x:c r="A309" s="89" t="n">
        <x:v>307</x:v>
      </x:c>
      <x:c r="B309" s="80" t="n">
        <x:v>0.24593473334200114</x:v>
      </x:c>
      <x:c r="C309" s="84" t="n">
        <x:f>SQRT('Resumen'!$B$5^3/3)*B309</x:f>
        <x:v>0.14199048449808319</x:v>
      </x:c>
      <x:c r="D309" s="84" t="n">
        <x:f>C309^2-'Resumen'!$B$5^3/3</x:f>
        <x:v>-0.3131720356453329</x:v>
      </x:c>
      <x:c r="E309" s="85" t="n">
        <x:f>D309+'Resumen'!$B$5^3/3</x:f>
        <x:v>0.0201612976880004</x:v>
      </x:c>
    </x:row>
    <x:row r="310">
      <x:c r="A310" s="89" t="n">
        <x:v>308</x:v>
      </x:c>
      <x:c r="B310" s="80" t="n">
        <x:v>1.40307996111896</x:v>
      </x:c>
      <x:c r="C310" s="84" t="n">
        <x:f>SQRT('Resumen'!$B$5^3/3)*B310</x:f>
        <x:v>0.8100685932466011</x:v>
      </x:c>
      <x:c r="D310" s="84" t="n">
        <x:f>C310^2-'Resumen'!$B$5^3/3</x:f>
        <x:v>0.3228777924311939</x:v>
      </x:c>
      <x:c r="E310" s="85" t="n">
        <x:f>D310+'Resumen'!$B$5^3/3</x:f>
        <x:v>0.6562111257645272</x:v>
      </x:c>
    </x:row>
    <x:row r="311">
      <x:c r="A311" s="89" t="n">
        <x:v>309</x:v>
      </x:c>
      <x:c r="B311" s="80" t="n">
        <x:v>-1.2121541162600944</x:v>
      </x:c>
      <x:c r="C311" s="84" t="n">
        <x:f>SQRT('Resumen'!$B$5^3/3)*B311</x:f>
        <x:v>-0.6998375053220783</x:v>
      </x:c>
      <x:c r="D311" s="84" t="n">
        <x:f>C311^2-'Resumen'!$B$5^3/3</x:f>
        <x:v>0.1564392005220967</x:v>
      </x:c>
      <x:c r="E311" s="85" t="n">
        <x:f>D311+'Resumen'!$B$5^3/3</x:f>
        <x:v>0.48977253385543</x:v>
      </x:c>
    </x:row>
    <x:row r="312">
      <x:c r="A312" s="89" t="n">
        <x:v>310</x:v>
      </x:c>
      <x:c r="B312" s="80" t="n">
        <x:v>-1.0615198322292616</x:v>
      </x:c>
      <x:c r="C312" s="84" t="n">
        <x:f>SQRT('Resumen'!$B$5^3/3)*B312</x:f>
        <x:v>-0.6128687608876905</x:v>
      </x:c>
      <x:c r="D312" s="84" t="n">
        <x:f>C312^2-'Resumen'!$B$5^3/3</x:f>
        <x:v>0.04227478473867985</x:v>
      </x:c>
      <x:c r="E312" s="85" t="n">
        <x:f>D312+'Resumen'!$B$5^3/3</x:f>
        <x:v>0.37560811807201316</x:v>
      </x:c>
    </x:row>
    <x:row r="313">
      <x:c r="A313" s="89" t="n">
        <x:v>311</x:v>
      </x:c>
      <x:c r="B313" s="80" t="n">
        <x:v>-0.7811573002307624</x:v>
      </x:c>
      <x:c r="C313" s="84" t="n">
        <x:f>SQRT('Resumen'!$B$5^3/3)*B313</x:f>
        <x:v>-0.45100137756767195</x:v>
      </x:c>
      <x:c r="D313" s="84" t="n">
        <x:f>C313^2-'Resumen'!$B$5^3/3</x:f>
        <x:v>-0.12993109076539552</x:v>
      </x:c>
      <x:c r="E313" s="85" t="n">
        <x:f>D313+'Resumen'!$B$5^3/3</x:f>
        <x:v>0.2034022425679378</x:v>
      </x:c>
    </x:row>
    <x:row r="314">
      <x:c r="A314" s="89" t="n">
        <x:v>312</x:v>
      </x:c>
      <x:c r="B314" s="80" t="n">
        <x:v>-0.07335476457743227</x:v>
      </x:c>
      <x:c r="C314" s="84" t="n">
        <x:f>SQRT('Resumen'!$B$5^3/3)*B314</x:f>
        <x:v>-0.042351393075122146</x:v>
      </x:c>
      <x:c r="D314" s="84" t="n">
        <x:f>C314^2-'Resumen'!$B$5^3/3</x:f>
        <x:v>-0.33153969283792983</x:v>
      </x:c>
      <x:c r="E314" s="85" t="n">
        <x:f>D314+'Resumen'!$B$5^3/3</x:f>
        <x:v>0.0017936404954034812</x:v>
      </x:c>
    </x:row>
    <x:row r="315">
      <x:c r="A315" s="89" t="n">
        <x:v>313</x:v>
      </x:c>
      <x:c r="B315" s="80" t="n">
        <x:v>2.0752038238429726</x:v>
      </x:c>
      <x:c r="C315" s="84" t="n">
        <x:f>SQRT('Resumen'!$B$5^3/3)*B315</x:f>
        <x:v>1.198119486319081</x:v>
      </x:c>
      <x:c r="D315" s="84" t="n">
        <x:f>C315^2-'Resumen'!$B$5^3/3</x:f>
        <x:v>1.1021569701641651</x:v>
      </x:c>
      <x:c r="E315" s="85" t="n">
        <x:f>D315+'Resumen'!$B$5^3/3</x:f>
        <x:v>1.4354903034974984</x:v>
      </x:c>
    </x:row>
    <x:row r="316">
      <x:c r="A316" s="89" t="n">
        <x:v>314</x:v>
      </x:c>
      <x:c r="B316" s="80" t="n">
        <x:v>0.19843847945866616</x:v>
      </x:c>
      <x:c r="C316" s="84" t="n">
        <x:f>SQRT('Resumen'!$B$5^3/3)*B316</x:f>
        <x:v>0.11456850953304093</x:v>
      </x:c>
      <x:c r="D316" s="84" t="n">
        <x:f>C316^2-'Resumen'!$B$5^3/3</x:f>
        <x:v>-0.32020738995671083</x:v>
      </x:c>
      <x:c r="E316" s="85" t="n">
        <x:f>D316+'Resumen'!$B$5^3/3</x:f>
        <x:v>0.013125943376622484</x:v>
      </x:c>
    </x:row>
    <x:row r="317">
      <x:c r="A317" s="89" t="n">
        <x:v>315</x:v>
      </x:c>
      <x:c r="B317" s="80" t="n">
        <x:v>1.673069333364791</x:v>
      </x:c>
      <x:c r="C317" s="84" t="n">
        <x:f>SQRT('Resumen'!$B$5^3/3)*B317</x:f>
        <x:v>0.9659470299910697</x:v>
      </x:c>
      <x:c r="D317" s="84" t="n">
        <x:f>C317^2-'Resumen'!$B$5^3/3</x:f>
        <x:v>0.5997203314152353</x:v>
      </x:c>
      <x:c r="E317" s="85" t="n">
        <x:f>D317+'Resumen'!$B$5^3/3</x:f>
        <x:v>0.9330536647485685</x:v>
      </x:c>
    </x:row>
    <x:row r="318">
      <x:c r="A318" s="89" t="n">
        <x:v>316</x:v>
      </x:c>
      <x:c r="B318" s="80" t="n">
        <x:v>-0.6882513494270459</x:v>
      </x:c>
      <x:c r="C318" s="84" t="n">
        <x:f>SQRT('Resumen'!$B$5^3/3)*B318</x:f>
        <x:v>-0.39736210186182813</x:v>
      </x:c>
      <x:c r="D318" s="84" t="n">
        <x:f>C318^2-'Resumen'!$B$5^3/3</x:f>
        <x:v>-0.17543669333728343</x:v>
      </x:c>
      <x:c r="E318" s="85" t="n">
        <x:f>D318+'Resumen'!$B$5^3/3</x:f>
        <x:v>0.1578966399960499</x:v>
      </x:c>
    </x:row>
    <x:row r="319">
      <x:c r="A319" s="89" t="n">
        <x:v>317</x:v>
      </x:c>
      <x:c r="B319" s="80" t="n">
        <x:v>-0.17032367471708484</x:v>
      </x:c>
      <x:c r="C319" s="84" t="n">
        <x:f>SQRT('Resumen'!$B$5^3/3)*B319</x:f>
        <x:v>-0.09833641944727518</x:v>
      </x:c>
      <x:c r="D319" s="84" t="n">
        <x:f>C319^2-'Resumen'!$B$5^3/3</x:f>
        <x:v>-0.32366328194362287</x:v>
      </x:c>
      <x:c r="E319" s="85" t="n">
        <x:f>D319+'Resumen'!$B$5^3/3</x:f>
        <x:v>0.009670051389710443</x:v>
      </x:c>
    </x:row>
    <x:row r="320">
      <x:c r="A320" s="89" t="n">
        <x:v>318</x:v>
      </x:c>
      <x:c r="B320" s="80" t="n">
        <x:v>0.44191807445786085</x:v>
      </x:c>
      <x:c r="C320" s="84" t="n">
        <x:f>SQRT('Resumen'!$B$5^3/3)*B320</x:f>
        <x:v>0.25514151924800704</x:v>
      </x:c>
      <x:c r="D320" s="84" t="n">
        <x:f>C320^2-'Resumen'!$B$5^3/3</x:f>
        <x:v>-0.2682361384891522</x:v>
      </x:c>
      <x:c r="E320" s="85" t="n">
        <x:f>D320+'Resumen'!$B$5^3/3</x:f>
        <x:v>0.06509719484418114</x:v>
      </x:c>
    </x:row>
    <x:row r="321">
      <x:c r="A321" s="89" t="n">
        <x:v>319</x:v>
      </x:c>
      <x:c r="B321" s="80" t="n">
        <x:v>1.058972025133622</x:v>
      </x:c>
      <x:c r="C321" s="84" t="n">
        <x:f>SQRT('Resumen'!$B$5^3/3)*B321</x:f>
        <x:v>0.6113977837751798</x:v>
      </x:c>
      <x:c r="D321" s="84" t="n">
        <x:f>C321^2-'Resumen'!$B$5^3/3</x:f>
        <x:v>0.040473916671868226</x:v>
      </x:c>
      <x:c r="E321" s="85" t="n">
        <x:f>D321+'Resumen'!$B$5^3/3</x:f>
        <x:v>0.37380725000520154</x:v>
      </x:c>
    </x:row>
    <x:row r="322">
      <x:c r="A322" s="89" t="n">
        <x:v>320</x:v>
      </x:c>
      <x:c r="B322" s="80" t="n">
        <x:v>-0.07933163046647271</x:v>
      </x:c>
      <x:c r="C322" s="84" t="n">
        <x:f>SQRT('Resumen'!$B$5^3/3)*B322</x:f>
        <x:v>-0.04580213820506993</x:v>
      </x:c>
      <x:c r="D322" s="84" t="n">
        <x:f>C322^2-'Resumen'!$B$5^3/3</x:f>
        <x:v>-0.33123549746917696</x:v>
      </x:c>
      <x:c r="E322" s="85" t="n">
        <x:f>D322+'Resumen'!$B$5^3/3</x:f>
        <x:v>0.00209783586415635</x:v>
      </x:c>
    </x:row>
    <x:row r="323">
      <x:c r="A323" s="89" t="n">
        <x:v>321</x:v>
      </x:c>
      <x:c r="B323" s="80" t="n">
        <x:v>-1.6447901377371243</x:v>
      </x:c>
      <x:c r="C323" s="84" t="n">
        <x:f>SQRT('Resumen'!$B$5^3/3)*B323</x:f>
        <x:v>-0.9496200287829704</x:v>
      </x:c>
      <x:c r="D323" s="84" t="n">
        <x:f>C323^2-'Resumen'!$B$5^3/3</x:f>
        <x:v>0.5684448657324361</x:v>
      </x:c>
      <x:c r="E323" s="85" t="n">
        <x:f>D323+'Resumen'!$B$5^3/3</x:f>
        <x:v>0.9017781990657694</x:v>
      </x:c>
    </x:row>
    <x:row r="324">
      <x:c r="A324" s="89" t="n">
        <x:v>322</x:v>
      </x:c>
      <x:c r="B324" s="80" t="n">
        <x:v>0.5426982638201303</x:v>
      </x:c>
      <x:c r="C324" s="84" t="n">
        <x:f>SQRT('Resumen'!$B$5^3/3)*B324</x:f>
        <x:v>0.31332698870529474</x:v>
      </x:c>
      <x:c r="D324" s="84" t="n">
        <x:f>C324^2-'Resumen'!$B$5^3/3</x:f>
        <x:v>-0.23515953148220542</x:v>
      </x:c>
      <x:c r="E324" s="85" t="n">
        <x:f>D324+'Resumen'!$B$5^3/3</x:f>
        <x:v>0.0981738018511279</x:v>
      </x:c>
    </x:row>
    <x:row r="325">
      <x:c r="A325" s="89" t="n">
        <x:v>323</x:v>
      </x:c>
      <x:c r="B325" s="80" t="n">
        <x:v>0.6202748060446038</x:v>
      </x:c>
      <x:c r="C325" s="84" t="n">
        <x:f>SQRT('Resumen'!$B$5^3/3)*B325</x:f>
        <x:v>0.35811582624139493</x:v>
      </x:c>
      <x:c r="D325" s="84" t="n">
        <x:f>C325^2-'Resumen'!$B$5^3/3</x:f>
        <x:v>-0.20508638832877635</x:v>
      </x:c>
      <x:c r="E325" s="85" t="n">
        <x:f>D325+'Resumen'!$B$5^3/3</x:f>
        <x:v>0.12824694500455697</x:v>
      </x:c>
    </x:row>
    <x:row r="326">
      <x:c r="A326" s="89" t="n">
        <x:v>324</x:v>
      </x:c>
      <x:c r="B326" s="80" t="n">
        <x:v>-1.3942836061995847</x:v>
      </x:c>
      <x:c r="C326" s="84" t="n">
        <x:f>SQRT('Resumen'!$B$5^3/3)*B326</x:f>
        <x:v>-0.8049900153660123</x:v>
      </x:c>
      <x:c r="D326" s="84" t="n">
        <x:f>C326^2-'Resumen'!$B$5^3/3</x:f>
        <x:v>0.31467559150563945</x:v>
      </x:c>
      <x:c r="E326" s="85" t="n">
        <x:f>D326+'Resumen'!$B$5^3/3</x:f>
        <x:v>0.6480089248389728</x:v>
      </x:c>
    </x:row>
    <x:row r="327">
      <x:c r="A327" s="89" t="n">
        <x:v>325</x:v>
      </x:c>
      <x:c r="B327" s="80" t="n">
        <x:v>1.7541801220101174</x:v>
      </x:c>
      <x:c r="C327" s="84" t="n">
        <x:f>SQRT('Resumen'!$B$5^3/3)*B327</x:f>
        <x:v>1.0127763656496318</x:v>
      </x:c>
      <x:c r="D327" s="84" t="n">
        <x:f>C327^2-'Resumen'!$B$5^3/3</x:f>
        <x:v>0.6923826334851435</x:v>
      </x:c>
      <x:c r="E327" s="85" t="n">
        <x:f>D327+'Resumen'!$B$5^3/3</x:f>
        <x:v>1.0257159668184768</x:v>
      </x:c>
    </x:row>
    <x:row r="328">
      <x:c r="A328" s="89" t="n">
        <x:v>326</x:v>
      </x:c>
      <x:c r="B328" s="80" t="n">
        <x:v>0.8517043099316032</x:v>
      </x:c>
      <x:c r="C328" s="84" t="n">
        <x:f>SQRT('Resumen'!$B$5^3/3)*B328</x:f>
        <x:v>0.4917317126089755</x:v>
      </x:c>
      <x:c r="D328" s="84" t="n">
        <x:f>C328^2-'Resumen'!$B$5^3/3</x:f>
        <x:v>-0.09153325614797722</x:v>
      </x:c>
      <x:c r="E328" s="85" t="n">
        <x:f>D328+'Resumen'!$B$5^3/3</x:f>
        <x:v>0.2418000771853561</x:v>
      </x:c>
    </x:row>
    <x:row r="329">
      <x:c r="A329" s="89" t="n">
        <x:v>327</x:v>
      </x:c>
      <x:c r="B329" s="80" t="n">
        <x:v>0.6978740032194931</x:v>
      </x:c>
      <x:c r="C329" s="84" t="n">
        <x:f>SQRT('Resumen'!$B$5^3/3)*B329</x:f>
        <x:v>0.40291774361921606</x:v>
      </x:c>
      <x:c r="D329" s="84" t="n">
        <x:f>C329^2-'Resumen'!$B$5^3/3</x:f>
        <x:v>-0.170990625210133</x:v>
      </x:c>
      <x:c r="E329" s="85" t="n">
        <x:f>D329+'Resumen'!$B$5^3/3</x:f>
        <x:v>0.1623427081232003</x:v>
      </x:c>
    </x:row>
    <x:row r="330">
      <x:c r="A330" s="89" t="n">
        <x:v>328</x:v>
      </x:c>
      <x:c r="B330" s="80" t="n">
        <x:v>1.255380071351529</x:v>
      </x:c>
      <x:c r="C330" s="84" t="n">
        <x:f>SQRT('Resumen'!$B$5^3/3)*B330</x:f>
        <x:v>0.7247940221300969</x:v>
      </x:c>
      <x:c r="D330" s="84" t="n">
        <x:f>C330^2-'Resumen'!$B$5^3/3</x:f>
        <x:v>0.19199304118219013</x:v>
      </x:c>
      <x:c r="E330" s="85" t="n">
        <x:f>D330+'Resumen'!$B$5^3/3</x:f>
        <x:v>0.5253263745155234</x:v>
      </x:c>
    </x:row>
    <x:row r="331">
      <x:c r="A331" s="89" t="n">
        <x:v>329</x:v>
      </x:c>
      <x:c r="B331" s="80" t="n">
        <x:v>-0.8168820046085226</x:v>
      </x:c>
      <x:c r="C331" s="84" t="n">
        <x:f>SQRT('Resumen'!$B$5^3/3)*B331</x:f>
        <x:v>-0.4716270452568916</x:v>
      </x:c>
      <x:c r="D331" s="84" t="n">
        <x:f>C331^2-'Resumen'!$B$5^3/3</x:f>
        <x:v>-0.11090126351558724</x:v>
      </x:c>
      <x:c r="E331" s="85" t="n">
        <x:f>D331+'Resumen'!$B$5^3/3</x:f>
        <x:v>0.22243206981774608</x:v>
      </x:c>
    </x:row>
    <x:row r="332">
      <x:c r="A332" s="89" t="n">
        <x:v>330</x:v>
      </x:c>
      <x:c r="B332" s="80" t="n">
        <x:v>0.07410329181136001</x:v>
      </x:c>
      <x:c r="C332" s="84" t="n">
        <x:f>SQRT('Resumen'!$B$5^3/3)*B332</x:f>
        <x:v>0.04278355547512609</x:v>
      </x:c>
      <x:c r="D332" s="84" t="n">
        <x:f>C332^2-'Resumen'!$B$5^3/3</x:f>
        <x:v>-0.3315029007142401</x:v>
      </x:c>
      <x:c r="E332" s="85" t="n">
        <x:f>D332+'Resumen'!$B$5^3/3</x:f>
        <x:v>0.001830432619093214</x:v>
      </x:c>
    </x:row>
    <x:row r="333">
      <x:c r="A333" s="89" t="n">
        <x:v>331</x:v>
      </x:c>
      <x:c r="B333" s="80" t="n">
        <x:v>-0.9387678128519018</x:v>
      </x:c>
      <x:c r="C333" s="84" t="n">
        <x:f>SQRT('Resumen'!$B$5^3/3)*B333</x:f>
        <x:v>-0.5419978494566017</x:v>
      </x:c>
      <x:c r="D333" s="84" t="n">
        <x:f>C333^2-'Resumen'!$B$5^3/3</x:f>
        <x:v>-0.039571664517752236</x:v>
      </x:c>
      <x:c r="E333" s="85" t="n">
        <x:f>D333+'Resumen'!$B$5^3/3</x:f>
        <x:v>0.2937616688155811</x:v>
      </x:c>
    </x:row>
    <x:row r="334">
      <x:c r="A334" s="89" t="n">
        <x:v>332</x:v>
      </x:c>
      <x:c r="B334" s="80" t="n">
        <x:v>-0.7114555877413279</x:v>
      </x:c>
      <x:c r="C334" s="84" t="n">
        <x:f>SQRT('Resumen'!$B$5^3/3)*B334</x:f>
        <x:v>-0.41075907509891907</x:v>
      </x:c>
      <x:c r="D334" s="84" t="n">
        <x:f>C334^2-'Resumen'!$B$5^3/3</x:f>
        <x:v>-0.1646103155572139</x:v>
      </x:c>
      <x:c r="E334" s="85" t="n">
        <x:f>D334+'Resumen'!$B$5^3/3</x:f>
        <x:v>0.16872301777611942</x:v>
      </x:c>
    </x:row>
    <x:row r="335">
      <x:c r="A335" s="89" t="n">
        <x:v>333</x:v>
      </x:c>
      <x:c r="B335" s="80" t="n">
        <x:v>0.9380850689122006</x:v>
      </x:c>
      <x:c r="C335" s="84" t="n">
        <x:f>SQRT('Resumen'!$B$5^3/3)*B335</x:f>
        <x:v>0.5416036670592276</x:v>
      </x:c>
      <x:c r="D335" s="84" t="n">
        <x:f>C335^2-'Resumen'!$B$5^3/3</x:f>
        <x:v>-0.0399988011613307</x:v>
      </x:c>
      <x:c r="E335" s="85" t="n">
        <x:f>D335+'Resumen'!$B$5^3/3</x:f>
        <x:v>0.2933345321720026</x:v>
      </x:c>
    </x:row>
    <x:row r="336">
      <x:c r="A336" s="89" t="n">
        <x:v>334</x:v>
      </x:c>
      <x:c r="B336" s="80" t="n">
        <x:v>-0.9530890715297166</x:v>
      </x:c>
      <x:c r="C336" s="84" t="n">
        <x:f>SQRT('Resumen'!$B$5^3/3)*B336</x:f>
        <x:v>-0.5502662320093723</x:v>
      </x:c>
      <x:c r="D336" s="84" t="n">
        <x:f>C336^2-'Resumen'!$B$5^3/3</x:f>
        <x:v>-0.030540407243540957</x:v>
      </x:c>
      <x:c r="E336" s="85" t="n">
        <x:f>D336+'Resumen'!$B$5^3/3</x:f>
        <x:v>0.30279292608979236</x:v>
      </x:c>
    </x:row>
    <x:row r="337">
      <x:c r="A337" s="89" t="n">
        <x:v>335</x:v>
      </x:c>
      <x:c r="B337" s="80" t="n">
        <x:v>-0.43237676804926695</x:v>
      </x:c>
      <x:c r="C337" s="84" t="n">
        <x:f>SQRT('Resumen'!$B$5^3/3)*B337</x:f>
        <x:v>-0.24963284342458464</x:v>
      </x:c>
      <x:c r="D337" s="84" t="n">
        <x:f>C337^2-'Resumen'!$B$5^3/3</x:f>
        <x:v>-0.27101677681709013</x:v>
      </x:c>
      <x:c r="E337" s="85" t="n">
        <x:f>D337+'Resumen'!$B$5^3/3</x:f>
        <x:v>0.06231655651624318</x:v>
      </x:c>
    </x:row>
    <x:row r="338">
      <x:c r="A338" s="89" t="n">
        <x:v>336</x:v>
      </x:c>
      <x:c r="B338" s="80" t="n">
        <x:v>-2.68160329762232</x:v>
      </x:c>
      <x:c r="C338" s="84" t="n">
        <x:f>SQRT('Resumen'!$B$5^3/3)*B338</x:f>
        <x:v>-1.5482243857420346</x:v>
      </x:c>
      <x:c r="D338" s="84" t="n">
        <x:f>C338^2-'Resumen'!$B$5^3/3</x:f>
        <x:v>2.063665415272967</x:v>
      </x:c>
      <x:c r="E338" s="85" t="n">
        <x:f>D338+'Resumen'!$B$5^3/3</x:f>
        <x:v>2.3969987486063005</x:v>
      </x:c>
    </x:row>
    <x:row r="339">
      <x:c r="A339" s="89" t="n">
        <x:v>337</x:v>
      </x:c>
      <x:c r="B339" s="80" t="n">
        <x:v>-2.623327726075691</x:v>
      </x:c>
      <x:c r="C339" s="84" t="n">
        <x:f>SQRT('Resumen'!$B$5^3/3)*B339</x:f>
        <x:v>-1.514578968822409</x:v>
      </x:c>
      <x:c r="D339" s="84" t="n">
        <x:f>C339^2-'Resumen'!$B$5^3/3</x:f>
        <x:v>1.9606161194658183</x:v>
      </x:c>
      <x:c r="E339" s="85" t="n">
        <x:f>D339+'Resumen'!$B$5^3/3</x:f>
        <x:v>2.2939494527991515</x:v>
      </x:c>
    </x:row>
    <x:row r="340">
      <x:c r="A340" s="89" t="n">
        <x:v>338</x:v>
      </x:c>
      <x:c r="B340" s="80" t="n">
        <x:v>0.8206451060648089</x:v>
      </x:c>
      <x:c r="C340" s="84" t="n">
        <x:f>SQRT('Resumen'!$B$5^3/3)*B340</x:f>
        <x:v>0.4737996728956664</x:v>
      </x:c>
      <x:c r="D340" s="84" t="n">
        <x:f>C340^2-'Resumen'!$B$5^3/3</x:f>
        <x:v>-0.10884720329729286</x:v>
      </x:c>
      <x:c r="E340" s="85" t="n">
        <x:f>D340+'Resumen'!$B$5^3/3</x:f>
        <x:v>0.22448613003604045</x:v>
      </x:c>
    </x:row>
    <x:row r="341">
      <x:c r="A341" s="89" t="n">
        <x:v>339</x:v>
      </x:c>
      <x:c r="B341" s="80" t="n">
        <x:v>1.7358283877845415</x:v>
      </x:c>
      <x:c r="C341" s="84" t="n">
        <x:f>SQRT('Resumen'!$B$5^3/3)*B341</x:f>
        <x:v>1.0021809869543992</x:v>
      </x:c>
      <x:c r="D341" s="84" t="n">
        <x:f>C341^2-'Resumen'!$B$5^3/3</x:f>
        <x:v>0.6710333972795604</x:v>
      </x:c>
      <x:c r="E341" s="85" t="n">
        <x:f>D341+'Resumen'!$B$5^3/3</x:f>
        <x:v>1.0043667306128936</x:v>
      </x:c>
    </x:row>
    <x:row r="342">
      <x:c r="A342" s="89" t="n">
        <x:v>340</x:v>
      </x:c>
      <x:c r="B342" s="80" t="n">
        <x:v>1.8686053536647609</x:v>
      </x:c>
      <x:c r="C342" s="84" t="n">
        <x:f>SQRT('Resumen'!$B$5^3/3)*B342</x:f>
        <x:v>1.0788398039475255</x:v>
      </x:c>
      <x:c r="D342" s="84" t="n">
        <x:f>C342^2-'Resumen'!$B$5^3/3</x:f>
        <x:v>0.8305619892482021</x:v>
      </x:c>
      <x:c r="E342" s="85" t="n">
        <x:f>D342+'Resumen'!$B$5^3/3</x:f>
        <x:v>1.1638953225815354</x:v>
      </x:c>
    </x:row>
    <x:row r="343">
      <x:c r="A343" s="89" t="n">
        <x:v>341</x:v>
      </x:c>
      <x:c r="B343" s="80" t="n">
        <x:v>1.3845623816890285</x:v>
      </x:c>
      <x:c r="C343" s="84" t="n">
        <x:f>SQRT('Resumen'!$B$5^3/3)*B343</x:f>
        <x:v>0.7993774637779899</x:v>
      </x:c>
      <x:c r="D343" s="84" t="n">
        <x:f>C343^2-'Resumen'!$B$5^3/3</x:f>
        <x:v>0.3056709962627982</x:v>
      </x:c>
      <x:c r="E343" s="85" t="n">
        <x:f>D343+'Resumen'!$B$5^3/3</x:f>
        <x:v>0.6390043295961315</x:v>
      </x:c>
    </x:row>
    <x:row r="344">
      <x:c r="A344" s="89" t="n">
        <x:v>342</x:v>
      </x:c>
      <x:c r="B344" s="80" t="n">
        <x:v>-1.6701083572708912</x:v>
      </x:c>
      <x:c r="C344" s="84" t="n">
        <x:f>SQRT('Resumen'!$B$5^3/3)*B344</x:f>
        <x:v>-0.9642375096461927</x:v>
      </x:c>
      <x:c r="D344" s="84" t="n">
        <x:f>C344^2-'Resumen'!$B$5^3/3</x:f>
        <x:v>0.5964206416753584</x:v>
      </x:c>
      <x:c r="E344" s="85" t="n">
        <x:f>D344+'Resumen'!$B$5^3/3</x:f>
        <x:v>0.9297539750086916</x:v>
      </x:c>
    </x:row>
    <x:row r="345">
      <x:c r="A345" s="89" t="n">
        <x:v>343</x:v>
      </x:c>
      <x:c r="B345" s="80" t="n">
        <x:v>0.05789488516179121</x:v>
      </x:c>
      <x:c r="C345" s="84" t="n">
        <x:f>SQRT('Resumen'!$B$5^3/3)*B345</x:f>
        <x:v>0.03342562753286262</x:v>
      </x:c>
      <x:c r="D345" s="84" t="n">
        <x:f>C345^2-'Resumen'!$B$5^3/3</x:f>
        <x:v>-0.33221606075736765</x:v>
      </x:c>
      <x:c r="E345" s="85" t="n">
        <x:f>D345+'Resumen'!$B$5^3/3</x:f>
        <x:v>0.0011172725759656665</x:v>
      </x:c>
    </x:row>
    <x:row r="346">
      <x:c r="A346" s="89" t="n">
        <x:v>344</x:v>
      </x:c>
      <x:c r="B346" s="80" t="n">
        <x:v>-0.5887213628828183</x:v>
      </x:c>
      <x:c r="C346" s="84" t="n">
        <x:f>SQRT('Resumen'!$B$5^3/3)*B346</x:f>
        <x:v>-0.33989843733807845</x:v>
      </x:c>
      <x:c r="D346" s="84" t="n">
        <x:f>C346^2-'Resumen'!$B$5^3/3</x:f>
        <x:v>-0.21780238562846566</x:v>
      </x:c>
      <x:c r="E346" s="85" t="n">
        <x:f>D346+'Resumen'!$B$5^3/3</x:f>
        <x:v>0.11553094770486766</x:v>
      </x:c>
    </x:row>
    <x:row r="347">
      <x:c r="A347" s="89" t="n">
        <x:v>345</x:v>
      </x:c>
      <x:c r="B347" s="80" t="n">
        <x:v>2.8847384560400666</x:v>
      </x:c>
      <x:c r="C347" s="84" t="n">
        <x:f>SQRT('Resumen'!$B$5^3/3)*B347</x:f>
        <x:v>1.6655045241363977</x:v>
      </x:c>
      <x:c r="D347" s="84" t="n">
        <x:f>C347^2-'Resumen'!$B$5^3/3</x:f>
        <x:v>2.440571986585475</x:v>
      </x:c>
      <x:c r="E347" s="85" t="n">
        <x:f>D347+'Resumen'!$B$5^3/3</x:f>
        <x:v>2.7739053199188084</x:v>
      </x:c>
    </x:row>
    <x:row r="348">
      <x:c r="A348" s="89" t="n">
        <x:v>346</x:v>
      </x:c>
      <x:c r="B348" s="80" t="n">
        <x:v>0.5173126811940061</x:v>
      </x:c>
      <x:c r="C348" s="84" t="n">
        <x:f>SQRT('Resumen'!$B$5^3/3)*B348</x:f>
        <x:v>0.2986706157425664</x:v>
      </x:c>
      <x:c r="D348" s="84" t="n">
        <x:f>C348^2-'Resumen'!$B$5^3/3</x:f>
        <x:v>-0.24412919662528954</x:v>
      </x:c>
      <x:c r="E348" s="85" t="n">
        <x:f>D348+'Resumen'!$B$5^3/3</x:f>
        <x:v>0.08920413670804378</x:v>
      </x:c>
    </x:row>
    <x:row r="349">
      <x:c r="A349" s="89" t="n">
        <x:v>347</x:v>
      </x:c>
      <x:c r="B349" s="80" t="n">
        <x:v>-0.12796333001260923</x:v>
      </x:c>
      <x:c r="C349" s="84" t="n">
        <x:f>SQRT('Resumen'!$B$5^3/3)*B349</x:f>
        <x:v>-0.07387966302918085</x:v>
      </x:c>
      <x:c r="D349" s="84" t="n">
        <x:f>C349^2-'Resumen'!$B$5^3/3</x:f>
        <x:v>-0.327875128724028</x:v>
      </x:c>
      <x:c r="E349" s="85" t="n">
        <x:f>D349+'Resumen'!$B$5^3/3</x:f>
        <x:v>0.005458204609305295</x:v>
      </x:c>
    </x:row>
    <x:row r="350">
      <x:c r="A350" s="89" t="n">
        <x:v>348</x:v>
      </x:c>
      <x:c r="B350" s="80" t="n">
        <x:v>0.3154434319317504</x:v>
      </x:c>
      <x:c r="C350" s="84" t="n">
        <x:f>SQRT('Resumen'!$B$5^3/3)*B350</x:f>
        <x:v>0.18212135033989546</x:v>
      </x:c>
      <x:c r="D350" s="84" t="n">
        <x:f>C350^2-'Resumen'!$B$5^3/3</x:f>
        <x:v>-0.3001651470837064</x:v>
      </x:c>
      <x:c r="E350" s="85" t="n">
        <x:f>D350+'Resumen'!$B$5^3/3</x:f>
        <x:v>0.03316818624962692</x:v>
      </x:c>
    </x:row>
    <x:row r="351">
      <x:c r="A351" s="89" t="n">
        <x:v>349</x:v>
      </x:c>
      <x:c r="B351" s="80" t="n">
        <x:v>-0.8042164051244423</x:v>
      </x:c>
      <x:c r="C351" s="84" t="n">
        <x:f>SQRT('Resumen'!$B$5^3/3)*B351</x:f>
        <x:v>-0.46431455798530985</x:v>
      </x:c>
      <x:c r="D351" s="84" t="n">
        <x:f>C351^2-'Resumen'!$B$5^3/3</x:f>
        <x:v>-0.11774532457623965</x:v>
      </x:c>
      <x:c r="E351" s="85" t="n">
        <x:f>D351+'Resumen'!$B$5^3/3</x:f>
        <x:v>0.21558800875709366</x:v>
      </x:c>
    </x:row>
    <x:row r="352">
      <x:c r="A352" s="89" t="n">
        <x:v>350</x:v>
      </x:c>
      <x:c r="B352" s="80" t="n">
        <x:v>-0.14187426016743718</x:v>
      </x:c>
      <x:c r="C352" s="84" t="n">
        <x:f>SQRT('Resumen'!$B$5^3/3)*B352</x:f>
        <x:v>-0.08191114229874885</x:v>
      </x:c>
      <x:c r="D352" s="84" t="n">
        <x:f>C352^2-'Resumen'!$B$5^3/3</x:f>
        <x:v>-0.32662389810064746</x:v>
      </x:c>
      <x:c r="E352" s="85" t="n">
        <x:f>D352+'Resumen'!$B$5^3/3</x:f>
        <x:v>0.006709435232685856</x:v>
      </x:c>
    </x:row>
    <x:row r="353">
      <x:c r="A353" s="89" t="n">
        <x:v>351</x:v>
      </x:c>
      <x:c r="B353" s="80" t="n">
        <x:v>0.9206621568275266</x:v>
      </x:c>
      <x:c r="C353" s="84" t="n">
        <x:f>SQRT('Resumen'!$B$5^3/3)*B353</x:f>
        <x:v>0.531544544077074</x:v>
      </x:c>
      <x:c r="D353" s="84" t="n">
        <x:f>C353^2-'Resumen'!$B$5^3/3</x:f>
        <x:v>-0.05079373099522888</x:v>
      </x:c>
      <x:c r="E353" s="85" t="n">
        <x:f>D353+'Resumen'!$B$5^3/3</x:f>
        <x:v>0.28253960233810443</x:v>
      </x:c>
    </x:row>
    <x:row r="354">
      <x:c r="A354" s="89" t="n">
        <x:v>352</x:v>
      </x:c>
      <x:c r="B354" s="80" t="n">
        <x:v>-0.8926978587561522</x:v>
      </x:c>
      <x:c r="C354" s="84" t="n">
        <x:f>SQRT('Resumen'!$B$5^3/3)*B354</x:f>
        <x:v>-0.5153993490578669</x:v>
      </x:c>
      <x:c r="D354" s="84" t="n">
        <x:f>C354^2-'Resumen'!$B$5^3/3</x:f>
        <x:v>-0.06769684432406042</x:v>
      </x:c>
      <x:c r="E354" s="85" t="n">
        <x:f>D354+'Resumen'!$B$5^3/3</x:f>
        <x:v>0.2656364890092729</x:v>
      </x:c>
    </x:row>
    <x:row r="355">
      <x:c r="A355" s="89" t="n">
        <x:v>353</x:v>
      </x:c>
      <x:c r="B355" s="80" t="n">
        <x:v>-0.7710731095840758</x:v>
      </x:c>
      <x:c r="C355" s="84" t="n">
        <x:f>SQRT('Resumen'!$B$5^3/3)*B355</x:f>
        <x:v>-0.445179267383248</x:v>
      </x:c>
      <x:c r="D355" s="84" t="n">
        <x:f>C355^2-'Resumen'!$B$5^3/3</x:f>
        <x:v>-0.13514875322544792</x:v>
      </x:c>
      <x:c r="E355" s="85" t="n">
        <x:f>D355+'Resumen'!$B$5^3/3</x:f>
        <x:v>0.1981845801078854</x:v>
      </x:c>
    </x:row>
    <x:row r="356">
      <x:c r="A356" s="89" t="n">
        <x:v>354</x:v>
      </x:c>
      <x:c r="B356" s="80" t="n">
        <x:v>-1.0406909761383802</x:v>
      </x:c>
      <x:c r="C356" s="84" t="n">
        <x:f>SQRT('Resumen'!$B$5^3/3)*B356</x:f>
        <x:v>-0.6008432152167082</x:v>
      </x:c>
      <x:c r="D356" s="84" t="n">
        <x:f>C356^2-'Resumen'!$B$5^3/3</x:f>
        <x:v>0.027679235938618263</x:v>
      </x:c>
      <x:c r="E356" s="85" t="n">
        <x:f>D356+'Resumen'!$B$5^3/3</x:f>
        <x:v>0.3610125692719516</x:v>
      </x:c>
    </x:row>
    <x:row r="357">
      <x:c r="A357" s="89" t="n">
        <x:v>355</x:v>
      </x:c>
      <x:c r="B357" s="80" t="n">
        <x:v>0.3398923758604688</x:v>
      </x:c>
      <x:c r="C357" s="84" t="n">
        <x:f>SQRT('Resumen'!$B$5^3/3)*B357</x:f>
        <x:v>0.1962369546985431</x:v>
      </x:c>
      <x:c r="D357" s="84" t="n">
        <x:f>C357^2-'Resumen'!$B$5^3/3</x:f>
        <x:v>-0.2948243909439753</x:v>
      </x:c>
      <x:c r="E357" s="85" t="n">
        <x:f>D357+'Resumen'!$B$5^3/3</x:f>
        <x:v>0.038508942389358036</x:v>
      </x:c>
    </x:row>
    <x:row r="358">
      <x:c r="A358" s="89" t="n">
        <x:v>356</x:v>
      </x:c>
      <x:c r="B358" s="80" t="n">
        <x:v>0.3956470110916431</x:v>
      </x:c>
      <x:c r="C358" s="84" t="n">
        <x:f>SQRT('Resumen'!$B$5^3/3)*B358</x:f>
        <x:v>0.22842690835783097</x:v>
      </x:c>
      <x:c r="D358" s="84" t="n">
        <x:f>C358^2-'Resumen'!$B$5^3/3</x:f>
        <x:v>-0.2811544808714164</x:v>
      </x:c>
      <x:c r="E358" s="85" t="n">
        <x:f>D358+'Resumen'!$B$5^3/3</x:f>
        <x:v>0.05217885246191689</x:v>
      </x:c>
    </x:row>
    <x:row r="359">
      <x:c r="A359" s="89" t="n">
        <x:v>357</x:v>
      </x:c>
      <x:c r="B359" s="80" t="n">
        <x:v>-0.1186245933567693</x:v>
      </x:c>
      <x:c r="C359" s="84" t="n">
        <x:f>SQRT('Resumen'!$B$5^3/3)*B359</x:f>
        <x:v>-0.06848794090704063</x:v>
      </x:c>
      <x:c r="D359" s="84" t="n">
        <x:f>C359^2-'Resumen'!$B$5^3/3</x:f>
        <x:v>-0.328642735283647</x:v>
      </x:c>
      <x:c r="E359" s="85" t="n">
        <x:f>D359+'Resumen'!$B$5^3/3</x:f>
        <x:v>0.004690598049686301</x:v>
      </x:c>
    </x:row>
    <x:row r="360">
      <x:c r="A360" s="89" t="n">
        <x:v>358</x:v>
      </x:c>
      <x:c r="B360" s="80" t="n">
        <x:v>1.8723351609210834</x:v>
      </x:c>
      <x:c r="C360" s="84" t="n">
        <x:f>SQRT('Resumen'!$B$5^3/3)*B360</x:f>
        <x:v>1.0809932091709886</x:v>
      </x:c>
      <x:c r="D360" s="84" t="n">
        <x:f>C360^2-'Resumen'!$B$5^3/3</x:f>
        <x:v>0.8352129849404595</x:v>
      </x:c>
      <x:c r="E360" s="85" t="n">
        <x:f>D360+'Resumen'!$B$5^3/3</x:f>
        <x:v>1.1685463182737927</x:v>
      </x:c>
    </x:row>
    <x:row r="361">
      <x:c r="A361" s="89" t="n">
        <x:v>359</x:v>
      </x:c>
      <x:c r="B361" s="80" t="n">
        <x:v>0.4728142752091653</x:v>
      </x:c>
      <x:c r="C361" s="84" t="n">
        <x:f>SQRT('Resumen'!$B$5^3/3)*B361</x:f>
        <x:v>0.27297944906870936</x:v>
      </x:c>
      <x:c r="D361" s="84" t="n">
        <x:f>C361^2-'Resumen'!$B$5^3/3</x:f>
        <x:v>-0.25881555371947723</x:v>
      </x:c>
      <x:c r="E361" s="85" t="n">
        <x:f>D361+'Resumen'!$B$5^3/3</x:f>
        <x:v>0.07451777961385608</x:v>
      </x:c>
    </x:row>
    <x:row r="362">
      <x:c r="A362" s="89" t="n">
        <x:v>360</x:v>
      </x:c>
      <x:c r="B362" s="80" t="n">
        <x:v>-0.7878769553894924</x:v>
      </x:c>
      <x:c r="C362" s="84" t="n">
        <x:f>SQRT('Resumen'!$B$5^3/3)*B362</x:f>
        <x:v>-0.4548809722824262</x:v>
      </x:c>
      <x:c r="D362" s="84" t="n">
        <x:f>C362^2-'Resumen'!$B$5^3/3</x:f>
        <x:v>-0.12641663438872794</x:v>
      </x:c>
      <x:c r="E362" s="85" t="n">
        <x:f>D362+'Resumen'!$B$5^3/3</x:f>
        <x:v>0.20691669894460538</x:v>
      </x:c>
    </x:row>
    <x:row r="363">
      <x:c r="A363" s="89" t="n">
        <x:v>361</x:v>
      </x:c>
      <x:c r="B363" s="80" t="n">
        <x:v>-1.3457912998733048</x:v>
      </x:c>
      <x:c r="C363" s="84" t="n">
        <x:f>SQRT('Resumen'!$B$5^3/3)*B363</x:f>
        <x:v>-0.7769929692549089</x:v>
      </x:c>
      <x:c r="D363" s="84" t="n">
        <x:f>C363^2-'Resumen'!$B$5^3/3</x:f>
        <x:v>0.27038474093822645</x:v>
      </x:c>
      <x:c r="E363" s="85" t="n">
        <x:f>D363+'Resumen'!$B$5^3/3</x:f>
        <x:v>0.6037180742715598</x:v>
      </x:c>
    </x:row>
    <x:row r="364">
      <x:c r="A364" s="89" t="n">
        <x:v>362</x:v>
      </x:c>
      <x:c r="B364" s="80" t="n">
        <x:v>0.547271070117539</x:v>
      </x:c>
      <x:c r="C364" s="84" t="n">
        <x:f>SQRT('Resumen'!$B$5^3/3)*B364</x:f>
        <x:v>0.31596709965205566</x:v>
      </x:c>
      <x:c r="D364" s="84" t="n">
        <x:f>C364^2-'Resumen'!$B$5^3/3</x:f>
        <x:v>-0.23349812527080124</x:v>
      </x:c>
      <x:c r="E364" s="85" t="n">
        <x:f>D364+'Resumen'!$B$5^3/3</x:f>
        <x:v>0.09983520806253207</x:v>
      </x:c>
    </x:row>
    <x:row r="365">
      <x:c r="A365" s="89" t="n">
        <x:v>363</x:v>
      </x:c>
      <x:c r="B365" s="80" t="n">
        <x:v>0.14431969462672473</x:v>
      </x:c>
      <x:c r="C365" s="84" t="n">
        <x:f>SQRT('Resumen'!$B$5^3/3)*B365</x:f>
        <x:v>0.0833230145421041</x:v>
      </x:c>
      <x:c r="D365" s="84" t="n">
        <x:f>C365^2-'Resumen'!$B$5^3/3</x:f>
        <x:v>-0.32639060858094965</x:v>
      </x:c>
      <x:c r="E365" s="85" t="n">
        <x:f>D365+'Resumen'!$B$5^3/3</x:f>
        <x:v>0.006942724752383667</x:v>
      </x:c>
    </x:row>
    <x:row r="366">
      <x:c r="A366" s="89" t="n">
        <x:v>364</x:v>
      </x:c>
      <x:c r="B366" s="80" t="n">
        <x:v>2.4537199851969915</x:v>
      </x:c>
      <x:c r="C366" s="84" t="n">
        <x:f>SQRT('Resumen'!$B$5^3/3)*B366</x:f>
        <x:v>1.4166558939694476</x:v>
      </x:c>
      <x:c r="D366" s="84" t="n">
        <x:f>C366^2-'Resumen'!$B$5^3/3</x:f>
        <x:v>1.6735805885850412</x:v>
      </x:c>
      <x:c r="E366" s="85" t="n">
        <x:f>D366+'Resumen'!$B$5^3/3</x:f>
        <x:v>2.0069139219183745</x:v>
      </x:c>
    </x:row>
    <x:row r="367">
      <x:c r="A367" s="89" t="n">
        <x:v>365</x:v>
      </x:c>
      <x:c r="B367" s="80" t="n">
        <x:v>0.5213092080836489</x:v>
      </x:c>
      <x:c r="C367" s="84" t="n">
        <x:f>SQRT('Resumen'!$B$5^3/3)*B367</x:f>
        <x:v>0.3009780116181253</x:v>
      </x:c>
      <x:c r="D367" s="84" t="n">
        <x:f>C367^2-'Resumen'!$B$5^3/3</x:f>
        <x:v>-0.24274556985573292</x:v>
      </x:c>
      <x:c r="E367" s="85" t="n">
        <x:f>D367+'Resumen'!$B$5^3/3</x:f>
        <x:v>0.09058776347760039</x:v>
      </x:c>
    </x:row>
    <x:row r="368">
      <x:c r="A368" s="89" t="n">
        <x:v>366</x:v>
      </x:c>
      <x:c r="B368" s="80" t="n">
        <x:v>-2.0141104562501737</x:v>
      </x:c>
      <x:c r="C368" s="84" t="n">
        <x:f>SQRT('Resumen'!$B$5^3/3)*B368</x:f>
        <x:v>-1.1628472140936776</x:v>
      </x:c>
      <x:c r="D368" s="84" t="n">
        <x:f>C368^2-'Resumen'!$B$5^3/3</x:f>
        <x:v>1.018880309992094</x:v>
      </x:c>
      <x:c r="E368" s="85" t="n">
        <x:f>D368+'Resumen'!$B$5^3/3</x:f>
        <x:v>1.3522136433254273</x:v>
      </x:c>
    </x:row>
    <x:row r="369">
      <x:c r="A369" s="89" t="n">
        <x:v>367</x:v>
      </x:c>
      <x:c r="B369" s="80" t="n">
        <x:v>0.6267233188454863</x:v>
      </x:c>
      <x:c r="C369" s="84" t="n">
        <x:f>SQRT('Resumen'!$B$5^3/3)*B369</x:f>
        <x:v>0.36183887684285715</x:v>
      </x:c>
      <x:c r="D369" s="84" t="n">
        <x:f>C369^2-'Resumen'!$B$5^3/3</x:f>
        <x:v>-0.20240596053843296</x:v>
      </x:c>
      <x:c r="E369" s="85" t="n">
        <x:f>D369+'Resumen'!$B$5^3/3</x:f>
        <x:v>0.13092737279490035</x:v>
      </x:c>
    </x:row>
    <x:row r="370">
      <x:c r="A370" s="89" t="n">
        <x:v>368</x:v>
      </x:c>
      <x:c r="B370" s="80" t="n">
        <x:v>-0.2165639860098609</x:v>
      </x:c>
      <x:c r="C370" s="84" t="n">
        <x:f>SQRT('Resumen'!$B$5^3/3)*B370</x:f>
        <x:v>-0.12503327561957153</x:v>
      </x:c>
      <x:c r="D370" s="84" t="n">
        <x:f>C370^2-'Resumen'!$B$5^3/3</x:f>
        <x:v>-0.3177000133211736</x:v>
      </x:c>
      <x:c r="E370" s="85" t="n">
        <x:f>D370+'Resumen'!$B$5^3/3</x:f>
        <x:v>0.015633320012159724</x:v>
      </x:c>
    </x:row>
    <x:row r="371">
      <x:c r="A371" s="89" t="n">
        <x:v>369</x:v>
      </x:c>
      <x:c r="B371" s="80" t="n">
        <x:v>0.3013803910998692</x:v>
      </x:c>
      <x:c r="C371" s="84" t="n">
        <x:f>SQRT('Resumen'!$B$5^3/3)*B371</x:f>
        <x:v>0.17400204992998416</x:v>
      </x:c>
      <x:c r="D371" s="84" t="n">
        <x:f>C371^2-'Resumen'!$B$5^3/3</x:f>
        <x:v>-0.3030566199534966</x:v>
      </x:c>
      <x:c r="E371" s="85" t="n">
        <x:f>D371+'Resumen'!$B$5^3/3</x:f>
        <x:v>0.03027671337983673</x:v>
      </x:c>
    </x:row>
    <x:row r="372">
      <x:c r="A372" s="89" t="n">
        <x:v>370</x:v>
      </x:c>
      <x:c r="B372" s="80" t="n">
        <x:v>0.14500851850144392</x:v>
      </x:c>
      <x:c r="C372" s="84" t="n">
        <x:f>SQRT('Resumen'!$B$5^3/3)*B372</x:f>
        <x:v>0.08372070719159747</x:v>
      </x:c>
      <x:c r="D372" s="84" t="n">
        <x:f>C372^2-'Resumen'!$B$5^3/3</x:f>
        <x:v>-0.32632417652067214</x:v>
      </x:c>
      <x:c r="E372" s="85" t="n">
        <x:f>D372+'Resumen'!$B$5^3/3</x:f>
        <x:v>0.007009156812661177</x:v>
      </x:c>
    </x:row>
    <x:row r="373">
      <x:c r="A373" s="89" t="n">
        <x:v>371</x:v>
      </x:c>
      <x:c r="B373" s="80" t="n">
        <x:v>-0.42376614436665333</x:v>
      </x:c>
      <x:c r="C373" s="84" t="n">
        <x:f>SQRT('Resumen'!$B$5^3/3)*B373</x:f>
        <x:v>-0.2446614975235371</x:v>
      </x:c>
      <x:c r="D373" s="84" t="n">
        <x:f>C373^2-'Resumen'!$B$5^3/3</x:f>
        <x:v>-0.27347408496287356</x:v>
      </x:c>
      <x:c r="E373" s="85" t="n">
        <x:f>D373+'Resumen'!$B$5^3/3</x:f>
        <x:v>0.05985924837045975</x:v>
      </x:c>
    </x:row>
    <x:row r="374">
      <x:c r="A374" s="89" t="n">
        <x:v>372</x:v>
      </x:c>
      <x:c r="B374" s="80" t="n">
        <x:v>0.22415098453992624</x:v>
      </x:c>
      <x:c r="C374" s="84" t="n">
        <x:f>SQRT('Resumen'!$B$5^3/3)*B374</x:f>
        <x:v>0.12941363126324604</x:v>
      </x:c>
      <x:c r="D374" s="84" t="n">
        <x:f>C374^2-'Resumen'!$B$5^3/3</x:f>
        <x:v>-0.3165854453765939</x:v>
      </x:c>
      <x:c r="E374" s="85" t="n">
        <x:f>D374+'Resumen'!$B$5^3/3</x:f>
        <x:v>0.016747887956739427</x:v>
      </x:c>
    </x:row>
    <x:row r="375">
      <x:c r="A375" s="89" t="n">
        <x:v>373</x:v>
      </x:c>
      <x:c r="B375" s="80" t="n">
        <x:v>0.3842233447584341</x:v>
      </x:c>
      <x:c r="C375" s="84" t="n">
        <x:f>SQRT('Resumen'!$B$5^3/3)*B375</x:f>
        <x:v>0.2218314515252203</x:v>
      </x:c>
      <x:c r="D375" s="84" t="n">
        <x:f>C375^2-'Resumen'!$B$5^3/3</x:f>
        <x:v>-0.28412414044754714</x:v>
      </x:c>
      <x:c r="E375" s="85" t="n">
        <x:f>D375+'Resumen'!$B$5^3/3</x:f>
        <x:v>0.04920919288578618</x:v>
      </x:c>
    </x:row>
    <x:row r="376">
      <x:c r="A376" s="89" t="n">
        <x:v>374</x:v>
      </x:c>
      <x:c r="B376" s="80" t="n">
        <x:v>1.7575134209040173</x:v>
      </x:c>
      <x:c r="C376" s="84" t="n">
        <x:f>SQRT('Resumen'!$B$5^3/3)*B376</x:f>
        <x:v>1.0147008466633143</x:v>
      </x:c>
      <x:c r="D376" s="84" t="n">
        <x:f>C376^2-'Resumen'!$B$5^3/3</x:f>
        <x:v>0.6962844748859136</x:v>
      </x:c>
      <x:c r="E376" s="85" t="n">
        <x:f>D376+'Resumen'!$B$5^3/3</x:f>
        <x:v>1.0296178082192469</x:v>
      </x:c>
    </x:row>
    <x:row r="377">
      <x:c r="A377" s="89" t="n">
        <x:v>375</x:v>
      </x:c>
      <x:c r="B377" s="80" t="n">
        <x:v>1.3697026441607978</x:v>
      </x:c>
      <x:c r="C377" s="84" t="n">
        <x:f>SQRT('Resumen'!$B$5^3/3)*B377</x:f>
        <x:v>0.7907981903159788</x:v>
      </x:c>
      <x:c r="D377" s="84" t="n">
        <x:f>C377^2-'Resumen'!$B$5^3/3</x:f>
        <x:v>0.29202844447369364</x:v>
      </x:c>
      <x:c r="E377" s="85" t="n">
        <x:f>D377+'Resumen'!$B$5^3/3</x:f>
        <x:v>0.625361777807027</x:v>
      </x:c>
    </x:row>
    <x:row r="378">
      <x:c r="A378" s="89" t="n">
        <x:v>376</x:v>
      </x:c>
      <x:c r="B378" s="80" t="n">
        <x:v>-0.5458007812056394</x:v>
      </x:c>
      <x:c r="C378" s="84" t="n">
        <x:f>SQRT('Resumen'!$B$5^3/3)*B378</x:f>
        <x:v>-0.3151182279529839</x:v>
      </x:c>
      <x:c r="D378" s="84" t="n">
        <x:f>C378^2-'Resumen'!$B$5^3/3</x:f>
        <x:v>-0.2340338357451046</x:v>
      </x:c>
      <x:c r="E378" s="85" t="n">
        <x:f>D378+'Resumen'!$B$5^3/3</x:f>
        <x:v>0.0992994975882287</x:v>
      </x:c>
    </x:row>
    <x:row r="379">
      <x:c r="A379" s="89" t="n">
        <x:v>377</x:v>
      </x:c>
      <x:c r="B379" s="80" t="n">
        <x:v>0.9552576732338411</x:v>
      </x:c>
      <x:c r="C379" s="84" t="n">
        <x:f>SQRT('Resumen'!$B$5^3/3)*B379</x:f>
        <x:v>0.5515182747870138</x:v>
      </x:c>
      <x:c r="D379" s="84" t="n">
        <x:f>C379^2-'Resumen'!$B$5^3/3</x:f>
        <x:v>-0.029160925909289315</x:v>
      </x:c>
      <x:c r="E379" s="85" t="n">
        <x:f>D379+'Resumen'!$B$5^3/3</x:f>
        <x:v>0.304172407424044</x:v>
      </x:c>
    </x:row>
    <x:row r="380">
      <x:c r="A380" s="89" t="n">
        <x:v>378</x:v>
      </x:c>
      <x:c r="B380" s="80" t="n">
        <x:v>1.686951121880107</x:v>
      </x:c>
      <x:c r="C380" s="84" t="n">
        <x:f>SQRT('Resumen'!$B$5^3/3)*B380</x:f>
        <x:v>0.9739616843272209</x:v>
      </x:c>
      <x:c r="D380" s="84" t="n">
        <x:f>C380^2-'Resumen'!$B$5^3/3</x:f>
        <x:v>0.6152680292041837</x:v>
      </x:c>
      <x:c r="E380" s="85" t="n">
        <x:f>D380+'Resumen'!$B$5^3/3</x:f>
        <x:v>0.9486013625375169</x:v>
      </x:c>
    </x:row>
    <x:row r="381">
      <x:c r="A381" s="89" t="n">
        <x:v>379</x:v>
      </x:c>
      <x:c r="B381" s="80" t="n">
        <x:v>0.7188963865182253</x:v>
      </x:c>
      <x:c r="C381" s="84" t="n">
        <x:f>SQRT('Resumen'!$B$5^3/3)*B381</x:f>
        <x:v>0.4150550222757466</x:v>
      </x:c>
      <x:c r="D381" s="84" t="n">
        <x:f>C381^2-'Resumen'!$B$5^3/3</x:f>
        <x:v>-0.16106266181701281</x:v>
      </x:c>
      <x:c r="E381" s="85" t="n">
        <x:f>D381+'Resumen'!$B$5^3/3</x:f>
        <x:v>0.1722706715163205</x:v>
      </x:c>
    </x:row>
    <x:row r="382">
      <x:c r="A382" s="89" t="n">
        <x:v>380</x:v>
      </x:c>
      <x:c r="B382" s="80" t="n">
        <x:v>-1.0256851729449143</x:v>
      </x:c>
      <x:c r="C382" s="84" t="n">
        <x:f>SQRT('Resumen'!$B$5^3/3)*B382</x:f>
        <x:v>-0.5921796107035541</x:v>
      </x:c>
      <x:c r="D382" s="84" t="n">
        <x:f>C382^2-'Resumen'!$B$5^3/3</x:f>
        <x:v>0.01734335799967951</x:v>
      </x:c>
      <x:c r="E382" s="85" t="n">
        <x:f>D382+'Resumen'!$B$5^3/3</x:f>
        <x:v>0.3506766913330128</x:v>
      </x:c>
    </x:row>
    <x:row r="383">
      <x:c r="A383" s="89" t="n">
        <x:v>381</x:v>
      </x:c>
      <x:c r="B383" s="80" t="n">
        <x:v>-2.136446918305151</x:v>
      </x:c>
      <x:c r="C383" s="84" t="n">
        <x:f>SQRT('Resumen'!$B$5^3/3)*B383</x:f>
        <x:v>-1.233478203392825</x:v>
      </x:c>
      <x:c r="D383" s="84" t="n">
        <x:f>C383^2-'Resumen'!$B$5^3/3</x:f>
        <x:v>1.1881351449118585</x:v>
      </x:c>
      <x:c r="E383" s="85" t="n">
        <x:f>D383+'Resumen'!$B$5^3/3</x:f>
        <x:v>1.5214684782451917</x:v>
      </x:c>
    </x:row>
    <x:row r="384">
      <x:c r="A384" s="89" t="n">
        <x:v>382</x:v>
      </x:c>
      <x:c r="B384" s="80" t="n">
        <x:v>-0.7321863566216675</x:v>
      </x:c>
      <x:c r="C384" s="84" t="n">
        <x:f>SQRT('Resumen'!$B$5^3/3)*B384</x:f>
        <x:v>-0.42272799009249107</x:v>
      </x:c>
      <x:c r="D384" s="84" t="n">
        <x:f>C384^2-'Resumen'!$B$5^3/3</x:f>
        <x:v>-0.15463437972569608</x:v>
      </x:c>
      <x:c r="E384" s="85" t="n">
        <x:f>D384+'Resumen'!$B$5^3/3</x:f>
        <x:v>0.17869895360763724</x:v>
      </x:c>
    </x:row>
    <x:row r="385">
      <x:c r="A385" s="89" t="n">
        <x:v>383</x:v>
      </x:c>
      <x:c r="B385" s="80" t="n">
        <x:v>1.7019771116811964</x:v>
      </x:c>
      <x:c r="C385" s="84" t="n">
        <x:f>SQRT('Resumen'!$B$5^3/3)*B385</x:f>
        <x:v>0.9826369435837204</x:v>
      </x:c>
      <x:c r="D385" s="84" t="n">
        <x:f>C385^2-'Resumen'!$B$5^3/3</x:f>
        <x:v>0.6322420295622224</x:v>
      </x:c>
      <x:c r="E385" s="85" t="n">
        <x:f>D385+'Resumen'!$B$5^3/3</x:f>
        <x:v>0.9655753628955557</x:v>
      </x:c>
    </x:row>
    <x:row r="386">
      <x:c r="A386" s="89" t="n">
        <x:v>384</x:v>
      </x:c>
      <x:c r="B386" s="80" t="n">
        <x:v>-1.131983924274743</x:v>
      </x:c>
      <x:c r="C386" s="84" t="n">
        <x:f>SQRT('Resumen'!$B$5^3/3)*B386</x:f>
        <x:v>-0.6535512233983517</x:v>
      </x:c>
      <x:c r="D386" s="84" t="n">
        <x:f>C386^2-'Resumen'!$B$5^3/3</x:f>
        <x:v>0.09379586827214892</x:v>
      </x:c>
      <x:c r="E386" s="85" t="n">
        <x:f>D386+'Resumen'!$B$5^3/3</x:f>
        <x:v>0.42712920160548223</x:v>
      </x:c>
    </x:row>
    <x:row r="387">
      <x:c r="A387" s="89" t="n">
        <x:v>385</x:v>
      </x:c>
      <x:c r="B387" s="80" t="n">
        <x:v>-0.9005267292483551</x:v>
      </x:c>
      <x:c r="C387" s="84" t="n">
        <x:f>SQRT('Resumen'!$B$5^3/3)*B387</x:f>
        <x:v>-0.519919349543991</x:v>
      </x:c>
      <x:c r="D387" s="84" t="n">
        <x:f>C387^2-'Resumen'!$B$5^3/3</x:f>
        <x:v>-0.06301720330308663</x:v>
      </x:c>
      <x:c r="E387" s="85" t="n">
        <x:f>D387+'Resumen'!$B$5^3/3</x:f>
        <x:v>0.2703161300302467</x:v>
      </x:c>
    </x:row>
    <x:row r="388">
      <x:c r="A388" s="89" t="n">
        <x:v>386</x:v>
      </x:c>
      <x:c r="B388" s="80" t="n">
        <x:v>0.024131990739703214</x:v>
      </x:c>
      <x:c r="C388" s="84" t="n">
        <x:f>SQRT('Resumen'!$B$5^3/3)*B388</x:f>
        <x:v>0.013932611349649206</x:v>
      </x:c>
      <x:c r="D388" s="84" t="n">
        <x:f>C388^2-'Resumen'!$B$5^3/3</x:f>
        <x:v>-0.3331392156743129</x:v>
      </x:c>
      <x:c r="E388" s="85" t="n">
        <x:f>D388+'Resumen'!$B$5^3/3</x:f>
        <x:v>0.00019411765902038747</x:v>
      </x:c>
    </x:row>
    <x:row r="389">
      <x:c r="A389" s="89" t="n">
        <x:v>387</x:v>
      </x:c>
      <x:c r="B389" s="80" t="n">
        <x:v>0.2789075936143204</x:v>
      </x:c>
      <x:c r="C389" s="84" t="n">
        <x:f>SQRT('Resumen'!$B$5^3/3)*B389</x:f>
        <x:v>0.1610273742522586</x:v>
      </x:c>
      <x:c r="D389" s="84" t="n">
        <x:f>C389^2-'Resumen'!$B$5^3/3</x:f>
        <x:v>-0.30740351807475635</x:v>
      </x:c>
      <x:c r="E389" s="85" t="n">
        <x:f>D389+'Resumen'!$B$5^3/3</x:f>
        <x:v>0.02592981525857696</x:v>
      </x:c>
    </x:row>
    <x:row r="390">
      <x:c r="A390" s="89" t="n">
        <x:v>388</x:v>
      </x:c>
      <x:c r="B390" s="80" t="n">
        <x:v>0.8459850826923562</x:v>
      </x:c>
      <x:c r="C390" s="84" t="n">
        <x:f>SQRT('Resumen'!$B$5^3/3)*B390</x:f>
        <x:v>0.4884297152228396</x:v>
      </x:c>
      <x:c r="D390" s="84" t="n">
        <x:f>C390^2-'Resumen'!$B$5^3/3</x:f>
        <x:v>-0.09476974662066912</x:v>
      </x:c>
      <x:c r="E390" s="85" t="n">
        <x:f>D390+'Resumen'!$B$5^3/3</x:f>
        <x:v>0.2385635867126642</x:v>
      </x:c>
    </x:row>
    <x:row r="391">
      <x:c r="A391" s="89" t="n">
        <x:v>389</x:v>
      </x:c>
      <x:c r="B391" s="80" t="n">
        <x:v>1.8714950407249749</x:v>
      </x:c>
      <x:c r="C391" s="84" t="n">
        <x:f>SQRT('Resumen'!$B$5^3/3)*B391</x:f>
        <x:v>1.0805081655496138</x:v>
      </x:c>
      <x:c r="D391" s="84" t="n">
        <x:f>C391^2-'Resumen'!$B$5^3/3</x:f>
        <x:v>0.8341645624860583</x:v>
      </x:c>
      <x:c r="E391" s="85" t="n">
        <x:f>D391+'Resumen'!$B$5^3/3</x:f>
        <x:v>1.1674978958193916</x:v>
      </x:c>
    </x:row>
    <x:row r="392">
      <x:c r="A392" s="89" t="n">
        <x:v>390</x:v>
      </x:c>
      <x:c r="B392" s="80" t="n">
        <x:v>0.9053104096893737</x:v>
      </x:c>
      <x:c r="C392" s="84" t="n">
        <x:f>SQRT('Resumen'!$B$5^3/3)*B392</x:f>
        <x:v>0.5226812087343302</x:v>
      </x:c>
      <x:c r="D392" s="84" t="n">
        <x:f>C392^2-'Resumen'!$B$5^3/3</x:f>
        <x:v>-0.06013768736935282</x:v>
      </x:c>
      <x:c r="E392" s="85" t="n">
        <x:f>D392+'Resumen'!$B$5^3/3</x:f>
        <x:v>0.2731956459639805</x:v>
      </x:c>
    </x:row>
    <x:row r="393">
      <x:c r="A393" s="89" t="n">
        <x:v>391</x:v>
      </x:c>
      <x:c r="B393" s="80" t="n">
        <x:v>-0.2119556927750192</x:v>
      </x:c>
      <x:c r="C393" s="84" t="n">
        <x:f>SQRT('Resumen'!$B$5^3/3)*B393</x:f>
        <x:v>-0.12237267627993094</x:v>
      </x:c>
      <x:c r="D393" s="84" t="n">
        <x:f>C393^2-'Resumen'!$B$5^3/3</x:f>
        <x:v>-0.31835826143342055</x:v>
      </x:c>
      <x:c r="E393" s="85" t="n">
        <x:f>D393+'Resumen'!$B$5^3/3</x:f>
        <x:v>0.014975071899912762</x:v>
      </x:c>
    </x:row>
    <x:row r="394">
      <x:c r="A394" s="89" t="n">
        <x:v>392</x:v>
      </x:c>
      <x:c r="B394" s="80" t="n">
        <x:v>0.07821094399006147</x:v>
      </x:c>
      <x:c r="C394" s="84" t="n">
        <x:f>SQRT('Resumen'!$B$5^3/3)*B394</x:f>
        <x:v>0.04515510956623673</x:v>
      </x:c>
      <x:c r="D394" s="84" t="n">
        <x:f>C394^2-'Resumen'!$B$5^3/3</x:f>
        <x:v>-0.3312943494133945</x:v>
      </x:c>
      <x:c r="E394" s="85" t="n">
        <x:f>D394+'Resumen'!$B$5^3/3</x:f>
        <x:v>0.0020389839199388415</x:v>
      </x:c>
    </x:row>
    <x:row r="395">
      <x:c r="A395" s="89" t="n">
        <x:v>393</x:v>
      </x:c>
      <x:c r="B395" s="80" t="n">
        <x:v>-0.4908661124361626</x:v>
      </x:c>
      <x:c r="C395" s="84" t="n">
        <x:f>SQRT('Resumen'!$B$5^3/3)*B395</x:f>
        <x:v>-0.2834016821510836</x:v>
      </x:c>
      <x:c r="D395" s="84" t="n">
        <x:f>C395^2-'Resumen'!$B$5^3/3</x:f>
        <x:v>-0.25301681988726954</x:v>
      </x:c>
      <x:c r="E395" s="85" t="n">
        <x:f>D395+'Resumen'!$B$5^3/3</x:f>
        <x:v>0.08031651344606378</x:v>
      </x:c>
    </x:row>
    <x:row r="396">
      <x:c r="A396" s="89" t="n">
        <x:v>394</x:v>
      </x:c>
      <x:c r="B396" s="80" t="n">
        <x:v>-0.9571622182880299</x:v>
      </x:c>
      <x:c r="C396" s="84" t="n">
        <x:f>SQRT('Resumen'!$B$5^3/3)*B396</x:f>
        <x:v>-0.5526178643867334</x:v>
      </x:c>
      <x:c r="D396" s="84" t="n">
        <x:f>C396^2-'Resumen'!$B$5^3/3</x:f>
        <x:v>-0.02794682929397918</x:v>
      </x:c>
      <x:c r="E396" s="85" t="n">
        <x:f>D396+'Resumen'!$B$5^3/3</x:f>
        <x:v>0.30538650403935413</x:v>
      </x:c>
    </x:row>
    <x:row r="397">
      <x:c r="A397" s="89" t="n">
        <x:v>395</x:v>
      </x:c>
      <x:c r="B397" s="80" t="n">
        <x:v>1.3979583097363046</x:v>
      </x:c>
      <x:c r="C397" s="84" t="n">
        <x:f>SQRT('Resumen'!$B$5^3/3)*B397</x:f>
        <x:v>0.8071116064421296</x:v>
      </x:c>
      <x:c r="D397" s="84" t="n">
        <x:f>C397^2-'Resumen'!$B$5^3/3</x:f>
        <x:v>0.3180958119202619</x:v>
      </x:c>
      <x:c r="E397" s="85" t="n">
        <x:f>D397+'Resumen'!$B$5^3/3</x:f>
        <x:v>0.6514291452535952</x:v>
      </x:c>
    </x:row>
    <x:row r="398">
      <x:c r="A398" s="89" t="n">
        <x:v>396</x:v>
      </x:c>
      <x:c r="B398" s="80" t="n">
        <x:v>0.5934207207853798</x:v>
      </x:c>
      <x:c r="C398" s="84" t="n">
        <x:f>SQRT('Resumen'!$B$5^3/3)*B398</x:f>
        <x:v>0.34261161288814074</x:v>
      </x:c>
      <x:c r="D398" s="84" t="n">
        <x:f>C398^2-'Resumen'!$B$5^3/3</x:f>
        <x:v>-0.2159506160475201</x:v>
      </x:c>
      <x:c r="E398" s="85" t="n">
        <x:f>D398+'Resumen'!$B$5^3/3</x:f>
        <x:v>0.1173827172858132</x:v>
      </x:c>
    </x:row>
    <x:row r="399">
      <x:c r="A399" s="89" t="n">
        <x:v>397</x:v>
      </x:c>
      <x:c r="B399" s="80" t="n">
        <x:v>0.34148710276877314</x:v>
      </x:c>
      <x:c r="C399" s="84" t="n">
        <x:f>SQRT('Resumen'!$B$5^3/3)*B399</x:f>
        <x:v>0.19715767070833656</x:v>
      </x:c>
      <x:c r="D399" s="84" t="n">
        <x:f>C399^2-'Resumen'!$B$5^3/3</x:f>
        <x:v>-0.29446218621419645</x:v>
      </x:c>
      <x:c r="E399" s="85" t="n">
        <x:f>D399+'Resumen'!$B$5^3/3</x:f>
        <x:v>0.03887114711913686</x:v>
      </x:c>
    </x:row>
    <x:row r="400">
      <x:c r="A400" s="89" t="n">
        <x:v>398</x:v>
      </x:c>
      <x:c r="B400" s="80" t="n">
        <x:v>-0.06669979384679373</x:v>
      </x:c>
      <x:c r="C400" s="84" t="n">
        <x:f>SQRT('Resumen'!$B$5^3/3)*B400</x:f>
        <x:v>-0.038509143932338896</x:v>
      </x:c>
      <x:c r="D400" s="84" t="n">
        <x:f>C400^2-'Resumen'!$B$5^3/3</x:f>
        <x:v>-0.3318503791669317</x:v>
      </x:c>
      <x:c r="E400" s="85" t="n">
        <x:f>D400+'Resumen'!$B$5^3/3</x:f>
        <x:v>0.0014829541664015955</x:v>
      </x:c>
    </x:row>
    <x:row r="401">
      <x:c r="A401" s="89" t="n">
        <x:v>399</x:v>
      </x:c>
      <x:c r="B401" s="80" t="n">
        <x:v>-0.3496104289854833</x:v>
      </x:c>
      <x:c r="C401" s="84" t="n">
        <x:f>SQRT('Resumen'!$B$5^3/3)*B401</x:f>
        <x:v>-0.2018476752862693</x:v>
      </x:c>
      <x:c r="D401" s="84" t="n">
        <x:f>C401^2-'Resumen'!$B$5^3/3</x:f>
        <x:v>-0.2925908493148621</x:v>
      </x:c>
      <x:c r="E401" s="85" t="n">
        <x:f>D401+'Resumen'!$B$5^3/3</x:f>
        <x:v>0.04074248401847119</x:v>
      </x:c>
    </x:row>
    <x:row r="402">
      <x:c r="A402" s="89" t="n">
        <x:v>400</x:v>
      </x:c>
      <x:c r="B402" s="80" t="n">
        <x:v>0.2150801466784853</x:v>
      </x:c>
      <x:c r="C402" s="84" t="n">
        <x:f>SQRT('Resumen'!$B$5^3/3)*B402</x:f>
        <x:v>0.12417658058216767</x:v>
      </x:c>
      <x:c r="D402" s="84" t="n">
        <x:f>C402^2-'Resumen'!$B$5^3/3</x:f>
        <x:v>-0.31791351016825375</x:v>
      </x:c>
      <x:c r="E402" s="85" t="n">
        <x:f>D402+'Resumen'!$B$5^3/3</x:f>
        <x:v>0.01541982316507956</x:v>
      </x:c>
    </x:row>
    <x:row r="403">
      <x:c r="A403" s="89" t="n">
        <x:v>401</x:v>
      </x:c>
      <x:c r="B403" s="80" t="n">
        <x:v>-0.8949395277938801</x:v>
      </x:c>
      <x:c r="C403" s="84" t="n">
        <x:f>SQRT('Resumen'!$B$5^3/3)*B403</x:f>
        <x:v>-0.5166935772802332</x:v>
      </x:c>
      <x:c r="D403" s="84" t="n">
        <x:f>C403^2-'Resumen'!$B$5^3/3</x:f>
        <x:v>-0.06636108053068895</x:v>
      </x:c>
      <x:c r="E403" s="85" t="n">
        <x:f>D403+'Resumen'!$B$5^3/3</x:f>
        <x:v>0.26697225280264436</x:v>
      </x:c>
    </x:row>
    <x:row r="404">
      <x:c r="A404" s="89" t="n">
        <x:v>402</x:v>
      </x:c>
      <x:c r="B404" s="80" t="n">
        <x:v>0.750542598697148</x:v>
      </x:c>
      <x:c r="C404" s="84" t="n">
        <x:f>SQRT('Resumen'!$B$5^3/3)*B404</x:f>
        <x:v>0.43332597139607965</x:v>
      </x:c>
      <x:c r="D404" s="84" t="n">
        <x:f>C404^2-'Resumen'!$B$5^3/3</x:f>
        <x:v>-0.14556193584697727</x:v>
      </x:c>
      <x:c r="E404" s="85" t="n">
        <x:f>D404+'Resumen'!$B$5^3/3</x:f>
        <x:v>0.18777139748635605</x:v>
      </x:c>
    </x:row>
    <x:row r="405">
      <x:c r="A405" s="89" t="n">
        <x:v>403</x:v>
      </x:c>
      <x:c r="B405" s="80" t="n">
        <x:v>0.30630413459006406</x:v>
      </x:c>
      <x:c r="C405" s="84" t="n">
        <x:f>SQRT('Resumen'!$B$5^3/3)*B405</x:f>
        <x:v>0.17684477455946884</x:v>
      </x:c>
      <x:c r="D405" s="84" t="n">
        <x:f>C405^2-'Resumen'!$B$5^3/3</x:f>
        <x:v>-0.30205925904434394</x:v>
      </x:c>
      <x:c r="E405" s="85" t="n">
        <x:f>D405+'Resumen'!$B$5^3/3</x:f>
        <x:v>0.03127407428898937</x:v>
      </x:c>
    </x:row>
    <x:row r="406">
      <x:c r="A406" s="89" t="n">
        <x:v>404</x:v>
      </x:c>
      <x:c r="B406" s="80" t="n">
        <x:v>-1.031432022198042</x:v>
      </x:c>
      <x:c r="C406" s="84" t="n">
        <x:f>SQRT('Resumen'!$B$5^3/3)*B406</x:f>
        <x:v>-0.5954975556668396</x:v>
      </x:c>
      <x:c r="D406" s="84" t="n">
        <x:f>C406^2-'Resumen'!$B$5^3/3</x:f>
        <x:v>0.02128400547184739</x:v>
      </x:c>
      <x:c r="E406" s="85" t="n">
        <x:f>D406+'Resumen'!$B$5^3/3</x:f>
        <x:v>0.3546173388051807</x:v>
      </x:c>
    </x:row>
    <x:row r="407">
      <x:c r="A407" s="89" t="n">
        <x:v>405</x:v>
      </x:c>
      <x:c r="B407" s="80" t="n">
        <x:v>-0.28037371927243254</x:v>
      </x:c>
      <x:c r="C407" s="84" t="n">
        <x:f>SQRT('Resumen'!$B$5^3/3)*B407</x:f>
        <x:v>-0.16187384229563548</x:v>
      </x:c>
      <x:c r="D407" s="84" t="n">
        <x:f>C407^2-'Resumen'!$B$5^3/3</x:f>
        <x:v>-0.30713019251378104</x:v>
      </x:c>
      <x:c r="E407" s="85" t="n">
        <x:f>D407+'Resumen'!$B$5^3/3</x:f>
        <x:v>0.026203140819552273</x:v>
      </x:c>
    </x:row>
    <x:row r="408">
      <x:c r="A408" s="89" t="n">
        <x:v>406</x:v>
      </x:c>
      <x:c r="B408" s="80" t="n">
        <x:v>-0.3726949788785417</x:v>
      </x:c>
      <x:c r="C408" s="84" t="n">
        <x:f>SQRT('Resumen'!$B$5^3/3)*B408</x:f>
        <x:v>-0.21517554638114791</x:v>
      </x:c>
      <x:c r="D408" s="84" t="n">
        <x:f>C408^2-'Resumen'!$B$5^3/3</x:f>
        <x:v>-0.2870328175729078</x:v>
      </x:c>
      <x:c r="E408" s="85" t="n">
        <x:f>D408+'Resumen'!$B$5^3/3</x:f>
        <x:v>0.04630051576042554</x:v>
      </x:c>
    </x:row>
    <x:row r="409">
      <x:c r="A409" s="89" t="n">
        <x:v>407</x:v>
      </x:c>
      <x:c r="B409" s="80" t="n">
        <x:v>-1.1806606318714283</x:v>
      </x:c>
      <x:c r="C409" s="84" t="n">
        <x:f>SQRT('Resumen'!$B$5^3/3)*B409</x:f>
        <x:v>-0.6816547336325628</x:v>
      </x:c>
      <x:c r="D409" s="84" t="n">
        <x:f>C409^2-'Resumen'!$B$5^3/3</x:f>
        <x:v>0.13131984255034684</x:v>
      </x:c>
      <x:c r="E409" s="85" t="n">
        <x:f>D409+'Resumen'!$B$5^3/3</x:f>
        <x:v>0.46465317588368016</x:v>
      </x:c>
    </x:row>
    <x:row r="410">
      <x:c r="A410" s="89" t="n">
        <x:v>408</x:v>
      </x:c>
      <x:c r="B410" s="80" t="n">
        <x:v>0.811849017547125</x:v>
      </x:c>
      <x:c r="C410" s="84" t="n">
        <x:f>SQRT('Resumen'!$B$5^3/3)*B410</x:f>
        <x:v>0.4687212488221658</x:v>
      </x:c>
      <x:c r="D410" s="84" t="n">
        <x:f>C410^2-'Resumen'!$B$5^3/3</x:f>
        <x:v>-0.11363372423592263</x:v>
      </x:c>
      <x:c r="E410" s="85" t="n">
        <x:f>D410+'Resumen'!$B$5^3/3</x:f>
        <x:v>0.21969960909741068</x:v>
      </x:c>
    </x:row>
    <x:row r="411">
      <x:c r="A411" s="89" t="n">
        <x:v>409</x:v>
      </x:c>
      <x:c r="B411" s="80" t="n">
        <x:v>0.05608075067179218</x:v>
      </x:c>
      <x:c r="C411" s="84" t="n">
        <x:f>SQRT('Resumen'!$B$5^3/3)*B411</x:f>
        <x:v>0.0323782364967155</x:v>
      </x:c>
      <x:c r="D411" s="84" t="n">
        <x:f>C411^2-'Resumen'!$B$5^3/3</x:f>
        <x:v>-0.33228498313469607</x:v>
      </x:c>
      <x:c r="E411" s="85" t="n">
        <x:f>D411+'Resumen'!$B$5^3/3</x:f>
        <x:v>0.001048350198637249</x:v>
      </x:c>
    </x:row>
    <x:row r="412">
      <x:c r="A412" s="89" t="n">
        <x:v>410</x:v>
      </x:c>
      <x:c r="B412" s="80" t="n">
        <x:v>-1.0716202375347286</x:v>
      </x:c>
      <x:c r="C412" s="84" t="n">
        <x:f>SQRT('Resumen'!$B$5^3/3)*B412</x:f>
        <x:v>-0.6187002326097262</x:v>
      </x:c>
      <x:c r="D412" s="84" t="n">
        <x:f>C412^2-'Resumen'!$B$5^3/3</x:f>
        <x:v>0.04945664449799597</x:v>
      </x:c>
      <x:c r="E412" s="85" t="n">
        <x:f>D412+'Resumen'!$B$5^3/3</x:f>
        <x:v>0.3827899778313293</x:v>
      </x:c>
    </x:row>
    <x:row r="413">
      <x:c r="A413" s="89" t="n">
        <x:v>411</x:v>
      </x:c>
      <x:c r="B413" s="80" t="n">
        <x:v>-0.4835466455801014</x:v>
      </x:c>
      <x:c r="C413" s="84" t="n">
        <x:f>SQRT('Resumen'!$B$5^3/3)*B413</x:f>
        <x:v>-0.2791757859914121</x:v>
      </x:c>
      <x:c r="D413" s="84" t="n">
        <x:f>C413^2-'Resumen'!$B$5^3/3</x:f>
        <x:v>-0.25539421384941063</x:v>
      </x:c>
      <x:c r="E413" s="85" t="n">
        <x:f>D413+'Resumen'!$B$5^3/3</x:f>
        <x:v>0.07793911948392268</x:v>
      </x:c>
    </x:row>
    <x:row r="414">
      <x:c r="A414" s="89" t="n">
        <x:v>412</x:v>
      </x:c>
      <x:c r="B414" s="80" t="n">
        <x:v>-0.7310421302195365</x:v>
      </x:c>
      <x:c r="C414" s="84" t="n">
        <x:f>SQRT('Resumen'!$B$5^3/3)*B414</x:f>
        <x:v>-0.4220673706712068</x:v>
      </x:c>
      <x:c r="D414" s="84" t="n">
        <x:f>C414^2-'Resumen'!$B$5^3/3</x:f>
        <x:v>-0.15519246794802743</x:v>
      </x:c>
      <x:c r="E414" s="85" t="n">
        <x:f>D414+'Resumen'!$B$5^3/3</x:f>
        <x:v>0.17814086538530588</x:v>
      </x:c>
    </x:row>
    <x:row r="415">
      <x:c r="A415" s="89" t="n">
        <x:v>413</x:v>
      </x:c>
      <x:c r="B415" s="80" t="n">
        <x:v>0.29134576861827827</x:v>
      </x:c>
      <x:c r="C415" s="84" t="n">
        <x:f>SQRT('Resumen'!$B$5^3/3)*B415</x:f>
        <x:v>0.16820855793902137</x:v>
      </x:c>
      <x:c r="D415" s="84" t="n">
        <x:f>C415^2-'Resumen'!$B$5^3/3</x:f>
        <x:v>-0.30503921436940823</x:v>
      </x:c>
      <x:c r="E415" s="85" t="n">
        <x:f>D415+'Resumen'!$B$5^3/3</x:f>
        <x:v>0.028294118963925086</x:v>
      </x:c>
    </x:row>
    <x:row r="416">
      <x:c r="A416" s="89" t="n">
        <x:v>414</x:v>
      </x:c>
      <x:c r="B416" s="80" t="n">
        <x:v>0.7303531649696762</x:v>
      </x:c>
      <x:c r="C416" s="84" t="n">
        <x:f>SQRT('Resumen'!$B$5^3/3)*B416</x:f>
        <x:v>0.4216695963987377</x:v>
      </x:c>
      <x:c r="D416" s="84" t="n">
        <x:f>C416^2-'Resumen'!$B$5^3/3</x:f>
        <x:v>-0.155528084806259</x:v>
      </x:c>
      <x:c r="E416" s="85" t="n">
        <x:f>D416+'Resumen'!$B$5^3/3</x:f>
        <x:v>0.17780524852707433</x:v>
      </x:c>
    </x:row>
    <x:row r="417">
      <x:c r="A417" s="89" t="n">
        <x:v>415</x:v>
      </x:c>
      <x:c r="B417" s="80" t="n">
        <x:v>0.11535925312262531</x:v>
      </x:c>
      <x:c r="C417" s="84" t="n">
        <x:f>SQRT('Resumen'!$B$5^3/3)*B417</x:f>
        <x:v>0.0666026958438619</x:v>
      </x:c>
      <x:c r="D417" s="84" t="n">
        <x:f>C417^2-'Resumen'!$B$5^3/3</x:f>
        <x:v>-0.32889741423966334</x:v>
      </x:c>
      <x:c r="E417" s="85" t="n">
        <x:f>D417+'Resumen'!$B$5^3/3</x:f>
        <x:v>0.004435919093669971</x:v>
      </x:c>
    </x:row>
    <x:row r="418">
      <x:c r="A418" s="89" t="n">
        <x:v>416</x:v>
      </x:c>
      <x:c r="B418" s="80" t="n">
        <x:v>-1.250687633294266</x:v>
      </x:c>
      <x:c r="C418" s="84" t="n">
        <x:f>SQRT('Resumen'!$B$5^3/3)*B418</x:f>
        <x:v>-0.7220848417545804</x:v>
      </x:c>
      <x:c r="D418" s="84" t="n">
        <x:f>C418^2-'Resumen'!$B$5^3/3</x:f>
        <x:v>0.18807318535840417</x:v>
      </x:c>
      <x:c r="E418" s="85" t="n">
        <x:f>D418+'Resumen'!$B$5^3/3</x:f>
        <x:v>0.5214065186917375</x:v>
      </x:c>
    </x:row>
    <x:row r="419">
      <x:c r="A419" s="89" t="n">
        <x:v>417</x:v>
      </x:c>
      <x:c r="B419" s="80" t="n">
        <x:v>-1.2650993869992753</x:v>
      </x:c>
      <x:c r="C419" s="84" t="n">
        <x:f>SQRT('Resumen'!$B$5^3/3)*B419</x:f>
        <x:v>-0.730405471635662</x:v>
      </x:c>
      <x:c r="D419" s="84" t="n">
        <x:f>C419^2-'Resumen'!$B$5^3/3</x:f>
        <x:v>0.20015881966198062</x:v>
      </x:c>
      <x:c r="E419" s="85" t="n">
        <x:f>D419+'Resumen'!$B$5^3/3</x:f>
        <x:v>0.5334921529953139</x:v>
      </x:c>
    </x:row>
    <x:row r="420">
      <x:c r="A420" s="89" t="n">
        <x:v>418</x:v>
      </x:c>
      <x:c r="B420" s="80" t="n">
        <x:v>-0.23211583250986695</x:v>
      </x:c>
      <x:c r="C420" s="84" t="n">
        <x:f>SQRT('Resumen'!$B$5^3/3)*B420</x:f>
        <x:v>-0.13401213838274575</x:v>
      </x:c>
      <x:c r="D420" s="84" t="n">
        <x:f>C420^2-'Resumen'!$B$5^3/3</x:f>
        <x:v>-0.31537408009941714</x:v>
      </x:c>
      <x:c r="E420" s="85" t="n">
        <x:f>D420+'Resumen'!$B$5^3/3</x:f>
        <x:v>0.017959253233916173</x:v>
      </x:c>
    </x:row>
    <x:row r="421">
      <x:c r="A421" s="89" t="n">
        <x:v>419</x:v>
      </x:c>
      <x:c r="B421" s="80" t="n">
        <x:v>0.9447996959366416</x:v>
      </x:c>
      <x:c r="C421" s="84" t="n">
        <x:f>SQRT('Resumen'!$B$5^3/3)*B421</x:f>
        <x:v>0.5454803587792966</x:v>
      </x:c>
      <x:c r="D421" s="84" t="n">
        <x:f>C421^2-'Resumen'!$B$5^3/3</x:f>
        <x:v>-0.0357845115193432</x:v>
      </x:c>
      <x:c r="E421" s="85" t="n">
        <x:f>D421+'Resumen'!$B$5^3/3</x:f>
        <x:v>0.2975488218139901</x:v>
      </x:c>
    </x:row>
    <x:row r="422">
      <x:c r="A422" s="89" t="n">
        <x:v>420</x:v>
      </x:c>
      <x:c r="B422" s="80" t="n">
        <x:v>0.5279683364727961</x:v>
      </x:c>
      <x:c r="C422" s="84" t="n">
        <x:f>SQRT('Resumen'!$B$5^3/3)*B422</x:f>
        <x:v>0.3048226611861677</x:v>
      </x:c>
      <x:c r="D422" s="84" t="n">
        <x:f>C422^2-'Resumen'!$B$5^3/3</x:f>
        <x:v>-0.24041647856071613</x:v>
      </x:c>
      <x:c r="E422" s="85" t="n">
        <x:f>D422+'Resumen'!$B$5^3/3</x:f>
        <x:v>0.09291685477261719</x:v>
      </x:c>
    </x:row>
    <x:row r="423">
      <x:c r="A423" s="89" t="n">
        <x:v>421</x:v>
      </x:c>
      <x:c r="B423" s="80" t="n">
        <x:v>0.8770259504384423</x:v>
      </x:c>
      <x:c r="C423" s="84" t="n">
        <x:f>SQRT('Resumen'!$B$5^3/3)*B423</x:f>
        <x:v>0.5063511685719221</x:v>
      </x:c>
      <x:c r="D423" s="84" t="n">
        <x:f>C423^2-'Resumen'!$B$5^3/3</x:f>
        <x:v>-0.07694182741918226</x:v>
      </x:c>
      <x:c r="E423" s="85" t="n">
        <x:f>D423+'Resumen'!$B$5^3/3</x:f>
        <x:v>0.25639150591415105</x:v>
      </x:c>
    </x:row>
    <x:row r="424">
      <x:c r="A424" s="89" t="n">
        <x:v>422</x:v>
      </x:c>
      <x:c r="B424" s="80" t="n">
        <x:v>1.367634993426279</x:v>
      </x:c>
      <x:c r="C424" s="84" t="n">
        <x:f>SQRT('Resumen'!$B$5^3/3)*B424</x:f>
        <x:v>0.7896044316078142</x:v>
      </x:c>
      <x:c r="D424" s="84" t="n">
        <x:f>C424^2-'Resumen'!$B$5^3/3</x:f>
        <x:v>0.29014182508136604</x:v>
      </x:c>
      <x:c r="E424" s="85" t="n">
        <x:f>D424+'Resumen'!$B$5^3/3</x:f>
        <x:v>0.6234751584146994</x:v>
      </x:c>
    </x:row>
    <x:row r="425">
      <x:c r="A425" s="89" t="n">
        <x:v>423</x:v>
      </x:c>
      <x:c r="B425" s="80" t="n">
        <x:v>-2.1398107873796492</x:v>
      </x:c>
      <x:c r="C425" s="84" t="n">
        <x:f>SQRT('Resumen'!$B$5^3/3)*B425</x:f>
        <x:v>-1.2354203341085055</x:v>
      </x:c>
      <x:c r="D425" s="84" t="n">
        <x:f>C425^2-'Resumen'!$B$5^3/3</x:f>
        <x:v>1.192930068595438</x:v>
      </x:c>
      <x:c r="E425" s="85" t="n">
        <x:f>D425+'Resumen'!$B$5^3/3</x:f>
        <x:v>1.5262634019287713</x:v>
      </x:c>
    </x:row>
    <x:row r="426">
      <x:c r="A426" s="89" t="n">
        <x:v>424</x:v>
      </x:c>
      <x:c r="B426" s="80" t="n">
        <x:v>-0.1558469877539145</x:v>
      </x:c>
      <x:c r="C426" s="84" t="n">
        <x:f>SQRT('Resumen'!$B$5^3/3)*B426</x:f>
        <x:v>-0.08997830033211485</x:v>
      </x:c>
      <x:c r="D426" s="84" t="n">
        <x:f>C426^2-'Resumen'!$B$5^3/3</x:f>
        <x:v>-0.3252372388026771</x:v>
      </x:c>
      <x:c r="E426" s="85" t="n">
        <x:f>D426+'Resumen'!$B$5^3/3</x:f>
        <x:v>0.00809609453065624</x:v>
      </x:c>
    </x:row>
    <x:row r="427">
      <x:c r="A427" s="89" t="n">
        <x:v>425</x:v>
      </x:c>
      <x:c r="B427" s="80" t="n">
        <x:v>0.6485168225764779</x:v>
      </x:c>
      <x:c r="C427" s="84" t="n">
        <x:f>SQRT('Resumen'!$B$5^3/3)*B427</x:f>
        <x:v>0.3744213620885303</x:v>
      </x:c>
      <x:c r="D427" s="84" t="n">
        <x:f>C427^2-'Resumen'!$B$5^3/3</x:f>
        <x:v>-0.19314197694510302</x:v>
      </x:c>
      <x:c r="E427" s="85" t="n">
        <x:f>D427+'Resumen'!$B$5^3/3</x:f>
        <x:v>0.1401913563882303</x:v>
      </x:c>
    </x:row>
    <x:row r="428">
      <x:c r="A428" s="89" t="n">
        <x:v>426</x:v>
      </x:c>
      <x:c r="B428" s="80" t="n">
        <x:v>-0.13822421442770988</x:v>
      </x:c>
      <x:c r="C428" s="84" t="n">
        <x:f>SQRT('Resumen'!$B$5^3/3)*B428</x:f>
        <x:v>-0.07980378740836284</x:v>
      </x:c>
      <x:c r="D428" s="84" t="n">
        <x:f>C428^2-'Resumen'!$B$5^3/3</x:f>
        <x:v>-0.3269646888486141</x:v>
      </x:c>
      <x:c r="E428" s="85" t="n">
        <x:f>D428+'Resumen'!$B$5^3/3</x:f>
        <x:v>0.006368644484719188</x:v>
      </x:c>
    </x:row>
    <x:row r="429">
      <x:c r="A429" s="89" t="n">
        <x:v>427</x:v>
      </x:c>
      <x:c r="B429" s="80" t="n">
        <x:v>-1.5069651507940436</x:v>
      </x:c>
      <x:c r="C429" s="84" t="n">
        <x:f>SQRT('Resumen'!$B$5^3/3)*B429</x:f>
        <x:v>-0.870046735470326</x:v>
      </x:c>
      <x:c r="D429" s="84" t="n">
        <x:f>C429^2-'Resumen'!$B$5^3/3</x:f>
        <x:v>0.4236479885692381</x:v>
      </x:c>
      <x:c r="E429" s="85" t="n">
        <x:f>D429+'Resumen'!$B$5^3/3</x:f>
        <x:v>0.7569813219025714</x:v>
      </x:c>
    </x:row>
    <x:row r="430">
      <x:c r="A430" s="89" t="n">
        <x:v>428</x:v>
      </x:c>
      <x:c r="B430" s="80" t="n">
        <x:v>-2.1718216854077843</x:v>
      </x:c>
      <x:c r="C430" s="84" t="n">
        <x:f>SQRT('Resumen'!$B$5^3/3)*B430</x:f>
        <x:v>-1.253901834702051</x:v>
      </x:c>
      <x:c r="D430" s="84" t="n">
        <x:f>C430^2-'Resumen'!$B$5^3/3</x:f>
        <x:v>1.2389364777358363</x:v>
      </x:c>
      <x:c r="E430" s="85" t="n">
        <x:f>D430+'Resumen'!$B$5^3/3</x:f>
        <x:v>1.5722698110691695</x:v>
      </x:c>
    </x:row>
    <x:row r="431">
      <x:c r="A431" s="89" t="n">
        <x:v>429</x:v>
      </x:c>
      <x:c r="B431" s="80" t="n">
        <x:v>-1.1959064918542546</x:v>
      </x:c>
      <x:c r="C431" s="84" t="n">
        <x:f>SQRT('Resumen'!$B$5^3/3)*B431</x:f>
        <x:v>-0.6904569349976748</x:v>
      </x:c>
      <x:c r="D431" s="84" t="n">
        <x:f>C431^2-'Resumen'!$B$5^3/3</x:f>
        <x:v>0.14339744575305002</x:v>
      </x:c>
      <x:c r="E431" s="85" t="n">
        <x:f>D431+'Resumen'!$B$5^3/3</x:f>
        <x:v>0.47673077908638334</x:v>
      </x:c>
    </x:row>
    <x:row r="432">
      <x:c r="A432" s="89" t="n">
        <x:v>430</x:v>
      </x:c>
      <x:c r="B432" s="80" t="n">
        <x:v>0.4242187296715783</x:v>
      </x:c>
      <x:c r="C432" s="84" t="n">
        <x:f>SQRT('Resumen'!$B$5^3/3)*B432</x:f>
        <x:v>0.2449227977711668</x:v>
      </x:c>
      <x:c r="D432" s="84" t="n">
        <x:f>C432^2-'Resumen'!$B$5^3/3</x:f>
        <x:v>-0.27334615646527743</x:v>
      </x:c>
      <x:c r="E432" s="85" t="n">
        <x:f>D432+'Resumen'!$B$5^3/3</x:f>
        <x:v>0.05998717686805588</x:v>
      </x:c>
    </x:row>
    <x:row r="433">
      <x:c r="A433" s="89" t="n">
        <x:v>431</x:v>
      </x:c>
      <x:c r="B433" s="80" t="n">
        <x:v>-0.862431818645154</x:v>
      </x:c>
      <x:c r="C433" s="84" t="n">
        <x:f>SQRT('Resumen'!$B$5^3/3)*B433</x:f>
        <x:v>-0.4979252426524781</x:v>
      </x:c>
      <x:c r="D433" s="84" t="n">
        <x:f>C433^2-'Resumen'!$B$5^3/3</x:f>
        <x:v>-0.0854037860628041</x:v>
      </x:c>
      <x:c r="E433" s="85" t="n">
        <x:f>D433+'Resumen'!$B$5^3/3</x:f>
        <x:v>0.2479295472705292</x:v>
      </x:c>
    </x:row>
    <x:row r="434">
      <x:c r="A434" s="89" t="n">
        <x:v>432</x:v>
      </x:c>
      <x:c r="B434" s="80" t="n">
        <x:v>2.1508655627999076</x:v>
      </x:c>
      <x:c r="C434" s="84" t="n">
        <x:f>SQRT('Resumen'!$B$5^3/3)*B434</x:f>
        <x:v>1.2418028116732225</x:v>
      </x:c>
      <x:c r="D434" s="84" t="n">
        <x:f>C434^2-'Resumen'!$B$5^3/3</x:f>
        <x:v>1.2087408897461875</x:v>
      </x:c>
      <x:c r="E434" s="85" t="n">
        <x:f>D434+'Resumen'!$B$5^3/3</x:f>
        <x:v>1.5420742230795208</x:v>
      </x:c>
    </x:row>
    <x:row r="435">
      <x:c r="A435" s="89" t="n">
        <x:v>433</x:v>
      </x:c>
      <x:c r="B435" s="80" t="n">
        <x:v>-2.87505138621088</x:v>
      </x:c>
      <x:c r="C435" s="84" t="n">
        <x:f>SQRT('Resumen'!$B$5^3/3)*B435</x:f>
        <x:v>-1.6599116917628582</x:v>
      </x:c>
      <x:c r="D435" s="84" t="n">
        <x:f>C435^2-'Resumen'!$B$5^3/3</x:f>
        <x:v>2.4219734911177007</x:v>
      </x:c>
      <x:c r="E435" s="85" t="n">
        <x:f>D435+'Resumen'!$B$5^3/3</x:f>
        <x:v>2.755306824451034</x:v>
      </x:c>
    </x:row>
    <x:row r="436">
      <x:c r="A436" s="89" t="n">
        <x:v>434</x:v>
      </x:c>
      <x:c r="B436" s="80" t="n">
        <x:v>-0.6958596593609822</x:v>
      </x:c>
      <x:c r="C436" s="84" t="n">
        <x:f>SQRT('Resumen'!$B$5^3/3)*B436</x:f>
        <x:v>-0.4017547616502643</x:v>
      </x:c>
      <x:c r="D436" s="84" t="n">
        <x:f>C436^2-'Resumen'!$B$5^3/3</x:f>
        <x:v>-0.17192644482467265</x:v>
      </x:c>
      <x:c r="E436" s="85" t="n">
        <x:f>D436+'Resumen'!$B$5^3/3</x:f>
        <x:v>0.16140688850866067</x:v>
      </x:c>
    </x:row>
    <x:row r="437">
      <x:c r="A437" s="89" t="n">
        <x:v>435</x:v>
      </x:c>
      <x:c r="B437" s="80" t="n">
        <x:v>-1.2229116059950635</x:v>
      </x:c>
      <x:c r="C437" s="84" t="n">
        <x:f>SQRT('Resumen'!$B$5^3/3)*B437</x:f>
        <x:v>-0.7060483449163675</x:v>
      </x:c>
      <x:c r="D437" s="84" t="n">
        <x:f>C437^2-'Resumen'!$B$5^3/3</x:f>
        <x:v>0.16517093202580851</x:v>
      </x:c>
      <x:c r="E437" s="85" t="n">
        <x:f>D437+'Resumen'!$B$5^3/3</x:f>
        <x:v>0.49850426535914183</x:v>
      </x:c>
    </x:row>
    <x:row r="438">
      <x:c r="A438" s="89" t="n">
        <x:v>436</x:v>
      </x:c>
      <x:c r="B438" s="80" t="n">
        <x:v>-1.8862384781928994</x:v>
      </x:c>
      <x:c r="C438" s="84" t="n">
        <x:f>SQRT('Resumen'!$B$5^3/3)*B438</x:f>
        <x:v>-1.0890202931405004</x:v>
      </x:c>
      <x:c r="D438" s="84" t="n">
        <x:f>C438^2-'Resumen'!$B$5^3/3</x:f>
        <x:v>0.8526318655384881</x:v>
      </x:c>
      <x:c r="E438" s="85" t="n">
        <x:f>D438+'Resumen'!$B$5^3/3</x:f>
        <x:v>1.1859651988718214</x:v>
      </x:c>
    </x:row>
    <x:row r="439">
      <x:c r="A439" s="89" t="n">
        <x:v>437</x:v>
      </x:c>
      <x:c r="B439" s="80" t="n">
        <x:v>0.9340700535399706</x:v>
      </x:c>
      <x:c r="C439" s="84" t="n">
        <x:f>SQRT('Resumen'!$B$5^3/3)*B439</x:f>
        <x:v>0.5392855968532702</x:v>
      </x:c>
      <x:c r="D439" s="84" t="n">
        <x:f>C439^2-'Resumen'!$B$5^3/3</x:f>
        <x:v>-0.04250437835994547</x:v>
      </x:c>
      <x:c r="E439" s="85" t="n">
        <x:f>D439+'Resumen'!$B$5^3/3</x:f>
        <x:v>0.29082895497338784</x:v>
      </x:c>
    </x:row>
    <x:row r="440">
      <x:c r="A440" s="89" t="n">
        <x:v>438</x:v>
      </x:c>
      <x:c r="B440" s="80" t="n">
        <x:v>1.1834165159129866</x:v>
      </x:c>
      <x:c r="C440" s="84" t="n">
        <x:f>SQRT('Resumen'!$B$5^3/3)*B440</x:f>
        <x:v>0.6832458440258118</x:v>
      </x:c>
      <x:c r="D440" s="84" t="n">
        <x:f>C440^2-'Resumen'!$B$5^3/3</x:f>
        <x:v>0.13349155004521063</x:v>
      </x:c>
      <x:c r="E440" s="85" t="n">
        <x:f>D440+'Resumen'!$B$5^3/3</x:f>
        <x:v>0.46682488337854394</x:v>
      </x:c>
    </x:row>
    <x:row r="441">
      <x:c r="A441" s="89" t="n">
        <x:v>439</x:v>
      </x:c>
      <x:c r="B441" s="80" t="n">
        <x:v>-0.20136601122469844</x:v>
      </x:c>
      <x:c r="C441" s="84" t="n">
        <x:f>SQRT('Resumen'!$B$5^3/3)*B441</x:f>
        <x:v>-0.11625872078622083</x:v>
      </x:c>
      <x:c r="D441" s="84" t="n">
        <x:f>C441^2-'Resumen'!$B$5^3/3</x:f>
        <x:v>-0.31981724317448484</x:v>
      </x:c>
      <x:c r="E441" s="85" t="n">
        <x:f>D441+'Resumen'!$B$5^3/3</x:f>
        <x:v>0.01351609015884847</x:v>
      </x:c>
    </x:row>
    <x:row r="442">
      <x:c r="A442" s="89" t="n">
        <x:v>440</x:v>
      </x:c>
      <x:c r="B442" s="80" t="n">
        <x:v>-0.682708435276917</x:v>
      </x:c>
      <x:c r="C442" s="84" t="n">
        <x:f>SQRT('Resumen'!$B$5^3/3)*B442</x:f>
        <x:v>-0.39416189888515624</x:v>
      </x:c>
      <x:c r="D442" s="84" t="n">
        <x:f>C442^2-'Resumen'!$B$5^3/3</x:f>
        <x:v>-0.17796973080058118</x:v>
      </x:c>
      <x:c r="E442" s="85" t="n">
        <x:f>D442+'Resumen'!$B$5^3/3</x:f>
        <x:v>0.15536360253275214</x:v>
      </x:c>
    </x:row>
    <x:row r="443">
      <x:c r="A443" s="89" t="n">
        <x:v>441</x:v>
      </x:c>
      <x:c r="B443" s="80" t="n">
        <x:v>1.0637455913647833</x:v>
      </x:c>
      <x:c r="C443" s="84" t="n">
        <x:f>SQRT('Resumen'!$B$5^3/3)*B443</x:f>
        <x:v>0.6141538035237353</x:v>
      </x:c>
      <x:c r="D443" s="84" t="n">
        <x:f>C443^2-'Resumen'!$B$5^3/3</x:f>
        <x:v>0.04385156104933752</x:v>
      </x:c>
      <x:c r="E443" s="85" t="n">
        <x:f>D443+'Resumen'!$B$5^3/3</x:f>
        <x:v>0.37718489438267083</x:v>
      </x:c>
    </x:row>
    <x:row r="444">
      <x:c r="A444" s="89" t="n">
        <x:v>442</x:v>
      </x:c>
      <x:c r="B444" s="80" t="n">
        <x:v>-0.6274492406948871</x:v>
      </x:c>
      <x:c r="C444" s="84" t="n">
        <x:f>SQRT('Resumen'!$B$5^3/3)*B444</x:f>
        <x:v>-0.3622579880180193</x:v>
      </x:c>
      <x:c r="D444" s="84" t="n">
        <x:f>C444^2-'Resumen'!$B$5^3/3</x:f>
        <x:v>-0.2021024834504699</x:v>
      </x:c>
      <x:c r="E444" s="85" t="n">
        <x:f>D444+'Resumen'!$B$5^3/3</x:f>
        <x:v>0.1312308498828634</x:v>
      </x:c>
    </x:row>
    <x:row r="445">
      <x:c r="A445" s="89" t="n">
        <x:v>443</x:v>
      </x:c>
      <x:c r="B445" s="80" t="n">
        <x:v>1.066558914504809</x:v>
      </x:c>
      <x:c r="C445" s="84" t="n">
        <x:f>SQRT('Resumen'!$B$5^3/3)*B445</x:f>
        <x:v>0.6157780763959465</x:v>
      </x:c>
      <x:c r="D445" s="84" t="n">
        <x:f>C445^2-'Resumen'!$B$5^3/3</x:f>
        <x:v>0.04584930603655879</x:v>
      </x:c>
      <x:c r="E445" s="85" t="n">
        <x:f>D445+'Resumen'!$B$5^3/3</x:f>
        <x:v>0.3791826393698921</x:v>
      </x:c>
    </x:row>
    <x:row r="446">
      <x:c r="A446" s="89" t="n">
        <x:v>444</x:v>
      </x:c>
      <x:c r="B446" s="80" t="n">
        <x:v>0.40836042057624045</x:v>
      </x:c>
      <x:c r="C446" s="84" t="n">
        <x:f>SQRT('Resumen'!$B$5^3/3)*B446</x:f>
        <x:v>0.2357669987460812</x:v>
      </x:c>
      <x:c r="D446" s="84" t="n">
        <x:f>C446^2-'Resumen'!$B$5^3/3</x:f>
        <x:v>-0.27774725563559866</x:v>
      </x:c>
      <x:c r="E446" s="85" t="n">
        <x:f>D446+'Resumen'!$B$5^3/3</x:f>
        <x:v>0.05558607769773466</x:v>
      </x:c>
    </x:row>
    <x:row r="447">
      <x:c r="A447" s="89" t="n">
        <x:v>445</x:v>
      </x:c>
      <x:c r="B447" s="80" t="n">
        <x:v>0.17059502113224143</x:v>
      </x:c>
      <x:c r="C447" s="84" t="n">
        <x:f>SQRT('Resumen'!$B$5^3/3)*B447</x:f>
        <x:v>0.09849308137310948</x:v>
      </x:c>
      <x:c r="D447" s="84" t="n">
        <x:f>C447^2-'Resumen'!$B$5^3/3</x:f>
        <x:v>-0.32363244625496335</x:v>
      </x:c>
      <x:c r="E447" s="85" t="n">
        <x:f>D447+'Resumen'!$B$5^3/3</x:f>
        <x:v>0.009700887078369969</x:v>
      </x:c>
    </x:row>
    <x:row r="448">
      <x:c r="A448" s="89" t="n">
        <x:v>446</x:v>
      </x:c>
      <x:c r="B448" s="80" t="n">
        <x:v>-0.042328660309993785</x:v>
      </x:c>
      <x:c r="C448" s="84" t="n">
        <x:f>SQRT('Resumen'!$B$5^3/3)*B448</x:f>
        <x:v>-0.02443846342441114</x:v>
      </x:c>
      <x:c r="D448" s="84" t="n">
        <x:f>C448^2-'Resumen'!$B$5^3/3</x:f>
        <x:v>-0.332736094838787</x:v>
      </x:c>
      <x:c r="E448" s="85" t="n">
        <x:f>D448+'Resumen'!$B$5^3/3</x:f>
        <x:v>0.0005972384945462927</x:v>
      </x:c>
    </x:row>
    <x:row r="449">
      <x:c r="A449" s="89" t="n">
        <x:v>447</x:v>
      </x:c>
      <x:c r="B449" s="80" t="n">
        <x:v>1.4950191080787418</x:v>
      </x:c>
      <x:c r="C449" s="84" t="n">
        <x:f>SQRT('Resumen'!$B$5^3/3)*B449</x:f>
        <x:v>0.8631496844928958</x:v>
      </x:c>
      <x:c r="D449" s="84" t="n">
        <x:f>C449^2-'Resumen'!$B$5^3/3</x:f>
        <x:v>0.41169404450685215</x:v>
      </x:c>
      <x:c r="E449" s="85" t="n">
        <x:f>D449+'Resumen'!$B$5^3/3</x:f>
        <x:v>0.7450273778401855</x:v>
      </x:c>
    </x:row>
    <x:row r="450">
      <x:c r="A450" s="89" t="n">
        <x:v>448</x:v>
      </x:c>
      <x:c r="B450" s="80" t="n">
        <x:v>-0.5436955693760024</x:v>
      </x:c>
      <x:c r="C450" s="84" t="n">
        <x:f>SQRT('Resumen'!$B$5^3/3)*B450</x:f>
        <x:v>-0.3139027833364418</x:v>
      </x:c>
      <x:c r="D450" s="84" t="n">
        <x:f>C450^2-'Resumen'!$B$5^3/3</x:f>
        <x:v>-0.2347983759469682</x:v>
      </x:c>
      <x:c r="E450" s="85" t="n">
        <x:f>D450+'Resumen'!$B$5^3/3</x:f>
        <x:v>0.09853495738636511</x:v>
      </x:c>
    </x:row>
    <x:row r="451">
      <x:c r="A451" s="89" t="n">
        <x:v>449</x:v>
      </x:c>
      <x:c r="B451" s="80" t="n">
        <x:v>0.8476957016531381</x:v>
      </x:c>
      <x:c r="C451" s="84" t="n">
        <x:f>SQRT('Resumen'!$B$5^3/3)*B451</x:f>
        <x:v>0.48941734154032795</x:v>
      </x:c>
      <x:c r="D451" s="84" t="n">
        <x:f>C451^2-'Resumen'!$B$5^3/3</x:f>
        <x:v>-0.0938039991329313</x:v>
      </x:c>
      <x:c r="E451" s="85" t="n">
        <x:f>D451+'Resumen'!$B$5^3/3</x:f>
        <x:v>0.239529334200402</x:v>
      </x:c>
    </x:row>
    <x:row r="452">
      <x:c r="A452" s="89" t="n">
        <x:v>450</x:v>
      </x:c>
      <x:c r="B452" s="80" t="n">
        <x:v>0.7148897090204259</x:v>
      </x:c>
      <x:c r="C452" s="84" t="n">
        <x:f>SQRT('Resumen'!$B$5^3/3)*B452</x:f>
        <x:v>0.4127417659438361</x:v>
      </x:c>
      <x:c r="D452" s="84" t="n">
        <x:f>C452^2-'Resumen'!$B$5^3/3</x:f>
        <x:v>-0.16297756797889693</x:v>
      </x:c>
      <x:c r="E452" s="85" t="n">
        <x:f>D452+'Resumen'!$B$5^3/3</x:f>
        <x:v>0.1703557653544364</x:v>
      </x:c>
    </x:row>
    <x:row r="453">
      <x:c r="A453" s="89" t="n">
        <x:v>451</x:v>
      </x:c>
      <x:c r="B453" s="80" t="n">
        <x:v>0.9474868223867547</x:v>
      </x:c>
      <x:c r="C453" s="84" t="n">
        <x:f>SQRT('Resumen'!$B$5^3/3)*B453</x:f>
        <x:v>0.547031771958616</x:v>
      </x:c>
      <x:c r="D453" s="84" t="n">
        <x:f>C453^2-'Resumen'!$B$5^3/3</x:f>
        <x:v>-0.034089573801150075</x:v>
      </x:c>
      <x:c r="E453" s="85" t="n">
        <x:f>D453+'Resumen'!$B$5^3/3</x:f>
        <x:v>0.29924375953218324</x:v>
      </x:c>
    </x:row>
    <x:row r="454">
      <x:c r="A454" s="89" t="n">
        <x:v>452</x:v>
      </x:c>
      <x:c r="B454" s="80" t="n">
        <x:v>-0.03321233594058932</x:v>
      </x:c>
      <x:c r="C454" s="84" t="n">
        <x:f>SQRT('Resumen'!$B$5^3/3)*B454</x:f>
        <x:v>-0.019175151095715524</x:v>
      </x:c>
      <x:c r="D454" s="84" t="n">
        <x:f>C454^2-'Resumen'!$B$5^3/3</x:f>
        <x:v>-0.33296564691378977</x:v>
      </x:c>
      <x:c r="E454" s="85" t="n">
        <x:f>D454+'Resumen'!$B$5^3/3</x:f>
        <x:v>0.00036768641954354475</x:v>
      </x:c>
    </x:row>
    <x:row r="455">
      <x:c r="A455" s="89" t="n">
        <x:v>453</x:v>
      </x:c>
      <x:c r="B455" s="80" t="n">
        <x:v>-0.15145092402123975</x:v>
      </x:c>
      <x:c r="C455" s="84" t="n">
        <x:f>SQRT('Resumen'!$B$5^3/3)*B455</x:f>
        <x:v>-0.08744023175268033</x:v>
      </x:c>
      <x:c r="D455" s="84" t="n">
        <x:f>C455^2-'Resumen'!$B$5^3/3</x:f>
        <x:v>-0.3256875392043709</x:v>
      </x:c>
      <x:c r="E455" s="85" t="n">
        <x:f>D455+'Resumen'!$B$5^3/3</x:f>
        <x:v>0.007645794128962435</x:v>
      </x:c>
    </x:row>
    <x:row r="456">
      <x:c r="A456" s="89" t="n">
        <x:v>454</x:v>
      </x:c>
      <x:c r="B456" s="80" t="n">
        <x:v>1.2819404563548276</x:v>
      </x:c>
      <x:c r="C456" s="84" t="n">
        <x:f>SQRT('Resumen'!$B$5^3/3)*B456</x:f>
        <x:v>0.7401286675615314</x:v>
      </x:c>
      <x:c r="D456" s="84" t="n">
        <x:f>C456^2-'Resumen'!$B$5^3/3</x:f>
        <x:v>0.2144571112130746</x:v>
      </x:c>
      <x:c r="E456" s="85" t="n">
        <x:f>D456+'Resumen'!$B$5^3/3</x:f>
        <x:v>0.5477904445464079</x:v>
      </x:c>
    </x:row>
    <x:row r="457">
      <x:c r="A457" s="89" t="n">
        <x:v>455</x:v>
      </x:c>
      <x:c r="B457" s="80" t="n">
        <x:v>1.2957375556419868</x:v>
      </x:c>
      <x:c r="C457" s="84" t="n">
        <x:f>SQRT('Resumen'!$B$5^3/3)*B457</x:f>
        <x:v>0.7480944265490087</x:v>
      </x:c>
      <x:c r="D457" s="84" t="n">
        <x:f>C457^2-'Resumen'!$B$5^3/3</x:f>
        <x:v>0.2263119377003569</x:v>
      </x:c>
      <x:c r="E457" s="85" t="n">
        <x:f>D457+'Resumen'!$B$5^3/3</x:f>
        <x:v>0.5596452710336902</x:v>
      </x:c>
    </x:row>
    <x:row r="458">
      <x:c r="A458" s="89" t="n">
        <x:v>456</x:v>
      </x:c>
      <x:c r="B458" s="80" t="n">
        <x:v>0.764061973755902</x:v>
      </x:c>
      <x:c r="C458" s="84" t="n">
        <x:f>SQRT('Resumen'!$B$5^3/3)*B458</x:f>
        <x:v>0.4411313862255268</x:v>
      </x:c>
      <x:c r="D458" s="84" t="n">
        <x:f>C458^2-'Resumen'!$B$5^3/3</x:f>
        <x:v>-0.13873643342007844</x:v>
      </x:c>
      <x:c r="E458" s="85" t="n">
        <x:f>D458+'Resumen'!$B$5^3/3</x:f>
        <x:v>0.19459689991325488</x:v>
      </x:c>
    </x:row>
    <x:row r="459">
      <x:c r="A459" s="89" t="n">
        <x:v>457</x:v>
      </x:c>
      <x:c r="B459" s="80" t="n">
        <x:v>0.026618662964816457</x:v>
      </x:c>
      <x:c r="C459" s="84" t="n">
        <x:f>SQRT('Resumen'!$B$5^3/3)*B459</x:f>
        <x:v>0.015368292228204702</x:v>
      </x:c>
      <x:c r="D459" s="84" t="n">
        <x:f>C459^2-'Resumen'!$B$5^3/3</x:f>
        <x:v>-0.33309714892732184</x:v>
      </x:c>
      <x:c r="E459" s="85" t="n">
        <x:f>D459+'Resumen'!$B$5^3/3</x:f>
        <x:v>0.00023618440601147483</x:v>
      </x:c>
    </x:row>
    <x:row r="460">
      <x:c r="A460" s="89" t="n">
        <x:v>458</x:v>
      </x:c>
      <x:c r="B460" s="80" t="n">
        <x:v>-0.5625604687563008</x:v>
      </x:c>
      <x:c r="C460" s="84" t="n">
        <x:f>SQRT('Resumen'!$B$5^3/3)*B460</x:f>
        <x:v>-0.32479443807189234</x:v>
      </x:c>
      <x:c r="D460" s="84" t="n">
        <x:f>C460^2-'Resumen'!$B$5^3/3</x:f>
        <x:v>-0.22784190633089701</x:v>
      </x:c>
      <x:c r="E460" s="85" t="n">
        <x:f>D460+'Resumen'!$B$5^3/3</x:f>
        <x:v>0.1054914270024363</x:v>
      </x:c>
    </x:row>
    <x:row r="461">
      <x:c r="A461" s="89" t="n">
        <x:v>459</x:v>
      </x:c>
      <x:c r="B461" s="80" t="n">
        <x:v>0.11500061804528236</x:v>
      </x:c>
      <x:c r="C461" s="84" t="n">
        <x:f>SQRT('Resumen'!$B$5^3/3)*B461</x:f>
        <x:v>0.0663956377854171</x:v>
      </x:c>
      <x:c r="D461" s="84" t="n">
        <x:f>C461^2-'Resumen'!$B$5^3/3</x:f>
        <x:v>-0.32892495261640103</x:v>
      </x:c>
      <x:c r="E461" s="85" t="n">
        <x:f>D461+'Resumen'!$B$5^3/3</x:f>
        <x:v>0.004408380716932281</x:v>
      </x:c>
    </x:row>
    <x:row r="462">
      <x:c r="A462" s="89" t="n">
        <x:v>460</x:v>
      </x:c>
      <x:c r="B462" s="80" t="n">
        <x:v>0.04816182111842214</x:v>
      </x:c>
      <x:c r="C462" s="84" t="n">
        <x:f>SQRT('Resumen'!$B$5^3/3)*B462</x:f>
        <x:v>0.027806240387383625</x:v>
      </x:c>
      <x:c r="D462" s="84" t="n">
        <x:f>C462^2-'Resumen'!$B$5^3/3</x:f>
        <x:v>-0.33256014632885234</x:v>
      </x:c>
      <x:c r="E462" s="85" t="n">
        <x:f>D462+'Resumen'!$B$5^3/3</x:f>
        <x:v>0.0007731870044809797</x:v>
      </x:c>
    </x:row>
    <x:row r="463">
      <x:c r="A463" s="89" t="n">
        <x:v>461</x:v>
      </x:c>
      <x:c r="B463" s="80" t="n">
        <x:v>1.1137315956630465</x:v>
      </x:c>
      <x:c r="C463" s="84" t="n">
        <x:f>SQRT('Resumen'!$B$5^3/3)*B463</x:f>
        <x:v>0.6430132365610512</x:v>
      </x:c>
      <x:c r="D463" s="84" t="n">
        <x:f>C463^2-'Resumen'!$B$5^3/3</x:f>
        <x:v>0.08013268905938514</x:v>
      </x:c>
      <x:c r="E463" s="85" t="n">
        <x:f>D463+'Resumen'!$B$5^3/3</x:f>
        <x:v>0.41346602239271846</x:v>
      </x:c>
    </x:row>
    <x:row r="464">
      <x:c r="A464" s="89" t="n">
        <x:v>462</x:v>
      </x:c>
      <x:c r="B464" s="80" t="n">
        <x:v>-1.109232388846152</x:v>
      </x:c>
      <x:c r="C464" s="84" t="n">
        <x:f>SQRT('Resumen'!$B$5^3/3)*B464</x:f>
        <x:v>-0.6404156182941775</x:v>
      </x:c>
      <x:c r="D464" s="84" t="n">
        <x:f>C464^2-'Resumen'!$B$5^3/3</x:f>
        <x:v>0.0767988308217803</x:v>
      </x:c>
      <x:c r="E464" s="85" t="n">
        <x:f>D464+'Resumen'!$B$5^3/3</x:f>
        <x:v>0.4101321641551136</x:v>
      </x:c>
    </x:row>
    <x:row r="465">
      <x:c r="A465" s="89" t="n">
        <x:v>463</x:v>
      </x:c>
      <x:c r="B465" s="80" t="n">
        <x:v>-0.8085664668107541</x:v>
      </x:c>
      <x:c r="C465" s="84" t="n">
        <x:f>SQRT('Resumen'!$B$5^3/3)*B465</x:f>
        <x:v>-0.46682606727089343</x:v>
      </x:c>
      <x:c r="D465" s="84" t="n">
        <x:f>C465^2-'Resumen'!$B$5^3/3</x:f>
        <x:v>-0.1154067562497246</x:v>
      </x:c>
      <x:c r="E465" s="85" t="n">
        <x:f>D465+'Resumen'!$B$5^3/3</x:f>
        <x:v>0.2179265770836087</x:v>
      </x:c>
    </x:row>
    <x:row r="466">
      <x:c r="A466" s="89" t="n">
        <x:v>464</x:v>
      </x:c>
      <x:c r="B466" s="80" t="n">
        <x:v>1.6909848346320349</x:v>
      </x:c>
      <x:c r="C466" s="84" t="n">
        <x:f>SQRT('Resumen'!$B$5^3/3)*B466</x:f>
        <x:v>0.9762905494703801</x:v>
      </x:c>
      <x:c r="D466" s="84" t="n">
        <x:f>C466^2-'Resumen'!$B$5^3/3</x:f>
        <x:v>0.6198099036518434</x:v>
      </x:c>
      <x:c r="E466" s="85" t="n">
        <x:f>D466+'Resumen'!$B$5^3/3</x:f>
        <x:v>0.9531432369851767</x:v>
      </x:c>
    </x:row>
    <x:row r="467">
      <x:c r="A467" s="89" t="n">
        <x:v>465</x:v>
      </x:c>
      <x:c r="B467" s="80" t="n">
        <x:v>0.5577788623806369</x:v>
      </x:c>
      <x:c r="C467" s="84" t="n">
        <x:f>SQRT('Resumen'!$B$5^3/3)*B467</x:f>
        <x:v>0.3220337763437439</x:v>
      </x:c>
      <x:c r="D467" s="84" t="n">
        <x:f>C467^2-'Resumen'!$B$5^3/3</x:f>
        <x:v>-0.22962758022712082</x:v>
      </x:c>
      <x:c r="E467" s="85" t="n">
        <x:f>D467+'Resumen'!$B$5^3/3</x:f>
        <x:v>0.1037057531062125</x:v>
      </x:c>
    </x:row>
    <x:row r="468">
      <x:c r="A468" s="89" t="n">
        <x:v>466</x:v>
      </x:c>
      <x:c r="B468" s="80" t="n">
        <x:v>-1.3863246097023434</x:v>
      </x:c>
      <x:c r="C468" s="84" t="n">
        <x:f>SQRT('Resumen'!$B$5^3/3)*B468</x:f>
        <x:v>-0.8003948865958508</x:v>
      </x:c>
      <x:c r="D468" s="84" t="n">
        <x:f>C468^2-'Resumen'!$B$5^3/3</x:f>
        <x:v>0.3072986411554515</x:v>
      </x:c>
      <x:c r="E468" s="85" t="n">
        <x:f>D468+'Resumen'!$B$5^3/3</x:f>
        <x:v>0.6406319744887848</x:v>
      </x:c>
    </x:row>
    <x:row r="469">
      <x:c r="A469" s="89" t="n">
        <x:v>467</x:v>
      </x:c>
      <x:c r="B469" s="80" t="n">
        <x:v>1.6425928641091618</x:v>
      </x:c>
      <x:c r="C469" s="84" t="n">
        <x:f>SQRT('Resumen'!$B$5^3/3)*B469</x:f>
        <x:v>0.9483514322623829</x:v>
      </x:c>
      <x:c r="D469" s="84" t="n">
        <x:f>C469^2-'Resumen'!$B$5^3/3</x:f>
        <x:v>0.5660371057407798</x:v>
      </x:c>
      <x:c r="E469" s="85" t="n">
        <x:f>D469+'Resumen'!$B$5^3/3</x:f>
        <x:v>0.8993704390741131</x:v>
      </x:c>
    </x:row>
    <x:row r="470">
      <x:c r="A470" s="89" t="n">
        <x:v>468</x:v>
      </x:c>
      <x:c r="B470" s="80" t="n">
        <x:v>0.9493636565413258</x:v>
      </x:c>
      <x:c r="C470" s="84" t="n">
        <x:f>SQRT('Resumen'!$B$5^3/3)*B470</x:f>
        <x:v>0.5481153626629819</x:v>
      </x:c>
      <x:c r="D470" s="84" t="n">
        <x:f>C470^2-'Resumen'!$B$5^3/3</x:f>
        <x:v>-0.03290288254616114</x:v>
      </x:c>
      <x:c r="E470" s="85" t="n">
        <x:f>D470+'Resumen'!$B$5^3/3</x:f>
        <x:v>0.3004304507871722</x:v>
      </x:c>
    </x:row>
    <x:row r="471">
      <x:c r="A471" s="89" t="n">
        <x:v>469</x:v>
      </x:c>
      <x:c r="B471" s="80" t="n">
        <x:v>-1.167563336036434</x:v>
      </x:c>
      <x:c r="C471" s="84" t="n">
        <x:f>SQRT('Resumen'!$B$5^3/3)*B471</x:f>
        <x:v>-0.6740930063565725</x:v>
      </x:c>
      <x:c r="D471" s="84" t="n">
        <x:f>C471^2-'Resumen'!$B$5^3/3</x:f>
        <x:v>0.12106804788550884</x:v>
      </x:c>
      <x:c r="E471" s="85" t="n">
        <x:f>D471+'Resumen'!$B$5^3/3</x:f>
        <x:v>0.45440138121884216</x:v>
      </x:c>
    </x:row>
    <x:row r="472">
      <x:c r="A472" s="89" t="n">
        <x:v>470</x:v>
      </x:c>
      <x:c r="B472" s="80" t="n">
        <x:v>-0.8911913390851799</x:v>
      </x:c>
      <x:c r="C472" s="84" t="n">
        <x:f>SQRT('Resumen'!$B$5^3/3)*B472</x:f>
        <x:v>-0.5145295595202917</x:v>
      </x:c>
      <x:c r="D472" s="84" t="n">
        <x:f>C472^2-'Resumen'!$B$5^3/3</x:f>
        <x:v>-0.06859266571318795</x:v>
      </x:c>
      <x:c r="E472" s="85" t="n">
        <x:f>D472+'Resumen'!$B$5^3/3</x:f>
        <x:v>0.26474066762014536</x:v>
      </x:c>
    </x:row>
    <x:row r="473">
      <x:c r="A473" s="89" t="n">
        <x:v>471</x:v>
      </x:c>
      <x:c r="B473" s="80" t="n">
        <x:v>0.2962969516295822</x:v>
      </x:c>
      <x:c r="C473" s="84" t="n">
        <x:f>SQRT('Resumen'!$B$5^3/3)*B473</x:f>
        <x:v>0.1710671247834048</x:v>
      </x:c>
      <x:c r="D473" s="84" t="n">
        <x:f>C473^2-'Resumen'!$B$5^3/3</x:f>
        <x:v>-0.30406937215167235</x:v>
      </x:c>
      <x:c r="E473" s="85" t="n">
        <x:f>D473+'Resumen'!$B$5^3/3</x:f>
        <x:v>0.02926396118166097</x:v>
      </x:c>
    </x:row>
    <x:row r="474">
      <x:c r="A474" s="89" t="n">
        <x:v>472</x:v>
      </x:c>
      <x:c r="B474" s="80" t="n">
        <x:v>0.8587424456651515</x:v>
      </x:c>
      <x:c r="C474" s="84" t="n">
        <x:f>SQRT('Resumen'!$B$5^3/3)*B474</x:f>
        <x:v>0.4957951821693327</x:v>
      </x:c>
      <x:c r="D474" s="84" t="n">
        <x:f>C474^2-'Resumen'!$B$5^3/3</x:f>
        <x:v>-0.08752047067101151</x:v>
      </x:c>
      <x:c r="E474" s="85" t="n">
        <x:f>D474+'Resumen'!$B$5^3/3</x:f>
        <x:v>0.2458128626623218</x:v>
      </x:c>
    </x:row>
    <x:row r="475">
      <x:c r="A475" s="89" t="n">
        <x:v>473</x:v>
      </x:c>
      <x:c r="B475" s="80" t="n">
        <x:v>-0.22172229729933074</x:v>
      </x:c>
      <x:c r="C475" s="84" t="n">
        <x:f>SQRT('Resumen'!$B$5^3/3)*B475</x:f>
        <x:v>-0.12801142803111082</x:v>
      </x:c>
      <x:c r="D475" s="84" t="n">
        <x:f>C475^2-'Resumen'!$B$5^3/3</x:f>
        <x:v>-0.31694640762676907</x:v>
      </x:c>
      <x:c r="E475" s="85" t="n">
        <x:f>D475+'Resumen'!$B$5^3/3</x:f>
        <x:v>0.016386925706564248</x:v>
      </x:c>
    </x:row>
    <x:row r="476">
      <x:c r="A476" s="89" t="n">
        <x:v>474</x:v>
      </x:c>
      <x:c r="B476" s="80" t="n">
        <x:v>1.3107406320276744</x:v>
      </x:c>
      <x:c r="C476" s="84" t="n">
        <x:f>SQRT('Resumen'!$B$5^3/3)*B476</x:f>
        <x:v>0.756756456738958</x:v>
      </x:c>
      <x:c r="D476" s="84" t="n">
        <x:f>C476^2-'Resumen'!$B$5^3/3</x:f>
        <x:v>0.23934700148276905</x:v>
      </x:c>
      <x:c r="E476" s="85" t="n">
        <x:f>D476+'Resumen'!$B$5^3/3</x:f>
        <x:v>0.5726803348161024</x:v>
      </x:c>
    </x:row>
    <x:row r="477">
      <x:c r="A477" s="89" t="n">
        <x:v>475</x:v>
      </x:c>
      <x:c r="B477" s="80" t="n">
        <x:v>1.3894282620591014</x:v>
      </x:c>
      <x:c r="C477" s="84" t="n">
        <x:f>SQRT('Resumen'!$B$5^3/3)*B477</x:f>
        <x:v>0.802186781119496</x:v>
      </x:c>
      <x:c r="D477" s="84" t="n">
        <x:f>C477^2-'Resumen'!$B$5^3/3</x:f>
        <x:v>0.310170298469525</x:v>
      </x:c>
      <x:c r="E477" s="85" t="n">
        <x:f>D477+'Resumen'!$B$5^3/3</x:f>
        <x:v>0.6435036318028583</x:v>
      </x:c>
    </x:row>
    <x:row r="478">
      <x:c r="A478" s="89" t="n">
        <x:v>476</x:v>
      </x:c>
      <x:c r="B478" s="80" t="n">
        <x:v>1.3841009384464882</x:v>
      </x:c>
      <x:c r="C478" s="84" t="n">
        <x:f>SQRT('Resumen'!$B$5^3/3)*B478</x:f>
        <x:v>0.7991110493976935</x:v>
      </x:c>
      <x:c r="D478" s="84" t="n">
        <x:f>C478^2-'Resumen'!$B$5^3/3</x:f>
        <x:v>0.3052451359361496</x:v>
      </x:c>
      <x:c r="E478" s="85" t="n">
        <x:f>D478+'Resumen'!$B$5^3/3</x:f>
        <x:v>0.6385784692694829</x:v>
      </x:c>
    </x:row>
    <x:row r="479">
      <x:c r="A479" s="89" t="n">
        <x:v>477</x:v>
      </x:c>
      <x:c r="B479" s="80" t="n">
        <x:v>-0.9597991281718152</x:v>
      </x:c>
      <x:c r="C479" s="84" t="n">
        <x:f>SQRT('Resumen'!$B$5^3/3)*B479</x:f>
        <x:v>-0.5541402850179656</x:v>
      </x:c>
      <x:c r="D479" s="84" t="n">
        <x:f>C479^2-'Resumen'!$B$5^3/3</x:f>
        <x:v>-0.026261877853541116</x:v>
      </x:c>
      <x:c r="E479" s="85" t="n">
        <x:f>D479+'Resumen'!$B$5^3/3</x:f>
        <x:v>0.3070714554797922</x:v>
      </x:c>
    </x:row>
    <x:row r="480">
      <x:c r="A480" s="89" t="n">
        <x:v>478</x:v>
      </x:c>
      <x:c r="B480" s="80" t="n">
        <x:v>0.8614173838539152</x:v>
      </x:c>
      <x:c r="C480" s="84" t="n">
        <x:f>SQRT('Resumen'!$B$5^3/3)*B480</x:f>
        <x:v>0.4973395584526811</x:v>
      </x:c>
      <x:c r="D480" s="84" t="n">
        <x:f>C480^2-'Resumen'!$B$5^3/3</x:f>
        <x:v>-0.08598669693142555</x:v>
      </x:c>
      <x:c r="E480" s="85" t="n">
        <x:f>D480+'Resumen'!$B$5^3/3</x:f>
        <x:v>0.24734663640190777</x:v>
      </x:c>
    </x:row>
    <x:row r="481">
      <x:c r="A481" s="89" t="n">
        <x:v>479</x:v>
      </x:c>
      <x:c r="B481" s="80" t="n">
        <x:v>1.068480011857351</x:v>
      </x:c>
      <x:c r="C481" s="84" t="n">
        <x:f>SQRT('Resumen'!$B$5^3/3)*B481</x:f>
        <x:v>0.6168872224695761</x:v>
      </x:c>
      <x:c r="D481" s="84" t="n">
        <x:f>C481^2-'Resumen'!$B$5^3/3</x:f>
        <x:v>0.04721651191289489</x:v>
      </x:c>
      <x:c r="E481" s="85" t="n">
        <x:f>D481+'Resumen'!$B$5^3/3</x:f>
        <x:v>0.3805498452462282</x:v>
      </x:c>
    </x:row>
    <x:row r="482">
      <x:c r="A482" s="89" t="n">
        <x:v>480</x:v>
      </x:c>
      <x:c r="B482" s="80" t="n">
        <x:v>0.41187961712592036</x:v>
      </x:c>
      <x:c r="C482" s="84" t="n">
        <x:f>SQRT('Resumen'!$B$5^3/3)*B482</x:f>
        <x:v>0.2377988078213701</x:v>
      </x:c>
      <x:c r="D482" s="84" t="n">
        <x:f>C482^2-'Resumen'!$B$5^3/3</x:f>
        <x:v>-0.2767850603320684</x:v>
      </x:c>
      <x:c r="E482" s="85" t="n">
        <x:f>D482+'Resumen'!$B$5^3/3</x:f>
        <x:v>0.056548273001264915</x:v>
      </x:c>
    </x:row>
    <x:row r="483">
      <x:c r="A483" s="89" t="n">
        <x:v>481</x:v>
      </x:c>
      <x:c r="B483" s="80" t="n">
        <x:v>-0.9717134220038384</x:v>
      </x:c>
      <x:c r="C483" s="84" t="n">
        <x:f>SQRT('Resumen'!$B$5^3/3)*B483</x:f>
        <x:v>-0.5610190057690885</x:v>
      </x:c>
      <x:c r="D483" s="84" t="n">
        <x:f>C483^2-'Resumen'!$B$5^3/3</x:f>
        <x:v>-0.018591008499196815</x:v>
      </x:c>
      <x:c r="E483" s="85" t="n">
        <x:f>D483+'Resumen'!$B$5^3/3</x:f>
        <x:v>0.3147423248341365</x:v>
      </x:c>
    </x:row>
    <x:row r="484">
      <x:c r="A484" s="89" t="n">
        <x:v>482</x:v>
      </x:c>
      <x:c r="B484" s="80" t="n">
        <x:v>-1.2121869526779598</x:v>
      </x:c>
      <x:c r="C484" s="84" t="n">
        <x:f>SQRT('Resumen'!$B$5^3/3)*B484</x:f>
        <x:v>-0.6998564634367722</x:v>
      </x:c>
      <x:c r="D484" s="84" t="n">
        <x:f>C484^2-'Resumen'!$B$5^3/3</x:f>
        <x:v>0.15646573608089276</x:v>
      </x:c>
      <x:c r="E484" s="85" t="n">
        <x:f>D484+'Resumen'!$B$5^3/3</x:f>
        <x:v>0.4897990694142261</x:v>
      </x:c>
    </x:row>
    <x:row r="485">
      <x:c r="A485" s="89" t="n">
        <x:v>483</x:v>
      </x:c>
      <x:c r="B485" s="80" t="n">
        <x:v>-0.16527580271308082</x:v>
      </x:c>
      <x:c r="C485" s="84" t="n">
        <x:f>SQRT('Resumen'!$B$5^3/3)*B485</x:f>
        <x:v>-0.09542202918692869</x:v>
      </x:c>
      <x:c r="D485" s="84" t="n">
        <x:f>C485^2-'Resumen'!$B$5^3/3</x:f>
        <x:v>-0.32422796967918227</x:v>
      </x:c>
      <x:c r="E485" s="85" t="n">
        <x:f>D485+'Resumen'!$B$5^3/3</x:f>
        <x:v>0.009105363654151044</x:v>
      </x:c>
    </x:row>
    <x:row r="486">
      <x:c r="A486" s="89" t="n">
        <x:v>484</x:v>
      </x:c>
      <x:c r="B486" s="80" t="n">
        <x:v>0.9373614034807273</x:v>
      </x:c>
      <x:c r="C486" s="84" t="n">
        <x:f>SQRT('Resumen'!$B$5^3/3)*B486</x:f>
        <x:v>0.5411858586275633</x:v>
      </x:c>
      <x:c r="D486" s="84" t="n">
        <x:f>C486^2-'Resumen'!$B$5^3/3</x:f>
        <x:v>-0.040451199754880374</x:v>
      </x:c>
      <x:c r="E486" s="85" t="n">
        <x:f>D486+'Resumen'!$B$5^3/3</x:f>
        <x:v>0.29288213357845294</x:v>
      </x:c>
    </x:row>
    <x:row r="487">
      <x:c r="A487" s="89" t="n">
        <x:v>485</x:v>
      </x:c>
      <x:c r="B487" s="80" t="n">
        <x:v>-0.3929777644903425</x:v>
      </x:c>
      <x:c r="C487" s="84" t="n">
        <x:f>SQRT('Resumen'!$B$5^3/3)*B487</x:f>
        <x:v>-0.22688581811403657</x:v>
      </x:c>
      <x:c r="D487" s="84" t="n">
        <x:f>C487^2-'Resumen'!$B$5^3/3</x:f>
        <x:v>-0.2818561588720576</x:v>
      </x:c>
      <x:c r="E487" s="85" t="n">
        <x:f>D487+'Resumen'!$B$5^3/3</x:f>
        <x:v>0.0514771744612757</x:v>
      </x:c>
    </x:row>
    <x:row r="488">
      <x:c r="A488" s="89" t="n">
        <x:v>486</x:v>
      </x:c>
      <x:c r="B488" s="80" t="n">
        <x:v>-1.1159146064688208</x:v>
      </x:c>
      <x:c r="C488" s="84" t="n">
        <x:f>SQRT('Resumen'!$B$5^3/3)*B488</x:f>
        <x:v>-0.644273598437409</x:v>
      </x:c>
      <x:c r="D488" s="84" t="n">
        <x:f>C488^2-'Resumen'!$B$5^3/3</x:f>
        <x:v>0.08175513631015435</x:v>
      </x:c>
      <x:c r="E488" s="85" t="n">
        <x:f>D488+'Resumen'!$B$5^3/3</x:f>
        <x:v>0.41508846964348767</x:v>
      </x:c>
    </x:row>
    <x:row r="489">
      <x:c r="A489" s="89" t="n">
        <x:v>487</x:v>
      </x:c>
      <x:c r="B489" s="80" t="n">
        <x:v>-0.6175656890041352</x:v>
      </x:c>
      <x:c r="C489" s="84" t="n">
        <x:f>SQRT('Resumen'!$B$5^3/3)*B489</x:f>
        <x:v>-0.35655171678881414</x:v>
      </x:c>
      <x:c r="D489" s="84" t="n">
        <x:f>C489^2-'Resumen'!$B$5^3/3</x:f>
        <x:v>-0.2062042065882826</x:v>
      </x:c>
      <x:c r="E489" s="85" t="n">
        <x:f>D489+'Resumen'!$B$5^3/3</x:f>
        <x:v>0.12712912674505072</x:v>
      </x:c>
    </x:row>
    <x:row r="490">
      <x:c r="A490" s="89" t="n">
        <x:v>488</x:v>
      </x:c>
      <x:c r="B490" s="80" t="n">
        <x:v>-1.9016747594391212</x:v>
      </x:c>
      <x:c r="C490" s="84" t="n">
        <x:f>SQRT('Resumen'!$B$5^3/3)*B490</x:f>
        <x:v>-1.0979324342732935</x:v>
      </x:c>
      <x:c r="D490" s="84" t="n">
        <x:f>C490^2-'Resumen'!$B$5^3/3</x:f>
        <x:v>0.8721222968959466</x:v>
      </x:c>
      <x:c r="E490" s="85" t="n">
        <x:f>D490+'Resumen'!$B$5^3/3</x:f>
        <x:v>1.2054556302292798</x:v>
      </x:c>
    </x:row>
    <x:row r="491">
      <x:c r="A491" s="89" t="n">
        <x:v>489</x:v>
      </x:c>
      <x:c r="B491" s="80" t="n">
        <x:v>-1.5812707286119072</x:v>
      </x:c>
      <x:c r="C491" s="84" t="n">
        <x:f>SQRT('Resumen'!$B$5^3/3)*B491</x:f>
        <x:v>-0.9129470808257603</x:v>
      </x:c>
      <x:c r="D491" s="84" t="n">
        <x:f>C491^2-'Resumen'!$B$5^3/3</x:f>
        <x:v>0.5001390390549438</x:v>
      </x:c>
      <x:c r="E491" s="85" t="n">
        <x:f>D491+'Resumen'!$B$5^3/3</x:f>
        <x:v>0.8334723723882771</x:v>
      </x:c>
    </x:row>
    <x:row r="492">
      <x:c r="A492" s="89" t="n">
        <x:v>490</x:v>
      </x:c>
      <x:c r="B492" s="80" t="n">
        <x:v>-0.20524504683705672</x:v>
      </x:c>
      <x:c r="C492" s="84" t="n">
        <x:f>SQRT('Resumen'!$B$5^3/3)*B492</x:f>
        <x:v>-0.11849828304121203</x:v>
      </x:c>
      <x:c r="D492" s="84" t="n">
        <x:f>C492^2-'Resumen'!$B$5^3/3</x:f>
        <x:v>-0.3192914902496181</x:v>
      </x:c>
      <x:c r="E492" s="85" t="n">
        <x:f>D492+'Resumen'!$B$5^3/3</x:f>
        <x:v>0.0140418430837152</x:v>
      </x:c>
    </x:row>
    <x:row r="493">
      <x:c r="A493" s="89" t="n">
        <x:v>491</x:v>
      </x:c>
      <x:c r="B493" s="80" t="n">
        <x:v>-2.147864441185127</x:v>
      </x:c>
      <x:c r="C493" s="84" t="n">
        <x:f>SQRT('Resumen'!$B$5^3/3)*B493</x:f>
        <x:v>-1.240070113301058</x:v>
      </x:c>
      <x:c r="D493" s="84" t="n">
        <x:f>C493^2-'Resumen'!$B$5^3/3</x:f>
        <x:v>1.2044405525691657</x:v>
      </x:c>
      <x:c r="E493" s="85" t="n">
        <x:f>D493+'Resumen'!$B$5^3/3</x:f>
        <x:v>1.537773885902499</x:v>
      </x:c>
    </x:row>
    <x:row r="494">
      <x:c r="A494" s="89" t="n">
        <x:v>492</x:v>
      </x:c>
      <x:c r="B494" s="80" t="n">
        <x:v>1.2316871646971401</x:v>
      </x:c>
      <x:c r="C494" s="84" t="n">
        <x:f>SQRT('Resumen'!$B$5^3/3)*B494</x:f>
        <x:v>0.7111149160953008</x:v>
      </x:c>
      <x:c r="D494" s="84" t="n">
        <x:f>C494^2-'Resumen'!$B$5^3/3</x:f>
        <x:v>0.17235109055989334</x:v>
      </x:c>
      <x:c r="E494" s="85" t="n">
        <x:f>D494+'Resumen'!$B$5^3/3</x:f>
        <x:v>0.5056844238932267</x:v>
      </x:c>
    </x:row>
    <x:row r="495">
      <x:c r="A495" s="89" t="n">
        <x:v>493</x:v>
      </x:c>
      <x:c r="B495" s="80" t="n">
        <x:v>-0.1287160347256787</x:v>
      </x:c>
      <x:c r="C495" s="84" t="n">
        <x:f>SQRT('Resumen'!$B$5^3/3)*B495</x:f>
        <x:v>-0.0743142372978918</x:v>
      </x:c>
      <x:c r="D495" s="84" t="n">
        <x:f>C495^2-'Resumen'!$B$5^3/3</x:f>
        <x:v>-0.3278107274681659</x:v>
      </x:c>
      <x:c r="E495" s="85" t="n">
        <x:f>D495+'Resumen'!$B$5^3/3</x:f>
        <x:v>0.005522605865167396</x:v>
      </x:c>
    </x:row>
    <x:row r="496">
      <x:c r="A496" s="89" t="n">
        <x:v>494</x:v>
      </x:c>
      <x:c r="B496" s="80" t="n">
        <x:v>-0.07738619938600248</x:v>
      </x:c>
      <x:c r="C496" s="84" t="n">
        <x:f>SQRT('Resumen'!$B$5^3/3)*B496</x:f>
        <x:v>-0.04467894304707058</x:v>
      </x:c>
      <x:c r="D496" s="84" t="n">
        <x:f>C496^2-'Resumen'!$B$5^3/3</x:f>
        <x:v>-0.33133712538152993</x:v>
      </x:c>
      <x:c r="E496" s="85" t="n">
        <x:f>D496+'Resumen'!$B$5^3/3</x:f>
        <x:v>0.001996207951803386</x:v>
      </x:c>
    </x:row>
    <x:row r="497">
      <x:c r="A497" s="89" t="n">
        <x:v>495</x:v>
      </x:c>
      <x:c r="B497" s="80" t="n">
        <x:v>1.0491905009756524</x:v>
      </x:c>
      <x:c r="C497" s="84" t="n">
        <x:f>SQRT('Resumen'!$B$5^3/3)*B497</x:f>
        <x:v>0.6057504181694912</x:v>
      </x:c>
      <x:c r="D497" s="84" t="n">
        <x:f>C497^2-'Resumen'!$B$5^3/3</x:f>
        <x:v>0.03360023577918009</x:v>
      </x:c>
      <x:c r="E497" s="85" t="n">
        <x:f>D497+'Resumen'!$B$5^3/3</x:f>
        <x:v>0.3669335691125134</x:v>
      </x:c>
    </x:row>
    <x:row r="498">
      <x:c r="A498" s="89" t="n">
        <x:v>496</x:v>
      </x:c>
      <x:c r="B498" s="80" t="n">
        <x:v>-0.42249352652039174</x:v>
      </x:c>
      <x:c r="C498" s="84" t="n">
        <x:f>SQRT('Resumen'!$B$5^3/3)*B498</x:f>
        <x:v>-0.24392675126742244</x:v>
      </x:c>
      <x:c r="D498" s="84" t="n">
        <x:f>C498^2-'Resumen'!$B$5^3/3</x:f>
        <x:v>-0.27383307334945434</x:v>
      </x:c>
      <x:c r="E498" s="85" t="n">
        <x:f>D498+'Resumen'!$B$5^3/3</x:f>
        <x:v>0.05950025998387898</x:v>
      </x:c>
    </x:row>
    <x:row r="499">
      <x:c r="A499" s="89" t="n">
        <x:v>497</x:v>
      </x:c>
      <x:c r="B499" s="80" t="n">
        <x:v>0.5004880714405846</x:v>
      </x:c>
      <x:c r="C499" s="84" t="n">
        <x:f>SQRT('Resumen'!$B$5^3/3)*B499</x:f>
        <x:v>0.28895692277241813</x:v>
      </x:c>
      <x:c r="D499" s="84" t="n">
        <x:f>C499^2-'Resumen'!$B$5^3/3</x:f>
        <x:v>-0.2498372301152281</x:v>
      </x:c>
      <x:c r="E499" s="85" t="n">
        <x:f>D499+'Resumen'!$B$5^3/3</x:f>
        <x:v>0.08349610321810522</x:v>
      </x:c>
    </x:row>
    <x:row r="500">
      <x:c r="A500" s="89" t="n">
        <x:v>498</x:v>
      </x:c>
      <x:c r="B500" s="80" t="n">
        <x:v>-1.316754812464937</x:v>
      </x:c>
      <x:c r="C500" s="84" t="n">
        <x:f>SQRT('Resumen'!$B$5^3/3)*B500</x:f>
        <x:v>-0.7602287454333666</x:v>
      </x:c>
      <x:c r="D500" s="84" t="n">
        <x:f>C500^2-'Resumen'!$B$5^3/3</x:f>
        <x:v>0.24461441204985718</x:v>
      </x:c>
      <x:c r="E500" s="85" t="n">
        <x:f>D500+'Resumen'!$B$5^3/3</x:f>
        <x:v>0.5779477453831905</x:v>
      </x:c>
    </x:row>
    <x:row r="501">
      <x:c r="A501" s="89" t="n">
        <x:v>499</x:v>
      </x:c>
      <x:c r="B501" s="80" t="n">
        <x:v>0.001731617886759566</x:v>
      </x:c>
      <x:c r="C501" s="84" t="n">
        <x:f>SQRT('Resumen'!$B$5^3/3)*B501</x:f>
        <x:v>0.0009997500530542062</x:v>
      </x:c>
      <x:c r="D501" s="84" t="n">
        <x:f>C501^2-'Resumen'!$B$5^3/3</x:f>
        <x:v>-0.33333233383316474</x:v>
      </x:c>
      <x:c r="E501" s="85" t="n">
        <x:f>D501+'Resumen'!$B$5^3/3</x:f>
        <x:v>9.995001685747518e-7</x:v>
      </x:c>
    </x:row>
    <x:row r="502">
      <x:c r="A502" s="89" t="n">
        <x:v>500</x:v>
      </x:c>
      <x:c r="B502" s="80" t="n">
        <x:v>0.4302149010704279</x:v>
      </x:c>
      <x:c r="C502" s="84" t="n">
        <x:f>SQRT('Resumen'!$B$5^3/3)*B502</x:f>
        <x:v>0.24838468894239976</x:v>
      </x:c>
      <x:c r="D502" s="84" t="n">
        <x:f>C502^2-'Resumen'!$B$5^3/3</x:f>
        <x:v>-0.2716383796323206</x:v>
      </x:c>
      <x:c r="E502" s="85" t="n">
        <x:f>D502+'Resumen'!$B$5^3/3</x:f>
        <x:v>0.06169495370101269</x:v>
      </x:c>
    </x:row>
    <x:row r="503">
      <x:c r="A503" s="89" t="n">
        <x:v>501</x:v>
      </x:c>
      <x:c r="B503" s="80" t="n">
        <x:v>1.6823906759651217</x:v>
      </x:c>
      <x:c r="C503" s="84" t="n">
        <x:f>SQRT('Resumen'!$B$5^3/3)*B503</x:f>
        <x:v>0.9713287096505794</x:v>
      </x:c>
      <x:c r="D503" s="84" t="n">
        <x:f>C503^2-'Resumen'!$B$5^3/3</x:f>
        <x:v>0.6101461288581262</x:v>
      </x:c>
      <x:c r="E503" s="85" t="n">
        <x:f>D503+'Resumen'!$B$5^3/3</x:f>
        <x:v>0.9434794621914595</x:v>
      </x:c>
    </x:row>
    <x:row r="504">
      <x:c r="A504" s="89" t="n">
        <x:v>502</x:v>
      </x:c>
      <x:c r="B504" s="80" t="n">
        <x:v>-0.5789568820940942</x:v>
      </x:c>
      <x:c r="C504" s="84" t="n">
        <x:f>SQRT('Resumen'!$B$5^3/3)*B504</x:f>
        <x:v>-0.3342609117262117</x:v>
      </x:c>
      <x:c r="D504" s="84" t="n">
        <x:f>C504^2-'Resumen'!$B$5^3/3</x:f>
        <x:v>-0.221602976225295</x:v>
      </x:c>
      <x:c r="E504" s="85" t="n">
        <x:f>D504+'Resumen'!$B$5^3/3</x:f>
        <x:v>0.1117303571080383</x:v>
      </x:c>
    </x:row>
    <x:row r="505">
      <x:c r="A505" s="89" t="n">
        <x:v>503</x:v>
      </x:c>
      <x:c r="B505" s="80" t="n">
        <x:v>0.8914564025981276</x:v>
      </x:c>
      <x:c r="C505" s="84" t="n">
        <x:f>SQRT('Resumen'!$B$5^3/3)*B505</x:f>
        <x:v>0.5146825940108444</x:v>
      </x:c>
      <x:c r="D505" s="84" t="n">
        <x:f>C505^2-'Resumen'!$B$5^3/3</x:f>
        <x:v>-0.06843516075560163</x:v>
      </x:c>
      <x:c r="E505" s="85" t="n">
        <x:f>D505+'Resumen'!$B$5^3/3</x:f>
        <x:v>0.2648981725777317</x:v>
      </x:c>
    </x:row>
    <x:row r="506">
      <x:c r="A506" s="89" t="n">
        <x:v>504</x:v>
      </x:c>
      <x:c r="B506" s="80" t="n">
        <x:v>0.49626001459960595</x:v>
      </x:c>
      <x:c r="C506" s="84" t="n">
        <x:f>SQRT('Resumen'!$B$5^3/3)*B506</x:f>
        <x:v>0.28651585301713006</x:v>
      </x:c>
      <x:c r="D506" s="84" t="n">
        <x:f>C506^2-'Resumen'!$B$5^3/3</x:f>
        <x:v>-0.2512419993031996</x:v>
      </x:c>
      <x:c r="E506" s="85" t="n">
        <x:f>D506+'Resumen'!$B$5^3/3</x:f>
        <x:v>0.08209133403013369</x:v>
      </x:c>
    </x:row>
    <x:row r="507">
      <x:c r="A507" s="89" t="n">
        <x:v>505</x:v>
      </x:c>
      <x:c r="B507" s="80" t="n">
        <x:v>-1.4997157697789212</x:v>
      </x:c>
      <x:c r="C507" s="84" t="n">
        <x:f>SQRT('Resumen'!$B$5^3/3)*B507</x:f>
        <x:v>-0.865861303389787</x:v>
      </x:c>
      <x:c r="D507" s="84" t="n">
        <x:f>C507^2-'Resumen'!$B$5^3/3</x:f>
        <x:v>0.4163824633745274</x:v>
      </x:c>
      <x:c r="E507" s="85" t="n">
        <x:f>D507+'Resumen'!$B$5^3/3</x:f>
        <x:v>0.7497157967078607</x:v>
      </x:c>
    </x:row>
    <x:row r="508">
      <x:c r="A508" s="89" t="n">
        <x:v>506</x:v>
      </x:c>
      <x:c r="B508" s="80" t="n">
        <x:v>-0.7202968958731502</x:v>
      </x:c>
      <x:c r="C508" s="84" t="n">
        <x:f>SQRT('Resumen'!$B$5^3/3)*B508</x:f>
        <x:v>-0.41586360672881506</x:v>
      </x:c>
      <x:c r="D508" s="84" t="n">
        <x:f>C508^2-'Resumen'!$B$5^3/3</x:f>
        <x:v>-0.16039079393183475</x:v>
      </x:c>
      <x:c r="E508" s="85" t="n">
        <x:f>D508+'Resumen'!$B$5^3/3</x:f>
        <x:v>0.17294253940149856</x:v>
      </x:c>
    </x:row>
    <x:row r="509">
      <x:c r="A509" s="89" t="n">
        <x:v>507</x:v>
      </x:c>
      <x:c r="B509" s="80" t="n">
        <x:v>1.9016807049232578</x:v>
      </x:c>
      <x:c r="C509" s="84" t="n">
        <x:f>SQRT('Resumen'!$B$5^3/3)*B509</x:f>
        <x:v>1.0979358669001602</x:v>
      </x:c>
      <x:c r="D509" s="84" t="n">
        <x:f>C509^2-'Resumen'!$B$5^3/3</x:f>
        <x:v>0.872129834492473</x:v>
      </x:c>
      <x:c r="E509" s="85" t="n">
        <x:f>D509+'Resumen'!$B$5^3/3</x:f>
        <x:v>1.2054631678258063</x:v>
      </x:c>
    </x:row>
    <x:row r="510">
      <x:c r="A510" s="89" t="n">
        <x:v>508</x:v>
      </x:c>
      <x:c r="B510" s="80" t="n">
        <x:v>0.7431715155696269</x:v>
      </x:c>
      <x:c r="C510" s="84" t="n">
        <x:f>SQRT('Resumen'!$B$5^3/3)*B510</x:f>
        <x:v>0.42907027456818625</x:v>
      </x:c>
      <x:c r="D510" s="84" t="n">
        <x:f>C510^2-'Resumen'!$B$5^3/3</x:f>
        <x:v>-0.14923203281531458</x:v>
      </x:c>
      <x:c r="E510" s="85" t="n">
        <x:f>D510+'Resumen'!$B$5^3/3</x:f>
        <x:v>0.18410130051801873</x:v>
      </x:c>
    </x:row>
    <x:row r="511">
      <x:c r="A511" s="89" t="n">
        <x:v>509</x:v>
      </x:c>
      <x:c r="B511" s="80" t="n">
        <x:v>-0.08443454920296306</x:v>
      </x:c>
      <x:c r="C511" s="84" t="n">
        <x:f>SQRT('Resumen'!$B$5^3/3)*B511</x:f>
        <x:v>-0.04874830971123542</x:v>
      </x:c>
      <x:c r="D511" s="84" t="n">
        <x:f>C511^2-'Resumen'!$B$5^3/3</x:f>
        <x:v>-0.33095693563363077</x:v>
      </x:c>
      <x:c r="E511" s="85" t="n">
        <x:f>D511+'Resumen'!$B$5^3/3</x:f>
        <x:v>0.002376397699702548</x:v>
      </x:c>
    </x:row>
    <x:row r="512">
      <x:c r="A512" s="89" t="n">
        <x:v>510</x:v>
      </x:c>
      <x:c r="B512" s="80" t="n">
        <x:v>-0.1924244520506705</x:v>
      </x:c>
      <x:c r="C512" s="84" t="n">
        <x:f>SQRT('Resumen'!$B$5^3/3)*B512</x:f>
        <x:v>-0.11109630919012084</x:v>
      </x:c>
      <x:c r="D512" s="84" t="n">
        <x:f>C512^2-'Resumen'!$B$5^3/3</x:f>
        <x:v>-0.3209909434176664</x:v>
      </x:c>
      <x:c r="E512" s="85" t="n">
        <x:f>D512+'Resumen'!$B$5^3/3</x:f>
        <x:v>0.01234238991566694</x:v>
      </x:c>
    </x:row>
    <x:row r="513">
      <x:c r="A513" s="89" t="n">
        <x:v>511</x:v>
      </x:c>
      <x:c r="B513" s="80" t="n">
        <x:v>0.23280543478094082</x:v>
      </x:c>
      <x:c r="C513" s="84" t="n">
        <x:f>SQRT('Resumen'!$B$5^3/3)*B513</x:f>
        <x:v>0.13441028043958403</x:v>
      </x:c>
      <x:c r="D513" s="84" t="n">
        <x:f>C513^2-'Resumen'!$B$5^3/3</x:f>
        <x:v>-0.3152672098454857</x:v>
      </x:c>
      <x:c r="E513" s="85" t="n">
        <x:f>D513+'Resumen'!$B$5^3/3</x:f>
        <x:v>0.01806612348784764</x:v>
      </x:c>
    </x:row>
    <x:row r="514">
      <x:c r="A514" s="89" t="n">
        <x:v>512</x:v>
      </x:c>
      <x:c r="B514" s="80" t="n">
        <x:v>-1.173273727935845</x:v>
      </x:c>
      <x:c r="C514" s="84" t="n">
        <x:f>SQRT('Resumen'!$B$5^3/3)*B514</x:f>
        <x:v>-0.6773899026568758</x:v>
      </x:c>
      <x:c r="D514" s="84" t="n">
        <x:f>C514^2-'Resumen'!$B$5^3/3</x:f>
        <x:v>0.12552374688815837</x:v>
      </x:c>
      <x:c r="E514" s="85" t="n">
        <x:f>D514+'Resumen'!$B$5^3/3</x:f>
        <x:v>0.4588570802214917</x:v>
      </x:c>
    </x:row>
    <x:row r="515">
      <x:c r="A515" s="89" t="n">
        <x:v>513</x:v>
      </x:c>
      <x:c r="B515" s="80" t="n">
        <x:v>0.5493119307985231</x:v>
      </x:c>
      <x:c r="C515" s="84" t="n">
        <x:f>SQRT('Resumen'!$B$5^3/3)*B515</x:f>
        <x:v>0.3171453911156004</x:v>
      </x:c>
      <x:c r="D515" s="84" t="n">
        <x:f>C515^2-'Resumen'!$B$5^3/3</x:f>
        <x:v>-0.23275213422746616</x:v>
      </x:c>
      <x:c r="E515" s="85" t="n">
        <x:f>D515+'Resumen'!$B$5^3/3</x:f>
        <x:v>0.10058119910586716</x:v>
      </x:c>
    </x:row>
    <x:row r="516">
      <x:c r="A516" s="89" t="n">
        <x:v>514</x:v>
      </x:c>
      <x:c r="B516" s="80" t="n">
        <x:v>-1.3976375347381476</x:v>
      </x:c>
      <x:c r="C516" s="84" t="n">
        <x:f>SQRT('Resumen'!$B$5^3/3)*B516</x:f>
        <x:v>-0.8069264069105944</x:v>
      </x:c>
      <x:c r="D516" s="84" t="n">
        <x:f>C516^2-'Resumen'!$B$5^3/3</x:f>
        <x:v>0.3177968928363088</x:v>
      </x:c>
      <x:c r="E516" s="85" t="n">
        <x:f>D516+'Resumen'!$B$5^3/3</x:f>
        <x:v>0.6511302261696421</x:v>
      </x:c>
    </x:row>
    <x:row r="517">
      <x:c r="A517" s="89" t="n">
        <x:v>515</x:v>
      </x:c>
      <x:c r="B517" s="80" t="n">
        <x:v>0.7243988073107963</x:v>
      </x:c>
      <x:c r="C517" s="84" t="n">
        <x:f>SQRT('Resumen'!$B$5^3/3)*B517</x:f>
        <x:v>0.41823184640153205</x:v>
      </x:c>
      <x:c r="D517" s="84" t="n">
        <x:f>C517^2-'Resumen'!$B$5^3/3</x:f>
        <x:v>-0.1584154559888986</x:v>
      </x:c>
      <x:c r="E517" s="85" t="n">
        <x:f>D517+'Resumen'!$B$5^3/3</x:f>
        <x:v>0.1749178773444347</x:v>
      </x:c>
    </x:row>
    <x:row r="518">
      <x:c r="A518" s="89" t="n">
        <x:v>516</x:v>
      </x:c>
      <x:c r="B518" s="80" t="n">
        <x:v>0.5686216444996608</x:v>
      </x:c>
      <x:c r="C518" s="84" t="n">
        <x:f>SQRT('Resumen'!$B$5^3/3)*B518</x:f>
        <x:v>0.3282938595189268</x:v>
      </x:c>
      <x:c r="D518" s="84" t="n">
        <x:f>C518^2-'Resumen'!$B$5^3/3</x:f>
        <x:v>-0.22555647513550048</x:v>
      </x:c>
      <x:c r="E518" s="85" t="n">
        <x:f>D518+'Resumen'!$B$5^3/3</x:f>
        <x:v>0.10777685819783284</x:v>
      </x:c>
    </x:row>
    <x:row r="519">
      <x:c r="A519" s="89" t="n">
        <x:v>517</x:v>
      </x:c>
      <x:c r="B519" s="80" t="n">
        <x:v>0.9222498128446532</x:v>
      </x:c>
      <x:c r="C519" s="84" t="n">
        <x:f>SQRT('Resumen'!$B$5^3/3)*B519</x:f>
        <x:v>0.5324611777059425</x:v>
      </x:c>
      <x:c r="D519" s="84" t="n">
        <x:f>C519^2-'Resumen'!$B$5^3/3</x:f>
        <x:v>-0.04981842756933408</x:v>
      </x:c>
      <x:c r="E519" s="85" t="n">
        <x:f>D519+'Resumen'!$B$5^3/3</x:f>
        <x:v>0.28351490576399924</x:v>
      </x:c>
    </x:row>
    <x:row r="520">
      <x:c r="A520" s="89" t="n">
        <x:v>518</x:v>
      </x:c>
      <x:c r="B520" s="80" t="n">
        <x:v>0.5744905169918822</x:v>
      </x:c>
      <x:c r="C520" s="84" t="n">
        <x:f>SQRT('Resumen'!$B$5^3/3)*B520</x:f>
        <x:v>0.33168225463215045</x:v>
      </x:c>
      <x:c r="D520" s="84" t="n">
        <x:f>C520^2-'Resumen'!$B$5^3/3</x:f>
        <x:v>-0.22332021529546664</x:v>
      </x:c>
      <x:c r="E520" s="85" t="n">
        <x:f>D520+'Resumen'!$B$5^3/3</x:f>
        <x:v>0.11001311803786668</x:v>
      </x:c>
    </x:row>
    <x:row r="521">
      <x:c r="A521" s="89" t="n">
        <x:v>519</x:v>
      </x:c>
      <x:c r="B521" s="80" t="n">
        <x:v>0.29183752051062806</x:v>
      </x:c>
      <x:c r="C521" s="84" t="n">
        <x:f>SQRT('Resumen'!$B$5^3/3)*B521</x:f>
        <x:v>0.16849247102644402</x:v>
      </x:c>
      <x:c r="D521" s="84" t="n">
        <x:f>C521^2-'Resumen'!$B$5^3/3</x:f>
        <x:v>-0.30494362054073626</x:v>
      </x:c>
      <x:c r="E521" s="85" t="n">
        <x:f>D521+'Resumen'!$B$5^3/3</x:f>
        <x:v>0.028389712792597055</x:v>
      </x:c>
    </x:row>
    <x:row r="522">
      <x:c r="A522" s="89" t="n">
        <x:v>520</x:v>
      </x:c>
      <x:c r="B522" s="80" t="n">
        <x:v>-0.5602656352239638</x:v>
      </x:c>
      <x:c r="C522" s="84" t="n">
        <x:f>SQRT('Resumen'!$B$5^3/3)*B522</x:f>
        <x:v>-0.32346951531425217</x:v>
      </x:c>
      <x:c r="D522" s="84" t="n">
        <x:f>C522^2-'Resumen'!$B$5^3/3</x:f>
        <x:v>-0.2287008059956961</x:v>
      </x:c>
      <x:c r="E522" s="85" t="n">
        <x:f>D522+'Resumen'!$B$5^3/3</x:f>
        <x:v>0.10463252733763723</x:v>
      </x:c>
    </x:row>
    <x:row r="523">
      <x:c r="A523" s="89" t="n">
        <x:v>521</x:v>
      </x:c>
      <x:c r="B523" s="80" t="n">
        <x:v>-0.12468499038222305</x:v>
      </x:c>
      <x:c r="C523" s="84" t="n">
        <x:f>SQRT('Resumen'!$B$5^3/3)*B523</x:f>
        <x:v>-0.07198691276108238</x:v>
      </x:c>
      <x:c r="D523" s="84" t="n">
        <x:f>C523^2-'Resumen'!$B$5^3/3</x:f>
        <x:v>-0.32815121772446165</x:v>
      </x:c>
      <x:c r="E523" s="85" t="n">
        <x:f>D523+'Resumen'!$B$5^3/3</x:f>
        <x:v>0.0051821156088716624</x:v>
      </x:c>
    </x:row>
    <x:row r="524">
      <x:c r="A524" s="89" t="n">
        <x:v>522</x:v>
      </x:c>
      <x:c r="B524" s="80" t="n">
        <x:v>-0.22347487453203338</x:v>
      </x:c>
      <x:c r="C524" s="84" t="n">
        <x:f>SQRT('Resumen'!$B$5^3/3)*B524</x:f>
        <x:v>-0.1290232789681873</x:v>
      </x:c>
      <x:c r="D524" s="84" t="n">
        <x:f>C524^2-'Resumen'!$B$5^3/3</x:f>
        <x:v>-0.31668632681763065</x:v>
      </x:c>
      <x:c r="E524" s="85" t="n">
        <x:f>D524+'Resumen'!$B$5^3/3</x:f>
        <x:v>0.016647006515702667</x:v>
      </x:c>
    </x:row>
    <x:row r="525">
      <x:c r="A525" s="89" t="n">
        <x:v>523</x:v>
      </x:c>
      <x:c r="B525" s="80" t="n">
        <x:v>-1.2877800755891524</x:v>
      </x:c>
      <x:c r="C525" s="84" t="n">
        <x:f>SQRT('Resumen'!$B$5^3/3)*B525</x:f>
        <x:v>-0.7435001732984338</x:v>
      </x:c>
      <x:c r="D525" s="84" t="n">
        <x:f>C525^2-'Resumen'!$B$5^3/3</x:f>
        <x:v>0.21945917436146772</x:v>
      </x:c>
      <x:c r="E525" s="85" t="n">
        <x:f>D525+'Resumen'!$B$5^3/3</x:f>
        <x:v>0.552792507694801</x:v>
      </x:c>
    </x:row>
    <x:row r="526">
      <x:c r="A526" s="89" t="n">
        <x:v>524</x:v>
      </x:c>
      <x:c r="B526" s="80" t="n">
        <x:v>0.07007158819812469</x:v>
      </x:c>
      <x:c r="C526" s="84" t="n">
        <x:f>SQRT('Resumen'!$B$5^3/3)*B526</x:f>
        <x:v>0.04045585030873189</x:v>
      </x:c>
      <x:c r="D526" s="84" t="n">
        <x:f>C526^2-'Resumen'!$B$5^3/3</x:f>
        <x:v>-0.3316966575091308</x:v>
      </x:c>
      <x:c r="E526" s="85" t="n">
        <x:f>D526+'Resumen'!$B$5^3/3</x:f>
        <x:v>0.001636675824202516</x:v>
      </x:c>
    </x:row>
    <x:row r="527">
      <x:c r="A527" s="89" t="n">
        <x:v>525</x:v>
      </x:c>
      <x:c r="B527" s="80" t="n">
        <x:v>1.6130925546923314</x:v>
      </x:c>
      <x:c r="C527" s="84" t="n">
        <x:f>SQRT('Resumen'!$B$5^3/3)*B527</x:f>
        <x:v>0.9313194206793985</x:v>
      </x:c>
      <x:c r="D527" s="84" t="n">
        <x:f>C527^2-'Resumen'!$B$5^3/3</x:f>
        <x:v>0.5340225300012773</x:v>
      </x:c>
      <x:c r="E527" s="85" t="n">
        <x:f>D527+'Resumen'!$B$5^3/3</x:f>
        <x:v>0.8673558633346106</x:v>
      </x:c>
    </x:row>
    <x:row r="528">
      <x:c r="A528" s="89" t="n">
        <x:v>526</x:v>
      </x:c>
      <x:c r="B528" s="80" t="n">
        <x:v>-1.6217501374914471</x:v>
      </x:c>
      <x:c r="C528" s="84" t="n">
        <x:f>SQRT('Resumen'!$B$5^3/3)*B528</x:f>
        <x:v>-0.9363178784389995</x:v>
      </x:c>
      <x:c r="D528" s="84" t="n">
        <x:f>C528^2-'Resumen'!$B$5^3/3</x:f>
        <x:v>0.5433578361511757</x:v>
      </x:c>
      <x:c r="E528" s="85" t="n">
        <x:f>D528+'Resumen'!$B$5^3/3</x:f>
        <x:v>0.876691169484509</x:v>
      </x:c>
    </x:row>
    <x:row r="529">
      <x:c r="A529" s="89" t="n">
        <x:v>527</x:v>
      </x:c>
      <x:c r="B529" s="80" t="n">
        <x:v>0.25619831873501125</x:v>
      </x:c>
      <x:c r="C529" s="84" t="n">
        <x:f>SQRT('Resumen'!$B$5^3/3)*B529</x:f>
        <x:v>0.14791616828758827</x:v>
      </x:c>
      <x:c r="D529" s="84" t="n">
        <x:f>C529^2-'Resumen'!$B$5^3/3</x:f>
        <x:v>-0.3114541404924512</x:v>
      </x:c>
      <x:c r="E529" s="85" t="n">
        <x:f>D529+'Resumen'!$B$5^3/3</x:f>
        <x:v>0.021879192840882133</x:v>
      </x:c>
    </x:row>
    <x:row r="530">
      <x:c r="A530" s="89" t="n">
        <x:v>528</x:v>
      </x:c>
      <x:c r="B530" s="80" t="n">
        <x:v>0.31494206253421675</x:v>
      </x:c>
      <x:c r="C530" s="84" t="n">
        <x:f>SQRT('Resumen'!$B$5^3/3)*B530</x:f>
        <x:v>0.181831884583266</x:v>
      </x:c>
      <x:c r="D530" s="84" t="n">
        <x:f>C530^2-'Resumen'!$B$5^3/3</x:f>
        <x:v>-0.30027049908223113</x:v>
      </x:c>
      <x:c r="E530" s="85" t="n">
        <x:f>D530+'Resumen'!$B$5^3/3</x:f>
        <x:v>0.03306283425110218</x:v>
      </x:c>
    </x:row>
    <x:row r="531">
      <x:c r="A531" s="89" t="n">
        <x:v>529</x:v>
      </x:c>
      <x:c r="B531" s="80" t="n">
        <x:v>0.34832591414547576</x:v>
      </x:c>
      <x:c r="C531" s="84" t="n">
        <x:f>SQRT('Resumen'!$B$5^3/3)*B531</x:f>
        <x:v>0.20110606029761288</x:v>
      </x:c>
      <x:c r="D531" s="84" t="n">
        <x:f>C531^2-'Resumen'!$B$5^3/3</x:f>
        <x:v>-0.2928896858449062</x:v>
      </x:c>
      <x:c r="E531" s="85" t="n">
        <x:f>D531+'Resumen'!$B$5^3/3</x:f>
        <x:v>0.040443647488427104</x:v>
      </x:c>
    </x:row>
    <x:row r="532">
      <x:c r="A532" s="89" t="n">
        <x:v>530</x:v>
      </x:c>
      <x:c r="B532" s="80" t="n">
        <x:v>0.8143583098223639</x:v>
      </x:c>
      <x:c r="C532" s="84" t="n">
        <x:f>SQRT('Resumen'!$B$5^3/3)*B532</x:f>
        <x:v>0.47016998939275045</x:v>
      </x:c>
      <x:c r="D532" s="84" t="n">
        <x:f>C532^2-'Resumen'!$B$5^3/3</x:f>
        <x:v>-0.11227351440775424</x:v>
      </x:c>
      <x:c r="E532" s="85" t="n">
        <x:f>D532+'Resumen'!$B$5^3/3</x:f>
        <x:v>0.22105981892557908</x:v>
      </x:c>
    </x:row>
    <x:row r="533">
      <x:c r="A533" s="89" t="n">
        <x:v>531</x:v>
      </x:c>
      <x:c r="B533" s="80" t="n">
        <x:v>-0.8718219005254538</x:v>
      </x:c>
      <x:c r="C533" s="84" t="n">
        <x:f>SQRT('Resumen'!$B$5^3/3)*B533</x:f>
        <x:v>-0.5033466089537819</x:v>
      </x:c>
      <x:c r="D533" s="84" t="n">
        <x:f>C533^2-'Resumen'!$B$5^3/3</x:f>
        <x:v>-0.07997552458806184</x:v>
      </x:c>
      <x:c r="E533" s="85" t="n">
        <x:f>D533+'Resumen'!$B$5^3/3</x:f>
        <x:v>0.2533578087452715</x:v>
      </x:c>
    </x:row>
    <x:row r="534">
      <x:c r="A534" s="89" t="n">
        <x:v>532</x:v>
      </x:c>
      <x:c r="B534" s="80" t="n">
        <x:v>-0.3034462861578848</x:v>
      </x:c>
      <x:c r="C534" s="84" t="n">
        <x:f>SQRT('Resumen'!$B$5^3/3)*B534</x:f>
        <x:v>-0.17519479499784701</x:v>
      </x:c>
      <x:c r="D534" s="84" t="n">
        <x:f>C534^2-'Resumen'!$B$5^3/3</x:f>
        <x:v>-0.3026401171389957</x:v>
      </x:c>
      <x:c r="E534" s="85" t="n">
        <x:f>D534+'Resumen'!$B$5^3/3</x:f>
        <x:v>0.030693216194337625</x:v>
      </x:c>
    </x:row>
    <x:row r="535">
      <x:c r="A535" s="89" t="n">
        <x:v>533</x:v>
      </x:c>
      <x:c r="B535" s="80" t="n">
        <x:v>0.17513596514460014</x:v>
      </x:c>
      <x:c r="C535" s="84" t="n">
        <x:f>SQRT('Resumen'!$B$5^3/3)*B535</x:f>
        <x:v>0.1011147966210198</x:v>
      </x:c>
      <x:c r="D535" s="84" t="n">
        <x:f>C535^2-'Resumen'!$B$5^3/3</x:f>
        <x:v>-0.32310913123762314</x:v>
      </x:c>
      <x:c r="E535" s="85" t="n">
        <x:f>D535+'Resumen'!$B$5^3/3</x:f>
        <x:v>0.010224202095710178</x:v>
      </x:c>
    </x:row>
    <x:row r="536">
      <x:c r="A536" s="89" t="n">
        <x:v>534</x:v>
      </x:c>
      <x:c r="B536" s="80" t="n">
        <x:v>-0.4937329035091009</x:v>
      </x:c>
      <x:c r="C536" s="84" t="n">
        <x:f>SQRT('Resumen'!$B$5^3/3)*B536</x:f>
        <x:v>-0.2850568247487549</x:v>
      </x:c>
      <x:c r="D536" s="84" t="n">
        <x:f>C536^2-'Resumen'!$B$5^3/3</x:f>
        <x:v>-0.25207593999749095</x:v>
      </x:c>
      <x:c r="E536" s="85" t="n">
        <x:f>D536+'Resumen'!$B$5^3/3</x:f>
        <x:v>0.08125739333584237</x:v>
      </x:c>
    </x:row>
    <x:row r="537">
      <x:c r="A537" s="89" t="n">
        <x:v>535</x:v>
      </x:c>
      <x:c r="B537" s="80" t="n">
        <x:v>-0.8492085888937884</x:v>
      </x:c>
      <x:c r="C537" s="84" t="n">
        <x:f>SQRT('Resumen'!$B$5^3/3)*B537</x:f>
        <x:v>-0.4902908073959709</x:v>
      </x:c>
      <x:c r="D537" s="84" t="n">
        <x:f>C537^2-'Resumen'!$B$5^3/3</x:f>
        <x:v>-0.09294825751634025</x:v>
      </x:c>
      <x:c r="E537" s="85" t="n">
        <x:f>D537+'Resumen'!$B$5^3/3</x:f>
        <x:v>0.24038507581699306</x:v>
      </x:c>
    </x:row>
    <x:row r="538">
      <x:c r="A538" s="89" t="n">
        <x:v>536</x:v>
      </x:c>
      <x:c r="B538" s="80" t="n">
        <x:v>0.24470012578438335</x:v>
      </x:c>
      <x:c r="C538" s="84" t="n">
        <x:f>SQRT('Resumen'!$B$5^3/3)*B538</x:f>
        <x:v>0.141277683492349</x:v>
      </x:c>
      <x:c r="D538" s="84" t="n">
        <x:f>C538^2-'Resumen'!$B$5^3/3</x:f>
        <x:v>-0.31337394948036895</x:v>
      </x:c>
      <x:c r="E538" s="85" t="n">
        <x:f>D538+'Resumen'!$B$5^3/3</x:f>
        <x:v>0.019959383852964363</x:v>
      </x:c>
    </x:row>
    <x:row r="539">
      <x:c r="A539" s="89" t="n">
        <x:v>537</x:v>
      </x:c>
      <x:c r="B539" s="80" t="n">
        <x:v>-0.37103264198019226</x:v>
      </x:c>
      <x:c r="C539" s="84" t="n">
        <x:f>SQRT('Resumen'!$B$5^3/3)*B539</x:f>
        <x:v>-0.21421579572540203</x:v>
      </x:c>
      <x:c r="D539" s="84" t="n">
        <x:f>C539^2-'Resumen'!$B$5^3/3</x:f>
        <x:v>-0.2874449261950661</x:v>
      </x:c>
      <x:c r="E539" s="85" t="n">
        <x:f>D539+'Resumen'!$B$5^3/3</x:f>
        <x:v>0.045888407138267195</x:v>
      </x:c>
    </x:row>
    <x:row r="540">
      <x:c r="A540" s="89" t="n">
        <x:v>538</x:v>
      </x:c>
      <x:c r="B540" s="80" t="n">
        <x:v>0.21685521404722832</x:v>
      </x:c>
      <x:c r="C540" s="84" t="n">
        <x:f>SQRT('Resumen'!$B$5^3/3)*B540</x:f>
        <x:v>0.12520141620534117</x:v>
      </x:c>
      <x:c r="D540" s="84" t="n">
        <x:f>C540^2-'Resumen'!$B$5^3/3</x:f>
        <x:v>-0.3176579387135102</x:v>
      </x:c>
      <x:c r="E540" s="85" t="n">
        <x:f>D540+'Resumen'!$B$5^3/3</x:f>
        <x:v>0.01567539461982309</x:v>
      </x:c>
    </x:row>
    <x:row r="541">
      <x:c r="A541" s="89" t="n">
        <x:v>539</x:v>
      </x:c>
      <x:c r="B541" s="80" t="n">
        <x:v>-0.03366922618381706</x:v>
      </x:c>
      <x:c r="C541" s="84" t="n">
        <x:f>SQRT('Resumen'!$B$5^3/3)*B541</x:f>
        <x:v>-0.019438936800633175</x:v>
      </x:c>
      <x:c r="D541" s="84" t="n">
        <x:f>C541^2-'Resumen'!$B$5^3/3</x:f>
        <x:v>-0.33295546106939433</x:v>
      </x:c>
      <x:c r="E541" s="85" t="n">
        <x:f>D541+'Resumen'!$B$5^3/3</x:f>
        <x:v>0.0003778722639389831</x:v>
      </x:c>
    </x:row>
    <x:row r="542">
      <x:c r="A542" s="89" t="n">
        <x:v>540</x:v>
      </x:c>
      <x:c r="B542" s="80" t="n">
        <x:v>0.6557688688756781</x:v>
      </x:c>
      <x:c r="C542" s="84" t="n">
        <x:f>SQRT('Resumen'!$B$5^3/3)*B542</x:f>
        <x:v>0.3786083329715491</x:v>
      </x:c>
      <x:c r="D542" s="84" t="n">
        <x:f>C542^2-'Resumen'!$B$5^3/3</x:f>
        <x:v>-0.18998906353783793</x:v>
      </x:c>
      <x:c r="E542" s="85" t="n">
        <x:f>D542+'Resumen'!$B$5^3/3</x:f>
        <x:v>0.1433442697954954</x:v>
      </x:c>
    </x:row>
    <x:row r="543">
      <x:c r="A543" s="89" t="n">
        <x:v>541</x:v>
      </x:c>
      <x:c r="B543" s="80" t="n">
        <x:v>-0.10570050974899406</x:v>
      </x:c>
      <x:c r="C543" s="84" t="n">
        <x:f>SQRT('Resumen'!$B$5^3/3)*B543</x:f>
        <x:v>-0.06102621775706238</x:v>
      </x:c>
      <x:c r="D543" s="84" t="n">
        <x:f>C543^2-'Resumen'!$B$5^3/3</x:f>
        <x:v>-0.3296091340796009</x:v>
      </x:c>
      <x:c r="E543" s="85" t="n">
        <x:f>D543+'Resumen'!$B$5^3/3</x:f>
        <x:v>0.0037241992537324076</x:v>
      </x:c>
    </x:row>
    <x:row r="544">
      <x:c r="A544" s="89" t="n">
        <x:v>542</x:v>
      </x:c>
      <x:c r="B544" s="80" t="n">
        <x:v>-1.5525843072262733</x:v>
      </x:c>
      <x:c r="C544" s="84" t="n">
        <x:f>SQRT('Resumen'!$B$5^3/3)*B544</x:f>
        <x:v>-0.8963849677166774</x:v>
      </x:c>
      <x:c r="D544" s="84" t="n">
        <x:f>C544^2-'Resumen'!$B$5^3/3</x:f>
        <x:v>0.4701726770150955</x:v>
      </x:c>
      <x:c r="E544" s="85" t="n">
        <x:f>D544+'Resumen'!$B$5^3/3</x:f>
        <x:v>0.8035060103484288</x:v>
      </x:c>
    </x:row>
    <x:row r="545">
      <x:c r="A545" s="89" t="n">
        <x:v>543</x:v>
      </x:c>
      <x:c r="B545" s="80" t="n">
        <x:v>0.8697245731422907</x:v>
      </x:c>
      <x:c r="C545" s="84" t="n">
        <x:f>SQRT('Resumen'!$B$5^3/3)*B545</x:f>
        <x:v>0.5021357164245338</x:v>
      </x:c>
      <x:c r="D545" s="84" t="n">
        <x:f>C545^2-'Resumen'!$B$5^3/3</x:f>
        <x:v>-0.08119305562415347</x:v>
      </x:c>
      <x:c r="E545" s="85" t="n">
        <x:f>D545+'Resumen'!$B$5^3/3</x:f>
        <x:v>0.25214027770917985</x:v>
      </x:c>
    </x:row>
    <x:row r="546">
      <x:c r="A546" s="89" t="n">
        <x:v>544</x:v>
      </x:c>
      <x:c r="B546" s="80" t="n">
        <x:v>-0.745847769349852</x:v>
      </x:c>
      <x:c r="C546" s="84" t="n">
        <x:f>SQRT('Resumen'!$B$5^3/3)*B546</x:f>
        <x:v>-0.43061541040861895</x:v>
      </x:c>
      <x:c r="D546" s="84" t="n">
        <x:f>C546^2-'Resumen'!$B$5^3/3</x:f>
        <x:v>-0.14790370165195</x:v>
      </x:c>
      <x:c r="E546" s="85" t="n">
        <x:f>D546+'Resumen'!$B$5^3/3</x:f>
        <x:v>0.18542963168138332</x:v>
      </x:c>
    </x:row>
    <x:row r="547">
      <x:c r="A547" s="89" t="n">
        <x:v>545</x:v>
      </x:c>
      <x:c r="B547" s="80" t="n">
        <x:v>0.08736568289223326</x:v>
      </x:c>
      <x:c r="C547" s="84" t="n">
        <x:f>SQRT('Resumen'!$B$5^3/3)*B547</x:f>
        <x:v>0.05044060053576635</x:v>
      </x:c>
      <x:c r="D547" s="84" t="n">
        <x:f>C547^2-'Resumen'!$B$5^3/3</x:f>
        <x:v>-0.33078907915092454</x:v>
      </x:c>
      <x:c r="E547" s="85" t="n">
        <x:f>D547+'Resumen'!$B$5^3/3</x:f>
        <x:v>0.0025442541824087783</x:v>
      </x:c>
    </x:row>
    <x:row r="548">
      <x:c r="A548" s="89" t="n">
        <x:v>546</x:v>
      </x:c>
      <x:c r="B548" s="80" t="n">
        <x:v>2.0364356598133484</x:v>
      </x:c>
      <x:c r="C548" s="84" t="n">
        <x:f>SQRT('Resumen'!$B$5^3/3)*B548</x:f>
        <x:v>1.1757366763805899</x:v>
      </x:c>
      <x:c r="D548" s="84" t="n">
        <x:f>C548^2-'Resumen'!$B$5^3/3</x:f>
        <x:v>1.0490233988531426</x:v>
      </x:c>
      <x:c r="E548" s="85" t="n">
        <x:f>D548+'Resumen'!$B$5^3/3</x:f>
        <x:v>1.3823567321864758</x:v>
      </x:c>
    </x:row>
    <x:row r="549">
      <x:c r="A549" s="89" t="n">
        <x:v>547</x:v>
      </x:c>
      <x:c r="B549" s="80" t="n">
        <x:v>0.3548840838387879</x:v>
      </x:c>
      <x:c r="C549" s="84" t="n">
        <x:f>SQRT('Resumen'!$B$5^3/3)*B549</x:f>
        <x:v>0.2048924213354379</x:v>
      </x:c>
      <x:c r="D549" s="84" t="n">
        <x:f>C549^2-'Resumen'!$B$5^3/3</x:f>
        <x:v>-0.2913524290126347</x:v>
      </x:c>
      <x:c r="E549" s="85" t="n">
        <x:f>D549+'Resumen'!$B$5^3/3</x:f>
        <x:v>0.04198090432069862</x:v>
      </x:c>
    </x:row>
    <x:row r="550">
      <x:c r="A550" s="89" t="n">
        <x:v>548</x:v>
      </x:c>
      <x:c r="B550" s="80" t="n">
        <x:v>-0.04071588121824043</x:v>
      </x:c>
      <x:c r="C550" s="84" t="n">
        <x:f>SQRT('Resumen'!$B$5^3/3)*B550</x:f>
        <x:v>-0.02350732498164394</x:v>
      </x:c>
      <x:c r="D550" s="84" t="n">
        <x:f>C550^2-'Resumen'!$B$5^3/3</x:f>
        <x:v>-0.33278073900554067</x:v>
      </x:c>
      <x:c r="E550" s="85" t="n">
        <x:f>D550+'Resumen'!$B$5^3/3</x:f>
        <x:v>0.0005525943277926437</x:v>
      </x:c>
    </x:row>
    <x:row r="551">
      <x:c r="A551" s="89" t="n">
        <x:v>549</x:v>
      </x:c>
      <x:c r="B551" s="80" t="n">
        <x:v>1.5807447355768558</x:v>
      </x:c>
      <x:c r="C551" s="84" t="n">
        <x:f>SQRT('Resumen'!$B$5^3/3)*B551</x:f>
        <x:v>0.9126433986053815</x:v>
      </x:c>
      <x:c r="D551" s="84" t="n">
        <x:f>C551^2-'Resumen'!$B$5^3/3</x:f>
        <x:v>0.4995846396846479</x:v>
      </x:c>
      <x:c r="E551" s="85" t="n">
        <x:f>D551+'Resumen'!$B$5^3/3</x:f>
        <x:v>0.8329179730179812</x:v>
      </x:c>
    </x:row>
    <x:row r="552">
      <x:c r="A552" s="89" t="n">
        <x:v>550</x:v>
      </x:c>
      <x:c r="B552" s="80" t="n">
        <x:v>0.03210570684259026</x:v>
      </x:c>
      <x:c r="C552" s="84" t="n">
        <x:f>SQRT('Resumen'!$B$5^3/3)*B552</x:f>
        <x:v>0.018536238488092695</x:v>
      </x:c>
      <x:c r="D552" s="84" t="n">
        <x:f>C552^2-'Resumen'!$B$5^3/3</x:f>
        <x:v>-0.33298974119604585</x:v>
      </x:c>
      <x:c r="E552" s="85" t="n">
        <x:f>D552+'Resumen'!$B$5^3/3</x:f>
        <x:v>0.00034359213728746285</x:v>
      </x:c>
    </x:row>
    <x:row r="553">
      <x:c r="A553" s="89" t="n">
        <x:v>551</x:v>
      </x:c>
      <x:c r="B553" s="80" t="n">
        <x:v>-0.2230360208854063</x:v>
      </x:c>
      <x:c r="C553" s="84" t="n">
        <x:f>SQRT('Resumen'!$B$5^3/3)*B553</x:f>
        <x:v>-0.1287699066971723</x:v>
      </x:c>
      <x:c r="D553" s="84" t="n">
        <x:f>C553^2-'Resumen'!$B$5^3/3</x:f>
        <x:v>-0.31675164446253484</x:v>
      </x:c>
      <x:c r="E553" s="85" t="n">
        <x:f>D553+'Resumen'!$B$5^3/3</x:f>
        <x:v>0.016581688870798472</x:v>
      </x:c>
    </x:row>
    <x:row r="554">
      <x:c r="A554" s="89" t="n">
        <x:v>552</x:v>
      </x:c>
      <x:c r="B554" s="80" t="n">
        <x:v>-1.2900929989216985</x:v>
      </x:c>
      <x:c r="C554" s="84" t="n">
        <x:f>SQRT('Resumen'!$B$5^3/3)*B554</x:f>
        <x:v>-0.7448355402070942</x:v>
      </x:c>
      <x:c r="D554" s="84" t="n">
        <x:f>C554^2-'Resumen'!$B$5^3/3</x:f>
        <x:v>0.22144664862226054</x:v>
      </x:c>
      <x:c r="E554" s="85" t="n">
        <x:f>D554+'Resumen'!$B$5^3/3</x:f>
        <x:v>0.5547799819555939</x:v>
      </x:c>
    </x:row>
    <x:row r="555">
      <x:c r="A555" s="89" t="n">
        <x:v>553</x:v>
      </x:c>
      <x:c r="B555" s="80" t="n">
        <x:v>-0.500038141451792</x:v>
      </x:c>
      <x:c r="C555" s="84" t="n">
        <x:f>SQRT('Resumen'!$B$5^3/3)*B555</x:f>
        <x:v>-0.28869715557227227</x:v>
      </x:c>
      <x:c r="D555" s="84" t="n">
        <x:f>C555^2-'Resumen'!$B$5^3/3</x:f>
        <x:v>-0.24998728569781253</x:v>
      </x:c>
      <x:c r="E555" s="85" t="n">
        <x:f>D555+'Resumen'!$B$5^3/3</x:f>
        <x:v>0.08334604763552078</x:v>
      </x:c>
    </x:row>
    <x:row r="556">
      <x:c r="A556" s="89" t="n">
        <x:v>554</x:v>
      </x:c>
      <x:c r="B556" s="80" t="n">
        <x:v>1.1441876185243578</x:v>
      </x:c>
      <x:c r="C556" s="84" t="n">
        <x:f>SQRT('Resumen'!$B$5^3/3)*B556</x:f>
        <x:v>0.6605970295584748</x:v>
      </x:c>
      <x:c r="D556" s="84" t="n">
        <x:f>C556^2-'Resumen'!$B$5^3/3</x:f>
        <x:v>0.10305510212814706</x:v>
      </x:c>
      <x:c r="E556" s="85" t="n">
        <x:f>D556+'Resumen'!$B$5^3/3</x:f>
        <x:v>0.4363884354614804</x:v>
      </x:c>
    </x:row>
    <x:row r="557">
      <x:c r="A557" s="89" t="n">
        <x:v>555</x:v>
      </x:c>
      <x:c r="B557" s="80" t="n">
        <x:v>-1.7828489282709816</x:v>
      </x:c>
      <x:c r="C557" s="84" t="n">
        <x:f>SQRT('Resumen'!$B$5^3/3)*B557</x:f>
        <x:v>-1.029328308661687</x:v>
      </x:c>
      <x:c r="D557" s="84" t="n">
        <x:f>C557^2-'Resumen'!$B$5^3/3</x:f>
        <x:v>0.7261834336789956</x:v>
      </x:c>
      <x:c r="E557" s="85" t="n">
        <x:f>D557+'Resumen'!$B$5^3/3</x:f>
        <x:v>1.0595167670123289</x:v>
      </x:c>
    </x:row>
    <x:row r="558">
      <x:c r="A558" s="89" t="n">
        <x:v>556</x:v>
      </x:c>
      <x:c r="B558" s="80" t="n">
        <x:v>-1.3961915070220958</x:v>
      </x:c>
      <x:c r="C558" s="84" t="n">
        <x:f>SQRT('Resumen'!$B$5^3/3)*B558</x:f>
        <x:v>-0.8060915424194762</x:v>
      </x:c>
      <x:c r="D558" s="84" t="n">
        <x:f>C558^2-'Resumen'!$B$5^3/3</x:f>
        <x:v>0.3164502414268769</x:v>
      </x:c>
      <x:c r="E558" s="85" t="n">
        <x:f>D558+'Resumen'!$B$5^3/3</x:f>
        <x:v>0.6497835747602102</x:v>
      </x:c>
    </x:row>
    <x:row r="559">
      <x:c r="A559" s="89" t="n">
        <x:v>557</x:v>
      </x:c>
      <x:c r="B559" s="80" t="n">
        <x:v>1.519724549660045</x:v>
      </x:c>
      <x:c r="C559" s="84" t="n">
        <x:f>SQRT('Resumen'!$B$5^3/3)*B559</x:f>
        <x:v>0.8774133778403098</x:v>
      </x:c>
      <x:c r="D559" s="84" t="n">
        <x:f>C559^2-'Resumen'!$B$5^3/3</x:f>
        <x:v>0.43652090227980894</x:v>
      </x:c>
      <x:c r="E559" s="85" t="n">
        <x:f>D559+'Resumen'!$B$5^3/3</x:f>
        <x:v>0.7698542356131423</x:v>
      </x:c>
    </x:row>
    <x:row r="560">
      <x:c r="A560" s="89" t="n">
        <x:v>558</x:v>
      </x:c>
      <x:c r="B560" s="80" t="n">
        <x:v>-0.8723520732078748</x:v>
      </x:c>
      <x:c r="C560" s="84" t="n">
        <x:f>SQRT('Resumen'!$B$5^3/3)*B560</x:f>
        <x:v>-0.5036527042946946</x:v>
      </x:c>
      <x:c r="D560" s="84" t="n">
        <x:f>C560^2-'Resumen'!$B$5^3/3</x:f>
        <x:v>-0.07966728678997426</x:v>
      </x:c>
      <x:c r="E560" s="85" t="n">
        <x:f>D560+'Resumen'!$B$5^3/3</x:f>
        <x:v>0.25366604654335906</x:v>
      </x:c>
    </x:row>
    <x:row r="561">
      <x:c r="A561" s="89" t="n">
        <x:v>559</x:v>
      </x:c>
      <x:c r="B561" s="80" t="n">
        <x:v>0.2988688301863589</x:v>
      </x:c>
      <x:c r="C561" s="84" t="n">
        <x:f>SQRT('Resumen'!$B$5^3/3)*B561</x:f>
        <x:v>0.17255199956048287</x:v>
      </x:c>
      <x:c r="D561" s="84" t="n">
        <x:f>C561^2-'Resumen'!$B$5^3/3</x:f>
        <x:v>-0.3035591407810124</x:v>
      </x:c>
      <x:c r="E561" s="85" t="n">
        <x:f>D561+'Resumen'!$B$5^3/3</x:f>
        <x:v>0.02977419255232089</x:v>
      </x:c>
    </x:row>
    <x:row r="562">
      <x:c r="A562" s="89" t="n">
        <x:v>560</x:v>
      </x:c>
      <x:c r="B562" s="80" t="n">
        <x:v>1.097331915929549</x:v>
      </x:c>
      <x:c r="C562" s="84" t="n">
        <x:f>SQRT('Resumen'!$B$5^3/3)*B562</x:f>
        <x:v>0.6335448770522928</x:v>
      </x:c>
      <x:c r="D562" s="84" t="n">
        <x:f>C562^2-'Resumen'!$B$5^3/3</x:f>
        <x:v>0.06804577790587146</x:v>
      </x:c>
      <x:c r="E562" s="85" t="n">
        <x:f>D562+'Resumen'!$B$5^3/3</x:f>
        <x:v>0.4013791112392048</x:v>
      </x:c>
    </x:row>
    <x:row r="563">
      <x:c r="A563" s="89" t="n">
        <x:v>561</x:v>
      </x:c>
      <x:c r="B563" s="80" t="n">
        <x:v>1.7950408516727945</x:v>
      </x:c>
      <x:c r="C563" s="84" t="n">
        <x:f>SQRT('Resumen'!$B$5^3/3)*B563</x:f>
        <x:v>1.036367318919663</x:v>
      </x:c>
      <x:c r="D563" s="84" t="n">
        <x:f>C563^2-'Resumen'!$B$5^3/3</x:f>
        <x:v>0.7407238863913972</x:v>
      </x:c>
      <x:c r="E563" s="85" t="n">
        <x:f>D563+'Resumen'!$B$5^3/3</x:f>
        <x:v>1.0740572197247304</x:v>
      </x:c>
    </x:row>
    <x:row r="564">
      <x:c r="A564" s="89" t="n">
        <x:v>562</x:v>
      </x:c>
      <x:c r="B564" s="80" t="n">
        <x:v>0.62896227692289</x:v>
      </x:c>
      <x:c r="C564" s="84" t="n">
        <x:f>SQRT('Resumen'!$B$5^3/3)*B564</x:f>
        <x:v>0.36313153989155045</x:v>
      </x:c>
      <x:c r="D564" s="84" t="n">
        <x:f>C564^2-'Resumen'!$B$5^3/3</x:f>
        <x:v>-0.20146881806932462</x:v>
      </x:c>
      <x:c r="E564" s="85" t="n">
        <x:f>D564+'Resumen'!$B$5^3/3</x:f>
        <x:v>0.1318645152640087</x:v>
      </x:c>
    </x:row>
    <x:row r="565">
      <x:c r="A565" s="89" t="n">
        <x:v>563</x:v>
      </x:c>
      <x:c r="B565" s="80" t="n">
        <x:v>1.3684149544377484</x:v>
      </x:c>
      <x:c r="C565" s="84" t="n">
        <x:f>SQRT('Resumen'!$B$5^3/3)*B565</x:f>
        <x:v>0.7900547423077435</x:v>
      </x:c>
      <x:c r="D565" s="84" t="n">
        <x:f>C565^2-'Resumen'!$B$5^3/3</x:f>
        <x:v>0.29085316250962173</x:v>
      </x:c>
      <x:c r="E565" s="85" t="n">
        <x:f>D565+'Resumen'!$B$5^3/3</x:f>
        <x:v>0.624186495842955</x:v>
      </x:c>
    </x:row>
    <x:row r="566">
      <x:c r="A566" s="89" t="n">
        <x:v>564</x:v>
      </x:c>
      <x:c r="B566" s="80" t="n">
        <x:v>-0.5547807510747985</x:v>
      </x:c>
      <x:c r="C566" s="84" t="n">
        <x:f>SQRT('Resumen'!$B$5^3/3)*B566</x:f>
        <x:v>-0.3203028159742577</x:v>
      </x:c>
      <x:c r="D566" s="84" t="n">
        <x:f>C566^2-'Resumen'!$B$5^3/3</x:f>
        <x:v>-0.23073943941229413</x:v>
      </x:c>
      <x:c r="E566" s="85" t="n">
        <x:f>D566+'Resumen'!$B$5^3/3</x:f>
        <x:v>0.10259389392103918</x:v>
      </x:c>
    </x:row>
    <x:row r="567">
      <x:c r="A567" s="89" t="n">
        <x:v>565</x:v>
      </x:c>
      <x:c r="B567" s="80" t="n">
        <x:v>-0.43746869438862357</x:v>
      </x:c>
      <x:c r="C567" s="84" t="n">
        <x:f>SQRT('Resumen'!$B$5^3/3)*B567</x:f>
        <x:v>-0.2525726684673059</x:v>
      </x:c>
      <x:c r="D567" s="84" t="n">
        <x:f>C567^2-'Resumen'!$B$5^3/3</x:f>
        <x:v>-0.2695403804766377</x:v>
      </x:c>
      <x:c r="E567" s="85" t="n">
        <x:f>D567+'Resumen'!$B$5^3/3</x:f>
        <x:v>0.06379295285669562</x:v>
      </x:c>
    </x:row>
    <x:row r="568">
      <x:c r="A568" s="89" t="n">
        <x:v>566</x:v>
      </x:c>
      <x:c r="B568" s="80" t="n">
        <x:v>-0.2507183012329197</x:v>
      </x:c>
      <x:c r="C568" s="84" t="n">
        <x:f>SQRT('Resumen'!$B$5^3/3)*B568</x:f>
        <x:v>-0.14475227870759186</x:v>
      </x:c>
      <x:c r="D568" s="84" t="n">
        <x:f>C568^2-'Resumen'!$B$5^3/3</x:f>
        <x:v>-0.31238011114229297</x:v>
      </x:c>
      <x:c r="E568" s="85" t="n">
        <x:f>D568+'Resumen'!$B$5^3/3</x:f>
        <x:v>0.020953222191040344</x:v>
      </x:c>
    </x:row>
    <x:row r="569">
      <x:c r="A569" s="89" t="n">
        <x:v>567</x:v>
      </x:c>
      <x:c r="B569" s="80" t="n">
        <x:v>0.5122766536429674</x:v>
      </x:c>
      <x:c r="C569" s="84" t="n">
        <x:f>SQRT('Resumen'!$B$5^3/3)*B569</x:f>
        <x:v>0.29576306388032786</x:v>
      </x:c>
      <x:c r="D569" s="84" t="n">
        <x:f>C569^2-'Resumen'!$B$5^3/3</x:f>
        <x:v>-0.2458575433774544</x:v>
      </x:c>
      <x:c r="E569" s="85" t="n">
        <x:f>D569+'Resumen'!$B$5^3/3</x:f>
        <x:v>0.0874757899558789</x:v>
      </x:c>
    </x:row>
    <x:row r="570">
      <x:c r="A570" s="89" t="n">
        <x:v>568</x:v>
      </x:c>
      <x:c r="B570" s="80" t="n">
        <x:v>-1.653820749313623</x:v>
      </x:c>
      <x:c r="C570" s="84" t="n">
        <x:f>SQRT('Resumen'!$B$5^3/3)*B570</x:f>
        <x:v>-0.9548338548076087</x:v>
      </x:c>
      <x:c r="D570" s="84" t="n">
        <x:f>C570^2-'Resumen'!$B$5^3/3</x:f>
        <x:v>0.5783743569534243</x:v>
      </x:c>
      <x:c r="E570" s="85" t="n">
        <x:f>D570+'Resumen'!$B$5^3/3</x:f>
        <x:v>0.9117076902867576</x:v>
      </x:c>
    </x:row>
    <x:row r="571">
      <x:c r="A571" s="89" t="n">
        <x:v>569</x:v>
      </x:c>
      <x:c r="B571" s="80" t="n">
        <x:v>0.4270123542836703</x:v>
      </x:c>
      <x:c r="C571" s="84" t="n">
        <x:f>SQRT('Resumen'!$B$5^3/3)*B571</x:f>
        <x:v>0.24653569769297287</x:v>
      </x:c>
      <x:c r="D571" s="84" t="n">
        <x:f>C571^2-'Resumen'!$B$5^3/3</x:f>
        <x:v>-0.2725534830963724</x:v>
      </x:c>
      <x:c r="E571" s="85" t="n">
        <x:f>D571+'Resumen'!$B$5^3/3</x:f>
        <x:v>0.06077985023696092</x:v>
      </x:c>
    </x:row>
    <x:row r="572">
      <x:c r="A572" s="89" t="n">
        <x:v>570</x:v>
      </x:c>
      <x:c r="B572" s="80" t="n">
        <x:v>0.3672244055783787</x:v>
      </x:c>
      <x:c r="C572" s="84" t="n">
        <x:f>SQRT('Resumen'!$B$5^3/3)*B572</x:f>
        <x:v>0.21201710941367724</x:v>
      </x:c>
      <x:c r="D572" s="84" t="n">
        <x:f>C572^2-'Resumen'!$B$5^3/3</x:f>
        <x:v>-0.2883820786492021</x:v>
      </x:c>
      <x:c r="E572" s="85" t="n">
        <x:f>D572+'Resumen'!$B$5^3/3</x:f>
        <x:v>0.04495125468413119</x:v>
      </x:c>
    </x:row>
    <x:row r="573">
      <x:c r="A573" s="89" t="n">
        <x:v>571</x:v>
      </x:c>
      <x:c r="B573" s="80" t="n">
        <x:v>-0.9768602282903046</x:v>
      </x:c>
      <x:c r="C573" s="84" t="n">
        <x:f>SQRT('Resumen'!$B$5^3/3)*B573</x:f>
        <x:v>-0.5639905157640466</x:v>
      </x:c>
      <x:c r="D573" s="84" t="n">
        <x:f>C573^2-'Resumen'!$B$5^3/3</x:f>
        <x:v>-0.015248031461538025</x:v>
      </x:c>
      <x:c r="E573" s="85" t="n">
        <x:f>D573+'Resumen'!$B$5^3/3</x:f>
        <x:v>0.3180853018717953</x:v>
      </x:c>
    </x:row>
    <x:row r="574">
      <x:c r="A574" s="89" t="n">
        <x:v>572</x:v>
      </x:c>
      <x:c r="B574" s="80" t="n">
        <x:v>-1.4805293912652207</x:v>
      </x:c>
      <x:c r="C574" s="84" t="n">
        <x:f>SQRT('Resumen'!$B$5^3/3)*B574</x:f>
        <x:v>-0.8547840425901279</x:v>
      </x:c>
      <x:c r="D574" s="84" t="n">
        <x:f>C574^2-'Resumen'!$B$5^3/3</x:f>
        <x:v>0.39732242613338825</x:v>
      </x:c>
      <x:c r="E574" s="85" t="n">
        <x:f>D574+'Resumen'!$B$5^3/3</x:f>
        <x:v>0.7306557594667216</x:v>
      </x:c>
    </x:row>
    <x:row r="575">
      <x:c r="A575" s="89" t="n">
        <x:v>573</x:v>
      </x:c>
      <x:c r="B575" s="80" t="n">
        <x:v>-2.5808036787676905</x:v>
      </x:c>
      <x:c r="C575" s="84" t="n">
        <x:f>SQRT('Resumen'!$B$5^3/3)*B575</x:f>
        <x:v>-1.4900276986621024</x:v>
      </x:c>
      <x:c r="D575" s="84" t="n">
        <x:f>C575^2-'Resumen'!$B$5^3/3</x:f>
        <x:v>1.8868492094469478</x:v>
      </x:c>
      <x:c r="E575" s="85" t="n">
        <x:f>D575+'Resumen'!$B$5^3/3</x:f>
        <x:v>2.220182542780281</x:v>
      </x:c>
    </x:row>
    <x:row r="576">
      <x:c r="A576" s="89" t="n">
        <x:v>574</x:v>
      </x:c>
      <x:c r="B576" s="80" t="n">
        <x:v>-1.7583516096807246</x:v>
      </x:c>
      <x:c r="C576" s="84" t="n">
        <x:f>SQRT('Resumen'!$B$5^3/3)*B576</x:f>
        <x:v>-1.015184775179178</x:v>
      </x:c>
      <x:c r="D576" s="84" t="n">
        <x:f>C576^2-'Resumen'!$B$5^3/3</x:f>
        <x:v>0.697266794422265</x:v>
      </x:c>
      <x:c r="E576" s="85" t="n">
        <x:f>D576+'Resumen'!$B$5^3/3</x:f>
        <x:v>1.0306001277555983</x:v>
      </x:c>
    </x:row>
    <x:row r="577">
      <x:c r="A577" s="89" t="n">
        <x:v>575</x:v>
      </x:c>
      <x:c r="B577" s="80" t="n">
        <x:v>-0.5782875640222405</x:v>
      </x:c>
      <x:c r="C577" s="84" t="n">
        <x:f>SQRT('Resumen'!$B$5^3/3)*B577</x:f>
        <x:v>-0.33387448075725346</x:v>
      </x:c>
      <x:c r="D577" s="84" t="n">
        <x:f>C577^2-'Resumen'!$B$5^3/3</x:f>
        <x:v>-0.22186116443240772</x:v>
      </x:c>
      <x:c r="E577" s="85" t="n">
        <x:f>D577+'Resumen'!$B$5^3/3</x:f>
        <x:v>0.1114721689009256</x:v>
      </x:c>
    </x:row>
    <x:row r="578">
      <x:c r="A578" s="89" t="n">
        <x:v>576</x:v>
      </x:c>
      <x:c r="B578" s="80" t="n">
        <x:v>-1.91748662361843</x:v>
      </x:c>
      <x:c r="C578" s="84" t="n">
        <x:f>SQRT('Resumen'!$B$5^3/3)*B578</x:f>
        <x:v>-1.1070614183136072</x:v>
      </x:c>
      <x:c r="D578" s="84" t="n">
        <x:f>C578^2-'Resumen'!$B$5^3/3</x:f>
        <x:v>0.8922516505852023</x:v>
      </x:c>
      <x:c r="E578" s="85" t="n">
        <x:f>D578+'Resumen'!$B$5^3/3</x:f>
        <x:v>1.2255849839185355</x:v>
      </x:c>
    </x:row>
    <x:row r="579">
      <x:c r="A579" s="89" t="n">
        <x:v>577</x:v>
      </x:c>
      <x:c r="B579" s="80" t="n">
        <x:v>-0.31323685213455127</x:v>
      </x:c>
      <x:c r="C579" s="84" t="n">
        <x:f>SQRT('Resumen'!$B$5^3/3)*B579</x:f>
        <x:v>-0.18084738089999416</x:v>
      </x:c>
      <x:c r="D579" s="84" t="n">
        <x:f>C579^2-'Resumen'!$B$5^3/3</x:f>
        <x:v>-0.30062755815494574</x:v>
      </x:c>
      <x:c r="E579" s="85" t="n">
        <x:f>D579+'Resumen'!$B$5^3/3</x:f>
        <x:v>0.032705775178387575</x:v>
      </x:c>
    </x:row>
    <x:row r="580">
      <x:c r="A580" s="89" t="n">
        <x:v>578</x:v>
      </x:c>
      <x:c r="B580" s="80" t="n">
        <x:v>1.6207425360200307</x:v>
      </x:c>
      <x:c r="C580" s="84" t="n">
        <x:f>SQRT('Resumen'!$B$5^3/3)*B580</x:f>
        <x:v>0.9357361394582414</x:v>
      </x:c>
      <x:c r="D580" s="84" t="n">
        <x:f>C580^2-'Resumen'!$B$5^3/3</x:f>
        <x:v>0.5422687893548801</x:v>
      </x:c>
      <x:c r="E580" s="85" t="n">
        <x:f>D580+'Resumen'!$B$5^3/3</x:f>
        <x:v>0.8756021226882134</x:v>
      </x:c>
    </x:row>
    <x:row r="581">
      <x:c r="A581" s="89" t="n">
        <x:v>579</x:v>
      </x:c>
      <x:c r="B581" s="80" t="n">
        <x:v>0.3128324634712557</x:v>
      </x:c>
      <x:c r="C581" s="84" t="n">
        <x:f>SQRT('Resumen'!$B$5^3/3)*B581</x:f>
        <x:v>0.18061390699638324</x:v>
      </x:c>
      <x:c r="D581" s="84" t="n">
        <x:f>C581^2-'Resumen'!$B$5^3/3</x:f>
        <x:v>-0.3007119499328351</x:v>
      </x:c>
      <x:c r="E581" s="85" t="n">
        <x:f>D581+'Resumen'!$B$5^3/3</x:f>
        <x:v>0.032621383400498194</x:v>
      </x:c>
    </x:row>
    <x:row r="582">
      <x:c r="A582" s="89" t="n">
        <x:v>580</x:v>
      </x:c>
      <x:c r="B582" s="80" t="n">
        <x:v>0.33248032722306353</x:v>
      </x:c>
      <x:c r="C582" s="84" t="n">
        <x:f>SQRT('Resumen'!$B$5^3/3)*B582</x:f>
        <x:v>0.19195760642249057</x:v>
      </x:c>
      <x:c r="D582" s="84" t="n">
        <x:f>C582^2-'Resumen'!$B$5^3/3</x:f>
        <x:v>-0.29648561066988155</x:v>
      </x:c>
      <x:c r="E582" s="85" t="n">
        <x:f>D582+'Resumen'!$B$5^3/3</x:f>
        <x:v>0.036847722663451765</x:v>
      </x:c>
    </x:row>
    <x:row r="583">
      <x:c r="A583" s="89" t="n">
        <x:v>581</x:v>
      </x:c>
      <x:c r="B583" s="80" t="n">
        <x:v>-0.44217233194119965</x:v>
      </x:c>
      <x:c r="C583" s="84" t="n">
        <x:f>SQRT('Resumen'!$B$5^3/3)*B583</x:f>
        <x:v>-0.25528831487445613</x:v>
      </x:c>
      <x:c r="D583" s="84" t="n">
        <x:f>C583^2-'Resumen'!$B$5^3/3</x:f>
        <x:v>-0.2681612096218938</x:v>
      </x:c>
      <x:c r="E583" s="85" t="n">
        <x:f>D583+'Resumen'!$B$5^3/3</x:f>
        <x:v>0.06517212371143949</x:v>
      </x:c>
    </x:row>
    <x:row r="584">
      <x:c r="A584" s="89" t="n">
        <x:v>582</x:v>
      </x:c>
      <x:c r="B584" s="80" t="n">
        <x:v>0.3483861205784912</x:v>
      </x:c>
      <x:c r="C584" s="84" t="n">
        <x:f>SQRT('Resumen'!$B$5^3/3)*B584</x:f>
        <x:v>0.2011408204979213</x:v>
      </x:c>
      <x:c r="D584" s="84" t="n">
        <x:f>C584^2-'Resumen'!$B$5^3/3</x:f>
        <x:v>-0.2928757036627563</x:v>
      </x:c>
      <x:c r="E584" s="85" t="n">
        <x:f>D584+'Resumen'!$B$5^3/3</x:f>
        <x:v>0.04045762967057703</x:v>
      </x:c>
    </x:row>
    <x:row r="585">
      <x:c r="A585" s="89" t="n">
        <x:v>583</x:v>
      </x:c>
      <x:c r="B585" s="80" t="n">
        <x:v>1.1916834157519582</x:v>
      </x:c>
      <x:c r="C585" s="84" t="n">
        <x:f>SQRT('Resumen'!$B$5^3/3)*B585</x:f>
        <x:v>0.6880187408732058</x:v>
      </x:c>
      <x:c r="D585" s="84" t="n">
        <x:f>C585^2-'Resumen'!$B$5^3/3</x:f>
        <x:v>0.1400364544594182</x:v>
      </x:c>
      <x:c r="E585" s="85" t="n">
        <x:f>D585+'Resumen'!$B$5^3/3</x:f>
        <x:v>0.4733697877927515</x:v>
      </x:c>
    </x:row>
    <x:row r="586">
      <x:c r="A586" s="89" t="n">
        <x:v>584</x:v>
      </x:c>
      <x:c r="B586" s="80" t="n">
        <x:v>-1.4987796117728462</x:v>
      </x:c>
      <x:c r="C586" s="84" t="n">
        <x:f>SQRT('Resumen'!$B$5^3/3)*B586</x:f>
        <x:v>-0.8653208123129755</x:v>
      </x:c>
      <x:c r="D586" s="84" t="n">
        <x:f>C586^2-'Resumen'!$B$5^3/3</x:f>
        <x:v>0.4154467748886545</x:v>
      </x:c>
      <x:c r="E586" s="85" t="n">
        <x:f>D586+'Resumen'!$B$5^3/3</x:f>
        <x:v>0.7487801082219878</x:v>
      </x:c>
    </x:row>
    <x:row r="587">
      <x:c r="A587" s="89" t="n">
        <x:v>585</x:v>
      </x:c>
      <x:c r="B587" s="80" t="n">
        <x:v>2.390969738238066</x:v>
      </x:c>
      <x:c r="C587" s="84" t="n">
        <x:f>SQRT('Resumen'!$B$5^3/3)*B587</x:f>
        <x:v>1.3804270219959964</x:v>
      </x:c>
      <x:c r="D587" s="84" t="n">
        <x:f>C587^2-'Resumen'!$B$5^3/3</x:f>
        <x:v>1.5722454297234019</x:v>
      </x:c>
      <x:c r="E587" s="85" t="n">
        <x:f>D587+'Resumen'!$B$5^3/3</x:f>
        <x:v>1.9055787630567351</x:v>
      </x:c>
    </x:row>
    <x:row r="588">
      <x:c r="A588" s="89" t="n">
        <x:v>586</x:v>
      </x:c>
      <x:c r="B588" s="80" t="n">
        <x:v>0.5079472458215591</x:v>
      </x:c>
      <x:c r="C588" s="84" t="n">
        <x:f>SQRT('Resumen'!$B$5^3/3)*B588</x:f>
        <x:v>0.2932634791092062</x:v>
      </x:c>
      <x:c r="D588" s="84" t="n">
        <x:f>C588^2-'Resumen'!$B$5^3/3</x:f>
        <x:v>-0.2473298651540975</x:v>
      </x:c>
      <x:c r="E588" s="85" t="n">
        <x:f>D588+'Resumen'!$B$5^3/3</x:f>
        <x:v>0.08600346817923582</x:v>
      </x:c>
    </x:row>
    <x:row r="589">
      <x:c r="A589" s="89" t="n">
        <x:v>587</x:v>
      </x:c>
      <x:c r="B589" s="80" t="n">
        <x:v>0.5770034983938722</x:v>
      </x:c>
      <x:c r="C589" s="84" t="n">
        <x:f>SQRT('Resumen'!$B$5^3/3)*B589</x:f>
        <x:v>0.3331331251210579</x:v>
      </x:c>
      <x:c r="D589" s="84" t="n">
        <x:f>C589^2-'Resumen'!$B$5^3/3</x:f>
        <x:v>-0.22235565428041087</x:v>
      </x:c>
      <x:c r="E589" s="85" t="n">
        <x:f>D589+'Resumen'!$B$5^3/3</x:f>
        <x:v>0.11097767905292244</x:v>
      </x:c>
    </x:row>
    <x:row r="590">
      <x:c r="A590" s="89" t="n">
        <x:v>588</x:v>
      </x:c>
      <x:c r="B590" s="80" t="n">
        <x:v>-0.9527241822901773</x:v>
      </x:c>
      <x:c r="C590" s="84" t="n">
        <x:f>SQRT('Resumen'!$B$5^3/3)*B590</x:f>
        <x:v>-0.5500555631087</x:v>
      </x:c>
      <x:c r="D590" s="84" t="n">
        <x:f>C590^2-'Resumen'!$B$5^3/3</x:f>
        <x:v>-0.03077221082650433</x:v>
      </x:c>
      <x:c r="E590" s="85" t="n">
        <x:f>D590+'Resumen'!$B$5^3/3</x:f>
        <x:v>0.302561122506829</x:v>
      </x:c>
    </x:row>
    <x:row r="591">
      <x:c r="A591" s="89" t="n">
        <x:v>589</x:v>
      </x:c>
      <x:c r="B591" s="80" t="n">
        <x:v>-1.5899964677709926</x:v>
      </x:c>
      <x:c r="C591" s="84" t="n">
        <x:f>SQRT('Resumen'!$B$5^3/3)*B591</x:f>
        <x:v>-0.9179848886781367</x:v>
      </x:c>
      <x:c r="D591" s="84" t="n">
        <x:f>C591^2-'Resumen'!$B$5^3/3</x:f>
        <x:v>0.5093629225080776</x:v>
      </x:c>
      <x:c r="E591" s="85" t="n">
        <x:f>D591+'Resumen'!$B$5^3/3</x:f>
        <x:v>0.8426962558414108</x:v>
      </x:c>
    </x:row>
    <x:row r="592">
      <x:c r="A592" s="89" t="n">
        <x:v>590</x:v>
      </x:c>
      <x:c r="B592" s="80" t="n">
        <x:v>2.0694775076265746</x:v>
      </x:c>
      <x:c r="C592" s="84" t="n">
        <x:f>SQRT('Resumen'!$B$5^3/3)*B592</x:f>
        <x:v>1.1948133961100786</x:v>
      </x:c>
      <x:c r="D592" s="84" t="n">
        <x:f>C592^2-'Resumen'!$B$5^3/3</x:f>
        <x:v>1.0942457181907663</x:v>
      </x:c>
      <x:c r="E592" s="85" t="n">
        <x:f>D592+'Resumen'!$B$5^3/3</x:f>
        <x:v>1.4275790515240996</x:v>
      </x:c>
    </x:row>
    <x:row r="593">
      <x:c r="A593" s="89" t="n">
        <x:v>591</x:v>
      </x:c>
      <x:c r="B593" s="80" t="n">
        <x:v>-0.22961602884041468</x:v>
      </x:c>
      <x:c r="C593" s="84" t="n">
        <x:f>SQRT('Resumen'!$B$5^3/3)*B593</x:f>
        <x:v>-0.13256887606126627</x:v>
      </x:c>
      <x:c r="D593" s="84" t="n">
        <x:f>C593^2-'Resumen'!$B$5^3/3</x:f>
        <x:v>-0.3157588264331859</x:v>
      </x:c>
      <x:c r="E593" s="85" t="n">
        <x:f>D593+'Resumen'!$B$5^3/3</x:f>
        <x:v>0.01757450690014739</x:v>
      </x:c>
    </x:row>
    <x:row r="594">
      <x:c r="A594" s="89" t="n">
        <x:v>592</x:v>
      </x:c>
      <x:c r="B594" s="80" t="n">
        <x:v>-0.17371399594619544</x:v>
      </x:c>
      <x:c r="C594" s="84" t="n">
        <x:f>SQRT('Resumen'!$B$5^3/3)*B594</x:f>
        <x:v>-0.10029382232154149</x:v>
      </x:c>
      <x:c r="D594" s="84" t="n">
        <x:f>C594^2-'Resumen'!$B$5^3/3</x:f>
        <x:v>-0.3232744825374684</x:v>
      </x:c>
      <x:c r="E594" s="85" t="n">
        <x:f>D594+'Resumen'!$B$5^3/3</x:f>
        <x:v>0.010058850795864938</x:v>
      </x:c>
    </x:row>
    <x:row r="595">
      <x:c r="A595" s="89" t="n">
        <x:v>593</x:v>
      </x:c>
      <x:c r="B595" s="80" t="n">
        <x:v>1.3010763010294644</x:v>
      </x:c>
      <x:c r="C595" s="84" t="n">
        <x:f>SQRT('Resumen'!$B$5^3/3)*B595</x:f>
        <x:v>0.7511767526356038</x:v>
      </x:c>
      <x:c r="D595" s="84" t="n">
        <x:f>C595^2-'Resumen'!$B$5^3/3</x:f>
        <x:v>0.2309331803668378</x:v>
      </x:c>
      <x:c r="E595" s="85" t="n">
        <x:f>D595+'Resumen'!$B$5^3/3</x:f>
        <x:v>0.5642665137001711</x:v>
      </x:c>
    </x:row>
    <x:row r="596">
      <x:c r="A596" s="89" t="n">
        <x:v>594</x:v>
      </x:c>
      <x:c r="B596" s="80" t="n">
        <x:v>-1.8236169679766134</x:v>
      </x:c>
      <x:c r="C596" s="84" t="n">
        <x:f>SQRT('Resumen'!$B$5^3/3)*B596</x:f>
        <x:v>-1.0528657473600669</x:v>
      </x:c>
      <x:c r="D596" s="84" t="n">
        <x:f>C596^2-'Resumen'!$B$5^3/3</x:f>
        <x:v>0.775192948630739</x:v>
      </x:c>
      <x:c r="E596" s="85" t="n">
        <x:f>D596+'Resumen'!$B$5^3/3</x:f>
        <x:v>1.1085262819640722</x:v>
      </x:c>
    </x:row>
    <x:row r="597">
      <x:c r="A597" s="89" t="n">
        <x:v>595</x:v>
      </x:c>
      <x:c r="B597" s="80" t="n">
        <x:v>-1.493128733604853</x:v>
      </x:c>
      <x:c r="C597" s="84" t="n">
        <x:f>SQRT('Resumen'!$B$5^3/3)*B597</x:f>
        <x:v>-0.8620582762815269</x:v>
      </x:c>
      <x:c r="D597" s="84" t="n">
        <x:f>C597^2-'Resumen'!$B$5^3/3</x:f>
        <x:v>0.40981113837214395</x:v>
      </x:c>
      <x:c r="E597" s="85" t="n">
        <x:f>D597+'Resumen'!$B$5^3/3</x:f>
        <x:v>0.7431444717054773</x:v>
      </x:c>
    </x:row>
    <x:row r="598">
      <x:c r="A598" s="89" t="n">
        <x:v>596</x:v>
      </x:c>
      <x:c r="B598" s="80" t="n">
        <x:v>0.5671775057463768</x:v>
      </x:c>
      <x:c r="C598" s="84" t="n">
        <x:f>SQRT('Resumen'!$B$5^3/3)*B598</x:f>
        <x:v>0.3274600856209712</x:v>
      </x:c>
      <x:c r="D598" s="84" t="n">
        <x:f>C598^2-'Resumen'!$B$5^3/3</x:f>
        <x:v>-0.22610322565843954</x:v>
      </x:c>
      <x:c r="E598" s="85" t="n">
        <x:f>D598+'Resumen'!$B$5^3/3</x:f>
        <x:v>0.10723010767489377</x:v>
      </x:c>
    </x:row>
    <x:row r="599">
      <x:c r="A599" s="89" t="n">
        <x:v>597</x:v>
      </x:c>
      <x:c r="B599" s="80" t="n">
        <x:v>1.1548064763037909</x:v>
      </x:c>
      <x:c r="C599" s="84" t="n">
        <x:f>SQRT('Resumen'!$B$5^3/3)*B599</x:f>
        <x:v>0.6667278299559168</x:v>
      </x:c>
      <x:c r="D599" s="84" t="n">
        <x:f>C599^2-'Resumen'!$B$5^3/3</x:f>
        <x:v>0.11119266590439264</x:v>
      </x:c>
      <x:c r="E599" s="85" t="n">
        <x:f>D599+'Resumen'!$B$5^3/3</x:f>
        <x:v>0.44452599923772596</x:v>
      </x:c>
    </x:row>
    <x:row r="600">
      <x:c r="A600" s="89" t="n">
        <x:v>598</x:v>
      </x:c>
      <x:c r="B600" s="80" t="n">
        <x:v>0.48868594624214295</x:v>
      </x:c>
      <x:c r="C600" s="84" t="n">
        <x:f>SQRT('Resumen'!$B$5^3/3)*B600</x:f>
        <x:v>0.2821429626120882</x:v>
      </x:c>
      <x:c r="D600" s="84" t="n">
        <x:f>C600^2-'Resumen'!$B$5^3/3</x:f>
        <x:v>-0.2537286819818071</x:v>
      </x:c>
      <x:c r="E600" s="85" t="n">
        <x:f>D600+'Resumen'!$B$5^3/3</x:f>
        <x:v>0.07960465135152622</x:v>
      </x:c>
    </x:row>
    <x:row r="601">
      <x:c r="A601" s="89" t="n">
        <x:v>599</x:v>
      </x:c>
      <x:c r="B601" s="80" t="n">
        <x:v>-0.7059270572611828</x:v>
      </x:c>
      <x:c r="C601" s="84" t="n">
        <x:f>SQRT('Resumen'!$B$5^3/3)*B601</x:f>
        <x:v>-0.4075671765379842</x:v>
      </x:c>
      <x:c r="D601" s="84" t="n">
        <x:f>C601^2-'Resumen'!$B$5^3/3</x:f>
        <x:v>-0.16722232994218894</x:v>
      </x:c>
      <x:c r="E601" s="85" t="n">
        <x:f>D601+'Resumen'!$B$5^3/3</x:f>
        <x:v>0.16611100339114437</x:v>
      </x:c>
    </x:row>
    <x:row r="602">
      <x:c r="A602" s="89" t="n">
        <x:v>600</x:v>
      </x:c>
      <x:c r="B602" s="80" t="n">
        <x:v>0.9517139913466587</x:v>
      </x:c>
      <x:c r="C602" s="84" t="n">
        <x:f>SQRT('Resumen'!$B$5^3/3)*B602</x:f>
        <x:v>0.5494723290955266</x:v>
      </x:c>
      <x:c r="D602" s="84" t="n">
        <x:f>C602^2-'Resumen'!$B$5^3/3</x:f>
        <x:v>-0.03141349289167067</x:v>
      </x:c>
      <x:c r="E602" s="85" t="n">
        <x:f>D602+'Resumen'!$B$5^3/3</x:f>
        <x:v>0.30191984044166265</x:v>
      </x:c>
    </x:row>
    <x:row r="603">
      <x:c r="A603" s="89" t="n">
        <x:v>601</x:v>
      </x:c>
      <x:c r="B603" s="80" t="n">
        <x:v>0.6217119060536175</x:v>
      </x:c>
      <x:c r="C603" s="84" t="n">
        <x:f>SQRT('Resumen'!$B$5^3/3)*B603</x:f>
        <x:v>0.35894553631845133</x:v>
      </x:c>
      <x:c r="D603" s="84" t="n">
        <x:f>C603^2-'Resumen'!$B$5^3/3</x:f>
        <x:v>-0.20449143529039265</x:v>
      </x:c>
      <x:c r="E603" s="85" t="n">
        <x:f>D603+'Resumen'!$B$5^3/3</x:f>
        <x:v>0.12884189804294066</x:v>
      </x:c>
    </x:row>
    <x:row r="604">
      <x:c r="A604" s="89" t="n">
        <x:v>602</x:v>
      </x:c>
      <x:c r="B604" s="80" t="n">
        <x:v>-2.536016353991665</x:v>
      </x:c>
      <x:c r="C604" s="84" t="n">
        <x:f>SQRT('Resumen'!$B$5^3/3)*B604</x:f>
        <x:v>-1.464169724646381</x:v>
      </x:c>
      <x:c r="D604" s="84" t="n">
        <x:f>C604^2-'Resumen'!$B$5^3/3</x:f>
        <x:v>1.8104596492377258</x:v>
      </x:c>
      <x:c r="E604" s="85" t="n">
        <x:f>D604+'Resumen'!$B$5^3/3</x:f>
        <x:v>2.143792982571059</x:v>
      </x:c>
    </x:row>
    <x:row r="605">
      <x:c r="A605" s="89" t="n">
        <x:v>603</x:v>
      </x:c>
      <x:c r="B605" s="80" t="n">
        <x:v>-0.416627456535813</x:v>
      </x:c>
      <x:c r="C605" s="84" t="n">
        <x:f>SQRT('Resumen'!$B$5^3/3)*B605</x:f>
        <x:v>-0.24053997418274073</x:v>
      </x:c>
      <x:c r="D605" s="84" t="n">
        <x:f>C605^2-'Resumen'!$B$5^3/3</x:f>
        <x:v>-0.27547385415349973</x:v>
      </x:c>
      <x:c r="E605" s="85" t="n">
        <x:f>D605+'Resumen'!$B$5^3/3</x:f>
        <x:v>0.057859479179833584</x:v>
      </x:c>
    </x:row>
    <x:row r="606">
      <x:c r="A606" s="89" t="n">
        <x:v>604</x:v>
      </x:c>
      <x:c r="B606" s="80" t="n">
        <x:v>0.0612355659967945</x:v>
      </x:c>
      <x:c r="C606" s="84" t="n">
        <x:f>SQRT('Resumen'!$B$5^3/3)*B606</x:f>
        <x:v>0.035354370512228395</x:v>
      </x:c>
      <x:c r="D606" s="84" t="n">
        <x:f>C606^2-'Resumen'!$B$5^3/3</x:f>
        <x:v>-0.3320834018190174</x:v>
      </x:c>
      <x:c r="E606" s="85" t="n">
        <x:f>D606+'Resumen'!$B$5^3/3</x:f>
        <x:v>0.001249931514315905</x:v>
      </x:c>
    </x:row>
    <x:row r="607">
      <x:c r="A607" s="89" t="n">
        <x:v>605</x:v>
      </x:c>
      <x:c r="B607" s="80" t="n">
        <x:v>0.09284378316178954</x:v>
      </x:c>
      <x:c r="C607" s="84" t="n">
        <x:f>SQRT('Resumen'!$B$5^3/3)*B607</x:f>
        <x:v>0.05360338320104243</x:v>
      </x:c>
      <x:c r="D607" s="84" t="n">
        <x:f>C607^2-'Resumen'!$B$5^3/3</x:f>
        <x:v>-0.3304600106427355</x:v>
      </x:c>
      <x:c r="E607" s="85" t="n">
        <x:f>D607+'Resumen'!$B$5^3/3</x:f>
        <x:v>0.0028733226905978126</x:v>
      </x:c>
    </x:row>
    <x:row r="608">
      <x:c r="A608" s="89" t="n">
        <x:v>606</x:v>
      </x:c>
      <x:c r="B608" s="80" t="n">
        <x:v>-0.30035503449501333</x:v>
      </x:c>
      <x:c r="C608" s="84" t="n">
        <x:f>SQRT('Resumen'!$B$5^3/3)*B608</x:f>
        <x:v>-0.17341006001815526</x:v>
      </x:c>
      <x:c r="D608" s="84" t="n">
        <x:f>C608^2-'Resumen'!$B$5^3/3</x:f>
        <x:v>-0.3032622844178331</x:v>
      </x:c>
      <x:c r="E608" s="85" t="n">
        <x:f>D608+'Resumen'!$B$5^3/3</x:f>
        <x:v>0.03007104891550022</x:v>
      </x:c>
    </x:row>
    <x:row r="609">
      <x:c r="A609" s="89" t="n">
        <x:v>607</x:v>
      </x:c>
      <x:c r="B609" s="80" t="n">
        <x:v>-0.11397488755952168</x:v>
      </x:c>
      <x:c r="C609" s="84" t="n">
        <x:f>SQRT('Resumen'!$B$5^3/3)*B609</x:f>
        <x:v>-0.06580343201334717</x:v>
      </x:c>
      <x:c r="D609" s="84" t="n">
        <x:f>C609^2-'Resumen'!$B$5^3/3</x:f>
        <x:v>-0.3290032416685981</x:v>
      </x:c>
      <x:c r="E609" s="85" t="n">
        <x:f>D609+'Resumen'!$B$5^3/3</x:f>
        <x:v>0.004330091664735192</x:v>
      </x:c>
    </x:row>
    <x:row r="610">
      <x:c r="A610" s="89" t="n">
        <x:v>608</x:v>
      </x:c>
      <x:c r="B610" s="80" t="n">
        <x:v>1.3679457347651989</x:v>
      </x:c>
      <x:c r="C610" s="84" t="n">
        <x:f>SQRT('Resumen'!$B$5^3/3)*B610</x:f>
        <x:v>0.789783838203488</x:v>
      </x:c>
      <x:c r="D610" s="84" t="n">
        <x:f>C610^2-'Resumen'!$B$5^3/3</x:f>
        <x:v>0.2904251777541</x:v>
      </x:c>
      <x:c r="E610" s="85" t="n">
        <x:f>D610+'Resumen'!$B$5^3/3</x:f>
        <x:v>0.6237585110874333</x:v>
      </x:c>
    </x:row>
    <x:row r="611">
      <x:c r="A611" s="89" t="n">
        <x:v>609</x:v>
      </x:c>
      <x:c r="B611" s="80" t="n">
        <x:v>-0.9549168703264421</x:v>
      </x:c>
      <x:c r="C611" s="84" t="n">
        <x:f>SQRT('Resumen'!$B$5^3/3)*B611</x:f>
        <x:v>-0.5513215121366863</x:v>
      </x:c>
      <x:c r="D611" s="84" t="n">
        <x:f>C611^2-'Resumen'!$B$5^3/3</x:f>
        <x:v>-0.029377923588650934</x:v>
      </x:c>
      <x:c r="E611" s="85" t="n">
        <x:f>D611+'Resumen'!$B$5^3/3</x:f>
        <x:v>0.3039554097446824</x:v>
      </x:c>
    </x:row>
    <x:row r="612">
      <x:c r="A612" s="89" t="n">
        <x:v>610</x:v>
      </x:c>
      <x:c r="B612" s="80" t="n">
        <x:v>-0.9978773234670463</x:v>
      </x:c>
      <x:c r="C612" s="84" t="n">
        <x:f>SQRT('Resumen'!$B$5^3/3)*B612</x:f>
        <x:v>-0.5761247413219224</x:v>
      </x:c>
      <x:c r="D612" s="84" t="n">
        <x:f>C612^2-'Resumen'!$B$5^3/3</x:f>
        <x:v>-0.0014136157700813667</x:v>
      </x:c>
      <x:c r="E612" s="85" t="n">
        <x:f>D612+'Resumen'!$B$5^3/3</x:f>
        <x:v>0.33191971756325195</x:v>
      </x:c>
    </x:row>
    <x:row r="613">
      <x:c r="A613" s="89" t="n">
        <x:v>611</x:v>
      </x:c>
      <x:c r="B613" s="80" t="n">
        <x:v>0.9493766102525987</x:v>
      </x:c>
      <x:c r="C613" s="84" t="n">
        <x:f>SQRT('Resumen'!$B$5^3/3)*B613</x:f>
        <x:v>0.5481228414916722</x:v>
      </x:c>
      <x:c r="D613" s="84" t="n">
        <x:f>C613^2-'Resumen'!$B$5^3/3</x:f>
        <x:v>-0.032894683968428484</x:v>
      </x:c>
      <x:c r="E613" s="85" t="n">
        <x:f>D613+'Resumen'!$B$5^3/3</x:f>
        <x:v>0.30043864936490483</x:v>
      </x:c>
    </x:row>
    <x:row r="614">
      <x:c r="A614" s="89" t="n">
        <x:v>612</x:v>
      </x:c>
      <x:c r="B614" s="80" t="n">
        <x:v>1.361483297840813</x:v>
      </x:c>
      <x:c r="C614" s="84" t="n">
        <x:f>SQRT('Resumen'!$B$5^3/3)*B614</x:f>
        <x:v>0.7860527485055727</x:v>
      </x:c>
      <x:c r="D614" s="84" t="n">
        <x:f>C614^2-'Resumen'!$B$5^3/3</x:f>
        <x:v>0.2845455900998319</x:v>
      </x:c>
      <x:c r="E614" s="85" t="n">
        <x:f>D614+'Resumen'!$B$5^3/3</x:f>
        <x:v>0.6178789234331652</x:v>
      </x:c>
    </x:row>
    <x:row r="615">
      <x:c r="A615" s="89" t="n">
        <x:v>613</x:v>
      </x:c>
      <x:c r="B615" s="80" t="n">
        <x:v>1.7476351559732723</x:v>
      </x:c>
      <x:c r="C615" s="84" t="n">
        <x:f>SQRT('Resumen'!$B$5^3/3)*B615</x:f>
        <x:v>1.0089976277464223</x:v>
      </x:c>
      <x:c r="D615" s="84" t="n">
        <x:f>C615^2-'Resumen'!$B$5^3/3</x:f>
        <x:v>0.6847428794645745</x:v>
      </x:c>
      <x:c r="E615" s="85" t="n">
        <x:f>D615+'Resumen'!$B$5^3/3</x:f>
        <x:v>1.0180762127979077</x:v>
      </x:c>
    </x:row>
    <x:row r="616">
      <x:c r="A616" s="89" t="n">
        <x:v>614</x:v>
      </x:c>
      <x:c r="B616" s="80" t="n">
        <x:v>-0.8452812007563948</x:v>
      </x:c>
      <x:c r="C616" s="84" t="n">
        <x:f>SQRT('Resumen'!$B$5^3/3)*B616</x:f>
        <x:v>-0.4880233287976346</x:v>
      </x:c>
      <x:c r="D616" s="84" t="n">
        <x:f>C616^2-'Resumen'!$B$5^3/3</x:f>
        <x:v>-0.09516656388260913</x:v>
      </x:c>
      <x:c r="E616" s="85" t="n">
        <x:f>D616+'Resumen'!$B$5^3/3</x:f>
        <x:v>0.23816676945072418</x:v>
      </x:c>
    </x:row>
    <x:row r="617">
      <x:c r="A617" s="89" t="n">
        <x:v>615</x:v>
      </x:c>
      <x:c r="B617" s="80" t="n">
        <x:v>-1.3914383292560673</x:v>
      </x:c>
      <x:c r="C617" s="84" t="n">
        <x:f>SQRT('Resumen'!$B$5^3/3)*B617</x:f>
        <x:v>-0.8033472939567535</x:v>
      </x:c>
      <x:c r="D617" s="84" t="n">
        <x:f>C617^2-'Resumen'!$B$5^3/3</x:f>
        <x:v>0.3120335413743052</x:v>
      </x:c>
      <x:c r="E617" s="85" t="n">
        <x:f>D617+'Resumen'!$B$5^3/3</x:f>
        <x:v>0.6453668747076385</x:v>
      </x:c>
    </x:row>
    <x:row r="618">
      <x:c r="A618" s="89" t="n">
        <x:v>616</x:v>
      </x:c>
      <x:c r="B618" s="80" t="n">
        <x:v>0.6238879402566225</x:v>
      </x:c>
      <x:c r="C618" s="84" t="n">
        <x:f>SQRT('Resumen'!$B$5^3/3)*B618</x:f>
        <x:v>0.36020187025132216</x:v>
      </x:c>
      <x:c r="D618" s="84" t="n">
        <x:f>C618^2-'Resumen'!$B$5^3/3</x:f>
        <x:v>-0.20358794600078298</x:v>
      </x:c>
      <x:c r="E618" s="85" t="n">
        <x:f>D618+'Resumen'!$B$5^3/3</x:f>
        <x:v>0.12974538733255034</x:v>
      </x:c>
    </x:row>
    <x:row r="619">
      <x:c r="A619" s="89" t="n">
        <x:v>617</x:v>
      </x:c>
      <x:c r="B619" s="80" t="n">
        <x:v>0.4031295492432473</x:v>
      </x:c>
      <x:c r="C619" s="84" t="n">
        <x:f>SQRT('Resumen'!$B$5^3/3)*B619</x:f>
        <x:v>0.2327469537738813</x:v>
      </x:c>
      <x:c r="D619" s="84" t="n">
        <x:f>C619^2-'Resumen'!$B$5^3/3</x:f>
        <x:v>-0.2791621888423121</x:v>
      </x:c>
      <x:c r="E619" s="85" t="n">
        <x:f>D619+'Resumen'!$B$5^3/3</x:f>
        <x:v>0.05417114449102123</x:v>
      </x:c>
    </x:row>
    <x:row r="620">
      <x:c r="A620" s="89" t="n">
        <x:v>618</x:v>
      </x:c>
      <x:c r="B620" s="80" t="n">
        <x:v>-1.2235494095146204</x:v>
      </x:c>
      <x:c r="C620" s="84" t="n">
        <x:f>SQRT('Resumen'!$B$5^3/3)*B620</x:f>
        <x:v>-0.7064165809500738</x:v>
      </x:c>
      <x:c r="D620" s="84" t="n">
        <x:f>C620^2-'Resumen'!$B$5^3/3</x:f>
        <x:v>0.16569105250785882</x:v>
      </x:c>
      <x:c r="E620" s="85" t="n">
        <x:f>D620+'Resumen'!$B$5^3/3</x:f>
        <x:v>0.49902438584119213</x:v>
      </x:c>
    </x:row>
    <x:row r="621">
      <x:c r="A621" s="89" t="n">
        <x:v>619</x:v>
      </x:c>
      <x:c r="B621" s="80" t="n">
        <x:v>-1.1414429227579646</x:v>
      </x:c>
      <x:c r="C621" s="84" t="n">
        <x:f>SQRT('Resumen'!$B$5^3/3)*B621</x:f>
        <x:v>-0.6590123787189041</x:v>
      </x:c>
      <x:c r="D621" s="84" t="n">
        <x:f>C621^2-'Resumen'!$B$5^3/3</x:f>
        <x:v>0.10096398197141493</x:v>
      </x:c>
      <x:c r="E621" s="85" t="n">
        <x:f>D621+'Resumen'!$B$5^3/3</x:f>
        <x:v>0.43429731530474824</x:v>
      </x:c>
    </x:row>
    <x:row r="622">
      <x:c r="A622" s="89" t="n">
        <x:v>620</x:v>
      </x:c>
      <x:c r="B622" s="80" t="n">
        <x:v>0.06394621867324621</x:v>
      </x:c>
      <x:c r="C622" s="84" t="n">
        <x:f>SQRT('Resumen'!$B$5^3/3)*B622</x:f>
        <x:v>0.03691936656465737</x:v>
      </x:c>
      <x:c r="D622" s="84" t="n">
        <x:f>C622^2-'Resumen'!$B$5^3/3</x:f>
        <x:v>-0.3319702937057978</x:v>
      </x:c>
      <x:c r="E622" s="85" t="n">
        <x:f>D622+'Resumen'!$B$5^3/3</x:f>
        <x:v>0.0013630396275355339</x:v>
      </x:c>
    </x:row>
    <x:row r="623">
      <x:c r="A623" s="89" t="n">
        <x:v>621</x:v>
      </x:c>
      <x:c r="B623" s="80" t="n">
        <x:v>0.4919570328365248</x:v>
      </x:c>
      <x:c r="C623" s="84" t="n">
        <x:f>SQRT('Resumen'!$B$5^3/3)*B623</x:f>
        <x:v>0.28403152533789716</x:v>
      </x:c>
      <x:c r="D623" s="84" t="n">
        <x:f>C623^2-'Resumen'!$B$5^3/3</x:f>
        <x:v>-0.2526594259475608</x:v>
      </x:c>
      <x:c r="E623" s="85" t="n">
        <x:f>D623+'Resumen'!$B$5^3/3</x:f>
        <x:v>0.08067390738577251</x:v>
      </x:c>
    </x:row>
    <x:row r="624">
      <x:c r="A624" s="89" t="n">
        <x:v>622</x:v>
      </x:c>
      <x:c r="B624" s="80" t="n">
        <x:v>0.439340305250704</x:v>
      </x:c>
      <x:c r="C624" s="84" t="n">
        <x:f>SQRT('Resumen'!$B$5^3/3)*B624</x:f>
        <x:v>0.2536532435023463</x:v>
      </x:c>
      <x:c r="D624" s="84" t="n">
        <x:f>C624^2-'Resumen'!$B$5^3/3</x:f>
        <x:v>-0.2689933653940727</x:v>
      </x:c>
      <x:c r="E624" s="85" t="n">
        <x:f>D624+'Resumen'!$B$5^3/3</x:f>
        <x:v>0.06433996793926061</x:v>
      </x:c>
    </x:row>
    <x:row r="625">
      <x:c r="A625" s="89" t="n">
        <x:v>623</x:v>
      </x:c>
      <x:c r="B625" s="80" t="n">
        <x:v>0.9176632018377977</x:v>
      </x:c>
      <x:c r="C625" s="84" t="n">
        <x:f>SQRT('Resumen'!$B$5^3/3)*B625</x:f>
        <x:v>0.5298130966064664</x:v>
      </x:c>
      <x:c r="D625" s="84" t="n">
        <x:f>C625^2-'Resumen'!$B$5^3/3</x:f>
        <x:v>-0.05263141599760046</x:v>
      </x:c>
      <x:c r="E625" s="85" t="n">
        <x:f>D625+'Resumen'!$B$5^3/3</x:f>
        <x:v>0.28070191733573285</x:v>
      </x:c>
    </x:row>
    <x:row r="626">
      <x:c r="A626" s="89" t="n">
        <x:v>624</x:v>
      </x:c>
      <x:c r="B626" s="80" t="n">
        <x:v>-1.2387946478501324</x:v>
      </x:c>
      <x:c r="C626" s="84" t="n">
        <x:f>SQRT('Resumen'!$B$5^3/3)*B626</x:f>
        <x:v>-0.7152184234069415</x:v>
      </x:c>
      <x:c r="D626" s="84" t="n">
        <x:f>C626^2-'Resumen'!$B$5^3/3</x:f>
        <x:v>0.1782040598473778</x:v>
      </x:c>
      <x:c r="E626" s="85" t="n">
        <x:f>D626+'Resumen'!$B$5^3/3</x:f>
        <x:v>0.5115373931807111</x:v>
      </x:c>
    </x:row>
    <x:row r="627">
      <x:c r="A627" s="89" t="n">
        <x:v>625</x:v>
      </x:c>
      <x:c r="B627" s="80" t="n">
        <x:v>2.363872490053474</x:v>
      </x:c>
      <x:c r="C627" s="84" t="n">
        <x:f>SQRT('Resumen'!$B$5^3/3)*B627</x:f>
        <x:v>1.364782418462324</x:v>
      </x:c>
      <x:c r="D627" s="84" t="n">
        <x:f>C627^2-'Resumen'!$B$5^3/3</x:f>
        <x:v>1.529297716410537</x:v>
      </x:c>
      <x:c r="E627" s="85" t="n">
        <x:f>D627+'Resumen'!$B$5^3/3</x:f>
        <x:v>1.8626310497438703</x:v>
      </x:c>
    </x:row>
    <x:row r="628">
      <x:c r="A628" s="89" t="n">
        <x:v>626</x:v>
      </x:c>
      <x:c r="B628" s="80" t="n">
        <x:v>0.33904482802597646</x:v>
      </x:c>
      <x:c r="C628" s="84" t="n">
        <x:f>SQRT('Resumen'!$B$5^3/3)*B628</x:f>
        <x:v>0.19574762272814789</x:v>
      </x:c>
      <x:c r="D628" s="84" t="n">
        <x:f>C628^2-'Resumen'!$B$5^3/3</x:f>
        <x:v>-0.295016201529612</x:v>
      </x:c>
      <x:c r="E628" s="85" t="n">
        <x:f>D628+'Resumen'!$B$5^3/3</x:f>
        <x:v>0.038317131803721316</x:v>
      </x:c>
    </x:row>
    <x:row r="629">
      <x:c r="A629" s="89" t="n">
        <x:v>627</x:v>
      </x:c>
      <x:c r="B629" s="80" t="n">
        <x:v>-0.5673293035919605</x:v>
      </x:c>
      <x:c r="C629" s="84" t="n">
        <x:f>SQRT('Resumen'!$B$5^3/3)*B629</x:f>
        <x:v>-0.32754772614798133</x:v>
      </x:c>
      <x:c r="D629" s="84" t="n">
        <x:f>C629^2-'Resumen'!$B$5^3/3</x:f>
        <x:v>-0.22604582042862034</x:v>
      </x:c>
      <x:c r="E629" s="85" t="n">
        <x:f>D629+'Resumen'!$B$5^3/3</x:f>
        <x:v>0.10728751290471297</x:v>
      </x:c>
    </x:row>
    <x:row r="630">
      <x:c r="A630" s="89" t="n">
        <x:v>628</x:v>
      </x:c>
      <x:c r="B630" s="80" t="n">
        <x:v>0.9464246848446338</x:v>
      </x:c>
      <x:c r="C630" s="84" t="n">
        <x:f>SQRT('Resumen'!$B$5^3/3)*B630</x:f>
        <x:v>0.546418546562756</x:v>
      </x:c>
      <x:c r="D630" s="84" t="n">
        <x:f>C630^2-'Resumen'!$B$5^3/3</x:f>
        <x:v>-0.03476010530557855</x:v>
      </x:c>
      <x:c r="E630" s="85" t="n">
        <x:f>D630+'Resumen'!$B$5^3/3</x:f>
        <x:v>0.29857322802775477</x:v>
      </x:c>
    </x:row>
    <x:row r="631">
      <x:c r="A631" s="89" t="n">
        <x:v>629</x:v>
      </x:c>
      <x:c r="B631" s="80" t="n">
        <x:v>-1.0417839677356788</x:v>
      </x:c>
      <x:c r="C631" s="84" t="n">
        <x:f>SQRT('Resumen'!$B$5^3/3)*B631</x:f>
        <x:v>-0.6014742542096305</x:v>
      </x:c>
      <x:c r="D631" s="84" t="n">
        <x:f>C631^2-'Resumen'!$B$5^3/3</x:f>
        <x:v>0.028437945143697907</x:v>
      </x:c>
      <x:c r="E631" s="85" t="n">
        <x:f>D631+'Resumen'!$B$5^3/3</x:f>
        <x:v>0.3617712784770312</x:v>
      </x:c>
    </x:row>
    <x:row r="632">
      <x:c r="A632" s="89" t="n">
        <x:v>630</x:v>
      </x:c>
      <x:c r="B632" s="80" t="n">
        <x:v>0.6380193775650406</x:v>
      </x:c>
      <x:c r="C632" s="84" t="n">
        <x:f>SQRT('Resumen'!$B$5^3/3)*B632</x:f>
        <x:v>0.3683606593853736</x:v>
      </x:c>
      <x:c r="D632" s="84" t="n">
        <x:f>C632^2-'Resumen'!$B$5^3/3</x:f>
        <x:v>-0.1976437579505061</x:v>
      </x:c>
      <x:c r="E632" s="85" t="n">
        <x:f>D632+'Resumen'!$B$5^3/3</x:f>
        <x:v>0.13568957538282722</x:v>
      </x:c>
    </x:row>
    <x:row r="633">
      <x:c r="A633" s="89" t="n">
        <x:v>631</x:v>
      </x:c>
      <x:c r="B633" s="80" t="n">
        <x:v>-0.859654106824267</x:v>
      </x:c>
      <x:c r="C633" s="84" t="n">
        <x:f>SQRT('Resumen'!$B$5^3/3)*B633</x:f>
        <x:v>-0.4963215299849578</x:v>
      </x:c>
      <x:c r="D633" s="84" t="n">
        <x:f>C633^2-'Resumen'!$B$5^3/3</x:f>
        <x:v>-0.08699827220672393</x:v>
      </x:c>
      <x:c r="E633" s="85" t="n">
        <x:f>D633+'Resumen'!$B$5^3/3</x:f>
        <x:v>0.24633506112660938</x:v>
      </x:c>
    </x:row>
    <x:row r="634">
      <x:c r="A634" s="89" t="n">
        <x:v>632</x:v>
      </x:c>
      <x:c r="B634" s="80" t="n">
        <x:v>-0.17112125095096067</x:v>
      </x:c>
      <x:c r="C634" s="84" t="n">
        <x:f>SQRT('Resumen'!$B$5^3/3)*B634</x:f>
        <x:v>-0.09879690030060265</x:v>
      </x:c>
      <x:c r="D634" s="84" t="n">
        <x:f>C634^2-'Resumen'!$B$5^3/3</x:f>
        <x:v>-0.3235725058243261</x:v>
      </x:c>
      <x:c r="E634" s="85" t="n">
        <x:f>D634+'Resumen'!$B$5^3/3</x:f>
        <x:v>0.009760827509007197</x:v>
      </x:c>
    </x:row>
    <x:row r="635">
      <x:c r="A635" s="89" t="n">
        <x:v>633</x:v>
      </x:c>
      <x:c r="B635" s="80" t="n">
        <x:v>0.07767090726323635</x:v>
      </x:c>
      <x:c r="C635" s="84" t="n">
        <x:f>SQRT('Resumen'!$B$5^3/3)*B635</x:f>
        <x:v>0.04484331921663196</x:v>
      </x:c>
      <x:c r="D635" s="84" t="n">
        <x:f>C635^2-'Resumen'!$B$5^3/3</x:f>
        <x:v>-0.33132241005496854</x:v>
      </x:c>
      <x:c r="E635" s="85" t="n">
        <x:f>D635+'Resumen'!$B$5^3/3</x:f>
        <x:v>0.0020109232783647735</x:v>
      </x:c>
    </x:row>
    <x:row r="636">
      <x:c r="A636" s="89" t="n">
        <x:v>634</x:v>
      </x:c>
      <x:c r="B636" s="80" t="n">
        <x:v>-1.894523089328194</x:v>
      </x:c>
      <x:c r="C636" s="84" t="n">
        <x:f>SQRT('Resumen'!$B$5^3/3)*B636</x:f>
        <x:v>-1.0938034156095942</x:v>
      </x:c>
      <x:c r="D636" s="84" t="n">
        <x:f>C636^2-'Resumen'!$B$5^3/3</x:f>
        <x:v>0.8630725786658813</x:v>
      </x:c>
      <x:c r="E636" s="85" t="n">
        <x:f>D636+'Resumen'!$B$5^3/3</x:f>
        <x:v>1.1964059119992145</x:v>
      </x:c>
    </x:row>
    <x:row r="637">
      <x:c r="A637" s="89" t="n">
        <x:v>635</x:v>
      </x:c>
      <x:c r="B637" s="80" t="n">
        <x:v>0.37321826094253796</x:v>
      </x:c>
      <x:c r="C637" s="84" t="n">
        <x:f>SQRT('Resumen'!$B$5^3/3)*B637</x:f>
        <x:v>0.21547766342165828</x:v>
      </x:c>
      <x:c r="D637" s="84" t="n">
        <x:f>C637^2-'Resumen'!$B$5^3/3</x:f>
        <x:v>-0.28690270989967587</x:v>
      </x:c>
      <x:c r="E637" s="85" t="n">
        <x:f>D637+'Resumen'!$B$5^3/3</x:f>
        <x:v>0.04643062343365745</x:v>
      </x:c>
    </x:row>
    <x:row r="638">
      <x:c r="A638" s="89" t="n">
        <x:v>636</x:v>
      </x:c>
      <x:c r="B638" s="80" t="n">
        <x:v>-0.6623285522385411</x:v>
      </x:c>
      <x:c r="C638" s="84" t="n">
        <x:f>SQRT('Resumen'!$B$5^3/3)*B638</x:f>
        <x:v>-0.38239556792689683</x:v>
      </x:c>
      <x:c r="D638" s="84" t="n">
        <x:f>C638^2-'Resumen'!$B$5^3/3</x:f>
        <x:v>-0.18710696296319934</x:v>
      </x:c>
      <x:c r="E638" s="85" t="n">
        <x:f>D638+'Resumen'!$B$5^3/3</x:f>
        <x:v>0.14622637037013397</x:v>
      </x:c>
    </x:row>
    <x:row r="639">
      <x:c r="A639" s="89" t="n">
        <x:v>637</x:v>
      </x:c>
      <x:c r="B639" s="80" t="n">
        <x:v>-1.7929869326389298</x:v>
      </x:c>
      <x:c r="C639" s="84" t="n">
        <x:f>SQRT('Resumen'!$B$5^3/3)*B639</x:f>
        <x:v>-1.0351814882125674</x:v>
      </x:c>
      <x:c r="D639" s="84" t="n">
        <x:f>C639^2-'Resumen'!$B$5^3/3</x:f>
        <x:v>0.7382673802046524</x:v>
      </x:c>
      <x:c r="E639" s="85" t="n">
        <x:f>D639+'Resumen'!$B$5^3/3</x:f>
        <x:v>1.0716007135379857</x:v>
      </x:c>
    </x:row>
    <x:row r="640">
      <x:c r="A640" s="89" t="n">
        <x:v>638</x:v>
      </x:c>
      <x:c r="B640" s="80" t="n">
        <x:v>0.6973418414252525</x:v>
      </x:c>
      <x:c r="C640" s="84" t="n">
        <x:f>SQRT('Resumen'!$B$5^3/3)*B640</x:f>
        <x:v>0.40261049986405884</x:v>
      </x:c>
      <x:c r="D640" s="84" t="n">
        <x:f>C640^2-'Resumen'!$B$5^3/3</x:f>
        <x:v>-0.171238118732546</x:v>
      </x:c>
      <x:c r="E640" s="85" t="n">
        <x:f>D640+'Resumen'!$B$5^3/3</x:f>
        <x:v>0.16209521460078732</x:v>
      </x:c>
    </x:row>
    <x:row r="641">
      <x:c r="A641" s="89" t="n">
        <x:v>639</x:v>
      </x:c>
      <x:c r="B641" s="80" t="n">
        <x:v>0.3917598091489355</x:v>
      </x:c>
      <x:c r="C641" s="84" t="n">
        <x:f>SQRT('Resumen'!$B$5^3/3)*B641</x:f>
        <x:v>0.2261826312698143</x:v>
      </x:c>
      <x:c r="D641" s="84" t="n">
        <x:f>C641^2-'Resumen'!$B$5^3/3</x:f>
        <x:v>-0.28217475064519654</x:v>
      </x:c>
      <x:c r="E641" s="85" t="n">
        <x:f>D641+'Resumen'!$B$5^3/3</x:f>
        <x:v>0.05115858268813678</x:v>
      </x:c>
    </x:row>
    <x:row r="642">
      <x:c r="A642" s="89" t="n">
        <x:v>640</x:v>
      </x:c>
      <x:c r="B642" s="80" t="n">
        <x:v>1.3114982910778001</x:v>
      </x:c>
      <x:c r="C642" s="84" t="n">
        <x:f>SQRT('Resumen'!$B$5^3/3)*B642</x:f>
        <x:v>0.7571938913955021</x:v>
      </x:c>
      <x:c r="D642" s="84" t="n">
        <x:f>C642^2-'Resumen'!$B$5^3/3</x:f>
        <x:v>0.24000925583333005</x:v>
      </x:c>
      <x:c r="E642" s="85" t="n">
        <x:f>D642+'Resumen'!$B$5^3/3</x:f>
        <x:v>0.5733425891666634</x:v>
      </x:c>
    </x:row>
    <x:row r="643">
      <x:c r="A643" s="89" t="n">
        <x:v>641</x:v>
      </x:c>
      <x:c r="B643" s="80" t="n">
        <x:v>0.7551127990441361</x:v>
      </x:c>
      <x:c r="C643" s="84" t="n">
        <x:f>SQRT('Resumen'!$B$5^3/3)*B643</x:f>
        <x:v>0.43596457779666375</x:v>
      </x:c>
      <x:c r="D643" s="84" t="n">
        <x:f>C643^2-'Resumen'!$B$5^3/3</x:f>
        <x:v>-0.14326822023991004</x:v>
      </x:c>
      <x:c r="E643" s="85" t="n">
        <x:f>D643+'Resumen'!$B$5^3/3</x:f>
        <x:v>0.19006511309342328</x:v>
      </x:c>
    </x:row>
    <x:row r="644">
      <x:c r="A644" s="89" t="n">
        <x:v>642</x:v>
      </x:c>
      <x:c r="B644" s="80" t="n">
        <x:v>0.7828111702635385</x:v>
      </x:c>
      <x:c r="C644" s="84" t="n">
        <x:f>SQRT('Resumen'!$B$5^3/3)*B644</x:f>
        <x:v>0.4519562398762999</x:v>
      </x:c>
      <x:c r="D644" s="84" t="n">
        <x:f>C644^2-'Resumen'!$B$5^3/3</x:f>
        <x:v>-0.1290688905702098</x:v>
      </x:c>
      <x:c r="E644" s="85" t="n">
        <x:f>D644+'Resumen'!$B$5^3/3</x:f>
        <x:v>0.20426444276312353</x:v>
      </x:c>
    </x:row>
    <x:row r="645">
      <x:c r="A645" s="89" t="n">
        <x:v>643</x:v>
      </x:c>
      <x:c r="B645" s="80" t="n">
        <x:v>1.3180905634970264</x:v>
      </x:c>
      <x:c r="C645" s="84" t="n">
        <x:f>SQRT('Resumen'!$B$5^3/3)*B645</x:f>
        <x:v>0.7609999416513137</x:v>
      </x:c>
      <x:c r="D645" s="84" t="n">
        <x:f>C645^2-'Resumen'!$B$5^3/3</x:f>
        <x:v>0.24578757785996946</x:v>
      </x:c>
      <x:c r="E645" s="85" t="n">
        <x:f>D645+'Resumen'!$B$5^3/3</x:f>
        <x:v>0.5791209111933028</x:v>
      </x:c>
    </x:row>
    <x:row r="646">
      <x:c r="A646" s="89" t="n">
        <x:v>644</x:v>
      </x:c>
      <x:c r="B646" s="80" t="n">
        <x:v>-0.1353381265729153</x:v>
      </x:c>
      <x:c r="C646" s="84" t="n">
        <x:f>SQRT('Resumen'!$B$5^3/3)*B646</x:f>
        <x:v>-0.07813750380849228</x:v>
      </x:c>
      <x:c r="D646" s="84" t="n">
        <x:f>C646^2-'Resumen'!$B$5^3/3</x:f>
        <x:v>-0.32722786383191116</x:v>
      </x:c>
      <x:c r="E646" s="85" t="n">
        <x:f>D646+'Resumen'!$B$5^3/3</x:f>
        <x:v>0.006105469501422156</x:v>
      </x:c>
    </x:row>
    <x:row r="647">
      <x:c r="A647" s="89" t="n">
        <x:v>645</x:v>
      </x:c>
      <x:c r="B647" s="80" t="n">
        <x:v>1.978103675100107</x:v>
      </x:c>
      <x:c r="C647" s="84" t="n">
        <x:f>SQRT('Resumen'!$B$5^3/3)*B647</x:f>
        <x:v>1.1420586893040348</x:v>
      </x:c>
      <x:c r="D647" s="84" t="n">
        <x:f>C647^2-'Resumen'!$B$5^3/3</x:f>
        <x:v>0.9709647164815165</x:v>
      </x:c>
      <x:c r="E647" s="85" t="n">
        <x:f>D647+'Resumen'!$B$5^3/3</x:f>
        <x:v>1.3042980498148498</x:v>
      </x:c>
    </x:row>
    <x:row r="648">
      <x:c r="A648" s="89" t="n">
        <x:v>646</x:v>
      </x:c>
      <x:c r="B648" s="80" t="n">
        <x:v>-0.3015448139444688</x:v>
      </x:c>
      <x:c r="C648" s="84" t="n">
        <x:f>SQRT('Resumen'!$B$5^3/3)*B648</x:f>
        <x:v>-0.17409697950357467</x:v>
      </x:c>
      <x:c r="D648" s="84" t="n">
        <x:f>C648^2-'Resumen'!$B$5^3/3</x:f>
        <x:v>-0.3030235750610652</x:v>
      </x:c>
      <x:c r="E648" s="85" t="n">
        <x:f>D648+'Resumen'!$B$5^3/3</x:f>
        <x:v>0.030309758272268117</x:v>
      </x:c>
    </x:row>
    <x:row r="649">
      <x:c r="A649" s="89" t="n">
        <x:v>647</x:v>
      </x:c>
      <x:c r="B649" s="80" t="n">
        <x:v>0.2225023454490199</x:v>
      </x:c>
      <x:c r="C649" s="84" t="n">
        <x:f>SQRT('Resumen'!$B$5^3/3)*B649</x:f>
        <x:v>0.12846178904031474</x:v>
      </x:c>
      <x:c r="D649" s="84" t="n">
        <x:f>C649^2-'Resumen'!$B$5^3/3</x:f>
        <x:v>-0.316830902089895</x:v>
      </x:c>
      <x:c r="E649" s="85" t="n">
        <x:f>D649+'Resumen'!$B$5^3/3</x:f>
        <x:v>0.01650243124343831</x:v>
      </x:c>
    </x:row>
    <x:row r="650">
      <x:c r="A650" s="89" t="n">
        <x:v>648</x:v>
      </x:c>
      <x:c r="B650" s="80" t="n">
        <x:v>-0.3945193904376879</x:v>
      </x:c>
      <x:c r="C650" s="84" t="n">
        <x:f>SQRT('Resumen'!$B$5^3/3)*B650</x:f>
        <x:v>-0.22777587626972617</x:v>
      </x:c>
      <x:c r="D650" s="84" t="n">
        <x:f>C650^2-'Resumen'!$B$5^3/3</x:f>
        <x:v>-0.28145148352289173</x:v>
      </x:c>
      <x:c r="E650" s="85" t="n">
        <x:f>D650+'Resumen'!$B$5^3/3</x:f>
        <x:v>0.05188184981044158</x:v>
      </x:c>
    </x:row>
    <x:row r="651">
      <x:c r="A651" s="89" t="n">
        <x:v>649</x:v>
      </x:c>
      <x:c r="B651" s="80" t="n">
        <x:v>-0.019514326044339912</x:v>
      </x:c>
      <x:c r="C651" s="84" t="n">
        <x:f>SQRT('Resumen'!$B$5^3/3)*B651</x:f>
        <x:v>-0.011266601394753772</x:v>
      </x:c>
      <x:c r="D651" s="84" t="n">
        <x:f>C651^2-'Resumen'!$B$5^3/3</x:f>
        <x:v>-0.333206397026345</x:v>
      </x:c>
      <x:c r="E651" s="85" t="n">
        <x:f>D651+'Resumen'!$B$5^3/3</x:f>
        <x:v>0.00012693630698829006</x:v>
      </x:c>
    </x:row>
    <x:row r="652">
      <x:c r="A652" s="89" t="n">
        <x:v>650</x:v>
      </x:c>
      <x:c r="B652" s="80" t="n">
        <x:v>0.7611846146737664</x:v>
      </x:c>
      <x:c r="C652" s="84" t="n">
        <x:f>SQRT('Resumen'!$B$5^3/3)*B652</x:f>
        <x:v>0.43947014218490055</x:v>
      </x:c>
      <x:c r="D652" s="84" t="n">
        <x:f>C652^2-'Resumen'!$B$5^3/3</x:f>
        <x:v>-0.1401993274613166</x:v>
      </x:c>
      <x:c r="E652" s="85" t="n">
        <x:f>D652+'Resumen'!$B$5^3/3</x:f>
        <x:v>0.1931340058720167</x:v>
      </x:c>
    </x:row>
    <x:row r="653">
      <x:c r="A653" s="89" t="n">
        <x:v>651</x:v>
      </x:c>
      <x:c r="B653" s="80" t="n">
        <x:v>-1.5303047039357023</x:v>
      </x:c>
      <x:c r="C653" s="84" t="n">
        <x:f>SQRT('Resumen'!$B$5^3/3)*B653</x:f>
        <x:v>-0.8835218327594282</x:v>
      </x:c>
      <x:c r="D653" s="84" t="n">
        <x:f>C653^2-'Resumen'!$B$5^3/3</x:f>
        <x:v>0.44727749562924574</x:v>
      </x:c>
      <x:c r="E653" s="85" t="n">
        <x:f>D653+'Resumen'!$B$5^3/3</x:f>
        <x:v>0.780610828962579</x:v>
      </x:c>
    </x:row>
    <x:row r="654">
      <x:c r="A654" s="89" t="n">
        <x:v>652</x:v>
      </x:c>
      <x:c r="B654" s="80" t="n">
        <x:v>-0.20807036790073058</x:v>
      </x:c>
      <x:c r="C654" s="84" t="n">
        <x:f>SQRT('Resumen'!$B$5^3/3)*B654</x:f>
        <x:v>-0.12012948291787126</x:v>
      </x:c>
      <x:c r="D654" s="84" t="n">
        <x:f>C654^2-'Resumen'!$B$5^3/3</x:f>
        <x:v>-0.3189022406672182</x:v>
      </x:c>
      <x:c r="E654" s="85" t="n">
        <x:f>D654+'Resumen'!$B$5^3/3</x:f>
        <x:v>0.014431092666115142</x:v>
      </x:c>
    </x:row>
    <x:row r="655">
      <x:c r="A655" s="89" t="n">
        <x:v>653</x:v>
      </x:c>
      <x:c r="B655" s="80" t="n">
        <x:v>-2.9200428908018594</x:v>
      </x:c>
      <x:c r="C655" s="84" t="n">
        <x:f>SQRT('Resumen'!$B$5^3/3)*B655</x:f>
        <x:v>-1.6858875490497065</x:v>
      </x:c>
      <x:c r="D655" s="84" t="n">
        <x:f>C655^2-'Resumen'!$B$5^3/3</x:f>
        <x:v>2.508883494707493</x:v>
      </x:c>
      <x:c r="E655" s="85" t="n">
        <x:f>D655+'Resumen'!$B$5^3/3</x:f>
        <x:v>2.8422168280408266</x:v>
      </x:c>
    </x:row>
    <x:row r="656">
      <x:c r="A656" s="89" t="n">
        <x:v>654</x:v>
      </x:c>
      <x:c r="B656" s="80" t="n">
        <x:v>-0.16219888225516904</x:v>
      </x:c>
      <x:c r="C656" s="84" t="n">
        <x:f>SQRT('Resumen'!$B$5^3/3)*B656</x:f>
        <x:v>-0.09364556833227826</x:v>
      </x:c>
      <x:c r="D656" s="84" t="n">
        <x:f>C656^2-'Resumen'!$B$5^3/3</x:f>
        <x:v>-0.3245638408650579</x:v>
      </x:c>
      <x:c r="E656" s="85" t="n">
        <x:f>D656+'Resumen'!$B$5^3/3</x:f>
        <x:v>0.008769492468275408</x:v>
      </x:c>
    </x:row>
    <x:row r="657">
      <x:c r="A657" s="89" t="n">
        <x:v>655</x:v>
      </x:c>
      <x:c r="B657" s="80" t="n">
        <x:v>-0.24877990056624627</x:v>
      </x:c>
      <x:c r="C657" s="84" t="n">
        <x:f>SQRT('Resumen'!$B$5^3/3)*B657</x:f>
        <x:v>-0.1436331425608906</x:v>
      </x:c>
      <x:c r="D657" s="84" t="n">
        <x:f>C657^2-'Resumen'!$B$5^3/3</x:f>
        <x:v>-0.3127028536914162</x:v>
      </x:c>
      <x:c r="E657" s="85" t="n">
        <x:f>D657+'Resumen'!$B$5^3/3</x:f>
        <x:v>0.02063047964191711</x:v>
      </x:c>
    </x:row>
    <x:row r="658">
      <x:c r="A658" s="89" t="n">
        <x:v>656</x:v>
      </x:c>
      <x:c r="B658" s="80" t="n">
        <x:v>0.05575665337454578</x:v>
      </x:c>
      <x:c r="C658" s="84" t="n">
        <x:f>SQRT('Resumen'!$B$5^3/3)*B658</x:f>
        <x:v>0.03219111883490666</x:v>
      </x:c>
      <x:c r="D658" s="84" t="n">
        <x:f>C658^2-'Resumen'!$B$5^3/3</x:f>
        <x:v>-0.3322970652014902</x:v>
      </x:c>
      <x:c r="E658" s="85" t="n">
        <x:f>D658+'Resumen'!$B$5^3/3</x:f>
        <x:v>0.0010362681318430988</x:v>
      </x:c>
    </x:row>
    <x:row r="659">
      <x:c r="A659" s="89" t="n">
        <x:v>657</x:v>
      </x:c>
      <x:c r="B659" s="80" t="n">
        <x:v>-0.5527591635884718</x:v>
      </x:c>
      <x:c r="C659" s="84" t="n">
        <x:f>SQRT('Resumen'!$B$5^3/3)*B659</x:f>
        <x:v>-0.31913565189483656</x:v>
      </x:c>
      <x:c r="D659" s="84" t="n">
        <x:f>C659^2-'Resumen'!$B$5^3/3</x:f>
        <x:v>-0.231485769022991</x:v>
      </x:c>
      <x:c r="E659" s="85" t="n">
        <x:f>D659+'Resumen'!$B$5^3/3</x:f>
        <x:v>0.10184756431034231</x:v>
      </x:c>
    </x:row>
    <x:row r="660">
      <x:c r="A660" s="89" t="n">
        <x:v>658</x:v>
      </x:c>
      <x:c r="B660" s="80" t="n">
        <x:v>1.3584351914085842</x:v>
      </x:c>
      <x:c r="C660" s="84" t="n">
        <x:f>SQRT('Resumen'!$B$5^3/3)*B660</x:f>
        <x:v>0.7842929234364068</x:v>
      </x:c>
      <x:c r="D660" s="84" t="n">
        <x:f>C660^2-'Resumen'!$B$5^3/3</x:f>
        <x:v>0.2817820564190921</x:v>
      </x:c>
      <x:c r="E660" s="85" t="n">
        <x:f>D660+'Resumen'!$B$5^3/3</x:f>
        <x:v>0.6151153897524254</x:v>
      </x:c>
    </x:row>
    <x:row r="661">
      <x:c r="A661" s="89" t="n">
        <x:v>659</x:v>
      </x:c>
      <x:c r="B661" s="80" t="n">
        <x:v>-0.7517546741214164</x:v>
      </x:c>
      <x:c r="C661" s="84" t="n">
        <x:f>SQRT('Resumen'!$B$5^3/3)*B661</x:f>
        <x:v>-0.43402576346855914</x:v>
      </x:c>
      <x:c r="D661" s="84" t="n">
        <x:f>C661^2-'Resumen'!$B$5^3/3</x:f>
        <x:v>-0.14495496997886767</x:v>
      </x:c>
      <x:c r="E661" s="85" t="n">
        <x:f>D661+'Resumen'!$B$5^3/3</x:f>
        <x:v>0.18837836335446564</x:v>
      </x:c>
    </x:row>
    <x:row r="662">
      <x:c r="A662" s="89" t="n">
        <x:v>660</x:v>
      </x:c>
      <x:c r="B662" s="80" t="n">
        <x:v>0.02520209744508158</x:v>
      </x:c>
      <x:c r="C662" s="84" t="n">
        <x:f>SQRT('Resumen'!$B$5^3/3)*B662</x:f>
        <x:v>0.01455043774406103</x:v>
      </x:c>
      <x:c r="D662" s="84" t="n">
        <x:f>C662^2-'Resumen'!$B$5^3/3</x:f>
        <x:v>-0.3331216180947895</x:v>
      </x:c>
      <x:c r="E662" s="85" t="n">
        <x:f>D662+'Resumen'!$B$5^3/3</x:f>
        <x:v>0.00021171523854379704</x:v>
      </x:c>
    </x:row>
    <x:row r="663">
      <x:c r="A663" s="89" t="n">
        <x:v>661</x:v>
      </x:c>
      <x:c r="B663" s="80" t="n">
        <x:v>-0.11930151742560456</x:v>
      </x:c>
      <x:c r="C663" s="84" t="n">
        <x:f>SQRT('Resumen'!$B$5^3/3)*B663</x:f>
        <x:v>-0.06887876320040362</x:v>
      </x:c>
      <x:c r="D663" s="84" t="n">
        <x:f>C663^2-'Resumen'!$B$5^3/3</x:f>
        <x:v>-0.32858904931331606</x:v>
      </x:c>
      <x:c r="E663" s="85" t="n">
        <x:f>D663+'Resumen'!$B$5^3/3</x:f>
        <x:v>0.004744284020017253</x:v>
      </x:c>
    </x:row>
    <x:row r="664">
      <x:c r="A664" s="89" t="n">
        <x:v>662</x:v>
      </x:c>
      <x:c r="B664" s="80" t="n">
        <x:v>0.46029602835833794</x:v>
      </x:c>
      <x:c r="C664" s="84" t="n">
        <x:f>SQRT('Resumen'!$B$5^3/3)*B664</x:f>
        <x:v>0.265752035879602</x:v>
      </x:c>
      <x:c r="D664" s="84" t="n">
        <x:f>C664^2-'Resumen'!$B$5^3/3</x:f>
        <x:v>-0.26270918875918003</x:v>
      </x:c>
      <x:c r="E664" s="85" t="n">
        <x:f>D664+'Resumen'!$B$5^3/3</x:f>
        <x:v>0.07062414457415328</x:v>
      </x:c>
    </x:row>
    <x:row r="665">
      <x:c r="A665" s="89" t="n">
        <x:v>663</x:v>
      </x:c>
      <x:c r="B665" s="80" t="n">
        <x:v>-0.8921369527594922</x:v>
      </x:c>
      <x:c r="C665" s="84" t="n">
        <x:f>SQRT('Resumen'!$B$5^3/3)*B665</x:f>
        <x:v>-0.5150755098297053</x:v>
      </x:c>
      <x:c r="D665" s="84" t="n">
        <x:f>C665^2-'Resumen'!$B$5^3/3</x:f>
        <x:v>-0.06803055250700246</x:v>
      </x:c>
      <x:c r="E665" s="85" t="n">
        <x:f>D665+'Resumen'!$B$5^3/3</x:f>
        <x:v>0.26530278082633085</x:v>
      </x:c>
    </x:row>
    <x:row r="666">
      <x:c r="A666" s="89" t="n">
        <x:v>664</x:v>
      </x:c>
      <x:c r="B666" s="80" t="n">
        <x:v>0.08640499700928143</x:v>
      </x:c>
      <x:c r="C666" s="84" t="n">
        <x:f>SQRT('Resumen'!$B$5^3/3)*B666</x:f>
        <x:v>0.04988594828263744</x:v>
      </x:c>
      <x:c r="D666" s="84" t="n">
        <x:f>C666^2-'Resumen'!$B$5^3/3</x:f>
        <x:v>-0.33084472549727534</x:v>
      </x:c>
      <x:c r="E666" s="85" t="n">
        <x:f>D666+'Resumen'!$B$5^3/3</x:f>
        <x:v>0.0024886078360579766</x:v>
      </x:c>
    </x:row>
    <x:row r="667">
      <x:c r="A667" s="89" t="n">
        <x:v>665</x:v>
      </x:c>
      <x:c r="B667" s="80" t="n">
        <x:v>-0.05912155324309166</x:v>
      </x:c>
      <x:c r="C667" s="84" t="n">
        <x:f>SQRT('Resumen'!$B$5^3/3)*B667</x:f>
        <x:v>-0.03413384467980776</x:v>
      </x:c>
      <x:c r="D667" s="84" t="n">
        <x:f>C667^2-'Resumen'!$B$5^3/3</x:f>
        <x:v>-0.33216821398070806</x:v>
      </x:c>
      <x:c r="E667" s="85" t="n">
        <x:f>D667+'Resumen'!$B$5^3/3</x:f>
        <x:v>0.0011651193526252546</x:v>
      </x:c>
    </x:row>
    <x:row r="668">
      <x:c r="A668" s="89" t="n">
        <x:v>666</x:v>
      </x:c>
      <x:c r="B668" s="80" t="n">
        <x:v>0.9660907168223395</x:v>
      </x:c>
      <x:c r="C668" s="84" t="n">
        <x:f>SQRT('Resumen'!$B$5^3/3)*B668</x:f>
        <x:v>0.5577727354189762</x:v>
      </x:c>
      <x:c r="D668" s="84" t="n">
        <x:f>C668^2-'Resumen'!$B$5^3/3</x:f>
        <x:v>-0.02222290895656609</x:v>
      </x:c>
      <x:c r="E668" s="85" t="n">
        <x:f>D668+'Resumen'!$B$5^3/3</x:f>
        <x:v>0.3111104243767672</x:v>
      </x:c>
    </x:row>
    <x:row r="669">
      <x:c r="A669" s="89" t="n">
        <x:v>667</x:v>
      </x:c>
      <x:c r="B669" s="80" t="n">
        <x:v>-1.5659338907440639</x:v>
      </x:c>
      <x:c r="C669" s="84" t="n">
        <x:f>SQRT('Resumen'!$B$5^3/3)*B669</x:f>
        <x:v>-0.9040923533542432</x:v>
      </x:c>
      <x:c r="D669" s="84" t="n">
        <x:f>C669^2-'Resumen'!$B$5^3/3</x:f>
        <x:v>0.4840496500602804</x:v>
      </x:c>
      <x:c r="E669" s="85" t="n">
        <x:f>D669+'Resumen'!$B$5^3/3</x:f>
        <x:v>0.8173829833936137</x:v>
      </x:c>
    </x:row>
    <x:row r="670">
      <x:c r="A670" s="89" t="n">
        <x:v>668</x:v>
      </x:c>
      <x:c r="B670" s="80" t="n">
        <x:v>1.4540308011782377</x:v>
      </x:c>
      <x:c r="C670" s="84" t="n">
        <x:f>SQRT('Resumen'!$B$5^3/3)*B670</x:f>
        <x:v>0.8394850744702627</x:v>
      </x:c>
      <x:c r="D670" s="84" t="n">
        <x:f>C670^2-'Resumen'!$B$5^3/3</x:f>
        <x:v>0.3714018569250091</x:v>
      </x:c>
      <x:c r="E670" s="85" t="n">
        <x:f>D670+'Resumen'!$B$5^3/3</x:f>
        <x:v>0.7047351902583424</x:v>
      </x:c>
    </x:row>
    <x:row r="671">
      <x:c r="A671" s="89" t="n">
        <x:v>669</x:v>
      </x:c>
      <x:c r="B671" s="80" t="n">
        <x:v>-0.33283218199617337</x:v>
      </x:c>
      <x:c r="C671" s="84" t="n">
        <x:f>SQRT('Resumen'!$B$5^3/3)*B671</x:f>
        <x:v>-0.1921607498704612</x:v>
      </x:c>
      <x:c r="D671" s="84" t="n">
        <x:f>C671^2-'Resumen'!$B$5^3/3</x:f>
        <x:v>-0.29640757954255537</x:v>
      </x:c>
      <x:c r="E671" s="85" t="n">
        <x:f>D671+'Resumen'!$B$5^3/3</x:f>
        <x:v>0.03692575379077795</x:v>
      </x:c>
    </x:row>
    <x:row r="672">
      <x:c r="A672" s="89" t="n">
        <x:v>670</x:v>
      </x:c>
      <x:c r="B672" s="80" t="n">
        <x:v>-1.990164797491407</x:v>
      </x:c>
      <x:c r="C672" s="84" t="n">
        <x:f>SQRT('Resumen'!$B$5^3/3)*B672</x:f>
        <x:v>-1.1490221815633808</x:v>
      </x:c>
      <x:c r="D672" s="84" t="n">
        <x:f>C672^2-'Resumen'!$B$5^3/3</x:f>
        <x:v>0.9869186403913375</x:v>
      </x:c>
      <x:c r="E672" s="85" t="n">
        <x:f>D672+'Resumen'!$B$5^3/3</x:f>
        <x:v>1.3202519737246707</x:v>
      </x:c>
    </x:row>
    <x:row r="673">
      <x:c r="A673" s="89" t="n">
        <x:v>671</x:v>
      </x:c>
      <x:c r="B673" s="80" t="n">
        <x:v>0.804653503511246</x:v>
      </x:c>
      <x:c r="C673" s="84" t="n">
        <x:f>SQRT('Resumen'!$B$5^3/3)*B673</x:f>
        <x:v>0.46456691685659335</x:v>
      </x:c>
      <x:c r="D673" s="84" t="n">
        <x:f>C673^2-'Resumen'!$B$5^3/3</x:f>
        <x:v>-0.1175109130956924</x:v>
      </x:c>
      <x:c r="E673" s="85" t="n">
        <x:f>D673+'Resumen'!$B$5^3/3</x:f>
        <x:v>0.21582242023764092</x:v>
      </x:c>
    </x:row>
    <x:row r="674">
      <x:c r="A674" s="89" t="n">
        <x:v>672</x:v>
      </x:c>
      <x:c r="B674" s="80" t="n">
        <x:v>1.0739120502384505</x:v>
      </x:c>
      <x:c r="C674" s="84" t="n">
        <x:f>SQRT('Resumen'!$B$5^3/3)*B674</x:f>
        <x:v>0.6200234112911522</x:v>
      </x:c>
      <x:c r="D674" s="84" t="n">
        <x:f>C674^2-'Resumen'!$B$5^3/3</x:f>
        <x:v>0.051095697215784</x:v>
      </x:c>
      <x:c r="E674" s="85" t="n">
        <x:f>D674+'Resumen'!$B$5^3/3</x:f>
        <x:v>0.3844290305491173</x:v>
      </x:c>
    </x:row>
    <x:row r="675">
      <x:c r="A675" s="89" t="n">
        <x:v>673</x:v>
      </x:c>
      <x:c r="B675" s="80" t="n">
        <x:v>-1.0392046046192962</x:v>
      </x:c>
      <x:c r="C675" s="84" t="n">
        <x:f>SQRT('Resumen'!$B$5^3/3)*B675</x:f>
        <x:v>-0.5999850582200492</x:v>
      </x:c>
      <x:c r="D675" s="84" t="n">
        <x:f>C675^2-'Resumen'!$B$5^3/3</x:f>
        <x:v>0.02664873675398255</x:v>
      </x:c>
      <x:c r="E675" s="85" t="n">
        <x:f>D675+'Resumen'!$B$5^3/3</x:f>
        <x:v>0.35998207008731586</x:v>
      </x:c>
    </x:row>
    <x:row r="676">
      <x:c r="A676" s="89" t="n">
        <x:v>674</x:v>
      </x:c>
      <x:c r="B676" s="80" t="n">
        <x:v>1.5347581265699695</x:v>
      </x:c>
      <x:c r="C676" s="84" t="n">
        <x:f>SQRT('Resumen'!$B$5^3/3)*B676</x:f>
        <x:v>0.8860930175161376</x:v>
      </x:c>
      <x:c r="D676" s="84" t="n">
        <x:f>C676^2-'Resumen'!$B$5^3/3</x:f>
        <x:v>0.4518275023575207</x:v>
      </x:c>
      <x:c r="E676" s="85" t="n">
        <x:f>D676+'Resumen'!$B$5^3/3</x:f>
        <x:v>0.785160835690854</x:v>
      </x:c>
    </x:row>
    <x:row r="677">
      <x:c r="A677" s="89" t="n">
        <x:v>675</x:v>
      </x:c>
      <x:c r="B677" s="80" t="n">
        <x:v>-1.0895957607801925</x:v>
      </x:c>
      <x:c r="C677" s="84" t="n">
        <x:f>SQRT('Resumen'!$B$5^3/3)*B677</x:f>
        <x:v>-0.6290784057943192</x:v>
      </x:c>
      <x:c r="D677" s="84" t="n">
        <x:f>C677^2-'Resumen'!$B$5^3/3</x:f>
        <x:v>0.06240630730338881</x:v>
      </x:c>
      <x:c r="E677" s="85" t="n">
        <x:f>D677+'Resumen'!$B$5^3/3</x:f>
        <x:v>0.3957396406367221</x:v>
      </x:c>
    </x:row>
    <x:row r="678">
      <x:c r="A678" s="89" t="n">
        <x:v>676</x:v>
      </x:c>
      <x:c r="B678" s="80" t="n">
        <x:v>0.0874540531303427</x:v>
      </x:c>
      <x:c r="C678" s="84" t="n">
        <x:f>SQRT('Resumen'!$B$5^3/3)*B678</x:f>
        <x:v>0.05049162111652719</x:v>
      </x:c>
      <x:c r="D678" s="84" t="n">
        <x:f>C678^2-'Resumen'!$B$5^3/3</x:f>
        <x:v>-0.3307839295303584</x:v>
      </x:c>
      <x:c r="E678" s="85" t="n">
        <x:f>D678+'Resumen'!$B$5^3/3</x:f>
        <x:v>0.0025494038029749144</x:v>
      </x:c>
    </x:row>
    <x:row r="679">
      <x:c r="A679" s="89" t="n">
        <x:v>677</x:v>
      </x:c>
      <x:c r="B679" s="80" t="n">
        <x:v>-0.2957913281004811</x:v>
      </x:c>
      <x:c r="C679" s="84" t="n">
        <x:f>SQRT('Resumen'!$B$5^3/3)*B679</x:f>
        <x:v>-0.17077520290276965</x:v>
      </x:c>
      <x:c r="D679" s="84" t="n">
        <x:f>C679^2-'Resumen'!$B$5^3/3</x:f>
        <x:v>-0.3041691634068512</x:v>
      </x:c>
      <x:c r="E679" s="85" t="n">
        <x:f>D679+'Resumen'!$B$5^3/3</x:f>
        <x:v>0.02916416992648213</x:v>
      </x:c>
    </x:row>
    <x:row r="680">
      <x:c r="A680" s="89" t="n">
        <x:v>678</x:v>
      </x:c>
      <x:c r="B680" s="80" t="n">
        <x:v>-0.4543445226242776</x:v>
      </x:c>
      <x:c r="C680" s="84" t="n">
        <x:f>SQRT('Resumen'!$B$5^3/3)*B680</x:f>
        <x:v>-0.26231593244195867</x:v>
      </x:c>
      <x:c r="D680" s="84" t="n">
        <x:f>C680^2-'Resumen'!$B$5^3/3</x:f>
        <x:v>-0.2645236849204391</x:v>
      </x:c>
      <x:c r="E680" s="85" t="n">
        <x:f>D680+'Resumen'!$B$5^3/3</x:f>
        <x:v>0.06880964841289422</x:v>
      </x:c>
    </x:row>
    <x:row r="681">
      <x:c r="A681" s="89" t="n">
        <x:v>679</x:v>
      </x:c>
      <x:c r="B681" s="80" t="n">
        <x:v>-0.1694127773877371</x:v>
      </x:c>
      <x:c r="C681" s="84" t="n">
        <x:f>SQRT('Resumen'!$B$5^3/3)*B681</x:f>
        <x:v>-0.09781051262897215</x:v>
      </x:c>
      <x:c r="D681" s="84" t="n">
        <x:f>C681^2-'Resumen'!$B$5^3/3</x:f>
        <x:v>-0.323766436952591</x:v>
      </x:c>
      <x:c r="E681" s="85" t="n">
        <x:f>D681+'Resumen'!$B$5^3/3</x:f>
        <x:v>0.009566896380742318</x:v>
      </x:c>
    </x:row>
    <x:row r="682">
      <x:c r="A682" s="89" t="n">
        <x:v>680</x:v>
      </x:c>
      <x:c r="B682" s="80" t="n">
        <x:v>0.7865251349980896</x:v>
      </x:c>
      <x:c r="C682" s="84" t="n">
        <x:f>SQRT('Resumen'!$B$5^3/3)*B682</x:f>
        <x:v>0.4541004984155538</x:v>
      </x:c>
      <x:c r="D682" s="84" t="n">
        <x:f>C682^2-'Resumen'!$B$5^3/3</x:f>
        <x:v>-0.12712607067207896</x:v>
      </x:c>
      <x:c r="E682" s="85" t="n">
        <x:f>D682+'Resumen'!$B$5^3/3</x:f>
        <x:v>0.20620726266125436</x:v>
      </x:c>
    </x:row>
    <x:row r="683">
      <x:c r="A683" s="89" t="n">
        <x:v>681</x:v>
      </x:c>
      <x:c r="B683" s="80" t="n">
        <x:v>0.41172116491362676</x:v>
      </x:c>
      <x:c r="C683" s="84" t="n">
        <x:f>SQRT('Resumen'!$B$5^3/3)*B683</x:f>
        <x:v>0.2377073253939487</x:v>
      </x:c>
      <x:c r="D683" s="84" t="n">
        <x:f>C683^2-'Resumen'!$B$5^3/3</x:f>
        <x:v>-0.2768285607873887</x:v>
      </x:c>
      <x:c r="E683" s="85" t="n">
        <x:f>D683+'Resumen'!$B$5^3/3</x:f>
        <x:v>0.056504772545944604</x:v>
      </x:c>
    </x:row>
    <x:row r="684">
      <x:c r="A684" s="89" t="n">
        <x:v>682</x:v>
      </x:c>
      <x:c r="B684" s="80" t="n">
        <x:v>1.7648023505714288</x:v>
      </x:c>
      <x:c r="C684" s="84" t="n">
        <x:f>SQRT('Resumen'!$B$5^3/3)*B684</x:f>
        <x:v>1.0189091121688987</x:v>
      </x:c>
      <x:c r="D684" s="84" t="n">
        <x:f>C684^2-'Resumen'!$B$5^3/3</x:f>
        <x:v>0.70484244552748</x:v>
      </x:c>
      <x:c r="E684" s="85" t="n">
        <x:f>D684+'Resumen'!$B$5^3/3</x:f>
        <x:v>1.0381757788608132</x:v>
      </x:c>
    </x:row>
    <x:row r="685">
      <x:c r="A685" s="89" t="n">
        <x:v>683</x:v>
      </x:c>
      <x:c r="B685" s="80" t="n">
        <x:v>1.0241395987049278</x:v>
      </x:c>
      <x:c r="C685" s="84" t="n">
        <x:f>SQRT('Resumen'!$B$5^3/3)*B685</x:f>
        <x:v>0.5912872730000454</x:v>
      </x:c>
      <x:c r="D685" s="84" t="n">
        <x:f>C685^2-'Resumen'!$B$5^3/3</x:f>
        <x:v>0.01628730587849686</x:v>
      </x:c>
      <x:c r="E685" s="85" t="n">
        <x:f>D685+'Resumen'!$B$5^3/3</x:f>
        <x:v>0.3496206392118302</x:v>
      </x:c>
    </x:row>
    <x:row r="686">
      <x:c r="A686" s="89" t="n">
        <x:v>684</x:v>
      </x:c>
      <x:c r="B686" s="80" t="n">
        <x:v>-0.007432621383618902</x:v>
      </x:c>
      <x:c r="C686" s="84" t="n">
        <x:f>SQRT('Resumen'!$B$5^3/3)*B686</x:f>
        <x:v>-0.004291225956616941</x:v>
      </x:c>
      <x:c r="D686" s="84" t="n">
        <x:f>C686^2-'Resumen'!$B$5^3/3</x:f>
        <x:v>-0.3333149187131226</x:v>
      </x:c>
      <x:c r="E686" s="85" t="n">
        <x:f>D686+'Resumen'!$B$5^3/3</x:f>
        <x:v>0.000018414620210738253</x:v>
      </x:c>
    </x:row>
    <x:row r="687">
      <x:c r="A687" s="89" t="n">
        <x:v>685</x:v>
      </x:c>
      <x:c r="B687" s="80" t="n">
        <x:v>-0.8704341880583227</x:v>
      </x:c>
      <x:c r="C687" s="84" t="n">
        <x:f>SQRT('Resumen'!$B$5^3/3)*B687</x:f>
        <x:v>-0.5025454127873259</x:v>
      </x:c>
      <x:c r="D687" s="84" t="n">
        <x:f>C687^2-'Resumen'!$B$5^3/3</x:f>
        <x:v>-0.08078144141974952</x:v>
      </x:c>
      <x:c r="E687" s="85" t="n">
        <x:f>D687+'Resumen'!$B$5^3/3</x:f>
        <x:v>0.2525518919135838</x:v>
      </x:c>
    </x:row>
    <x:row r="688">
      <x:c r="A688" s="89" t="n">
        <x:v>686</x:v>
      </x:c>
      <x:c r="B688" s="80" t="n">
        <x:v>0.4603030915656726</x:v>
      </x:c>
      <x:c r="C688" s="84" t="n">
        <x:f>SQRT('Resumen'!$B$5^3/3)*B688</x:f>
        <x:v>0.265756113824258</x:v>
      </x:c>
      <x:c r="D688" s="84" t="n">
        <x:f>C688^2-'Resumen'!$B$5^3/3</x:f>
        <x:v>-0.2627070212983613</x:v>
      </x:c>
      <x:c r="E688" s="85" t="n">
        <x:f>D688+'Resumen'!$B$5^3/3</x:f>
        <x:v>0.070626312034972</x:v>
      </x:c>
    </x:row>
    <x:row r="689">
      <x:c r="A689" s="89" t="n">
        <x:v>687</x:v>
      </x:c>
      <x:c r="B689" s="80" t="n">
        <x:v>1.9793377868687365</x:v>
      </x:c>
      <x:c r="C689" s="84" t="n">
        <x:f>SQRT('Resumen'!$B$5^3/3)*B689</x:f>
        <x:v>1.142771204065863</x:v>
      </x:c>
      <x:c r="D689" s="84" t="n">
        <x:f>C689^2-'Resumen'!$B$5^3/3</x:f>
        <x:v>0.9725926915088092</x:v>
      </x:c>
      <x:c r="E689" s="85" t="n">
        <x:f>D689+'Resumen'!$B$5^3/3</x:f>
        <x:v>1.3059260248421425</x:v>
      </x:c>
    </x:row>
    <x:row r="690">
      <x:c r="A690" s="89" t="n">
        <x:v>688</x:v>
      </x:c>
      <x:c r="B690" s="80" t="n">
        <x:v>-1.8078232112795707</x:v>
      </x:c>
      <x:c r="C690" s="84" t="n">
        <x:f>SQRT('Resumen'!$B$5^3/3)*B690</x:f>
        <x:v>-1.0437472176795137</x:v>
      </x:c>
      <x:c r="D690" s="84" t="n">
        <x:f>C690^2-'Resumen'!$B$5^3/3</x:f>
        <x:v>0.756074921080393</x:v>
      </x:c>
      <x:c r="E690" s="85" t="n">
        <x:f>D690+'Resumen'!$B$5^3/3</x:f>
        <x:v>1.0894082544137262</x:v>
      </x:c>
    </x:row>
    <x:row r="691">
      <x:c r="A691" s="89" t="n">
        <x:v>689</x:v>
      </x:c>
      <x:c r="B691" s="80" t="n">
        <x:v>0.44277387338692625</x:v>
      </x:c>
      <x:c r="C691" s="84" t="n">
        <x:f>SQRT('Resumen'!$B$5^3/3)*B691</x:f>
        <x:v>0.25563561499007514</x:v>
      </x:c>
      <x:c r="D691" s="84" t="n">
        <x:f>C691^2-'Resumen'!$B$5^3/3</x:f>
        <x:v>-0.2679837656819794</x:v>
      </x:c>
      <x:c r="E691" s="85" t="n">
        <x:f>D691+'Resumen'!$B$5^3/3</x:f>
        <x:v>0.06534956765135391</x:v>
      </x:c>
    </x:row>
    <x:row r="692">
      <x:c r="A692" s="89" t="n">
        <x:v>690</x:v>
      </x:c>
      <x:c r="B692" s="80" t="n">
        <x:v>0.5376845774195713</x:v>
      </x:c>
      <x:c r="C692" s="84" t="n">
        <x:f>SQRT('Resumen'!$B$5^3/3)*B692</x:f>
        <x:v>0.31043233551229965</x:v>
      </x:c>
      <x:c r="D692" s="84" t="n">
        <x:f>C692^2-'Resumen'!$B$5^3/3</x:f>
        <x:v>-0.23696509840171232</x:v>
      </x:c>
      <x:c r="E692" s="85" t="n">
        <x:f>D692+'Resumen'!$B$5^3/3</x:f>
        <x:v>0.096368234931621</x:v>
      </x:c>
    </x:row>
    <x:row r="693">
      <x:c r="A693" s="89" t="n">
        <x:v>691</x:v>
      </x:c>
      <x:c r="B693" s="80" t="n">
        <x:v>-1.2134213525966926</x:v>
      </x:c>
      <x:c r="C693" s="84" t="n">
        <x:f>SQRT('Resumen'!$B$5^3/3)*B693</x:f>
        <x:v>-0.7005691445621403</x:v>
      </x:c>
      <x:c r="D693" s="84" t="n">
        <x:f>C693^2-'Resumen'!$B$5^3/3</x:f>
        <x:v>0.15746379297919566</x:v>
      </x:c>
      <x:c r="E693" s="85" t="n">
        <x:f>D693+'Resumen'!$B$5^3/3</x:f>
        <x:v>0.490797126312529</x:v>
      </x:c>
    </x:row>
    <x:row r="694">
      <x:c r="A694" s="89" t="n">
        <x:v>692</x:v>
      </x:c>
      <x:c r="B694" s="80" t="n">
        <x:v>0.0725541658561086</x:v>
      </x:c>
      <x:c r="C694" s="84" t="n">
        <x:f>SQRT('Resumen'!$B$5^3/3)*B694</x:f>
        <x:v>0.04188916718785306</x:v>
      </x:c>
      <x:c r="D694" s="84" t="n">
        <x:f>C694^2-'Resumen'!$B$5^3/3</x:f>
        <x:v>-0.3315786310056414</x:v>
      </x:c>
      <x:c r="E694" s="85" t="n">
        <x:f>D694+'Resumen'!$B$5^3/3</x:f>
        <x:v>0.001754702327691926</x:v>
      </x:c>
    </x:row>
    <x:row r="695">
      <x:c r="A695" s="89" t="n">
        <x:v>693</x:v>
      </x:c>
      <x:c r="B695" s="80" t="n">
        <x:v>0.047301656403388924</x:v>
      </x:c>
      <x:c r="C695" s="84" t="n">
        <x:f>SQRT('Resumen'!$B$5^3/3)*B695</x:f>
        <x:v>0.027309624057611778</x:v>
      </x:c>
      <x:c r="D695" s="84" t="n">
        <x:f>C695^2-'Resumen'!$B$5^3/3</x:f>
        <x:v>-0.3325875177671652</x:v>
      </x:c>
      <x:c r="E695" s="85" t="n">
        <x:f>D695+'Resumen'!$B$5^3/3</x:f>
        <x:v>0.0007458155661680954</x:v>
      </x:c>
    </x:row>
    <x:row r="696">
      <x:c r="A696" s="89" t="n">
        <x:v>694</x:v>
      </x:c>
      <x:c r="B696" s="80" t="n">
        <x:v>2.690312127345687</x:v>
      </x:c>
      <x:c r="C696" s="84" t="n">
        <x:f>SQRT('Resumen'!$B$5^3/3)*B696</x:f>
        <x:v>1.553252430927147</x:v>
      </x:c>
      <x:c r="D696" s="84" t="n">
        <x:f>C696^2-'Resumen'!$B$5^3/3</x:f>
        <x:v>2.079259780847758</x:v>
      </x:c>
      <x:c r="E696" s="85" t="n">
        <x:f>D696+'Resumen'!$B$5^3/3</x:f>
        <x:v>2.4125931141810915</x:v>
      </x:c>
    </x:row>
    <x:row r="697">
      <x:c r="A697" s="89" t="n">
        <x:v>695</x:v>
      </x:c>
      <x:c r="B697" s="80" t="n">
        <x:v>0.2407113102148898</x:v>
      </x:c>
      <x:c r="C697" s="84" t="n">
        <x:f>SQRT('Resumen'!$B$5^3/3)*B697</x:f>
        <x:v>0.13897473974955413</x:v>
      </x:c>
      <x:c r="D697" s="84" t="n">
        <x:f>C697^2-'Resumen'!$B$5^3/3</x:f>
        <x:v>-0.314019355044877</x:v>
      </x:c>
      <x:c r="E697" s="85" t="n">
        <x:f>D697+'Resumen'!$B$5^3/3</x:f>
        <x:v>0.019313978288456324</x:v>
      </x:c>
    </x:row>
    <x:row r="698">
      <x:c r="A698" s="89" t="n">
        <x:v>696</x:v>
      </x:c>
      <x:c r="B698" s="80" t="n">
        <x:v>-0.3995317601101747</x:v>
      </x:c>
      <x:c r="C698" s="84" t="n">
        <x:f>SQRT('Resumen'!$B$5^3/3)*B698</x:f>
        <x:v>-0.23066976924941435</x:v>
      </x:c>
      <x:c r="D698" s="84" t="n">
        <x:f>C698^2-'Resumen'!$B$5^3/3</x:f>
        <x:v>-0.28012479088775527</x:v>
      </x:c>
      <x:c r="E698" s="85" t="n">
        <x:f>D698+'Resumen'!$B$5^3/3</x:f>
        <x:v>0.053208542445578044</x:v>
      </x:c>
    </x:row>
    <x:row r="699">
      <x:c r="A699" s="89" t="n">
        <x:v>697</x:v>
      </x:c>
      <x:c r="B699" s="80" t="n">
        <x:v>0.7434296213854835</x:v>
      </x:c>
      <x:c r="C699" s="84" t="n">
        <x:f>SQRT('Resumen'!$B$5^3/3)*B699</x:f>
        <x:v>0.42921929203045045</x:v>
      </x:c>
      <x:c r="D699" s="84" t="n">
        <x:f>C699^2-'Resumen'!$B$5^3/3</x:f>
        <x:v>-0.1491041326822122</x:v>
      </x:c>
      <x:c r="E699" s="85" t="n">
        <x:f>D699+'Resumen'!$B$5^3/3</x:f>
        <x:v>0.1842292006511211</x:v>
      </x:c>
    </x:row>
    <x:row r="700">
      <x:c r="A700" s="89" t="n">
        <x:v>698</x:v>
      </x:c>
      <x:c r="B700" s="80" t="n">
        <x:v>1.8290019218971483</x:v>
      </x:c>
      <x:c r="C700" s="84" t="n">
        <x:f>SQRT('Resumen'!$B$5^3/3)*B700</x:f>
        <x:v>1.0559747519556615</x:v>
      </x:c>
      <x:c r="D700" s="84" t="n">
        <x:f>C700^2-'Resumen'!$B$5^3/3</x:f>
        <x:v>0.7817493434344875</x:v>
      </x:c>
      <x:c r="E700" s="85" t="n">
        <x:f>D700+'Resumen'!$B$5^3/3</x:f>
        <x:v>1.1150826767678208</x:v>
      </x:c>
    </x:row>
    <x:row r="701">
      <x:c r="A701" s="89" t="n">
        <x:v>699</x:v>
      </x:c>
      <x:c r="B701" s="80" t="n">
        <x:v>-1.646910138542841</x:v>
      </x:c>
      <x:c r="C701" s="84" t="n">
        <x:f>SQRT('Resumen'!$B$5^3/3)*B701</x:f>
        <x:v>-0.950844011818833</x:v>
      </x:c>
      <x:c r="D701" s="84" t="n">
        <x:f>C701^2-'Resumen'!$B$5^3/3</x:f>
        <x:v>0.5707710014783998</x:v>
      </x:c>
      <x:c r="E701" s="85" t="n">
        <x:f>D701+'Resumen'!$B$5^3/3</x:f>
        <x:v>0.904104334811733</x:v>
      </x:c>
    </x:row>
    <x:row r="702">
      <x:c r="A702" s="89" t="n">
        <x:v>700</x:v>
      </x:c>
      <x:c r="B702" s="80" t="n">
        <x:v>-0.4773683192393393</x:v>
      </x:c>
      <x:c r="C702" s="84" t="n">
        <x:f>SQRT('Resumen'!$B$5^3/3)*B702</x:f>
        <x:v>-0.27560872761543176</x:v>
      </x:c>
      <x:c r="D702" s="84" t="n">
        <x:f>C702^2-'Resumen'!$B$5^3/3</x:f>
        <x:v>-0.25737316259553605</x:v>
      </x:c>
      <x:c r="E702" s="85" t="n">
        <x:f>D702+'Resumen'!$B$5^3/3</x:f>
        <x:v>0.07596017073779726</x:v>
      </x:c>
    </x:row>
    <x:row r="703">
      <x:c r="A703" s="89" t="n">
        <x:v>701</x:v>
      </x:c>
      <x:c r="B703" s="80" t="n">
        <x:v>-1.1197430006990148</x:v>
      </x:c>
      <x:c r="C703" s="84" t="n">
        <x:f>SQRT('Resumen'!$B$5^3/3)*B703</x:f>
        <x:v>-0.6464839228767755</x:v>
      </x:c>
      <x:c r="D703" s="84" t="n">
        <x:f>C703^2-'Resumen'!$B$5^3/3</x:f>
        <x:v>0.08460812920481126</x:v>
      </x:c>
      <x:c r="E703" s="85" t="n">
        <x:f>D703+'Resumen'!$B$5^3/3</x:f>
        <x:v>0.41794146253814457</x:v>
      </x:c>
    </x:row>
    <x:row r="704">
      <x:c r="A704" s="89" t="n">
        <x:v>702</x:v>
      </x:c>
      <x:c r="B704" s="80" t="n">
        <x:v>-0.2770114983715949</x:v>
      </x:c>
      <x:c r="C704" s="84" t="n">
        <x:f>SQRT('Resumen'!$B$5^3/3)*B704</x:f>
        <x:v>-0.15993266315346188</x:v>
      </x:c>
      <x:c r="D704" s="84" t="n">
        <x:f>C704^2-'Resumen'!$B$5^3/3</x:f>
        <x:v>-0.30775487658997464</x:v>
      </x:c>
      <x:c r="E704" s="85" t="n">
        <x:f>D704+'Resumen'!$B$5^3/3</x:f>
        <x:v>0.02557845674335868</x:v>
      </x:c>
    </x:row>
    <x:row r="705">
      <x:c r="A705" s="89" t="n">
        <x:v>703</x:v>
      </x:c>
      <x:c r="B705" s="80" t="n">
        <x:v>-0.10068469043382627</x:v>
      </x:c>
      <x:c r="C705" s="84" t="n">
        <x:f>SQRT('Resumen'!$B$5^3/3)*B705</x:f>
        <x:v>-0.05813033312524373</x:v>
      </x:c>
      <x:c r="D705" s="84" t="n">
        <x:f>C705^2-'Resumen'!$B$5^3/3</x:f>
        <x:v>-0.3299541977040815</x:v>
      </x:c>
      <x:c r="E705" s="85" t="n">
        <x:f>D705+'Resumen'!$B$5^3/3</x:f>
        <x:v>0.003379135629251795</x:v>
      </x:c>
    </x:row>
    <x:row r="706">
      <x:c r="A706" s="89" t="n">
        <x:v>704</x:v>
      </x:c>
      <x:c r="B706" s="80" t="n">
        <x:v>-1.4958795332060213</x:v>
      </x:c>
      <x:c r="C706" s="84" t="n">
        <x:f>SQRT('Resumen'!$B$5^3/3)*B706</x:f>
        <x:v>-0.8636464511717481</x:v>
      </x:c>
      <x:c r="D706" s="84" t="n">
        <x:f>C706^2-'Resumen'!$B$5^3/3</x:f>
        <x:v>0.4125518592882213</x:v>
      </x:c>
      <x:c r="E706" s="85" t="n">
        <x:f>D706+'Resumen'!$B$5^3/3</x:f>
        <x:v>0.7458851926215546</x:v>
      </x:c>
    </x:row>
    <x:row r="707">
      <x:c r="A707" s="89" t="n">
        <x:v>705</x:v>
      </x:c>
      <x:c r="B707" s="80" t="n">
        <x:v>-0.2710660980434184</x:v>
      </x:c>
      <x:c r="C707" s="84" t="n">
        <x:f>SQRT('Resumen'!$B$5^3/3)*B707</x:f>
        <x:v>-0.1565000846735491</x:v>
      </x:c>
      <x:c r="D707" s="84" t="n">
        <x:f>C707^2-'Resumen'!$B$5^3/3</x:f>
        <x:v>-0.3088410568305053</x:v>
      </x:c>
      <x:c r="E707" s="85" t="n">
        <x:f>D707+'Resumen'!$B$5^3/3</x:f>
        <x:v>0.024492276502828036</x:v>
      </x:c>
    </x:row>
    <x:row r="708">
      <x:c r="A708" s="89" t="n">
        <x:v>706</x:v>
      </x:c>
      <x:c r="B708" s="80" t="n">
        <x:v>-0.5508044365873866</x:v>
      </x:c>
      <x:c r="C708" s="84" t="n">
        <x:f>SQRT('Resumen'!$B$5^3/3)*B708</x:f>
        <x:v>-0.3180070897345678</x:v>
      </x:c>
      <x:c r="D708" s="84" t="n">
        <x:f>C708^2-'Resumen'!$B$5^3/3</x:f>
        <x:v>-0.23220482421188385</x:v>
      </x:c>
      <x:c r="E708" s="85" t="n">
        <x:f>D708+'Resumen'!$B$5^3/3</x:f>
        <x:v>0.10112850912144947</x:v>
      </x:c>
    </x:row>
    <x:row r="709">
      <x:c r="A709" s="89" t="n">
        <x:v>707</x:v>
      </x:c>
      <x:c r="B709" s="80" t="n">
        <x:v>-0.5858308012857221</x:v>
      </x:c>
      <x:c r="C709" s="84" t="n">
        <x:f>SQRT('Resumen'!$B$5^3/3)*B709</x:f>
        <x:v>-0.33822957082188576</x:v>
      </x:c>
      <x:c r="D709" s="84" t="n">
        <x:f>C709^2-'Resumen'!$B$5^3/3</x:f>
        <x:v>-0.21893409075497627</x:v>
      </x:c>
      <x:c r="E709" s="85" t="n">
        <x:f>D709+'Resumen'!$B$5^3/3</x:f>
        <x:v>0.11439924257835704</x:v>
      </x:c>
    </x:row>
    <x:row r="710">
      <x:c r="A710" s="89" t="n">
        <x:v>708</x:v>
      </x:c>
      <x:c r="B710" s="80" t="n">
        <x:v>-0.7861267077928272</x:v>
      </x:c>
      <x:c r="C710" s="84" t="n">
        <x:f>SQRT('Resumen'!$B$5^3/3)*B710</x:f>
        <x:v>-0.45387046636134304</x:v>
      </x:c>
      <x:c r="D710" s="84" t="n">
        <x:f>C710^2-'Resumen'!$B$5^3/3</x:f>
        <x:v>-0.1273349330982703</x:v>
      </x:c>
      <x:c r="E710" s="85" t="n">
        <x:f>D710+'Resumen'!$B$5^3/3</x:f>
        <x:v>0.20599840023506302</x:v>
      </x:c>
    </x:row>
    <x:row r="711">
      <x:c r="A711" s="89" t="n">
        <x:v>709</x:v>
      </x:c>
      <x:c r="B711" s="80" t="n">
        <x:v>0.010359672895991524</x:v>
      </x:c>
      <x:c r="C711" s="84" t="n">
        <x:f>SQRT('Resumen'!$B$5^3/3)*B711</x:f>
        <x:v>0.005981159935217176</x:v>
      </x:c>
      <x:c r="D711" s="84" t="n">
        <x:f>C711^2-'Resumen'!$B$5^3/3</x:f>
        <x:v>-0.33329755905916264</x:v>
      </x:c>
      <x:c r="E711" s="85" t="n">
        <x:f>D711+'Resumen'!$B$5^3/3</x:f>
        <x:v>0.00003577427417067458</x:v>
      </x:c>
    </x:row>
    <x:row r="712">
      <x:c r="A712" s="89" t="n">
        <x:v>710</x:v>
      </x:c>
      <x:c r="B712" s="80" t="n">
        <x:v>0.6675817000390751</x:v>
      </x:c>
      <x:c r="C712" s="84" t="n">
        <x:f>SQRT('Resumen'!$B$5^3/3)*B712</x:f>
        <x:v>0.385428474223628</x:v>
      </x:c>
      <x:c r="D712" s="84" t="n">
        <x:f>C712^2-'Resumen'!$B$5^3/3</x:f>
        <x:v>-0.18477822459097942</x:v>
      </x:c>
      <x:c r="E712" s="85" t="n">
        <x:f>D712+'Resumen'!$B$5^3/3</x:f>
        <x:v>0.1485551087423539</x:v>
      </x:c>
    </x:row>
    <x:row r="713">
      <x:c r="A713" s="89" t="n">
        <x:v>711</x:v>
      </x:c>
      <x:c r="B713" s="80" t="n">
        <x:v>1.0649102634074572</x:v>
      </x:c>
      <x:c r="C713" s="84" t="n">
        <x:f>SQRT('Resumen'!$B$5^3/3)*B713</x:f>
        <x:v>0.6148262272410907</x:v>
      </x:c>
      <x:c r="D713" s="84" t="n">
        <x:f>C713^2-'Resumen'!$B$5^3/3</x:f>
        <x:v>0.044677956370180016</x:v>
      </x:c>
      <x:c r="E713" s="85" t="n">
        <x:f>D713+'Resumen'!$B$5^3/3</x:f>
        <x:v>0.37801128970351333</x:v>
      </x:c>
    </x:row>
    <x:row r="714">
      <x:c r="A714" s="89" t="n">
        <x:v>712</x:v>
      </x:c>
      <x:c r="B714" s="80" t="n">
        <x:v>1.5075453789544933</x:v>
      </x:c>
      <x:c r="C714" s="84" t="n">
        <x:f>SQRT('Resumen'!$B$5^3/3)*B714</x:f>
        <x:v>0.870381730354953</x:v>
      </x:c>
      <x:c r="D714" s="84" t="n">
        <x:f>C714^2-'Resumen'!$B$5^3/3</x:f>
        <x:v>0.4242310232023489</x:v>
      </x:c>
      <x:c r="E714" s="85" t="n">
        <x:f>D714+'Resumen'!$B$5^3/3</x:f>
        <x:v>0.7575643565356822</x:v>
      </x:c>
    </x:row>
    <x:row r="715">
      <x:c r="A715" s="89" t="n">
        <x:v>713</x:v>
      </x:c>
      <x:c r="B715" s="80" t="n">
        <x:v>0.7688330874909047</x:v>
      </x:c>
      <x:c r="C715" s="84" t="n">
        <x:f>SQRT('Resumen'!$B$5^3/3)*B715</x:f>
        <x:v>0.4438859900247649</x:v>
      </x:c>
      <x:c r="D715" s="84" t="n">
        <x:f>C715^2-'Resumen'!$B$5^3/3</x:f>
        <x:v>-0.1362985611930676</x:v>
      </x:c>
      <x:c r="E715" s="85" t="n">
        <x:f>D715+'Resumen'!$B$5^3/3</x:f>
        <x:v>0.1970347721402657</x:v>
      </x:c>
    </x:row>
    <x:row r="716">
      <x:c r="A716" s="89" t="n">
        <x:v>714</x:v>
      </x:c>
      <x:c r="B716" s="80" t="n">
        <x:v>1.080006434888905</x:v>
      </x:c>
      <x:c r="C716" s="84" t="n">
        <x:f>SQRT('Resumen'!$B$5^3/3)*B716</x:f>
        <x:v>0.6235420059096373</x:v>
      </x:c>
      <x:c r="D716" s="84" t="n">
        <x:f>C716^2-'Resumen'!$B$5^3/3</x:f>
        <x:v>0.05547129980048082</x:v>
      </x:c>
      <x:c r="E716" s="85" t="n">
        <x:f>D716+'Resumen'!$B$5^3/3</x:f>
        <x:v>0.38880463313381414</x:v>
      </x:c>
    </x:row>
    <x:row r="717">
      <x:c r="A717" s="89" t="n">
        <x:v>715</x:v>
      </x:c>
      <x:c r="B717" s="80" t="n">
        <x:v>0.16785410995063707</x:v>
      </x:c>
      <x:c r="C717" s="84" t="n">
        <x:f>SQRT('Resumen'!$B$5^3/3)*B717</x:f>
        <x:v>0.09691061556458534</x:v>
      </x:c>
      <x:c r="D717" s="84" t="n">
        <x:f>C717^2-'Resumen'!$B$5^3/3</x:f>
        <x:v>-0.32394166592422646</x:v>
      </x:c>
      <x:c r="E717" s="85" t="n">
        <x:f>D717+'Resumen'!$B$5^3/3</x:f>
        <x:v>0.009391667409106852</x:v>
      </x:c>
    </x:row>
    <x:row r="718">
      <x:c r="A718" s="89" t="n">
        <x:v>716</x:v>
      </x:c>
      <x:c r="B718" s="80" t="n">
        <x:v>-1.6056454022952522</x:v>
      </x:c>
      <x:c r="C718" s="84" t="n">
        <x:f>SQRT('Resumen'!$B$5^3/3)*B718</x:f>
        <x:v>-0.9270198052382488</x:v>
      </x:c>
      <x:c r="D718" s="84" t="n">
        <x:f>C718^2-'Resumen'!$B$5^3/3</x:f>
        <x:v>0.5260323859706273</x:v>
      </x:c>
      <x:c r="E718" s="85" t="n">
        <x:f>D718+'Resumen'!$B$5^3/3</x:f>
        <x:v>0.8593657193039606</x:v>
      </x:c>
    </x:row>
    <x:row r="719">
      <x:c r="A719" s="89" t="n">
        <x:v>717</x:v>
      </x:c>
      <x:c r="B719" s="80" t="n">
        <x:v>-0.34059923728929675</x:v>
      </x:c>
      <x:c r="C719" s="84" t="n">
        <x:f>SQRT('Resumen'!$B$5^3/3)*B719</x:f>
        <x:v>-0.19664506133475668</x:v>
      </x:c>
      <x:c r="D719" s="84" t="n">
        <x:f>C719^2-'Resumen'!$B$5^3/3</x:f>
        <x:v>-0.2946640531859831</x:v>
      </x:c>
      <x:c r="E719" s="85" t="n">
        <x:f>D719+'Resumen'!$B$5^3/3</x:f>
        <x:v>0.038669280147350216</x:v>
      </x:c>
    </x:row>
    <x:row r="720">
      <x:c r="A720" s="89" t="n">
        <x:v>718</x:v>
      </x:c>
      <x:c r="B720" s="80" t="n">
        <x:v>-1.2494258937762137</x:v>
      </x:c>
      <x:c r="C720" s="84" t="n">
        <x:f>SQRT('Resumen'!$B$5^3/3)*B720</x:f>
        <x:v>-0.7213563761041857</x:v>
      </x:c>
      <x:c r="D720" s="84" t="n">
        <x:f>C720^2-'Resumen'!$B$5^3/3</x:f>
        <x:v>0.1870216880128301</x:v>
      </x:c>
      <x:c r="E720" s="85" t="n">
        <x:f>D720+'Resumen'!$B$5^3/3</x:f>
        <x:v>0.5203550213461634</x:v>
      </x:c>
    </x:row>
    <x:row r="721">
      <x:c r="A721" s="89" t="n">
        <x:v>719</x:v>
      </x:c>
      <x:c r="B721" s="80" t="n">
        <x:v>-0.24977201986072886</x:v>
      </x:c>
      <x:c r="C721" s="84" t="n">
        <x:f>SQRT('Resumen'!$B$5^3/3)*B721</x:f>
        <x:v>-0.14420594290262836</x:v>
      </x:c>
      <x:c r="D721" s="84" t="n">
        <x:f>C721^2-'Resumen'!$B$5^3/3</x:f>
        <x:v>-0.3125379793648972</x:v>
      </x:c>
      <x:c r="E721" s="85" t="n">
        <x:f>D721+'Resumen'!$B$5^3/3</x:f>
        <x:v>0.020795353968436125</x:v>
      </x:c>
    </x:row>
    <x:row r="722">
      <x:c r="A722" s="89" t="n">
        <x:v>720</x:v>
      </x:c>
      <x:c r="B722" s="80" t="n">
        <x:v>2.2882356068420093</x:v>
      </x:c>
      <x:c r="C722" s="84" t="n">
        <x:f>SQRT('Resumen'!$B$5^3/3)*B722</x:f>
        <x:v>1.3211134435795207</x:v>
      </x:c>
      <x:c r="D722" s="84" t="n">
        <x:f>C722^2-'Resumen'!$B$5^3/3</x:f>
        <x:v>1.4120073974732061</x:v>
      </x:c>
      <x:c r="E722" s="85" t="n">
        <x:f>D722+'Resumen'!$B$5^3/3</x:f>
        <x:v>1.7453407308065394</x:v>
      </x:c>
    </x:row>
    <x:row r="723">
      <x:c r="A723" s="89" t="n">
        <x:v>721</x:v>
      </x:c>
      <x:c r="B723" s="80" t="n">
        <x:v>1.032049750279989</x:v>
      </x:c>
      <x:c r="C723" s="84" t="n">
        <x:f>SQRT('Resumen'!$B$5^3/3)*B723</x:f>
        <x:v>0.5958542011412377</x:v>
      </x:c>
      <x:c r="D723" s="84" t="n">
        <x:f>C723^2-'Resumen'!$B$5^3/3</x:f>
        <x:v>0.02170889568432921</x:v>
      </x:c>
      <x:c r="E723" s="85" t="n">
        <x:f>D723+'Resumen'!$B$5^3/3</x:f>
        <x:v>0.3550422290176625</x:v>
      </x:c>
    </x:row>
    <x:row r="724">
      <x:c r="A724" s="89" t="n">
        <x:v>722</x:v>
      </x:c>
      <x:c r="B724" s="80" t="n">
        <x:v>-0.35556376761260455</x:v>
      </x:c>
      <x:c r="C724" s="84" t="n">
        <x:f>SQRT('Resumen'!$B$5^3/3)*B724</x:f>
        <x:v>-0.20528483694521477</x:v>
      </x:c>
      <x:c r="D724" s="84" t="n">
        <x:f>C724^2-'Resumen'!$B$5^3/3</x:f>
        <x:v>-0.2911914690537099</x:v>
      </x:c>
      <x:c r="E724" s="85" t="n">
        <x:f>D724+'Resumen'!$B$5^3/3</x:f>
        <x:v>0.04214186427962341</x:v>
      </x:c>
    </x:row>
    <x:row r="725">
      <x:c r="A725" s="89" t="n">
        <x:v>723</x:v>
      </x:c>
      <x:c r="B725" s="80" t="n">
        <x:v>2.0170209574082096</x:v>
      </x:c>
      <x:c r="C725" s="84" t="n">
        <x:f>SQRT('Resumen'!$B$5^3/3)*B725</x:f>
        <x:v>1.1645275927207464</x:v>
      </x:c>
      <x:c r="D725" s="84" t="n">
        <x:f>C725^2-'Resumen'!$B$5^3/3</x:f>
        <x:v>1.0227911808746433</x:v>
      </x:c>
      <x:c r="E725" s="85" t="n">
        <x:f>D725+'Resumen'!$B$5^3/3</x:f>
        <x:v>1.3561245142079765</x:v>
      </x:c>
    </x:row>
    <x:row r="726">
      <x:c r="A726" s="89" t="n">
        <x:v>724</x:v>
      </x:c>
      <x:c r="B726" s="80" t="n">
        <x:v>1.1195021928239803</x:v>
      </x:c>
      <x:c r="C726" s="84" t="n">
        <x:f>SQRT('Resumen'!$B$5^3/3)*B726</x:f>
        <x:v>0.6463448923853014</x:v>
      </x:c>
      <x:c r="D726" s="84" t="n">
        <x:f>C726^2-'Resumen'!$B$5^3/3</x:f>
        <x:v>0.08442838657923346</x:v>
      </x:c>
      <x:c r="E726" s="85" t="n">
        <x:f>D726+'Resumen'!$B$5^3/3</x:f>
        <x:v>0.4177617199125668</x:v>
      </x:c>
    </x:row>
    <x:row r="727">
      <x:c r="A727" s="89" t="n">
        <x:v>725</x:v>
      </x:c>
      <x:c r="B727" s="80" t="n">
        <x:v>0.5524810250091342</x:v>
      </x:c>
      <x:c r="C727" s="84" t="n">
        <x:f>SQRT('Resumen'!$B$5^3/3)*B727</x:f>
        <x:v>0.31897506851118396</x:v>
      </x:c>
      <x:c r="D727" s="84" t="n">
        <x:f>C727^2-'Resumen'!$B$5^3/3</x:f>
        <x:v>-0.23158823900161882</x:v>
      </x:c>
      <x:c r="E727" s="85" t="n">
        <x:f>D727+'Resumen'!$B$5^3/3</x:f>
        <x:v>0.1017450943317145</x:v>
      </x:c>
    </x:row>
    <x:row r="728">
      <x:c r="A728" s="89" t="n">
        <x:v>726</x:v>
      </x:c>
      <x:c r="B728" s="80" t="n">
        <x:v>-0.26104015085996596</x:v>
      </x:c>
      <x:c r="C728" s="84" t="n">
        <x:f>SQRT('Resumen'!$B$5^3/3)*B728</x:f>
        <x:v>-0.15071160136830186</x:v>
      </x:c>
      <x:c r="D728" s="84" t="n">
        <x:f>C728^2-'Resumen'!$B$5^3/3</x:f>
        <x:v>-0.3106193465463354</x:v>
      </x:c>
      <x:c r="E728" s="85" t="n">
        <x:f>D728+'Resumen'!$B$5^3/3</x:f>
        <x:v>0.02271398678699793</x:v>
      </x:c>
    </x:row>
    <x:row r="729">
      <x:c r="A729" s="89" t="n">
        <x:v>727</x:v>
      </x:c>
      <x:c r="B729" s="80" t="n">
        <x:v>-2.173615947347151</x:v>
      </x:c>
      <x:c r="C729" s="84" t="n">
        <x:f>SQRT('Resumen'!$B$5^3/3)*B729</x:f>
        <x:v>-1.2549377523157408</x:v>
      </x:c>
      <x:c r="D729" s="84" t="n">
        <x:f>C729^2-'Resumen'!$B$5^3/3</x:f>
        <x:v>1.2415354288539504</x:v>
      </x:c>
      <x:c r="E729" s="85" t="n">
        <x:f>D729+'Resumen'!$B$5^3/3</x:f>
        <x:v>1.5748687621872837</x:v>
      </x:c>
    </x:row>
    <x:row r="730">
      <x:c r="A730" s="89" t="n">
        <x:v>728</x:v>
      </x:c>
      <x:c r="B730" s="80" t="n">
        <x:v>0.030510975037823913</x:v>
      </x:c>
      <x:c r="C730" s="84" t="n">
        <x:f>SQRT('Resumen'!$B$5^3/3)*B730</x:f>
        <x:v>0.017615519651325587</x:v>
      </x:c>
      <x:c r="D730" s="84" t="n">
        <x:f>C730^2-'Resumen'!$B$5^3/3</x:f>
        <x:v>-0.3330230268007471</x:v>
      </x:c>
      <x:c r="E730" s="85" t="n">
        <x:f>D730+'Resumen'!$B$5^3/3</x:f>
        <x:v>0.0003103065325862353</x:v>
      </x:c>
    </x:row>
    <x:row r="731">
      <x:c r="A731" s="89" t="n">
        <x:v>729</x:v>
      </x:c>
      <x:c r="B731" s="80" t="n">
        <x:v>-0.22627047708234174</x:v>
      </x:c>
      <x:c r="C731" s="84" t="n">
        <x:f>SQRT('Resumen'!$B$5^3/3)*B731</x:f>
        <x:v>-0.13063732085315505</x:v>
      </x:c>
      <x:c r="D731" s="84" t="n">
        <x:f>C731^2-'Resumen'!$B$5^3/3</x:f>
        <x:v>-0.31626722373364313</x:v>
      </x:c>
      <x:c r="E731" s="85" t="n">
        <x:f>D731+'Resumen'!$B$5^3/3</x:f>
        <x:v>0.017066109599690182</x:v>
      </x:c>
    </x:row>
    <x:row r="732">
      <x:c r="A732" s="89" t="n">
        <x:v>730</x:v>
      </x:c>
      <x:c r="B732" s="80" t="n">
        <x:v>0.6563080965507379</x:v>
      </x:c>
      <x:c r="C732" s="84" t="n">
        <x:f>SQRT('Resumen'!$B$5^3/3)*B732</x:f>
        <x:v>0.37891965621489937</x:v>
      </x:c>
      <x:c r="D732" s="84" t="n">
        <x:f>C732^2-'Resumen'!$B$5^3/3</x:f>
        <x:v>-0.1897532274673158</x:v>
      </x:c>
      <x:c r="E732" s="85" t="n">
        <x:f>D732+'Resumen'!$B$5^3/3</x:f>
        <x:v>0.14358010586601752</x:v>
      </x:c>
    </x:row>
    <x:row r="733">
      <x:c r="A733" s="89" t="n">
        <x:v>731</x:v>
      </x:c>
      <x:c r="B733" s="80" t="n">
        <x:v>-0.23672058221238435</x:v>
      </x:c>
      <x:c r="C733" s="84" t="n">
        <x:f>SQRT('Resumen'!$B$5^3/3)*B733</x:f>
        <x:v>-0.13667069186304504</x:v>
      </x:c>
      <x:c r="D733" s="84" t="n">
        <x:f>C733^2-'Resumen'!$B$5^3/3</x:f>
        <x:v>-0.31465445531900993</x:v>
      </x:c>
      <x:c r="E733" s="85" t="n">
        <x:f>D733+'Resumen'!$B$5^3/3</x:f>
        <x:v>0.018678878014323386</x:v>
      </x:c>
    </x:row>
    <x:row r="734">
      <x:c r="A734" s="89" t="n">
        <x:v>732</x:v>
      </x:c>
      <x:c r="B734" s="80" t="n">
        <x:v>-1.104775223722689</x:v>
      </x:c>
      <x:c r="C734" s="84" t="n">
        <x:f>SQRT('Resumen'!$B$5^3/3)*B734</x:f>
        <x:v>-0.6378422728103236</x:v>
      </x:c>
      <x:c r="D734" s="84" t="n">
        <x:f>C734^2-'Resumen'!$B$5^3/3</x:f>
        <x:v>0.07350943165050594</x:v>
      </x:c>
      <x:c r="E734" s="85" t="n">
        <x:f>D734+'Resumen'!$B$5^3/3</x:f>
        <x:v>0.40684276498383926</x:v>
      </x:c>
    </x:row>
    <x:row r="735">
      <x:c r="A735" s="89" t="n">
        <x:v>733</x:v>
      </x:c>
      <x:c r="B735" s="80" t="n">
        <x:v>0.13130447446359675</x:v>
      </x:c>
      <x:c r="C735" s="84" t="n">
        <x:f>SQRT('Resumen'!$B$5^3/3)*B735</x:f>
        <x:v>0.07580867367735993</x:v>
      </x:c>
      <x:c r="D735" s="84" t="n">
        <x:f>C735^2-'Resumen'!$B$5^3/3</x:f>
        <x:v>-0.32758637832861287</x:v>
      </x:c>
      <x:c r="E735" s="85" t="n">
        <x:f>D735+'Resumen'!$B$5^3/3</x:f>
        <x:v>0.005746955004720444</x:v>
      </x:c>
    </x:row>
    <x:row r="736">
      <x:c r="A736" s="89" t="n">
        <x:v>734</x:v>
      </x:c>
      <x:c r="B736" s="80" t="n">
        <x:v>-0.3234759625648606</x:v>
      </x:c>
      <x:c r="C736" s="84" t="n">
        <x:f>SQRT('Resumen'!$B$5^3/3)*B736</x:f>
        <x:v>-0.18675893406319558</x:v>
      </x:c>
      <x:c r="D736" s="84" t="n">
        <x:f>C736^2-'Resumen'!$B$5^3/3</x:f>
        <x:v>-0.2984544338809123</x:v>
      </x:c>
      <x:c r="E736" s="85" t="n">
        <x:f>D736+'Resumen'!$B$5^3/3</x:f>
        <x:v>0.03487889945242101</x:v>
      </x:c>
    </x:row>
    <x:row r="737">
      <x:c r="A737" s="89" t="n">
        <x:v>735</x:v>
      </x:c>
      <x:c r="B737" s="80" t="n">
        <x:v>0.087963350489408</x:v>
      </x:c>
      <x:c r="C737" s="84" t="n">
        <x:f>SQRT('Resumen'!$B$5^3/3)*B737</x:f>
        <x:v>0.050785664083881105</x:v>
      </x:c>
      <x:c r="D737" s="84" t="n">
        <x:f>C737^2-'Resumen'!$B$5^3/3</x:f>
        <x:v>-0.3307541496568925</x:v>
      </x:c>
      <x:c r="E737" s="85" t="n">
        <x:f>D737+'Resumen'!$B$5^3/3</x:f>
        <x:v>0.0025791836764408327</x:v>
      </x:c>
    </x:row>
    <x:row r="738">
      <x:c r="A738" s="89" t="n">
        <x:v>736</x:v>
      </x:c>
      <x:c r="B738" s="80" t="n">
        <x:v>-0.10053578204269228</x:v>
      </x:c>
      <x:c r="C738" s="84" t="n">
        <x:f>SQRT('Resumen'!$B$5^3/3)*B738</x:f>
        <x:v>-0.05804436082553793</x:v>
      </x:c>
      <x:c r="D738" s="84" t="n">
        <x:f>C738^2-'Resumen'!$B$5^3/3</x:f>
        <x:v>-0.3299641855096881</x:v>
      </x:c>
      <x:c r="E738" s="85" t="n">
        <x:f>D738+'Resumen'!$B$5^3/3</x:f>
        <x:v>0.0033691478236452244</x:v>
      </x:c>
    </x:row>
    <x:row r="739">
      <x:c r="A739" s="89" t="n">
        <x:v>737</x:v>
      </x:c>
      <x:c r="B739" s="80" t="n">
        <x:v>0.8521701428978107</x:v>
      </x:c>
      <x:c r="C739" s="84" t="n">
        <x:f>SQRT('Resumen'!$B$5^3/3)*B739</x:f>
        <x:v>0.49200066139741283</x:v>
      </x:c>
      <x:c r="D739" s="84" t="n">
        <x:f>C739^2-'Resumen'!$B$5^3/3</x:f>
        <x:v>-0.09126868251784165</x:v>
      </x:c>
      <x:c r="E739" s="85" t="n">
        <x:f>D739+'Resumen'!$B$5^3/3</x:f>
        <x:v>0.24206465081549167</x:v>
      </x:c>
    </x:row>
    <x:row r="740">
      <x:c r="A740" s="89" t="n">
        <x:v>738</x:v>
      </x:c>
      <x:c r="B740" s="80" t="n">
        <x:v>0.6307004240818707</x:v>
      </x:c>
      <x:c r="C740" s="84" t="n">
        <x:f>SQRT('Resumen'!$B$5^3/3)*B740</x:f>
        <x:v>0.36413505962167914</x:v>
      </x:c>
      <x:c r="D740" s="84" t="n">
        <x:f>C740^2-'Resumen'!$B$5^3/3</x:f>
        <x:v>-0.2007389916876495</x:v>
      </x:c>
      <x:c r="E740" s="85" t="n">
        <x:f>D740+'Resumen'!$B$5^3/3</x:f>
        <x:v>0.13259434164568382</x:v>
      </x:c>
    </x:row>
    <x:row r="741">
      <x:c r="A741" s="89" t="n">
        <x:v>739</x:v>
      </x:c>
      <x:c r="B741" s="80" t="n">
        <x:v>-1.3712543031509403</x:v>
      </x:c>
      <x:c r="C741" s="84" t="n">
        <x:f>SQRT('Resumen'!$B$5^3/3)*B741</x:f>
        <x:v>-0.791694041051628</x:v>
      </x:c>
      <x:c r="D741" s="84" t="n">
        <x:f>C741^2-'Resumen'!$B$5^3/3</x:f>
        <x:v>0.29344612130332354</x:v>
      </x:c>
      <x:c r="E741" s="85" t="n">
        <x:f>D741+'Resumen'!$B$5^3/3</x:f>
        <x:v>0.6267794546366569</x:v>
      </x:c>
    </x:row>
    <x:row r="742">
      <x:c r="A742" s="89" t="n">
        <x:v>740</x:v>
      </x:c>
      <x:c r="B742" s="80" t="n">
        <x:v>0.4112505746849093</x:v>
      </x:c>
      <x:c r="C742" s="84" t="n">
        <x:f>SQRT('Resumen'!$B$5^3/3)*B742</x:f>
        <x:v>0.23743562999872064</x:v>
      </x:c>
      <x:c r="D742" s="84" t="n">
        <x:f>C742^2-'Resumen'!$B$5^3/3</x:f>
        <x:v>-0.27695765494044394</x:v>
      </x:c>
      <x:c r="E742" s="85" t="n">
        <x:f>D742+'Resumen'!$B$5^3/3</x:f>
        <x:v>0.05637567839288937</x:v>
      </x:c>
    </x:row>
    <x:row r="743">
      <x:c r="A743" s="89" t="n">
        <x:v>741</x:v>
      </x:c>
      <x:c r="B743" s="80" t="n">
        <x:v>-0.3841769420526427</x:v>
      </x:c>
      <x:c r="C743" s="84" t="n">
        <x:f>SQRT('Resumen'!$B$5^3/3)*B743</x:f>
        <x:v>-0.2218046609105405</x:v>
      </x:c>
      <x:c r="D743" s="84" t="n">
        <x:f>C743^2-'Resumen'!$B$5^3/3</x:f>
        <x:v>-0.28413602573169344</x:v>
      </x:c>
      <x:c r="E743" s="85" t="n">
        <x:f>D743+'Resumen'!$B$5^3/3</x:f>
        <x:v>0.04919730760163987</x:v>
      </x:c>
    </x:row>
    <x:row r="744">
      <x:c r="A744" s="89" t="n">
        <x:v>742</x:v>
      </x:c>
      <x:c r="B744" s="80" t="n">
        <x:v>0.3943156550849834</x:v>
      </x:c>
      <x:c r="C744" s="84" t="n">
        <x:f>SQRT('Resumen'!$B$5^3/3)*B744</x:f>
        <x:v>0.22765824960899878</x:v>
      </x:c>
      <x:c r="D744" s="84" t="n">
        <x:f>C744^2-'Resumen'!$B$5^3/3</x:f>
        <x:v>-0.2815050547183001</x:v>
      </x:c>
      <x:c r="E744" s="85" t="n">
        <x:f>D744+'Resumen'!$B$5^3/3</x:f>
        <x:v>0.051828278615033196</x:v>
      </x:c>
    </x:row>
    <x:row r="745">
      <x:c r="A745" s="89" t="n">
        <x:v>743</x:v>
      </x:c>
      <x:c r="B745" s="80" t="n">
        <x:v>0.1722370470740099</x:v>
      </x:c>
      <x:c r="C745" s="84" t="n">
        <x:f>SQRT('Resumen'!$B$5^3/3)*B745</x:f>
        <x:v>0.09944110549260586</x:v>
      </x:c>
      <x:c r="D745" s="84" t="n">
        <x:f>C745^2-'Resumen'!$B$5^3/3</x:f>
        <x:v>-0.32344479987174174</x:v>
      </x:c>
      <x:c r="E745" s="85" t="n">
        <x:f>D745+'Resumen'!$B$5^3/3</x:f>
        <x:v>0.009888533461591575</x:v>
      </x:c>
    </x:row>
    <x:row r="746">
      <x:c r="A746" s="89" t="n">
        <x:v>744</x:v>
      </x:c>
      <x:c r="B746" s="80" t="n">
        <x:v>-0.7619496298348786</x:v>
      </x:c>
      <x:c r="C746" s="84" t="n">
        <x:f>SQRT('Resumen'!$B$5^3/3)*B746</x:f>
        <x:v>-0.4399118238941028</x:v>
      </x:c>
      <x:c r="D746" s="84" t="n">
        <x:f>C746^2-'Resumen'!$B$5^3/3</x:f>
        <x:v>-0.13981092053149718</x:v>
      </x:c>
      <x:c r="E746" s="85" t="n">
        <x:f>D746+'Resumen'!$B$5^3/3</x:f>
        <x:v>0.19352241280183613</x:v>
      </x:c>
    </x:row>
    <x:row r="747">
      <x:c r="A747" s="89" t="n">
        <x:v>745</x:v>
      </x:c>
      <x:c r="B747" s="80" t="n">
        <x:v>0.9225515374727297</x:v>
      </x:c>
      <x:c r="C747" s="84" t="n">
        <x:f>SQRT('Resumen'!$B$5^3/3)*B747</x:f>
        <x:v>0.5326353785011836</x:v>
      </x:c>
      <x:c r="D747" s="84" t="n">
        <x:f>C747^2-'Resumen'!$B$5^3/3</x:f>
        <x:v>-0.04963288690223422</x:v>
      </x:c>
      <x:c r="E747" s="85" t="n">
        <x:f>D747+'Resumen'!$B$5^3/3</x:f>
        <x:v>0.2837004464310991</x:v>
      </x:c>
    </x:row>
    <x:row r="748">
      <x:c r="A748" s="89" t="n">
        <x:v>746</x:v>
      </x:c>
      <x:c r="B748" s="80" t="n">
        <x:v>1.0855060381965949</x:v>
      </x:c>
      <x:c r="C748" s="84" t="n">
        <x:f>SQRT('Resumen'!$B$5^3/3)*B748</x:f>
        <x:v>0.6267172033597682</x:v>
      </x:c>
      <x:c r="D748" s="84" t="n">
        <x:f>C748^2-'Resumen'!$B$5^3/3</x:f>
        <x:v>0.05944111965375576</x:v>
      </x:c>
      <x:c r="E748" s="85" t="n">
        <x:f>D748+'Resumen'!$B$5^3/3</x:f>
        <x:v>0.3927744529870891</x:v>
      </x:c>
    </x:row>
    <x:row r="749">
      <x:c r="A749" s="89" t="n">
        <x:v>747</x:v>
      </x:c>
      <x:c r="B749" s="80" t="n">
        <x:v>0.18319438629065166</x:v>
      </x:c>
      <x:c r="C749" s="84" t="n">
        <x:f>SQRT('Resumen'!$B$5^3/3)*B749</x:f>
        <x:v>0.10576732823893602</x:v>
      </x:c>
      <x:c r="D749" s="84" t="n">
        <x:f>C749^2-'Resumen'!$B$5^3/3</x:f>
        <x:v>-0.3221466056105305</x:v>
      </x:c>
      <x:c r="E749" s="85" t="n">
        <x:f>D749+'Resumen'!$B$5^3/3</x:f>
        <x:v>0.011186727722802825</x:v>
      </x:c>
    </x:row>
    <x:row r="750">
      <x:c r="A750" s="89" t="n">
        <x:v>748</x:v>
      </x:c>
      <x:c r="B750" s="80" t="n">
        <x:v>-0.7296813133585827</x:v>
      </x:c>
      <x:c r="C750" s="84" t="n">
        <x:f>SQRT('Resumen'!$B$5^3/3)*B750</x:f>
        <x:v>-0.42128170269021736</x:v>
      </x:c>
      <x:c r="D750" s="84" t="n">
        <x:f>C750^2-'Resumen'!$B$5^3/3</x:f>
        <x:v>-0.15585506031176463</x:v>
      </x:c>
      <x:c r="E750" s="85" t="n">
        <x:f>D750+'Resumen'!$B$5^3/3</x:f>
        <x:v>0.17747827302156868</x:v>
      </x:c>
    </x:row>
    <x:row r="751">
      <x:c r="A751" s="89" t="n">
        <x:v>749</x:v>
      </x:c>
      <x:c r="B751" s="80" t="n">
        <x:v>0.9776333302051434</x:v>
      </x:c>
      <x:c r="C751" s="84" t="n">
        <x:f>SQRT('Resumen'!$B$5^3/3)*B751</x:f>
        <x:v>0.5644368663626899</x:v>
      </x:c>
      <x:c r="D751" s="84" t="n">
        <x:f>C751^2-'Resumen'!$B$5^3/3</x:f>
        <x:v>-0.014744357224000304</x:v>
      </x:c>
      <x:c r="E751" s="85" t="n">
        <x:f>D751+'Resumen'!$B$5^3/3</x:f>
        <x:v>0.318588976109333</x:v>
      </x:c>
    </x:row>
    <x:row r="752">
      <x:c r="A752" s="89" t="n">
        <x:v>750</x:v>
      </x:c>
      <x:c r="B752" s="80" t="n">
        <x:v>-1.3579863550837759</x:v>
      </x:c>
      <x:c r="C752" s="84" t="n">
        <x:f>SQRT('Resumen'!$B$5^3/3)*B752</x:f>
        <x:v>-0.7840337876634567</x:v>
      </x:c>
      <x:c r="D752" s="84" t="n">
        <x:f>C752^2-'Resumen'!$B$5^3/3</x:f>
        <x:v>0.2813756468645729</x:v>
      </x:c>
      <x:c r="E752" s="85" t="n">
        <x:f>D752+'Resumen'!$B$5^3/3</x:f>
        <x:v>0.6147089801979062</x:v>
      </x:c>
    </x:row>
    <x:row r="753">
      <x:c r="A753" s="89" t="n">
        <x:v>751</x:v>
      </x:c>
      <x:c r="B753" s="80" t="n">
        <x:v>0.10960865680865417</x:v>
      </x:c>
      <x:c r="C753" s="84" t="n">
        <x:f>SQRT('Resumen'!$B$5^3/3)*B753</x:f>
        <x:v>0.06328258751398978</x:v>
      </x:c>
      <x:c r="D753" s="84" t="n">
        <x:f>C753^2-'Resumen'!$B$5^3/3</x:f>
        <x:v>-0.32932864745086754</x:v>
      </x:c>
      <x:c r="E753" s="85" t="n">
        <x:f>D753+'Resumen'!$B$5^3/3</x:f>
        <x:v>0.004004685882465775</x:v>
      </x:c>
    </x:row>
    <x:row r="754">
      <x:c r="A754" s="89" t="n">
        <x:v>752</x:v>
      </x:c>
      <x:c r="B754" s="80" t="n">
        <x:v>-0.8584668314972755</x:v>
      </x:c>
      <x:c r="C754" s="84" t="n">
        <x:f>SQRT('Resumen'!$B$5^3/3)*B754</x:f>
        <x:v>-0.4956360562553171</x:v>
      </x:c>
      <x:c r="D754" s="84" t="n">
        <x:f>C754^2-'Resumen'!$B$5^3/3</x:f>
        <x:v>-0.08767823307300945</x:v>
      </x:c>
      <x:c r="E754" s="85" t="n">
        <x:f>D754+'Resumen'!$B$5^3/3</x:f>
        <x:v>0.24565510026032386</x:v>
      </x:c>
    </x:row>
    <x:row r="755">
      <x:c r="A755" s="89" t="n">
        <x:v>753</x:v>
      </x:c>
      <x:c r="B755" s="80" t="n">
        <x:v>0.6057795302902449</x:v>
      </x:c>
      <x:c r="C755" s="84" t="n">
        <x:f>SQRT('Resumen'!$B$5^3/3)*B755</x:f>
        <x:v>0.34974697488263795</x:v>
      </x:c>
      <x:c r="D755" s="84" t="n">
        <x:f>C755^2-'Resumen'!$B$5^3/3</x:f>
        <x:v>-0.2110103868937767</x:v>
      </x:c>
      <x:c r="E755" s="85" t="n">
        <x:f>D755+'Resumen'!$B$5^3/3</x:f>
        <x:v>0.1223229464395566</x:v>
      </x:c>
    </x:row>
    <x:row r="756">
      <x:c r="A756" s="89" t="n">
        <x:v>754</x:v>
      </x:c>
      <x:c r="B756" s="80" t="n">
        <x:v>1.333658516085483</x:v>
      </x:c>
      <x:c r="C756" s="84" t="n">
        <x:f>SQRT('Resumen'!$B$5^3/3)*B756</x:f>
        <x:v>0.7699881032689905</x:v>
      </x:c>
      <x:c r="D756" s="84" t="n">
        <x:f>C756^2-'Resumen'!$B$5^3/3</x:f>
        <x:v>0.2595483458424442</x:v>
      </x:c>
      <x:c r="E756" s="85" t="n">
        <x:f>D756+'Resumen'!$B$5^3/3</x:f>
        <x:v>0.5928816791757775</x:v>
      </x:c>
    </x:row>
    <x:row r="757">
      <x:c r="A757" s="89" t="n">
        <x:v>755</x:v>
      </x:c>
      <x:c r="B757" s="80" t="n">
        <x:v>0.1999110367962491</x:v>
      </x:c>
      <x:c r="C757" s="84" t="n">
        <x:f>SQRT('Resumen'!$B$5^3/3)*B757</x:f>
        <x:v>0.1154186909082916</x:v>
      </x:c>
      <x:c r="D757" s="84" t="n">
        <x:f>C757^2-'Resumen'!$B$5^3/3</x:f>
        <x:v>-0.3200118591223496</x:v>
      </x:c>
      <x:c r="E757" s="85" t="n">
        <x:f>D757+'Resumen'!$B$5^3/3</x:f>
        <x:v>0.01332147421098373</x:v>
      </x:c>
    </x:row>
    <x:row r="758">
      <x:c r="A758" s="89" t="n">
        <x:v>756</x:v>
      </x:c>
      <x:c r="B758" s="80" t="n">
        <x:v>0.3557543780570768</x:v>
      </x:c>
      <x:c r="C758" s="84" t="n">
        <x:f>SQRT('Resumen'!$B$5^3/3)*B758</x:f>
        <x:v>0.20539488593664118</x:v>
      </x:c>
      <x:c r="D758" s="84" t="n">
        <x:f>C758^2-'Resumen'!$B$5^3/3</x:f>
        <x:v>-0.29114627416440747</x:v>
      </x:c>
      <x:c r="E758" s="85" t="n">
        <x:f>D758+'Resumen'!$B$5^3/3</x:f>
        <x:v>0.042187059168925845</x:v>
      </x:c>
    </x:row>
    <x:row r="759">
      <x:c r="A759" s="89" t="n">
        <x:v>757</x:v>
      </x:c>
      <x:c r="B759" s="80" t="n">
        <x:v>0.412467238276526</x:v>
      </x:c>
      <x:c r="C759" s="84" t="n">
        <x:f>SQRT('Resumen'!$B$5^3/3)*B759</x:f>
        <x:v>0.23813807105085377</x:v>
      </x:c>
      <x:c r="D759" s="84" t="n">
        <x:f>C759^2-'Resumen'!$B$5^3/3</x:f>
        <x:v>-0.27662359244951185</x:v>
      </x:c>
      <x:c r="E759" s="85" t="n">
        <x:f>D759+'Resumen'!$B$5^3/3</x:f>
        <x:v>0.05670974088382147</x:v>
      </x:c>
    </x:row>
    <x:row r="760">
      <x:c r="A760" s="89" t="n">
        <x:v>758</x:v>
      </x:c>
      <x:c r="B760" s="80" t="n">
        <x:v>-1.8102314327353295</x:v>
      </x:c>
      <x:c r="C760" s="84" t="n">
        <x:f>SQRT('Resumen'!$B$5^3/3)*B760</x:f>
        <x:v>-1.0451376049852643</x:v>
      </x:c>
      <x:c r="D760" s="84" t="n">
        <x:f>C760^2-'Resumen'!$B$5^3/3</x:f>
        <x:v>0.7589792800210011</x:v>
      </x:c>
      <x:c r="E760" s="85" t="n">
        <x:f>D760+'Resumen'!$B$5^3/3</x:f>
        <x:v>1.0923126133543344</x:v>
      </x:c>
    </x:row>
    <x:row r="761">
      <x:c r="A761" s="89" t="n">
        <x:v>759</x:v>
      </x:c>
      <x:c r="B761" s="80" t="n">
        <x:v>0.04055349308787766</x:v>
      </x:c>
      <x:c r="C761" s="84" t="n">
        <x:f>SQRT('Resumen'!$B$5^3/3)*B761</x:f>
        <x:v>0.023413570150865794</x:v>
      </x:c>
      <x:c r="D761" s="84" t="n">
        <x:f>C761^2-'Resumen'!$B$5^3/3</x:f>
        <x:v>-0.3327851380661238</x:v>
      </x:c>
      <x:c r="E761" s="85" t="n">
        <x:f>D761+'Resumen'!$B$5^3/3</x:f>
        <x:v>0.0005481952672095058</x:v>
      </x:c>
    </x:row>
    <x:row r="762">
      <x:c r="A762" s="89" t="n">
        <x:v>760</x:v>
      </x:c>
      <x:c r="B762" s="80" t="n">
        <x:v>0.23049167539866883</x:v>
      </x:c>
      <x:c r="C762" s="84" t="n">
        <x:f>SQRT('Resumen'!$B$5^3/3)*B762</x:f>
        <x:v>0.1330744308373893</x:v>
      </x:c>
      <x:c r="D762" s="84" t="n">
        <x:f>C762^2-'Resumen'!$B$5^3/3</x:f>
        <x:v>-0.3156245291906382</x:v>
      </x:c>
      <x:c r="E762" s="85" t="n">
        <x:f>D762+'Resumen'!$B$5^3/3</x:f>
        <x:v>0.0177088041426951</x:v>
      </x:c>
    </x:row>
    <x:row r="763">
      <x:c r="A763" s="89" t="n">
        <x:v>761</x:v>
      </x:c>
      <x:c r="B763" s="80" t="n">
        <x:v>-0.25870744670112444</x:v>
      </x:c>
      <x:c r="C763" s="84" t="n">
        <x:f>SQRT('Resumen'!$B$5^3/3)*B763</x:f>
        <x:v>-0.14936481399425494</x:v>
      </x:c>
      <x:c r="D763" s="84" t="n">
        <x:f>C763^2-'Resumen'!$B$5^3/3</x:f>
        <x:v>-0.31102348567379495</x:v>
      </x:c>
      <x:c r="E763" s="85" t="n">
        <x:f>D763+'Resumen'!$B$5^3/3</x:f>
        <x:v>0.022309847659538362</x:v>
      </x:c>
    </x:row>
    <x:row r="764">
      <x:c r="A764" s="89" t="n">
        <x:v>762</x:v>
      </x:c>
      <x:c r="B764" s="80" t="n">
        <x:v>0.2747113859386983</x:v>
      </x:c>
      <x:c r="C764" s="84" t="n">
        <x:f>SQRT('Resumen'!$B$5^3/3)*B764</x:f>
        <x:v>0.15860469262116264</x:v>
      </x:c>
      <x:c r="D764" s="84" t="n">
        <x:f>C764^2-'Resumen'!$B$5^3/3</x:f>
        <x:v>-0.30817788481187985</x:v>
      </x:c>
      <x:c r="E764" s="85" t="n">
        <x:f>D764+'Resumen'!$B$5^3/3</x:f>
        <x:v>0.02515544852145346</x:v>
      </x:c>
    </x:row>
    <x:row r="765">
      <x:c r="A765" s="89" t="n">
        <x:v>763</x:v>
      </x:c>
      <x:c r="B765" s="80" t="n">
        <x:v>-0.6193095985174139</x:v>
      </x:c>
      <x:c r="C765" s="84" t="n">
        <x:f>SQRT('Resumen'!$B$5^3/3)*B765</x:f>
        <x:v>-0.35755856341574793</x:v>
      </x:c>
      <x:c r="D765" s="84" t="n">
        <x:f>C765^2-'Resumen'!$B$5^3/3</x:f>
        <x:v>-0.2054852070613999</x:v>
      </x:c>
      <x:c r="E765" s="85" t="n">
        <x:f>D765+'Resumen'!$B$5^3/3</x:f>
        <x:v>0.12784812627193343</x:v>
      </x:c>
    </x:row>
    <x:row r="766">
      <x:c r="A766" s="89" t="n">
        <x:v>764</x:v>
      </x:c>
      <x:c r="B766" s="80" t="n">
        <x:v>0.25536842580540997</x:v>
      </x:c>
      <x:c r="C766" s="84" t="n">
        <x:f>SQRT('Resumen'!$B$5^3/3)*B766</x:f>
        <x:v>0.14743702938128442</x:v>
      </x:c>
      <x:c r="D766" s="84" t="n">
        <x:f>C766^2-'Resumen'!$B$5^3/3</x:f>
        <x:v>-0.3115956557005556</x:v>
      </x:c>
      <x:c r="E766" s="85" t="n">
        <x:f>D766+'Resumen'!$B$5^3/3</x:f>
        <x:v>0.02173767763277773</x:v>
      </x:c>
    </x:row>
    <x:row r="767">
      <x:c r="A767" s="89" t="n">
        <x:v>765</x:v>
      </x:c>
      <x:c r="B767" s="80" t="n">
        <x:v>0.14903270934210258</x:v>
      </x:c>
      <x:c r="C767" s="84" t="n">
        <x:f>SQRT('Resumen'!$B$5^3/3)*B767</x:f>
        <x:v>0.08604407485672218</x:v>
      </x:c>
      <x:c r="D767" s="84" t="n">
        <x:f>C767^2-'Resumen'!$B$5^3/3</x:f>
        <x:v>-0.3259297505153841</x:v>
      </x:c>
      <x:c r="E767" s="85" t="n">
        <x:f>D767+'Resumen'!$B$5^3/3</x:f>
        <x:v>0.007403582817949228</x:v>
      </x:c>
    </x:row>
    <x:row r="768">
      <x:c r="A768" s="89" t="n">
        <x:v>766</x:v>
      </x:c>
      <x:c r="B768" s="80" t="n">
        <x:v>0.11669650623065574</x:v>
      </x:c>
      <x:c r="C768" s="84" t="n">
        <x:f>SQRT('Resumen'!$B$5^3/3)*B768</x:f>
        <x:v>0.06737475928575792</x:v>
      </x:c>
      <x:c r="D768" s="84" t="n">
        <x:f>C768^2-'Resumen'!$B$5^3/3</x:f>
        <x:v>-0.32879397514451947</x:v>
      </x:c>
      <x:c r="E768" s="85" t="n">
        <x:f>D768+'Resumen'!$B$5^3/3</x:f>
        <x:v>0.004539358188813847</x:v>
      </x:c>
    </x:row>
    <x:row r="769">
      <x:c r="A769" s="89" t="n">
        <x:v>767</x:v>
      </x:c>
      <x:c r="B769" s="80" t="n">
        <x:v>-0.5833182789217627</x:v>
      </x:c>
      <x:c r="C769" s="84" t="n">
        <x:f>SQRT('Resumen'!$B$5^3/3)*B769</x:f>
        <x:v>-0.3367789653587089</x:v>
      </x:c>
      <x:c r="D769" s="84" t="n">
        <x:f>C769^2-'Resumen'!$B$5^3/3</x:f>
        <x:v>-0.2199132618252509</x:v>
      </x:c>
      <x:c r="E769" s="85" t="n">
        <x:f>D769+'Resumen'!$B$5^3/3</x:f>
        <x:v>0.11342007150808242</x:v>
      </x:c>
    </x:row>
    <x:row r="770">
      <x:c r="A770" s="89" t="n">
        <x:v>768</x:v>
      </x:c>
      <x:c r="B770" s="80" t="n">
        <x:v>-1.053756175666454</x:v>
      </x:c>
      <x:c r="C770" s="84" t="n">
        <x:f>SQRT('Resumen'!$B$5^3/3)*B770</x:f>
        <x:v>-0.6083864116812577</x:v>
      </x:c>
      <x:c r="D770" s="84" t="n">
        <x:f>C770^2-'Resumen'!$B$5^3/3</x:f>
        <x:v>0.03680069258506352</x:v>
      </x:c>
      <x:c r="E770" s="85" t="n">
        <x:f>D770+'Resumen'!$B$5^3/3</x:f>
        <x:v>0.37013402591839684</x:v>
      </x:c>
    </x:row>
    <x:row r="771">
      <x:c r="A771" s="89" t="n">
        <x:v>769</x:v>
      </x:c>
      <x:c r="B771" s="80" t="n">
        <x:v>-0.2965709852105448</x:v>
      </x:c>
      <x:c r="C771" s="84" t="n">
        <x:f>SQRT('Resumen'!$B$5^3/3)*B771</x:f>
        <x:v>-0.17122533814514057</x:v>
      </x:c>
      <x:c r="D771" s="84" t="n">
        <x:f>C771^2-'Resumen'!$B$5^3/3</x:f>
        <x:v>-0.3040152169104156</x:v>
      </x:c>
      <x:c r="E771" s="85" t="n">
        <x:f>D771+'Resumen'!$B$5^3/3</x:f>
        <x:v>0.029318116422917706</x:v>
      </x:c>
    </x:row>
    <x:row r="772">
      <x:c r="A772" s="89" t="n">
        <x:v>770</x:v>
      </x:c>
      <x:c r="B772" s="80" t="n">
        <x:v>0.6829135392066639</x:v>
      </x:c>
      <x:c r="C772" s="84" t="n">
        <x:f>SQRT('Resumen'!$B$5^3/3)*B772</x:f>
        <x:v>0.3942803156942074</x:v>
      </x:c>
      <x:c r="D772" s="84" t="n">
        <x:f>C772^2-'Resumen'!$B$5^3/3</x:f>
        <x:v>-0.17787636598940945</x:v>
      </x:c>
      <x:c r="E772" s="85" t="n">
        <x:f>D772+'Resumen'!$B$5^3/3</x:f>
        <x:v>0.15545696734392386</x:v>
      </x:c>
    </x:row>
    <x:row r="773">
      <x:c r="A773" s="89" t="n">
        <x:v>771</x:v>
      </x:c>
      <x:c r="B773" s="80" t="n">
        <x:v>1.4810810538837427</x:v>
      </x:c>
      <x:c r="C773" s="84" t="n">
        <x:f>SQRT('Resumen'!$B$5^3/3)*B773</x:f>
        <x:v>0.8551025451514334</x:v>
      </x:c>
      <x:c r="D773" s="84" t="n">
        <x:f>C773^2-'Resumen'!$B$5^3/3</x:f>
        <x:v>0.3978670293911258</x:v>
      </x:c>
      <x:c r="E773" s="85" t="n">
        <x:f>D773+'Resumen'!$B$5^3/3</x:f>
        <x:v>0.7312003627244591</x:v>
      </x:c>
    </x:row>
    <x:row r="774">
      <x:c r="A774" s="89" t="n">
        <x:v>772</x:v>
      </x:c>
      <x:c r="B774" s="80" t="n">
        <x:v>2.078330365249125</x:v>
      </x:c>
      <x:c r="C774" s="84" t="n">
        <x:f>SQRT('Resumen'!$B$5^3/3)*B774</x:f>
        <x:v>1.1999245958415554</x:v>
      </x:c>
      <x:c r="D774" s="84" t="n">
        <x:f>C774^2-'Resumen'!$B$5^3/3</x:f>
        <x:v>1.1064857023721868</x:v>
      </x:c>
      <x:c r="E774" s="85" t="n">
        <x:f>D774+'Resumen'!$B$5^3/3</x:f>
        <x:v>1.43981903570552</x:v>
      </x:c>
    </x:row>
    <x:row r="775">
      <x:c r="A775" s="89" t="n">
        <x:v>773</x:v>
      </x:c>
      <x:c r="B775" s="80" t="n">
        <x:v>-1.6102441688001232</x:v>
      </x:c>
      <x:c r="C775" s="84" t="n">
        <x:f>SQRT('Resumen'!$B$5^3/3)*B775</x:f>
        <x:v>-0.9296749043177763</x:v>
      </x:c>
      <x:c r="D775" s="84" t="n">
        <x:f>C775^2-'Resumen'!$B$5^3/3</x:f>
        <x:v>0.5309620943849334</x:v>
      </x:c>
      <x:c r="E775" s="85" t="n">
        <x:f>D775+'Resumen'!$B$5^3/3</x:f>
        <x:v>0.8642954277182666</x:v>
      </x:c>
    </x:row>
    <x:row r="776">
      <x:c r="A776" s="89" t="n">
        <x:v>774</x:v>
      </x:c>
      <x:c r="B776" s="80" t="n">
        <x:v>-0.4891865557343479</x:v>
      </x:c>
      <x:c r="C776" s="84" t="n">
        <x:f>SQRT('Resumen'!$B$5^3/3)*B776</x:f>
        <x:v>-0.2824319896371716</x:v>
      </x:c>
      <x:c r="D776" s="84" t="n">
        <x:f>C776^2-'Resumen'!$B$5^3/3</x:f>
        <x:v>-0.25356550456292193</x:v>
      </x:c>
      <x:c r="E776" s="85" t="n">
        <x:f>D776+'Resumen'!$B$5^3/3</x:f>
        <x:v>0.07976782877041139</x:v>
      </x:c>
    </x:row>
    <x:row r="777">
      <x:c r="A777" s="89" t="n">
        <x:v>775</x:v>
      </x:c>
      <x:c r="B777" s="80" t="n">
        <x:v>0.1579648640366376</x:v>
      </x:c>
      <x:c r="C777" s="84" t="n">
        <x:f>SQRT('Resumen'!$B$5^3/3)*B777</x:f>
        <x:v>0.09120105677405534</x:v>
      </x:c>
      <x:c r="D777" s="84" t="n">
        <x:f>C777^2-'Resumen'!$B$5^3/3</x:f>
        <x:v>-0.3250157005766289</x:v>
      </x:c>
      <x:c r="E777" s="85" t="n">
        <x:f>D777+'Resumen'!$B$5^3/3</x:f>
        <x:v>0.00831763275670444</x:v>
      </x:c>
    </x:row>
    <x:row r="778">
      <x:c r="A778" s="89" t="n">
        <x:v>776</x:v>
      </x:c>
      <x:c r="B778" s="80" t="n">
        <x:v>-1.0402576721274641</x:v>
      </x:c>
      <x:c r="C778" s="84" t="n">
        <x:f>SQRT('Resumen'!$B$5^3/3)*B778</x:f>
        <x:v>-0.6005930470293648</x:v>
      </x:c>
      <x:c r="D778" s="84" t="n">
        <x:f>C778^2-'Resumen'!$B$5^3/3</x:f>
        <x:v>0.027378674806683434</x:v>
      </x:c>
      <x:c r="E778" s="85" t="n">
        <x:f>D778+'Resumen'!$B$5^3/3</x:f>
        <x:v>0.36071200814001675</x:v>
      </x:c>
    </x:row>
    <x:row r="779">
      <x:c r="A779" s="89" t="n">
        <x:v>777</x:v>
      </x:c>
      <x:c r="B779" s="80" t="n">
        <x:v>1.083989405616155</x:v>
      </x:c>
      <x:c r="C779" s="84" t="n">
        <x:f>SQRT('Resumen'!$B$5^3/3)*B779</x:f>
        <x:v>0.6258415751311894</x:v>
      </x:c>
      <x:c r="D779" s="84" t="n">
        <x:f>C779^2-'Resumen'!$B$5^3/3</x:f>
        <x:v>0.05834434382935494</x:v>
      </x:c>
      <x:c r="E779" s="85" t="n">
        <x:f>D779+'Resumen'!$B$5^3/3</x:f>
        <x:v>0.39167767716268825</x:v>
      </x:c>
    </x:row>
    <x:row r="780">
      <x:c r="A780" s="89" t="n">
        <x:v>778</x:v>
      </x:c>
      <x:c r="B780" s="80" t="n">
        <x:v>0.34076629330329933</x:v>
      </x:c>
      <x:c r="C780" s="84" t="n">
        <x:f>SQRT('Resumen'!$B$5^3/3)*B780</x:f>
        <x:v>0.19674151116941083</x:v>
      </x:c>
      <x:c r="D780" s="84" t="n">
        <x:f>C780^2-'Resumen'!$B$5^3/3</x:f>
        <x:v>-0.2946261111161099</x:v>
      </x:c>
      <x:c r="E780" s="85" t="n">
        <x:f>D780+'Resumen'!$B$5^3/3</x:f>
        <x:v>0.03870722221722339</x:v>
      </x:c>
    </x:row>
    <x:row r="781">
      <x:c r="A781" s="89" t="n">
        <x:v>779</x:v>
      </x:c>
      <x:c r="B781" s="80" t="n">
        <x:v>-0.08834548211698325</x:v>
      </x:c>
      <x:c r="C781" s="84" t="n">
        <x:f>SQRT('Resumen'!$B$5^3/3)*B781</x:f>
        <x:v>-0.05100628788192754</x:v>
      </x:c>
      <x:c r="D781" s="84" t="n">
        <x:f>C781^2-'Resumen'!$B$5^3/3</x:f>
        <x:v>-0.33073169192983926</x:v>
      </x:c>
      <x:c r="E781" s="85" t="n">
        <x:f>D781+'Resumen'!$B$5^3/3</x:f>
        <x:v>0.0026016414034940594</x:v>
      </x:c>
    </x:row>
    <x:row r="782">
      <x:c r="A782" s="89" t="n">
        <x:v>780</x:v>
      </x:c>
      <x:c r="B782" s="80" t="n">
        <x:v>0.3979207232846691</x:v>
      </x:c>
      <x:c r="C782" s="84" t="n">
        <x:f>SQRT('Resumen'!$B$5^3/3)*B782</x:f>
        <x:v>0.2297396367045343</x:v>
      </x:c>
      <x:c r="D782" s="84" t="n">
        <x:f>C782^2-'Resumen'!$B$5^3/3</x:f>
        <x:v>-0.28055303266020193</x:v>
      </x:c>
      <x:c r="E782" s="85" t="n">
        <x:f>D782+'Resumen'!$B$5^3/3</x:f>
        <x:v>0.052780300673131386</x:v>
      </x:c>
    </x:row>
    <x:row r="783">
      <x:c r="A783" s="89" t="n">
        <x:v>781</x:v>
      </x:c>
      <x:c r="B783" s="80" t="n">
        <x:v>-1.2125832030964274</x:v>
      </x:c>
      <x:c r="C783" s="84" t="n">
        <x:f>SQRT('Resumen'!$B$5^3/3)*B783</x:f>
        <x:v>-0.700085238722541</x:v>
      </x:c>
      <x:c r="D783" s="84" t="n">
        <x:f>C783^2-'Resumen'!$B$5^3/3</x:f>
        <x:v>0.15678600814386395</x:v>
      </x:c>
      <x:c r="E783" s="85" t="n">
        <x:f>D783+'Resumen'!$B$5^3/3</x:f>
        <x:v>0.49011934147719727</x:v>
      </x:c>
    </x:row>
    <x:row r="784">
      <x:c r="A784" s="89" t="n">
        <x:v>782</x:v>
      </x:c>
      <x:c r="B784" s="80" t="n">
        <x:v>0.6593445984486659</x:v>
      </x:c>
      <x:c r="C784" s="84" t="n">
        <x:f>SQRT('Resumen'!$B$5^3/3)*B784</x:f>
        <x:v>0.38067278140306293</x:v>
      </x:c>
      <x:c r="D784" s="84" t="n">
        <x:f>C784^2-'Resumen'!$B$5^3/3</x:f>
        <x:v>-0.1884215668321892</x:v>
      </x:c>
      <x:c r="E784" s="85" t="n">
        <x:f>D784+'Resumen'!$B$5^3/3</x:f>
        <x:v>0.14491176650114412</x:v>
      </x:c>
    </x:row>
    <x:row r="785">
      <x:c r="A785" s="89" t="n">
        <x:v>783</x:v>
      </x:c>
      <x:c r="B785" s="80" t="n">
        <x:v>0.13894464806724072</x:v>
      </x:c>
      <x:c r="C785" s="84" t="n">
        <x:f>SQRT('Resumen'!$B$5^3/3)*B785</x:f>
        <x:v>0.08021972996407924</x:v>
      </x:c>
      <x:c r="D785" s="84" t="n">
        <x:f>C785^2-'Resumen'!$B$5^3/3</x:f>
        <x:v>-0.3268981282578235</x:v>
      </x:c>
      <x:c r="E785" s="85" t="n">
        <x:f>D785+'Resumen'!$B$5^3/3</x:f>
        <x:v>0.00643520507550982</x:v>
      </x:c>
    </x:row>
    <x:row r="786">
      <x:c r="A786" s="89" t="n">
        <x:v>784</x:v>
      </x:c>
      <x:c r="B786" s="80" t="n">
        <x:v>0.7472786343162814</x:v>
      </x:c>
      <x:c r="C786" s="84" t="n">
        <x:f>SQRT('Resumen'!$B$5^3/3)*B786</x:f>
        <x:v>0.43144152068216096</x:v>
      </x:c>
      <x:c r="D786" s="84" t="n">
        <x:f>C786^2-'Resumen'!$B$5^3/3</x:f>
        <x:v>-0.1471915475647978</x:v>
      </x:c>
      <x:c r="E786" s="85" t="n">
        <x:f>D786+'Resumen'!$B$5^3/3</x:f>
        <x:v>0.18614178576853552</x:v>
      </x:c>
    </x:row>
    <x:row r="787">
      <x:c r="A787" s="89" t="n">
        <x:v>785</x:v>
      </x:c>
      <x:c r="B787" s="80" t="n">
        <x:v>-1.1988811765753158</x:v>
      </x:c>
      <x:c r="C787" s="84" t="n">
        <x:f>SQRT('Resumen'!$B$5^3/3)*B787</x:f>
        <x:v>-0.6921743700221338</x:v>
      </x:c>
      <x:c r="D787" s="84" t="n">
        <x:f>C787^2-'Resumen'!$B$5^3/3</x:f>
        <x:v>0.14577202518220445</x:v>
      </x:c>
      <x:c r="E787" s="85" t="n">
        <x:f>D787+'Resumen'!$B$5^3/3</x:f>
        <x:v>0.47910535851553776</x:v>
      </x:c>
    </x:row>
    <x:row r="788">
      <x:c r="A788" s="89" t="n">
        <x:v>786</x:v>
      </x:c>
      <x:c r="B788" s="80" t="n">
        <x:v>1.7430550412497512</x:v>
      </x:c>
      <x:c r="C788" s="84" t="n">
        <x:f>SQRT('Resumen'!$B$5^3/3)*B788</x:f>
        <x:v>1.006353297277878</x:v>
      </x:c>
      <x:c r="D788" s="84" t="n">
        <x:f>C788^2-'Resumen'!$B$5^3/3</x:f>
        <x:v>0.6794136256087238</x:v>
      </x:c>
      <x:c r="E788" s="85" t="n">
        <x:f>D788+'Resumen'!$B$5^3/3</x:f>
        <x:v>1.012746958942057</x:v>
      </x:c>
    </x:row>
    <x:row r="789">
      <x:c r="A789" s="89" t="n">
        <x:v>787</x:v>
      </x:c>
      <x:c r="B789" s="80" t="n">
        <x:v>0.15493791327531245</x:v>
      </x:c>
      <x:c r="C789" s="84" t="n">
        <x:f>SQRT('Resumen'!$B$5^3/3)*B789</x:f>
        <x:v>0.08945344593718053</x:v>
      </x:c>
      <x:c r="D789" s="84" t="n">
        <x:f>C789^2-'Resumen'!$B$5^3/3</x:f>
        <x:v>-0.3253314143432972</x:v>
      </x:c>
      <x:c r="E789" s="85" t="n">
        <x:f>D789+'Resumen'!$B$5^3/3</x:f>
        <x:v>0.008001918990036105</x:v>
      </x:c>
    </x:row>
    <x:row r="790">
      <x:c r="A790" s="89" t="n">
        <x:v>788</x:v>
      </x:c>
      <x:c r="B790" s="80" t="n">
        <x:v>0.7348982770417063</x:v>
      </x:c>
      <x:c r="C790" s="84" t="n">
        <x:f>SQRT('Resumen'!$B$5^3/3)*B790</x:f>
        <x:v>0.42429371807702126</x:v>
      </x:c>
      <x:c r="D790" s="84" t="n">
        <x:f>C790^2-'Resumen'!$B$5^3/3</x:f>
        <x:v>-0.1533081741337105</x:v>
      </x:c>
      <x:c r="E790" s="85" t="n">
        <x:f>D790+'Resumen'!$B$5^3/3</x:f>
        <x:v>0.1800251591996228</x:v>
      </x:c>
    </x:row>
    <x:row r="791">
      <x:c r="A791" s="89" t="n">
        <x:v>789</x:v>
      </x:c>
      <x:c r="B791" s="80" t="n">
        <x:v>0.4023228228411594</x:v>
      </x:c>
      <x:c r="C791" s="84" t="n">
        <x:f>SQRT('Resumen'!$B$5^3/3)*B791</x:f>
        <x:v>0.23228119006847348</x:v>
      </x:c>
      <x:c r="D791" s="84" t="n">
        <x:f>C791^2-'Resumen'!$B$5^3/3</x:f>
        <x:v>-0.27937878207370703</x:v>
      </x:c>
      <x:c r="E791" s="85" t="n">
        <x:f>D791+'Resumen'!$B$5^3/3</x:f>
        <x:v>0.05395455125962628</x:v>
      </x:c>
    </x:row>
    <x:row r="792">
      <x:c r="A792" s="89" t="n">
        <x:v>790</x:v>
      </x:c>
      <x:c r="B792" s="80" t="n">
        <x:v>0.5140726333170882</x:v>
      </x:c>
      <x:c r="C792" s="84" t="n">
        <x:f>SQRT('Resumen'!$B$5^3/3)*B792</x:f>
        <x:v>0.2967999732286406</x:v>
      </x:c>
      <x:c r="D792" s="84" t="n">
        <x:f>C792^2-'Resumen'!$B$5^3/3</x:f>
        <x:v>-0.24524310922481152</x:v>
      </x:c>
      <x:c r="E792" s="85" t="n">
        <x:f>D792+'Resumen'!$B$5^3/3</x:f>
        <x:v>0.0880902241085218</x:v>
      </x:c>
    </x:row>
    <x:row r="793">
      <x:c r="A793" s="89" t="n">
        <x:v>791</x:v>
      </x:c>
      <x:c r="B793" s="80" t="n">
        <x:v>-0.020726897634919736</x:v>
      </x:c>
      <x:c r="C793" s="84" t="n">
        <x:f>SQRT('Resumen'!$B$5^3/3)*B793</x:f>
        <x:v>-0.011966679928986727</x:v>
      </x:c>
      <x:c r="D793" s="84" t="n">
        <x:f>C793^2-'Resumen'!$B$5^3/3</x:f>
        <x:v>-0.3331901319048105</x:v>
      </x:c>
      <x:c r="E793" s="85" t="n">
        <x:f>D793+'Resumen'!$B$5^3/3</x:f>
        <x:v>0.00014320142852281004</x:v>
      </x:c>
    </x:row>
    <x:row r="794">
      <x:c r="A794" s="89" t="n">
        <x:v>792</x:v>
      </x:c>
      <x:c r="B794" s="80" t="n">
        <x:v>2.552001626910961</x:v>
      </x:c>
      <x:c r="C794" s="84" t="n">
        <x:f>SQRT('Resumen'!$B$5^3/3)*B794</x:f>
        <x:v>1.4733988262694062</x:v>
      </x:c>
      <x:c r="D794" s="84" t="n">
        <x:f>C794^2-'Resumen'!$B$5^3/3</x:f>
        <x:v>1.8375707679187305</x:v>
      </x:c>
      <x:c r="E794" s="85" t="n">
        <x:f>D794+'Resumen'!$B$5^3/3</x:f>
        <x:v>2.170904101252064</x:v>
      </x:c>
    </x:row>
    <x:row r="795">
      <x:c r="A795" s="89" t="n">
        <x:v>793</x:v>
      </x:c>
      <x:c r="B795" s="80" t="n">
        <x:v>-0.6958413256176327</x:v>
      </x:c>
      <x:c r="C795" s="84" t="n">
        <x:f>SQRT('Resumen'!$B$5^3/3)*B795</x:f>
        <x:v>-0.40174417665860623</x:v>
      </x:c>
      <x:c r="D795" s="84" t="n">
        <x:f>C795^2-'Resumen'!$B$5^3/3</x:f>
        <x:v>-0.1719349498542319</x:v>
      </x:c>
      <x:c r="E795" s="85" t="n">
        <x:f>D795+'Resumen'!$B$5^3/3</x:f>
        <x:v>0.1613983834791014</x:v>
      </x:c>
    </x:row>
    <x:row r="796">
      <x:c r="A796" s="89" t="n">
        <x:v>794</x:v>
      </x:c>
      <x:c r="B796" s="80" t="n">
        <x:v>-0.11593164124226432</x:v>
      </x:c>
      <x:c r="C796" s="84" t="n">
        <x:f>SQRT('Resumen'!$B$5^3/3)*B796</x:f>
        <x:v>-0.06693316427881642</x:v>
      </x:c>
      <x:c r="D796" s="84" t="n">
        <x:f>C796^2-'Resumen'!$B$5^3/3</x:f>
        <x:v>-0.3288532848529583</x:v>
      </x:c>
      <x:c r="E796" s="85" t="n">
        <x:f>D796+'Resumen'!$B$5^3/3</x:f>
        <x:v>0.004480048480375032</x:v>
      </x:c>
    </x:row>
    <x:row r="797">
      <x:c r="A797" s="89" t="n">
        <x:v>795</x:v>
      </x:c>
      <x:c r="B797" s="80" t="n">
        <x:v>-1.8216059316822166</x:v>
      </x:c>
      <x:c r="C797" s="84" t="n">
        <x:f>SQRT('Resumen'!$B$5^3/3)*B797</x:f>
        <x:v>-1.0517046750141468</x:v>
      </x:c>
      <x:c r="D797" s="84" t="n">
        <x:f>C797^2-'Resumen'!$B$5^3/3</x:f>
        <x:v>0.7727493901132789</x:v>
      </x:c>
      <x:c r="E797" s="85" t="n">
        <x:f>D797+'Resumen'!$B$5^3/3</x:f>
        <x:v>1.1060827234466122</x:v>
      </x:c>
    </x:row>
    <x:row r="798">
      <x:c r="A798" s="89" t="n">
        <x:v>796</x:v>
      </x:c>
      <x:c r="B798" s="80" t="n">
        <x:v>-0.44629701386129794</x:v>
      </x:c>
      <x:c r="C798" s="84" t="n">
        <x:f>SQRT('Resumen'!$B$5^3/3)*B798</x:f>
        <x:v>-0.2576697010913465</x:v>
      </x:c>
      <x:c r="D798" s="84" t="n">
        <x:f>C798^2-'Resumen'!$B$5^3/3</x:f>
        <x:v>-0.26693965847282947</x:v>
      </x:c>
      <x:c r="E798" s="85" t="n">
        <x:f>D798+'Resumen'!$B$5^3/3</x:f>
        <x:v>0.06639367486050385</x:v>
      </x:c>
    </x:row>
    <x:row r="799">
      <x:c r="A799" s="89" t="n">
        <x:v>797</x:v>
      </x:c>
      <x:c r="B799" s="80" t="n">
        <x:v>1.0920440660434285</x:v>
      </x:c>
      <x:c r="C799" s="84" t="n">
        <x:f>SQRT('Resumen'!$B$5^3/3)*B799</x:f>
        <x:v>0.6304919354971069</x:v>
      </x:c>
      <x:c r="D799" s="84" t="n">
        <x:f>C799^2-'Resumen'!$B$5^3/3</x:f>
        <x:v>0.06418674739355473</x:v>
      </x:c>
      <x:c r="E799" s="85" t="n">
        <x:f>D799+'Resumen'!$B$5^3/3</x:f>
        <x:v>0.39752008072688805</x:v>
      </x:c>
    </x:row>
    <x:row r="800">
      <x:c r="A800" s="89" t="n">
        <x:v>798</x:v>
      </x:c>
      <x:c r="B800" s="80" t="n">
        <x:v>-1.4987725956465001</x:v>
      </x:c>
      <x:c r="C800" s="84" t="n">
        <x:f>SQRT('Resumen'!$B$5^3/3)*B800</x:f>
        <x:v>-0.8653167615505409</x:v>
      </x:c>
      <x:c r="D800" s="84" t="n">
        <x:f>C800^2-'Resumen'!$B$5^3/3</x:f>
        <x:v>0.41543976448698244</x:v>
      </x:c>
      <x:c r="E800" s="85" t="n">
        <x:f>D800+'Resumen'!$B$5^3/3</x:f>
        <x:v>0.7487730978203158</x:v>
      </x:c>
    </x:row>
    <x:row r="801">
      <x:c r="A801" s="89" t="n">
        <x:v>799</x:v>
      </x:c>
      <x:c r="B801" s="80" t="n">
        <x:v>0.9081867614594268</x:v>
      </x:c>
      <x:c r="C801" s="84" t="n">
        <x:f>SQRT('Resumen'!$B$5^3/3)*B801</x:f>
        <x:v>0.5243418712030544</x:v>
      </x:c>
      <x:c r="D801" s="84" t="n">
        <x:f>C801^2-'Resumen'!$B$5^3/3</x:f>
        <x:v>-0.05839893543661279</x:v>
      </x:c>
      <x:c r="E801" s="85" t="n">
        <x:f>D801+'Resumen'!$B$5^3/3</x:f>
        <x:v>0.27493439789672053</x:v>
      </x:c>
    </x:row>
    <x:row r="802">
      <x:c r="A802" s="89" t="n">
        <x:v>800</x:v>
      </x:c>
      <x:c r="B802" s="80" t="n">
        <x:v>-0.1952969864478625</x:v>
      </x:c>
      <x:c r="C802" s="84" t="n">
        <x:f>SQRT('Resumen'!$B$5^3/3)*B802</x:f>
        <x:v>-0.1127547676975961</x:v>
      </x:c>
      <x:c r="D802" s="84" t="n">
        <x:f>C802^2-'Resumen'!$B$5^3/3</x:f>
        <x:v>-0.3206196956947944</x:v>
      </x:c>
      <x:c r="E802" s="85" t="n">
        <x:f>D802+'Resumen'!$B$5^3/3</x:f>
        <x:v>0.012713637638538888</x:v>
      </x:c>
    </x:row>
    <x:row r="803">
      <x:c r="A803" s="89" t="n">
        <x:v>801</x:v>
      </x:c>
      <x:c r="B803" s="80" t="n">
        <x:v>-1.8642453883924142</x:v>
      </x:c>
      <x:c r="C803" s="84" t="n">
        <x:f>SQRT('Resumen'!$B$5^3/3)*B803</x:f>
        <x:v>-1.0763225768238787</x:v>
      </x:c>
      <x:c r="D803" s="84" t="n">
        <x:f>C803^2-'Resumen'!$B$5^3/3</x:f>
        <x:v>0.8251369560474608</x:v>
      </x:c>
      <x:c r="E803" s="85" t="n">
        <x:f>D803+'Resumen'!$B$5^3/3</x:f>
        <x:v>1.158470289380794</x:v>
      </x:c>
    </x:row>
    <x:row r="804">
      <x:c r="A804" s="89" t="n">
        <x:v>802</x:v>
      </x:c>
      <x:c r="B804" s="80" t="n">
        <x:v>-1.4329967923816225</x:v>
      </x:c>
      <x:c r="C804" s="84" t="n">
        <x:f>SQRT('Resumen'!$B$5^3/3)*B804</x:f>
        <x:v>-0.8273410838294</x:v>
      </x:c>
      <x:c r="D804" s="84" t="n">
        <x:f>C804^2-'Resumen'!$B$5^3/3</x:f>
        <x:v>0.35115993565867293</x:v>
      </x:c>
      <x:c r="E804" s="85" t="n">
        <x:f>D804+'Resumen'!$B$5^3/3</x:f>
        <x:v>0.6844932689920062</x:v>
      </x:c>
    </x:row>
    <x:row r="805">
      <x:c r="A805" s="89" t="n">
        <x:v>803</x:v>
      </x:c>
      <x:c r="B805" s="80" t="n">
        <x:v>-0.11829582345911635</x:v>
      </x:c>
      <x:c r="C805" s="84" t="n">
        <x:f>SQRT('Resumen'!$B$5^3/3)*B805</x:f>
        <x:v>-0.06829812551812926</x:v>
      </x:c>
      <x:c r="D805" s="84" t="n">
        <x:f>C805^2-'Resumen'!$B$5^3/3</x:f>
        <x:v>-0.3286686993840432</x:v>
      </x:c>
      <x:c r="E805" s="85" t="n">
        <x:f>D805+'Resumen'!$B$5^3/3</x:f>
        <x:v>0.00466463394929012</x:v>
      </x:c>
    </x:row>
    <x:row r="806">
      <x:c r="A806" s="89" t="n">
        <x:v>804</x:v>
      </x:c>
      <x:c r="B806" s="80" t="n">
        <x:v>-0.27796190814260846</x:v>
      </x:c>
      <x:c r="C806" s="84" t="n">
        <x:f>SQRT('Resumen'!$B$5^3/3)*B806</x:f>
        <x:v>-0.160481382490597</x:v>
      </x:c>
      <x:c r="D806" s="84" t="n">
        <x:f>C806^2-'Resumen'!$B$5^3/3</x:f>
        <x:v>-0.30757905920724005</x:v>
      </x:c>
      <x:c r="E806" s="85" t="n">
        <x:f>D806+'Resumen'!$B$5^3/3</x:f>
        <x:v>0.02575427412609327</x:v>
      </x:c>
    </x:row>
    <x:row r="807">
      <x:c r="A807" s="89" t="n">
        <x:v>805</x:v>
      </x:c>
      <x:c r="B807" s="80" t="n">
        <x:v>0.5563866804192522</x:v>
      </x:c>
      <x:c r="C807" s="84" t="n">
        <x:f>SQRT('Resumen'!$B$5^3/3)*B807</x:f>
        <x:v>0.3212299997135775</x:v>
      </x:c>
      <x:c r="D807" s="84" t="n">
        <x:f>C807^2-'Resumen'!$B$5^3/3</x:f>
        <x:v>-0.2301446206173483</x:v>
      </x:c>
      <x:c r="E807" s="85" t="n">
        <x:f>D807+'Resumen'!$B$5^3/3</x:f>
        <x:v>0.10318871271598501</x:v>
      </x:c>
    </x:row>
    <x:row r="808">
      <x:c r="A808" s="89" t="n">
        <x:v>806</x:v>
      </x:c>
      <x:c r="B808" s="80" t="n">
        <x:v>-0.9119014234780563</x:v>
      </x:c>
      <x:c r="C808" s="84" t="n">
        <x:f>SQRT('Resumen'!$B$5^3/3)*B808</x:f>
        <x:v>-0.5264865323194586</x:v>
      </x:c>
      <x:c r="D808" s="84" t="n">
        <x:f>C808^2-'Resumen'!$B$5^3/3</x:f>
        <x:v>-0.05614526461956493</x:v>
      </x:c>
      <x:c r="E808" s="85" t="n">
        <x:f>D808+'Resumen'!$B$5^3/3</x:f>
        <x:v>0.2771880687137684</x:v>
      </x:c>
    </x:row>
    <x:row r="809">
      <x:c r="A809" s="89" t="n">
        <x:v>807</x:v>
      </x:c>
      <x:c r="B809" s="80" t="n">
        <x:v>-1.306238300747079</x:v>
      </x:c>
      <x:c r="C809" s="84" t="n">
        <x:f>SQRT('Resumen'!$B$5^3/3)*B809</x:f>
        <x:v>-0.7541570345621254</x:v>
      </x:c>
      <x:c r="D809" s="84" t="n">
        <x:f>C809^2-'Resumen'!$B$5^3/3</x:f>
        <x:v>0.23541949944620538</x:v>
      </x:c>
      <x:c r="E809" s="85" t="n">
        <x:f>D809+'Resumen'!$B$5^3/3</x:f>
        <x:v>0.5687528327795387</x:v>
      </x:c>
    </x:row>
    <x:row r="810">
      <x:c r="A810" s="89" t="n">
        <x:v>808</x:v>
      </x:c>
      <x:c r="B810" s="80" t="n">
        <x:v>0.6323581499793751</x:v>
      </x:c>
      <x:c r="C810" s="84" t="n">
        <x:f>SQRT('Resumen'!$B$5^3/3)*B810</x:f>
        <x:v>0.36509214811484597</x:v>
      </x:c>
      <x:c r="D810" s="84" t="n">
        <x:f>C810^2-'Resumen'!$B$5^3/3</x:f>
        <x:v>-0.20004105671822067</x:v>
      </x:c>
      <x:c r="E810" s="85" t="n">
        <x:f>D810+'Resumen'!$B$5^3/3</x:f>
        <x:v>0.13329227661511264</x:v>
      </x:c>
    </x:row>
    <x:row r="811">
      <x:c r="A811" s="89" t="n">
        <x:v>809</x:v>
      </x:c>
      <x:c r="B811" s="80" t="n">
        <x:v>-0.38520139407900394</x:v>
      </x:c>
      <x:c r="C811" s="84" t="n">
        <x:f>SQRT('Resumen'!$B$5^3/3)*B811</x:f>
        <x:v>-0.22239612856373203</x:v>
      </x:c>
      <x:c r="D811" s="84" t="n">
        <x:f>C811^2-'Resumen'!$B$5^3/3</x:f>
        <x:v>-0.2838732953331973</x:v>
      </x:c>
      <x:c r="E811" s="85" t="n">
        <x:f>D811+'Resumen'!$B$5^3/3</x:f>
        <x:v>0.04946003800013604</x:v>
      </x:c>
    </x:row>
    <x:row r="812">
      <x:c r="A812" s="89" t="n">
        <x:v>810</x:v>
      </x:c>
      <x:c r="B812" s="80" t="n">
        <x:v>-0.8028743130985357</x:v>
      </x:c>
      <x:c r="C812" s="84" t="n">
        <x:f>SQRT('Resumen'!$B$5^3/3)*B812</x:f>
        <x:v>-0.4635397007928755</x:v>
      </x:c>
      <x:c r="D812" s="84" t="n">
        <x:f>C812^2-'Resumen'!$B$5^3/3</x:f>
        <x:v>-0.1184642791221848</x:v>
      </x:c>
      <x:c r="E812" s="85" t="n">
        <x:f>D812+'Resumen'!$B$5^3/3</x:f>
        <x:v>0.21486905421114852</x:v>
      </x:c>
    </x:row>
    <x:row r="813">
      <x:c r="A813" s="89" t="n">
        <x:v>811</x:v>
      </x:c>
      <x:c r="B813" s="80" t="n">
        <x:v>-0.3185518616323165</x:v>
      </x:c>
      <x:c r="C813" s="84" t="n">
        <x:f>SQRT('Resumen'!$B$5^3/3)*B813</x:f>
        <x:v>-0.18391600306427436</x:v>
      </x:c>
      <x:c r="D813" s="84" t="n">
        <x:f>C813^2-'Resumen'!$B$5^3/3</x:f>
        <x:v>-0.29950823715019514</x:v>
      </x:c>
      <x:c r="E813" s="85" t="n">
        <x:f>D813+'Resumen'!$B$5^3/3</x:f>
        <x:v>0.03382509618313817</x:v>
      </x:c>
    </x:row>
    <x:row r="814">
      <x:c r="A814" s="89" t="n">
        <x:v>812</x:v>
      </x:c>
      <x:c r="B814" s="80" t="n">
        <x:v>0.4060575169813548</x:v>
      </x:c>
      <x:c r="C814" s="84" t="n">
        <x:f>SQRT('Resumen'!$B$5^3/3)*B814</x:f>
        <x:v>0.2344374167356562</x:v>
      </x:c>
      <x:c r="D814" s="84" t="n">
        <x:f>C814^2-'Resumen'!$B$5^3/3</x:f>
        <x:v>-0.2783724309676456</x:v>
      </x:c>
      <x:c r="E814" s="85" t="n">
        <x:f>D814+'Resumen'!$B$5^3/3</x:f>
        <x:v>0.054960902365687736</x:v>
      </x:c>
    </x:row>
    <x:row r="815">
      <x:c r="A815" s="89" t="n">
        <x:v>813</x:v>
      </x:c>
      <x:c r="B815" s="80" t="n">
        <x:v>-0.40214623916446374</x:v>
      </x:c>
      <x:c r="C815" s="84" t="n">
        <x:f>SQRT('Resumen'!$B$5^3/3)*B815</x:f>
        <x:v>-0.23217923943519875</x:v>
      </x:c>
      <x:c r="D815" s="84" t="n">
        <x:f>C815^2-'Resumen'!$B$5^3/3</x:f>
        <x:v>-0.279426134108626</x:v>
      </x:c>
      <x:c r="E815" s="85" t="n">
        <x:f>D815+'Resumen'!$B$5^3/3</x:f>
        <x:v>0.053907199224707325</x:v>
      </x:c>
    </x:row>
    <x:row r="816">
      <x:c r="A816" s="89" t="n">
        <x:v>814</x:v>
      </x:c>
      <x:c r="B816" s="80" t="n">
        <x:v>1.6459477848836</x:v>
      </x:c>
      <x:c r="C816" s="84" t="n">
        <x:f>SQRT('Resumen'!$B$5^3/3)*B816</x:f>
        <x:v>0.9502883966746146</x:v>
      </x:c>
      <x:c r="D816" s="84" t="n">
        <x:f>C816^2-'Resumen'!$B$5^3/3</x:f>
        <x:v>0.5697147035210763</x:v>
      </x:c>
      <x:c r="E816" s="85" t="n">
        <x:f>D816+'Resumen'!$B$5^3/3</x:f>
        <x:v>0.9030480368544096</x:v>
      </x:c>
    </x:row>
    <x:row r="817">
      <x:c r="A817" s="89" t="n">
        <x:v>815</x:v>
      </x:c>
      <x:c r="B817" s="80" t="n">
        <x:v>-1.3516938098465563</x:v>
      </x:c>
      <x:c r="C817" s="84" t="n">
        <x:f>SQRT('Resumen'!$B$5^3/3)*B817</x:f>
        <x:v>-0.78040078497686</x:v>
      </x:c>
      <x:c r="D817" s="84" t="n">
        <x:f>C817^2-'Resumen'!$B$5^3/3</x:f>
        <x:v>0.27569205185916607</x:v>
      </x:c>
      <x:c r="E817" s="85" t="n">
        <x:f>D817+'Resumen'!$B$5^3/3</x:f>
        <x:v>0.6090253851924994</x:v>
      </x:c>
    </x:row>
    <x:row r="818">
      <x:c r="A818" s="89" t="n">
        <x:v>816</x:v>
      </x:c>
      <x:c r="B818" s="80" t="n">
        <x:v>0.3584394085612933</x:v>
      </x:c>
      <x:c r="C818" s="84" t="n">
        <x:f>SQRT('Resumen'!$B$5^3/3)*B818</x:f>
        <x:v>0.20694508902103292</x:v>
      </x:c>
      <x:c r="D818" s="84" t="n">
        <x:f>C818^2-'Resumen'!$B$5^3/3</x:f>
        <x:v>-0.29050706346341004</x:v>
      </x:c>
      <x:c r="E818" s="85" t="n">
        <x:f>D818+'Resumen'!$B$5^3/3</x:f>
        <x:v>0.04282626986992327</x:v>
      </x:c>
    </x:row>
    <x:row r="819">
      <x:c r="A819" s="89" t="n">
        <x:v>817</x:v>
      </x:c>
      <x:c r="B819" s="80" t="n">
        <x:v>2.6159760692270546</x:v>
      </x:c>
      <x:c r="C819" s="84" t="n">
        <x:f>SQRT('Resumen'!$B$5^3/3)*B819</x:f>
        <x:v>1.510334487761859</x:v>
      </x:c>
      <x:c r="D819" s="84" t="n">
        <x:f>C819^2-'Resumen'!$B$5^3/3</x:f>
        <x:v>1.9477769315895437</x:v>
      </x:c>
      <x:c r="E819" s="85" t="n">
        <x:f>D819+'Resumen'!$B$5^3/3</x:f>
        <x:v>2.281110264922877</x:v>
      </x:c>
    </x:row>
    <x:row r="820">
      <x:c r="A820" s="89" t="n">
        <x:v>818</x:v>
      </x:c>
      <x:c r="B820" s="80" t="n">
        <x:v>-1.8865994489332445</x:v>
      </x:c>
      <x:c r="C820" s="84" t="n">
        <x:f>SQRT('Resumen'!$B$5^3/3)*B820</x:f>
        <x:v>-1.0892286996946083</x:v>
      </x:c>
      <x:c r="D820" s="84" t="n">
        <x:f>C820^2-'Resumen'!$B$5^3/3</x:f>
        <x:v>0.8530858269050741</x:v>
      </x:c>
      <x:c r="E820" s="85" t="n">
        <x:f>D820+'Resumen'!$B$5^3/3</x:f>
        <x:v>1.1864191602384073</x:v>
      </x:c>
    </x:row>
    <x:row r="821">
      <x:c r="A821" s="89" t="n">
        <x:v>819</x:v>
      </x:c>
      <x:c r="B821" s="80" t="n">
        <x:v>-1.3265900424860682</x:v>
      </x:c>
      <x:c r="C821" s="84" t="n">
        <x:f>SQRT('Resumen'!$B$5^3/3)*B821</x:f>
        <x:v>-0.7659071181336085</x:v>
      </x:c>
      <x:c r="D821" s="84" t="n">
        <x:f>C821^2-'Resumen'!$B$5^3/3</x:f>
        <x:v>0.253280380274396</x:v>
      </x:c>
      <x:c r="E821" s="85" t="n">
        <x:f>D821+'Resumen'!$B$5^3/3</x:f>
        <x:v>0.5866137136077293</x:v>
      </x:c>
    </x:row>
    <x:row r="822">
      <x:c r="A822" s="89" t="n">
        <x:v>820</x:v>
      </x:c>
      <x:c r="B822" s="80" t="n">
        <x:v>-0.4982051686117196</x:v>
      </x:c>
      <x:c r="C822" s="84" t="n">
        <x:f>SQRT('Resumen'!$B$5^3/3)*B822</x:f>
        <x:v>-0.2876388882096392</x:v>
      </x:c>
      <x:c r="D822" s="84" t="n">
        <x:f>C822^2-'Resumen'!$B$5^3/3</x:f>
        <x:v>-0.250597203322856</x:v>
      </x:c>
      <x:c r="E822" s="85" t="n">
        <x:f>D822+'Resumen'!$B$5^3/3</x:f>
        <x:v>0.0827361300104773</x:v>
      </x:c>
    </x:row>
    <x:row r="823">
      <x:c r="A823" s="89" t="n">
        <x:v>821</x:v>
      </x:c>
      <x:c r="B823" s="80" t="n">
        <x:v>0.07217917802742504</x:v>
      </x:c>
      <x:c r="C823" s="84" t="n">
        <x:f>SQRT('Resumen'!$B$5^3/3)*B823</x:f>
        <x:v>0.04167266786401977</x:v>
      </x:c>
      <x:c r="D823" s="84" t="n">
        <x:f>C823^2-'Resumen'!$B$5^3/3</x:f>
        <x:v>-0.33159672208642843</x:v>
      </x:c>
      <x:c r="E823" s="85" t="n">
        <x:f>D823+'Resumen'!$B$5^3/3</x:f>
        <x:v>0.0017366112469048844</x:v>
      </x:c>
    </x:row>
    <x:row r="824">
      <x:c r="A824" s="89" t="n">
        <x:v>822</x:v>
      </x:c>
      <x:c r="B824" s="80" t="n">
        <x:v>-2.944024686899276</x:v>
      </x:c>
      <x:c r="C824" s="84" t="n">
        <x:f>SQRT('Resumen'!$B$5^3/3)*B824</x:f>
        <x:v>-1.6997334454822006</x:v>
      </x:c>
      <x:c r="D824" s="84" t="n">
        <x:f>C824^2-'Resumen'!$B$5^3/3</x:f>
        <x:v>2.5557604523574597</x:v>
      </x:c>
      <x:c r="E824" s="85" t="n">
        <x:f>D824+'Resumen'!$B$5^3/3</x:f>
        <x:v>2.8890937856907932</x:v>
      </x:c>
    </x:row>
    <x:row r="825">
      <x:c r="A825" s="89" t="n">
        <x:v>823</x:v>
      </x:c>
      <x:c r="B825" s="80" t="n">
        <x:v>-0.24334282285307912</x:v>
      </x:c>
      <x:c r="C825" s="84" t="n">
        <x:f>SQRT('Resumen'!$B$5^3/3)*B825</x:f>
        <x:v>-0.14049404427958864</x:v>
      </x:c>
      <x:c r="D825" s="84" t="n">
        <x:f>C825^2-'Resumen'!$B$5^3/3</x:f>
        <x:v>-0.3135947568552983</x:v>
      </x:c>
      <x:c r="E825" s="85" t="n">
        <x:f>D825+'Resumen'!$B$5^3/3</x:f>
        <x:v>0.019738576478035008</x:v>
      </x:c>
    </x:row>
    <x:row r="826">
      <x:c r="A826" s="89" t="n">
        <x:v>824</x:v>
      </x:c>
      <x:c r="B826" s="80" t="n">
        <x:v>-0.08773484202783381</x:v>
      </x:c>
      <x:c r="C826" s="84" t="n">
        <x:f>SQRT('Resumen'!$B$5^3/3)*B826</x:f>
        <x:v>-0.05065373466207914</x:v>
      </x:c>
      <x:c r="D826" s="84" t="n">
        <x:f>C826^2-'Resumen'!$B$5^3/3</x:f>
        <x:v>-0.330767532498117</x:v>
      </x:c>
      <x:c r="E826" s="85" t="n">
        <x:f>D826+'Resumen'!$B$5^3/3</x:f>
        <x:v>0.002565800835216292</x:v>
      </x:c>
    </x:row>
    <x:row r="827">
      <x:c r="A827" s="89" t="n">
        <x:v>825</x:v>
      </x:c>
      <x:c r="B827" s="80" t="n">
        <x:v>-1.0984235044669077</x:v>
      </x:c>
      <x:c r="C827" s="84" t="n">
        <x:f>SQRT('Resumen'!$B$5^3/3)*B827</x:f>
        <x:v>-0.6341751059881813</x:v>
      </x:c>
      <x:c r="D827" s="84" t="n">
        <x:f>C827^2-'Resumen'!$B$5^3/3</x:f>
        <x:v>0.06884473172178762</x:v>
      </x:c>
      <x:c r="E827" s="85" t="n">
        <x:f>D827+'Resumen'!$B$5^3/3</x:f>
        <x:v>0.40217806505512094</x:v>
      </x:c>
    </x:row>
    <x:row r="828">
      <x:c r="A828" s="89" t="n">
        <x:v>826</x:v>
      </x:c>
      <x:c r="B828" s="80" t="n">
        <x:v>-0.20975062964995644</x:v>
      </x:c>
      <x:c r="C828" s="84" t="n">
        <x:f>SQRT('Resumen'!$B$5^3/3)*B828</x:f>
        <x:v>-0.12109958249109584</x:v>
      </x:c>
      <x:c r="D828" s="84" t="n">
        <x:f>C828^2-'Resumen'!$B$5^3/3</x:f>
        <x:v>-0.3186682244538156</x:v>
      </x:c>
      <x:c r="E828" s="85" t="n">
        <x:f>D828+'Resumen'!$B$5^3/3</x:f>
        <x:v>0.014665108879517719</x:v>
      </x:c>
    </x:row>
    <x:row r="829">
      <x:c r="A829" s="89" t="n">
        <x:v>827</x:v>
      </x:c>
      <x:c r="B829" s="80" t="n">
        <x:v>0.41867249770305237</x:v>
      </x:c>
      <x:c r="C829" s="84" t="n">
        <x:f>SQRT('Resumen'!$B$5^3/3)*B829</x:f>
        <x:v>0.24172067925115023</x:v>
      </x:c>
      <x:c r="D829" s="84" t="n">
        <x:f>C829^2-'Resumen'!$B$5^3/3</x:f>
        <x:v>-0.27490444655569585</x:v>
      </x:c>
      <x:c r="E829" s="85" t="n">
        <x:f>D829+'Resumen'!$B$5^3/3</x:f>
        <x:v>0.05842888677763747</x:v>
      </x:c>
    </x:row>
    <x:row r="830">
      <x:c r="A830" s="89" t="n">
        <x:v>828</x:v>
      </x:c>
      <x:c r="B830" s="80" t="n">
        <x:v>0.3496904808979155</x:v>
      </x:c>
      <x:c r="C830" s="84" t="n">
        <x:f>SQRT('Resumen'!$B$5^3/3)*B830</x:f>
        <x:v>0.2018938932794612</x:v>
      </x:c>
      <x:c r="D830" s="84" t="n">
        <x:f>C830^2-'Resumen'!$B$5^3/3</x:f>
        <x:v>-0.29257218918979483</x:v>
      </x:c>
      <x:c r="E830" s="85" t="n">
        <x:f>D830+'Resumen'!$B$5^3/3</x:f>
        <x:v>0.040761144143538486</x:v>
      </x:c>
    </x:row>
    <x:row r="831">
      <x:c r="A831" s="89" t="n">
        <x:v>829</x:v>
      </x:c>
      <x:c r="B831" s="80" t="n">
        <x:v>0.5224569116655617</x:v>
      </x:c>
      <x:c r="C831" s="84" t="n">
        <x:f>SQRT('Resumen'!$B$5^3/3)*B831</x:f>
        <x:v>0.3016406385900926</x:v>
      </x:c>
      <x:c r="D831" s="84" t="n">
        <x:f>C831^2-'Resumen'!$B$5^3/3</x:f>
        <x:v>-0.24234625848429445</x:v>
      </x:c>
      <x:c r="E831" s="85" t="n">
        <x:f>D831+'Resumen'!$B$5^3/3</x:f>
        <x:v>0.09098707484903887</x:v>
      </x:c>
    </x:row>
    <x:row r="832">
      <x:c r="A832" s="89" t="n">
        <x:v>830</x:v>
      </x:c>
      <x:c r="B832" s="80" t="n">
        <x:v>-0.2838068489562441</x:v>
      </x:c>
      <x:c r="C832" s="84" t="n">
        <x:f>SQRT('Resumen'!$B$5^3/3)*B832</x:f>
        <x:v>-0.16385596064274696</x:v>
      </x:c>
      <x:c r="D832" s="84" t="n">
        <x:f>C832^2-'Resumen'!$B$5^3/3</x:f>
        <x:v>-0.3064845574951759</x:v>
      </x:c>
      <x:c r="E832" s="85" t="n">
        <x:f>D832+'Resumen'!$B$5^3/3</x:f>
        <x:v>0.026848775838157424</x:v>
      </x:c>
    </x:row>
    <x:row r="833">
      <x:c r="A833" s="89" t="n">
        <x:v>831</x:v>
      </x:c>
      <x:c r="B833" s="80" t="n">
        <x:v>0.5960212093155581</x:v>
      </x:c>
      <x:c r="C833" s="84" t="n">
        <x:f>SQRT('Resumen'!$B$5^3/3)*B833</x:f>
        <x:v>0.34411300564106373</x:v>
      </x:c>
      <x:c r="D833" s="84" t="n">
        <x:f>C833^2-'Resumen'!$B$5^3/3</x:f>
        <x:v>-0.21491957268200657</x:v>
      </x:c>
      <x:c r="E833" s="85" t="n">
        <x:f>D833+'Resumen'!$B$5^3/3</x:f>
        <x:v>0.11841376065132675</x:v>
      </x:c>
    </x:row>
    <x:row r="834">
      <x:c r="A834" s="89" t="n">
        <x:v>832</x:v>
      </x:c>
      <x:c r="B834" s="80" t="n">
        <x:v>-0.7288441122083629</x:v>
      </x:c>
      <x:c r="C834" s="84" t="n">
        <x:f>SQRT('Resumen'!$B$5^3/3)*B834</x:f>
        <x:v>-0.42079834438077207</x:v>
      </x:c>
      <x:c r="D834" s="84" t="n">
        <x:f>C834^2-'Resumen'!$B$5^3/3</x:f>
        <x:v>-0.15626208669973446</x:v>
      </x:c>
      <x:c r="E834" s="85" t="n">
        <x:f>D834+'Resumen'!$B$5^3/3</x:f>
        <x:v>0.17707124663359886</x:v>
      </x:c>
    </x:row>
    <x:row r="835">
      <x:c r="A835" s="89" t="n">
        <x:v>833</x:v>
      </x:c>
      <x:c r="B835" s="80" t="n">
        <x:v>2.0646261717868004</x:v>
      </x:c>
      <x:c r="C835" s="84" t="n">
        <x:f>SQRT('Resumen'!$B$5^3/3)*B835</x:f>
        <x:v>1.1920124760570556</x:v>
      </x:c>
      <x:c r="D835" s="84" t="n">
        <x:f>C835^2-'Resumen'!$B$5^3/3</x:f>
        <x:v>1.0875604097423393</x:v>
      </x:c>
      <x:c r="E835" s="85" t="n">
        <x:f>D835+'Resumen'!$B$5^3/3</x:f>
        <x:v>1.4208937430756725</x:v>
      </x:c>
    </x:row>
    <x:row r="836">
      <x:c r="A836" s="89" t="n">
        <x:v>834</x:v>
      </x:c>
      <x:c r="B836" s="80" t="n">
        <x:v>0.5591266649819412</x:v>
      </x:c>
      <x:c r="C836" s="84" t="n">
        <x:f>SQRT('Resumen'!$B$5^3/3)*B836</x:f>
        <x:v>0.32281193053842144</x:v>
      </x:c>
      <x:c r="D836" s="84" t="n">
        <x:f>C836^2-'Resumen'!$B$5^3/3</x:f>
        <x:v>-0.2291257908353907</x:v>
      </x:c>
      <x:c r="E836" s="85" t="n">
        <x:f>D836+'Resumen'!$B$5^3/3</x:f>
        <x:v>0.10420754249794262</x:v>
      </x:c>
    </x:row>
    <x:row r="837">
      <x:c r="A837" s="89" t="n">
        <x:v>835</x:v>
      </x:c>
      <x:c r="B837" s="80" t="n">
        <x:v>-0.895560936295278</x:v>
      </x:c>
      <x:c r="C837" s="84" t="n">
        <x:f>SQRT('Resumen'!$B$5^3/3)*B837</x:f>
        <x:v>-0.517052347645792</x:v>
      </x:c>
      <x:c r="D837" s="84" t="n">
        <x:f>C837^2-'Resumen'!$B$5^3/3</x:f>
        <x:v>-0.06599020312730836</x:v>
      </x:c>
      <x:c r="E837" s="85" t="n">
        <x:f>D837+'Resumen'!$B$5^3/3</x:f>
        <x:v>0.26734313020602496</x:v>
      </x:c>
    </x:row>
    <x:row r="838">
      <x:c r="A838" s="89" t="n">
        <x:v>836</x:v>
      </x:c>
      <x:c r="B838" s="80" t="n">
        <x:v>0.9193678093243168</x:v>
      </x:c>
      <x:c r="C838" s="84" t="n">
        <x:f>SQRT('Resumen'!$B$5^3/3)*B838</x:f>
        <x:v>0.5307972521976708</x:v>
      </x:c>
      <x:c r="D838" s="84" t="n">
        <x:f>C838^2-'Resumen'!$B$5^3/3</x:f>
        <x:v>-0.05158761039273557</x:v>
      </x:c>
      <x:c r="E838" s="85" t="n">
        <x:f>D838+'Resumen'!$B$5^3/3</x:f>
        <x:v>0.28174572294059774</x:v>
      </x:c>
    </x:row>
    <x:row r="839">
      <x:c r="A839" s="89" t="n">
        <x:v>837</x:v>
      </x:c>
      <x:c r="B839" s="80" t="n">
        <x:v>-0.9459660079701918</x:v>
      </x:c>
      <x:c r="C839" s="84" t="n">
        <x:f>SQRT('Resumen'!$B$5^3/3)*B839</x:f>
        <x:v>-0.5461537293458258</x:v>
      </x:c>
      <x:c r="D839" s="84" t="n">
        <x:f>C839^2-'Resumen'!$B$5^3/3</x:f>
        <x:v>-0.03504943725497972</x:v>
      </x:c>
      <x:c r="E839" s="85" t="n">
        <x:f>D839+'Resumen'!$B$5^3/3</x:f>
        <x:v>0.2982838960783536</x:v>
      </x:c>
    </x:row>
    <x:row r="840">
      <x:c r="A840" s="89" t="n">
        <x:v>838</x:v>
      </x:c>
      <x:c r="B840" s="80" t="n">
        <x:v>-0.38753292716953885</x:v>
      </x:c>
      <x:c r="C840" s="84" t="n">
        <x:f>SQRT('Resumen'!$B$5^3/3)*B840</x:f>
        <x:v>-0.22374223982117689</x:v>
      </x:c>
      <x:c r="D840" s="84" t="n">
        <x:f>C840^2-'Resumen'!$B$5^3/3</x:f>
        <x:v>-0.2832727434531363</x:v>
      </x:c>
      <x:c r="E840" s="85" t="n">
        <x:f>D840+'Resumen'!$B$5^3/3</x:f>
        <x:v>0.050060589880197015</x:v>
      </x:c>
    </x:row>
    <x:row r="841">
      <x:c r="A841" s="89" t="n">
        <x:v>839</x:v>
      </x:c>
      <x:c r="B841" s="80" t="n">
        <x:v>-2.0248778317994063</x:v>
      </x:c>
      <x:c r="C841" s="84" t="n">
        <x:f>SQRT('Resumen'!$B$5^3/3)*B841</x:f>
        <x:v>-1.1690637612654928</x:v>
      </x:c>
      <x:c r="D841" s="84" t="n">
        <x:f>C841^2-'Resumen'!$B$5^3/3</x:f>
        <x:v>1.033376744570888</x:v>
      </x:c>
      <x:c r="E841" s="85" t="n">
        <x:f>D841+'Resumen'!$B$5^3/3</x:f>
        <x:v>1.3667100779042212</x:v>
      </x:c>
    </x:row>
    <x:row r="842">
      <x:c r="A842" s="89" t="n">
        <x:v>840</x:v>
      </x:c>
      <x:c r="B842" s="80" t="n">
        <x:v>1.4545745569275044</x:v>
      </x:c>
      <x:c r="C842" s="84" t="n">
        <x:f>SQRT('Resumen'!$B$5^3/3)*B842</x:f>
        <x:v>0.8397990119984752</x:v>
      </x:c>
      <x:c r="D842" s="84" t="n">
        <x:f>C842^2-'Resumen'!$B$5^3/3</x:f>
        <x:v>0.3719290472202817</x:v>
      </x:c>
      <x:c r="E842" s="85" t="n">
        <x:f>D842+'Resumen'!$B$5^3/3</x:f>
        <x:v>0.705262380553615</x:v>
      </x:c>
    </x:row>
    <x:row r="843">
      <x:c r="A843" s="89" t="n">
        <x:v>841</x:v>
      </x:c>
      <x:c r="B843" s="80" t="n">
        <x:v>-0.36132852153039396</x:v>
      </x:c>
      <x:c r="C843" s="84" t="n">
        <x:f>SQRT('Resumen'!$B$5^3/3)*B843</x:f>
        <x:v>-0.20861311917146244</x:v>
      </x:c>
      <x:c r="D843" s="84" t="n">
        <x:f>C843^2-'Resumen'!$B$5^3/3</x:f>
        <x:v>-0.2898138998428865</x:v>
      </x:c>
      <x:c r="E843" s="85" t="n">
        <x:f>D843+'Resumen'!$B$5^3/3</x:f>
        <x:v>0.04351943349044679</x:v>
      </x:c>
    </x:row>
    <x:row r="844">
      <x:c r="A844" s="89" t="n">
        <x:v>842</x:v>
      </x:c>
      <x:c r="B844" s="80" t="n">
        <x:v>-0.8632111074648011</x:v>
      </x:c>
      <x:c r="C844" s="84" t="n">
        <x:f>SQRT('Resumen'!$B$5^3/3)*B844</x:f>
        <x:v>-0.4983751652622779</x:v>
      </x:c>
      <x:c r="D844" s="84" t="n">
        <x:f>C844^2-'Resumen'!$B$5^3/3</x:f>
        <x:v>-0.08495552798313052</x:v>
      </x:c>
      <x:c r="E844" s="85" t="n">
        <x:f>D844+'Resumen'!$B$5^3/3</x:f>
        <x:v>0.2483778053502028</x:v>
      </x:c>
    </x:row>
    <x:row r="845">
      <x:c r="A845" s="89" t="n">
        <x:v>843</x:v>
      </x:c>
      <x:c r="B845" s="80" t="n">
        <x:v>-0.38972609692462407</x:v>
      </x:c>
      <x:c r="C845" s="84" t="n">
        <x:f>SQRT('Resumen'!$B$5^3/3)*B845</x:f>
        <x:v>-0.22500846696965388</x:v>
      </x:c>
      <x:c r="D845" s="84" t="n">
        <x:f>C845^2-'Resumen'!$B$5^3/3</x:f>
        <x:v>-0.2827045231252995</x:v>
      </x:c>
      <x:c r="E845" s="85" t="n">
        <x:f>D845+'Resumen'!$B$5^3/3</x:f>
        <x:v>0.050628810208033836</x:v>
      </x:c>
    </x:row>
    <x:row r="846">
      <x:c r="A846" s="89" t="n">
        <x:v>844</x:v>
      </x:c>
      <x:c r="B846" s="80" t="n">
        <x:v>-0.3034138099626302</x:v>
      </x:c>
      <x:c r="C846" s="84" t="n">
        <x:f>SQRT('Resumen'!$B$5^3/3)*B846</x:f>
        <x:v>-0.17517604485777447</x:v>
      </x:c>
      <x:c r="D846" s="84" t="n">
        <x:f>C846^2-'Resumen'!$B$5^3/3</x:f>
        <x:v>-0.30264668664132033</x:v>
      </x:c>
      <x:c r="E846" s="85" t="n">
        <x:f>D846+'Resumen'!$B$5^3/3</x:f>
        <x:v>0.030686646692012987</x:v>
      </x:c>
    </x:row>
    <x:row r="847">
      <x:c r="A847" s="89" t="n">
        <x:v>845</x:v>
      </x:c>
      <x:c r="B847" s="80" t="n">
        <x:v>0.909170145706066</x:v>
      </x:c>
      <x:c r="C847" s="84" t="n">
        <x:f>SQRT('Resumen'!$B$5^3/3)*B847</x:f>
        <x:v>0.5249096283625685</x:v>
      </x:c>
      <x:c r="D847" s="84" t="n">
        <x:f>C847^2-'Resumen'!$B$5^3/3</x:f>
        <x:v>-0.05780321538560357</x:v>
      </x:c>
      <x:c r="E847" s="85" t="n">
        <x:f>D847+'Resumen'!$B$5^3/3</x:f>
        <x:v>0.27553011794772975</x:v>
      </x:c>
    </x:row>
    <x:row r="848">
      <x:c r="A848" s="89" t="n">
        <x:v>846</x:v>
      </x:c>
      <x:c r="B848" s="80" t="n">
        <x:v>0.8496534715517079</x:v>
      </x:c>
      <x:c r="C848" s="84" t="n">
        <x:f>SQRT('Resumen'!$B$5^3/3)*B848</x:f>
        <x:v>0.4905476605182786</x:v>
      </x:c>
      <x:c r="D848" s="84" t="n">
        <x:f>C848^2-'Resumen'!$B$5^3/3</x:f>
        <x:v>-0.09269632609337702</x:v>
      </x:c>
      <x:c r="E848" s="85" t="n">
        <x:f>D848+'Resumen'!$B$5^3/3</x:f>
        <x:v>0.2406370072399563</x:v>
      </x:c>
    </x:row>
    <x:row r="849">
      <x:c r="A849" s="89" t="n">
        <x:v>847</x:v>
      </x:c>
      <x:c r="B849" s="80" t="n">
        <x:v>-1.1701197382635633</x:v>
      </x:c>
      <x:c r="C849" s="84" t="n">
        <x:f>SQRT('Resumen'!$B$5^3/3)*B849</x:f>
        <x:v>-0.6755689458705627</x:v>
      </x:c>
      <x:c r="D849" s="84" t="n">
        <x:f>C849^2-'Resumen'!$B$5^3/3</x:f>
        <x:v>0.12306006729132996</x:v>
      </x:c>
      <x:c r="E849" s="85" t="n">
        <x:f>D849+'Resumen'!$B$5^3/3</x:f>
        <x:v>0.45639340062466327</x:v>
      </x:c>
    </x:row>
    <x:row r="850">
      <x:c r="A850" s="89" t="n">
        <x:v>848</x:v>
      </x:c>
      <x:c r="B850" s="80" t="n">
        <x:v>0.826837253134848</x:v>
      </x:c>
      <x:c r="C850" s="84" t="n">
        <x:f>SQRT('Resumen'!$B$5^3/3)*B850</x:f>
        <x:v>0.4773747106734152</x:v>
      </x:c>
      <x:c r="D850" s="84" t="n">
        <x:f>C850^2-'Resumen'!$B$5^3/3</x:f>
        <x:v>-0.10544671894280644</x:v>
      </x:c>
      <x:c r="E850" s="85" t="n">
        <x:f>D850+'Resumen'!$B$5^3/3</x:f>
        <x:v>0.22788661439052688</x:v>
      </x:c>
    </x:row>
    <x:row r="851">
      <x:c r="A851" s="89" t="n">
        <x:v>849</x:v>
      </x:c>
      <x:c r="B851" s="80" t="n">
        <x:v>0.38992944320357237</x:v>
      </x:c>
      <x:c r="C851" s="84" t="n">
        <x:f>SQRT('Resumen'!$B$5^3/3)*B851</x:f>
        <x:v>0.2251258689985434</x:v>
      </x:c>
      <x:c r="D851" s="84" t="n">
        <x:f>C851^2-'Resumen'!$B$5^3/3</x:f>
        <x:v>-0.282651676440984</x:v>
      </x:c>
      <x:c r="E851" s="85" t="n">
        <x:f>D851+'Resumen'!$B$5^3/3</x:f>
        <x:v>0.050681656892349325</x:v>
      </x:c>
    </x:row>
    <x:row r="852">
      <x:c r="A852" s="89" t="n">
        <x:v>850</x:v>
      </x:c>
      <x:c r="B852" s="80" t="n">
        <x:v>0.3077649525548793</x:v>
      </x:c>
      <x:c r="C852" s="84" t="n">
        <x:f>SQRT('Resumen'!$B$5^3/3)*B852</x:f>
        <x:v>0.17768817820469196</x:v>
      </x:c>
      <x:c r="D852" s="84" t="n">
        <x:f>C852^2-'Resumen'!$B$5^3/3</x:f>
        <x:v>-0.30176024465963097</x:v>
      </x:c>
      <x:c r="E852" s="85" t="n">
        <x:f>D852+'Resumen'!$B$5^3/3</x:f>
        <x:v>0.03157308867370234</x:v>
      </x:c>
    </x:row>
    <x:row r="853">
      <x:c r="A853" s="89" t="n">
        <x:v>851</x:v>
      </x:c>
      <x:c r="B853" s="80" t="n">
        <x:v>0.45791285222333916</x:v>
      </x:c>
      <x:c r="C853" s="84" t="n">
        <x:f>SQRT('Resumen'!$B$5^3/3)*B853</x:f>
        <x:v>0.26437610849653415</x:v>
      </x:c>
      <x:c r="D853" s="84" t="n">
        <x:f>C853^2-'Resumen'!$B$5^3/3</x:f>
        <x:v>-0.26343860658956214</x:v>
      </x:c>
      <x:c r="E853" s="85" t="n">
        <x:f>D853+'Resumen'!$B$5^3/3</x:f>
        <x:v>0.06989472674377117</x:v>
      </x:c>
    </x:row>
    <x:row r="854">
      <x:c r="A854" s="89" t="n">
        <x:v>852</x:v>
      </x:c>
      <x:c r="B854" s="80" t="n">
        <x:v>0.7996064928714102</x:v>
      </x:c>
      <x:c r="C854" s="84" t="n">
        <x:f>SQRT('Resumen'!$B$5^3/3)*B854</x:f>
        <x:v>0.46165302390508123</x:v>
      </x:c>
      <x:c r="D854" s="84" t="n">
        <x:f>C854^2-'Resumen'!$B$5^3/3</x:f>
        <x:v>-0.12020981885262783</x:v>
      </x:c>
      <x:c r="E854" s="85" t="n">
        <x:f>D854+'Resumen'!$B$5^3/3</x:f>
        <x:v>0.2131235144807055</x:v>
      </x:c>
    </x:row>
    <x:row r="855">
      <x:c r="A855" s="89" t="n">
        <x:v>853</x:v>
      </x:c>
      <x:c r="B855" s="80" t="n">
        <x:v>-0.21411757032091372</x:v>
      </x:c>
      <x:c r="C855" s="84" t="n">
        <x:f>SQRT('Resumen'!$B$5^3/3)*B855</x:f>
        <x:v>-0.12362083686300815</x:v>
      </x:c>
      <x:c r="D855" s="84" t="n">
        <x:f>C855^2-'Resumen'!$B$5^3/3</x:f>
        <x:v>-0.31805122202662284</x:v>
      </x:c>
      <x:c r="E855" s="85" t="n">
        <x:f>D855+'Resumen'!$B$5^3/3</x:f>
        <x:v>0.015282111306710477</x:v>
      </x:c>
    </x:row>
    <x:row r="856">
      <x:c r="A856" s="89" t="n">
        <x:v>854</x:v>
      </x:c>
      <x:c r="B856" s="80" t="n">
        <x:v>-1.1415541323910783</x:v>
      </x:c>
      <x:c r="C856" s="84" t="n">
        <x:f>SQRT('Resumen'!$B$5^3/3)*B856</x:f>
        <x:v>-0.6590765856305187</x:v>
      </x:c>
      <x:c r="D856" s="84" t="n">
        <x:f>C856^2-'Resumen'!$B$5^3/3</x:f>
        <x:v>0.10104861239304919</x:v>
      </x:c>
      <x:c r="E856" s="85" t="n">
        <x:f>D856+'Resumen'!$B$5^3/3</x:f>
        <x:v>0.4343819457263825</x:v>
      </x:c>
    </x:row>
    <x:row r="857">
      <x:c r="A857" s="89" t="n">
        <x:v>855</x:v>
      </x:c>
      <x:c r="B857" s="80" t="n">
        <x:v>0.19356264752141367</x:v>
      </x:c>
      <x:c r="C857" s="84" t="n">
        <x:f>SQRT('Resumen'!$B$5^3/3)*B857</x:f>
        <x:v>0.11175344665154482</x:v>
      </x:c>
      <x:c r="D857" s="84" t="n">
        <x:f>C857^2-'Resumen'!$B$5^3/3</x:f>
        <x:v>-0.32084450049483365</x:v>
      </x:c>
      <x:c r="E857" s="85" t="n">
        <x:f>D857+'Resumen'!$B$5^3/3</x:f>
        <x:v>0.012488832838499664</x:v>
      </x:c>
    </x:row>
    <x:row r="858">
      <x:c r="A858" s="89" t="n">
        <x:v>856</x:v>
      </x:c>
      <x:c r="B858" s="80" t="n">
        <x:v>1.2358866131517812</x:v>
      </x:c>
      <x:c r="C858" s="84" t="n">
        <x:f>SQRT('Resumen'!$B$5^3/3)*B858</x:f>
        <x:v>0.7135394687910357</x:v>
      </x:c>
      <x:c r="D858" s="84" t="n">
        <x:f>C858^2-'Resumen'!$B$5^3/3</x:f>
        <x:v>0.17580524018926008</x:v>
      </x:c>
      <x:c r="E858" s="85" t="n">
        <x:f>D858+'Resumen'!$B$5^3/3</x:f>
        <x:v>0.5091385735225934</x:v>
      </x:c>
    </x:row>
    <x:row r="859">
      <x:c r="A859" s="89" t="n">
        <x:v>857</x:v>
      </x:c>
      <x:c r="B859" s="80" t="n">
        <x:v>0.6528485123791017</x:v>
      </x:c>
      <x:c r="C859" s="84" t="n">
        <x:f>SQRT('Resumen'!$B$5^3/3)*B859</x:f>
        <x:v>0.37692226436212106</x:v>
      </x:c>
      <x:c r="D859" s="84" t="n">
        <x:f>C859^2-'Resumen'!$B$5^3/3</x:f>
        <x:v>-0.19126293996146465</x:v>
      </x:c>
      <x:c r="E859" s="85" t="n">
        <x:f>D859+'Resumen'!$B$5^3/3</x:f>
        <x:v>0.14207039337186866</x:v>
      </x:c>
    </x:row>
    <x:row r="860">
      <x:c r="A860" s="89" t="n">
        <x:v>858</x:v>
      </x:c>
      <x:c r="B860" s="80" t="n">
        <x:v>-0.5262375296692888</x:v>
      </x:c>
      <x:c r="C860" s="84" t="n">
        <x:f>SQRT('Resumen'!$B$5^3/3)*B860</x:f>
        <x:v>-0.3038233794122476</x:v>
      </x:c>
      <x:c r="D860" s="84" t="n">
        <x:f>C860^2-'Resumen'!$B$5^3/3</x:f>
        <x:v>-0.24102468745585476</x:v>
      </x:c>
      <x:c r="E860" s="85" t="n">
        <x:f>D860+'Resumen'!$B$5^3/3</x:f>
        <x:v>0.09230864587747856</x:v>
      </x:c>
    </x:row>
    <x:row r="861">
      <x:c r="A861" s="89" t="n">
        <x:v>859</x:v>
      </x:c>
      <x:c r="B861" s="80" t="n">
        <x:v>-0.7853542947049543</x:v>
      </x:c>
      <x:c r="C861" s="84" t="n">
        <x:f>SQRT('Resumen'!$B$5^3/3)*B861</x:f>
        <x:v>-0.453424513457134</x:v>
      </x:c>
      <x:c r="D861" s="84" t="n">
        <x:f>C861^2-'Resumen'!$B$5^3/3</x:f>
        <x:v>-0.1277395439294946</x:v>
      </x:c>
      <x:c r="E861" s="85" t="n">
        <x:f>D861+'Resumen'!$B$5^3/3</x:f>
        <x:v>0.2055937894038387</x:v>
      </x:c>
    </x:row>
    <x:row r="862">
      <x:c r="A862" s="89" t="n">
        <x:v>860</x:v>
      </x:c>
      <x:c r="B862" s="80" t="n">
        <x:v>-1.5337584092089434</x:v>
      </x:c>
      <x:c r="C862" s="84" t="n">
        <x:f>SQRT('Resumen'!$B$5^3/3)*B862</x:f>
        <x:v>-0.8855158304286356</x:v>
      </x:c>
      <x:c r="D862" s="84" t="n">
        <x:f>C862^2-'Resumen'!$B$5^3/3</x:f>
        <x:v>0.4508049526063828</x:v>
      </x:c>
      <x:c r="E862" s="85" t="n">
        <x:f>D862+'Resumen'!$B$5^3/3</x:f>
        <x:v>0.7841382859397161</x:v>
      </x:c>
    </x:row>
    <x:row r="863">
      <x:c r="A863" s="89" t="n">
        <x:v>861</x:v>
      </x:c>
      <x:c r="B863" s="80" t="n">
        <x:v>-0.1790534308152182</x:v>
      </x:c>
      <x:c r="C863" s="84" t="n">
        <x:f>SQRT('Resumen'!$B$5^3/3)*B863</x:f>
        <x:v>-0.10337654648049226</x:v>
      </x:c>
      <x:c r="D863" s="84" t="n">
        <x:f>C863^2-'Resumen'!$B$5^3/3</x:f>
        <x:v>-0.3226466229710999</x:v>
      </x:c>
      <x:c r="E863" s="85" t="n">
        <x:f>D863+'Resumen'!$B$5^3/3</x:f>
        <x:v>0.010686710362233398</x:v>
      </x:c>
    </x:row>
    <x:row r="864">
      <x:c r="A864" s="89" t="n">
        <x:v>862</x:v>
      </x:c>
      <x:c r="B864" s="80" t="n">
        <x:v>-1.6083464678554051</x:v>
      </x:c>
      <x:c r="C864" s="84" t="n">
        <x:f>SQRT('Resumen'!$B$5^3/3)*B864</x:f>
        <x:v>-0.9285792661665019</x:v>
      </x:c>
      <x:c r="D864" s="84" t="n">
        <x:f>C864^2-'Resumen'!$B$5^3/3</x:f>
        <x:v>0.5289261202209858</x:v>
      </x:c>
      <x:c r="E864" s="85" t="n">
        <x:f>D864+'Resumen'!$B$5^3/3</x:f>
        <x:v>0.8622594535543191</x:v>
      </x:c>
    </x:row>
    <x:row r="865">
      <x:c r="A865" s="89" t="n">
        <x:v>863</x:v>
      </x:c>
      <x:c r="B865" s="80" t="n">
        <x:v>1.5355876744948842</x:v>
      </x:c>
      <x:c r="C865" s="84" t="n">
        <x:f>SQRT('Resumen'!$B$5^3/3)*B865</x:f>
        <x:v>0.8865719572338928</x:v>
      </x:c>
      <x:c r="D865" s="84" t="n">
        <x:f>C865^2-'Resumen'!$B$5^3/3</x:f>
        <x:v>0.4526765020202022</x:v>
      </x:c>
      <x:c r="E865" s="85" t="n">
        <x:f>D865+'Resumen'!$B$5^3/3</x:f>
        <x:v>0.7860098353535355</x:v>
      </x:c>
    </x:row>
    <x:row r="866">
      <x:c r="A866" s="89" t="n">
        <x:v>864</x:v>
      </x:c>
      <x:c r="B866" s="80" t="n">
        <x:v>-1.2485081069607207</x:v>
      </x:c>
      <x:c r="C866" s="84" t="n">
        <x:f>SQRT('Resumen'!$B$5^3/3)*B866</x:f>
        <x:v>-0.7208264916392021</x:v>
      </x:c>
      <x:c r="D866" s="84" t="n">
        <x:f>C866^2-'Resumen'!$B$5^3/3</x:f>
        <x:v>0.1862574977155474</x:v>
      </x:c>
      <x:c r="E866" s="85" t="n">
        <x:f>D866+'Resumen'!$B$5^3/3</x:f>
        <x:v>0.5195908310488807</x:v>
      </x:c>
    </x:row>
    <x:row r="867">
      <x:c r="A867" s="89" t="n">
        <x:v>865</x:v>
      </x:c>
      <x:c r="B867" s="80" t="n">
        <x:v>-0.005862990172346542</x:v>
      </x:c>
      <x:c r="C867" s="84" t="n">
        <x:f>SQRT('Resumen'!$B$5^3/3)*B867</x:f>
        <x:v>-0.003384998954260406</x:v>
      </x:c>
      <x:c r="D867" s="84" t="n">
        <x:f>C867^2-'Resumen'!$B$5^3/3</x:f>
        <x:v>-0.33332187511541295</x:v>
      </x:c>
      <x:c r="E867" s="85" t="n">
        <x:f>D867+'Resumen'!$B$5^3/3</x:f>
        <x:v>0.000011458217920368163</x:v>
      </x:c>
    </x:row>
    <x:row r="868">
      <x:c r="A868" s="89" t="n">
        <x:v>866</x:v>
      </x:c>
      <x:c r="B868" s="80" t="n">
        <x:v>0.17731243759489745</x:v>
      </x:c>
      <x:c r="C868" s="84" t="n">
        <x:f>SQRT('Resumen'!$B$5^3/3)*B868</x:f>
        <x:v>0.10237138357608276</x:v>
      </x:c>
      <x:c r="D868" s="84" t="n">
        <x:f>C868^2-'Resumen'!$B$5^3/3</x:f>
        <x:v>-0.3228534331580519</x:v>
      </x:c>
      <x:c r="E868" s="85" t="n">
        <x:f>D868+'Resumen'!$B$5^3/3</x:f>
        <x:v>0.010479900175281442</x:v>
      </x:c>
    </x:row>
    <x:row r="869">
      <x:c r="A869" s="89" t="n">
        <x:v>867</x:v>
      </x:c>
      <x:c r="B869" s="80" t="n">
        <x:v>0.9813986107613455</x:v>
      </x:c>
      <x:c r="C869" s="84" t="n">
        <x:f>SQRT('Resumen'!$B$5^3/3)*B869</x:f>
        <x:v>0.5666107521053876</x:v>
      </x:c>
      <x:c r="D869" s="84" t="n">
        <x:f>C869^2-'Resumen'!$B$5^3/3</x:f>
        <x:v>-0.012285588931900349</x:v>
      </x:c>
      <x:c r="E869" s="85" t="n">
        <x:f>D869+'Resumen'!$B$5^3/3</x:f>
        <x:v>0.32104774440143297</x:v>
      </x:c>
    </x:row>
    <x:row r="870">
      <x:c r="A870" s="89" t="n">
        <x:v>868</x:v>
      </x:c>
      <x:c r="B870" s="80" t="n">
        <x:v>0.869037554422149</x:v>
      </x:c>
      <x:c r="C870" s="84" t="n">
        <x:f>SQRT('Resumen'!$B$5^3/3)*B870</x:f>
        <x:v>0.5017390659815217</x:v>
      </x:c>
      <x:c r="D870" s="84" t="n">
        <x:f>C870^2-'Resumen'!$B$5^3/3</x:f>
        <x:v>-0.08159124300132348</x:v>
      </x:c>
      <x:c r="E870" s="85" t="n">
        <x:f>D870+'Resumen'!$B$5^3/3</x:f>
        <x:v>0.25174209033200984</x:v>
      </x:c>
    </x:row>
    <x:row r="871">
      <x:c r="A871" s="89" t="n">
        <x:v>869</x:v>
      </x:c>
      <x:c r="B871" s="80" t="n">
        <x:v>0.19965084090849528</x:v>
      </x:c>
      <x:c r="C871" s="84" t="n">
        <x:f>SQRT('Resumen'!$B$5^3/3)*B871</x:f>
        <x:v>0.11526846674245489</x:v>
      </x:c>
      <x:c r="D871" s="84" t="n">
        <x:f>C871^2-'Resumen'!$B$5^3/3</x:f>
        <x:v>-0.3200465139081769</x:v>
      </x:c>
      <x:c r="E871" s="85" t="n">
        <x:f>D871+'Resumen'!$B$5^3/3</x:f>
        <x:v>0.013286819425156415</x:v>
      </x:c>
    </x:row>
    <x:row r="872">
      <x:c r="A872" s="89" t="n">
        <x:v>870</x:v>
      </x:c>
      <x:c r="B872" s="80" t="n">
        <x:v>-0.5656670189249626</x:v>
      </x:c>
      <x:c r="C872" s="84" t="n">
        <x:f>SQRT('Resumen'!$B$5^3/3)*B872</x:f>
        <x:v>-0.32658800564802026</x:v>
      </x:c>
      <x:c r="D872" s="84" t="n">
        <x:f>C872^2-'Resumen'!$B$5^3/3</x:f>
        <x:v>-0.22667360790018198</x:v>
      </x:c>
      <x:c r="E872" s="85" t="n">
        <x:f>D872+'Resumen'!$B$5^3/3</x:f>
        <x:v>0.10665972543315133</x:v>
      </x:c>
    </x:row>
    <x:row r="873">
      <x:c r="A873" s="89" t="n">
        <x:v>871</x:v>
      </x:c>
      <x:c r="B873" s="80" t="n">
        <x:v>-1.051569913281615</x:v>
      </x:c>
      <x:c r="C873" s="84" t="n">
        <x:f>SQRT('Resumen'!$B$5^3/3)*B873</x:f>
        <x:v>-0.6071241725048518</x:v>
      </x:c>
      <x:c r="D873" s="84" t="n">
        <x:f>C873^2-'Resumen'!$B$5^3/3</x:f>
        <x:v>0.03526642750636777</x:v>
      </x:c>
      <x:c r="E873" s="85" t="n">
        <x:f>D873+'Resumen'!$B$5^3/3</x:f>
        <x:v>0.3685997608397011</x:v>
      </x:c>
    </x:row>
    <x:row r="874">
      <x:c r="A874" s="89" t="n">
        <x:v>872</x:v>
      </x:c>
      <x:c r="B874" s="80" t="n">
        <x:v>-0.9714591327398049</x:v>
      </x:c>
      <x:c r="C874" s="84" t="n">
        <x:f>SQRT('Resumen'!$B$5^3/3)*B874</x:f>
        <x:v>-0.5608721917940467</x:v>
      </x:c>
      <x:c r="D874" s="84" t="n">
        <x:f>C874^2-'Resumen'!$B$5^3/3</x:f>
        <x:v>-0.018755717805475414</x:v>
      </x:c>
      <x:c r="E874" s="85" t="n">
        <x:f>D874+'Resumen'!$B$5^3/3</x:f>
        <x:v>0.3145776155278579</x:v>
      </x:c>
    </x:row>
    <x:row r="875">
      <x:c r="A875" s="89" t="n">
        <x:v>873</x:v>
      </x:c>
      <x:c r="B875" s="80" t="n">
        <x:v>-0.2210705367975396</x:v>
      </x:c>
      <x:c r="C875" s="84" t="n">
        <x:f>SQRT('Resumen'!$B$5^3/3)*B875</x:f>
        <x:v>-0.12763513392995454</x:v>
      </x:c>
      <x:c r="D875" s="84" t="n">
        <x:f>C875^2-'Resumen'!$B$5^3/3</x:f>
        <x:v>-0.3170426059200159</x:v>
      </x:c>
      <x:c r="E875" s="85" t="n">
        <x:f>D875+'Resumen'!$B$5^3/3</x:f>
        <x:v>0.01629072741331744</x:v>
      </x:c>
    </x:row>
    <x:row r="876">
      <x:c r="A876" s="89" t="n">
        <x:v>874</x:v>
      </x:c>
      <x:c r="B876" s="80" t="n">
        <x:v>-0.20400799718696674</x:v>
      </x:c>
      <x:c r="C876" s="84" t="n">
        <x:f>SQRT('Resumen'!$B$5^3/3)*B876</x:f>
        <x:v>-0.11778407209273166</x:v>
      </x:c>
      <x:c r="D876" s="84" t="n">
        <x:f>C876^2-'Resumen'!$B$5^3/3</x:f>
        <x:v>-0.31946024569458753</x:v>
      </x:c>
      <x:c r="E876" s="85" t="n">
        <x:f>D876+'Resumen'!$B$5^3/3</x:f>
        <x:v>0.013873087638745785</x:v>
      </x:c>
    </x:row>
    <x:row r="877">
      <x:c r="A877" s="89" t="n">
        <x:v>875</x:v>
      </x:c>
      <x:c r="B877" s="80" t="n">
        <x:v>0.9114892769400124</x:v>
      </x:c>
      <x:c r="C877" s="84" t="n">
        <x:f>SQRT('Resumen'!$B$5^3/3)*B877</x:f>
        <x:v>0.5262485794047734</x:v>
      </x:c>
      <x:c r="D877" s="84" t="n">
        <x:f>C877^2-'Resumen'!$B$5^3/3</x:f>
        <x:v>-0.05639576600779117</x:v>
      </x:c>
      <x:c r="E877" s="85" t="n">
        <x:f>D877+'Resumen'!$B$5^3/3</x:f>
        <x:v>0.27693756732554214</x:v>
      </x:c>
    </x:row>
    <x:row r="878">
      <x:c r="A878" s="89" t="n">
        <x:v>876</x:v>
      </x:c>
      <x:c r="B878" s="80" t="n">
        <x:v>-0.21165744365278005</x:v>
      </x:c>
      <x:c r="C878" s="84" t="n">
        <x:f>SQRT('Resumen'!$B$5^3/3)*B878</x:f>
        <x:v>-0.1222004820689206</x:v>
      </x:c>
      <x:c r="D878" s="84" t="n">
        <x:f>C878^2-'Resumen'!$B$5^3/3</x:f>
        <x:v>-0.31840037551545675</x:v>
      </x:c>
      <x:c r="E878" s="85" t="n">
        <x:f>D878+'Resumen'!$B$5^3/3</x:f>
        <x:v>0.014932957817876569</x:v>
      </x:c>
    </x:row>
    <x:row r="879">
      <x:c r="A879" s="89" t="n">
        <x:v>877</x:v>
      </x:c>
      <x:c r="B879" s="80" t="n">
        <x:v>-0.4781339965025365</x:v>
      </x:c>
      <x:c r="C879" s="84" t="n">
        <x:f>SQRT('Resumen'!$B$5^3/3)*B879</x:f>
        <x:v>-0.276050791589451</x:v>
      </x:c>
      <x:c r="D879" s="84" t="n">
        <x:f>C879^2-'Resumen'!$B$5^3/3</x:f>
        <x:v>-0.2571292937961708</x:v>
      </x:c>
      <x:c r="E879" s="85" t="n">
        <x:f>D879+'Resumen'!$B$5^3/3</x:f>
        <x:v>0.07620403953716254</x:v>
      </x:c>
    </x:row>
    <x:row r="880">
      <x:c r="A880" s="89" t="n">
        <x:v>878</x:v>
      </x:c>
      <x:c r="B880" s="80" t="n">
        <x:v>0.395911877236339</x:v>
      </x:c>
      <x:c r="C880" s="84" t="n">
        <x:f>SQRT('Resumen'!$B$5^3/3)*B880</x:f>
        <x:v>0.2285798288977704</x:v>
      </x:c>
      <x:c r="D880" s="84" t="n">
        <x:f>C880^2-'Resumen'!$B$5^3/3</x:f>
        <x:v>-0.2810845951543993</x:v>
      </x:c>
      <x:c r="E880" s="85" t="n">
        <x:f>D880+'Resumen'!$B$5^3/3</x:f>
        <x:v>0.052248738178933996</x:v>
      </x:c>
    </x:row>
    <x:row r="881">
      <x:c r="A881" s="89" t="n">
        <x:v>879</x:v>
      </x:c>
      <x:c r="B881" s="80" t="n">
        <x:v>-0.10958015688158539</x:v>
      </x:c>
      <x:c r="C881" s="84" t="n">
        <x:f>SQRT('Resumen'!$B$5^3/3)*B881</x:f>
        <x:v>-0.06326613307342474</x:v>
      </x:c>
      <x:c r="D881" s="84" t="n">
        <x:f>C881^2-'Resumen'!$B$5^3/3</x:f>
        <x:v>-0.329330729739269</x:v>
      </x:c>
      <x:c r="E881" s="85" t="n">
        <x:f>D881+'Resumen'!$B$5^3/3</x:f>
        <x:v>0.004002603594064291</x:v>
      </x:c>
    </x:row>
    <x:row r="882">
      <x:c r="A882" s="89" t="n">
        <x:v>880</x:v>
      </x:c>
      <x:c r="B882" s="80" t="n">
        <x:v>0.6626704503842158</x:v>
      </x:c>
      <x:c r="C882" s="84" t="n">
        <x:f>SQRT('Resumen'!$B$5^3/3)*B882</x:f>
        <x:v>0.3825929629133375</x:v>
      </x:c>
      <x:c r="D882" s="84" t="n">
        <x:f>C882^2-'Resumen'!$B$5^3/3</x:f>
        <x:v>-0.18695595806252688</x:v>
      </x:c>
      <x:c r="E882" s="85" t="n">
        <x:f>D882+'Resumen'!$B$5^3/3</x:f>
        <x:v>0.14637737527080644</x:v>
      </x:c>
    </x:row>
    <x:row r="883">
      <x:c r="A883" s="89" t="n">
        <x:v>881</x:v>
      </x:c>
      <x:c r="B883" s="80" t="n">
        <x:v>0.1981264716067127</x:v>
      </x:c>
      <x:c r="C883" s="84" t="n">
        <x:f>SQRT('Resumen'!$B$5^3/3)*B883</x:f>
        <x:v>0.11438837171572631</x:v>
      </x:c>
      <x:c r="D883" s="84" t="n">
        <x:f>C883^2-'Resumen'!$B$5^3/3</x:f>
        <x:v>-0.32024863374955814</x:v>
      </x:c>
      <x:c r="E883" s="85" t="n">
        <x:f>D883+'Resumen'!$B$5^3/3</x:f>
        <x:v>0.013084699583775172</x:v>
      </x:c>
    </x:row>
    <x:row r="884">
      <x:c r="A884" s="89" t="n">
        <x:v>882</x:v>
      </x:c>
      <x:c r="B884" s="80" t="n">
        <x:v>-0.40445974452379657</x:v>
      </x:c>
      <x:c r="C884" s="84" t="n">
        <x:f>SQRT('Resumen'!$B$5^3/3)*B884</x:f>
        <x:v>-0.2335149423771812</x:v>
      </x:c>
      <x:c r="D884" s="84" t="n">
        <x:f>C884^2-'Resumen'!$B$5^3/3</x:f>
        <x:v>-0.27880410501991504</x:v>
      </x:c>
      <x:c r="E884" s="85" t="n">
        <x:f>D884+'Resumen'!$B$5^3/3</x:f>
        <x:v>0.054529228313418276</x:v>
      </x:c>
    </x:row>
    <x:row r="885">
      <x:c r="A885" s="89" t="n">
        <x:v>883</x:v>
      </x:c>
      <x:c r="B885" s="80" t="n">
        <x:v>1.2626284491201936</x:v>
      </x:c>
      <x:c r="C885" s="84" t="n">
        <x:f>SQRT('Resumen'!$B$5^3/3)*B885</x:f>
        <x:v>0.7289788749860234</x:v>
      </x:c>
      <x:c r="D885" s="84" t="n">
        <x:f>C885^2-'Resumen'!$B$5^3/3</x:f>
        <x:v>0.19807686684255504</x:v>
      </x:c>
      <x:c r="E885" s="85" t="n">
        <x:f>D885+'Resumen'!$B$5^3/3</x:f>
        <x:v>0.5314102001758884</x:v>
      </x:c>
    </x:row>
    <x:row r="886">
      <x:c r="A886" s="89" t="n">
        <x:v>884</x:v>
      </x:c>
      <x:c r="B886" s="80" t="n">
        <x:v>-0.2568726847648739</x:v>
      </x:c>
      <x:c r="C886" s="84" t="n">
        <x:f>SQRT('Resumen'!$B$5^3/3)*B886</x:f>
        <x:v>-0.14830551369646183</x:v>
      </x:c>
      <x:c r="D886" s="84" t="n">
        <x:f>C886^2-'Resumen'!$B$5^3/3</x:f>
        <x:v>-0.3113388079405619</x:v>
      </x:c>
      <x:c r="E886" s="85" t="n">
        <x:f>D886+'Resumen'!$B$5^3/3</x:f>
        <x:v>0.021994525392771413</x:v>
      </x:c>
    </x:row>
    <x:row r="887">
      <x:c r="A887" s="89" t="n">
        <x:v>885</x:v>
      </x:c>
      <x:c r="B887" s="80" t="n">
        <x:v>1.678167318178209</x:v>
      </x:c>
      <x:c r="C887" s="84" t="n">
        <x:f>SQRT('Resumen'!$B$5^3/3)*B887</x:f>
        <x:v>0.9688903528954214</x:v>
      </x:c>
      <x:c r="D887" s="84" t="n">
        <x:f>C887^2-'Resumen'!$B$5^3/3</x:f>
        <x:v>0.6054151826004808</x:v>
      </x:c>
      <x:c r="E887" s="85" t="n">
        <x:f>D887+'Resumen'!$B$5^3/3</x:f>
        <x:v>0.938748515933814</x:v>
      </x:c>
    </x:row>
    <x:row r="888">
      <x:c r="A888" s="89" t="n">
        <x:v>886</x:v>
      </x:c>
      <x:c r="B888" s="80" t="n">
        <x:v>-0.9992869792836621</x:v>
      </x:c>
      <x:c r="C888" s="84" t="n">
        <x:f>SQRT('Resumen'!$B$5^3/3)*B888</x:f>
        <x:v>-0.5769386064871103</x:v>
      </x:c>
      <x:c r="D888" s="84" t="n">
        <x:f>C888^2-'Resumen'!$B$5^3/3</x:f>
        <x:v>-0.00047517767804466926</x:v>
      </x:c>
      <x:c r="E888" s="85" t="n">
        <x:f>D888+'Resumen'!$B$5^3/3</x:f>
        <x:v>0.33285815565528865</x:v>
      </x:c>
    </x:row>
    <x:row r="889">
      <x:c r="A889" s="89" t="n">
        <x:v>887</x:v>
      </x:c>
      <x:c r="B889" s="80" t="n">
        <x:v>-0.9408326878971445</x:v>
      </x:c>
      <x:c r="C889" s="84" t="n">
        <x:f>SQRT('Resumen'!$B$5^3/3)*B889</x:f>
        <x:v>-0.5431900056198155</x:v>
      </x:c>
      <x:c r="D889" s="84" t="n">
        <x:f>C889^2-'Resumen'!$B$5^3/3</x:f>
        <x:v>-0.03827795112807819</x:v>
      </x:c>
      <x:c r="E889" s="85" t="n">
        <x:f>D889+'Resumen'!$B$5^3/3</x:f>
        <x:v>0.2950553822052551</x:v>
      </x:c>
    </x:row>
    <x:row r="890">
      <x:c r="A890" s="89" t="n">
        <x:v>888</x:v>
      </x:c>
      <x:c r="B890" s="80" t="n">
        <x:v>-1.527745078617896</x:v>
      </x:c>
      <x:c r="C890" s="84" t="n">
        <x:f>SQRT('Resumen'!$B$5^3/3)*B890</x:f>
        <x:v>-0.8820440323931682</x:v>
      </x:c>
      <x:c r="D890" s="84" t="n">
        <x:f>C890^2-'Resumen'!$B$5^3/3</x:f>
        <x:v>0.444668341747067</x:v>
      </x:c>
      <x:c r="E890" s="85" t="n">
        <x:f>D890+'Resumen'!$B$5^3/3</x:f>
        <x:v>0.7780016750804003</x:v>
      </x:c>
    </x:row>
    <x:row r="891">
      <x:c r="A891" s="89" t="n">
        <x:v>889</x:v>
      </x:c>
      <x:c r="B891" s="80" t="n">
        <x:v>0.6827128646966966</x:v>
      </x:c>
      <x:c r="C891" s="84" t="n">
        <x:f>SQRT('Resumen'!$B$5^3/3)*B891</x:f>
        <x:v>0.3941644562118583</x:v>
      </x:c>
      <x:c r="D891" s="84" t="n">
        <x:f>C891^2-'Resumen'!$B$5^3/3</x:f>
        <x:v>-0.17796771479254336</x:v>
      </x:c>
      <x:c r="E891" s="85" t="n">
        <x:f>D891+'Resumen'!$B$5^3/3</x:f>
        <x:v>0.15536561854078995</x:v>
      </x:c>
    </x:row>
    <x:row r="892">
      <x:c r="A892" s="89" t="n">
        <x:v>890</x:v>
      </x:c>
      <x:c r="B892" s="80" t="n">
        <x:v>-0.09601340496157452</x:v>
      </x:c>
      <x:c r="C892" s="84" t="n">
        <x:f>SQRT('Resumen'!$B$5^3/3)*B892</x:f>
        <x:v>-0.0554333652003776</x:v>
      </x:c>
      <x:c r="D892" s="84" t="n">
        <x:f>C892^2-'Resumen'!$B$5^3/3</x:f>
        <x:v>-0.33026047535589487</x:v>
      </x:c>
      <x:c r="E892" s="85" t="n">
        <x:f>D892+'Resumen'!$B$5^3/3</x:f>
        <x:v>0.003072857977438448</x:v>
      </x:c>
    </x:row>
    <x:row r="893">
      <x:c r="A893" s="89" t="n">
        <x:v>891</x:v>
      </x:c>
      <x:c r="B893" s="80" t="n">
        <x:v>1.59278731443338</x:v>
      </x:c>
      <x:c r="C893" s="84" t="n">
        <x:f>SQRT('Resumen'!$B$5^3/3)*B893</x:f>
        <x:v>0.919596184749933</x:v>
      </x:c>
      <x:c r="D893" s="84" t="n">
        <x:f>C893^2-'Resumen'!$B$5^3/3</x:f>
        <x:v>0.5123238096732996</x:v>
      </x:c>
      <x:c r="E893" s="85" t="n">
        <x:f>D893+'Resumen'!$B$5^3/3</x:f>
        <x:v>0.8456571430066329</x:v>
      </x:c>
    </x:row>
    <x:row r="894">
      <x:c r="A894" s="89" t="n">
        <x:v>892</x:v>
      </x:c>
      <x:c r="B894" s="80" t="n">
        <x:v>-0.07920608800757256</x:v>
      </x:c>
      <x:c r="C894" s="84" t="n">
        <x:f>SQRT('Resumen'!$B$5^3/3)*B894</x:f>
        <x:v>-0.04572965623262921</x:v>
      </x:c>
      <x:c r="D894" s="84" t="n">
        <x:f>C894^2-'Resumen'!$B$5^3/3</x:f>
        <x:v>-0.3312421318741789</x:v>
      </x:c>
      <x:c r="E894" s="85" t="n">
        <x:f>D894+'Resumen'!$B$5^3/3</x:f>
        <x:v>0.0020912014591544237</x:v>
      </x:c>
    </x:row>
    <x:row r="895">
      <x:c r="A895" s="89" t="n">
        <x:v>893</x:v>
      </x:c>
      <x:c r="B895" s="80" t="n">
        <x:v>0.30535751937199007</x:v>
      </x:c>
      <x:c r="C895" s="84" t="n">
        <x:f>SQRT('Resumen'!$B$5^3/3)*B895</x:f>
        <x:v>0.17629824600849484</x:v>
      </x:c>
      <x:c r="D895" s="84" t="n">
        <x:f>C895^2-'Resumen'!$B$5^3/3</x:f>
        <x:v>-0.30225226178766157</x:v>
      </x:c>
      <x:c r="E895" s="85" t="n">
        <x:f>D895+'Resumen'!$B$5^3/3</x:f>
        <x:v>0.031081071545671746</x:v>
      </x:c>
    </x:row>
    <x:row r="896">
      <x:c r="A896" s="89" t="n">
        <x:v>894</x:v>
      </x:c>
      <x:c r="B896" s="80" t="n">
        <x:v>-0.09587396686881852</x:v>
      </x:c>
      <x:c r="C896" s="84" t="n">
        <x:f>SQRT('Resumen'!$B$5^3/3)*B896</x:f>
        <x:v>-0.05535286057998963</x:v>
      </x:c>
      <x:c r="D896" s="84" t="n">
        <x:f>C896^2-'Resumen'!$B$5^3/3</x:f>
        <x:v>-0.3302693941589455</x:v>
      </x:c>
      <x:c r="E896" s="85" t="n">
        <x:f>D896+'Resumen'!$B$5^3/3</x:f>
        <x:v>0.0030639391743877975</x:v>
      </x:c>
    </x:row>
    <x:row r="897">
      <x:c r="A897" s="89" t="n">
        <x:v>895</x:v>
      </x:c>
      <x:c r="B897" s="80" t="n">
        <x:v>1.313109114550299</x:v>
      </x:c>
      <x:c r="C897" s="84" t="n">
        <x:f>SQRT('Resumen'!$B$5^3/3)*B897</x:f>
        <x:v>0.7581239007609663</x:v>
      </x:c>
      <x:c r="D897" s="84" t="n">
        <x:f>C897^2-'Resumen'!$B$5^3/3</x:f>
        <x:v>0.24141851557169008</x:v>
      </x:c>
      <x:c r="E897" s="85" t="n">
        <x:f>D897+'Resumen'!$B$5^3/3</x:f>
        <x:v>0.5747518489050234</x:v>
      </x:c>
    </x:row>
    <x:row r="898">
      <x:c r="A898" s="89" t="n">
        <x:v>896</x:v>
      </x:c>
      <x:c r="B898" s="80" t="n">
        <x:v>0.43472277545025056</x:v>
      </x:c>
      <x:c r="C898" s="84" t="n">
        <x:f>SQRT('Resumen'!$B$5^3/3)*B898</x:f>
        <x:v>0.2509873114290634</x:v>
      </x:c>
      <x:c r="D898" s="84" t="n">
        <x:f>C898^2-'Resumen'!$B$5^3/3</x:f>
        <x:v>-0.27033870283494366</x:v>
      </x:c>
      <x:c r="E898" s="85" t="n">
        <x:f>D898+'Resumen'!$B$5^3/3</x:f>
        <x:v>0.06299463049838966</x:v>
      </x:c>
    </x:row>
    <x:row r="899">
      <x:c r="A899" s="89" t="n">
        <x:v>897</x:v>
      </x:c>
      <x:c r="B899" s="80" t="n">
        <x:v>0.05179531256009325</x:v>
      </x:c>
      <x:c r="C899" s="84" t="n">
        <x:f>SQRT('Resumen'!$B$5^3/3)*B899</x:f>
        <x:v>0.029904037649330643</x:v>
      </x:c>
      <x:c r="D899" s="84" t="n">
        <x:f>C899^2-'Resumen'!$B$5^3/3</x:f>
        <x:v>-0.3324390818656007</x:v>
      </x:c>
      <x:c r="E899" s="85" t="n">
        <x:f>D899+'Resumen'!$B$5^3/3</x:f>
        <x:v>0.0008942514677325875</x:v>
      </x:c>
    </x:row>
    <x:row r="900">
      <x:c r="A900" s="89" t="n">
        <x:v>898</x:v>
      </x:c>
      <x:c r="B900" s="80" t="n">
        <x:v>-0.47947643467395</x:v>
      </x:c>
      <x:c r="C900" s="84" t="n">
        <x:f>SQRT('Resumen'!$B$5^3/3)*B900</x:f>
        <x:v>-0.27682584862908705</x:v>
      </x:c>
      <x:c r="D900" s="84" t="n">
        <x:f>C900^2-'Resumen'!$B$5^3/3</x:f>
        <x:v>-0.2567007828641191</x:v>
      </x:c>
      <x:c r="E900" s="85" t="n">
        <x:f>D900+'Resumen'!$B$5^3/3</x:f>
        <x:v>0.07663255046921419</x:v>
      </x:c>
    </x:row>
    <x:row r="901">
      <x:c r="A901" s="89" t="n">
        <x:v>899</x:v>
      </x:c>
      <x:c r="B901" s="80" t="n">
        <x:v>1.013814956653912</x:v>
      </x:c>
      <x:c r="C901" s="84" t="n">
        <x:f>SQRT('Resumen'!$B$5^3/3)*B901</x:f>
        <x:v>0.5853263381326049</x:v>
      </x:c>
      <x:c r="D901" s="84" t="n">
        <x:f>C901^2-'Resumen'!$B$5^3/3</x:f>
        <x:v>0.00927358877839124</x:v>
      </x:c>
      <x:c r="E901" s="85" t="n">
        <x:f>D901+'Resumen'!$B$5^3/3</x:f>
        <x:v>0.34260692211172455</x:v>
      </x:c>
    </x:row>
    <x:row r="902">
      <x:c r="A902" s="89" t="n">
        <x:v>900</x:v>
      </x:c>
      <x:c r="B902" s="80" t="n">
        <x:v>0.5210208284244884</x:v>
      </x:c>
      <x:c r="C902" s="84" t="n">
        <x:f>SQRT('Resumen'!$B$5^3/3)*B902</x:f>
        <x:v>0.30081151554428015</x:v>
      </x:c>
      <x:c r="D902" s="84" t="n">
        <x:f>C902^2-'Resumen'!$B$5^3/3</x:f>
        <x:v>-0.2428457654492866</x:v>
      </x:c>
      <x:c r="E902" s="85" t="n">
        <x:f>D902+'Resumen'!$B$5^3/3</x:f>
        <x:v>0.09048756788404672</x:v>
      </x:c>
    </x:row>
    <x:row r="903">
      <x:c r="A903" s="89" t="n">
        <x:v>901</x:v>
      </x:c>
      <x:c r="B903" s="80" t="n">
        <x:v>0.4717327901630204</x:v>
      </x:c>
      <x:c r="C903" s="84" t="n">
        <x:f>SQRT('Resumen'!$B$5^3/3)*B903</x:f>
        <x:v>0.27235505338619304</x:v>
      </x:c>
      <x:c r="D903" s="84" t="n">
        <x:f>C903^2-'Resumen'!$B$5^3/3</x:f>
        <x:v>-0.25915605822833726</x:v>
      </x:c>
      <x:c r="E903" s="85" t="n">
        <x:f>D903+'Resumen'!$B$5^3/3</x:f>
        <x:v>0.07417727510499605</x:v>
      </x:c>
    </x:row>
    <x:row r="904">
      <x:c r="A904" s="89" t="n">
        <x:v>902</x:v>
      </x:c>
      <x:c r="B904" s="80" t="n">
        <x:v>1.4033619230420105</x:v>
      </x:c>
      <x:c r="C904" s="84" t="n">
        <x:f>SQRT('Resumen'!$B$5^3/3)*B904</x:f>
        <x:v>0.8102313840387756</x:v>
      </x:c>
      <x:c r="D904" s="84" t="n">
        <x:f>C904^2-'Resumen'!$B$5^3/3</x:f>
        <x:v>0.3231415623480565</x:v>
      </x:c>
      <x:c r="E904" s="85" t="n">
        <x:f>D904+'Resumen'!$B$5^3/3</x:f>
        <x:v>0.6564748956813898</x:v>
      </x:c>
    </x:row>
    <x:row r="905">
      <x:c r="A905" s="89" t="n">
        <x:v>903</x:v>
      </x:c>
      <x:c r="B905" s="80" t="n">
        <x:v>0.8124510357047102</x:v>
      </x:c>
      <x:c r="C905" s="84" t="n">
        <x:f>SQRT('Resumen'!$B$5^3/3)*B905</x:f>
        <x:v>0.46906882416750467</x:v>
      </x:c>
      <x:c r="D905" s="84" t="n">
        <x:f>C905^2-'Resumen'!$B$5^3/3</x:f>
        <x:v>-0.11330777152744789</x:v>
      </x:c>
      <x:c r="E905" s="85" t="n">
        <x:f>D905+'Resumen'!$B$5^3/3</x:f>
        <x:v>0.22002556180588542</x:v>
      </x:c>
    </x:row>
    <x:row r="906">
      <x:c r="A906" s="89" t="n">
        <x:v>904</x:v>
      </x:c>
      <x:c r="B906" s="80" t="n">
        <x:v>0.40340688196753877</x:v>
      </x:c>
      <x:c r="C906" s="84" t="n">
        <x:f>SQRT('Resumen'!$B$5^3/3)*B906</x:f>
        <x:v>0.23290707189690607</x:v>
      </x:c>
      <x:c r="D906" s="84" t="n">
        <x:f>C906^2-'Resumen'!$B$5^3/3</x:f>
        <x:v>-0.27908762919374275</x:v>
      </x:c>
      <x:c r="E906" s="85" t="n">
        <x:f>D906+'Resumen'!$B$5^3/3</x:f>
        <x:v>0.05424570413959057</x:v>
      </x:c>
    </x:row>
    <x:row r="907">
      <x:c r="A907" s="89" t="n">
        <x:v>905</x:v>
      </x:c>
      <x:c r="B907" s="80" t="n">
        <x:v>-0.5626868534437172</x:v>
      </x:c>
      <x:c r="C907" s="84" t="n">
        <x:f>SQRT('Resumen'!$B$5^3/3)*B907</x:f>
        <x:v>-0.32486740630519356</x:v>
      </x:c>
      <x:c r="D907" s="84" t="n">
        <x:f>C907^2-'Resumen'!$B$5^3/3</x:f>
        <x:v>-0.2277945016538696</x:v>
      </x:c>
      <x:c r="E907" s="85" t="n">
        <x:f>D907+'Resumen'!$B$5^3/3</x:f>
        <x:v>0.10553883167946371</x:v>
      </x:c>
    </x:row>
    <x:row r="908">
      <x:c r="A908" s="89" t="n">
        <x:v>906</x:v>
      </x:c>
      <x:c r="B908" s="80" t="n">
        <x:v>-0.3751624120700463</x:v>
      </x:c>
      <x:c r="C908" s="84" t="n">
        <x:f>SQRT('Resumen'!$B$5^3/3)*B908</x:f>
        <x:v>-0.21660011959847053</x:v>
      </x:c>
      <x:c r="D908" s="84" t="n">
        <x:f>C908^2-'Resumen'!$B$5^3/3</x:f>
        <x:v>-0.28641772152326156</x:v>
      </x:c>
      <x:c r="E908" s="85" t="n">
        <x:f>D908+'Resumen'!$B$5^3/3</x:f>
        <x:v>0.046915611810071756</x:v>
      </x:c>
    </x:row>
    <x:row r="909">
      <x:c r="A909" s="89" t="n">
        <x:v>907</x:v>
      </x:c>
      <x:c r="B909" s="80" t="n">
        <x:v>-0.6171448678058526</x:v>
      </x:c>
      <x:c r="C909" s="84" t="n">
        <x:f>SQRT('Resumen'!$B$5^3/3)*B909</x:f>
        <x:v>-0.356308755556705</x:v>
      </x:c>
      <x:c r="D909" s="84" t="n">
        <x:f>C909^2-'Resumen'!$B$5^3/3</x:f>
        <x:v>-0.20637740404696556</x:v>
      </x:c>
      <x:c r="E909" s="85" t="n">
        <x:f>D909+'Resumen'!$B$5^3/3</x:f>
        <x:v>0.12695592928636776</x:v>
      </x:c>
    </x:row>
    <x:row r="910">
      <x:c r="A910" s="89" t="n">
        <x:v>908</x:v>
      </x:c>
      <x:c r="B910" s="80" t="n">
        <x:v>0.176438688001673</x:v>
      </x:c>
      <x:c r="C910" s="84" t="n">
        <x:f>SQRT('Resumen'!$B$5^3/3)*B910</x:f>
        <x:v>0.1018669240132303</x:v>
      </x:c>
      <x:c r="D910" s="84" t="n">
        <x:f>C910^2-'Resumen'!$B$5^3/3</x:f>
        <x:v>-0.3229564631254161</x:v>
      </x:c>
      <x:c r="E910" s="85" t="n">
        <x:f>D910+'Resumen'!$B$5^3/3</x:f>
        <x:v>0.010376870207917221</x:v>
      </x:c>
    </x:row>
    <x:row r="911">
      <x:c r="A911" s="89" t="n">
        <x:v>909</x:v>
      </x:c>
      <x:c r="B911" s="80" t="n">
        <x:v>-1.2886879369421387</x:v>
      </x:c>
      <x:c r="C911" s="84" t="n">
        <x:f>SQRT('Resumen'!$B$5^3/3)*B911</x:f>
        <x:v>-0.7440243272949671</x:v>
      </x:c>
      <x:c r="D911" s="84" t="n">
        <x:f>C911^2-'Resumen'!$B$5^3/3</x:f>
        <x:v>0.22023886627339512</x:v>
      </x:c>
      <x:c r="E911" s="85" t="n">
        <x:f>D911+'Resumen'!$B$5^3/3</x:f>
        <x:v>0.5535721996067284</x:v>
      </x:c>
    </x:row>
    <x:row r="912">
      <x:c r="A912" s="89" t="n">
        <x:v>910</x:v>
      </x:c>
      <x:c r="B912" s="80" t="n">
        <x:v>1.092898726836659</x:v>
      </x:c>
      <x:c r="C912" s="84" t="n">
        <x:f>SQRT('Resumen'!$B$5^3/3)*B912</x:f>
        <x:v>0.6309853741361443</x:v>
      </x:c>
      <x:c r="D912" s="84" t="n">
        <x:f>C912^2-'Resumen'!$B$5^3/3</x:f>
        <x:v>0.06480920904039672</x:v>
      </x:c>
      <x:c r="E912" s="85" t="n">
        <x:f>D912+'Resumen'!$B$5^3/3</x:f>
        <x:v>0.39814254237373004</x:v>
      </x:c>
    </x:row>
    <x:row r="913">
      <x:c r="A913" s="89" t="n">
        <x:v>911</x:v>
      </x:c>
      <x:c r="B913" s="80" t="n">
        <x:v>-0.6935104925466795</x:v>
      </x:c>
      <x:c r="C913" s="84" t="n">
        <x:f>SQRT('Resumen'!$B$5^3/3)*B913</x:f>
        <x:v>-0.40039846955765535</x:v>
      </x:c>
      <x:c r="D913" s="84" t="n">
        <x:f>C913^2-'Resumen'!$B$5^3/3</x:f>
        <x:v>-0.17301439890922066</x:v>
      </x:c>
      <x:c r="E913" s="85" t="n">
        <x:f>D913+'Resumen'!$B$5^3/3</x:f>
        <x:v>0.16031893442411266</x:v>
      </x:c>
    </x:row>
    <x:row r="914">
      <x:c r="A914" s="89" t="n">
        <x:v>912</x:v>
      </x:c>
      <x:c r="B914" s="80" t="n">
        <x:v>-1.4878925678759096</x:v>
      </x:c>
      <x:c r="C914" s="84" t="n">
        <x:f>SQRT('Resumen'!$B$5^3/3)*B914</x:f>
        <x:v>-0.8590351745883998</x:v>
      </x:c>
      <x:c r="D914" s="84" t="n">
        <x:f>C914^2-'Resumen'!$B$5^3/3</x:f>
        <x:v>0.40460809784678925</x:v>
      </x:c>
      <x:c r="E914" s="85" t="n">
        <x:f>D914+'Resumen'!$B$5^3/3</x:f>
        <x:v>0.7379414311801226</x:v>
      </x:c>
    </x:row>
    <x:row r="915">
      <x:c r="A915" s="89" t="n">
        <x:v>913</x:v>
      </x:c>
      <x:c r="B915" s="80" t="n">
        <x:v>-0.7854203150915584</x:v>
      </x:c>
      <x:c r="C915" s="84" t="n">
        <x:f>SQRT('Resumen'!$B$5^3/3)*B915</x:f>
        <x:v>-0.4534626303451119</x:v>
      </x:c>
      <x:c r="D915" s="84" t="n">
        <x:f>C915^2-'Resumen'!$B$5^3/3</x:f>
        <x:v>-0.1277049762138257</x:v>
      </x:c>
      <x:c r="E915" s="85" t="n">
        <x:f>D915+'Resumen'!$B$5^3/3</x:f>
        <x:v>0.2056283571195076</x:v>
      </x:c>
    </x:row>
    <x:row r="916">
      <x:c r="A916" s="89" t="n">
        <x:v>914</x:v>
      </x:c>
      <x:c r="B916" s="80" t="n">
        <x:v>0.6827446204950124</x:v>
      </x:c>
      <x:c r="C916" s="84" t="n">
        <x:f>SQRT('Resumen'!$B$5^3/3)*B916</x:f>
        <x:v>0.39418279043056426</x:v>
      </x:c>
      <x:c r="D916" s="84" t="n">
        <x:f>C916^2-'Resumen'!$B$5^3/3</x:f>
        <x:v>-0.17795326106170717</x:v>
      </x:c>
      <x:c r="E916" s="85" t="n">
        <x:f>D916+'Resumen'!$B$5^3/3</x:f>
        <x:v>0.15538007227162615</x:v>
      </x:c>
    </x:row>
    <x:row r="917">
      <x:c r="A917" s="89" t="n">
        <x:v>915</x:v>
      </x:c>
      <x:c r="B917" s="80" t="n">
        <x:v>0.09965048430345241</x:v>
      </x:c>
      <x:c r="C917" s="84" t="n">
        <x:f>SQRT('Resumen'!$B$5^3/3)*B917</x:f>
        <x:v>0.05753323393747482</x:v>
      </x:c>
      <x:c r="D917" s="84" t="n">
        <x:f>C917^2-'Resumen'!$B$5^3/3</x:f>
        <x:v>-0.33002326032602913</x:v>
      </x:c>
      <x:c r="E917" s="85" t="n">
        <x:f>D917+'Resumen'!$B$5^3/3</x:f>
        <x:v>0.0033100730073041817</x:v>
      </x:c>
    </x:row>
    <x:row r="918">
      <x:c r="A918" s="89" t="n">
        <x:v>916</x:v>
      </x:c>
      <x:c r="B918" s="80" t="n">
        <x:v>-0.8232549444193078</x:v>
      </x:c>
      <x:c r="C918" s="84" t="n">
        <x:f>SQRT('Resumen'!$B$5^3/3)*B918</x:f>
        <x:v>-0.4753064637721777</x:v>
      </x:c>
      <x:c r="D918" s="84" t="n">
        <x:f>C918^2-'Resumen'!$B$5^3/3</x:f>
        <x:v>-0.10741709882972081</x:v>
      </x:c>
      <x:c r="E918" s="85" t="n">
        <x:f>D918+'Resumen'!$B$5^3/3</x:f>
        <x:v>0.2259162345036125</x:v>
      </x:c>
    </x:row>
    <x:row r="919">
      <x:c r="A919" s="89" t="n">
        <x:v>917</x:v>
      </x:c>
      <x:c r="B919" s="80" t="n">
        <x:v>0.025193612794375306</x:v>
      </x:c>
      <x:c r="C919" s="84" t="n">
        <x:f>SQRT('Resumen'!$B$5^3/3)*B919</x:f>
        <x:v>0.014545539128691781</x:v>
      </x:c>
      <x:c r="D919" s="84" t="n">
        <x:f>C919^2-'Resumen'!$B$5^3/3</x:f>
        <x:v>-0.333121760624789</x:v>
      </x:c>
      <x:c r="E919" s="85" t="n">
        <x:f>D919+'Resumen'!$B$5^3/3</x:f>
        <x:v>0.00021157270854432753</x:v>
      </x:c>
    </x:row>
    <x:row r="920">
      <x:c r="A920" s="89" t="n">
        <x:v>918</x:v>
      </x:c>
      <x:c r="B920" s="80" t="n">
        <x:v>-0.23782614486252726</x:v>
      </x:c>
      <x:c r="C920" s="84" t="n">
        <x:f>SQRT('Resumen'!$B$5^3/3)*B920</x:f>
        <x:v>-0.13730898875671105</x:v>
      </x:c>
      <x:c r="D920" s="84" t="n">
        <x:f>C920^2-'Resumen'!$B$5^3/3</x:f>
        <x:v>-0.3144795749399427</x:v>
      </x:c>
      <x:c r="E920" s="85" t="n">
        <x:f>D920+'Resumen'!$B$5^3/3</x:f>
        <x:v>0.018853758393390596</x:v>
      </x:c>
    </x:row>
    <x:row r="921">
      <x:c r="A921" s="89" t="n">
        <x:v>919</x:v>
      </x:c>
      <x:c r="B921" s="80" t="n">
        <x:v>0.4572572774621466</x:v>
      </x:c>
      <x:c r="C921" s="84" t="n">
        <x:f>SQRT('Resumen'!$B$5^3/3)*B921</x:f>
        <x:v>0.2639976122316857</x:v>
      </x:c>
      <x:c r="D921" s="84" t="n">
        <x:f>C921^2-'Resumen'!$B$5^3/3</x:f>
        <x:v>-0.2636385940693018</x:v>
      </x:c>
      <x:c r="E921" s="85" t="n">
        <x:f>D921+'Resumen'!$B$5^3/3</x:f>
        <x:v>0.06969473926403152</x:v>
      </x:c>
    </x:row>
    <x:row r="922">
      <x:c r="A922" s="89" t="n">
        <x:v>920</x:v>
      </x:c>
      <x:c r="B922" s="80" t="n">
        <x:v>-0.7923704818708736</x:v>
      </x:c>
      <x:c r="C922" s="84" t="n">
        <x:f>SQRT('Resumen'!$B$5^3/3)*B922</x:f>
        <x:v>-0.4574753110060623</x:v>
      </x:c>
      <x:c r="D922" s="84" t="n">
        <x:f>C922^2-'Resumen'!$B$5^3/3</x:f>
        <x:v>-0.12404967315323986</x:v>
      </x:c>
      <x:c r="E922" s="85" t="n">
        <x:f>D922+'Resumen'!$B$5^3/3</x:f>
        <x:v>0.20928366018009345</x:v>
      </x:c>
    </x:row>
    <x:row r="923">
      <x:c r="A923" s="89" t="n">
        <x:v>921</x:v>
      </x:c>
      <x:c r="B923" s="80" t="n">
        <x:v>1.0108496862625211</x:v>
      </x:c>
      <x:c r="C923" s="84" t="n">
        <x:f>SQRT('Resumen'!$B$5^3/3)*B923</x:f>
        <x:v>0.5836143384739153</x:v>
      </x:c>
      <x:c r="D923" s="84" t="n">
        <x:f>C923^2-'Resumen'!$B$5^3/3</x:f>
        <x:v>0.007272362739012439</x:v>
      </x:c>
      <x:c r="E923" s="85" t="n">
        <x:f>D923+'Resumen'!$B$5^3/3</x:f>
        <x:v>0.34060569607234575</x:v>
      </x:c>
    </x:row>
    <x:row r="924">
      <x:c r="A924" s="89" t="n">
        <x:v>922</x:v>
      </x:c>
      <x:c r="B924" s="80" t="n">
        <x:v>-1.5905383380658082</x:v>
      </x:c>
      <x:c r="C924" s="84" t="n">
        <x:f>SQRT('Resumen'!$B$5^3/3)*B924</x:f>
        <x:v>-0.9182977376387144</x:v>
      </x:c>
      <x:c r="D924" s="84" t="n">
        <x:f>C924^2-'Resumen'!$B$5^3/3</x:f>
        <x:v>0.5099374016190477</x:v>
      </x:c>
      <x:c r="E924" s="85" t="n">
        <x:f>D924+'Resumen'!$B$5^3/3</x:f>
        <x:v>0.8432707349523809</x:v>
      </x:c>
    </x:row>
    <x:row r="925">
      <x:c r="A925" s="89" t="n">
        <x:v>923</x:v>
      </x:c>
      <x:c r="B925" s="80" t="n">
        <x:v>0.3086220208437591</x:v>
      </x:c>
      <x:c r="C925" s="84" t="n">
        <x:f>SQRT('Resumen'!$B$5^3/3)*B925</x:f>
        <x:v>0.17818300681199062</x:v>
      </x:c>
      <x:c r="D925" s="84" t="n">
        <x:f>C925^2-'Resumen'!$B$5^3/3</x:f>
        <x:v>-0.3015841494167714</x:v>
      </x:c>
      <x:c r="E925" s="85" t="n">
        <x:f>D925+'Resumen'!$B$5^3/3</x:f>
        <x:v>0.031749183916561896</x:v>
      </x:c>
    </x:row>
    <x:row r="926">
      <x:c r="A926" s="89" t="n">
        <x:v>924</x:v>
      </x:c>
      <x:c r="B926" s="80" t="n">
        <x:v>-0.7737371377408231</x:v>
      </x:c>
      <x:c r="C926" s="84" t="n">
        <x:f>SQRT('Resumen'!$B$5^3/3)*B926</x:f>
        <x:v>-0.44671734475667474</x:v>
      </x:c>
      <x:c r="D926" s="84" t="n">
        <x:f>C926^2-'Resumen'!$B$5^3/3</x:f>
        <x:v>-0.13377694722687952</x:v>
      </x:c>
      <x:c r="E926" s="85" t="n">
        <x:f>D926+'Resumen'!$B$5^3/3</x:f>
        <x:v>0.1995563861064538</x:v>
      </x:c>
    </x:row>
    <x:row r="927">
      <x:c r="A927" s="89" t="n">
        <x:v>925</x:v>
      </x:c>
      <x:c r="B927" s="80" t="n">
        <x:v>0.5057019034992251</x:v>
      </x:c>
      <x:c r="C927" s="84" t="n">
        <x:f>SQRT('Resumen'!$B$5^3/3)*B927</x:f>
        <x:v>0.2919671301149837</x:v>
      </x:c>
      <x:c r="D927" s="84" t="n">
        <x:f>C927^2-'Resumen'!$B$5^3/3</x:f>
        <x:v>-0.2480885282657535</x:v>
      </x:c>
      <x:c r="E927" s="85" t="n">
        <x:f>D927+'Resumen'!$B$5^3/3</x:f>
        <x:v>0.08524480506757981</x:v>
      </x:c>
    </x:row>
    <x:row r="928">
      <x:c r="A928" s="89" t="n">
        <x:v>926</x:v>
      </x:c>
      <x:c r="B928" s="80" t="n">
        <x:v>1.9555073800662106</x:v>
      </x:c>
      <x:c r="C928" s="84" t="n">
        <x:f>SQRT('Resumen'!$B$5^3/3)*B928</x:f>
        <x:v>1.1290127122835265</x:v>
      </x:c>
      <x:c r="D928" s="84" t="n">
        <x:f>C928^2-'Resumen'!$B$5^3/3</x:f>
        <x:v>0.9413363711644718</x:v>
      </x:c>
      <x:c r="E928" s="85" t="n">
        <x:f>D928+'Resumen'!$B$5^3/3</x:f>
        <x:v>1.274669704497805</x:v>
      </x:c>
    </x:row>
    <x:row r="929">
      <x:c r="A929" s="89" t="n">
        <x:v>927</x:v>
      </x:c>
      <x:c r="B929" s="80" t="n">
        <x:v>0.12415564326074895</x:v>
      </x:c>
      <x:c r="C929" s="84" t="n">
        <x:f>SQRT('Resumen'!$B$5^3/3)*B929</x:f>
        <x:v>0.07168129405800455</x:v>
      </x:c>
      <x:c r="D929" s="84" t="n">
        <x:f>C929^2-'Resumen'!$B$5^3/3</x:f>
        <x:v>-0.3281951254155032</x:v>
      </x:c>
      <x:c r="E929" s="85" t="n">
        <x:f>D929+'Resumen'!$B$5^3/3</x:f>
        <x:v>0.0051382079178300955</x:v>
      </x:c>
    </x:row>
    <x:row r="930">
      <x:c r="A930" s="89" t="n">
        <x:v>928</x:v>
      </x:c>
      <x:c r="B930" s="80" t="n">
        <x:v>0.9507472369675182</x:v>
      </x:c>
      <x:c r="C930" s="84" t="n">
        <x:f>SQRT('Resumen'!$B$5^3/3)*B930</x:f>
        <x:v>0.5489141731944895</x:v>
      </x:c>
      <x:c r="D930" s="84" t="n">
        <x:f>C930^2-'Resumen'!$B$5^3/3</x:f>
        <x:v>-0.03202656379954327</x:v>
      </x:c>
      <x:c r="E930" s="85" t="n">
        <x:f>D930+'Resumen'!$B$5^3/3</x:f>
        <x:v>0.30130676953379004</x:v>
      </x:c>
    </x:row>
    <x:row r="931">
      <x:c r="A931" s="89" t="n">
        <x:v>929</x:v>
      </x:c>
      <x:c r="B931" s="80" t="n">
        <x:v>-0.1765666796349115</x:v>
      </x:c>
      <x:c r="C931" s="84" t="n">
        <x:f>SQRT('Resumen'!$B$5^3/3)*B931</x:f>
        <x:v>-0.10194082001713456</x:v>
      </x:c>
      <x:c r="D931" s="84" t="n">
        <x:f>C931^2-'Resumen'!$B$5^3/3</x:f>
        <x:v>-0.3229414025475675</x:v>
      </x:c>
      <x:c r="E931" s="85" t="n">
        <x:f>D931+'Resumen'!$B$5^3/3</x:f>
        <x:v>0.010391930785765835</x:v>
      </x:c>
    </x:row>
    <x:row r="932">
      <x:c r="A932" s="89" t="n">
        <x:v>930</x:v>
      </x:c>
      <x:c r="B932" s="80" t="n">
        <x:v>0.2648509804396917</x:v>
      </x:c>
      <x:c r="C932" s="84" t="n">
        <x:f>SQRT('Resumen'!$B$5^3/3)*B932</x:f>
        <x:v>0.1529117848519923</x:v>
      </x:c>
      <x:c r="D932" s="84" t="n">
        <x:f>C932^2-'Resumen'!$B$5^3/3</x:f>
        <x:v>-0.30995131938671133</x:v>
      </x:c>
      <x:c r="E932" s="85" t="n">
        <x:f>D932+'Resumen'!$B$5^3/3</x:f>
        <x:v>0.023382013946621982</x:v>
      </x:c>
    </x:row>
    <x:row r="933">
      <x:c r="A933" s="89" t="n">
        <x:v>931</x:v>
      </x:c>
      <x:c r="B933" s="80" t="n">
        <x:v>0.9743950559666377</x:v>
      </x:c>
      <x:c r="C933" s="84" t="n">
        <x:f>SQRT('Resumen'!$B$5^3/3)*B933</x:f>
        <x:v>0.5625672478593787</x:v>
      </x:c>
      <x:c r="D933" s="84" t="n">
        <x:f>C933^2-'Resumen'!$B$5^3/3</x:f>
        <x:v>-0.016851424969257678</x:v>
      </x:c>
      <x:c r="E933" s="85" t="n">
        <x:f>D933+'Resumen'!$B$5^3/3</x:f>
        <x:v>0.31648190836407564</x:v>
      </x:c>
    </x:row>
    <x:row r="934">
      <x:c r="A934" s="89" t="n">
        <x:v>932</x:v>
      </x:c>
      <x:c r="B934" s="80" t="n">
        <x:v>1.7746948413956487</x:v>
      </x:c>
      <x:c r="C934" s="84" t="n">
        <x:f>SQRT('Resumen'!$B$5^3/3)*B934</x:f>
        <x:v>1.024620544409218</x:v>
      </x:c>
      <x:c r="D934" s="84" t="n">
        <x:f>C934^2-'Resumen'!$B$5^3/3</x:f>
        <x:v>0.716513926692109</x:v>
      </x:c>
      <x:c r="E934" s="85" t="n">
        <x:f>D934+'Resumen'!$B$5^3/3</x:f>
        <x:v>1.0498472600254423</x:v>
      </x:c>
    </x:row>
    <x:row r="935">
      <x:c r="A935" s="89" t="n">
        <x:v>933</x:v>
      </x:c>
      <x:c r="B935" s="80" t="n">
        <x:v>0.3386211699674276</x:v>
      </x:c>
      <x:c r="C935" s="84" t="n">
        <x:f>SQRT('Resumen'!$B$5^3/3)*B935</x:f>
        <x:v>0.19550302363400032</x:v>
      </x:c>
      <x:c r="D935" s="84" t="n">
        <x:f>C935^2-'Resumen'!$B$5^3/3</x:f>
        <x:v>-0.2951119010832968</x:v>
      </x:c>
      <x:c r="E935" s="85" t="n">
        <x:f>D935+'Resumen'!$B$5^3/3</x:f>
        <x:v>0.03822143225003649</x:v>
      </x:c>
    </x:row>
    <x:row r="936">
      <x:c r="A936" s="89" t="n">
        <x:v>934</x:v>
      </x:c>
      <x:c r="B936" s="80" t="n">
        <x:v>-0.6057069791386137</x:v>
      </x:c>
      <x:c r="C936" s="84" t="n">
        <x:f>SQRT('Resumen'!$B$5^3/3)*B936</x:f>
        <x:v>-0.34970508745571366</x:v>
      </x:c>
      <x:c r="D936" s="84" t="n">
        <x:f>C936^2-'Resumen'!$B$5^3/3</x:f>
        <x:v>-0.21103968514092497</x:v>
      </x:c>
      <x:c r="E936" s="85" t="n">
        <x:f>D936+'Resumen'!$B$5^3/3</x:f>
        <x:v>0.12229364819240834</x:v>
      </x:c>
    </x:row>
    <x:row r="937">
      <x:c r="A937" s="89" t="n">
        <x:v>935</x:v>
      </x:c>
      <x:c r="B937" s="80" t="n">
        <x:v>0.45516553025212264</x:v>
      </x:c>
      <x:c r="C937" s="84" t="n">
        <x:f>SQRT('Resumen'!$B$5^3/3)*B937</x:f>
        <x:v>0.26278994141690176</x:v>
      </x:c>
      <x:c r="D937" s="84" t="n">
        <x:f>C937^2-'Resumen'!$B$5^3/3</x:f>
        <x:v>-0.26427478002343463</x:v>
      </x:c>
      <x:c r="E937" s="85" t="n">
        <x:f>D937+'Resumen'!$B$5^3/3</x:f>
        <x:v>0.06905855330989868</x:v>
      </x:c>
    </x:row>
    <x:row r="938">
      <x:c r="A938" s="89" t="n">
        <x:v>936</x:v>
      </x:c>
      <x:c r="B938" s="80" t="n">
        <x:v>1.157089588730054</x:v>
      </x:c>
      <x:c r="C938" s="84" t="n">
        <x:f>SQRT('Resumen'!$B$5^3/3)*B938</x:f>
        <x:v>0.6680459855298101</x:v>
      </x:c>
      <x:c r="D938" s="84" t="n">
        <x:f>C938^2-'Resumen'!$B$5^3/3</x:f>
        <x:v>0.1129521054491619</x:v>
      </x:c>
      <x:c r="E938" s="85" t="n">
        <x:f>D938+'Resumen'!$B$5^3/3</x:f>
        <x:v>0.4462854387824952</x:v>
      </x:c>
    </x:row>
    <x:row r="939">
      <x:c r="A939" s="89" t="n">
        <x:v>937</x:v>
      </x:c>
      <x:c r="B939" s="80" t="n">
        <x:v>-0.27169804540210074</x:v>
      </x:c>
      <x:c r="C939" s="84" t="n">
        <x:f>SQRT('Resumen'!$B$5^3/3)*B939</x:f>
        <x:v>-0.15686493965119802</x:v>
      </x:c>
      <x:c r="D939" s="84" t="n">
        <x:f>C939^2-'Resumen'!$B$5^3/3</x:f>
        <x:v>-0.3087267240415593</x:v>
      </x:c>
      <x:c r="E939" s="85" t="n">
        <x:f>D939+'Resumen'!$B$5^3/3</x:f>
        <x:v>0.024606609291773995</x:v>
      </x:c>
    </x:row>
    <x:row r="940">
      <x:c r="A940" s="89" t="n">
        <x:v>938</x:v>
      </x:c>
      <x:c r="B940" s="80" t="n">
        <x:v>0.13748548391956916</x:v>
      </x:c>
      <x:c r="C940" s="84" t="n">
        <x:f>SQRT('Resumen'!$B$5^3/3)*B940</x:f>
        <x:v>0.07937728115062921</x:v>
      </x:c>
      <x:c r="D940" s="84" t="n">
        <x:f>C940^2-'Resumen'!$B$5^3/3</x:f>
        <x:v>-0.3270325805704673</x:v>
      </x:c>
      <x:c r="E940" s="85" t="n">
        <x:f>D940+'Resumen'!$B$5^3/3</x:f>
        <x:v>0.006300752762866013</x:v>
      </x:c>
    </x:row>
    <x:row r="941">
      <x:c r="A941" s="89" t="n">
        <x:v>939</x:v>
      </x:c>
      <x:c r="B941" s="80" t="n">
        <x:v>-0.3998527309776104</x:v>
      </x:c>
      <x:c r="C941" s="84" t="n">
        <x:f>SQRT('Resumen'!$B$5^3/3)*B941</x:f>
        <x:v>-0.23085508186613038</x:v>
      </x:c>
      <x:c r="D941" s="84" t="n">
        <x:f>C941^2-'Resumen'!$B$5^3/3</x:f>
        <x:v>-0.28003926450991556</x:v>
      </x:c>
      <x:c r="E941" s="85" t="n">
        <x:f>D941+'Resumen'!$B$5^3/3</x:f>
        <x:v>0.05329406882341775</x:v>
      </x:c>
    </x:row>
    <x:row r="942">
      <x:c r="A942" s="89" t="n">
        <x:v>940</x:v>
      </x:c>
      <x:c r="B942" s="80" t="n">
        <x:v>-2.1754388315027047</x:v>
      </x:c>
      <x:c r="C942" s="84" t="n">
        <x:f>SQRT('Resumen'!$B$5^3/3)*B942</x:f>
        <x:v>-1.2559901949736514</x:v>
      </x:c>
      <x:c r="D942" s="84" t="n">
        <x:f>C942^2-'Resumen'!$B$5^3/3</x:f>
        <x:v>1.2441780365366175</x:v>
      </x:c>
      <x:c r="E942" s="85" t="n">
        <x:f>D942+'Resumen'!$B$5^3/3</x:f>
        <x:v>1.5775113698699508</x:v>
      </x:c>
    </x:row>
    <x:row r="943">
      <x:c r="A943" s="89" t="n">
        <x:v>941</x:v>
      </x:c>
      <x:c r="B943" s="80" t="n">
        <x:v>-0.794801885306775</x:v>
      </x:c>
      <x:c r="C943" s="84" t="n">
        <x:f>SQRT('Resumen'!$B$5^3/3)*B943</x:f>
        <x:v>-0.45887908243428854</x:v>
      </x:c>
      <x:c r="D943" s="84" t="n">
        <x:f>C943^2-'Resumen'!$B$5^3/3</x:f>
        <x:v>-0.12276332103759874</x:v>
      </x:c>
      <x:c r="E943" s="85" t="n">
        <x:f>D943+'Resumen'!$B$5^3/3</x:f>
        <x:v>0.21057001229573458</x:v>
      </x:c>
    </x:row>
    <x:row r="944">
      <x:c r="A944" s="89" t="n">
        <x:v>942</x:v>
      </x:c>
      <x:c r="B944" s="80" t="n">
        <x:v>0.6630859965353137</x:v>
      </x:c>
      <x:c r="C944" s="84" t="n">
        <x:f>SQRT('Resumen'!$B$5^3/3)*B944</x:f>
        <x:v>0.3828328785955346</x:v>
      </x:c>
      <x:c r="D944" s="84" t="n">
        <x:f>C944^2-'Resumen'!$B$5^3/3</x:f>
        <x:v>-0.18677232039958996</x:v>
      </x:c>
      <x:c r="E944" s="85" t="n">
        <x:f>D944+'Resumen'!$B$5^3/3</x:f>
        <x:v>0.14656101293374335</x:v>
      </x:c>
    </x:row>
    <x:row r="945">
      <x:c r="A945" s="89" t="n">
        <x:v>943</x:v>
      </x:c>
      <x:c r="B945" s="80" t="n">
        <x:v>-0.822470853009231</x:v>
      </x:c>
      <x:c r="C945" s="84" t="n">
        <x:f>SQRT('Resumen'!$B$5^3/3)*B945</x:f>
        <x:v>-0.4748537683855006</x:v>
      </x:c>
      <x:c r="D945" s="84" t="n">
        <x:f>C945^2-'Resumen'!$B$5^3/3</x:f>
        <x:v>-0.10784723198342269</x:v>
      </x:c>
      <x:c r="E945" s="85" t="n">
        <x:f>D945+'Resumen'!$B$5^3/3</x:f>
        <x:v>0.22548610134991062</x:v>
      </x:c>
    </x:row>
    <x:row r="946">
      <x:c r="A946" s="89" t="n">
        <x:v>944</x:v>
      </x:c>
      <x:c r="B946" s="80" t="n">
        <x:v>-1.5522458748291925</x:v>
      </x:c>
      <x:c r="C946" s="84" t="n">
        <x:f>SQRT('Resumen'!$B$5^3/3)*B946</x:f>
        <x:v>-0.8961895736811204</x:v>
      </x:c>
      <x:c r="D946" s="84" t="n">
        <x:f>C946^2-'Resumen'!$B$5^3/3</x:f>
        <x:v>0.469822418641415</x:v>
      </x:c>
      <x:c r="E946" s="85" t="n">
        <x:f>D946+'Resumen'!$B$5^3/3</x:f>
        <x:v>0.8031557519747483</x:v>
      </x:c>
    </x:row>
    <x:row r="947">
      <x:c r="A947" s="89" t="n">
        <x:v>945</x:v>
      </x:c>
      <x:c r="B947" s="80" t="n">
        <x:v>-0.7982833096046266</x:v>
      </x:c>
      <x:c r="C947" s="84" t="n">
        <x:f>SQRT('Resumen'!$B$5^3/3)*B947</x:f>
        <x:v>-0.4608890836898165</x:v>
      </x:c>
      <x:c r="D947" s="84" t="n">
        <x:f>C947^2-'Resumen'!$B$5^3/3</x:f>
        <x:v>-0.12091458586889461</x:v>
      </x:c>
      <x:c r="E947" s="85" t="n">
        <x:f>D947+'Resumen'!$B$5^3/3</x:f>
        <x:v>0.2124187474644387</x:v>
      </x:c>
    </x:row>
    <x:row r="948">
      <x:c r="A948" s="89" t="n">
        <x:v>946</x:v>
      </x:c>
      <x:c r="B948" s="80" t="n">
        <x:v>0.2890711934658788</x:v>
      </x:c>
      <x:c r="C948" s="84" t="n">
        <x:f>SQRT('Resumen'!$B$5^3/3)*B948</x:f>
        <x:v>0.1668953313624915</x:v>
      </x:c>
      <x:c r="D948" s="84" t="n">
        <x:f>C948^2-'Resumen'!$B$5^3/3</x:f>
        <x:v>-0.30547928170273747</x:v>
      </x:c>
      <x:c r="E948" s="85" t="n">
        <x:f>D948+'Resumen'!$B$5^3/3</x:f>
        <x:v>0.027854051630595844</x:v>
      </x:c>
    </x:row>
    <x:row r="949">
      <x:c r="A949" s="89" t="n">
        <x:v>947</x:v>
      </x:c>
      <x:c r="B949" s="80" t="n">
        <x:v>-0.07479400212300098</x:v>
      </x:c>
      <x:c r="C949" s="84" t="n">
        <x:f>SQRT('Resumen'!$B$5^3/3)*B949</x:f>
        <x:v>-0.043182337259484053</x:v>
      </x:c>
      <x:c r="D949" s="84" t="n">
        <x:f>C949^2-'Resumen'!$B$5^3/3</x:f>
        <x:v>-0.3314686190821415</x:v>
      </x:c>
      <x:c r="E949" s="85" t="n">
        <x:f>D949+'Resumen'!$B$5^3/3</x:f>
        <x:v>0.0018647142511918346</x:v>
      </x:c>
    </x:row>
    <x:row r="950">
      <x:c r="A950" s="89" t="n">
        <x:v>948</x:v>
      </x:c>
      <x:c r="B950" s="80" t="n">
        <x:v>-0.5254422261856426</x:v>
      </x:c>
      <x:c r="C950" s="84" t="n">
        <x:f>SQRT('Resumen'!$B$5^3/3)*B950</x:f>
        <x:v>-0.30336421073187697</x:v>
      </x:c>
      <x:c r="D950" s="84" t="n">
        <x:f>C950^2-'Resumen'!$B$5^3/3</x:f>
        <x:v>-0.24130348898035864</x:v>
      </x:c>
      <x:c r="E950" s="85" t="n">
        <x:f>D950+'Resumen'!$B$5^3/3</x:f>
        <x:v>0.09202984435297468</x:v>
      </x:c>
    </x:row>
    <x:row r="951">
      <x:c r="A951" s="89" t="n">
        <x:v>949</x:v>
      </x:c>
      <x:c r="B951" s="80" t="n">
        <x:v>1.0698470266482158</x:v>
      </x:c>
      <x:c r="C951" s="84" t="n">
        <x:f>SQRT('Resumen'!$B$5^3/3)*B951</x:f>
        <x:v>0.6176764688270681</x:v>
      </x:c>
      <x:c r="D951" s="84" t="n">
        <x:f>C951^2-'Resumen'!$B$5^3/3</x:f>
        <x:v>0.04819088680934269</x:v>
      </x:c>
      <x:c r="E951" s="85" t="n">
        <x:f>D951+'Resumen'!$B$5^3/3</x:f>
        <x:v>0.381524220142676</x:v>
      </x:c>
    </x:row>
    <x:row r="952">
      <x:c r="A952" s="89" t="n">
        <x:v>950</x:v>
      </x:c>
      <x:c r="B952" s="80" t="n">
        <x:v>0.19491042202504347</x:v>
      </x:c>
      <x:c r="C952" s="84" t="n">
        <x:f>SQRT('Resumen'!$B$5^3/3)*B952</x:f>
        <x:v>0.11253158462402241</x:v>
      </x:c>
      <x:c r="D952" s="84" t="n">
        <x:f>C952^2-'Resumen'!$B$5^3/3</x:f>
        <x:v>-0.3206699757953398</x:v>
      </x:c>
      <x:c r="E952" s="85" t="n">
        <x:f>D952+'Resumen'!$B$5^3/3</x:f>
        <x:v>0.012663357537993525</x:v>
      </x:c>
    </x:row>
    <x:row r="953">
      <x:c r="A953" s="89" t="n">
        <x:v>951</x:v>
      </x:c>
      <x:c r="B953" s="80" t="n">
        <x:v>-1.7077022099020147</x:v>
      </x:c>
      <x:c r="C953" s="84" t="n">
        <x:f>SQRT('Resumen'!$B$5^3/3)*B953</x:f>
        <x:v>-0.9859423305826469</x:v>
      </x:c>
      <x:c r="D953" s="84" t="n">
        <x:f>C953^2-'Resumen'!$B$5^3/3</x:f>
        <x:v>0.6387489459014082</x:v>
      </x:c>
      <x:c r="E953" s="85" t="n">
        <x:f>D953+'Resumen'!$B$5^3/3</x:f>
        <x:v>0.9720822792347414</x:v>
      </x:c>
    </x:row>
    <x:row r="954">
      <x:c r="A954" s="89" t="n">
        <x:v>952</x:v>
      </x:c>
      <x:c r="B954" s="80" t="n">
        <x:v>-0.7874580472518451</x:v>
      </x:c>
      <x:c r="C954" s="84" t="n">
        <x:f>SQRT('Resumen'!$B$5^3/3)*B954</x:f>
        <x:v>-0.4546391155563898</x:v>
      </x:c>
      <x:c r="D954" s="84" t="n">
        <x:f>C954^2-'Resumen'!$B$5^3/3</x:f>
        <x:v>-0.12663660793943696</x:v>
      </x:c>
      <x:c r="E954" s="85" t="n">
        <x:f>D954+'Resumen'!$B$5^3/3</x:f>
        <x:v>0.20669672539389636</x:v>
      </x:c>
    </x:row>
    <x:row r="955">
      <x:c r="A955" s="89" t="n">
        <x:v>953</x:v>
      </x:c>
      <x:c r="B955" s="80" t="n">
        <x:v>0.2998655819288594</x:v>
      </x:c>
      <x:c r="C955" s="84" t="n">
        <x:f>SQRT('Resumen'!$B$5^3/3)*B955</x:f>
        <x:v>0.17312747444733076</x:v>
      </x:c>
      <x:c r="D955" s="84" t="n">
        <x:f>C955^2-'Resumen'!$B$5^3/3</x:f>
        <x:v>-0.3033602109248221</x:v>
      </x:c>
      <x:c r="E955" s="85" t="n">
        <x:f>D955+'Resumen'!$B$5^3/3</x:f>
        <x:v>0.029973122408511188</x:v>
      </x:c>
    </x:row>
    <x:row r="956">
      <x:c r="A956" s="89" t="n">
        <x:v>954</x:v>
      </x:c>
      <x:c r="B956" s="80" t="n">
        <x:v>0.5264046937705634</x:v>
      </x:c>
      <x:c r="C956" s="84" t="n">
        <x:f>SQRT('Resumen'!$B$5^3/3)*B956</x:f>
        <x:v>0.30391989165111727</x:v>
      </x:c>
      <x:c r="D956" s="84" t="n">
        <x:f>C956^2-'Resumen'!$B$5^3/3</x:f>
        <x:v>-0.24096603279210646</x:v>
      </x:c>
      <x:c r="E956" s="85" t="n">
        <x:f>D956+'Resumen'!$B$5^3/3</x:f>
        <x:v>0.09236730054122685</x:v>
      </x:c>
    </x:row>
    <x:row r="957">
      <x:c r="A957" s="89" t="n">
        <x:v>955</x:v>
      </x:c>
      <x:c r="B957" s="80" t="n">
        <x:v>0.6983456588850337</x:v>
      </x:c>
      <x:c r="C957" s="84" t="n">
        <x:f>SQRT('Resumen'!$B$5^3/3)*B957</x:f>
        <x:v>0.4031900541446808</x:v>
      </x:c>
      <x:c r="D957" s="84" t="n">
        <x:f>C957^2-'Resumen'!$B$5^3/3</x:f>
        <x:v>-0.1707711135721427</x:v>
      </x:c>
      <x:c r="E957" s="85" t="n">
        <x:f>D957+'Resumen'!$B$5^3/3</x:f>
        <x:v>0.16256221976119062</x:v>
      </x:c>
    </x:row>
    <x:row r="958">
      <x:c r="A958" s="89" t="n">
        <x:v>956</x:v>
      </x:c>
      <x:c r="B958" s="80" t="n">
        <x:v>-0.45278658801071753</x:v>
      </x:c>
      <x:c r="C958" s="84" t="n">
        <x:f>SQRT('Resumen'!$B$5^3/3)*B958</x:f>
        <x:v>-0.2614164584734399</x:v>
      </x:c>
      <x:c r="D958" s="84" t="n">
        <x:f>C958^2-'Resumen'!$B$5^3/3</x:f>
        <x:v>-0.26499476857253756</x:v>
      </x:c>
      <x:c r="E958" s="85" t="n">
        <x:f>D958+'Resumen'!$B$5^3/3</x:f>
        <x:v>0.06833856476079575</x:v>
      </x:c>
    </x:row>
    <x:row r="959">
      <x:c r="A959" s="89" t="n">
        <x:v>957</x:v>
      </x:c>
      <x:c r="B959" s="80" t="n">
        <x:v>0.31850161728068954</x:v>
      </x:c>
      <x:c r="C959" s="84" t="n">
        <x:f>SQRT('Resumen'!$B$5^3/3)*B959</x:f>
        <x:v>0.18388699447433726</x:v>
      </x:c>
      <x:c r="D959" s="84" t="n">
        <x:f>C959^2-'Resumen'!$B$5^3/3</x:f>
        <x:v>-0.29951890659652836</x:v>
      </x:c>
      <x:c r="E959" s="85" t="n">
        <x:f>D959+'Resumen'!$B$5^3/3</x:f>
        <x:v>0.03381442673680496</x:v>
      </x:c>
    </x:row>
    <x:row r="960">
      <x:c r="A960" s="89" t="n">
        <x:v>958</x:v>
      </x:c>
      <x:c r="B960" s="80" t="n">
        <x:v>-1.0994743941376204</x:v>
      </x:c>
      <x:c r="C960" s="84" t="n">
        <x:f>SQRT('Resumen'!$B$5^3/3)*B960</x:f>
        <x:v>-0.6347818374224558</x:v>
      </x:c>
      <x:c r="D960" s="84" t="n">
        <x:f>C960^2-'Resumen'!$B$5^3/3</x:f>
        <x:v>0.06961464778809573</x:v>
      </x:c>
      <x:c r="E960" s="85" t="n">
        <x:f>D960+'Resumen'!$B$5^3/3</x:f>
        <x:v>0.40294798112142904</x:v>
      </x:c>
    </x:row>
    <x:row r="961">
      <x:c r="A961" s="89" t="n">
        <x:v>959</x:v>
      </x:c>
      <x:c r="B961" s="80" t="n">
        <x:v>-0.6402078244212779</x:v>
      </x:c>
      <x:c r="C961" s="84" t="n">
        <x:f>SQRT('Resumen'!$B$5^3/3)*B961</x:f>
        <x:v>-0.3696241597669294</x:v>
      </x:c>
      <x:c r="D961" s="84" t="n">
        <x:f>C961^2-'Resumen'!$B$5^3/3</x:f>
        <x:v>-0.19671131384992474</x:v>
      </x:c>
      <x:c r="E961" s="85" t="n">
        <x:f>D961+'Resumen'!$B$5^3/3</x:f>
        <x:v>0.13662201948340857</x:v>
      </x:c>
    </x:row>
    <x:row r="962">
      <x:c r="A962" s="89" t="n">
        <x:v>960</x:v>
      </x:c>
      <x:c r="B962" s="80" t="n">
        <x:v>0.037085424771856314</x:v>
      </x:c>
      <x:c r="C962" s="84" t="n">
        <x:f>SQRT('Resumen'!$B$5^3/3)*B962</x:f>
        <x:v>0.021411279975042857</x:v>
      </x:c>
      <x:c r="D962" s="84" t="n">
        <x:f>C962^2-'Resumen'!$B$5^3/3</x:f>
        <x:v>-0.33287489042316365</x:v>
      </x:c>
      <x:c r="E962" s="85" t="n">
        <x:f>D962+'Resumen'!$B$5^3/3</x:f>
        <x:v>0.0004584429101696652</x:v>
      </x:c>
    </x:row>
    <x:row r="963">
      <x:c r="A963" s="89" t="n">
        <x:v>961</x:v>
      </x:c>
      <x:c r="B963" s="80" t="n">
        <x:v>0.9946522096562789</x:v>
      </x:c>
      <x:c r="C963" s="84" t="n">
        <x:f>SQRT('Resumen'!$B$5^3/3)*B963</x:f>
        <x:v>0.5742627209951087</x:v>
      </x:c>
      <x:c r="D963" s="84" t="n">
        <x:f>C963^2-'Resumen'!$B$5^3/3</x:f>
        <x:v>-0.0035556606086272757</x:v>
      </x:c>
      <x:c r="E963" s="85" t="n">
        <x:f>D963+'Resumen'!$B$5^3/3</x:f>
        <x:v>0.32977767272470604</x:v>
      </x:c>
    </x:row>
    <x:row r="964">
      <x:c r="A964" s="89" t="n">
        <x:v>962</x:v>
      </x:c>
      <x:c r="B964" s="80" t="n">
        <x:v>0.5174613797800912</x:v>
      </x:c>
      <x:c r="C964" s="84" t="n">
        <x:f>SQRT('Resumen'!$B$5^3/3)*B964</x:f>
        <x:v>0.29875646691127083</x:v>
      </x:c>
      <x:c r="D964" s="84" t="n">
        <x:f>C964^2-'Resumen'!$B$5^3/3</x:f>
        <x:v>-0.24407790681202807</x:v>
      </x:c>
      <x:c r="E964" s="85" t="n">
        <x:f>D964+'Resumen'!$B$5^3/3</x:f>
        <x:v>0.08925542652130525</x:v>
      </x:c>
    </x:row>
    <x:row r="965">
      <x:c r="A965" s="89" t="n">
        <x:v>963</x:v>
      </x:c>
      <x:c r="B965" s="80" t="n">
        <x:v>0.14357140760334322</x:v>
      </x:c>
      <x:c r="C965" s="84" t="n">
        <x:f>SQRT('Resumen'!$B$5^3/3)*B965</x:f>
        <x:v>0.08289099082772369</x:v>
      </x:c>
      <x:c r="D965" s="84" t="n">
        <x:f>C965^2-'Resumen'!$B$5^3/3</x:f>
        <x:v>-0.32646241697293155</x:v>
      </x:c>
      <x:c r="E965" s="85" t="n">
        <x:f>D965+'Resumen'!$B$5^3/3</x:f>
        <x:v>0.006870916360401769</x:v>
      </x:c>
    </x:row>
    <x:row r="966">
      <x:c r="A966" s="89" t="n">
        <x:v>964</x:v>
      </x:c>
      <x:c r="B966" s="80" t="n">
        <x:v>-0.16834385133877725</x:v>
      </x:c>
      <x:c r="C966" s="84" t="n">
        <x:f>SQRT('Resumen'!$B$5^3/3)*B966</x:f>
        <x:v>-0.09719336788686138</x:v>
      </x:c>
      <x:c r="D966" s="84" t="n">
        <x:f>C966^2-'Resumen'!$B$5^3/3</x:f>
        <x:v>-0.32388678257214254</x:v>
      </x:c>
      <x:c r="E966" s="85" t="n">
        <x:f>D966+'Resumen'!$B$5^3/3</x:f>
        <x:v>0.009446550761190775</x:v>
      </x:c>
    </x:row>
    <x:row r="967">
      <x:c r="A967" s="89" t="n">
        <x:v>965</x:v>
      </x:c>
      <x:c r="B967" s="80" t="n">
        <x:v>0.000338128028869493</x:v>
      </x:c>
      <x:c r="C967" s="84" t="n">
        <x:f>SQRT('Resumen'!$B$5^3/3)*B967</x:f>
        <x:v>0.00019521830848835933</x:v>
      </x:c>
      <x:c r="D967" s="84" t="n">
        <x:f>C967^2-'Resumen'!$B$5^3/3</x:f>
        <x:v>-0.33333329522314536</x:v>
      </x:c>
      <x:c r="E967" s="85" t="n">
        <x:f>D967+'Resumen'!$B$5^3/3</x:f>
        <x:v>3.811018794985799e-8</x:v>
      </x:c>
    </x:row>
    <x:row r="968">
      <x:c r="A968" s="89" t="n">
        <x:v>966</x:v>
      </x:c>
      <x:c r="B968" s="80" t="n">
        <x:v>0.6649459697822655</x:v>
      </x:c>
      <x:c r="C968" s="84" t="n">
        <x:f>SQRT('Resumen'!$B$5^3/3)*B968</x:f>
        <x:v>0.38390673465034775</x:v>
      </x:c>
      <x:c r="D968" s="84" t="n">
        <x:f>C968^2-'Resumen'!$B$5^3/3</x:f>
        <x:v>-0.1859489524234408</x:v>
      </x:c>
      <x:c r="E968" s="85" t="n">
        <x:f>D968+'Resumen'!$B$5^3/3</x:f>
        <x:v>0.1473843809098925</x:v>
      </x:c>
    </x:row>
    <x:row r="969">
      <x:c r="A969" s="89" t="n">
        <x:v>967</x:v>
      </x:c>
      <x:c r="B969" s="80" t="n">
        <x:v>0.6400598089724411</x:v>
      </x:c>
      <x:c r="C969" s="84" t="n">
        <x:f>SQRT('Resumen'!$B$5^3/3)*B969</x:f>
        <x:v>0.36953870300769925</x:v>
      </x:c>
      <x:c r="D969" s="84" t="n">
        <x:f>C969^2-'Resumen'!$B$5^3/3</x:f>
        <x:v>-0.19677448031272077</x:v>
      </x:c>
      <x:c r="E969" s="85" t="n">
        <x:f>D969+'Resumen'!$B$5^3/3</x:f>
        <x:v>0.13655885302061255</x:v>
      </x:c>
    </x:row>
    <x:row r="970">
      <x:c r="A970" s="89" t="n">
        <x:v>968</x:v>
      </x:c>
      <x:c r="B970" s="80" t="n">
        <x:v>0.4590375976014149</x:v>
      </x:c>
      <x:c r="C970" s="84" t="n">
        <x:f>SQRT('Resumen'!$B$5^3/3)*B970</x:f>
        <x:v>0.26502548054333597</x:v>
      </x:c>
      <x:c r="D970" s="84" t="n">
        <x:f>C970^2-'Resumen'!$B$5^3/3</x:f>
        <x:v>-0.2630948279961072</x:v>
      </x:c>
      <x:c r="E970" s="85" t="n">
        <x:f>D970+'Resumen'!$B$5^3/3</x:f>
        <x:v>0.07023850533722614</x:v>
      </x:c>
    </x:row>
    <x:row r="971">
      <x:c r="A971" s="89" t="n">
        <x:v>969</x:v>
      </x:c>
      <x:c r="B971" s="80" t="n">
        <x:v>1.722498827995062</x:v>
      </x:c>
      <x:c r="C971" s="84" t="n">
        <x:f>SQRT('Resumen'!$B$5^3/3)*B971</x:f>
        <x:v>0.9944851620217638</x:v>
      </x:c>
      <x:c r="D971" s="84" t="n">
        <x:f>C971^2-'Resumen'!$B$5^3/3</x:f>
        <x:v>0.6556674041481205</x:v>
      </x:c>
      <x:c r="E971" s="85" t="n">
        <x:f>D971+'Resumen'!$B$5^3/3</x:f>
        <x:v>0.9890007374814538</x:v>
      </x:c>
    </x:row>
    <x:row r="972">
      <x:c r="A972" s="89" t="n">
        <x:v>970</x:v>
      </x:c>
      <x:c r="B972" s="80" t="n">
        <x:v>1.5975780156863513</x:v>
      </x:c>
      <x:c r="C972" s="84" t="n">
        <x:f>SQRT('Resumen'!$B$5^3/3)*B972</x:f>
        <x:v>0.9223620974079431</x:v>
      </x:c>
      <x:c r="D972" s="84" t="n">
        <x:f>C972^2-'Resumen'!$B$5^3/3</x:f>
        <x:v>0.5174185054014466</x:v>
      </x:c>
      <x:c r="E972" s="85" t="n">
        <x:f>D972+'Resumen'!$B$5^3/3</x:f>
        <x:v>0.8507518387347799</x:v>
      </x:c>
    </x:row>
    <x:row r="973">
      <x:c r="A973" s="89" t="n">
        <x:v>971</x:v>
      </x:c>
      <x:c r="B973" s="80" t="n">
        <x:v>1.1166400598309787</x:v>
      </x:c>
      <x:c r="C973" s="84" t="n">
        <x:f>SQRT('Resumen'!$B$5^3/3)*B973</x:f>
        <x:v>0.6446924391313353</x:v>
      </x:c>
      <x:c r="D973" s="84" t="n">
        <x:f>C973^2-'Resumen'!$B$5^3/3</x:f>
        <x:v>0.08229500773977722</x:v>
      </x:c>
      <x:c r="E973" s="85" t="n">
        <x:f>D973+'Resumen'!$B$5^3/3</x:f>
        <x:v>0.41562834107311053</x:v>
      </x:c>
    </x:row>
    <x:row r="974">
      <x:c r="A974" s="89" t="n">
        <x:v>972</x:v>
      </x:c>
      <x:c r="B974" s="80" t="n">
        <x:v>1.388028378208527</x:v>
      </x:c>
      <x:c r="C974" s="84" t="n">
        <x:f>SQRT('Resumen'!$B$5^3/3)*B974</x:f>
        <x:v>0.8013785578015327</x:v>
      </x:c>
      <x:c r="D974" s="84" t="n">
        <x:f>C974^2-'Resumen'!$B$5^3/3</x:f>
        <x:v>0.30887425957073117</x:v>
      </x:c>
      <x:c r="E974" s="85" t="n">
        <x:f>D974+'Resumen'!$B$5^3/3</x:f>
        <x:v>0.6422075929040645</x:v>
      </x:c>
    </x:row>
    <x:row r="975">
      <x:c r="A975" s="89" t="n">
        <x:v>973</x:v>
      </x:c>
      <x:c r="B975" s="80" t="n">
        <x:v>-0.6633923425197044</x:v>
      </x:c>
      <x:c r="C975" s="84" t="n">
        <x:f>SQRT('Resumen'!$B$5^3/3)*B975</x:f>
        <x:v>-0.3830097475320877</x:v>
      </x:c>
      <x:c r="D975" s="84" t="n">
        <x:f>C975^2-'Resumen'!$B$5^3/3</x:f>
        <x:v>-0.18663686662873974</x:v>
      </x:c>
      <x:c r="E975" s="85" t="n">
        <x:f>D975+'Resumen'!$B$5^3/3</x:f>
        <x:v>0.14669646670459358</x:v>
      </x:c>
    </x:row>
    <x:row r="976">
      <x:c r="A976" s="89" t="n">
        <x:v>974</x:v>
      </x:c>
      <x:c r="B976" s="80" t="n">
        <x:v>-1.4683570350028083</x:v>
      </x:c>
      <x:c r="C976" s="84" t="n">
        <x:f>SQRT('Resumen'!$B$5^3/3)*B976</x:f>
        <x:v>-0.8477563294253521</x:v>
      </x:c>
      <x:c r="D976" s="84" t="n">
        <x:f>C976^2-'Resumen'!$B$5^3/3</x:f>
        <x:v>0.3853574607474128</x:v>
      </x:c>
      <x:c r="E976" s="85" t="n">
        <x:f>D976+'Resumen'!$B$5^3/3</x:f>
        <x:v>0.7186907940807461</x:v>
      </x:c>
    </x:row>
    <x:row r="977">
      <x:c r="A977" s="89" t="n">
        <x:v>975</x:v>
      </x:c>
      <x:c r="B977" s="80" t="n">
        <x:v>-1.0164870207918717</x:v>
      </x:c>
      <x:c r="C977" s="84" t="n">
        <x:f>SQRT('Resumen'!$B$5^3/3)*B977</x:f>
        <x:v>-0.5868690550819479</x:v>
      </x:c>
      <x:c r="D977" s="84" t="n">
        <x:f>C977^2-'Resumen'!$B$5^3/3</x:f>
        <x:v>0.011081954479445044</x:v>
      </x:c>
      <x:c r="E977" s="85" t="n">
        <x:f>D977+'Resumen'!$B$5^3/3</x:f>
        <x:v>0.34441528781277836</x:v>
      </x:c>
    </x:row>
    <x:row r="978">
      <x:c r="A978" s="89" t="n">
        <x:v>976</x:v>
      </x:c>
      <x:c r="B978" s="80" t="n">
        <x:v>2.0028064115429407</x:v>
      </x:c>
      <x:c r="C978" s="84" t="n">
        <x:f>SQRT('Resumen'!$B$5^3/3)*B978</x:f>
        <x:v>1.1563208208390252</x:v>
      </x:c>
      <x:c r="D978" s="84" t="n">
        <x:f>C978^2-'Resumen'!$B$5^3/3</x:f>
        <x:v>1.0037445073725038</x:v>
      </x:c>
      <x:c r="E978" s="85" t="n">
        <x:f>D978+'Resumen'!$B$5^3/3</x:f>
        <x:v>1.337077840705837</x:v>
      </x:c>
    </x:row>
    <x:row r="979">
      <x:c r="A979" s="89" t="n">
        <x:v>977</x:v>
      </x:c>
      <x:c r="B979" s="80" t="n">
        <x:v>-0.2783772846076748</x:v>
      </x:c>
      <x:c r="C979" s="84" t="n">
        <x:f>SQRT('Resumen'!$B$5^3/3)*B979</x:f>
        <x:v>-0.1607212002045181</x:v>
      </x:c>
      <x:c r="D979" s="84" t="n">
        <x:f>C979^2-'Resumen'!$B$5^3/3</x:f>
        <x:v>-0.3075020291381525</x:v>
      </x:c>
      <x:c r="E979" s="85" t="n">
        <x:f>D979+'Resumen'!$B$5^3/3</x:f>
        <x:v>0.025831304195180815</x:v>
      </x:c>
    </x:row>
    <x:row r="980">
      <x:c r="A980" s="89" t="n">
        <x:v>978</x:v>
      </x:c>
      <x:c r="B980" s="80" t="n">
        <x:v>-1.3878606219910015</x:v>
      </x:c>
      <x:c r="C980" s="84" t="n">
        <x:f>SQRT('Resumen'!$B$5^3/3)*B980</x:f>
        <x:v>-0.801281703704186</x:v>
      </x:c>
      <x:c r="D980" s="84" t="n">
        <x:f>C980^2-'Resumen'!$B$5^3/3</x:f>
        <x:v>0.30871903535774975</x:v>
      </x:c>
      <x:c r="E980" s="85" t="n">
        <x:f>D980+'Resumen'!$B$5^3/3</x:f>
        <x:v>0.6420523686910831</x:v>
      </x:c>
    </x:row>
    <x:row r="981">
      <x:c r="A981" s="89" t="n">
        <x:v>979</x:v>
      </x:c>
      <x:c r="B981" s="80" t="n">
        <x:v>0.3385397536629157</x:v>
      </x:c>
      <x:c r="C981" s="84" t="n">
        <x:f>SQRT('Resumen'!$B$5^3/3)*B981</x:f>
        <x:v>0.19545601790867398</x:v>
      </x:c>
      <x:c r="D981" s="84" t="n">
        <x:f>C981^2-'Resumen'!$B$5^3/3</x:f>
        <x:v>-0.29513027839661743</x:v>
      </x:c>
      <x:c r="E981" s="85" t="n">
        <x:f>D981+'Resumen'!$B$5^3/3</x:f>
        <x:v>0.038203054936715886</x:v>
      </x:c>
    </x:row>
    <x:row r="982">
      <x:c r="A982" s="89" t="n">
        <x:v>980</x:v>
      </x:c>
      <x:c r="B982" s="80" t="n">
        <x:v>-0.6516735054825499</x:v>
      </x:c>
      <x:c r="C982" s="84" t="n">
        <x:f>SQRT('Resumen'!$B$5^3/3)*B982</x:f>
        <x:v>-0.3762438738140972</x:v>
      </x:c>
      <x:c r="D982" s="84" t="n">
        <x:f>C982^2-'Resumen'!$B$5^3/3</x:f>
        <x:v>-0.19177388075069504</x:v>
      </x:c>
      <x:c r="E982" s="85" t="n">
        <x:f>D982+'Resumen'!$B$5^3/3</x:f>
        <x:v>0.14155945258263827</x:v>
      </x:c>
    </x:row>
    <x:row r="983">
      <x:c r="A983" s="89" t="n">
        <x:v>981</x:v>
      </x:c>
      <x:c r="B983" s="80" t="n">
        <x:v>0.40240566449659676</x:v>
      </x:c>
      <x:c r="C983" s="84" t="n">
        <x:f>SQRT('Resumen'!$B$5^3/3)*B983</x:f>
        <x:v>0.23232901872054035</x:v>
      </x:c>
      <x:c r="D983" s="84" t="n">
        <x:f>C983^2-'Resumen'!$B$5^3/3</x:f>
        <x:v>-0.2793565603936841</x:v>
      </x:c>
      <x:c r="E983" s="85" t="n">
        <x:f>D983+'Resumen'!$B$5^3/3</x:f>
        <x:v>0.0539767729396492</x:v>
      </x:c>
    </x:row>
    <x:row r="984">
      <x:c r="A984" s="89" t="n">
        <x:v>982</x:v>
      </x:c>
      <x:c r="B984" s="80" t="n">
        <x:v>-0.6062584839621794</x:v>
      </x:c>
      <x:c r="C984" s="84" t="n">
        <x:f>SQRT('Resumen'!$B$5^3/3)*B984</x:f>
        <x:v>-0.35002349891405865</x:v>
      </x:c>
      <x:c r="D984" s="84" t="n">
        <x:f>C984^2-'Resumen'!$B$5^3/3</x:f>
        <x:v>-0.2108168835412933</x:v>
      </x:c>
      <x:c r="E984" s="85" t="n">
        <x:f>D984+'Resumen'!$B$5^3/3</x:f>
        <x:v>0.12251644979204002</x:v>
      </x:c>
    </x:row>
    <x:row r="985">
      <x:c r="A985" s="89" t="n">
        <x:v>983</x:v>
      </x:c>
      <x:c r="B985" s="80" t="n">
        <x:v>2.1692507215836</x:v>
      </x:c>
      <x:c r="C985" s="84" t="n">
        <x:f>SQRT('Resumen'!$B$5^3/3)*B985</x:f>
        <x:v>1.2524174880460812</x:v>
      </x:c>
      <x:c r="D985" s="84" t="n">
        <x:f>C985^2-'Resumen'!$B$5^3/3</x:f>
        <x:v>1.2352162310303227</x:v>
      </x:c>
      <x:c r="E985" s="85" t="n">
        <x:f>D985+'Resumen'!$B$5^3/3</x:f>
        <x:v>1.568549564363656</x:v>
      </x:c>
    </x:row>
    <x:row r="986">
      <x:c r="A986" s="89" t="n">
        <x:v>984</x:v>
      </x:c>
      <x:c r="B986" s="80" t="n">
        <x:v>-0.4535617921897875</x:v>
      </x:c>
      <x:c r="C986" s="84" t="n">
        <x:f>SQRT('Resumen'!$B$5^3/3)*B986</x:f>
        <x:v>-0.2618640228149029</x:v>
      </x:c>
      <x:c r="D986" s="84" t="n">
        <x:f>C986^2-'Resumen'!$B$5^3/3</x:f>
        <x:v>-0.26476056688852934</x:v>
      </x:c>
      <x:c r="E986" s="85" t="n">
        <x:f>D986+'Resumen'!$B$5^3/3</x:f>
        <x:v>0.06857276644480398</x:v>
      </x:c>
    </x:row>
    <x:row r="987">
      <x:c r="A987" s="89" t="n">
        <x:v>985</x:v>
      </x:c>
      <x:c r="B987" s="80" t="n">
        <x:v>0.09892968298580221</x:v>
      </x:c>
      <x:c r="C987" s="84" t="n">
        <x:f>SQRT('Resumen'!$B$5^3/3)*B987</x:f>
        <x:v>0.05711707910269724</x:v>
      </x:c>
      <x:c r="D987" s="84" t="n">
        <x:f>C987^2-'Resumen'!$B$5^3/3</x:f>
        <x:v>-0.3300709726081095</x:v>
      </x:c>
      <x:c r="E987" s="85" t="n">
        <x:f>D987+'Resumen'!$B$5^3/3</x:f>
        <x:v>0.0032623607252237896</x:v>
      </x:c>
    </x:row>
    <x:row r="988">
      <x:c r="A988" s="89" t="n">
        <x:v>986</x:v>
      </x:c>
      <x:c r="B988" s="80" t="n">
        <x:v>0.6060134210641478</x:v>
      </x:c>
      <x:c r="C988" s="84" t="n">
        <x:f>SQRT('Resumen'!$B$5^3/3)*B988</x:f>
        <x:v>0.3498820117839117</x:v>
      </x:c>
      <x:c r="D988" s="84" t="n">
        <x:f>C988^2-'Resumen'!$B$5^3/3</x:f>
        <x:v>-0.210915911163376</x:v>
      </x:c>
      <x:c r="E988" s="85" t="n">
        <x:f>D988+'Resumen'!$B$5^3/3</x:f>
        <x:v>0.12241742216995732</x:v>
      </x:c>
    </x:row>
    <x:row r="989">
      <x:c r="A989" s="89" t="n">
        <x:v>987</x:v>
      </x:c>
      <x:c r="B989" s="80" t="n">
        <x:v>-0.30160255684414267</x:v>
      </x:c>
      <x:c r="C989" s="84" t="n">
        <x:f>SQRT('Resumen'!$B$5^3/3)*B989</x:f>
        <x:v>-0.17413031738224516</x:v>
      </x:c>
      <x:c r="D989" s="84" t="n">
        <x:f>C989^2-'Resumen'!$B$5^3/3</x:f>
        <x:v>-0.3030119659016919</x:v>
      </x:c>
      <x:c r="E989" s="85" t="n">
        <x:f>D989+'Resumen'!$B$5^3/3</x:f>
        <x:v>0.030321367431641433</x:v>
      </x:c>
    </x:row>
    <x:row r="990">
      <x:c r="A990" s="89" t="n">
        <x:v>988</x:v>
      </x:c>
      <x:c r="B990" s="80" t="n">
        <x:v>0.2125844981291058</x:v>
      </x:c>
      <x:c r="C990" s="84" t="n">
        <x:f>SQRT('Resumen'!$B$5^3/3)*B990</x:f>
        <x:v>0.12273571722038072</x:v>
      </x:c>
      <x:c r="D990" s="84" t="n">
        <x:f>C990^2-'Resumen'!$B$5^3/3</x:f>
        <x:v>-0.3182692770517321</x:v>
      </x:c>
      <x:c r="E990" s="85" t="n">
        <x:f>D990+'Resumen'!$B$5^3/3</x:f>
        <x:v>0.015064056281601235</x:v>
      </x:c>
    </x:row>
    <x:row r="991">
      <x:c r="A991" s="89" t="n">
        <x:v>989</x:v>
      </x:c>
      <x:c r="B991" s="80" t="n">
        <x:v>0.8032145637420726</x:v>
      </x:c>
      <x:c r="C991" s="84" t="n">
        <x:f>SQRT('Resumen'!$B$5^3/3)*B991</x:f>
        <x:v>0.46373614459351337</x:v>
      </x:c>
      <x:c r="D991" s="84" t="n">
        <x:f>C991^2-'Resumen'!$B$5^3/3</x:f>
        <x:v>-0.11828212153087739</x:v>
      </x:c>
      <x:c r="E991" s="85" t="n">
        <x:f>D991+'Resumen'!$B$5^3/3</x:f>
        <x:v>0.21505121180245593</x:v>
      </x:c>
    </x:row>
    <x:row r="992">
      <x:c r="A992" s="89" t="n">
        <x:v>990</x:v>
      </x:c>
      <x:c r="B992" s="80" t="n">
        <x:v>1.0969557957423248</x:v>
      </x:c>
      <x:c r="C992" s="84" t="n">
        <x:f>SQRT('Resumen'!$B$5^3/3)*B992</x:f>
        <x:v>0.6333277239609514</x:v>
      </x:c>
      <x:c r="D992" s="84" t="n">
        <x:f>C992^2-'Resumen'!$B$5^3/3</x:f>
        <x:v>0.0677706726042257</x:v>
      </x:c>
      <x:c r="E992" s="85" t="n">
        <x:f>D992+'Resumen'!$B$5^3/3</x:f>
        <x:v>0.401104005937559</x:v>
      </x:c>
    </x:row>
    <x:row r="993">
      <x:c r="A993" s="89" t="n">
        <x:v>991</x:v>
      </x:c>
      <x:c r="B993" s="80" t="n">
        <x:v>-0.3765518249681026</x:v>
      </x:c>
      <x:c r="C993" s="84" t="n">
        <x:f>SQRT('Resumen'!$B$5^3/3)*B993</x:f>
        <x:v>-0.21740229750917886</x:v>
      </x:c>
      <x:c r="D993" s="84" t="n">
        <x:f>C993^2-'Resumen'!$B$5^3/3</x:f>
        <x:v>-0.2860695743710638</x:v>
      </x:c>
      <x:c r="E993" s="85" t="n">
        <x:f>D993+'Resumen'!$B$5^3/3</x:f>
        <x:v>0.04726375896226953</x:v>
      </x:c>
    </x:row>
    <x:row r="994">
      <x:c r="A994" s="89" t="n">
        <x:v>992</x:v>
      </x:c>
      <x:c r="B994" s="80" t="n">
        <x:v>0.47503212392342126</x:v>
      </x:c>
      <x:c r="C994" s="84" t="n">
        <x:f>SQRT('Resumen'!$B$5^3/3)*B994</x:f>
        <x:v>0.2742599246209069</x:v>
      </x:c>
      <x:c r="D994" s="84" t="n">
        <x:f>C994^2-'Resumen'!$B$5^3/3</x:f>
        <x:v>-0.2581148270802678</x:v>
      </x:c>
      <x:c r="E994" s="85" t="n">
        <x:f>D994+'Resumen'!$B$5^3/3</x:f>
        <x:v>0.07521850625306553</x:v>
      </x:c>
    </x:row>
    <x:row r="995">
      <x:c r="A995" s="89" t="n">
        <x:v>993</x:v>
      </x:c>
      <x:c r="B995" s="80" t="n">
        <x:v>-1.3057963722507655</x:v>
      </x:c>
      <x:c r="C995" s="84" t="n">
        <x:f>SQRT('Resumen'!$B$5^3/3)*B995</x:f>
        <x:v>-0.7539018870258162</x:v>
      </x:c>
      <x:c r="D995" s="84" t="n">
        <x:f>C995^2-'Resumen'!$B$5^3/3</x:f>
        <x:v>0.23503472192775315</x:v>
      </x:c>
      <x:c r="E995" s="85" t="n">
        <x:f>D995+'Resumen'!$B$5^3/3</x:f>
        <x:v>0.5683680552610865</x:v>
      </x:c>
    </x:row>
    <x:row r="996">
      <x:c r="A996" s="89" t="n">
        <x:v>994</x:v>
      </x:c>
      <x:c r="B996" s="80" t="n">
        <x:v>-1.826230868441597</x:v>
      </x:c>
      <x:c r="C996" s="84" t="n">
        <x:f>SQRT('Resumen'!$B$5^3/3)*B996</x:f>
        <x:v>-1.05437488349716</x:v>
      </x:c>
      <x:c r="D996" s="84" t="n">
        <x:f>C996^2-'Resumen'!$B$5^3/3</x:f>
        <x:v>0.7783730616163165</x:v>
      </x:c>
      <x:c r="E996" s="85" t="n">
        <x:f>D996+'Resumen'!$B$5^3/3</x:f>
        <x:v>1.1117063949496497</x:v>
      </x:c>
    </x:row>
    <x:row r="997">
      <x:c r="A997" s="89" t="n">
        <x:v>995</x:v>
      </x:c>
      <x:c r="B997" s="80" t="n">
        <x:v>-2.0015973370057956</x:v>
      </x:c>
      <x:c r="C997" s="84" t="n">
        <x:f>SQRT('Resumen'!$B$5^3/3)*B997</x:f>
        <x:v>-1.155622761329534</x:v>
      </x:c>
      <x:c r="D997" s="84" t="n">
        <x:f>C997^2-'Resumen'!$B$5^3/3</x:f>
        <x:v>1.0021306331695639</x:v>
      </x:c>
      <x:c r="E997" s="85" t="n">
        <x:f>D997+'Resumen'!$B$5^3/3</x:f>
        <x:v>1.3354639665028971</x:v>
      </x:c>
    </x:row>
    <x:row r="998">
      <x:c r="A998" s="89" t="n">
        <x:v>996</x:v>
      </x:c>
      <x:c r="B998" s="80" t="n">
        <x:v>1.7908970336401255</x:v>
      </x:c>
      <x:c r="C998" s="84" t="n">
        <x:f>SQRT('Resumen'!$B$5^3/3)*B998</x:f>
        <x:v>1.0339748844630288</x:v>
      </x:c>
      <x:c r="D998" s="84" t="n">
        <x:f>C998^2-'Resumen'!$B$5^3/3</x:f>
        <x:v>0.7357707283670005</x:v>
      </x:c>
      <x:c r="E998" s="85" t="n">
        <x:f>D998+'Resumen'!$B$5^3/3</x:f>
        <x:v>1.0691040617003338</x:v>
      </x:c>
    </x:row>
    <x:row r="999">
      <x:c r="A999" s="89" t="n">
        <x:v>997</x:v>
      </x:c>
      <x:c r="B999" s="80" t="n">
        <x:v>-1.498724086284015</x:v>
      </x:c>
      <x:c r="C999" s="84" t="n">
        <x:f>SQRT('Resumen'!$B$5^3/3)*B999</x:f>
        <x:v>-0.8652887546570519</x:v>
      </x:c>
      <x:c r="D999" s="84" t="n">
        <x:f>C999^2-'Resumen'!$B$5^3/3</x:f>
        <x:v>0.4153912956026185</x:v>
      </x:c>
      <x:c r="E999" s="85" t="n">
        <x:f>D999+'Resumen'!$B$5^3/3</x:f>
        <x:v>0.7487246289359518</x:v>
      </x:c>
    </x:row>
    <x:row r="1000">
      <x:c r="A1000" s="89" t="n">
        <x:v>998</x:v>
      </x:c>
      <x:c r="B1000" s="80" t="n">
        <x:v>0.05971547700259311</x:v>
      </x:c>
      <x:c r="C1000" s="84" t="n">
        <x:f>SQRT('Resumen'!$B$5^3/3)*B1000</x:f>
        <x:v>0.03447674672223404</x:v>
      </x:c>
      <x:c r="D1000" s="84" t="n">
        <x:f>C1000^2-'Resumen'!$B$5^3/3</x:f>
        <x:v>-0.33214468726878427</x:v>
      </x:c>
      <x:c r="E1000" s="85" t="n">
        <x:f>D1000+'Resumen'!$B$5^3/3</x:f>
        <x:v>0.0011886460645490482</x:v>
      </x:c>
    </x:row>
    <x:row r="1001">
      <x:c r="A1001" s="89" t="n">
        <x:v>999</x:v>
      </x:c>
      <x:c r="B1001" s="80" t="n">
        <x:v>-0.3731857329256326</x:v>
      </x:c>
      <x:c r="C1001" s="84" t="n">
        <x:f>SQRT('Resumen'!$B$5^3/3)*B1001</x:f>
        <x:v>-0.21545888336234176</x:v>
      </x:c>
      <x:c r="D1001" s="84" t="n">
        <x:f>C1001^2-'Resumen'!$B$5^3/3</x:f>
        <x:v>-0.2869108029135861</x:v>
      </x:c>
      <x:c r="E1001" s="85" t="n">
        <x:f>D1001+'Resumen'!$B$5^3/3</x:f>
        <x:v>0.0464225304197472</x:v>
      </x:c>
    </x:row>
    <x:row r="1002">
      <x:c r="A1002" s="89" t="n">
        <x:v>1000</x:v>
      </x:c>
      <x:c r="B1002" s="80" t="n">
        <x:v>-1.1199382363746688</x:v>
      </x:c>
      <x:c r="C1002" s="84" t="n">
        <x:f>SQRT('Resumen'!$B$5^3/3)*B1002</x:f>
        <x:v>-0.6465966422466697</x:v>
      </x:c>
      <x:c r="D1002" s="84" t="n">
        <x:f>C1002^2-'Resumen'!$B$5^3/3</x:f>
        <x:v>0.08475388443133441</x:v>
      </x:c>
      <x:c r="E1002" s="85" t="n">
        <x:f>D1002+'Resumen'!$B$5^3/3</x:f>
        <x:v>0.41808721776466773</x:v>
      </x:c>
    </x:row>
    <x:row r="1003">
      <x:c r="A1003" s="89" t="n">
        <x:v>1001</x:v>
      </x:c>
      <x:c r="B1003" s="80" t="n">
        <x:v>-0.3064228427062516</x:v>
      </x:c>
      <x:c r="C1003" s="84" t="n">
        <x:f>SQRT('Resumen'!$B$5^3/3)*B1003</x:f>
        <x:v>-0.1769133107223047</x:v>
      </x:c>
      <x:c r="D1003" s="84" t="n">
        <x:f>C1003^2-'Resumen'!$B$5^3/3</x:f>
        <x:v>-0.30203501382260656</x:v>
      </x:c>
      <x:c r="E1003" s="85" t="n">
        <x:f>D1003+'Resumen'!$B$5^3/3</x:f>
        <x:v>0.03129831951072676</x:v>
      </x:c>
    </x:row>
    <x:row r="1004">
      <x:c r="A1004" s="89" t="n">
        <x:v>1002</x:v>
      </x:c>
      <x:c r="B1004" s="80" t="n">
        <x:v>-0.21017521803901668</x:v>
      </x:c>
      <x:c r="C1004" s="84" t="n">
        <x:f>SQRT('Resumen'!$B$5^3/3)*B1004</x:f>
        <x:v>-0.12134471871181456</x:v>
      </x:c>
      <x:c r="D1004" s="84" t="n">
        <x:f>C1004^2-'Resumen'!$B$5^3/3</x:f>
        <x:v>-0.3186087925740839</x:v>
      </x:c>
      <x:c r="E1004" s="85" t="n">
        <x:f>D1004+'Resumen'!$B$5^3/3</x:f>
        <x:v>0.014724540759249394</x:v>
      </x:c>
    </x:row>
    <x:row r="1005">
      <x:c r="A1005" s="89" t="n">
        <x:v>1003</x:v>
      </x:c>
      <x:c r="B1005" s="80" t="n">
        <x:v>1.3711168023143232</x:v>
      </x:c>
      <x:c r="C1005" s="84" t="n">
        <x:f>SQRT('Resumen'!$B$5^3/3)*B1005</x:f>
        <x:v>0.7916146549065933</x:v>
      </x:c>
      <x:c r="D1005" s="84" t="n">
        <x:f>C1005^2-'Resumen'!$B$5^3/3</x:f>
        <x:v>0.2933204285295515</x:v>
      </x:c>
      <x:c r="E1005" s="85" t="n">
        <x:f>D1005+'Resumen'!$B$5^3/3</x:f>
        <x:v>0.6266537618628848</x:v>
      </x:c>
    </x:row>
    <x:row r="1006">
      <x:c r="A1006" s="89" t="n">
        <x:v>1004</x:v>
      </x:c>
      <x:c r="B1006" s="80" t="n">
        <x:v>-1.7316851275778034</x:v>
      </x:c>
      <x:c r="C1006" s="84" t="n">
        <x:f>SQRT('Resumen'!$B$5^3/3)*B1006</x:f>
        <x:v>-0.9997888745587161</x:v>
      </x:c>
      <x:c r="D1006" s="84" t="n">
        <x:f>C1006^2-'Resumen'!$B$5^3/3</x:f>
        <x:v>0.6662444603580508</x:v>
      </x:c>
      <x:c r="E1006" s="85" t="n">
        <x:f>D1006+'Resumen'!$B$5^3/3</x:f>
        <x:v>0.9995777936913841</x:v>
      </x:c>
    </x:row>
    <x:row r="1007">
      <x:c r="A1007" s="89" t="n">
        <x:v>1005</x:v>
      </x:c>
      <x:c r="B1007" s="80" t="n">
        <x:v>-2.642070946249174</x:v>
      </x:c>
      <x:c r="C1007" s="84" t="n">
        <x:f>SQRT('Resumen'!$B$5^3/3)*B1007</x:f>
        <x:v>-1.5254003720350497</x:v>
      </x:c>
      <x:c r="D1007" s="84" t="n">
        <x:f>C1007^2-'Resumen'!$B$5^3/3</x:f>
        <x:v>1.9935129616713347</x:v>
      </x:c>
      <x:c r="E1007" s="85" t="n">
        <x:f>D1007+'Resumen'!$B$5^3/3</x:f>
        <x:v>2.326846295004668</x:v>
      </x:c>
    </x:row>
    <x:row r="1008">
      <x:c r="A1008" s="89" t="n">
        <x:v>1006</x:v>
      </x:c>
      <x:c r="B1008" s="80" t="n">
        <x:v>-1.4265525406787731</x:v>
      </x:c>
      <x:c r="C1008" s="84" t="n">
        <x:f>SQRT('Resumen'!$B$5^3/3)*B1008</x:f>
        <x:v>-0.8236204933740342</x:v>
      </x:c>
      <x:c r="D1008" s="84" t="n">
        <x:f>C1008^2-'Resumen'!$B$5^3/3</x:f>
        <x:v>0.3450173837723542</x:v>
      </x:c>
      <x:c r="E1008" s="85" t="n">
        <x:f>D1008+'Resumen'!$B$5^3/3</x:f>
        <x:v>0.6783507171056875</x:v>
      </x:c>
    </x:row>
    <x:row r="1009">
      <x:c r="A1009" s="89" t="n">
        <x:v>1007</x:v>
      </x:c>
      <x:c r="B1009" s="80" t="n">
        <x:v>1.0647285260114305</x:v>
      </x:c>
      <x:c r="C1009" s="84" t="n">
        <x:f>SQRT('Resumen'!$B$5^3/3)*B1009</x:f>
        <x:v>0.6147213011065729</x:v>
      </x:c>
      <x:c r="D1009" s="84" t="n">
        <x:f>C1009^2-'Resumen'!$B$5^3/3</x:f>
        <x:v>0.04454894470082449</x:v>
      </x:c>
      <x:c r="E1009" s="85" t="n">
        <x:f>D1009+'Resumen'!$B$5^3/3</x:f>
        <x:v>0.3778822780341578</x:v>
      </x:c>
    </x:row>
    <x:row r="1010">
      <x:c r="A1010" s="89" t="n">
        <x:v>1008</x:v>
      </x:c>
      <x:c r="B1010" s="80" t="n">
        <x:v>-1.005425786535415</x:v>
      </x:c>
      <x:c r="C1010" s="84" t="n">
        <x:f>SQRT('Resumen'!$B$5^3/3)*B1010</x:f>
        <x:v>-0.5804828485064131</x:v>
      </x:c>
      <x:c r="D1010" s="84" t="n">
        <x:f>C1010^2-'Resumen'!$B$5^3/3</x:f>
        <x:v>0.0036270040767860112</x:v>
      </x:c>
      <x:c r="E1010" s="85" t="n">
        <x:f>D1010+'Resumen'!$B$5^3/3</x:f>
        <x:v>0.3369603374101193</x:v>
      </x:c>
    </x:row>
    <x:row r="1011">
      <x:c r="A1011" s="89" t="n">
        <x:v>1009</x:v>
      </x:c>
      <x:c r="B1011" s="80" t="n">
        <x:v>1.134551699351888</x:v>
      </x:c>
      <x:c r="C1011" s="84" t="n">
        <x:f>SQRT('Resumen'!$B$5^3/3)*B1011</x:f>
        <x:v>0.6550337290303598</x:v>
      </x:c>
      <x:c r="D1011" s="84" t="n">
        <x:f>C1011^2-'Resumen'!$B$5^3/3</x:f>
        <x:v>0.09573585283408553</x:v>
      </x:c>
      <x:c r="E1011" s="85" t="n">
        <x:f>D1011+'Resumen'!$B$5^3/3</x:f>
        <x:v>0.42906918616741885</x:v>
      </x:c>
    </x:row>
    <x:row r="1012">
      <x:c r="A1012" s="89" t="n">
        <x:v>1010</x:v>
      </x:c>
      <x:c r="B1012" s="80" t="n">
        <x:v>-1.253487669417917</x:v>
      </x:c>
      <x:c r="C1012" s="84" t="n">
        <x:f>SQRT('Resumen'!$B$5^3/3)*B1012</x:f>
        <x:v>-0.7237014433643109</x:v>
      </x:c>
      <x:c r="D1012" s="84" t="n">
        <x:f>C1012^2-'Resumen'!$B$5^3/3</x:f>
        <x:v>0.19041044579425354</x:v>
      </x:c>
      <x:c r="E1012" s="85" t="n">
        <x:f>D1012+'Resumen'!$B$5^3/3</x:f>
        <x:v>0.5237437791275869</x:v>
      </x:c>
    </x:row>
    <x:row r="1013">
      <x:c r="A1013" s="89" t="n">
        <x:v>1011</x:v>
      </x:c>
      <x:c r="B1013" s="80" t="n">
        <x:v>-0.7256097696902182</x:v>
      </x:c>
      <x:c r="C1013" s="84" t="n">
        <x:f>SQRT('Resumen'!$B$5^3/3)*B1013</x:f>
        <x:v>-0.4189309958572698</x:v>
      </x:c>
      <x:c r="D1013" s="84" t="n">
        <x:f>C1013^2-'Resumen'!$B$5^3/3</x:f>
        <x:v>-0.15783015404336953</x:v>
      </x:c>
      <x:c r="E1013" s="85" t="n">
        <x:f>D1013+'Resumen'!$B$5^3/3</x:f>
        <x:v>0.17550317928996378</x:v>
      </x:c>
    </x:row>
    <x:row r="1014">
      <x:c r="A1014" s="89" t="n">
        <x:v>1012</x:v>
      </x:c>
      <x:c r="B1014" s="80" t="n">
        <x:v>0.28124056646278595</x:v>
      </x:c>
      <x:c r="C1014" s="84" t="n">
        <x:f>SQRT('Resumen'!$B$5^3/3)*B1014</x:f>
        <x:v>0.16237431675433228</x:v>
      </x:c>
      <x:c r="D1014" s="84" t="n">
        <x:f>C1014^2-'Resumen'!$B$5^3/3</x:f>
        <x:v>-0.3069679145918971</x:v>
      </x:c>
      <x:c r="E1014" s="85" t="n">
        <x:f>D1014+'Resumen'!$B$5^3/3</x:f>
        <x:v>0.02636541874143622</x:v>
      </x:c>
    </x:row>
    <x:row r="1015">
      <x:c r="A1015" s="89" t="n">
        <x:v>1013</x:v>
      </x:c>
      <x:c r="B1015" s="80" t="n">
        <x:v>-0.6828405562829525</x:v>
      </x:c>
      <x:c r="C1015" s="84" t="n">
        <x:f>SQRT('Resumen'!$B$5^3/3)*B1015</x:f>
        <x:v>-0.3942381789835564</x:v>
      </x:c>
      <x:c r="D1015" s="84" t="n">
        <x:f>C1015^2-'Resumen'!$B$5^3/3</x:f>
        <x:v>-0.17790959156506267</x:v>
      </x:c>
      <x:c r="E1015" s="85" t="n">
        <x:f>D1015+'Resumen'!$B$5^3/3</x:f>
        <x:v>0.15542374176827065</x:v>
      </x:c>
    </x:row>
    <x:row r="1016">
      <x:c r="A1016" s="89" t="n">
        <x:v>1014</x:v>
      </x:c>
      <x:c r="B1016" s="80" t="n">
        <x:v>-1.0934078070647706</x:v>
      </x:c>
      <x:c r="C1016" s="84" t="n">
        <x:f>SQRT('Resumen'!$B$5^3/3)*B1016</x:f>
        <x:v>-0.6312792917428837</x:v>
      </x:c>
      <x:c r="D1016" s="84" t="n">
        <x:f>C1016^2-'Resumen'!$B$5^3/3</x:f>
        <x:v>0.06518021085006354</x:v>
      </x:c>
      <x:c r="E1016" s="85" t="n">
        <x:f>D1016+'Resumen'!$B$5^3/3</x:f>
        <x:v>0.39851354418339685</x:v>
      </x:c>
    </x:row>
    <x:row r="1017">
      <x:c r="A1017" s="89" t="n">
        <x:v>1015</x:v>
      </x:c>
      <x:c r="B1017" s="80" t="n">
        <x:v>0.6521175879942013</x:v>
      </x:c>
      <x:c r="C1017" s="84" t="n">
        <x:f>SQRT('Resumen'!$B$5^3/3)*B1017</x:f>
        <x:v>0.37650026497174155</x:v>
      </x:c>
      <x:c r="D1017" s="84" t="n">
        <x:f>C1017^2-'Resumen'!$B$5^3/3</x:f>
        <x:v>-0.19158088380954172</x:v>
      </x:c>
      <x:c r="E1017" s="85" t="n">
        <x:f>D1017+'Resumen'!$B$5^3/3</x:f>
        <x:v>0.1417524495237916</x:v>
      </x:c>
    </x:row>
    <x:row r="1018">
      <x:c r="A1018" s="89" t="n">
        <x:v>1016</x:v>
      </x:c>
      <x:c r="B1018" s="80" t="n">
        <x:v>0.30519673375373785</x:v>
      </x:c>
      <x:c r="C1018" s="84" t="n">
        <x:f>SQRT('Resumen'!$B$5^3/3)*B1018</x:f>
        <x:v>0.17620541638851508</x:v>
      </x:c>
      <x:c r="D1018" s="84" t="n">
        <x:f>C1018^2-'Resumen'!$B$5^3/3</x:f>
        <x:v>-0.30228498456868336</x:v>
      </x:c>
      <x:c r="E1018" s="85" t="n">
        <x:f>D1018+'Resumen'!$B$5^3/3</x:f>
        <x:v>0.031048348764649958</x:v>
      </x:c>
    </x:row>
    <x:row r="1019">
      <x:c r="A1019" s="89" t="n">
        <x:v>1017</x:v>
      </x:c>
      <x:c r="B1019" s="80" t="n">
        <x:v>-0.6786151562901851</x:v>
      </x:c>
      <x:c r="C1019" s="84" t="n">
        <x:f>SQRT('Resumen'!$B$5^3/3)*B1019</x:f>
        <x:v>-0.3917986431602983</x:v>
      </x:c>
      <x:c r="D1019" s="84" t="n">
        <x:f>C1019^2-'Resumen'!$B$5^3/3</x:f>
        <x:v>-0.17982715655108258</x:v>
      </x:c>
      <x:c r="E1019" s="85" t="n">
        <x:f>D1019+'Resumen'!$B$5^3/3</x:f>
        <x:v>0.15350617678225073</x:v>
      </x:c>
    </x:row>
    <x:row r="1020">
      <x:c r="A1020" s="89" t="n">
        <x:v>1018</x:v>
      </x:c>
      <x:c r="B1020" s="80" t="n">
        <x:v>0.5491494739498913</x:v>
      </x:c>
      <x:c r="C1020" s="84" t="n">
        <x:f>SQRT('Resumen'!$B$5^3/3)*B1020</x:f>
        <x:v>0.3170515966103111</x:v>
      </x:c>
      <x:c r="D1020" s="84" t="n">
        <x:f>C1020^2-'Resumen'!$B$5^3/3</x:f>
        <x:v>-0.23281161842018588</x:v>
      </x:c>
      <x:c r="E1020" s="85" t="n">
        <x:f>D1020+'Resumen'!$B$5^3/3</x:f>
        <x:v>0.10052171491314743</x:v>
      </x:c>
    </x:row>
    <x:row r="1021">
      <x:c r="A1021" s="89" t="n">
        <x:v>1019</x:v>
      </x:c>
      <x:c r="B1021" s="80" t="n">
        <x:v>1.7602565241637034</x:v>
      </x:c>
      <x:c r="C1021" s="84" t="n">
        <x:f>SQRT('Resumen'!$B$5^3/3)*B1021</x:f>
        <x:v>1.016284578068709</x:v>
      </x:c>
      <x:c r="D1021" s="84" t="n">
        <x:f>C1021^2-'Resumen'!$B$5^3/3</x:f>
        <x:v>0.6995010102869608</x:v>
      </x:c>
      <x:c r="E1021" s="85" t="n">
        <x:f>D1021+'Resumen'!$B$5^3/3</x:f>
        <x:v>1.032834343620294</x:v>
      </x:c>
    </x:row>
    <x:row r="1022">
      <x:c r="A1022" s="89" t="n">
        <x:v>1020</x:v>
      </x:c>
      <x:c r="B1022" s="80" t="n">
        <x:v>-0.011882116442213408</x:v>
      </x:c>
      <x:c r="C1022" s="84" t="n">
        <x:f>SQRT('Resumen'!$B$5^3/3)*B1022</x:f>
        <x:v>-0.0068601431264543895</x:v>
      </x:c>
      <x:c r="D1022" s="84" t="n">
        <x:f>C1022^2-'Resumen'!$B$5^3/3</x:f>
        <x:v>-0.3332862717696179</x:v>
      </x:c>
      <x:c r="E1022" s="85" t="n">
        <x:f>D1022+'Resumen'!$B$5^3/3</x:f>
        <x:v>0.00004706156371542258</x:v>
      </x:c>
    </x:row>
    <x:row r="1023">
      <x:c r="A1023" s="89" t="n">
        <x:v>1021</x:v>
      </x:c>
      <x:c r="B1023" s="80" t="n">
        <x:v>0.550999653648068</x:v>
      </x:c>
      <x:c r="C1023" s="84" t="n">
        <x:f>SQRT('Resumen'!$B$5^3/3)*B1023</x:f>
        <x:v>0.31811979835710263</x:v>
      </x:c>
      <x:c r="D1023" s="84" t="n">
        <x:f>C1023^2-'Resumen'!$B$5^3/3</x:f>
        <x:v>-0.23213312722656967</x:v>
      </x:c>
      <x:c r="E1023" s="85" t="n">
        <x:f>D1023+'Resumen'!$B$5^3/3</x:f>
        <x:v>0.10120020610676364</x:v>
      </x:c>
    </x:row>
    <x:row r="1024">
      <x:c r="A1024" s="89" t="n">
        <x:v>1022</x:v>
      </x:c>
      <x:c r="B1024" s="80" t="n">
        <x:v>-0.19339054312850068</x:v>
      </x:c>
      <x:c r="C1024" s="84" t="n">
        <x:f>SQRT('Resumen'!$B$5^3/3)*B1024</x:f>
        <x:v>-0.1116540821339678</x:v>
      </x:c>
      <x:c r="D1024" s="84" t="n">
        <x:f>C1024^2-'Resumen'!$B$5^3/3</x:f>
        <x:v>-0.32086669927615447</x:v>
      </x:c>
      <x:c r="E1024" s="85" t="n">
        <x:f>D1024+'Resumen'!$B$5^3/3</x:f>
        <x:v>0.01246663405717885</x:v>
      </x:c>
    </x:row>
    <x:row r="1025">
      <x:c r="A1025" s="89" t="n">
        <x:v>1023</x:v>
      </x:c>
      <x:c r="B1025" s="80" t="n">
        <x:v>0.44580441219887723</x:v>
      </x:c>
      <x:c r="C1025" s="84" t="n">
        <x:f>SQRT('Resumen'!$B$5^3/3)*B1025</x:f>
        <x:v>0.2573852973889446</x:v>
      </x:c>
      <x:c r="D1025" s="84" t="n">
        <x:f>C1025^2-'Resumen'!$B$5^3/3</x:f>
        <x:v>-0.26708614202133785</x:v>
      </x:c>
      <x:c r="E1025" s="85" t="n">
        <x:f>D1025+'Resumen'!$B$5^3/3</x:f>
        <x:v>0.06624719131199547</x:v>
      </x:c>
    </x:row>
    <x:row r="1026">
      <x:c r="A1026" s="89" t="n">
        <x:v>1024</x:v>
      </x:c>
      <x:c r="B1026" s="80" t="n">
        <x:v>-0.22827582086960155</x:v>
      </x:c>
      <x:c r="C1026" s="84" t="n">
        <x:f>SQRT('Resumen'!$B$5^3/3)*B1026</x:f>
        <x:v>-0.13179510662854724</x:v>
      </x:c>
      <x:c r="D1026" s="84" t="n">
        <x:f>C1026^2-'Resumen'!$B$5^3/3</x:f>
        <x:v>-0.31596338320210315</x:v>
      </x:c>
      <x:c r="E1026" s="85" t="n">
        <x:f>D1026+'Resumen'!$B$5^3/3</x:f>
        <x:v>0.01736995013123016</x:v>
      </x:c>
    </x:row>
    <x:row r="1027">
      <x:c r="A1027" s="89" t="n">
        <x:v>1025</x:v>
      </x:c>
      <x:c r="B1027" s="80" t="n">
        <x:v>-1.168389653453288</x:v>
      </x:c>
      <x:c r="C1027" s="84" t="n">
        <x:f>SQRT('Resumen'!$B$5^3/3)*B1027</x:f>
        <x:v>-0.6745700809396293</x:v>
      </x:c>
      <x:c r="D1027" s="84" t="n">
        <x:f>C1027^2-'Resumen'!$B$5^3/3</x:f>
        <x:v>0.12171146076556477</x:v>
      </x:c>
      <x:c r="E1027" s="85" t="n">
        <x:f>D1027+'Resumen'!$B$5^3/3</x:f>
        <x:v>0.4550447940988981</x:v>
      </x:c>
    </x:row>
    <x:row r="1028">
      <x:c r="A1028" s="89" t="n">
        <x:v>1026</x:v>
      </x:c>
      <x:c r="B1028" s="80" t="n">
        <x:v>-0.08931762148494954</x:v>
      </x:c>
      <x:c r="C1028" s="84" t="n">
        <x:f>SQRT('Resumen'!$B$5^3/3)*B1028</x:f>
        <x:v>-0.05156755280771271</x:v>
      </x:c>
      <x:c r="D1028" s="84" t="n">
        <x:f>C1028^2-'Resumen'!$B$5^3/3</x:f>
        <x:v>-0.3306741208307571</x:v>
      </x:c>
      <x:c r="E1028" s="85" t="n">
        <x:f>D1028+'Resumen'!$B$5^3/3</x:f>
        <x:v>0.0026592125025762248</x:v>
      </x:c>
    </x:row>
    <x:row r="1029">
      <x:c r="A1029" s="89" t="n">
        <x:v>1027</x:v>
      </x:c>
      <x:c r="B1029" s="80" t="n">
        <x:v>0.23027895478911442</x:v>
      </x:c>
      <x:c r="C1029" s="84" t="n">
        <x:f>SQRT('Resumen'!$B$5^3/3)*B1029</x:f>
        <x:v>0.13295161653620086</x:v>
      </x:c>
      <x:c r="D1029" s="84" t="n">
        <x:f>C1029^2-'Resumen'!$B$5^3/3</x:f>
        <x:v>-0.31565720099374434</x:v>
      </x:c>
      <x:c r="E1029" s="85" t="n">
        <x:f>D1029+'Resumen'!$B$5^3/3</x:f>
        <x:v>0.01767613233958898</x:v>
      </x:c>
    </x:row>
    <x:row r="1030">
      <x:c r="A1030" s="89" t="n">
        <x:v>1028</x:v>
      </x:c>
      <x:c r="B1030" s="80" t="n">
        <x:v>-0.3429185309505343</x:v>
      </x:c>
      <x:c r="C1030" s="84" t="n">
        <x:f>SQRT('Resumen'!$B$5^3/3)*B1030</x:f>
        <x:v>-0.19798410615440198</x:v>
      </x:c>
      <x:c r="D1030" s="84" t="n">
        <x:f>C1030^2-'Resumen'!$B$5^3/3</x:f>
        <x:v>-0.2941356270435758</x:v>
      </x:c>
      <x:c r="E1030" s="85" t="n">
        <x:f>D1030+'Resumen'!$B$5^3/3</x:f>
        <x:v>0.039197706289757495</x:v>
      </x:c>
    </x:row>
    <x:row r="1031">
      <x:c r="A1031" s="89" t="n">
        <x:v>1029</x:v>
      </x:c>
      <x:c r="B1031" s="80" t="n">
        <x:v>-2.451404438142031</x:v>
      </x:c>
      <x:c r="C1031" s="84" t="n">
        <x:f>SQRT('Resumen'!$B$5^3/3)*B1031</x:f>
        <x:v>-1.4153190122539447</x:v>
      </x:c>
      <x:c r="D1031" s="84" t="n">
        <x:f>C1031^2-'Resumen'!$B$5^3/3</x:f>
        <x:v>1.6697945731141484</x:v>
      </x:c>
      <x:c r="E1031" s="85" t="n">
        <x:f>D1031+'Resumen'!$B$5^3/3</x:f>
        <x:v>2.0031279064474816</x:v>
      </x:c>
    </x:row>
    <x:row r="1032">
      <x:c r="A1032" s="89" t="n">
        <x:v>1030</x:v>
      </x:c>
      <x:c r="B1032" s="80" t="n">
        <x:v>-0.8857514327073552</x:v>
      </x:c>
      <x:c r="C1032" s="84" t="n">
        <x:f>SQRT('Resumen'!$B$5^3/3)*B1032</x:f>
        <x:v>-0.5113888281086882</x:v>
      </x:c>
      <x:c r="D1032" s="84" t="n">
        <x:f>C1032^2-'Resumen'!$B$5^3/3</x:f>
        <x:v>-0.07181479981895583</x:v>
      </x:c>
      <x:c r="E1032" s="85" t="n">
        <x:f>D1032+'Resumen'!$B$5^3/3</x:f>
        <x:v>0.2615185335143775</x:v>
      </x:c>
    </x:row>
    <x:row r="1033">
      <x:c r="A1033" s="89" t="n">
        <x:v>1031</x:v>
      </x:c>
      <x:c r="B1033" s="80" t="n">
        <x:v>1.9020356505985954</x:v>
      </x:c>
      <x:c r="C1033" s="84" t="n">
        <x:f>SQRT('Resumen'!$B$5^3/3)*B1033</x:f>
        <x:v>1.098140794881364</x:v>
      </x:c>
      <x:c r="D1033" s="84" t="n">
        <x:f>C1033^2-'Resumen'!$B$5^3/3</x:f>
        <x:v>0.8725798720493405</x:v>
      </x:c>
      <x:c r="E1033" s="85" t="n">
        <x:f>D1033+'Resumen'!$B$5^3/3</x:f>
        <x:v>1.2059132053826738</x:v>
      </x:c>
    </x:row>
    <x:row r="1034">
      <x:c r="A1034" s="89" t="n">
        <x:v>1032</x:v>
      </x:c>
      <x:c r="B1034" s="80" t="n">
        <x:v>-0.6765698265734902</x:v>
      </x:c>
      <x:c r="C1034" s="84" t="n">
        <x:f>SQRT('Resumen'!$B$5^3/3)*B1034</x:f>
        <x:v>-0.39061777149778293</x:v>
      </x:c>
      <x:c r="D1034" s="84" t="n">
        <x:f>C1034^2-'Resumen'!$B$5^3/3</x:f>
        <x:v>-0.18075108992343916</x:v>
      </x:c>
      <x:c r="E1034" s="85" t="n">
        <x:f>D1034+'Resumen'!$B$5^3/3</x:f>
        <x:v>0.15258224340989415</x:v>
      </x:c>
    </x:row>
    <x:row r="1035">
      <x:c r="A1035" s="89" t="n">
        <x:v>1033</x:v>
      </x:c>
      <x:c r="B1035" s="80" t="n">
        <x:v>-0.3433141545105165</x:v>
      </x:c>
      <x:c r="C1035" s="84" t="n">
        <x:f>SQRT('Resumen'!$B$5^3/3)*B1035</x:f>
        <x:v>-0.19821251952325547</x:v>
      </x:c>
      <x:c r="D1035" s="84" t="n">
        <x:f>C1035^2-'Resumen'!$B$5^3/3</x:f>
        <x:v>-0.2940451304375764</x:v>
      </x:c>
      <x:c r="E1035" s="85" t="n">
        <x:f>D1035+'Resumen'!$B$5^3/3</x:f>
        <x:v>0.03928820289575691</x:v>
      </x:c>
    </x:row>
    <x:row r="1036">
      <x:c r="A1036" s="89" t="n">
        <x:v>1034</x:v>
      </x:c>
      <x:c r="B1036" s="80" t="n">
        <x:v>1.3465836179041963</x:v>
      </x:c>
      <x:c r="C1036" s="84" t="n">
        <x:f>SQRT('Resumen'!$B$5^3/3)*B1036</x:f>
        <x:v>0.7774504142833278</x:v>
      </x:c>
      <x:c r="D1036" s="84" t="n">
        <x:f>C1036^2-'Resumen'!$B$5^3/3</x:f>
        <x:v>0.2710958133359848</x:v>
      </x:c>
      <x:c r="E1036" s="85" t="n">
        <x:f>D1036+'Resumen'!$B$5^3/3</x:f>
        <x:v>0.6044291466693181</x:v>
      </x:c>
    </x:row>
    <x:row r="1037">
      <x:c r="A1037" s="89" t="n">
        <x:v>1035</x:v>
      </x:c>
      <x:c r="B1037" s="80" t="n">
        <x:v>-0.8176593860844803</x:v>
      </x:c>
      <x:c r="C1037" s="84" t="n">
        <x:f>SQRT('Resumen'!$B$5^3/3)*B1037</x:f>
        <x:v>-0.4720758666612988</x:v>
      </x:c>
      <x:c r="D1037" s="84" t="n">
        <x:f>C1037^2-'Resumen'!$B$5^3/3</x:f>
        <x:v>-0.11047770944931695</x:v>
      </x:c>
      <x:c r="E1037" s="85" t="n">
        <x:f>D1037+'Resumen'!$B$5^3/3</x:f>
        <x:v>0.22285562388401636</x:v>
      </x:c>
    </x:row>
    <x:row r="1038">
      <x:c r="A1038" s="89" t="n">
        <x:v>1036</x:v>
      </x:c>
      <x:c r="B1038" s="80" t="n">
        <x:v>-0.4853562972185032</x:v>
      </x:c>
      <x:c r="C1038" s="84" t="n">
        <x:f>SQRT('Resumen'!$B$5^3/3)*B1038</x:f>
        <x:v>-0.2802205888519828</x:v>
      </x:c>
      <x:c r="D1038" s="84" t="n">
        <x:f>C1038^2-'Resumen'!$B$5^3/3</x:f>
        <x:v>-0.2548097549167813</x:v>
      </x:c>
      <x:c r="E1038" s="85" t="n">
        <x:f>D1038+'Resumen'!$B$5^3/3</x:f>
        <x:v>0.078523578416552</x:v>
      </x:c>
    </x:row>
    <x:row r="1039">
      <x:c r="A1039" s="89" t="n">
        <x:v>1037</x:v>
      </x:c>
      <x:c r="B1039" s="80" t="n">
        <x:v>1.540328762696306</x:v>
      </x:c>
      <x:c r="C1039" s="84" t="n">
        <x:f>SQRT('Resumen'!$B$5^3/3)*B1039</x:f>
        <x:v>0.8893092257832355</x:v>
      </x:c>
      <x:c r="D1039" s="84" t="n">
        <x:f>C1039^2-'Resumen'!$B$5^3/3</x:f>
        <x:v>0.45753756572984433</x:v>
      </x:c>
      <x:c r="E1039" s="85" t="n">
        <x:f>D1039+'Resumen'!$B$5^3/3</x:f>
        <x:v>0.7908708990631776</x:v>
      </x:c>
    </x:row>
    <x:row r="1040">
      <x:c r="A1040" s="89" t="n">
        <x:v>1038</x:v>
      </x:c>
      <x:c r="B1040" s="80" t="n">
        <x:v>-0.4030904158870539</x:v>
      </x:c>
      <x:c r="C1040" s="84" t="n">
        <x:f>SQRT('Resumen'!$B$5^3/3)*B1040</x:f>
        <x:v>-0.23272436012014877</x:v>
      </x:c>
      <x:c r="D1040" s="84" t="n">
        <x:f>C1040^2-'Resumen'!$B$5^3/3</x:f>
        <x:v>-0.2791727055400006</x:v>
      </x:c>
      <x:c r="E1040" s="85" t="n">
        <x:f>D1040+'Resumen'!$B$5^3/3</x:f>
        <x:v>0.054160627793332694</x:v>
      </x:c>
    </x:row>
    <x:row r="1041">
      <x:c r="A1041" s="89" t="n">
        <x:v>1039</x:v>
      </x:c>
      <x:c r="B1041" s="80" t="n">
        <x:v>0.1751877195697396</x:v>
      </x:c>
      <x:c r="C1041" s="84" t="n">
        <x:f>SQRT('Resumen'!$B$5^3/3)*B1041</x:f>
        <x:v>0.10114467705230583</x:v>
      </x:c>
      <x:c r="D1041" s="84" t="n">
        <x:f>C1041^2-'Resumen'!$B$5^3/3</x:f>
        <x:v>-0.3231030876373181</x:v>
      </x:c>
      <x:c r="E1041" s="85" t="n">
        <x:f>D1041+'Resumen'!$B$5^3/3</x:f>
        <x:v>0.010230245696015217</x:v>
      </x:c>
    </x:row>
    <x:row r="1042">
      <x:c r="A1042" s="89" t="n">
        <x:v>1040</x:v>
      </x:c>
      <x:c r="B1042" s="80" t="n">
        <x:v>0.4018871780597888</x:v>
      </x:c>
      <x:c r="C1042" s="84" t="n">
        <x:f>SQRT('Resumen'!$B$5^3/3)*B1042</x:f>
        <x:v>0.2320296704366781</x:v>
      </x:c>
      <x:c r="D1042" s="84" t="n">
        <x:f>C1042^2-'Resumen'!$B$5^3/3</x:f>
        <x:v>-0.27949556537037984</x:v>
      </x:c>
      <x:c r="E1042" s="85" t="n">
        <x:f>D1042+'Resumen'!$B$5^3/3</x:f>
        <x:v>0.053837767962953476</x:v>
      </x:c>
    </x:row>
    <x:row r="1043">
      <x:c r="A1043" s="89" t="n">
        <x:v>1041</x:v>
      </x:c>
      <x:c r="B1043" s="80" t="n">
        <x:v>-1.3167137666707733</x:v>
      </x:c>
      <x:c r="C1043" s="84" t="n">
        <x:f>SQRT('Resumen'!$B$5^3/3)*B1043</x:f>
        <x:v>-0.7602050476330571</x:v>
      </x:c>
      <x:c r="D1043" s="84" t="n">
        <x:f>C1043^2-'Resumen'!$B$5^3/3</x:f>
        <x:v>0.24457838111344526</x:v>
      </x:c>
      <x:c r="E1043" s="85" t="n">
        <x:f>D1043+'Resumen'!$B$5^3/3</x:f>
        <x:v>0.5779117144467786</x:v>
      </x:c>
    </x:row>
    <x:row r="1044">
      <x:c r="A1044" s="89" t="n">
        <x:v>1042</x:v>
      </x:c>
      <x:c r="B1044" s="80" t="n">
        <x:v>-2.0708198296750018</x:v>
      </x:c>
      <x:c r="C1044" s="84" t="n">
        <x:f>SQRT('Resumen'!$B$5^3/3)*B1044</x:f>
        <x:v>-1.1955883861060772</x:v>
      </x:c>
      <x:c r="D1044" s="84" t="n">
        <x:f>C1044^2-'Resumen'!$B$5^3/3</x:f>
        <x:v>1.0960982556584011</x:v>
      </x:c>
      <x:c r="E1044" s="85" t="n">
        <x:f>D1044+'Resumen'!$B$5^3/3</x:f>
        <x:v>1.4294315889917344</x:v>
      </x:c>
    </x:row>
    <x:row r="1045">
      <x:c r="A1045" s="89" t="n">
        <x:v>1043</x:v>
      </x:c>
      <x:c r="B1045" s="80" t="n">
        <x:v>0.9338047751878373</x:v>
      </x:c>
      <x:c r="C1045" s="84" t="n">
        <x:f>SQRT('Resumen'!$B$5^3/3)*B1045</x:f>
        <x:v>0.5391324383252558</x:v>
      </x:c>
      <x:c r="D1045" s="84" t="n">
        <x:f>C1045^2-'Resumen'!$B$5^3/3</x:f>
        <x:v>-0.04266954727879757</x:v>
      </x:c>
      <x:c r="E1045" s="85" t="n">
        <x:f>D1045+'Resumen'!$B$5^3/3</x:f>
        <x:v>0.29066378605453574</x:v>
      </x:c>
    </x:row>
    <x:row r="1046">
      <x:c r="A1046" s="89" t="n">
        <x:v>1044</x:v>
      </x:c>
      <x:c r="B1046" s="80" t="n">
        <x:v>0.2692882472961562</x:v>
      </x:c>
      <x:c r="C1046" s="84" t="n">
        <x:f>SQRT('Resumen'!$B$5^3/3)*B1046</x:f>
        <x:v>0.15547364206603828</x:v>
      </x:c>
      <x:c r="D1046" s="84" t="n">
        <x:f>C1046^2-'Resumen'!$B$5^3/3</x:f>
        <x:v>-0.30916127995605475</x:v>
      </x:c>
      <x:c r="E1046" s="85" t="n">
        <x:f>D1046+'Resumen'!$B$5^3/3</x:f>
        <x:v>0.02417205337727857</x:v>
      </x:c>
    </x:row>
    <x:row r="1047">
      <x:c r="A1047" s="89" t="n">
        <x:v>1045</x:v>
      </x:c>
      <x:c r="B1047" s="80" t="n">
        <x:v>-2.300687626188025</x:v>
      </x:c>
      <x:c r="C1047" s="84" t="n">
        <x:f>SQRT('Resumen'!$B$5^3/3)*B1047</x:f>
        <x:v>-1.3283026203008972</x:v>
      </x:c>
      <x:c r="D1047" s="84" t="n">
        <x:f>C1047^2-'Resumen'!$B$5^3/3</x:f>
        <x:v>1.4310545177648961</x:v>
      </x:c>
      <x:c r="E1047" s="85" t="n">
        <x:f>D1047+'Resumen'!$B$5^3/3</x:f>
        <x:v>1.7643878510982294</x:v>
      </x:c>
    </x:row>
    <x:row r="1048">
      <x:c r="A1048" s="89" t="n">
        <x:v>1046</x:v>
      </x:c>
      <x:c r="B1048" s="80" t="n">
        <x:v>-0.9360744813796307</x:v>
      </x:c>
      <x:c r="C1048" s="84" t="n">
        <x:f>SQRT('Resumen'!$B$5^3/3)*B1048</x:f>
        <x:v>-0.540442853806069</x:v>
      </x:c>
      <x:c r="D1048" s="84" t="n">
        <x:f>C1048^2-'Resumen'!$B$5^3/3</x:f>
        <x:v>-0.04125485510328519</x:v>
      </x:c>
      <x:c r="E1048" s="85" t="n">
        <x:f>D1048+'Resumen'!$B$5^3/3</x:f>
        <x:v>0.2920784782300481</x:v>
      </x:c>
    </x:row>
    <x:row r="1049">
      <x:c r="A1049" s="89" t="n">
        <x:v>1047</x:v>
      </x:c>
      <x:c r="B1049" s="80" t="n">
        <x:v>0.1293700368618711</x:v>
      </x:c>
      <x:c r="C1049" s="84" t="n">
        <x:f>SQRT('Resumen'!$B$5^3/3)*B1049</x:f>
        <x:v>0.07469182560727308</x:v>
      </x:c>
      <x:c r="D1049" s="84" t="n">
        <x:f>C1049^2-'Resumen'!$B$5^3/3</x:f>
        <x:v>-0.327754464520786</x:v>
      </x:c>
      <x:c r="E1049" s="85" t="n">
        <x:f>D1049+'Resumen'!$B$5^3/3</x:f>
        <x:v>0.005578868812547322</x:v>
      </x:c>
    </x:row>
    <x:row r="1050">
      <x:c r="A1050" s="89" t="n">
        <x:v>1048</x:v>
      </x:c>
      <x:c r="B1050" s="80" t="n">
        <x:v>-1.189567445541932</x:v>
      </x:c>
      <x:c r="C1050" s="84" t="n">
        <x:f>SQRT('Resumen'!$B$5^3/3)*B1050</x:f>
        <x:v>-0.68679708490285</x:v>
      </x:c>
      <x:c r="D1050" s="84" t="n">
        <x:f>C1050^2-'Resumen'!$B$5^3/3</x:f>
        <x:v>0.1383569024977192</x:v>
      </x:c>
      <x:c r="E1050" s="85" t="n">
        <x:f>D1050+'Resumen'!$B$5^3/3</x:f>
        <x:v>0.4716902358310525</x:v>
      </x:c>
    </x:row>
    <x:row r="1051">
      <x:c r="A1051" s="89" t="n">
        <x:v>1049</x:v>
      </x:c>
      <x:c r="B1051" s="80" t="n">
        <x:v>0.1430706512272408</x:v>
      </x:c>
      <x:c r="C1051" s="84" t="n">
        <x:f>SQRT('Resumen'!$B$5^3/3)*B1051</x:f>
        <x:v>0.08260187899918253</x:v>
      </x:c>
      <x:c r="D1051" s="84" t="n">
        <x:f>C1051^2-'Resumen'!$B$5^3/3</x:f>
        <x:v>-0.3265102629191377</x:v>
      </x:c>
      <x:c r="E1051" s="85" t="n">
        <x:f>D1051+'Resumen'!$B$5^3/3</x:f>
        <x:v>0.006823070414195609</x:v>
      </x:c>
    </x:row>
    <x:row r="1052">
      <x:c r="A1052" s="89" t="n">
        <x:v>1050</x:v>
      </x:c>
      <x:c r="B1052" s="80" t="n">
        <x:v>-1.5805561648108832</x:v>
      </x:c>
      <x:c r="C1052" s="84" t="n">
        <x:f>SQRT('Resumen'!$B$5^3/3)*B1052</x:f>
        <x:v>-0.9125345272228859</x:v>
      </x:c>
      <x:c r="D1052" s="84" t="n">
        <x:f>C1052^2-'Resumen'!$B$5^3/3</x:f>
        <x:v>0.4993859300405625</x:v>
      </x:c>
      <x:c r="E1052" s="85" t="n">
        <x:f>D1052+'Resumen'!$B$5^3/3</x:f>
        <x:v>0.8327192633738958</x:v>
      </x:c>
    </x:row>
    <x:row r="1053">
      <x:c r="A1053" s="89" t="n">
        <x:v>1051</x:v>
      </x:c>
      <x:c r="B1053" s="80" t="n">
        <x:v>-0.23991950188719477</x:v>
      </x:c>
      <x:c r="C1053" s="84" t="n">
        <x:f>SQRT('Resumen'!$B$5^3/3)*B1053</x:f>
        <x:v>-0.13851758899841282</x:v>
      </x:c>
      <x:c r="D1053" s="84" t="n">
        <x:f>C1053^2-'Resumen'!$B$5^3/3</x:f>
        <x:v>-0.3141462108714001</x:v>
      </x:c>
      <x:c r="E1053" s="85" t="n">
        <x:f>D1053+'Resumen'!$B$5^3/3</x:f>
        <x:v>0.019187122461933215</x:v>
      </x:c>
    </x:row>
    <x:row r="1054">
      <x:c r="A1054" s="89" t="n">
        <x:v>1052</x:v>
      </x:c>
      <x:c r="B1054" s="80" t="n">
        <x:v>1.0795622790969577</x:v>
      </x:c>
      <x:c r="C1054" s="84" t="n">
        <x:f>SQRT('Resumen'!$B$5^3/3)*B1054</x:f>
        <x:v>0.6232855724435944</x:v>
      </x:c>
      <x:c r="D1054" s="84" t="n">
        <x:f>C1054^2-'Resumen'!$B$5^3/3</x:f>
        <x:v>0.05515157148300581</x:v>
      </x:c>
      <x:c r="E1054" s="85" t="n">
        <x:f>D1054+'Resumen'!$B$5^3/3</x:f>
        <x:v>0.3884849048163391</x:v>
      </x:c>
    </x:row>
    <x:row r="1055">
      <x:c r="A1055" s="89" t="n">
        <x:v>1053</x:v>
      </x:c>
      <x:c r="B1055" s="80" t="n">
        <x:v>0.4544852207534898</x:v>
      </x:c>
      <x:c r="C1055" s="84" t="n">
        <x:f>SQRT('Resumen'!$B$5^3/3)*B1055</x:f>
        <x:v>0.26239716454473383</x:v>
      </x:c>
      <x:c r="D1055" s="84" t="n">
        <x:f>C1055^2-'Resumen'!$B$5^3/3</x:f>
        <x:v>-0.26448106137221716</x:v>
      </x:c>
      <x:c r="E1055" s="85" t="n">
        <x:f>D1055+'Resumen'!$B$5^3/3</x:f>
        <x:v>0.06885227196111615</x:v>
      </x:c>
    </x:row>
    <x:row r="1056">
      <x:c r="A1056" s="89" t="n">
        <x:v>1054</x:v>
      </x:c>
      <x:c r="B1056" s="80" t="n">
        <x:v>0.30425223391420075</x:v>
      </x:c>
      <x:c r="C1056" s="84" t="n">
        <x:f>SQRT('Resumen'!$B$5^3/3)*B1056</x:f>
        <x:v>0.17566010915190877</x:v>
      </x:c>
      <x:c r="D1056" s="84" t="n">
        <x:f>C1056^2-'Resumen'!$B$5^3/3</x:f>
        <x:v>-0.3024768593860728</x:v>
      </x:c>
      <x:c r="E1056" s="85" t="n">
        <x:f>D1056+'Resumen'!$B$5^3/3</x:f>
        <x:v>0.030856473947260488</x:v>
      </x:c>
    </x:row>
    <x:row r="1057">
      <x:c r="A1057" s="89" t="n">
        <x:v>1055</x:v>
      </x:c>
      <x:c r="B1057" s="80" t="n">
        <x:v>-0.9134718991463134</x:v>
      </x:c>
      <x:c r="C1057" s="84" t="n">
        <x:f>SQRT('Resumen'!$B$5^3/3)*B1057</x:f>
        <x:v>-0.5273932468692827</x:v>
      </x:c>
      <x:c r="D1057" s="84" t="n">
        <x:f>C1057^2-'Resumen'!$B$5^3/3</x:f>
        <x:v>-0.055189696490009155</x:v>
      </x:c>
      <x:c r="E1057" s="85" t="n">
        <x:f>D1057+'Resumen'!$B$5^3/3</x:f>
        <x:v>0.27814363684332416</x:v>
      </x:c>
    </x:row>
    <x:row r="1058">
      <x:c r="A1058" s="89" t="n">
        <x:v>1056</x:v>
      </x:c>
      <x:c r="B1058" s="80" t="n">
        <x:v>0.6806740076180375</x:v>
      </x:c>
      <x:c r="C1058" s="84" t="n">
        <x:f>SQRT('Resumen'!$B$5^3/3)*B1058</x:f>
        <x:v>0.39298732152865534</x:v>
      </x:c>
      <x:c r="D1058" s="84" t="n">
        <x:f>C1058^2-'Resumen'!$B$5^3/3</x:f>
        <x:v>-0.17889429845106658</x:v>
      </x:c>
      <x:c r="E1058" s="85" t="n">
        <x:f>D1058+'Resumen'!$B$5^3/3</x:f>
        <x:v>0.15443903488226673</x:v>
      </x:c>
    </x:row>
    <x:row r="1059">
      <x:c r="A1059" s="89" t="n">
        <x:v>1057</x:v>
      </x:c>
      <x:c r="B1059" s="80" t="n">
        <x:v>-0.7106294748726341</x:v>
      </x:c>
      <x:c r="C1059" s="84" t="n">
        <x:f>SQRT('Resumen'!$B$5^3/3)*B1059</x:f>
        <x:v>-0.41028211861179764</x:v>
      </x:c>
      <x:c r="D1059" s="84" t="n">
        <x:f>C1059^2-'Resumen'!$B$5^3/3</x:f>
        <x:v>-0.16500191648074813</x:v>
      </x:c>
      <x:c r="E1059" s="85" t="n">
        <x:f>D1059+'Resumen'!$B$5^3/3</x:f>
        <x:v>0.16833141685258518</x:v>
      </x:c>
    </x:row>
    <x:row r="1060">
      <x:c r="A1060" s="89" t="n">
        <x:v>1058</x:v>
      </x:c>
      <x:c r="B1060" s="80" t="n">
        <x:v>-1.4385106159872663</x:v>
      </x:c>
      <x:c r="C1060" s="84" t="n">
        <x:f>SQRT('Resumen'!$B$5^3/3)*B1060</x:f>
        <x:v>-0.8305244913723825</x:v>
      </x:c>
      <x:c r="D1060" s="84" t="n">
        <x:f>C1060^2-'Resumen'!$B$5^3/3</x:f>
        <x:v>0.35643759743602127</x:v>
      </x:c>
      <x:c r="E1060" s="85" t="n">
        <x:f>D1060+'Resumen'!$B$5^3/3</x:f>
        <x:v>0.6897709307693546</x:v>
      </x:c>
    </x:row>
    <x:row r="1061">
      <x:c r="A1061" s="89" t="n">
        <x:v>1059</x:v>
      </x:c>
      <x:c r="B1061" s="80" t="n">
        <x:v>0.4169106158871824</x:v>
      </x:c>
      <x:c r="C1061" s="84" t="n">
        <x:f>SQRT('Resumen'!$B$5^3/3)*B1061</x:f>
        <x:v>0.24070345631047743</x:v>
      </x:c>
      <x:c r="D1061" s="84" t="n">
        <x:f>C1061^2-'Resumen'!$B$5^3/3</x:f>
        <x:v>-0.2753951794535234</x:v>
      </x:c>
      <x:c r="E1061" s="85" t="n">
        <x:f>D1061+'Resumen'!$B$5^3/3</x:f>
        <x:v>0.05793815387980994</x:v>
      </x:c>
    </x:row>
    <x:row r="1062">
      <x:c r="A1062" s="89" t="n">
        <x:v>1060</x:v>
      </x:c>
      <x:c r="B1062" s="80" t="n">
        <x:v>-0.6852366162761474</x:v>
      </x:c>
      <x:c r="C1062" s="84" t="n">
        <x:f>SQRT('Resumen'!$B$5^3/3)*B1062</x:f>
        <x:v>-0.39562154486562195</x:v>
      </x:c>
      <x:c r="D1062" s="84" t="n">
        <x:f>C1062^2-'Resumen'!$B$5^3/3</x:f>
        <x:v>-0.176816926571472</x:v>
      </x:c>
      <x:c r="E1062" s="85" t="n">
        <x:f>D1062+'Resumen'!$B$5^3/3</x:f>
        <x:v>0.15651640676186132</x:v>
      </x:c>
    </x:row>
    <x:row r="1063">
      <x:c r="A1063" s="89" t="n">
        <x:v>1061</x:v>
      </x:c>
      <x:c r="B1063" s="80" t="n">
        <x:v>-0.40805424438184945</x:v>
      </x:c>
      <x:c r="C1063" s="84" t="n">
        <x:f>SQRT('Resumen'!$B$5^3/3)*B1063</x:f>
        <x:v>-0.2355902278378301</x:v>
      </x:c>
      <x:c r="D1063" s="84" t="n">
        <x:f>C1063^2-'Resumen'!$B$5^3/3</x:f>
        <x:v>-0.27783057788065263</x:v>
      </x:c>
      <x:c r="E1063" s="85" t="n">
        <x:f>D1063+'Resumen'!$B$5^3/3</x:f>
        <x:v>0.055502755452680685</x:v>
      </x:c>
    </x:row>
    <x:row r="1064">
      <x:c r="A1064" s="89" t="n">
        <x:v>1062</x:v>
      </x:c>
      <x:c r="B1064" s="80" t="n">
        <x:v>2.361613585741737</x:v>
      </x:c>
      <x:c r="C1064" s="84" t="n">
        <x:f>SQRT('Resumen'!$B$5^3/3)*B1064</x:f>
        <x:v>1.3634782394498692</x:v>
      </x:c>
      <x:c r="D1064" s="84" t="n">
        <x:f>C1064^2-'Resumen'!$B$5^3/3</x:f>
        <x:v>1.5257395761199817</x:v>
      </x:c>
      <x:c r="E1064" s="85" t="n">
        <x:f>D1064+'Resumen'!$B$5^3/3</x:f>
        <x:v>1.859072909453315</x:v>
      </x:c>
    </x:row>
    <x:row r="1065">
      <x:c r="A1065" s="89" t="n">
        <x:v>1063</x:v>
      </x:c>
      <x:c r="B1065" s="80" t="n">
        <x:v>-1.0635351320842341</x:v>
      </x:c>
      <x:c r="C1065" s="84" t="n">
        <x:f>SQRT('Resumen'!$B$5^3/3)*B1065</x:f>
        <x:v>-0.6140322948014567</x:v>
      </x:c>
      <x:c r="D1065" s="84" t="n">
        <x:f>C1065^2-'Resumen'!$B$5^3/3</x:f>
        <x:v>0.04370232572580973</x:v>
      </x:c>
      <x:c r="E1065" s="85" t="n">
        <x:f>D1065+'Resumen'!$B$5^3/3</x:f>
        <x:v>0.37703565905914305</x:v>
      </x:c>
    </x:row>
    <x:row r="1066">
      <x:c r="A1066" s="89" t="n">
        <x:v>1064</x:v>
      </x:c>
      <x:c r="B1066" s="80" t="n">
        <x:v>-1.6431495127204754</x:v>
      </x:c>
      <x:c r="C1066" s="84" t="n">
        <x:f>SQRT('Resumen'!$B$5^3/3)*B1066</x:f>
        <x:v>-0.9486728134879688</x:v>
      </x:c>
      <x:c r="D1066" s="84" t="n">
        <x:f>C1066^2-'Resumen'!$B$5^3/3</x:f>
        <x:v>0.5666467737178451</x:v>
      </x:c>
      <x:c r="E1066" s="85" t="n">
        <x:f>D1066+'Resumen'!$B$5^3/3</x:f>
        <x:v>0.8999801070511784</x:v>
      </x:c>
    </x:row>
    <x:row r="1067">
      <x:c r="A1067" s="89" t="n">
        <x:v>1065</x:v>
      </x:c>
      <x:c r="B1067" s="80" t="n">
        <x:v>-0.3932059682162737</x:v>
      </x:c>
      <x:c r="C1067" s="84" t="n">
        <x:f>SQRT('Resumen'!$B$5^3/3)*B1067</x:f>
        <x:v>-0.22701757159663302</x:v>
      </x:c>
      <x:c r="D1067" s="84" t="n">
        <x:f>C1067^2-'Resumen'!$B$5^3/3</x:f>
        <x:v>-0.2817963555197009</x:v>
      </x:c>
      <x:c r="E1067" s="85" t="n">
        <x:f>D1067+'Resumen'!$B$5^3/3</x:f>
        <x:v>0.05153697781363242</x:v>
      </x:c>
    </x:row>
    <x:row r="1068">
      <x:c r="A1068" s="89" t="n">
        <x:v>1066</x:v>
      </x:c>
      <x:c r="B1068" s="80" t="n">
        <x:v>0.8974555418420574</x:v>
      </x:c>
      <x:c r="C1068" s="84" t="n">
        <x:f>SQRT('Resumen'!$B$5^3/3)*B1068</x:f>
        <x:v>0.5181461986682333</x:v>
      </x:c>
      <x:c r="D1068" s="84" t="n">
        <x:f>C1068^2-'Resumen'!$B$5^3/3</x:f>
        <x:v>-0.06485785013899303</x:v>
      </x:c>
      <x:c r="E1068" s="85" t="n">
        <x:f>D1068+'Resumen'!$B$5^3/3</x:f>
        <x:v>0.2684754831943403</x:v>
      </x:c>
    </x:row>
    <x:row r="1069">
      <x:c r="A1069" s="89" t="n">
        <x:v>1067</x:v>
      </x:c>
      <x:c r="B1069" s="80" t="n">
        <x:v>1.3154536565440937</x:v>
      </x:c>
      <x:c r="C1069" s="84" t="n">
        <x:f>SQRT('Resumen'!$B$5^3/3)*B1069</x:f>
        <x:v>0.75947752271221</x:v>
      </x:c>
      <x:c r="D1069" s="84" t="n">
        <x:f>C1069^2-'Resumen'!$B$5^3/3</x:f>
        <x:v>0.24347277417174223</x:v>
      </x:c>
      <x:c r="E1069" s="85" t="n">
        <x:f>D1069+'Resumen'!$B$5^3/3</x:f>
        <x:v>0.5768061075050755</x:v>
      </x:c>
    </x:row>
    <x:row r="1070">
      <x:c r="A1070" s="89" t="n">
        <x:v>1068</x:v>
      </x:c>
      <x:c r="B1070" s="80" t="n">
        <x:v>-0.1749453035400674</x:v>
      </x:c>
      <x:c r="C1070" s="84" t="n">
        <x:f>SQRT('Resumen'!$B$5^3/3)*B1070</x:f>
        <x:v>-0.1010047180923187</x:v>
      </x:c>
      <x:c r="D1070" s="84" t="n">
        <x:f>C1070^2-'Resumen'!$B$5^3/3</x:f>
        <x:v>-0.3231313802564245</x:v>
      </x:c>
      <x:c r="E1070" s="85" t="n">
        <x:f>D1070+'Resumen'!$B$5^3/3</x:f>
        <x:v>0.010201953076908798</x:v>
      </x:c>
    </x:row>
    <x:row r="1071">
      <x:c r="A1071" s="89" t="n">
        <x:v>1069</x:v>
      </x:c>
      <x:c r="B1071" s="80" t="n">
        <x:v>-0.599023293630799</x:v>
      </x:c>
      <x:c r="C1071" s="84" t="n">
        <x:f>SQRT('Resumen'!$B$5^3/3)*B1071</x:f>
        <x:v>-0.345846259828598</x:v>
      </x:c>
      <x:c r="D1071" s="84" t="n">
        <x:f>C1071^2-'Resumen'!$B$5^3/3</x:f>
        <x:v>-0.21372369789590318</x:v>
      </x:c>
      <x:c r="E1071" s="85" t="n">
        <x:f>D1071+'Resumen'!$B$5^3/3</x:f>
        <x:v>0.11960963543743014</x:v>
      </x:c>
    </x:row>
    <x:row r="1072">
      <x:c r="A1072" s="89" t="n">
        <x:v>1070</x:v>
      </x:c>
      <x:c r="B1072" s="80" t="n">
        <x:v>0.7387785080444217</x:v>
      </x:c>
      <x:c r="C1072" s="84" t="n">
        <x:f>SQRT('Resumen'!$B$5^3/3)*B1072</x:f>
        <x:v>0.4265339704909569</x:v>
      </x:c>
      <x:c r="D1072" s="84" t="n">
        <x:f>C1072^2-'Resumen'!$B$5^3/3</x:f>
        <x:v>-0.1514021053505528</x:v>
      </x:c>
      <x:c r="E1072" s="85" t="n">
        <x:f>D1072+'Resumen'!$B$5^3/3</x:f>
        <x:v>0.18193122798278052</x:v>
      </x:c>
    </x:row>
    <x:row r="1073">
      <x:c r="A1073" s="89" t="n">
        <x:v>1071</x:v>
      </x:c>
      <x:c r="B1073" s="80" t="n">
        <x:v>0.03998198464071497</x:v>
      </x:c>
      <x:c r="C1073" s="84" t="n">
        <x:f>SQRT('Resumen'!$B$5^3/3)*B1073</x:f>
        <x:v>0.02308360959505227</x:v>
      </x:c>
      <x:c r="D1073" s="84" t="n">
        <x:f>C1073^2-'Resumen'!$B$5^3/3</x:f>
        <x:v>-0.33280048030139653</x:v>
      </x:c>
      <x:c r="E1073" s="85" t="n">
        <x:f>D1073+'Resumen'!$B$5^3/3</x:f>
        <x:v>0.0005328530319367863</x:v>
      </x:c>
    </x:row>
    <x:row r="1074">
      <x:c r="A1074" s="89" t="n">
        <x:v>1072</x:v>
      </x:c>
      <x:c r="B1074" s="80" t="n">
        <x:v>0.015290273330098837</x:v>
      </x:c>
      <x:c r="C1074" s="84" t="n">
        <x:f>SQRT('Resumen'!$B$5^3/3)*B1074</x:f>
        <x:v>0.008827843423115518</x:v>
      </x:c>
      <x:c r="D1074" s="84" t="n">
        <x:f>C1074^2-'Resumen'!$B$5^3/3</x:f>
        <x:v>-0.3332554025138303</x:v>
      </x:c>
      <x:c r="E1074" s="85" t="n">
        <x:f>D1074+'Resumen'!$B$5^3/3</x:f>
        <x:v>0.00007793081950302483</x:v>
      </x:c>
    </x:row>
    <x:row r="1075">
      <x:c r="A1075" s="89" t="n">
        <x:v>1073</x:v>
      </x:c>
      <x:c r="B1075" s="80" t="n">
        <x:v>-0.5157884021207142</x:v>
      </x:c>
      <x:c r="C1075" s="84" t="n">
        <x:f>SQRT('Resumen'!$B$5^3/3)*B1075</x:f>
        <x:v>-0.2977905728092813</x:v>
      </x:c>
      <x:c r="D1075" s="84" t="n">
        <x:f>C1075^2-'Resumen'!$B$5^3/3</x:f>
        <x:v>-0.24465410807925347</x:v>
      </x:c>
      <x:c r="E1075" s="85" t="n">
        <x:f>D1075+'Resumen'!$B$5^3/3</x:f>
        <x:v>0.08867922525407984</x:v>
      </x:c>
    </x:row>
    <x:row r="1076">
      <x:c r="A1076" s="89" t="n">
        <x:v>1074</x:v>
      </x:c>
      <x:c r="B1076" s="80" t="n">
        <x:v>-0.7055116502012617</x:v>
      </x:c>
      <x:c r="C1076" s="84" t="n">
        <x:f>SQRT('Resumen'!$B$5^3/3)*B1076</x:f>
        <x:v>-0.40732734116011554</x:v>
      </x:c>
      <x:c r="D1076" s="84" t="n">
        <x:f>C1076^2-'Resumen'!$B$5^3/3</x:f>
        <x:v>-0.16741777047676415</x:v>
      </x:c>
      <x:c r="E1076" s="85" t="n">
        <x:f>D1076+'Resumen'!$B$5^3/3</x:f>
        <x:v>0.16591556285656917</x:v>
      </x:c>
    </x:row>
    <x:row r="1077">
      <x:c r="A1077" s="89" t="n">
        <x:v>1075</x:v>
      </x:c>
      <x:c r="B1077" s="80" t="n">
        <x:v>-0.5887146736889091</x:v>
      </x:c>
      <x:c r="C1077" s="84" t="n">
        <x:f>SQRT('Resumen'!$B$5^3/3)*B1077</x:f>
        <x:v>-0.3398945753301743</x:v>
      </x:c>
      <x:c r="D1077" s="84" t="n">
        <x:f>C1077^2-'Resumen'!$B$5^3/3</x:f>
        <x:v>-0.21780501099445376</x:v>
      </x:c>
      <x:c r="E1077" s="85" t="n">
        <x:f>D1077+'Resumen'!$B$5^3/3</x:f>
        <x:v>0.11552832233887955</x:v>
      </x:c>
    </x:row>
    <x:row r="1078">
      <x:c r="A1078" s="89" t="n">
        <x:v>1076</x:v>
      </x:c>
      <x:c r="B1078" s="80" t="n">
        <x:v>-0.5744662633975655</x:v>
      </x:c>
      <x:c r="C1078" s="84" t="n">
        <x:f>SQRT('Resumen'!$B$5^3/3)*B1078</x:f>
        <x:v>-0.33166825181294285</x:v>
      </x:c>
      <x:c r="D1078" s="84" t="n">
        <x:f>C1078^2-'Resumen'!$B$5^3/3</x:f>
        <x:v>-0.22332950407267965</x:v>
      </x:c>
      <x:c r="E1078" s="85" t="n">
        <x:f>D1078+'Resumen'!$B$5^3/3</x:f>
        <x:v>0.11000382926065366</x:v>
      </x:c>
    </x:row>
    <x:row r="1079">
      <x:c r="A1079" s="89" t="n">
        <x:v>1077</x:v>
      </x:c>
      <x:c r="B1079" s="80" t="n">
        <x:v>-0.6264179868553174</x:v>
      </x:c>
      <x:c r="C1079" s="84" t="n">
        <x:f>SQRT('Resumen'!$B$5^3/3)*B1079</x:f>
        <x:v>-0.3616625933361409</x:v>
      </x:c>
      <x:c r="D1079" s="84" t="n">
        <x:f>C1079^2-'Resumen'!$B$5^3/3</x:f>
        <x:v>-0.20253350191471048</x:v>
      </x:c>
      <x:c r="E1079" s="85" t="n">
        <x:f>D1079+'Resumen'!$B$5^3/3</x:f>
        <x:v>0.13079983141862284</x:v>
      </x:c>
    </x:row>
    <x:row r="1080">
      <x:c r="A1080" s="89" t="n">
        <x:v>1078</x:v>
      </x:c>
      <x:c r="B1080" s="80" t="n">
        <x:v>-1.5423052985397578</x:v>
      </x:c>
      <x:c r="C1080" s="84" t="n">
        <x:f>SQRT('Resumen'!$B$5^3/3)*B1080</x:f>
        <x:v>-0.8904503792845153</x:v>
      </x:c>
      <x:c r="D1080" s="84" t="n">
        <x:f>C1080^2-'Resumen'!$B$5^3/3</x:f>
        <x:v>0.4595685446346039</x:v>
      </x:c>
      <x:c r="E1080" s="85" t="n">
        <x:f>D1080+'Resumen'!$B$5^3/3</x:f>
        <x:v>0.7929018779679372</x:v>
      </x:c>
    </x:row>
    <x:row r="1081">
      <x:c r="A1081" s="89" t="n">
        <x:v>1079</x:v>
      </x:c>
      <x:c r="B1081" s="80" t="n">
        <x:v>-0.3910648887099601</x:v>
      </x:c>
      <x:c r="C1081" s="84" t="n">
        <x:f>SQRT('Resumen'!$B$5^3/3)*B1081</x:f>
        <x:v>-0.22578141876730648</x:v>
      </x:c>
      <x:c r="D1081" s="84" t="n">
        <x:f>C1081^2-'Resumen'!$B$5^3/3</x:f>
        <x:v>-0.2823560842727555</x:v>
      </x:c>
      <x:c r="E1081" s="85" t="n">
        <x:f>D1081+'Resumen'!$B$5^3/3</x:f>
        <x:v>0.05097724906057782</x:v>
      </x:c>
    </x:row>
    <x:row r="1082">
      <x:c r="A1082" s="89" t="n">
        <x:v>1080</x:v>
      </x:c>
      <x:c r="B1082" s="80" t="n">
        <x:v>0.5176498285123065</x:v>
      </x:c>
      <x:c r="C1082" s="84" t="n">
        <x:f>SQRT('Resumen'!$B$5^3/3)*B1082</x:f>
        <x:v>0.29886526783754375</x:v>
      </x:c>
      <x:c r="D1082" s="84" t="n">
        <x:f>C1082^2-'Resumen'!$B$5^3/3</x:f>
        <x:v>-0.24401288501372656</x:v>
      </x:c>
      <x:c r="E1082" s="85" t="n">
        <x:f>D1082+'Resumen'!$B$5^3/3</x:f>
        <x:v>0.08932044831960675</x:v>
      </x:c>
    </x:row>
    <x:row r="1083">
      <x:c r="A1083" s="89" t="n">
        <x:v>1081</x:v>
      </x:c>
      <x:c r="B1083" s="80" t="n">
        <x:v>-0.9120227546549422</x:v>
      </x:c>
      <x:c r="C1083" s="84" t="n">
        <x:f>SQRT('Resumen'!$B$5^3/3)*B1083</x:f>
        <x:v>-0.5265565829070948</x:v>
      </x:c>
      <x:c r="D1083" s="84" t="n">
        <x:f>C1083^2-'Resumen'!$B$5^3/3</x:f>
        <x:v>-0.056071498330537095</x:v>
      </x:c>
      <x:c r="E1083" s="85" t="n">
        <x:f>D1083+'Resumen'!$B$5^3/3</x:f>
        <x:v>0.2772618350027962</x:v>
      </x:c>
    </x:row>
    <x:row r="1084">
      <x:c r="A1084" s="89" t="n">
        <x:v>1082</x:v>
      </x:c>
      <x:c r="B1084" s="80" t="n">
        <x:v>-1.6659045380716035</x:v>
      </x:c>
      <x:c r="C1084" s="84" t="n">
        <x:f>SQRT('Resumen'!$B$5^3/3)*B1084</x:f>
        <x:v>-0.9618104334998594</x:v>
      </x:c>
      <x:c r="D1084" s="84" t="n">
        <x:f>C1084^2-'Resumen'!$B$5^3/3</x:f>
        <x:v>0.5917459766558542</x:v>
      </x:c>
      <x:c r="E1084" s="85" t="n">
        <x:f>D1084+'Resumen'!$B$5^3/3</x:f>
        <x:v>0.9250793099891874</x:v>
      </x:c>
    </x:row>
    <x:row r="1085">
      <x:c r="A1085" s="89" t="n">
        <x:v>1083</x:v>
      </x:c>
      <x:c r="B1085" s="80" t="n">
        <x:v>0.7718978581744299</x:v>
      </x:c>
      <x:c r="C1085" s="84" t="n">
        <x:f>SQRT('Resumen'!$B$5^3/3)*B1085</x:f>
        <x:v>0.44565543620390263</x:v>
      </x:c>
      <x:c r="D1085" s="84" t="n">
        <x:f>C1085^2-'Resumen'!$B$5^3/3</x:f>
        <x:v>-0.1347245655152426</x:v>
      </x:c>
      <x:c r="E1085" s="85" t="n">
        <x:f>D1085+'Resumen'!$B$5^3/3</x:f>
        <x:v>0.19860876781809073</x:v>
      </x:c>
    </x:row>
    <x:row r="1086">
      <x:c r="A1086" s="89" t="n">
        <x:v>1084</x:v>
      </x:c>
      <x:c r="B1086" s="80" t="n">
        <x:v>0.40391096625621037</x:v>
      </x:c>
      <x:c r="C1086" s="84" t="n">
        <x:f>SQRT('Resumen'!$B$5^3/3)*B1086</x:f>
        <x:v>0.2331981050966649</x:v>
      </x:c>
      <x:c r="D1086" s="84" t="n">
        <x:f>C1086^2-'Resumen'!$B$5^3/3</x:f>
        <x:v>-0.2789519771126582</x:v>
      </x:c>
      <x:c r="E1086" s="85" t="n">
        <x:f>D1086+'Resumen'!$B$5^3/3</x:f>
        <x:v>0.05438135622067514</x:v>
      </x:c>
    </x:row>
    <x:row r="1087">
      <x:c r="A1087" s="89" t="n">
        <x:v>1085</x:v>
      </x:c>
      <x:c r="B1087" s="80" t="n">
        <x:v>-0.769458448430742</x:v>
      </x:c>
      <x:c r="C1087" s="84" t="n">
        <x:f>SQRT('Resumen'!$B$5^3/3)*B1087</x:f>
        <x:v>-0.44424704233172063</x:v>
      </x:c>
      <x:c r="D1087" s="84" t="n">
        <x:f>C1087^2-'Resumen'!$B$5^3/3</x:f>
        <x:v>-0.13597789871285174</x:v>
      </x:c>
      <x:c r="E1087" s="85" t="n">
        <x:f>D1087+'Resumen'!$B$5^3/3</x:f>
        <x:v>0.19735543462048158</x:v>
      </x:c>
    </x:row>
    <x:row r="1088">
      <x:c r="A1088" s="89" t="n">
        <x:v>1086</x:v>
      </x:c>
      <x:c r="B1088" s="80" t="n">
        <x:v>0.3647877609629715</x:v>
      </x:c>
      <x:c r="C1088" s="84" t="n">
        <x:f>SQRT('Resumen'!$B$5^3/3)*B1088</x:f>
        <x:v>0.21061031198905245</x:v>
      </x:c>
      <x:c r="D1088" s="84" t="n">
        <x:f>C1088^2-'Resumen'!$B$5^3/3</x:f>
        <x:v>-0.2889766298172073</x:v>
      </x:c>
      <x:c r="E1088" s="85" t="n">
        <x:f>D1088+'Resumen'!$B$5^3/3</x:f>
        <x:v>0.04435670351612603</x:v>
      </x:c>
    </x:row>
    <x:row r="1089">
      <x:c r="A1089" s="89" t="n">
        <x:v>1087</x:v>
      </x:c>
      <x:c r="B1089" s="80" t="n">
        <x:v>-0.7223012513695601</x:v>
      </x:c>
      <x:c r="C1089" s="84" t="n">
        <x:f>SQRT('Resumen'!$B$5^3/3)*B1089</x:f>
        <x:v>-0.4170208219142191</x:v>
      </x:c>
      <x:c r="D1089" s="84" t="n">
        <x:f>C1089^2-'Resumen'!$B$5^3/3</x:f>
        <x:v>-0.1594269674233225</x:v>
      </x:c>
      <x:c r="E1089" s="85" t="n">
        <x:f>D1089+'Resumen'!$B$5^3/3</x:f>
        <x:v>0.17390636591001082</x:v>
      </x:c>
    </x:row>
    <x:row r="1090">
      <x:c r="A1090" s="89" t="n">
        <x:v>1088</x:v>
      </x:c>
      <x:c r="B1090" s="80" t="n">
        <x:v>1.117471582884906</x:v>
      </x:c>
      <x:c r="C1090" s="84" t="n">
        <x:f>SQRT('Resumen'!$B$5^3/3)*B1090</x:f>
        <x:v>0.6451725191903577</x:v>
      </x:c>
      <x:c r="D1090" s="84" t="n">
        <x:f>C1090^2-'Resumen'!$B$5^3/3</x:f>
        <x:v>0.08291424618509913</x:v>
      </x:c>
      <x:c r="E1090" s="85" t="n">
        <x:f>D1090+'Resumen'!$B$5^3/3</x:f>
        <x:v>0.41624757951843244</x:v>
      </x:c>
    </x:row>
    <x:row r="1091">
      <x:c r="A1091" s="89" t="n">
        <x:v>1089</x:v>
      </x:c>
      <x:c r="B1091" s="80" t="n">
        <x:v>-0.8951099803845336</x:v>
      </x:c>
      <x:c r="C1091" s="84" t="n">
        <x:f>SQRT('Resumen'!$B$5^3/3)*B1091</x:f>
        <x:v>-0.516791988129331</x:v>
      </x:c>
      <x:c r="D1091" s="84" t="n">
        <x:f>C1091^2-'Resumen'!$B$5^3/3</x:f>
        <x:v>-0.06625937433866669</x:v>
      </x:c>
      <x:c r="E1091" s="85" t="n">
        <x:f>D1091+'Resumen'!$B$5^3/3</x:f>
        <x:v>0.2670739589946666</x:v>
      </x:c>
    </x:row>
    <x:row r="1092">
      <x:c r="A1092" s="89" t="n">
        <x:v>1090</x:v>
      </x:c>
      <x:c r="B1092" s="80" t="n">
        <x:v>0.23310424039346717</x:v>
      </x:c>
      <x:c r="C1092" s="84" t="n">
        <x:f>SQRT('Resumen'!$B$5^3/3)*B1092</x:f>
        <x:v>0.1345827959404115</x:v>
      </x:c>
      <x:c r="D1092" s="84" t="n">
        <x:f>C1092^2-'Resumen'!$B$5^3/3</x:f>
        <x:v>-0.3152208043701949</x:v>
      </x:c>
      <x:c r="E1092" s="85" t="n">
        <x:f>D1092+'Resumen'!$B$5^3/3</x:f>
        <x:v>0.01811252896313842</x:v>
      </x:c>
    </x:row>
    <x:row r="1093">
      <x:c r="A1093" s="89" t="n">
        <x:v>1091</x:v>
      </x:c>
      <x:c r="B1093" s="80" t="n">
        <x:v>-2.5034715408375936</x:v>
      </x:c>
      <x:c r="C1093" s="84" t="n">
        <x:f>SQRT('Resumen'!$B$5^3/3)*B1093</x:f>
        <x:v>-1.4453799680111519</x:v>
      </x:c>
      <x:c r="D1093" s="84" t="n">
        <x:f>C1093^2-'Resumen'!$B$5^3/3</x:f>
        <x:v>1.755789918594585</x:v>
      </x:c>
      <x:c r="E1093" s="85" t="n">
        <x:f>D1093+'Resumen'!$B$5^3/3</x:f>
        <x:v>2.0891232519279184</x:v>
      </x:c>
    </x:row>
    <x:row r="1094">
      <x:c r="A1094" s="89" t="n">
        <x:v>1092</x:v>
      </x:c>
      <x:c r="B1094" s="80" t="n">
        <x:v>0.3639360951993196</x:v>
      </x:c>
      <x:c r="C1094" s="84" t="n">
        <x:f>SQRT('Resumen'!$B$5^3/3)*B1094</x:f>
        <x:v>0.21011860253114842</x:v>
      </x:c>
      <x:c r="D1094" s="84" t="n">
        <x:f>C1094^2-'Resumen'!$B$5^3/3</x:f>
        <x:v>-0.2891835062036906</x:v>
      </x:c>
      <x:c r="E1094" s="85" t="n">
        <x:f>D1094+'Resumen'!$B$5^3/3</x:f>
        <x:v>0.044149827129642716</x:v>
      </x:c>
    </x:row>
    <x:row r="1095">
      <x:c r="A1095" s="89" t="n">
        <x:v>1093</x:v>
      </x:c>
      <x:c r="B1095" s="80" t="n">
        <x:v>-0.6485842876504841</x:v>
      </x:c>
      <x:c r="C1095" s="84" t="n">
        <x:f>SQRT('Resumen'!$B$5^3/3)*B1095</x:f>
        <x:v>-0.37446031306716865</x:v>
      </x:c>
      <x:c r="D1095" s="84" t="n">
        <x:f>C1095^2-'Resumen'!$B$5^3/3</x:f>
        <x:v>-0.19311280727097135</x:v>
      </x:c>
      <x:c r="E1095" s="85" t="n">
        <x:f>D1095+'Resumen'!$B$5^3/3</x:f>
        <x:v>0.14022052606236196</x:v>
      </x:c>
    </x:row>
    <x:row r="1096">
      <x:c r="A1096" s="89" t="n">
        <x:v>1094</x:v>
      </x:c>
      <x:c r="B1096" s="80" t="n">
        <x:v>-1.463121292504797</x:v>
      </x:c>
      <x:c r="C1096" s="84" t="n">
        <x:f>SQRT('Resumen'!$B$5^3/3)*B1096</x:f>
        <x:v>-0.8447334720847176</x:v>
      </x:c>
      <x:c r="D1096" s="84" t="n">
        <x:f>C1096^2-'Resumen'!$B$5^3/3</x:f>
        <x:v>0.38024130552696905</x:v>
      </x:c>
      <x:c r="E1096" s="85" t="n">
        <x:f>D1096+'Resumen'!$B$5^3/3</x:f>
        <x:v>0.7135746388603024</x:v>
      </x:c>
    </x:row>
    <x:row r="1097">
      <x:c r="A1097" s="89" t="n">
        <x:v>1095</x:v>
      </x:c>
      <x:c r="B1097" s="80" t="n">
        <x:v>0.34330664919165405</x:v>
      </x:c>
      <x:c r="C1097" s="84" t="n">
        <x:f>SQRT('Resumen'!$B$5^3/3)*B1097</x:f>
        <x:v>0.19820818632538986</x:v>
      </x:c>
      <x:c r="D1097" s="84" t="n">
        <x:f>C1097^2-'Resumen'!$B$5^3/3</x:f>
        <x:v>-0.29404684820693283</x:v>
      </x:c>
      <x:c r="E1097" s="85" t="n">
        <x:f>D1097+'Resumen'!$B$5^3/3</x:f>
        <x:v>0.03928648512640048</x:v>
      </x:c>
    </x:row>
    <x:row r="1098">
      <x:c r="A1098" s="89" t="n">
        <x:v>1096</x:v>
      </x:c>
      <x:c r="B1098" s="80" t="n">
        <x:v>-0.025773738721046255</x:v>
      </x:c>
      <x:c r="C1098" s="84" t="n">
        <x:f>SQRT('Resumen'!$B$5^3/3)*B1098</x:f>
        <x:v>-0.014880474988619136</x:v>
      </x:c>
      <x:c r="D1098" s="84" t="n">
        <x:f>C1098^2-'Resumen'!$B$5^3/3</x:f>
        <x:v>-0.3331119047974464</x:v>
      </x:c>
      <x:c r="E1098" s="85" t="n">
        <x:f>D1098+'Resumen'!$B$5^3/3</x:f>
        <x:v>0.0002214285358869139</x:v>
      </x:c>
    </x:row>
    <x:row r="1099">
      <x:c r="A1099" s="89" t="n">
        <x:v>1097</x:v>
      </x:c>
      <x:c r="B1099" s="80" t="n">
        <x:v>-1.7484442608284083</x:v>
      </x:c>
      <x:c r="C1099" s="84" t="n">
        <x:f>SQRT('Resumen'!$B$5^3/3)*B1099</x:f>
        <x:v>-1.0094647646523378</x:v>
      </x:c>
      <x:c r="D1099" s="84" t="n">
        <x:f>C1099^2-'Resumen'!$B$5^3/3</x:f>
        <x:v>0.6856857777412666</x:v>
      </x:c>
      <x:c r="E1099" s="85" t="n">
        <x:f>D1099+'Resumen'!$B$5^3/3</x:f>
        <x:v>1.0190191110745999</x:v>
      </x:c>
    </x:row>
    <x:row r="1100">
      <x:c r="A1100" s="89" t="n">
        <x:v>1098</x:v>
      </x:c>
      <x:c r="B1100" s="80" t="n">
        <x:v>0.926221871162529</x:v>
      </x:c>
      <x:c r="C1100" s="84" t="n">
        <x:f>SQRT('Resumen'!$B$5^3/3)*B1100</x:f>
        <x:v>0.5347544466450049</x:v>
      </x:c>
      <x:c r="D1100" s="84" t="n">
        <x:f>C1100^2-'Resumen'!$B$5^3/3</x:f>
        <x:v>-0.04737101512672787</x:v>
      </x:c>
      <x:c r="E1100" s="85" t="n">
        <x:f>D1100+'Resumen'!$B$5^3/3</x:f>
        <x:v>0.28596231820660545</x:v>
      </x:c>
    </x:row>
    <x:row r="1101">
      <x:c r="A1101" s="89" t="n">
        <x:v>1099</x:v>
      </x:c>
      <x:c r="B1101" s="80" t="n">
        <x:v>-0.6563720087143162</x:v>
      </x:c>
      <x:c r="C1101" s="84" t="n">
        <x:f>SQRT('Resumen'!$B$5^3/3)*B1101</x:f>
        <x:v>-0.37895655591974586</x:v>
      </x:c>
      <x:c r="D1101" s="84" t="n">
        <x:f>C1101^2-'Resumen'!$B$5^3/3</x:f>
        <x:v>-0.18972526205877785</x:v>
      </x:c>
      <x:c r="E1101" s="85" t="n">
        <x:f>D1101+'Resumen'!$B$5^3/3</x:f>
        <x:v>0.14360807127455547</x:v>
      </x:c>
    </x:row>
    <x:row r="1102">
      <x:c r="A1102" s="89" t="n">
        <x:v>1100</x:v>
      </x:c>
      <x:c r="B1102" s="80" t="n">
        <x:v>-0.06414028177813996</x:v>
      </x:c>
      <x:c r="C1102" s="84" t="n">
        <x:f>SQRT('Resumen'!$B$5^3/3)*B1102</x:f>
        <x:v>-0.037031408950507556</x:v>
      </x:c>
      <x:c r="D1102" s="84" t="n">
        <x:f>C1102^2-'Resumen'!$B$5^3/3</x:f>
        <x:v>-0.33196200808447357</x:v>
      </x:c>
      <x:c r="E1102" s="85" t="n">
        <x:f>D1102+'Resumen'!$B$5^3/3</x:f>
        <x:v>0.001371325248859745</x:v>
      </x:c>
    </x:row>
    <x:row r="1103">
      <x:c r="A1103" s="89" t="n">
        <x:v>1101</x:v>
      </x:c>
      <x:c r="B1103" s="80" t="n">
        <x:v>1.0231334463055086</x:v>
      </x:c>
      <x:c r="C1103" s="84" t="n">
        <x:f>SQRT('Resumen'!$B$5^3/3)*B1103</x:f>
        <x:v>0.5907063706413949</x:v>
      </x:c>
      <x:c r="D1103" s="84" t="n">
        <x:f>C1103^2-'Resumen'!$B$5^3/3</x:f>
        <x:v>0.015600682982995662</x:v>
      </x:c>
      <x:c r="E1103" s="85" t="n">
        <x:f>D1103+'Resumen'!$B$5^3/3</x:f>
        <x:v>0.348934016316329</x:v>
      </x:c>
    </x:row>
    <x:row r="1104">
      <x:c r="A1104" s="89" t="n">
        <x:v>1102</x:v>
      </x:c>
      <x:c r="B1104" s="80" t="n">
        <x:v>-0.3849986209742308</x:v>
      </x:c>
      <x:c r="C1104" s="84" t="n">
        <x:f>SQRT('Resumen'!$B$5^3/3)*B1104</x:f>
        <x:v>-0.22227905745710685</x:v>
      </x:c>
      <x:c r="D1104" s="84" t="n">
        <x:f>C1104^2-'Resumen'!$B$5^3/3</x:f>
        <x:v>-0.2839253539493135</x:v>
      </x:c>
      <x:c r="E1104" s="85" t="n">
        <x:f>D1104+'Resumen'!$B$5^3/3</x:f>
        <x:v>0.04940797938401981</x:v>
      </x:c>
    </x:row>
    <x:row r="1105">
      <x:c r="A1105" s="89" t="n">
        <x:v>1103</x:v>
      </x:c>
      <x:c r="B1105" s="80" t="n">
        <x:v>1.7914789658656203</x:v>
      </x:c>
      <x:c r="C1105" s="84" t="n">
        <x:f>SQRT('Resumen'!$B$5^3/3)*B1105</x:f>
        <x:v>1.0343108631900682</x:v>
      </x:c>
      <x:c r="D1105" s="84" t="n">
        <x:f>C1105^2-'Resumen'!$B$5^3/3</x:f>
        <x:v>0.7364656283796507</x:v>
      </x:c>
      <x:c r="E1105" s="85" t="n">
        <x:f>D1105+'Resumen'!$B$5^3/3</x:f>
        <x:v>1.069798961712984</x:v>
      </x:c>
    </x:row>
    <x:row r="1106">
      <x:c r="A1106" s="89" t="n">
        <x:v>1104</x:v>
      </x:c>
      <x:c r="B1106" s="80" t="n">
        <x:v>0.20018113967268183</x:v>
      </x:c>
      <x:c r="C1106" s="84" t="n">
        <x:f>SQRT('Resumen'!$B$5^3/3)*B1106</x:f>
        <x:v>0.11557463487670892</x:v>
      </x:c>
      <x:c r="D1106" s="84" t="n">
        <x:f>C1106^2-'Resumen'!$B$5^3/3</x:f>
        <x:v>-0.3199758371064487</x:v>
      </x:c>
      <x:c r="E1106" s="85" t="n">
        <x:f>D1106+'Resumen'!$B$5^3/3</x:f>
        <x:v>0.013357496226884591</x:v>
      </x:c>
    </x:row>
    <x:row r="1107">
      <x:c r="A1107" s="89" t="n">
        <x:v>1105</x:v>
      </x:c>
      <x:c r="B1107" s="80" t="n">
        <x:v>-0.9012002983680498</x:v>
      </x:c>
      <x:c r="C1107" s="84" t="n">
        <x:f>SQRT('Resumen'!$B$5^3/3)*B1107</x:f>
        <x:v>-0.5203082348565646</x:v>
      </x:c>
      <x:c r="D1107" s="84" t="n">
        <x:f>C1107^2-'Resumen'!$B$5^3/3</x:f>
        <x:v>-0.0626126740737793</x:v>
      </x:c>
      <x:c r="E1107" s="85" t="n">
        <x:f>D1107+'Resumen'!$B$5^3/3</x:f>
        <x:v>0.270720659259554</x:v>
      </x:c>
    </x:row>
    <x:row r="1108">
      <x:c r="A1108" s="89" t="n">
        <x:v>1106</x:v>
      </x:c>
      <x:c r="B1108" s="80" t="n">
        <x:v>1.4849752095959048</x:v>
      </x:c>
      <x:c r="C1108" s="84" t="n">
        <x:f>SQRT('Resumen'!$B$5^3/3)*B1108</x:f>
        <x:v>0.8573508370001165</x:v>
      </x:c>
      <x:c r="D1108" s="84" t="n">
        <x:f>C1108^2-'Resumen'!$B$5^3/3</x:f>
        <x:v>0.40171712437146706</x:v>
      </x:c>
      <x:c r="E1108" s="85" t="n">
        <x:f>D1108+'Resumen'!$B$5^3/3</x:f>
        <x:v>0.7350504577048004</x:v>
      </x:c>
    </x:row>
    <x:row r="1109">
      <x:c r="A1109" s="89" t="n">
        <x:v>1107</x:v>
      </x:c>
      <x:c r="B1109" s="80" t="n">
        <x:v>-2.1890516726304012</x:v>
      </x:c>
      <x:c r="C1109" s="84" t="n">
        <x:f>SQRT('Resumen'!$B$5^3/3)*B1109</x:f>
        <x:v>-1.2638495724631627</x:v>
      </x:c>
      <x:c r="D1109" s="84" t="n">
        <x:f>C1109^2-'Resumen'!$B$5^3/3</x:f>
        <x:v>1.2639824084819857</x:v>
      </x:c>
      <x:c r="E1109" s="85" t="n">
        <x:f>D1109+'Resumen'!$B$5^3/3</x:f>
        <x:v>1.597315741815319</x:v>
      </x:c>
    </x:row>
    <x:row r="1110">
      <x:c r="A1110" s="89" t="n">
        <x:v>1108</x:v>
      </x:c>
      <x:c r="B1110" s="80" t="n">
        <x:v>-0.3840876350768773</x:v>
      </x:c>
      <x:c r="C1110" s="84" t="n">
        <x:f>SQRT('Resumen'!$B$5^3/3)*B1110</x:f>
        <x:v>-0.22175309950404185</x:v>
      </x:c>
      <x:c r="D1110" s="84" t="n">
        <x:f>C1110^2-'Resumen'!$B$5^3/3</x:f>
        <x:v>-0.28415889619368384</x:v>
      </x:c>
      <x:c r="E1110" s="85" t="n">
        <x:f>D1110+'Resumen'!$B$5^3/3</x:f>
        <x:v>0.049174437139649474</x:v>
      </x:c>
    </x:row>
    <x:row r="1111">
      <x:c r="A1111" s="89" t="n">
        <x:v>1109</x:v>
      </x:c>
      <x:c r="B1111" s="80" t="n">
        <x:v>0.21731921668212278</x:v>
      </x:c>
      <x:c r="C1111" s="84" t="n">
        <x:f>SQRT('Resumen'!$B$5^3/3)*B1111</x:f>
        <x:v>0.12546930825150218</x:v>
      </x:c>
      <x:c r="D1111" s="84" t="n">
        <x:f>C1111^2-'Resumen'!$B$5^3/3</x:f>
        <x:v>-0.31759078602022284</x:v>
      </x:c>
      <x:c r="E1111" s="85" t="n">
        <x:f>D1111+'Resumen'!$B$5^3/3</x:f>
        <x:v>0.015742547313110478</x:v>
      </x:c>
    </x:row>
    <x:row r="1112">
      <x:c r="A1112" s="89" t="n">
        <x:v>1110</x:v>
      </x:c>
      <x:c r="B1112" s="80" t="n">
        <x:v>-0.7963908827950491</x:v>
      </x:c>
      <x:c r="C1112" s="84" t="n">
        <x:f>SQRT('Resumen'!$B$5^3/3)*B1112</x:f>
        <x:v>-0.45979649056188526</x:v>
      </x:c>
      <x:c r="D1112" s="84" t="n">
        <x:f>C1112^2-'Resumen'!$B$5^3/3</x:f>
        <x:v>-0.12192052060030747</x:v>
      </x:c>
      <x:c r="E1112" s="85" t="n">
        <x:f>D1112+'Resumen'!$B$5^3/3</x:f>
        <x:v>0.21141281273302584</x:v>
      </x:c>
    </x:row>
    <x:row r="1113">
      <x:c r="A1113" s="89" t="n">
        <x:v>1111</x:v>
      </x:c>
      <x:c r="B1113" s="80" t="n">
        <x:v>1.29795486861869</x:v>
      </x:c>
      <x:c r="C1113" s="84" t="n">
        <x:f>SQRT('Resumen'!$B$5^3/3)*B1113</x:f>
        <x:v>0.7493745927929859</x:v>
      </x:c>
      <x:c r="D1113" s="84" t="n">
        <x:f>C1113^2-'Resumen'!$B$5^3/3</x:f>
        <x:v>0.2282289469903201</x:v>
      </x:c>
      <x:c r="E1113" s="85" t="n">
        <x:f>D1113+'Resumen'!$B$5^3/3</x:f>
        <x:v>0.5615622803236534</x:v>
      </x:c>
    </x:row>
    <x:row r="1114">
      <x:c r="A1114" s="89" t="n">
        <x:v>1112</x:v>
      </x:c>
      <x:c r="B1114" s="80" t="n">
        <x:v>0.6820996141008133</x:v>
      </x:c>
      <x:c r="C1114" s="84" t="n">
        <x:f>SQRT('Resumen'!$B$5^3/3)*B1114</x:f>
        <x:v>0.3938103958152444</x:v>
      </x:c>
      <x:c r="D1114" s="84" t="n">
        <x:f>C1114^2-'Resumen'!$B$5^3/3</x:f>
        <x:v>-0.17824670548117386</x:v>
      </x:c>
      <x:c r="E1114" s="85" t="n">
        <x:f>D1114+'Resumen'!$B$5^3/3</x:f>
        <x:v>0.15508662785215946</x:v>
      </x:c>
    </x:row>
    <x:row r="1115">
      <x:c r="A1115" s="89" t="n">
        <x:v>1113</x:v>
      </x:c>
      <x:c r="B1115" s="80" t="n">
        <x:v>-0.1660904723336718</x:v>
      </x:c>
      <x:c r="C1115" s="84" t="n">
        <x:f>SQRT('Resumen'!$B$5^3/3)*B1115</x:f>
        <x:v>-0.0958923789116775</x:v>
      </x:c>
      <x:c r="D1115" s="84" t="n">
        <x:f>C1115^2-'Resumen'!$B$5^3/3</x:f>
        <x:v>-0.3241379849999926</x:v>
      </x:c>
      <x:c r="E1115" s="85" t="n">
        <x:f>D1115+'Resumen'!$B$5^3/3</x:f>
        <x:v>0.009195348333340736</x:v>
      </x:c>
    </x:row>
    <x:row r="1116">
      <x:c r="A1116" s="89" t="n">
        <x:v>1114</x:v>
      </x:c>
      <x:c r="B1116" s="80" t="n">
        <x:v>0.19712343568945612</x:v>
      </x:c>
      <x:c r="C1116" s="84" t="n">
        <x:f>SQRT('Resumen'!$B$5^3/3)*B1116</x:f>
        <x:v>0.11380926865889136</x:v>
      </x:c>
      <x:c r="D1116" s="84" t="n">
        <x:f>C1116^2-'Resumen'!$B$5^3/3</x:f>
        <x:v>-0.3203807837006616</x:v>
      </x:c>
      <x:c r="E1116" s="85" t="n">
        <x:f>D1116+'Resumen'!$B$5^3/3</x:f>
        <x:v>0.012952549632671728</x:v>
      </x:c>
    </x:row>
    <x:row r="1117">
      <x:c r="A1117" s="89" t="n">
        <x:v>1115</x:v>
      </x:c>
      <x:c r="B1117" s="80" t="n">
        <x:v>1.3537920054370585</x:v>
      </x:c>
      <x:c r="C1117" s="84" t="n">
        <x:f>SQRT('Resumen'!$B$5^3/3)*B1117</x:f>
        <x:v>0.781612178765849</x:v>
      </x:c>
      <x:c r="D1117" s="84" t="n">
        <x:f>C1117^2-'Resumen'!$B$5^3/3</x:f>
        <x:v>0.27758426466176417</x:v>
      </x:c>
      <x:c r="E1117" s="85" t="n">
        <x:f>D1117+'Resumen'!$B$5^3/3</x:f>
        <x:v>0.6109175979950975</x:v>
      </x:c>
    </x:row>
    <x:row r="1118">
      <x:c r="A1118" s="89" t="n">
        <x:v>1116</x:v>
      </x:c>
      <x:c r="B1118" s="80" t="n">
        <x:v>0.7254434806819463</x:v>
      </x:c>
      <x:c r="C1118" s="84" t="n">
        <x:f>SQRT('Resumen'!$B$5^3/3)*B1118</x:f>
        <x:v>0.4188349888535808</x:v>
      </x:c>
      <x:c r="D1118" s="84" t="n">
        <x:f>C1118^2-'Resumen'!$B$5^3/3</x:f>
        <x:v>-0.1579105854453542</x:v>
      </x:c>
      <x:c r="E1118" s="85" t="n">
        <x:f>D1118+'Resumen'!$B$5^3/3</x:f>
        <x:v>0.17542274788797912</x:v>
      </x:c>
    </x:row>
    <x:row r="1119">
      <x:c r="A1119" s="89" t="n">
        <x:v>1117</x:v>
      </x:c>
      <x:c r="B1119" s="80" t="n">
        <x:v>-0.5974383601340413</x:v>
      </x:c>
      <x:c r="C1119" s="84" t="n">
        <x:f>SQRT('Resumen'!$B$5^3/3)*B1119</x:f>
        <x:v>-0.3449311980475973</x:v>
      </x:c>
      <x:c r="D1119" s="84" t="n">
        <x:f>C1119^2-'Resumen'!$B$5^3/3</x:f>
        <x:v>-0.2143558019467825</x:v>
      </x:c>
      <x:c r="E1119" s="85" t="n">
        <x:f>D1119+'Resumen'!$B$5^3/3</x:f>
        <x:v>0.11897753138655082</x:v>
      </x:c>
    </x:row>
    <x:row r="1120">
      <x:c r="A1120" s="89" t="n">
        <x:v>1118</x:v>
      </x:c>
      <x:c r="B1120" s="80" t="n">
        <x:v>1.2671569985753675</x:v>
      </x:c>
      <x:c r="C1120" s="84" t="n">
        <x:f>SQRT('Resumen'!$B$5^3/3)*B1120</x:f>
        <x:v>0.7315934342330066</x:v>
      </x:c>
      <x:c r="D1120" s="84" t="n">
        <x:f>C1120^2-'Resumen'!$B$5^3/3</x:f>
        <x:v>0.20189561967951125</x:v>
      </x:c>
      <x:c r="E1120" s="85" t="n">
        <x:f>D1120+'Resumen'!$B$5^3/3</x:f>
        <x:v>0.5352289530128446</x:v>
      </x:c>
    </x:row>
    <x:row r="1121">
      <x:c r="A1121" s="89" t="n">
        <x:v>1119</x:v>
      </x:c>
      <x:c r="B1121" s="80" t="n">
        <x:v>-1.5347466311194873</x:v>
      </x:c>
      <x:c r="C1121" s="84" t="n">
        <x:f>SQRT('Resumen'!$B$5^3/3)*B1121</x:f>
        <x:v>-0.8860863806147072</x:v>
      </x:c>
      <x:c r="D1121" s="84" t="n">
        <x:f>C1121^2-'Resumen'!$B$5^3/3</x:f>
        <x:v>0.45181574057753854</x:v>
      </x:c>
      <x:c r="E1121" s="85" t="n">
        <x:f>D1121+'Resumen'!$B$5^3/3</x:f>
        <x:v>0.7851490739108719</x:v>
      </x:c>
    </x:row>
    <x:row r="1122">
      <x:c r="A1122" s="89" t="n">
        <x:v>1120</x:v>
      </x:c>
      <x:c r="B1122" s="80" t="n">
        <x:v>0.4239590587966648</x:v>
      </x:c>
      <x:c r="C1122" s="84" t="n">
        <x:f>SQRT('Resumen'!$B$5^3/3)*B1122</x:f>
        <x:v>0.24477287672163478</x:v>
      </x:c>
      <x:c r="D1122" s="84" t="n">
        <x:f>C1122^2-'Resumen'!$B$5^3/3</x:f>
        <x:v>-0.2734195721547487</x:v>
      </x:c>
      <x:c r="E1122" s="85" t="n">
        <x:f>D1122+'Resumen'!$B$5^3/3</x:f>
        <x:v>0.0599137611785846</x:v>
      </x:c>
    </x:row>
    <x:row r="1123">
      <x:c r="A1123" s="89" t="n">
        <x:v>1121</x:v>
      </x:c>
      <x:c r="B1123" s="80" t="n">
        <x:v>-0.6865386315213948</x:v>
      </x:c>
      <x:c r="C1123" s="84" t="n">
        <x:f>SQRT('Resumen'!$B$5^3/3)*B1123</x:f>
        <x:v>-0.39637326371795456</x:v>
      </x:c>
      <x:c r="D1123" s="84" t="n">
        <x:f>C1123^2-'Resumen'!$B$5^3/3</x:f>
        <x:v>-0.17622156914291015</x:v>
      </x:c>
      <x:c r="E1123" s="85" t="n">
        <x:f>D1123+'Resumen'!$B$5^3/3</x:f>
        <x:v>0.15711176419042316</x:v>
      </x:c>
    </x:row>
    <x:row r="1124">
      <x:c r="A1124" s="89" t="n">
        <x:v>1122</x:v>
      </x:c>
      <x:c r="B1124" s="80" t="n">
        <x:v>-0.12514406083584623</x:v>
      </x:c>
      <x:c r="C1124" s="84" t="n">
        <x:f>SQRT('Resumen'!$B$5^3/3)*B1124</x:f>
        <x:v>-0.07225195721105872</x:v>
      </x:c>
      <x:c r="D1124" s="84" t="n">
        <x:f>C1124^2-'Resumen'!$B$5^3/3</x:f>
        <x:v>-0.32811298801250466</x:v>
      </x:c>
      <x:c r="E1124" s="85" t="n">
        <x:f>D1124+'Resumen'!$B$5^3/3</x:f>
        <x:v>0.0052203453208286565</x:v>
      </x:c>
    </x:row>
    <x:row r="1125">
      <x:c r="A1125" s="89" t="n">
        <x:v>1123</x:v>
      </x:c>
      <x:c r="B1125" s="80" t="n">
        <x:v>1.264714947682382</x:v>
      </x:c>
      <x:c r="C1125" s="84" t="n">
        <x:f>SQRT('Resumen'!$B$5^3/3)*B1125</x:f>
        <x:v>0.7301835154925667</x:v>
      </x:c>
      <x:c r="D1125" s="84" t="n">
        <x:f>C1125^2-'Resumen'!$B$5^3/3</x:f>
        <x:v>0.19983463296374998</x:v>
      </x:c>
      <x:c r="E1125" s="85" t="n">
        <x:f>D1125+'Resumen'!$B$5^3/3</x:f>
        <x:v>0.5331679662970833</x:v>
      </x:c>
    </x:row>
    <x:row r="1126">
      <x:c r="A1126" s="89" t="n">
        <x:v>1124</x:v>
      </x:c>
      <x:c r="B1126" s="80" t="n">
        <x:v>0.0662516813399293</x:v>
      </x:c>
      <x:c r="C1126" s="84" t="n">
        <x:f>SQRT('Resumen'!$B$5^3/3)*B1126</x:f>
        <x:v>0.038250426055873483</x:v>
      </x:c>
      <x:c r="D1126" s="84" t="n">
        <x:f>C1126^2-'Resumen'!$B$5^3/3</x:f>
        <x:v>-0.3318702382398775</x:v>
      </x:c>
      <x:c r="E1126" s="85" t="n">
        <x:f>D1126+'Resumen'!$B$5^3/3</x:f>
        <x:v>0.001463095093455824</x:v>
      </x:c>
    </x:row>
    <x:row r="1127">
      <x:c r="A1127" s="89" t="n">
        <x:v>1125</x:v>
      </x:c>
      <x:c r="B1127" s="80" t="n">
        <x:v>1.0982244983743104</x:v>
      </x:c>
      <x:c r="C1127" s="84" t="n">
        <x:f>SQRT('Resumen'!$B$5^3/3)*B1127</x:f>
        <x:v>0.6340602097670498</x:v>
      </x:c>
      <x:c r="D1127" s="84" t="n">
        <x:f>C1127^2-'Resumen'!$B$5^3/3</x:f>
        <x:v>0.06869901627650188</x:v>
      </x:c>
      <x:c r="E1127" s="85" t="n">
        <x:f>D1127+'Resumen'!$B$5^3/3</x:f>
        <x:v>0.4020323496098352</x:v>
      </x:c>
    </x:row>
    <x:row r="1128">
      <x:c r="A1128" s="89" t="n">
        <x:v>1126</x:v>
      </x:c>
      <x:c r="B1128" s="80" t="n">
        <x:v>-0.03648852866396196</x:v>
      </x:c>
      <x:c r="C1128" s="84" t="n">
        <x:f>SQRT('Resumen'!$B$5^3/3)*B1128</x:f>
        <x:v>-0.021066661846471813</x:v>
      </x:c>
      <x:c r="D1128" s="84" t="n">
        <x:f>C1128^2-'Resumen'!$B$5^3/3</x:f>
        <x:v>-0.3328895290919797</x:v>
      </x:c>
      <x:c r="E1128" s="85" t="n">
        <x:f>D1128+'Resumen'!$B$5^3/3</x:f>
        <x:v>0.00044380424135359586</x:v>
      </x:c>
    </x:row>
    <x:row r="1129">
      <x:c r="A1129" s="89" t="n">
        <x:v>1127</x:v>
      </x:c>
      <x:c r="B1129" s="80" t="n">
        <x:v>1.3684921999762403</x:v>
      </x:c>
      <x:c r="C1129" s="84" t="n">
        <x:f>SQRT('Resumen'!$B$5^3/3)*B1129</x:f>
        <x:v>0.7900993400401854</x:v>
      </x:c>
      <x:c r="D1129" s="84" t="n">
        <x:f>C1129^2-'Resumen'!$B$5^3/3</x:f>
        <x:v>0.29092363379860325</x:v>
      </x:c>
      <x:c r="E1129" s="85" t="n">
        <x:f>D1129+'Resumen'!$B$5^3/3</x:f>
        <x:v>0.6242569671319366</x:v>
      </x:c>
    </x:row>
    <x:row r="1130">
      <x:c r="A1130" s="89" t="n">
        <x:v>1128</x:v>
      </x:c>
      <x:c r="B1130" s="80" t="n">
        <x:v>-1.5726033692321582</x:v>
      </x:c>
      <x:c r="C1130" s="84" t="n">
        <x:f>SQRT('Resumen'!$B$5^3/3)*B1130</x:f>
        <x:v>-0.9079429785546989</x:v>
      </x:c>
      <x:c r="D1130" s="84" t="n">
        <x:f>C1130^2-'Resumen'!$B$5^3/3</x:f>
        <x:v>0.49102711897344503</x:v>
      </x:c>
      <x:c r="E1130" s="85" t="n">
        <x:f>D1130+'Resumen'!$B$5^3/3</x:f>
        <x:v>0.8243604523067783</x:v>
      </x:c>
    </x:row>
    <x:row r="1131">
      <x:c r="A1131" s="89" t="n">
        <x:v>1129</x:v>
      </x:c>
      <x:c r="B1131" s="80" t="n">
        <x:v>0.378759618534916</x:v>
      </x:c>
      <x:c r="C1131" s="84" t="n">
        <x:f>SQRT('Resumen'!$B$5^3/3)*B1131</x:f>
        <x:v>0.2186769677192937</x:v>
      </x:c>
      <x:c r="D1131" s="84" t="n">
        <x:f>C1131^2-'Resumen'!$B$5^3/3</x:f>
        <x:v>-0.2855137171224283</x:v>
      </x:c>
      <x:c r="E1131" s="85" t="n">
        <x:f>D1131+'Resumen'!$B$5^3/3</x:f>
        <x:v>0.047819616210905025</x:v>
      </x:c>
    </x:row>
    <x:row r="1132">
      <x:c r="A1132" s="89" t="n">
        <x:v>1130</x:v>
      </x:c>
      <x:c r="B1132" s="80" t="n">
        <x:v>1.4310999115222631</x:v>
      </x:c>
      <x:c r="C1132" s="84" t="n">
        <x:f>SQRT('Resumen'!$B$5^3/3)*B1132</x:f>
        <x:v>0.8262459191546282</x:v>
      </x:c>
      <x:c r="D1132" s="84" t="n">
        <x:f>C1132^2-'Resumen'!$B$5^3/3</x:f>
        <x:v>0.34934898558634303</x:v>
      </x:c>
      <x:c r="E1132" s="85" t="n">
        <x:f>D1132+'Resumen'!$B$5^3/3</x:f>
        <x:v>0.6826823189196763</x:v>
      </x:c>
    </x:row>
    <x:row r="1133">
      <x:c r="A1133" s="89" t="n">
        <x:v>1131</x:v>
      </x:c>
      <x:c r="B1133" s="80" t="n">
        <x:v>-0.06182065221355267</x:v>
      </x:c>
      <x:c r="C1133" s="84" t="n">
        <x:f>SQRT('Resumen'!$B$5^3/3)*B1133</x:f>
        <x:v>-0.035692170196972864</x:v>
      </x:c>
      <x:c r="D1133" s="84" t="n">
        <x:f>C1133^2-'Resumen'!$B$5^3/3</x:f>
        <x:v>-0.3320594023199636</x:v>
      </x:c>
      <x:c r="E1133" s="85" t="n">
        <x:f>D1133+'Resumen'!$B$5^3/3</x:f>
        <x:v>0.0012739310133697002</x:v>
      </x:c>
    </x:row>
    <x:row r="1134">
      <x:c r="A1134" s="89" t="n">
        <x:v>1132</x:v>
      </x:c>
      <x:c r="B1134" s="80" t="n">
        <x:v>3.2314507878835372</x:v>
      </x:c>
      <x:c r="C1134" s="84" t="n">
        <x:f>SQRT('Resumen'!$B$5^3/3)*B1134</x:f>
        <x:v>1.8656789822575883</x:v>
      </x:c>
      <x:c r="D1134" s="84" t="n">
        <x:f>C1134^2-'Resumen'!$B$5^3/3</x:f>
        <x:v>3.147424731504377</x:v>
      </x:c>
      <x:c r="E1134" s="85" t="n">
        <x:f>D1134+'Resumen'!$B$5^3/3</x:f>
        <x:v>3.4807580648377106</x:v>
      </x:c>
    </x:row>
    <x:row r="1135">
      <x:c r="A1135" s="89" t="n">
        <x:v>1133</x:v>
      </x:c>
      <x:c r="B1135" s="80" t="n">
        <x:v>0.3784012229833317</x:v>
      </x:c>
      <x:c r="C1135" s="84" t="n">
        <x:f>SQRT('Resumen'!$B$5^3/3)*B1135</x:f>
        <x:v>0.21847004795111014</x:v>
      </x:c>
      <x:c r="D1135" s="84" t="n">
        <x:f>C1135^2-'Resumen'!$B$5^3/3</x:f>
        <x:v>-0.28560417148157297</x:v>
      </x:c>
      <x:c r="E1135" s="85" t="n">
        <x:f>D1135+'Resumen'!$B$5^3/3</x:f>
        <x:v>0.04772916185176035</x:v>
      </x:c>
    </x:row>
    <x:row r="1136">
      <x:c r="A1136" s="89" t="n">
        <x:v>1134</x:v>
      </x:c>
      <x:c r="B1136" s="80" t="n">
        <x:v>-0.5600600750132363</x:v>
      </x:c>
      <x:c r="C1136" s="84" t="n">
        <x:f>SQRT('Resumen'!$B$5^3/3)*B1136</x:f>
        <x:v>-0.32335083507125395</x:v>
      </x:c>
      <x:c r="D1136" s="84" t="n">
        <x:f>C1136^2-'Resumen'!$B$5^3/3</x:f>
        <x:v>-0.22877757079205605</x:v>
      </x:c>
      <x:c r="E1136" s="85" t="n">
        <x:f>D1136+'Resumen'!$B$5^3/3</x:f>
        <x:v>0.10455576254127727</x:v>
      </x:c>
    </x:row>
    <x:row r="1137">
      <x:c r="A1137" s="89" t="n">
        <x:v>1135</x:v>
      </x:c>
      <x:c r="B1137" s="80" t="n">
        <x:v>-0.1928949276746748</x:v>
      </x:c>
      <x:c r="C1137" s="84" t="n">
        <x:f>SQRT('Resumen'!$B$5^3/3)*B1137</x:f>
        <x:v>-0.11136793841828689</x:v>
      </x:c>
      <x:c r="D1137" s="84" t="n">
        <x:f>C1137^2-'Resumen'!$B$5^3/3</x:f>
        <x:v>-0.320930515625794</x:v>
      </x:c>
      <x:c r="E1137" s="85" t="n">
        <x:f>D1137+'Resumen'!$B$5^3/3</x:f>
        <x:v>0.012402817707539315</x:v>
      </x:c>
    </x:row>
    <x:row r="1138">
      <x:c r="A1138" s="89" t="n">
        <x:v>1136</x:v>
      </x:c>
      <x:c r="B1138" s="80" t="n">
        <x:v>0.0036061976756585666</x:v>
      </x:c>
      <x:c r="C1138" s="84" t="n">
        <x:f>SQRT('Resumen'!$B$5^3/3)*B1138</x:f>
        <x:v>0.002082039198792476</x:v>
      </x:c>
      <x:c r="D1138" s="84" t="n">
        <x:f>C1138^2-'Resumen'!$B$5^3/3</x:f>
        <x:v>-0.333328998446108</x:v>
      </x:c>
      <x:c r="E1138" s="85" t="n">
        <x:f>D1138+'Resumen'!$B$5^3/3</x:f>
        <x:v>0.0000043348872252879644</x:v>
      </x:c>
    </x:row>
    <x:row r="1139">
      <x:c r="A1139" s="89" t="n">
        <x:v>1137</x:v>
      </x:c>
      <x:c r="B1139" s="80" t="n">
        <x:v>0.4819865489819397</x:v>
      </x:c>
      <x:c r="C1139" s="84" t="n">
        <x:f>SQRT('Resumen'!$B$5^3/3)*B1139</x:f>
        <x:v>0.2782750638005016</x:v>
      </x:c>
      <x:c r="D1139" s="84" t="n">
        <x:f>C1139^2-'Resumen'!$B$5^3/3</x:f>
        <x:v>-0.25589632220016006</x:v>
      </x:c>
      <x:c r="E1139" s="85" t="n">
        <x:f>D1139+'Resumen'!$B$5^3/3</x:f>
        <x:v>0.07743701113317325</x:v>
      </x:c>
    </x:row>
    <x:row r="1140">
      <x:c r="A1140" s="89" t="n">
        <x:v>1138</x:v>
      </x:c>
      <x:c r="B1140" s="80" t="n">
        <x:v>-0.9536327806451447</x:v>
      </x:c>
      <x:c r="C1140" s="84" t="n">
        <x:f>SQRT('Resumen'!$B$5^3/3)*B1140</x:f>
        <x:v>-0.5505801426135256</x:v>
      </x:c>
      <x:c r="D1140" s="84" t="n">
        <x:f>C1140^2-'Resumen'!$B$5^3/3</x:f>
        <x:v>-0.03019483989300309</x:v>
      </x:c>
      <x:c r="E1140" s="85" t="n">
        <x:f>D1140+'Resumen'!$B$5^3/3</x:f>
        <x:v>0.3031384934403302</x:v>
      </x:c>
    </x:row>
    <x:row r="1141">
      <x:c r="A1141" s="89" t="n">
        <x:v>1139</x:v>
      </x:c>
      <x:c r="B1141" s="80" t="n">
        <x:v>-0.9693581476336752</x:v>
      </x:c>
      <x:c r="C1141" s="84" t="n">
        <x:f>SQRT('Resumen'!$B$5^3/3)*B1141</x:f>
        <x:v>-0.5596591874774594</x:v>
      </x:c>
      <x:c r="D1141" s="84" t="n">
        <x:f>C1141^2-'Resumen'!$B$5^3/3</x:f>
        <x:v>-0.02011492720540331</x:v>
      </x:c>
      <x:c r="E1141" s="85" t="n">
        <x:f>D1141+'Resumen'!$B$5^3/3</x:f>
        <x:v>0.31321840612793</x:v>
      </x:c>
    </x:row>
    <x:row r="1142">
      <x:c r="A1142" s="89" t="n">
        <x:v>1140</x:v>
      </x:c>
      <x:c r="B1142" s="80" t="n">
        <x:v>0.8839890041156571</x:v>
      </x:c>
      <x:c r="C1142" s="84" t="n">
        <x:f>SQRT('Resumen'!$B$5^3/3)*B1142</x:f>
        <x:v>0.5103712894868437</x:v>
      </x:c>
      <x:c r="D1142" s="84" t="n">
        <x:f>C1142^2-'Resumen'!$B$5^3/3</x:f>
        <x:v>-0.07285448020086965</x:v>
      </x:c>
      <x:c r="E1142" s="85" t="n">
        <x:f>D1142+'Resumen'!$B$5^3/3</x:f>
        <x:v>0.26047885313246366</x:v>
      </x:c>
    </x:row>
    <x:row r="1143">
      <x:c r="A1143" s="89" t="n">
        <x:v>1141</x:v>
      </x:c>
      <x:c r="B1143" s="80" t="n">
        <x:v>0.5961037825581643</x:v>
      </x:c>
      <x:c r="C1143" s="84" t="n">
        <x:f>SQRT('Resumen'!$B$5^3/3)*B1143</x:f>
        <x:v>0.3441606793249103</x:v>
      </x:c>
      <x:c r="D1143" s="84" t="n">
        <x:f>C1143^2-'Resumen'!$B$5^3/3</x:f>
        <x:v>-0.21488676013994956</x:v>
      </x:c>
      <x:c r="E1143" s="85" t="n">
        <x:f>D1143+'Resumen'!$B$5^3/3</x:f>
        <x:v>0.11844657319338375</x:v>
      </x:c>
    </x:row>
    <x:row r="1144">
      <x:c r="A1144" s="89" t="n">
        <x:v>1142</x:v>
      </x:c>
      <x:c r="B1144" s="80" t="n">
        <x:v>1.092853551501432</x:v>
      </x:c>
      <x:c r="C1144" s="84" t="n">
        <x:f>SQRT('Resumen'!$B$5^3/3)*B1144</x:f>
        <x:v>0.6309592921441902</x:v>
      </x:c>
      <x:c r="D1144" s="84" t="n">
        <x:f>C1144^2-'Resumen'!$B$5^3/3</x:f>
        <x:v>0.06477629500976428</x:v>
      </x:c>
      <x:c r="E1144" s="85" t="n">
        <x:f>D1144+'Resumen'!$B$5^3/3</x:f>
        <x:v>0.3981096283430976</x:v>
      </x:c>
    </x:row>
    <x:row r="1145">
      <x:c r="A1145" s="89" t="n">
        <x:v>1143</x:v>
      </x:c>
      <x:c r="B1145" s="80" t="n">
        <x:v>-0.1304568884170869</x:v>
      </x:c>
      <x:c r="C1145" s="84" t="n">
        <x:f>SQRT('Resumen'!$B$5^3/3)*B1145</x:f>
        <x:v>-0.0753193196452461</x:v>
      </x:c>
      <x:c r="D1145" s="84" t="n">
        <x:f>C1145^2-'Resumen'!$B$5^3/3</x:f>
        <x:v>-0.3276603334215106</x:v>
      </x:c>
      <x:c r="E1145" s="85" t="n">
        <x:f>D1145+'Resumen'!$B$5^3/3</x:f>
        <x:v>0.00567299991182274</x:v>
      </x:c>
    </x:row>
    <x:row r="1146">
      <x:c r="A1146" s="89" t="n">
        <x:v>1144</x:v>
      </x:c>
      <x:c r="B1146" s="80" t="n">
        <x:v>-0.4141729581131622</x:v>
      </x:c>
      <x:c r="C1146" s="84" t="n">
        <x:f>SQRT('Resumen'!$B$5^3/3)*B1146</x:f>
        <x:v>-0.23912286885769776</x:v>
      </x:c>
      <x:c r="D1146" s="84" t="n">
        <x:f>C1146^2-'Resumen'!$B$5^3/3</x:f>
        <x:v>-0.2761535869225976</x:v>
      </x:c>
      <x:c r="E1146" s="85" t="n">
        <x:f>D1146+'Resumen'!$B$5^3/3</x:f>
        <x:v>0.0571797464107357</x:v>
      </x:c>
    </x:row>
    <x:row r="1147">
      <x:c r="A1147" s="89" t="n">
        <x:v>1145</x:v>
      </x:c>
      <x:c r="B1147" s="80" t="n">
        <x:v>2.0292083847595306</x:v>
      </x:c>
      <x:c r="C1147" s="84" t="n">
        <x:f>SQRT('Resumen'!$B$5^3/3)*B1147</x:f>
        <x:v>1.1715640071827607</x:v>
      </x:c>
      <x:c r="D1147" s="84" t="n">
        <x:f>C1147^2-'Resumen'!$B$5^3/3</x:f>
        <x:v>1.0392288895927944</x:v>
      </x:c>
      <x:c r="E1147" s="85" t="n">
        <x:f>D1147+'Resumen'!$B$5^3/3</x:f>
        <x:v>1.3725622229261276</x:v>
      </x:c>
    </x:row>
    <x:row r="1148">
      <x:c r="A1148" s="89" t="n">
        <x:v>1146</x:v>
      </x:c>
      <x:c r="B1148" s="80" t="n">
        <x:v>0.8425848148230017</x:v>
      </x:c>
      <x:c r="C1148" s="84" t="n">
        <x:f>SQRT('Resumen'!$B$5^3/3)*B1148</x:f>
        <x:v>0.486466569653151</x:v>
      </x:c>
      <x:c r="D1148" s="84" t="n">
        <x:f>C1148^2-'Resumen'!$B$5^3/3</x:f>
        <x:v>-0.0966836099432293</x:v>
      </x:c>
      <x:c r="E1148" s="85" t="n">
        <x:f>D1148+'Resumen'!$B$5^3/3</x:f>
        <x:v>0.236649723390104</x:v>
      </x:c>
    </x:row>
    <x:row r="1149">
      <x:c r="A1149" s="89" t="n">
        <x:v>1147</x:v>
      </x:c>
      <x:c r="B1149" s="80" t="n">
        <x:v>-0.18753850354540028</x:v>
      </x:c>
      <x:c r="C1149" s="84" t="n">
        <x:f>SQRT('Resumen'!$B$5^3/3)*B1149</x:f>
        <x:v>-0.10827540550535643</x:v>
      </x:c>
      <x:c r="D1149" s="84" t="n">
        <x:f>C1149^2-'Resumen'!$B$5^3/3</x:f>
        <x:v>-0.32160976989598394</x:v>
      </x:c>
      <x:c r="E1149" s="85" t="n">
        <x:f>D1149+'Resumen'!$B$5^3/3</x:f>
        <x:v>0.011723563437349371</x:v>
      </x:c>
    </x:row>
    <x:row r="1150">
      <x:c r="A1150" s="89" t="n">
        <x:v>1148</x:v>
      </x:c>
      <x:c r="B1150" s="80" t="n">
        <x:v>0.47719442561384096</x:v>
      </x:c>
      <x:c r="C1150" s="84" t="n">
        <x:f>SQRT('Resumen'!$B$5^3/3)*B1150</x:f>
        <x:v>0.27550833008393993</x:v>
      </x:c>
      <x:c r="D1150" s="84" t="n">
        <x:f>C1150^2-'Resumen'!$B$5^3/3</x:f>
        <x:v>-0.25742849338769214</x:v>
      </x:c>
      <x:c r="E1150" s="85" t="n">
        <x:f>D1150+'Resumen'!$B$5^3/3</x:f>
        <x:v>0.07590483994564118</x:v>
      </x:c>
    </x:row>
    <x:row r="1151">
      <x:c r="A1151" s="89" t="n">
        <x:v>1149</x:v>
      </x:c>
      <x:c r="B1151" s="80" t="n">
        <x:v>-0.49516633291757617</x:v>
      </x:c>
      <x:c r="C1151" s="84" t="n">
        <x:f>SQRT('Resumen'!$B$5^3/3)*B1151</x:f>
        <x:v>-0.28588441560360245</x:v>
      </x:c>
      <x:c r="D1151" s="84" t="n">
        <x:f>C1151^2-'Resumen'!$B$5^3/3</x:f>
        <x:v>-0.25160343424832</x:v>
      </x:c>
      <x:c r="E1151" s="85" t="n">
        <x:f>D1151+'Resumen'!$B$5^3/3</x:f>
        <x:v>0.08172989908501332</x:v>
      </x:c>
    </x:row>
    <x:row r="1152">
      <x:c r="A1152" s="89" t="n">
        <x:v>1150</x:v>
      </x:c>
      <x:c r="B1152" s="80" t="n">
        <x:v>-0.26280905713644004</x:v>
      </x:c>
      <x:c r="C1152" s="84" t="n">
        <x:f>SQRT('Resumen'!$B$5^3/3)*B1152</x:f>
        <x:v>-0.1517328798831954</x:v>
      </x:c>
      <x:c r="D1152" s="84" t="n">
        <x:f>C1152^2-'Resumen'!$B$5^3/3</x:f>
        <x:v>-0.3103104664956851</x:v>
      </x:c>
      <x:c r="E1152" s="85" t="n">
        <x:f>D1152+'Resumen'!$B$5^3/3</x:f>
        <x:v>0.023022866837648204</x:v>
      </x:c>
    </x:row>
    <x:row r="1153">
      <x:c r="A1153" s="89" t="n">
        <x:v>1151</x:v>
      </x:c>
      <x:c r="B1153" s="80" t="n">
        <x:v>-1.6564780056854764</x:v>
      </x:c>
      <x:c r="C1153" s="84" t="n">
        <x:f>SQRT('Resumen'!$B$5^3/3)*B1153</x:f>
        <x:v>-0.9563680224892042</x:v>
      </x:c>
      <x:c r="D1153" s="84" t="n">
        <x:f>C1153^2-'Resumen'!$B$5^3/3</x:f>
        <x:v>0.5813064611065777</x:v>
      </x:c>
      <x:c r="E1153" s="85" t="n">
        <x:f>D1153+'Resumen'!$B$5^3/3</x:f>
        <x:v>0.914639794439911</x:v>
      </x:c>
    </x:row>
    <x:row r="1154">
      <x:c r="A1154" s="89" t="n">
        <x:v>1152</x:v>
      </x:c>
      <x:c r="B1154" s="80" t="n">
        <x:v>0.6124412410622946</x:v>
      </x:c>
      <x:c r="C1154" s="84" t="n">
        <x:f>SQRT('Resumen'!$B$5^3/3)*B1154</x:f>
        <x:v>0.35359311539014426</x:v>
      </x:c>
      <x:c r="D1154" s="84" t="n">
        <x:f>C1154^2-'Resumen'!$B$5^3/3</x:f>
        <x:v>-0.20830524208202544</x:v>
      </x:c>
      <x:c r="E1154" s="85" t="n">
        <x:f>D1154+'Resumen'!$B$5^3/3</x:f>
        <x:v>0.12502809125130787</x:v>
      </x:c>
    </x:row>
    <x:row r="1155">
      <x:c r="A1155" s="89" t="n">
        <x:v>1153</x:v>
      </x:c>
      <x:c r="B1155" s="80" t="n">
        <x:v>-0.009598327712697882</x:v>
      </x:c>
      <x:c r="C1155" s="84" t="n">
        <x:f>SQRT('Resumen'!$B$5^3/3)*B1155</x:f>
        <x:v>-0.005541597088696367</x:v>
      </x:c>
      <x:c r="D1155" s="84" t="n">
        <x:f>C1155^2-'Resumen'!$B$5^3/3</x:f>
        <x:v>-0.33330262403503985</x:v>
      </x:c>
      <x:c r="E1155" s="85" t="n">
        <x:f>D1155+'Resumen'!$B$5^3/3</x:f>
        <x:v>0.00003070929829346314</x:v>
      </x:c>
    </x:row>
    <x:row r="1156">
      <x:c r="A1156" s="89" t="n">
        <x:v>1154</x:v>
      </x:c>
      <x:c r="B1156" s="80" t="n">
        <x:v>-1.3743564130866852</x:v>
      </x:c>
      <x:c r="C1156" s="84" t="n">
        <x:f>SQRT('Resumen'!$B$5^3/3)*B1156</x:f>
        <x:v>-0.7934850450580861</x:v>
      </x:c>
      <x:c r="D1156" s="84" t="n">
        <x:f>C1156^2-'Resumen'!$B$5^3/3</x:f>
        <x:v>0.2962851833974997</x:v>
      </x:c>
      <x:c r="E1156" s="85" t="n">
        <x:f>D1156+'Resumen'!$B$5^3/3</x:f>
        <x:v>0.629618516730833</x:v>
      </x:c>
    </x:row>
    <x:row r="1157">
      <x:c r="A1157" s="89" t="n">
        <x:v>1155</x:v>
      </x:c>
      <x:c r="B1157" s="80" t="n">
        <x:v>0.34823928129621823</x:v>
      </x:c>
      <x:c r="C1157" s="84" t="n">
        <x:f>SQRT('Resumen'!$B$5^3/3)*B1157</x:f>
        <x:v>0.2010560427987734</x:v>
      </x:c>
      <x:c r="D1157" s="84" t="n">
        <x:f>C1157^2-'Resumen'!$B$5^3/3</x:f>
        <x:v>-0.29290980098743113</x:v>
      </x:c>
      <x:c r="E1157" s="85" t="n">
        <x:f>D1157+'Resumen'!$B$5^3/3</x:f>
        <x:v>0.04042353234590218</x:v>
      </x:c>
    </x:row>
    <x:row r="1158">
      <x:c r="A1158" s="89" t="n">
        <x:v>1156</x:v>
      </x:c>
      <x:c r="B1158" s="80" t="n">
        <x:v>-1.0133856528723135</x:v>
      </x:c>
      <x:c r="C1158" s="84" t="n">
        <x:f>SQRT('Resumen'!$B$5^3/3)*B1158</x:f>
        <x:v>-0.5850784794787348</x:v>
      </x:c>
      <x:c r="D1158" s="84" t="n">
        <x:f>C1158^2-'Resumen'!$B$5^3/3</x:f>
        <x:v>0.00898349381581498</x:v>
      </x:c>
      <x:c r="E1158" s="85" t="n">
        <x:f>D1158+'Resumen'!$B$5^3/3</x:f>
        <x:v>0.3423168271491483</x:v>
      </x:c>
    </x:row>
    <x:row r="1159">
      <x:c r="A1159" s="89" t="n">
        <x:v>1157</x:v>
      </x:c>
      <x:c r="B1159" s="80" t="n">
        <x:v>-0.10657682796751343</x:v>
      </x:c>
      <x:c r="C1159" s="84" t="n">
        <x:f>SQRT('Resumen'!$B$5^3/3)*B1159</x:f>
        <x:v>-0.06153216031642031</x:v>
      </x:c>
      <x:c r="D1159" s="84" t="n">
        <x:f>C1159^2-'Resumen'!$B$5^3/3</x:f>
        <x:v>-0.3295471265801277</x:v>
      </x:c>
      <x:c r="E1159" s="85" t="n">
        <x:f>D1159+'Resumen'!$B$5^3/3</x:f>
        <x:v>0.003786206753205623</x:v>
      </x:c>
    </x:row>
    <x:row r="1160">
      <x:c r="A1160" s="89" t="n">
        <x:v>1158</x:v>
      </x:c>
      <x:c r="B1160" s="80" t="n">
        <x:v>-1.1206122182042129</x:v>
      </x:c>
      <x:c r="C1160" s="84" t="n">
        <x:f>SQRT('Resumen'!$B$5^3/3)*B1160</x:f>
        <x:v>-0.6469857658373859</x:v>
      </x:c>
      <x:c r="D1160" s="84" t="n">
        <x:f>C1160^2-'Resumen'!$B$5^3/3</x:f>
        <x:v>0.08525724786285538</x:v>
      </x:c>
      <x:c r="E1160" s="85" t="n">
        <x:f>D1160+'Resumen'!$B$5^3/3</x:f>
        <x:v>0.4185905811961887</x:v>
      </x:c>
    </x:row>
    <x:row r="1161">
      <x:c r="A1161" s="89" t="n">
        <x:v>1159</x:v>
      </x:c>
      <x:c r="B1161" s="80" t="n">
        <x:v>-1.2426495881191708</x:v>
      </x:c>
      <x:c r="C1161" s="84" t="n">
        <x:f>SQRT('Resumen'!$B$5^3/3)*B1161</x:f>
        <x:v>-0.7174440742089808</x:v>
      </x:c>
      <x:c r="D1161" s="84" t="n">
        <x:f>C1161^2-'Resumen'!$B$5^3/3</x:f>
        <x:v>0.18139266628424827</x:v>
      </x:c>
      <x:c r="E1161" s="85" t="n">
        <x:f>D1161+'Resumen'!$B$5^3/3</x:f>
        <x:v>0.5147259996175816</x:v>
      </x:c>
    </x:row>
    <x:row r="1162">
      <x:c r="A1162" s="89" t="n">
        <x:v>1160</x:v>
      </x:c>
      <x:c r="B1162" s="80" t="n">
        <x:v>1.2668674142436236</x:v>
      </x:c>
      <x:c r="C1162" s="84" t="n">
        <x:f>SQRT('Resumen'!$B$5^3/3)*B1162</x:f>
        <x:v>0.7314262426411212</x:v>
      </x:c>
      <x:c r="D1162" s="84" t="n">
        <x:f>C1162^2-'Resumen'!$B$5^3/3</x:f>
        <x:v>0.20165101509077504</x:v>
      </x:c>
      <x:c r="E1162" s="85" t="n">
        <x:f>D1162+'Resumen'!$B$5^3/3</x:f>
        <x:v>0.5349843484241084</x:v>
      </x:c>
    </x:row>
    <x:row r="1163">
      <x:c r="A1163" s="89" t="n">
        <x:v>1161</x:v>
      </x:c>
      <x:c r="B1163" s="80" t="n">
        <x:v>0.5070435160247533</x:v>
      </x:c>
      <x:c r="C1163" s="84" t="n">
        <x:f>SQRT('Resumen'!$B$5^3/3)*B1163</x:f>
        <x:v>0.2927417104677456</x:v>
      </x:c>
      <x:c r="D1163" s="84" t="n">
        <x:f>C1163^2-'Resumen'!$B$5^3/3</x:f>
        <x:v>-0.24763562428575192</x:v>
      </x:c>
      <x:c r="E1163" s="85" t="n">
        <x:f>D1163+'Resumen'!$B$5^3/3</x:f>
        <x:v>0.0856977090475814</x:v>
      </x:c>
    </x:row>
    <x:row r="1164">
      <x:c r="A1164" s="89" t="n">
        <x:v>1162</x:v>
      </x:c>
      <x:c r="B1164" s="80" t="n">
        <x:v>0.03582589642437003</x:v>
      </x:c>
      <x:c r="C1164" s="84" t="n">
        <x:f>SQRT('Resumen'!$B$5^3/3)*B1164</x:f>
        <x:v>0.020684090944569685</x:v>
      </x:c>
      <x:c r="D1164" s="84" t="n">
        <x:f>C1164^2-'Resumen'!$B$5^3/3</x:f>
        <x:v>-0.33290550171513006</x:v>
      </x:c>
      <x:c r="E1164" s="85" t="n">
        <x:f>D1164+'Resumen'!$B$5^3/3</x:f>
        <x:v>0.000427831618203256</x:v>
      </x:c>
    </x:row>
    <x:row r="1165">
      <x:c r="A1165" s="89" t="n">
        <x:v>1163</x:v>
      </x:c>
      <x:c r="B1165" s="80" t="n">
        <x:v>-0.8992397947386873</x:v>
      </x:c>
      <x:c r="C1165" s="84" t="n">
        <x:f>SQRT('Resumen'!$B$5^3/3)*B1165</x:f>
        <x:v>-0.5191763375584049</x:v>
      </x:c>
      <x:c r="D1165" s="84" t="n">
        <x:f>C1165^2-'Resumen'!$B$5^3/3</x:f>
        <x:v>-0.06378926385277456</x:v>
      </x:c>
      <x:c r="E1165" s="85" t="n">
        <x:f>D1165+'Resumen'!$B$5^3/3</x:f>
        <x:v>0.26954406948055876</x:v>
      </x:c>
    </x:row>
    <x:row r="1166">
      <x:c r="A1166" s="89" t="n">
        <x:v>1164</x:v>
      </x:c>
      <x:c r="B1166" s="80" t="n">
        <x:v>0.5198500215867179</x:v>
      </x:c>
      <x:c r="C1166" s="84" t="n">
        <x:f>SQRT('Resumen'!$B$5^3/3)*B1166</x:f>
        <x:v>0.3001355499013243</x:v>
      </x:c>
      <x:c r="D1166" s="84" t="n">
        <x:f>C1166^2-'Resumen'!$B$5^3/3</x:f>
        <x:v>-0.243251985018763</x:v>
      </x:c>
      <x:c r="E1166" s="85" t="n">
        <x:f>D1166+'Resumen'!$B$5^3/3</x:f>
        <x:v>0.09008134831457032</x:v>
      </x:c>
    </x:row>
    <x:row r="1167">
      <x:c r="A1167" s="89" t="n">
        <x:v>1165</x:v>
      </x:c>
      <x:c r="B1167" s="80" t="n">
        <x:v>1.1816411034499776</x:v>
      </x:c>
      <x:c r="C1167" s="84" t="n">
        <x:f>SQRT('Resumen'!$B$5^3/3)*B1167</x:f>
        <x:v>0.6822208091623709</x:v>
      </x:c>
      <x:c r="D1167" s="84" t="n">
        <x:f>C1167^2-'Resumen'!$B$5^3/3</x:f>
        <x:v>0.1320918991208268</x:v>
      </x:c>
      <x:c r="E1167" s="85" t="n">
        <x:f>D1167+'Resumen'!$B$5^3/3</x:f>
        <x:v>0.4654252324541601</x:v>
      </x:c>
    </x:row>
    <x:row r="1168">
      <x:c r="A1168" s="89" t="n">
        <x:v>1166</x:v>
      </x:c>
      <x:c r="B1168" s="80" t="n">
        <x:v>-1.053348901532375</x:v>
      </x:c>
      <x:c r="C1168" s="84" t="n">
        <x:f>SQRT('Resumen'!$B$5^3/3)*B1168</x:f>
        <x:v>-0.6081512718503133</x:v>
      </x:c>
      <x:c r="D1168" s="84" t="n">
        <x:f>C1168^2-'Resumen'!$B$5^3/3</x:f>
        <x:v>0.03651463611982031</x:v>
      </x:c>
      <x:c r="E1168" s="85" t="n">
        <x:f>D1168+'Resumen'!$B$5^3/3</x:f>
        <x:v>0.3698479694531536</x:v>
      </x:c>
    </x:row>
    <x:row r="1169">
      <x:c r="A1169" s="89" t="n">
        <x:v>1167</x:v>
      </x:c>
      <x:c r="B1169" s="80" t="n">
        <x:v>1.2134469149538762</x:v>
      </x:c>
      <x:c r="C1169" s="84" t="n">
        <x:f>SQRT('Resumen'!$B$5^3/3)*B1169</x:f>
        <x:v>0.7005839029959413</x:v>
      </x:c>
      <x:c r="D1169" s="84" t="n">
        <x:f>C1169^2-'Resumen'!$B$5^3/3</x:f>
        <x:v>0.15748447180369318</x:v>
      </x:c>
      <x:c r="E1169" s="85" t="n">
        <x:f>D1169+'Resumen'!$B$5^3/3</x:f>
        <x:v>0.4908178051370265</x:v>
      </x:c>
    </x:row>
    <x:row r="1170">
      <x:c r="A1170" s="89" t="n">
        <x:v>1168</x:v>
      </x:c>
      <x:c r="B1170" s="80" t="n">
        <x:v>-0.15200816639215803</x:v>
      </x:c>
      <x:c r="C1170" s="84" t="n">
        <x:f>SQRT('Resumen'!$B$5^3/3)*B1170</x:f>
        <x:v>-0.08776195578553386</x:v>
      </x:c>
      <x:c r="D1170" s="84" t="n">
        <x:f>C1170^2-'Resumen'!$B$5^3/3</x:f>
        <x:v>-0.3256311724500313</x:v>
      </x:c>
      <x:c r="E1170" s="85" t="n">
        <x:f>D1170+'Resumen'!$B$5^3/3</x:f>
        <x:v>0.0077021608833020005</x:v>
      </x:c>
    </x:row>
    <x:row r="1171">
      <x:c r="A1171" s="89" t="n">
        <x:v>1169</x:v>
      </x:c>
      <x:c r="B1171" s="80" t="n">
        <x:v>0.04450650782191698</x:v>
      </x:c>
      <x:c r="C1171" s="84" t="n">
        <x:f>SQRT('Resumen'!$B$5^3/3)*B1171</x:f>
        <x:v>0.02569584427167395</x:v>
      </x:c>
      <x:c r="D1171" s="84" t="n">
        <x:f>C1171^2-'Resumen'!$B$5^3/3</x:f>
        <x:v>-0.3326730569204992</x:v>
      </x:c>
      <x:c r="E1171" s="85" t="n">
        <x:f>D1171+'Resumen'!$B$5^3/3</x:f>
        <x:v>0.0006602764128341154</x:v>
      </x:c>
    </x:row>
    <x:row r="1172">
      <x:c r="A1172" s="89" t="n">
        <x:v>1170</x:v>
      </x:c>
      <x:c r="B1172" s="80" t="n">
        <x:v>-0.10918623562978941</x:v>
      </x:c>
      <x:c r="C1172" s="84" t="n">
        <x:f>SQRT('Resumen'!$B$5^3/3)*B1172</x:f>
        <x:v>-0.06303870253266082</x:v>
      </x:c>
      <x:c r="D1172" s="84" t="n">
        <x:f>C1172^2-'Resumen'!$B$5^3/3</x:f>
        <x:v>-0.32935945531633204</x:v>
      </x:c>
      <x:c r="E1172" s="85" t="n">
        <x:f>D1172+'Resumen'!$B$5^3/3</x:f>
        <x:v>0.0039738780170012755</x:v>
      </x:c>
    </x:row>
    <x:row r="1173">
      <x:c r="A1173" s="89" t="n">
        <x:v>1171</x:v>
      </x:c>
      <x:c r="B1173" s="80" t="n">
        <x:v>2.999701081056738</x:v>
      </x:c>
      <x:c r="C1173" s="84" t="n">
        <x:f>SQRT('Resumen'!$B$5^3/3)*B1173</x:f>
        <x:v>1.7318782266365191</x:v>
      </x:c>
      <x:c r="D1173" s="84" t="n">
        <x:f>C1173^2-'Resumen'!$B$5^3/3</x:f>
        <x:v>2.666068858564321</x:v>
      </x:c>
      <x:c r="E1173" s="85" t="n">
        <x:f>D1173+'Resumen'!$B$5^3/3</x:f>
        <x:v>2.9994021918976546</x:v>
      </x:c>
    </x:row>
    <x:row r="1174">
      <x:c r="A1174" s="89" t="n">
        <x:v>1172</x:v>
      </x:c>
      <x:c r="B1174" s="80" t="n">
        <x:v>1.675094750838408</x:v>
      </x:c>
      <x:c r="C1174" s="84" t="n">
        <x:f>SQRT('Resumen'!$B$5^3/3)*B1174</x:f>
        <x:v>0.9671164053146839</x:v>
      </x:c>
      <x:c r="D1174" s="84" t="n">
        <x:f>C1174^2-'Resumen'!$B$5^3/3</x:f>
        <x:v>0.6019808080954627</x:v>
      </x:c>
      <x:c r="E1174" s="85" t="n">
        <x:f>D1174+'Resumen'!$B$5^3/3</x:f>
        <x:v>0.935314141428796</x:v>
      </x:c>
    </x:row>
    <x:row r="1175">
      <x:c r="A1175" s="89" t="n">
        <x:v>1173</x:v>
      </x:c>
      <x:c r="B1175" s="80" t="n">
        <x:v>0.1951451431621145</x:v>
      </x:c>
      <x:c r="C1175" s="84" t="n">
        <x:f>SQRT('Resumen'!$B$5^3/3)*B1175</x:f>
        <x:v>0.11266710093569486</x:v>
      </x:c>
      <x:c r="D1175" s="84" t="n">
        <x:f>C1175^2-'Resumen'!$B$5^3/3</x:f>
        <x:v>-0.3206394577000793</x:v>
      </x:c>
      <x:c r="E1175" s="85" t="n">
        <x:f>D1175+'Resumen'!$B$5^3/3</x:f>
        <x:v>0.012693875633254026</x:v>
      </x:c>
    </x:row>
    <x:row r="1176">
      <x:c r="A1176" s="89" t="n">
        <x:v>1174</x:v>
      </x:c>
      <x:c r="B1176" s="80" t="n">
        <x:v>0.844880932342663</x:v>
      </x:c>
      <x:c r="C1176" s="84" t="n">
        <x:f>SQRT('Resumen'!$B$5^3/3)*B1176</x:f>
        <x:v>0.4877922337212185</x:v>
      </x:c>
      <x:c r="D1176" s="84" t="n">
        <x:f>C1176^2-'Resumen'!$B$5^3/3</x:f>
        <x:v>-0.09539207005459746</x:v>
      </x:c>
      <x:c r="E1176" s="85" t="n">
        <x:f>D1176+'Resumen'!$B$5^3/3</x:f>
        <x:v>0.23794126327873585</x:v>
      </x:c>
    </x:row>
    <x:row r="1177">
      <x:c r="A1177" s="89" t="n">
        <x:v>1175</x:v>
      </x:c>
      <x:c r="B1177" s="80" t="n">
        <x:v>1.0241058039633026</x:v>
      </x:c>
      <x:c r="C1177" s="84" t="n">
        <x:f>SQRT('Resumen'!$B$5^3/3)*B1177</x:f>
        <x:v>0.5912677615968709</x:v>
      </x:c>
      <x:c r="D1177" s="84" t="n">
        <x:f>C1177^2-'Resumen'!$B$5^3/3</x:f>
        <x:v>0.01626423257044085</x:v>
      </x:c>
      <x:c r="E1177" s="85" t="n">
        <x:f>D1177+'Resumen'!$B$5^3/3</x:f>
        <x:v>0.34959756590377417</x:v>
      </x:c>
    </x:row>
    <x:row r="1178">
      <x:c r="A1178" s="89" t="n">
        <x:v>1176</x:v>
      </x:c>
      <x:c r="B1178" s="80" t="n">
        <x:v>-0.23574797832456348</x:v>
      </x:c>
      <x:c r="C1178" s="84" t="n">
        <x:f>SQRT('Resumen'!$B$5^3/3)*B1178</x:f>
        <x:v>-0.1361091587465968</x:v>
      </x:c>
      <x:c r="D1178" s="84" t="n">
        <x:f>C1178^2-'Resumen'!$B$5^3/3</x:f>
        <x:v>-0.314807630238627</x:v>
      </x:c>
      <x:c r="E1178" s="85" t="n">
        <x:f>D1178+'Resumen'!$B$5^3/3</x:f>
        <x:v>0.018525703094706303</x:v>
      </x:c>
    </x:row>
    <x:row r="1179">
      <x:c r="A1179" s="89" t="n">
        <x:v>1177</x:v>
      </x:c>
      <x:c r="B1179" s="80" t="n">
        <x:v>-1.269236513366741</x:v>
      </x:c>
      <x:c r="C1179" s="84" t="n">
        <x:f>SQRT('Resumen'!$B$5^3/3)*B1179</x:f>
        <x:v>-0.7327940426575899</x:v>
      </x:c>
      <x:c r="D1179" s="84" t="n">
        <x:f>C1179^2-'Resumen'!$B$5^3/3</x:f>
        <x:v>0.20365377562112025</x:v>
      </x:c>
      <x:c r="E1179" s="85" t="n">
        <x:f>D1179+'Resumen'!$B$5^3/3</x:f>
        <x:v>0.5369871089544536</x:v>
      </x:c>
    </x:row>
    <x:row r="1180">
      <x:c r="A1180" s="89" t="n">
        <x:v>1178</x:v>
      </x:c>
      <x:c r="B1180" s="80" t="n">
        <x:v>0.6533395154703749</x:v>
      </x:c>
      <x:c r="C1180" s="84" t="n">
        <x:f>SQRT('Resumen'!$B$5^3/3)*B1180</x:f>
        <x:v>0.3772057451290406</x:v>
      </x:c>
      <x:c r="D1180" s="84" t="n">
        <x:f>C1180^2-'Resumen'!$B$5^3/3</x:f>
        <x:v>-0.19104915917497858</x:v>
      </x:c>
      <x:c r="E1180" s="85" t="n">
        <x:f>D1180+'Resumen'!$B$5^3/3</x:f>
        <x:v>0.14228417415835473</x:v>
      </x:c>
    </x:row>
    <x:row r="1181">
      <x:c r="A1181" s="89" t="n">
        <x:v>1179</x:v>
      </x:c>
      <x:c r="B1181" s="80" t="n">
        <x:v>0.11529297397257338</x:v>
      </x:c>
      <x:c r="C1181" s="84" t="n">
        <x:f>SQRT('Resumen'!$B$5^3/3)*B1181</x:f>
        <x:v>0.06656442955873774</x:v>
      </x:c>
      <x:c r="D1181" s="84" t="n">
        <x:f>C1181^2-'Resumen'!$B$5^3/3</x:f>
        <x:v>-0.32890251005085314</x:v>
      </x:c>
      <x:c r="E1181" s="85" t="n">
        <x:f>D1181+'Resumen'!$B$5^3/3</x:f>
        <x:v>0.0044308232824801785</x:v>
      </x:c>
    </x:row>
    <x:row r="1182">
      <x:c r="A1182" s="89" t="n">
        <x:v>1180</x:v>
      </x:c>
      <x:c r="B1182" s="80" t="n">
        <x:v>0.24250506731215862</x:v>
      </x:c>
      <x:c r="C1182" s="84" t="n">
        <x:f>SQRT('Resumen'!$B$5^3/3)*B1182</x:f>
        <x:v>0.14001036589252308</x:v>
      </x:c>
      <x:c r="D1182" s="84" t="n">
        <x:f>C1182^2-'Resumen'!$B$5^3/3</x:f>
        <x:v>-0.3137304307759751</x:v>
      </x:c>
      <x:c r="E1182" s="85" t="n">
        <x:f>D1182+'Resumen'!$B$5^3/3</x:f>
        <x:v>0.019602902557358193</x:v>
      </x:c>
    </x:row>
    <x:row r="1183">
      <x:c r="A1183" s="89" t="n">
        <x:v>1181</x:v>
      </x:c>
      <x:c r="B1183" s="80" t="n">
        <x:v>1.3081837954263285</x:v>
      </x:c>
      <x:c r="C1183" s="84" t="n">
        <x:f>SQRT('Resumen'!$B$5^3/3)*B1183</x:f>
        <x:v>0.755280266438897</x:v>
      </x:c>
      <x:c r="D1183" s="84" t="n">
        <x:f>C1183^2-'Resumen'!$B$5^3/3</x:f>
        <x:v>0.23711494753867796</x:v>
      </x:c>
      <x:c r="E1183" s="85" t="n">
        <x:f>D1183+'Resumen'!$B$5^3/3</x:f>
        <x:v>0.5704482808720113</x:v>
      </x:c>
    </x:row>
    <x:row r="1184">
      <x:c r="A1184" s="89" t="n">
        <x:v>1182</x:v>
      </x:c>
      <x:c r="B1184" s="80" t="n">
        <x:v>-1.5532631901349356</x:v>
      </x:c>
      <x:c r="C1184" s="84" t="n">
        <x:f>SQRT('Resumen'!$B$5^3/3)*B1184</x:f>
        <x:v>-0.8967769209467419</x:v>
      </x:c>
      <x:c r="D1184" s="84" t="n">
        <x:f>C1184^2-'Resumen'!$B$5^3/3</x:f>
        <x:v>0.4708755126093856</x:v>
      </x:c>
      <x:c r="E1184" s="85" t="n">
        <x:f>D1184+'Resumen'!$B$5^3/3</x:f>
        <x:v>0.8042088459427189</x:v>
      </x:c>
    </x:row>
    <x:row r="1185">
      <x:c r="A1185" s="89" t="n">
        <x:v>1183</x:v>
      </x:c>
      <x:c r="B1185" s="80" t="n">
        <x:v>0.022030246446119315</x:v>
      </x:c>
      <x:c r="C1185" s="84" t="n">
        <x:f>SQRT('Resumen'!$B$5^3/3)*B1185</x:f>
        <x:v>0.012719168715980783</x:v>
      </x:c>
      <x:c r="D1185" s="84" t="n">
        <x:f>C1185^2-'Resumen'!$B$5^3/3</x:f>
        <x:v>-0.33317155608050775</x:v>
      </x:c>
      <x:c r="E1185" s="85" t="n">
        <x:f>D1185+'Resumen'!$B$5^3/3</x:f>
        <x:v>0.00016177725282556787</x:v>
      </x:c>
    </x:row>
    <x:row r="1186">
      <x:c r="A1186" s="89" t="n">
        <x:v>1184</x:v>
      </x:c>
      <x:c r="B1186" s="80" t="n">
        <x:v>0.251732628128167</x:v>
      </x:c>
      <x:c r="C1186" s="84" t="n">
        <x:f>SQRT('Resumen'!$B$5^3/3)*B1186</x:f>
        <x:v>0.14533790061360916</x:v>
      </x:c>
      <x:c r="D1186" s="84" t="n">
        <x:f>C1186^2-'Resumen'!$B$5^3/3</x:f>
        <x:v>-0.31221022797856196</x:v>
      </x:c>
      <x:c r="E1186" s="85" t="n">
        <x:f>D1186+'Resumen'!$B$5^3/3</x:f>
        <x:v>0.021123105354771354</x:v>
      </x:c>
    </x:row>
    <x:row r="1187">
      <x:c r="A1187" s="89" t="n">
        <x:v>1185</x:v>
      </x:c>
      <x:c r="B1187" s="80" t="n">
        <x:v>0.47467600850857944</x:v>
      </x:c>
      <x:c r="C1187" s="84" t="n">
        <x:f>SQRT('Resumen'!$B$5^3/3)*B1187</x:f>
        <x:v>0.2740543212902854</x:v>
      </x:c>
      <x:c r="D1187" s="84" t="n">
        <x:f>C1187^2-'Resumen'!$B$5^3/3</x:f>
        <x:v>-0.25822756231545435</x:v>
      </x:c>
      <x:c r="E1187" s="85" t="n">
        <x:f>D1187+'Resumen'!$B$5^3/3</x:f>
        <x:v>0.07510577101787896</x:v>
      </x:c>
    </x:row>
    <x:row r="1188">
      <x:c r="A1188" s="89" t="n">
        <x:v>1186</x:v>
      </x:c>
      <x:c r="B1188" s="80" t="n">
        <x:v>-1.6166028906624472</x:v>
      </x:c>
      <x:c r="C1188" s="84" t="n">
        <x:f>SQRT('Resumen'!$B$5^3/3)*B1188</x:f>
        <x:v>-0.933346114096691</x:v>
      </x:c>
      <x:c r="D1188" s="84" t="n">
        <x:f>C1188^2-'Resumen'!$B$5^3/3</x:f>
        <x:v>0.53780163536606</x:v>
      </x:c>
      <x:c r="E1188" s="85" t="n">
        <x:f>D1188+'Resumen'!$B$5^3/3</x:f>
        <x:v>0.8711349686993932</x:v>
      </x:c>
    </x:row>
    <x:row r="1189">
      <x:c r="A1189" s="89" t="n">
        <x:v>1187</x:v>
      </x:c>
      <x:c r="B1189" s="80" t="n">
        <x:v>-0.02871200037433217</x:v>
      </x:c>
      <x:c r="C1189" s="84" t="n">
        <x:f>SQRT('Resumen'!$B$5^3/3)*B1189</x:f>
        <x:v>-0.016576881145093314</x:v>
      </x:c>
      <x:c r="D1189" s="84" t="n">
        <x:f>C1189^2-'Resumen'!$B$5^3/3</x:f>
        <x:v>-0.3330585403448348</x:v>
      </x:c>
      <x:c r="E1189" s="85" t="n">
        <x:f>D1189+'Resumen'!$B$5^3/3</x:f>
        <x:v>0.00027479298849852896</x:v>
      </x:c>
    </x:row>
    <x:row r="1190">
      <x:c r="A1190" s="89" t="n">
        <x:v>1188</x:v>
      </x:c>
      <x:c r="B1190" s="80" t="n">
        <x:v>0.610476429412769</x:v>
      </x:c>
      <x:c r="C1190" s="84" t="n">
        <x:f>SQRT('Resumen'!$B$5^3/3)*B1190</x:f>
        <x:v>0.35245873085538376</x:v>
      </x:c>
      <x:c r="D1190" s="84" t="n">
        <x:f>C1190^2-'Resumen'!$B$5^3/3</x:f>
        <x:v>-0.20910617637714546</x:v>
      </x:c>
      <x:c r="E1190" s="85" t="n">
        <x:f>D1190+'Resumen'!$B$5^3/3</x:f>
        <x:v>0.12422715695618786</x:v>
      </x:c>
    </x:row>
    <x:row r="1191">
      <x:c r="A1191" s="89" t="n">
        <x:v>1189</x:v>
      </x:c>
      <x:c r="B1191" s="80" t="n">
        <x:v>-0.9046731649399085</x:v>
      </x:c>
      <x:c r="C1191" s="84" t="n">
        <x:f>SQRT('Resumen'!$B$5^3/3)*B1191</x:f>
        <x:v>-0.5223132953066868</x:v>
      </x:c>
      <x:c r="D1191" s="84" t="n">
        <x:f>C1191^2-'Resumen'!$B$5^3/3</x:f>
        <x:v>-0.060522154879203094</x:v>
      </x:c>
      <x:c r="E1191" s="85" t="n">
        <x:f>D1191+'Resumen'!$B$5^3/3</x:f>
        <x:v>0.2728111784541302</x:v>
      </x:c>
    </x:row>
    <x:row r="1192">
      <x:c r="A1192" s="89" t="n">
        <x:v>1190</x:v>
      </x:c>
      <x:c r="B1192" s="80" t="n">
        <x:v>-0.14990338650395704</x:v>
      </x:c>
      <x:c r="C1192" s="84" t="n">
        <x:f>SQRT('Resumen'!$B$5^3/3)*B1192</x:f>
        <x:v>-0.08654676055049611</x:v>
      </x:c>
      <x:c r="D1192" s="84" t="n">
        <x:f>C1192^2-'Resumen'!$B$5^3/3</x:f>
        <x:v>-0.3258429915715484</x:v>
      </x:c>
      <x:c r="E1192" s="85" t="n">
        <x:f>D1192+'Resumen'!$B$5^3/3</x:f>
        <x:v>0.007490341761784924</x:v>
      </x:c>
    </x:row>
    <x:row r="1193">
      <x:c r="A1193" s="89" t="n">
        <x:v>1191</x:v>
      </x:c>
      <x:c r="B1193" s="80" t="n">
        <x:v>-1.5573426823592453</x:v>
      </x:c>
      <x:c r="C1193" s="84" t="n">
        <x:f>SQRT('Resumen'!$B$5^3/3)*B1193</x:f>
        <x:v>-0.8991322168806041</x:v>
      </x:c>
      <x:c r="D1193" s="84" t="n">
        <x:f>C1193^2-'Resumen'!$B$5^3/3</x:f>
        <x:v>0.47510541009929635</x:v>
      </x:c>
      <x:c r="E1193" s="85" t="n">
        <x:f>D1193+'Resumen'!$B$5^3/3</x:f>
        <x:v>0.8084387434326297</x:v>
      </x:c>
    </x:row>
    <x:row r="1194">
      <x:c r="A1194" s="89" t="n">
        <x:v>1192</x:v>
      </x:c>
      <x:c r="B1194" s="80" t="n">
        <x:v>-0.3021115049805892</x:v>
      </x:c>
      <x:c r="C1194" s="84" t="n">
        <x:f>SQRT('Resumen'!$B$5^3/3)*B1194</x:f>
        <x:v>-0.17442415872582612</x:v>
      </x:c>
      <x:c r="D1194" s="84" t="n">
        <x:f>C1194^2-'Resumen'!$B$5^3/3</x:f>
        <x:v>-0.30290954618612115</x:v>
      </x:c>
      <x:c r="E1194" s="85" t="n">
        <x:f>D1194+'Resumen'!$B$5^3/3</x:f>
        <x:v>0.030423787147212167</x:v>
      </x:c>
    </x:row>
    <x:row r="1195">
      <x:c r="A1195" s="89" t="n">
        <x:v>1193</x:v>
      </x:c>
      <x:c r="B1195" s="80" t="n">
        <x:v>0.1915244661247213</x:v>
      </x:c>
      <x:c r="C1195" s="84" t="n">
        <x:f>SQRT('Resumen'!$B$5^3/3)*B1195</x:f>
        <x:v>0.1105767020735072</x:v>
      </x:c>
      <x:c r="D1195" s="84" t="n">
        <x:f>C1195^2-'Resumen'!$B$5^3/3</x:f>
        <x:v>-0.3211061262918801</x:v>
      </x:c>
      <x:c r="E1195" s="85" t="n">
        <x:f>D1195+'Resumen'!$B$5^3/3</x:f>
        <x:v>0.012227207041453192</x:v>
      </x:c>
    </x:row>
    <x:row r="1196">
      <x:c r="A1196" s="89" t="n">
        <x:v>1194</x:v>
      </x:c>
      <x:c r="B1196" s="80" t="n">
        <x:v>-0.30311345593772054</x:v>
      </x:c>
      <x:c r="C1196" s="84" t="n">
        <x:f>SQRT('Resumen'!$B$5^3/3)*B1196</x:f>
        <x:v>-0.1750026353806407</x:v>
      </x:c>
      <x:c r="D1196" s="84" t="n">
        <x:f>C1196^2-'Resumen'!$B$5^3/3</x:f>
        <x:v>-0.30270741094316383</x:v>
      </x:c>
      <x:c r="E1196" s="85" t="n">
        <x:f>D1196+'Resumen'!$B$5^3/3</x:f>
        <x:v>0.03062592239016948</x:v>
      </x:c>
    </x:row>
    <x:row r="1197">
      <x:c r="A1197" s="89" t="n">
        <x:v>1195</x:v>
      </x:c>
      <x:c r="B1197" s="80" t="n">
        <x:v>-1.5086164984798702</x:v>
      </x:c>
      <x:c r="C1197" s="84" t="n">
        <x:f>SQRT('Resumen'!$B$5^3/3)*B1197</x:f>
        <x:v>-0.8710001415012637</x:v>
      </x:c>
      <x:c r="D1197" s="84" t="n">
        <x:f>C1197^2-'Resumen'!$B$5^3/3</x:f>
        <x:v>0.42530791316188804</x:v>
      </x:c>
      <x:c r="E1197" s="85" t="n">
        <x:f>D1197+'Resumen'!$B$5^3/3</x:f>
        <x:v>0.7586412464952214</x:v>
      </x:c>
    </x:row>
    <x:row r="1198">
      <x:c r="A1198" s="89" t="n">
        <x:v>1196</x:v>
      </x:c>
      <x:c r="B1198" s="80" t="n">
        <x:v>0.8674997345188569</x:v>
      </x:c>
      <x:c r="C1198" s="84" t="n">
        <x:f>SQRT('Resumen'!$B$5^3/3)*B1198</x:f>
        <x:v>0.5008512052463908</x:v>
      </x:c>
      <x:c r="D1198" s="84" t="n">
        <x:f>C1198^2-'Resumen'!$B$5^3/3</x:f>
        <x:v>-0.08248140353657102</x:v>
      </x:c>
      <x:c r="E1198" s="85" t="n">
        <x:f>D1198+'Resumen'!$B$5^3/3</x:f>
        <x:v>0.2508519297967623</x:v>
      </x:c>
    </x:row>
    <x:row r="1199">
      <x:c r="A1199" s="89" t="n">
        <x:v>1197</x:v>
      </x:c>
      <x:c r="B1199" s="80" t="n">
        <x:v>-0.9499764755187734</x:v>
      </x:c>
      <x:c r="C1199" s="84" t="n">
        <x:f>SQRT('Resumen'!$B$5^3/3)*B1199</x:f>
        <x:v>-0.5484691738645757</x:v>
      </x:c>
      <x:c r="D1199" s="84" t="n">
        <x:f>C1199^2-'Resumen'!$B$5^3/3</x:f>
        <x:v>-0.0325148986536431</x:v>
      </x:c>
      <x:c r="E1199" s="85" t="n">
        <x:f>D1199+'Resumen'!$B$5^3/3</x:f>
        <x:v>0.3008184346796902</x:v>
      </x:c>
    </x:row>
    <x:row r="1200">
      <x:c r="A1200" s="89" t="n">
        <x:v>1198</x:v>
      </x:c>
      <x:c r="B1200" s="80" t="n">
        <x:v>0.2185998468583868</x:v>
      </x:c>
      <x:c r="C1200" s="84" t="n">
        <x:f>SQRT('Resumen'!$B$5^3/3)*B1200</x:f>
        <x:v>0.12620868042850059</x:v>
      </x:c>
      <x:c r="D1200" s="84" t="n">
        <x:f>C1200^2-'Resumen'!$B$5^3/3</x:f>
        <x:v>-0.3174047023178299</x:v>
      </x:c>
      <x:c r="E1200" s="85" t="n">
        <x:f>D1200+'Resumen'!$B$5^3/3</x:f>
        <x:v>0.015928631015503403</x:v>
      </x:c>
    </x:row>
    <x:row r="1201">
      <x:c r="A1201" s="89" t="n">
        <x:v>1199</x:v>
      </x:c>
      <x:c r="B1201" s="80" t="n">
        <x:v>-1.5406014271431108</x:v>
      </x:c>
      <x:c r="C1201" s="84" t="n">
        <x:f>SQRT('Resumen'!$B$5^3/3)*B1201</x:f>
        <x:v>-0.8894666486749966</x:v>
      </x:c>
      <x:c r="D1201" s="84" t="n">
        <x:f>C1201^2-'Resumen'!$B$5^3/3</x:f>
        <x:v>0.4578175857717965</x:v>
      </x:c>
      <x:c r="E1201" s="85" t="n">
        <x:f>D1201+'Resumen'!$B$5^3/3</x:f>
        <x:v>0.7911509191051298</x:v>
      </x:c>
    </x:row>
    <x:row r="1202">
      <x:c r="A1202" s="89" t="n">
        <x:v>1200</x:v>
      </x:c>
      <x:c r="B1202" s="80" t="n">
        <x:v>-0.26620350486255895</x:v>
      </x:c>
      <x:c r="C1202" s="84" t="n">
        <x:f>SQRT('Resumen'!$B$5^3/3)*B1202</x:f>
        <x:v>-0.15369266519162025</x:v>
      </x:c>
      <x:c r="D1202" s="84" t="n">
        <x:f>C1202^2-'Resumen'!$B$5^3/3</x:f>
        <x:v>-0.30971189799962984</x:v>
      </x:c>
      <x:c r="E1202" s="85" t="n">
        <x:f>D1202+'Resumen'!$B$5^3/3</x:f>
        <x:v>0.023621435333703478</x:v>
      </x:c>
    </x:row>
    <x:row r="1203">
      <x:c r="A1203" s="89" t="n">
        <x:v>1201</x:v>
      </x:c>
      <x:c r="B1203" s="80" t="n">
        <x:v>-1.1748475146373358</x:v>
      </x:c>
      <x:c r="C1203" s="84" t="n">
        <x:f>SQRT('Resumen'!$B$5^3/3)*B1203</x:f>
        <x:v>-0.6782985288326286</x:v>
      </x:c>
      <x:c r="D1203" s="84" t="n">
        <x:f>C1203^2-'Resumen'!$B$5^3/3</x:f>
        <x:v>0.12675556088317502</x:v>
      </x:c>
      <x:c r="E1203" s="85" t="n">
        <x:f>D1203+'Resumen'!$B$5^3/3</x:f>
        <x:v>0.46008889421650834</x:v>
      </x:c>
    </x:row>
    <x:row r="1204">
      <x:c r="A1204" s="89" t="n">
        <x:v>1202</x:v>
      </x:c>
      <x:c r="B1204" s="80" t="n">
        <x:v>0.41276604638178904</x:v>
      </x:c>
      <x:c r="C1204" s="84" t="n">
        <x:f>SQRT('Resumen'!$B$5^3/3)*B1204</x:f>
        <x:v>0.23831058799086344</x:v>
      </x:c>
      <x:c r="D1204" s="84" t="n">
        <x:f>C1204^2-'Resumen'!$B$5^3/3</x:f>
        <x:v>-0.27654139698478225</x:v>
      </x:c>
      <x:c r="E1204" s="85" t="n">
        <x:f>D1204+'Resumen'!$B$5^3/3</x:f>
        <x:v>0.056791936348551064</x:v>
      </x:c>
    </x:row>
    <x:row r="1205">
      <x:c r="A1205" s="89" t="n">
        <x:v>1203</x:v>
      </x:c>
      <x:c r="B1205" s="80" t="n">
        <x:v>-1.5113002333174101</x:v>
      </x:c>
      <x:c r="C1205" s="84" t="n">
        <x:f>SQRT('Resumen'!$B$5^3/3)*B1205</x:f>
        <x:v>-0.8725495965321509</x:v>
      </x:c>
      <x:c r="D1205" s="84" t="n">
        <x:f>C1205^2-'Resumen'!$B$5^3/3</x:f>
        <x:v>0.428009465075086</x:v>
      </x:c>
      <x:c r="E1205" s="85" t="n">
        <x:f>D1205+'Resumen'!$B$5^3/3</x:f>
        <x:v>0.7613427984084193</x:v>
      </x:c>
    </x:row>
    <x:row r="1206">
      <x:c r="A1206" s="89" t="n">
        <x:v>1204</x:v>
      </x:c>
      <x:c r="B1206" s="80" t="n">
        <x:v>-1.1141435336269936</x:v>
      </x:c>
      <x:c r="C1206" s="84" t="n">
        <x:f>SQRT('Resumen'!$B$5^3/3)*B1206</x:f>
        <x:v>-0.6432510690554256</x:v>
      </x:c>
      <x:c r="D1206" s="84" t="n">
        <x:f>C1206^2-'Resumen'!$B$5^3/3</x:f>
        <x:v>0.08043860450761464</x:v>
      </x:c>
      <x:c r="E1206" s="85" t="n">
        <x:f>D1206+'Resumen'!$B$5^3/3</x:f>
        <x:v>0.41377193784094796</x:v>
      </x:c>
    </x:row>
    <x:row r="1207">
      <x:c r="A1207" s="89" t="n">
        <x:v>1205</x:v>
      </x:c>
      <x:c r="B1207" s="80" t="n">
        <x:v>-0.3161831306839203</x:v>
      </x:c>
      <x:c r="C1207" s="84" t="n">
        <x:f>SQRT('Resumen'!$B$5^3/3)*B1207</x:f>
        <x:v>-0.18254841561357998</x:v>
      </x:c>
      <x:c r="D1207" s="84" t="n">
        <x:f>C1207^2-'Resumen'!$B$5^3/3</x:f>
        <x:v>-0.30000940929030495</x:v>
      </x:c>
      <x:c r="E1207" s="85" t="n">
        <x:f>D1207+'Resumen'!$B$5^3/3</x:f>
        <x:v>0.03332392404302836</x:v>
      </x:c>
    </x:row>
    <x:row r="1208">
      <x:c r="A1208" s="89" t="n">
        <x:v>1206</x:v>
      </x:c>
      <x:c r="B1208" s="80" t="n">
        <x:v>-0.9382479915834595</x:v>
      </x:c>
      <x:c r="C1208" s="84" t="n">
        <x:f>SQRT('Resumen'!$B$5^3/3)*B1208</x:f>
        <x:v>-0.541697730507336</x:v>
      </x:c>
      <x:c r="D1208" s="84" t="n">
        <x:f>C1208^2-'Resumen'!$B$5^3/3</x:f>
        <x:v>-0.03989690209653485</x:v>
      </x:c>
      <x:c r="E1208" s="85" t="n">
        <x:f>D1208+'Resumen'!$B$5^3/3</x:f>
        <x:v>0.29343643123679847</x:v>
      </x:c>
    </x:row>
    <x:row r="1209">
      <x:c r="A1209" s="89" t="n">
        <x:v>1207</x:v>
      </x:c>
      <x:c r="B1209" s="80" t="n">
        <x:v>0.5752867848910616</x:v>
      </x:c>
      <x:c r="C1209" s="84" t="n">
        <x:f>SQRT('Resumen'!$B$5^3/3)*B1209</x:f>
        <x:v>0.3321419801180887</x:v>
      </x:c>
      <x:c r="D1209" s="84" t="n">
        <x:f>C1209^2-'Resumen'!$B$5^3/3</x:f>
        <x:v>-0.2230150383765685</x:v>
      </x:c>
      <x:c r="E1209" s="85" t="n">
        <x:f>D1209+'Resumen'!$B$5^3/3</x:f>
        <x:v>0.11031829495676482</x:v>
      </x:c>
    </x:row>
    <x:row r="1210">
      <x:c r="A1210" s="89" t="n">
        <x:v>1208</x:v>
      </x:c>
      <x:c r="B1210" s="80" t="n">
        <x:v>0.26114159998895214</x:v>
      </x:c>
      <x:c r="C1210" s="84" t="n">
        <x:f>SQRT('Resumen'!$B$5^3/3)*B1210</x:f>
        <x:v>0.15077017305023108</x:v>
      </x:c>
      <x:c r="D1210" s="84" t="n">
        <x:f>C1210^2-'Resumen'!$B$5^3/3</x:f>
        <x:v>-0.3106016882517367</x:v>
      </x:c>
      <x:c r="E1210" s="85" t="n">
        <x:f>D1210+'Resumen'!$B$5^3/3</x:f>
        <x:v>0.02273164508159664</x:v>
      </x:c>
    </x:row>
    <x:row r="1211">
      <x:c r="A1211" s="89" t="n">
        <x:v>1209</x:v>
      </x:c>
      <x:c r="B1211" s="80" t="n">
        <x:v>0.22078260494008414</x:v>
      </x:c>
      <x:c r="C1211" s="84" t="n">
        <x:f>SQRT('Resumen'!$B$5^3/3)*B1211</x:f>
        <x:v>0.12746889639454437</x:v>
      </x:c>
      <x:c r="D1211" s="84" t="n">
        <x:f>C1211^2-'Resumen'!$B$5^3/3</x:f>
        <x:v>-0.31708501378529025</x:v>
      </x:c>
      <x:c r="E1211" s="85" t="n">
        <x:f>D1211+'Resumen'!$B$5^3/3</x:f>
        <x:v>0.016248319548043066</x:v>
      </x:c>
    </x:row>
    <x:row r="1212">
      <x:c r="A1212" s="89" t="n">
        <x:v>1210</x:v>
      </x:c>
      <x:c r="B1212" s="80" t="n">
        <x:v>0.1801129987842439</x:v>
      </x:c>
      <x:c r="C1212" s="84" t="n">
        <x:f>SQRT('Resumen'!$B$5^3/3)*B1212</x:f>
        <x:v>0.10398828833263395</x:v>
      </x:c>
      <x:c r="D1212" s="84" t="n">
        <x:f>C1212^2-'Resumen'!$B$5^3/3</x:f>
        <x:v>-0.3225197692229823</x:v>
      </x:c>
      <x:c r="E1212" s="85" t="n">
        <x:f>D1212+'Resumen'!$B$5^3/3</x:f>
        <x:v>0.010813564110351004</x:v>
      </x:c>
    </x:row>
    <x:row r="1213">
      <x:c r="A1213" s="89" t="n">
        <x:v>1211</x:v>
      </x:c>
      <x:c r="B1213" s="80" t="n">
        <x:v>-0.5699696466195847</x:v>
      </x:c>
      <x:c r="C1213" s="84" t="n">
        <x:f>SQRT('Resumen'!$B$5^3/3)*B1213</x:f>
        <x:v>-0.32907212890573306</x:v>
      </x:c>
      <x:c r="D1213" s="84" t="n">
        <x:f>C1213^2-'Resumen'!$B$5^3/3</x:f>
        <x:v>-0.22504486731078194</x:v>
      </x:c>
      <x:c r="E1213" s="85" t="n">
        <x:f>D1213+'Resumen'!$B$5^3/3</x:f>
        <x:v>0.10828846602255138</x:v>
      </x:c>
    </x:row>
    <x:row r="1214">
      <x:c r="A1214" s="89" t="n">
        <x:v>1212</x:v>
      </x:c>
      <x:c r="B1214" s="80" t="n">
        <x:v>-0.3543034348764494</x:v>
      </x:c>
      <x:c r="C1214" s="84" t="n">
        <x:f>SQRT('Resumen'!$B$5^3/3)*B1214</x:f>
        <x:v>-0.20455718350072707</x:v>
      </x:c>
      <x:c r="D1214" s="84" t="n">
        <x:f>C1214^2-'Resumen'!$B$5^3/3</x:f>
        <x:v>-0.2914896920115832</x:v>
      </x:c>
      <x:c r="E1214" s="85" t="n">
        <x:f>D1214+'Resumen'!$B$5^3/3</x:f>
        <x:v>0.041843641321750114</x:v>
      </x:c>
    </x:row>
    <x:row r="1215">
      <x:c r="A1215" s="89" t="n">
        <x:v>1213</x:v>
      </x:c>
      <x:c r="B1215" s="80" t="n">
        <x:v>-0.34985673101065634</x:v>
      </x:c>
      <x:c r="C1215" s="84" t="n">
        <x:f>SQRT('Resumen'!$B$5^3/3)*B1215</x:f>
        <x:v>-0.20198987782680491</x:v>
      </x:c>
      <x:c r="D1215" s="84" t="n">
        <x:f>C1215^2-'Resumen'!$B$5^3/3</x:f>
        <x:v>-0.29253342258884574</x:v>
      </x:c>
      <x:c r="E1215" s="85" t="n">
        <x:f>D1215+'Resumen'!$B$5^3/3</x:f>
        <x:v>0.04079991074448758</x:v>
      </x:c>
    </x:row>
    <x:row r="1216">
      <x:c r="A1216" s="89" t="n">
        <x:v>1214</x:v>
      </x:c>
      <x:c r="B1216" s="80" t="n">
        <x:v>0.27200977944524585</x:v>
      </x:c>
      <x:c r="C1216" s="84" t="n">
        <x:f>SQRT('Resumen'!$B$5^3/3)*B1216</x:f>
        <x:v>0.1570449193849234</x:v>
      </x:c>
      <x:c r="D1216" s="84" t="n">
        <x:f>C1216^2-'Resumen'!$B$5^3/3</x:f>
        <x:v>-0.30867022662871624</x:v>
      </x:c>
      <x:c r="E1216" s="85" t="n">
        <x:f>D1216+'Resumen'!$B$5^3/3</x:f>
        <x:v>0.024663106704617077</x:v>
      </x:c>
    </x:row>
    <x:row r="1217">
      <x:c r="A1217" s="89" t="n">
        <x:v>1215</x:v>
      </x:c>
      <x:c r="B1217" s="80" t="n">
        <x:v>-0.362695436183461</x:v>
      </x:c>
      <x:c r="C1217" s="84" t="n">
        <x:f>SQRT('Resumen'!$B$5^3/3)*B1217</x:f>
        <x:v>-0.20940230771436993</x:v>
      </x:c>
      <x:c r="D1217" s="84" t="n">
        <x:f>C1217^2-'Resumen'!$B$5^3/3</x:f>
        <x:v>-0.28948400685722964</x:v>
      </x:c>
      <x:c r="E1217" s="85" t="n">
        <x:f>D1217+'Resumen'!$B$5^3/3</x:f>
        <x:v>0.04384932647610368</x:v>
      </x:c>
    </x:row>
    <x:row r="1218">
      <x:c r="A1218" s="89" t="n">
        <x:v>1216</x:v>
      </x:c>
      <x:c r="B1218" s="80" t="n">
        <x:v>0.6347565879281268</x:v>
      </x:c>
      <x:c r="C1218" s="84" t="n">
        <x:f>SQRT('Resumen'!$B$5^3/3)*B1218</x:f>
        <x:v>0.36647688691019237</x:v>
      </x:c>
      <x:c r="D1218" s="84" t="n">
        <x:f>C1218^2-'Resumen'!$B$5^3/3</x:f>
        <x:v>-0.1990280246939474</x:v>
      </x:c>
      <x:c r="E1218" s="85" t="n">
        <x:f>D1218+'Resumen'!$B$5^3/3</x:f>
        <x:v>0.13430530863938592</x:v>
      </x:c>
    </x:row>
    <x:row r="1219">
      <x:c r="A1219" s="89" t="n">
        <x:v>1217</x:v>
      </x:c>
      <x:c r="B1219" s="80" t="n">
        <x:v>-0.31807119339830536</x:v>
      </x:c>
      <x:c r="C1219" s="84" t="n">
        <x:f>SQRT('Resumen'!$B$5^3/3)*B1219</x:f>
        <x:v>-0.1836384891299771</x:v>
      </x:c>
      <x:c r="D1219" s="84" t="n">
        <x:f>C1219^2-'Resumen'!$B$5^3/3</x:f>
        <x:v>-0.2996102386433926</x:v>
      </x:c>
      <x:c r="E1219" s="85" t="n">
        <x:f>D1219+'Resumen'!$B$5^3/3</x:f>
        <x:v>0.033723094689940725</x:v>
      </x:c>
    </x:row>
    <x:row r="1220">
      <x:c r="A1220" s="89" t="n">
        <x:v>1218</x:v>
      </x:c>
      <x:c r="B1220" s="80" t="n">
        <x:v>-0.38658693950967504</x:v>
      </x:c>
      <x:c r="C1220" s="84" t="n">
        <x:f>SQRT('Resumen'!$B$5^3/3)*B1220</x:f>
        <x:v>-0.22319607359110444</x:v>
      </x:c>
      <x:c r="D1220" s="84" t="n">
        <x:f>C1220^2-'Resumen'!$B$5^3/3</x:f>
        <x:v>-0.2835168460668476</x:v>
      </x:c>
      <x:c r="E1220" s="85" t="n">
        <x:f>D1220+'Resumen'!$B$5^3/3</x:f>
        <x:v>0.04981648726648569</x:v>
      </x:c>
    </x:row>
    <x:row r="1221">
      <x:c r="A1221" s="89" t="n">
        <x:v>1219</x:v>
      </x:c>
      <x:c r="B1221" s="80" t="n">
        <x:v>-0.3250984268664436</x:v>
      </x:c>
      <x:c r="C1221" s="84" t="n">
        <x:f>SQRT('Resumen'!$B$5^3/3)*B1221</x:f>
        <x:v>-0.18769566426446505</x:v>
      </x:c>
      <x:c r="D1221" s="84" t="n">
        <x:f>C1221^2-'Resumen'!$B$5^3/3</x:f>
        <x:v>-0.2981036709496545</x:v>
      </x:c>
      <x:c r="E1221" s="85" t="n">
        <x:f>D1221+'Resumen'!$B$5^3/3</x:f>
        <x:v>0.035229662383678806</x:v>
      </x:c>
    </x:row>
    <x:row r="1222">
      <x:c r="A1222" s="89" t="n">
        <x:v>1220</x:v>
      </x:c>
      <x:c r="B1222" s="80" t="n">
        <x:v>0.48191105785820054</x:v>
      </x:c>
      <x:c r="C1222" s="84" t="n">
        <x:f>SQRT('Resumen'!$B$5^3/3)*B1222</x:f>
        <x:v>0.27823147897988937</x:v>
      </x:c>
      <x:c r="D1222" s="84" t="n">
        <x:f>C1222^2-'Resumen'!$B$5^3/3</x:f>
        <x:v>-0.2559205774379967</x:v>
      </x:c>
      <x:c r="E1222" s="85" t="n">
        <x:f>D1222+'Resumen'!$B$5^3/3</x:f>
        <x:v>0.07741275589533664</x:v>
      </x:c>
    </x:row>
    <x:row r="1223">
      <x:c r="A1223" s="89" t="n">
        <x:v>1221</x:v>
      </x:c>
      <x:c r="B1223" s="80" t="n">
        <x:v>-1.548737422817053</x:v>
      </x:c>
      <x:c r="C1223" s="84" t="n">
        <x:f>SQRT('Resumen'!$B$5^3/3)*B1223</x:f>
        <x:v>-0.8941639679674728</x:v>
      </x:c>
      <x:c r="D1223" s="84" t="n">
        <x:f>C1223^2-'Resumen'!$B$5^3/3</x:f>
        <x:v>0.46619586827800236</x:v>
      </x:c>
      <x:c r="E1223" s="85" t="n">
        <x:f>D1223+'Resumen'!$B$5^3/3</x:f>
        <x:v>0.7995292016113357</x:v>
      </x:c>
    </x:row>
    <x:row r="1224">
      <x:c r="A1224" s="89" t="n">
        <x:v>1222</x:v>
      </x:c>
      <x:c r="B1224" s="80" t="n">
        <x:v>0.213581522241895</x:v>
      </x:c>
      <x:c r="C1224" s="84" t="n">
        <x:f>SQRT('Resumen'!$B$5^3/3)*B1224</x:f>
        <x:v>0.12331134936028812</x:v>
      </x:c>
      <x:c r="D1224" s="84" t="n">
        <x:f>C1224^2-'Resumen'!$B$5^3/3</x:f>
        <x:v>-0.31812764445227826</x:v>
      </x:c>
      <x:c r="E1224" s="85" t="n">
        <x:f>D1224+'Resumen'!$B$5^3/3</x:f>
        <x:v>0.015205688881055057</x:v>
      </x:c>
    </x:row>
    <x:row r="1225">
      <x:c r="A1225" s="89" t="n">
        <x:v>1223</x:v>
      </x:c>
      <x:c r="B1225" s="80" t="n">
        <x:v>-0.380724830062611</x:v>
      </x:c>
      <x:c r="C1225" s="84" t="n">
        <x:f>SQRT('Resumen'!$B$5^3/3)*B1225</x:f>
        <x:v>-0.21981158312382296</x:v>
      </x:c>
      <x:c r="D1225" s="84" t="n">
        <x:f>C1225^2-'Resumen'!$B$5^3/3</x:f>
        <x:v>-0.285016201257932</x:v>
      </x:c>
      <x:c r="E1225" s="85" t="n">
        <x:f>D1225+'Resumen'!$B$5^3/3</x:f>
        <x:v>0.04831713207540134</x:v>
      </x:c>
    </x:row>
    <x:row r="1226">
      <x:c r="A1226" s="89" t="n">
        <x:v>1224</x:v>
      </x:c>
      <x:c r="B1226" s="80" t="n">
        <x:v>-0.07684942114149619</x:v>
      </x:c>
      <x:c r="C1226" s="84" t="n">
        <x:f>SQRT('Resumen'!$B$5^3/3)*B1226</x:f>
        <x:v>-0.04436903398310974</x:v>
      </x:c>
      <x:c r="D1226" s="84" t="n">
        <x:f>C1226^2-'Resumen'!$B$5^3/3</x:f>
        <x:v>-0.33136472215673896</x:v>
      </x:c>
      <x:c r="E1226" s="85" t="n">
        <x:f>D1226+'Resumen'!$B$5^3/3</x:f>
        <x:v>0.0019686111765943592</x:v>
      </x:c>
    </x:row>
    <x:row r="1227">
      <x:c r="A1227" s="89" t="n">
        <x:v>1225</x:v>
      </x:c>
      <x:c r="B1227" s="80" t="n">
        <x:v>0.10369765634620186</x:v>
      </x:c>
      <x:c r="C1227" s="84" t="n">
        <x:f>SQRT('Resumen'!$B$5^3/3)*B1227</x:f>
        <x:v>0.05986986980581294</x:v>
      </x:c>
      <x:c r="D1227" s="84" t="n">
        <x:f>C1227^2-'Resumen'!$B$5^3/3</x:f>
        <x:v>-0.32974893202276834</x:v>
      </x:c>
      <x:c r="E1227" s="85" t="n">
        <x:f>D1227+'Resumen'!$B$5^3/3</x:f>
        <x:v>0.0035844013105649775</x:v>
      </x:c>
    </x:row>
    <x:row r="1228">
      <x:c r="A1228" s="89" t="n">
        <x:v>1226</x:v>
      </x:c>
      <x:c r="B1228" s="80" t="n">
        <x:v>-0.2535913634013777</x:v>
      </x:c>
      <x:c r="C1228" s="84" t="n">
        <x:f>SQRT('Resumen'!$B$5^3/3)*B1228</x:f>
        <x:v>-0.14641104192394963</x:v>
      </x:c>
      <x:c r="D1228" s="84" t="n">
        <x:f>C1228^2-'Resumen'!$B$5^3/3</x:f>
        <x:v>-0.3118971401360768</x:v>
      </x:c>
      <x:c r="E1228" s="85" t="n">
        <x:f>D1228+'Resumen'!$B$5^3/3</x:f>
        <x:v>0.021436193197256537</x:v>
      </x:c>
    </x:row>
    <x:row r="1229">
      <x:c r="A1229" s="89" t="n">
        <x:v>1227</x:v>
      </x:c>
      <x:c r="B1229" s="80" t="n">
        <x:v>0.21530405982672368</x:v>
      </x:c>
      <x:c r="C1229" s="84" t="n">
        <x:f>SQRT('Resumen'!$B$5^3/3)*B1229</x:f>
        <x:v>0.1243058568985782</x:v>
      </x:c>
      <x:c r="D1229" s="84" t="n">
        <x:f>C1229^2-'Resumen'!$B$5^3/3</x:f>
        <x:v>-0.3178813872740435</x:v>
      </x:c>
      <x:c r="E1229" s="85" t="n">
        <x:f>D1229+'Resumen'!$B$5^3/3</x:f>
        <x:v>0.01545194605928979</x:v>
      </x:c>
    </x:row>
    <x:row r="1230">
      <x:c r="A1230" s="89" t="n">
        <x:v>1228</x:v>
      </x:c>
      <x:c r="B1230" s="80" t="n">
        <x:v>1.0954877367539102</x:v>
      </x:c>
      <x:c r="C1230" s="84" t="n">
        <x:f>SQRT('Resumen'!$B$5^3/3)*B1230</x:f>
        <x:v>0.6324801397088039</x:v>
      </x:c>
      <x:c r="D1230" s="84" t="n">
        <x:f>C1230^2-'Resumen'!$B$5^3/3</x:f>
        <x:v>0.06669779379273477</x:v>
      </x:c>
      <x:c r="E1230" s="85" t="n">
        <x:f>D1230+'Resumen'!$B$5^3/3</x:f>
        <x:v>0.4000311271260681</x:v>
      </x:c>
    </x:row>
    <x:row r="1231">
      <x:c r="A1231" s="89" t="n">
        <x:v>1229</x:v>
      </x:c>
      <x:c r="B1231" s="80" t="n">
        <x:v>0.5723109015114014</x:v>
      </x:c>
      <x:c r="C1231" s="84" t="n">
        <x:f>SQRT('Resumen'!$B$5^3/3)*B1231</x:f>
        <x:v>0.330423853047765</x:v>
      </x:c>
      <x:c r="D1231" s="84" t="n">
        <x:f>C1231^2-'Resumen'!$B$5^3/3</x:f>
        <x:v>-0.22415341067040231</x:v>
      </x:c>
      <x:c r="E1231" s="85" t="n">
        <x:f>D1231+'Resumen'!$B$5^3/3</x:f>
        <x:v>0.109179922662931</x:v>
      </x:c>
    </x:row>
    <x:row r="1232">
      <x:c r="A1232" s="89" t="n">
        <x:v>1230</x:v>
      </x:c>
      <x:c r="B1232" s="80" t="n">
        <x:v>-0.13715574090396657</x:v>
      </x:c>
      <x:c r="C1232" s="84" t="n">
        <x:f>SQRT('Resumen'!$B$5^3/3)*B1232</x:f>
        <x:v>-0.07918690393180766</x:v>
      </x:c>
      <x:c r="D1232" s="84" t="n">
        <x:f>C1232^2-'Resumen'!$B$5^3/3</x:f>
        <x:v>-0.32706276757902797</x:v>
      </x:c>
      <x:c r="E1232" s="85" t="n">
        <x:f>D1232+'Resumen'!$B$5^3/3</x:f>
        <x:v>0.006270565754305346</x:v>
      </x:c>
    </x:row>
    <x:row r="1233">
      <x:c r="A1233" s="89" t="n">
        <x:v>1231</x:v>
      </x:c>
      <x:c r="B1233" s="80" t="n">
        <x:v>0.18986732715914004</x:v>
      </x:c>
      <x:c r="C1233" s="84" t="n">
        <x:f>SQRT('Resumen'!$B$5^3/3)*B1233</x:f>
        <x:v>0.10961995244564424</x:v>
      </x:c>
      <x:c r="D1233" s="84" t="n">
        <x:f>C1233^2-'Resumen'!$B$5^3/3</x:f>
        <x:v>-0.32131679935914803</x:v>
      </x:c>
      <x:c r="E1233" s="85" t="n">
        <x:f>D1233+'Resumen'!$B$5^3/3</x:f>
        <x:v>0.012016533974185284</x:v>
      </x:c>
    </x:row>
    <x:row r="1234">
      <x:c r="A1234" s="89" t="n">
        <x:v>1232</x:v>
      </x:c>
      <x:c r="B1234" s="80" t="n">
        <x:v>-0.5693081985314636</x:v>
      </x:c>
      <x:c r="C1234" s="84" t="n">
        <x:f>SQRT('Resumen'!$B$5^3/3)*B1234</x:f>
        <x:v>-0.3286902416740014</x:v>
      </x:c>
      <x:c r="D1234" s="84" t="n">
        <x:f>C1234^2-'Resumen'!$B$5^3/3</x:f>
        <x:v>-0.22529605836161987</x:v>
      </x:c>
      <x:c r="E1234" s="85" t="n">
        <x:f>D1234+'Resumen'!$B$5^3/3</x:f>
        <x:v>0.10803727497171345</x:v>
      </x:c>
    </x:row>
    <x:row r="1235">
      <x:c r="A1235" s="89" t="n">
        <x:v>1233</x:v>
      </x:c>
      <x:c r="B1235" s="80" t="n">
        <x:v>-1.3818411282870022</x:v>
      </x:c>
      <x:c r="C1235" s="84" t="n">
        <x:f>SQRT('Resumen'!$B$5^3/3)*B1235</x:f>
        <x:v>-0.7978063473937969</x:v>
      </x:c>
      <x:c r="D1235" s="84" t="n">
        <x:f>C1235^2-'Resumen'!$B$5^3/3</x:f>
        <x:v>0.3031616346084984</x:v>
      </x:c>
      <x:c r="E1235" s="85" t="n">
        <x:f>D1235+'Resumen'!$B$5^3/3</x:f>
        <x:v>0.6364949679418317</x:v>
      </x:c>
    </x:row>
    <x:row r="1236">
      <x:c r="A1236" s="89" t="n">
        <x:v>1234</x:v>
      </x:c>
      <x:c r="B1236" s="80" t="n">
        <x:v>0.9568385114115251</x:v>
      </x:c>
      <x:c r="C1236" s="84" t="n">
        <x:f>SQRT('Resumen'!$B$5^3/3)*B1236</x:f>
        <x:v>0.5524309721344448</x:v>
      </x:c>
      <x:c r="D1236" s="84" t="n">
        <x:f>C1236^2-'Resumen'!$B$5^3/3</x:f>
        <x:v>-0.028153354359925553</x:v>
      </x:c>
      <x:c r="E1236" s="85" t="n">
        <x:f>D1236+'Resumen'!$B$5^3/3</x:f>
        <x:v>0.30517997897340776</x:v>
      </x:c>
    </x:row>
    <x:row r="1237">
      <x:c r="A1237" s="89" t="n">
        <x:v>1235</x:v>
      </x:c>
      <x:c r="B1237" s="80" t="n">
        <x:v>-0.29748962995082046</x:v>
      </x:c>
      <x:c r="C1237" s="84" t="n">
        <x:f>SQRT('Resumen'!$B$5^3/3)*B1237</x:f>
        <x:v>-0.17175571793322833</x:v>
      </x:c>
      <x:c r="D1237" s="84" t="n">
        <x:f>C1237^2-'Resumen'!$B$5^3/3</x:f>
        <x:v>-0.3038333066905746</x:v>
      </x:c>
      <x:c r="E1237" s="85" t="n">
        <x:f>D1237+'Resumen'!$B$5^3/3</x:f>
        <x:v>0.029500026642758692</x:v>
      </x:c>
    </x:row>
    <x:row r="1238">
      <x:c r="A1238" s="89" t="n">
        <x:v>1236</x:v>
      </x:c>
      <x:c r="B1238" s="80" t="n">
        <x:v>-2.2834052196825816</x:v>
      </x:c>
      <x:c r="C1238" s="84" t="n">
        <x:f>SQRT('Resumen'!$B$5^3/3)*B1238</x:f>
        <x:v>-1.318324618252735</x:v>
      </x:c>
      <x:c r="D1238" s="84" t="n">
        <x:f>C1238^2-'Resumen'!$B$5^3/3</x:f>
        <x:v>1.4046464657578863</x:v>
      </x:c>
      <x:c r="E1238" s="85" t="n">
        <x:f>D1238+'Resumen'!$B$5^3/3</x:f>
        <x:v>1.7379797990912196</x:v>
      </x:c>
    </x:row>
    <x:row r="1239">
      <x:c r="A1239" s="89" t="n">
        <x:v>1237</x:v>
      </x:c>
      <x:c r="B1239" s="80" t="n">
        <x:v>0.2758935638625609</x:v>
      </x:c>
      <x:c r="C1239" s="84" t="n">
        <x:f>SQRT('Resumen'!$B$5^3/3)*B1239</x:f>
        <x:v>0.15928722336373474</x:v>
      </x:c>
      <x:c r="D1239" s="84" t="n">
        <x:f>C1239^2-'Resumen'!$B$5^3/3</x:f>
        <x:v>-0.307960913806405</x:v>
      </x:c>
      <x:c r="E1239" s="85" t="n">
        <x:f>D1239+'Resumen'!$B$5^3/3</x:f>
        <x:v>0.025372419526928314</x:v>
      </x:c>
    </x:row>
    <x:row r="1240">
      <x:c r="A1240" s="89" t="n">
        <x:v>1238</x:v>
      </x:c>
      <x:c r="B1240" s="80" t="n">
        <x:v>1.6184935202734512</x:v>
      </x:c>
      <x:c r="C1240" s="84" t="n">
        <x:f>SQRT('Resumen'!$B$5^3/3)*B1240</x:f>
        <x:v>0.934437669611542</x:v>
      </x:c>
      <x:c r="D1240" s="84" t="n">
        <x:f>C1240^2-'Resumen'!$B$5^3/3</x:f>
        <x:v>0.5398404250557158</x:v>
      </x:c>
      <x:c r="E1240" s="85" t="n">
        <x:f>D1240+'Resumen'!$B$5^3/3</x:f>
        <x:v>0.8731737583890491</x:v>
      </x:c>
    </x:row>
    <x:row r="1241">
      <x:c r="A1241" s="89" t="n">
        <x:v>1239</x:v>
      </x:c>
      <x:c r="B1241" s="80" t="n">
        <x:v>3.040766038271705</x:v>
      </x:c>
      <x:c r="C1241" s="84" t="n">
        <x:f>SQRT('Resumen'!$B$5^3/3)*B1241</x:f>
        <x:v>1.7555870907388407</x:v>
      </x:c>
      <x:c r="D1241" s="84" t="n">
        <x:f>C1241^2-'Resumen'!$B$5^3/3</x:f>
        <x:v>2.7487526998355327</x:v>
      </x:c>
      <x:c r="E1241" s="85" t="n">
        <x:f>D1241+'Resumen'!$B$5^3/3</x:f>
        <x:v>3.082086033168866</x:v>
      </x:c>
    </x:row>
    <x:row r="1242">
      <x:c r="A1242" s="89" t="n">
        <x:v>1240</x:v>
      </x:c>
      <x:c r="B1242" s="80" t="n">
        <x:v>1.5810601246660174</x:v>
      </x:c>
      <x:c r="C1242" s="84" t="n">
        <x:f>SQRT('Resumen'!$B$5^3/3)*B1242</x:f>
        <x:v>0.9128254885809084</x:v>
      </x:c>
      <x:c r="D1242" s="84" t="n">
        <x:f>C1242^2-'Resumen'!$B$5^3/3</x:f>
        <x:v>0.49991703926964076</x:v>
      </x:c>
      <x:c r="E1242" s="85" t="n">
        <x:f>D1242+'Resumen'!$B$5^3/3</x:f>
        <x:v>0.8332503726029741</x:v>
      </x:c>
    </x:row>
    <x:row r="1243">
      <x:c r="A1243" s="89" t="n">
        <x:v>1241</x:v>
      </x:c>
      <x:c r="B1243" s="80" t="n">
        <x:v>0.649246052109204</x:v>
      </x:c>
      <x:c r="C1243" s="84" t="n">
        <x:f>SQRT('Resumen'!$B$5^3/3)*B1243</x:f>
        <x:v>0.3748423829555507</x:v>
      </x:c>
      <x:c r="D1243" s="84" t="n">
        <x:f>C1243^2-'Resumen'!$B$5^3/3</x:f>
        <x:v>-0.19282652127353758</x:v>
      </x:c>
      <x:c r="E1243" s="85" t="n">
        <x:f>D1243+'Resumen'!$B$5^3/3</x:f>
        <x:v>0.14050681205979573</x:v>
      </x:c>
    </x:row>
    <x:row r="1244">
      <x:c r="A1244" s="89" t="n">
        <x:v>1242</x:v>
      </x:c>
      <x:c r="B1244" s="80" t="n">
        <x:v>-0.5311358725526146</x:v>
      </x:c>
      <x:c r="C1244" s="84" t="n">
        <x:f>SQRT('Resumen'!$B$5^3/3)*B1244</x:f>
        <x:v>-0.3066514389945188</x:v>
      </x:c>
      <x:c r="D1244" s="84" t="n">
        <x:f>C1244^2-'Resumen'!$B$5^3/3</x:f>
        <x:v>-0.23929822829592423</x:v>
      </x:c>
      <x:c r="E1244" s="85" t="n">
        <x:f>D1244+'Resumen'!$B$5^3/3</x:f>
        <x:v>0.09403510503740908</x:v>
      </x:c>
    </x:row>
    <x:row r="1245">
      <x:c r="A1245" s="89" t="n">
        <x:v>1243</x:v>
      </x:c>
      <x:c r="B1245" s="80" t="n">
        <x:v>-0.43377072299075586</x:v>
      </x:c>
      <x:c r="C1245" s="84" t="n">
        <x:f>SQRT('Resumen'!$B$5^3/3)*B1245</x:f>
        <x:v>-0.2504376436852915</x:v>
      </x:c>
      <x:c r="D1245" s="84" t="n">
        <x:f>C1245^2-'Resumen'!$B$5^3/3</x:f>
        <x:v>-0.2706143199586923</x:v>
      </x:c>
      <x:c r="E1245" s="85" t="n">
        <x:f>D1245+'Resumen'!$B$5^3/3</x:f>
        <x:v>0.06271901337464103</x:v>
      </x:c>
    </x:row>
    <x:row r="1246">
      <x:c r="A1246" s="89" t="n">
        <x:v>1244</x:v>
      </x:c>
      <x:c r="B1246" s="80" t="n">
        <x:v>-0.9516321783670941</x:v>
      </x:c>
      <x:c r="C1246" s="84" t="n">
        <x:f>SQRT('Resumen'!$B$5^3/3)*B1246</x:f>
        <x:v>-0.5494250943497517</x:v>
      </x:c>
      <x:c r="D1246" s="84" t="n">
        <x:f>C1246^2-'Resumen'!$B$5^3/3</x:f>
        <x:v>-0.03146539903209972</x:v>
      </x:c>
      <x:c r="E1246" s="85" t="n">
        <x:f>D1246+'Resumen'!$B$5^3/3</x:f>
        <x:v>0.3018679343012336</x:v>
      </x:c>
    </x:row>
    <x:row r="1247">
      <x:c r="A1247" s="89" t="n">
        <x:v>1245</x:v>
      </x:c>
      <x:c r="B1247" s="80" t="n">
        <x:v>1.002746078910834</x:v>
      </x:c>
      <x:c r="C1247" s="84" t="n">
        <x:f>SQRT('Resumen'!$B$5^3/3)*B1247</x:f>
        <x:v>0.5789357185880117</x:v>
      </x:c>
      <x:c r="D1247" s="84" t="n">
        <x:f>C1247^2-'Resumen'!$B$5^3/3</x:f>
        <x:v>0.0018332329236842027</x:v>
      </x:c>
      <x:c r="E1247" s="85" t="n">
        <x:f>D1247+'Resumen'!$B$5^3/3</x:f>
        <x:v>0.3351665662570175</x:v>
      </x:c>
    </x:row>
    <x:row r="1248">
      <x:c r="A1248" s="89" t="n">
        <x:v>1246</x:v>
      </x:c>
      <x:c r="B1248" s="80" t="n">
        <x:v>-1.0474021719203264</x:v>
      </x:c>
      <x:c r="C1248" s="84" t="n">
        <x:f>SQRT('Resumen'!$B$5^3/3)*B1248</x:f>
        <x:v>-0.6047179259079991</x:v>
      </x:c>
      <x:c r="D1248" s="84" t="n">
        <x:f>C1248^2-'Resumen'!$B$5^3/3</x:f>
        <x:v>0.03235043658113901</x:v>
      </x:c>
      <x:c r="E1248" s="85" t="n">
        <x:f>D1248+'Resumen'!$B$5^3/3</x:f>
        <x:v>0.3656837699144723</x:v>
      </x:c>
    </x:row>
    <x:row r="1249">
      <x:c r="A1249" s="89" t="n">
        <x:v>1247</x:v>
      </x:c>
      <x:c r="B1249" s="80" t="n">
        <x:v>0.5288403657586591</x:v>
      </x:c>
      <x:c r="C1249" s="84" t="n">
        <x:f>SQRT('Resumen'!$B$5^3/3)*B1249</x:f>
        <x:v>0.305326127529102</x:v>
      </x:c>
      <x:c r="D1249" s="84" t="n">
        <x:f>C1249^2-'Resumen'!$B$5^3/3</x:f>
        <x:v>-0.24010928918141586</x:v>
      </x:c>
      <x:c r="E1249" s="85" t="n">
        <x:f>D1249+'Resumen'!$B$5^3/3</x:f>
        <x:v>0.09322404415191746</x:v>
      </x:c>
    </x:row>
    <x:row r="1250">
      <x:c r="A1250" s="89" t="n">
        <x:v>1248</x:v>
      </x:c>
      <x:c r="B1250" s="80" t="n">
        <x:v>0.29873023007473454</x:v>
      </x:c>
      <x:c r="C1250" s="84" t="n">
        <x:f>SQRT('Resumen'!$B$5^3/3)*B1250</x:f>
        <x:v>0.1724719787487268</x:v>
      </x:c>
      <x:c r="D1250" s="84" t="n">
        <x:f>C1250^2-'Resumen'!$B$5^3/3</x:f>
        <x:v>-0.30358674987983203</x:v>
      </x:c>
      <x:c r="E1250" s="85" t="n">
        <x:f>D1250+'Resumen'!$B$5^3/3</x:f>
        <x:v>0.029746583453501285</x:v>
      </x:c>
    </x:row>
    <x:row r="1251">
      <x:c r="A1251" s="89" t="n">
        <x:v>1249</x:v>
      </x:c>
      <x:c r="B1251" s="80" t="n">
        <x:v>-0.31481327004136256</x:v>
      </x:c>
      <x:c r="C1251" s="84" t="n">
        <x:f>SQRT('Resumen'!$B$5^3/3)*B1251</x:f>
        <x:v>-0.18175752620284702</x:v>
      </x:c>
      <x:c r="D1251" s="84" t="n">
        <x:f>C1251^2-'Resumen'!$B$5^3/3</x:f>
        <x:v>-0.30029753500195466</x:v>
      </x:c>
      <x:c r="E1251" s="85" t="n">
        <x:f>D1251+'Resumen'!$B$5^3/3</x:f>
        <x:v>0.03303579833137865</x:v>
      </x:c>
    </x:row>
    <x:row r="1252">
      <x:c r="A1252" s="89" t="n">
        <x:v>1250</x:v>
      </x:c>
      <x:c r="B1252" s="80" t="n">
        <x:v>-0.33294232568215815</x:v>
      </x:c>
      <x:c r="C1252" s="84" t="n">
        <x:f>SQRT('Resumen'!$B$5^3/3)*B1252</x:f>
        <x:v>-0.19222434135721406</x:v>
      </x:c>
      <x:c r="D1252" s="84" t="n">
        <x:f>C1252^2-'Resumen'!$B$5^3/3</x:f>
        <x:v>-0.29638313592311855</x:v>
      </x:c>
      <x:c r="E1252" s="85" t="n">
        <x:f>D1252+'Resumen'!$B$5^3/3</x:f>
        <x:v>0.03695019741021477</x:v>
      </x:c>
    </x:row>
    <x:row r="1253">
      <x:c r="A1253" s="89" t="n">
        <x:v>1251</x:v>
      </x:c>
      <x:c r="B1253" s="80" t="n">
        <x:v>1.863431985636574</x:v>
      </x:c>
      <x:c r="C1253" s="84" t="n">
        <x:f>SQRT('Resumen'!$B$5^3/3)*B1253</x:f>
        <x:v>1.0758529585238348</x:v>
      </x:c>
      <x:c r="D1253" s="84" t="n">
        <x:f>C1253^2-'Resumen'!$B$5^3/3</x:f>
        <x:v>0.824126255031155</x:v>
      </x:c>
      <x:c r="E1253" s="85" t="n">
        <x:f>D1253+'Resumen'!$B$5^3/3</x:f>
        <x:v>1.1574595883644883</x:v>
      </x:c>
    </x:row>
    <x:row r="1254">
      <x:c r="A1254" s="89" t="n">
        <x:v>1252</x:v>
      </x:c>
      <x:c r="B1254" s="80" t="n">
        <x:v>0.6058541823618104</x:v>
      </x:c>
      <x:c r="C1254" s="84" t="n">
        <x:f>SQRT('Resumen'!$B$5^3/3)*B1254</x:f>
        <x:v>0.34979007527625183</x:v>
      </x:c>
      <x:c r="D1254" s="84" t="n">
        <x:f>C1254^2-'Resumen'!$B$5^3/3</x:f>
        <x:v>-0.2109802365715674</x:v>
      </x:c>
      <x:c r="E1254" s="85" t="n">
        <x:f>D1254+'Resumen'!$B$5^3/3</x:f>
        <x:v>0.12235309676176592</x:v>
      </x:c>
    </x:row>
    <x:row r="1255">
      <x:c r="A1255" s="89" t="n">
        <x:v>1253</x:v>
      </x:c>
      <x:c r="B1255" s="80" t="n">
        <x:v>0.6928860047261712</x:v>
      </x:c>
      <x:c r="C1255" s="84" t="n">
        <x:f>SQRT('Resumen'!$B$5^3/3)*B1255</x:f>
        <x:v>0.4000379213463792</x:v>
      </x:c>
      <x:c r="D1255" s="84" t="n">
        <x:f>C1255^2-'Resumen'!$B$5^3/3</x:f>
        <x:v>-0.17330299481820144</x:v>
      </x:c>
      <x:c r="E1255" s="85" t="n">
        <x:f>D1255+'Resumen'!$B$5^3/3</x:f>
        <x:v>0.16003033851513188</x:v>
      </x:c>
    </x:row>
    <x:row r="1256">
      <x:c r="A1256" s="89" t="n">
        <x:v>1254</x:v>
      </x:c>
      <x:c r="B1256" s="80" t="n">
        <x:v>1.076591138473329</x:v>
      </x:c>
      <x:c r="C1256" s="84" t="n">
        <x:f>SQRT('Resumen'!$B$5^3/3)*B1256</x:f>
        <x:v>0.6215701836047421</x:v>
      </x:c>
      <x:c r="D1256" s="84" t="n">
        <x:f>C1256^2-'Resumen'!$B$5^3/3</x:f>
        <x:v>0.05301615981309954</x:v>
      </x:c>
      <x:c r="E1256" s="85" t="n">
        <x:f>D1256+'Resumen'!$B$5^3/3</x:f>
        <x:v>0.38634949314643285</x:v>
      </x:c>
    </x:row>
    <x:row r="1257">
      <x:c r="A1257" s="89" t="n">
        <x:v>1255</x:v>
      </x:c>
      <x:c r="B1257" s="80" t="n">
        <x:v>-1.089994158130181</x:v>
      </x:c>
      <x:c r="C1257" s="84" t="n">
        <x:f>SQRT('Resumen'!$B$5^3/3)*B1257</x:f>
        <x:v>-0.6293084206115795</x:v>
      </x:c>
      <x:c r="D1257" s="84" t="n">
        <x:f>C1257^2-'Resumen'!$B$5^3/3</x:f>
        <x:v>0.0626957549193074</x:v>
      </x:c>
      <x:c r="E1257" s="85" t="n">
        <x:f>D1257+'Resumen'!$B$5^3/3</x:f>
        <x:v>0.3960290882526407</x:v>
      </x:c>
    </x:row>
    <x:row r="1258">
      <x:c r="A1258" s="89" t="n">
        <x:v>1256</x:v>
      </x:c>
      <x:c r="B1258" s="80" t="n">
        <x:v>-1.0786316226915722</x:v>
      </x:c>
      <x:c r="C1258" s="84" t="n">
        <x:f>SQRT('Resumen'!$B$5^3/3)*B1258</x:f>
        <x:v>-0.622748257717422</x:v>
      </x:c>
      <x:c r="D1258" s="84" t="n">
        <x:f>C1258^2-'Resumen'!$B$5^3/3</x:f>
        <x:v>0.05448205915675136</x:v>
      </x:c>
      <x:c r="E1258" s="85" t="n">
        <x:f>D1258+'Resumen'!$B$5^3/3</x:f>
        <x:v>0.3878153924900847</x:v>
      </x:c>
    </x:row>
    <x:row r="1259">
      <x:c r="A1259" s="89" t="n">
        <x:v>1257</x:v>
      </x:c>
      <x:c r="B1259" s="80" t="n">
        <x:v>0.11524828289606953</x:v>
      </x:c>
      <x:c r="C1259" s="84" t="n">
        <x:f>SQRT('Resumen'!$B$5^3/3)*B1259</x:f>
        <x:v>0.06653862715368788</x:v>
      </x:c>
      <x:c r="D1259" s="84" t="n">
        <x:f>C1259^2-'Resumen'!$B$5^3/3</x:f>
        <x:v>-0.32890594442983584</x:v>
      </x:c>
      <x:c r="E1259" s="85" t="n">
        <x:f>D1259+'Resumen'!$B$5^3/3</x:f>
        <x:v>0.004427388903497476</x:v>
      </x:c>
    </x:row>
    <x:row r="1260">
      <x:c r="A1260" s="89" t="n">
        <x:v>1258</x:v>
      </x:c>
      <x:c r="B1260" s="80" t="n">
        <x:v>1.8335541536462932</x:v>
      </x:c>
      <x:c r="C1260" s="84" t="n">
        <x:f>SQRT('Resumen'!$B$5^3/3)*B1260</x:f>
        <x:v>1.0586029841814437</x:v>
      </x:c>
      <x:c r="D1260" s="84" t="n">
        <x:f>C1260^2-'Resumen'!$B$5^3/3</x:f>
        <x:v>0.7873069447845247</x:v>
      </x:c>
      <x:c r="E1260" s="85" t="n">
        <x:f>D1260+'Resumen'!$B$5^3/3</x:f>
        <x:v>1.120640278117858</x:v>
      </x:c>
    </x:row>
    <x:row r="1261">
      <x:c r="A1261" s="89" t="n">
        <x:v>1259</x:v>
      </x:c>
      <x:c r="B1261" s="80" t="n">
        <x:v>0.3483621541632502</x:v>
      </x:c>
      <x:c r="C1261" s="84" t="n">
        <x:f>SQRT('Resumen'!$B$5^3/3)*B1261</x:f>
        <x:v>0.2011269834816304</x:v>
      </x:c>
      <x:c r="D1261" s="84" t="n">
        <x:f>C1261^2-'Resumen'!$B$5^3/3</x:f>
        <x:v>-0.2928812698489133</x:v>
      </x:c>
      <x:c r="E1261" s="85" t="n">
        <x:f>D1261+'Resumen'!$B$5^3/3</x:f>
        <x:v>0.04045206348442004</x:v>
      </x:c>
    </x:row>
    <x:row r="1262">
      <x:c r="A1262" s="89" t="n">
        <x:v>1260</x:v>
      </x:c>
      <x:c r="B1262" s="80" t="n">
        <x:v>1.2934815407322187</x:v>
      </x:c>
      <x:c r="C1262" s="84" t="n">
        <x:f>SQRT('Resumen'!$B$5^3/3)*B1262</x:f>
        <x:v>0.7467919157335583</x:v>
      </x:c>
      <x:c r="D1262" s="84" t="n">
        <x:f>C1262^2-'Resumen'!$B$5^3/3</x:f>
        <x:v>0.22436483207166474</x:v>
      </x:c>
      <x:c r="E1262" s="85" t="n">
        <x:f>D1262+'Resumen'!$B$5^3/3</x:f>
        <x:v>0.5576981654049981</x:v>
      </x:c>
    </x:row>
    <x:row r="1263">
      <x:c r="A1263" s="89" t="n">
        <x:v>1261</x:v>
      </x:c>
      <x:c r="B1263" s="80" t="n">
        <x:v>-0.15865913074385826</x:v>
      </x:c>
      <x:c r="C1263" s="84" t="n">
        <x:f>SQRT('Resumen'!$B$5^3/3)*B1263</x:f>
        <x:v>-0.09160189184435859</x:v>
      </x:c>
      <x:c r="D1263" s="84" t="n">
        <x:f>C1263^2-'Resumen'!$B$5^3/3</x:f>
        <x:v>-0.32494242674386775</x:v>
      </x:c>
      <x:c r="E1263" s="85" t="n">
        <x:f>D1263+'Resumen'!$B$5^3/3</x:f>
        <x:v>0.008390906589465563</x:v>
      </x:c>
    </x:row>
    <x:row r="1264">
      <x:c r="A1264" s="89" t="n">
        <x:v>1262</x:v>
      </x:c>
      <x:c r="B1264" s="80" t="n">
        <x:v>-0.14853735557727296</x:v>
      </x:c>
      <x:c r="C1264" s="84" t="n">
        <x:f>SQRT('Resumen'!$B$5^3/3)*B1264</x:f>
        <x:v>-0.0857580822272537</x:v>
      </x:c>
      <x:c r="D1264" s="84" t="n">
        <x:f>C1264^2-'Resumen'!$B$5^3/3</x:f>
        <x:v>-0.3259788846660369</x:v>
      </x:c>
      <x:c r="E1264" s="85" t="n">
        <x:f>D1264+'Resumen'!$B$5^3/3</x:f>
        <x:v>0.007354448667296398</x:v>
      </x:c>
    </x:row>
    <x:row r="1265">
      <x:c r="A1265" s="89" t="n">
        <x:v>1263</x:v>
      </x:c>
      <x:c r="B1265" s="80" t="n">
        <x:v>-0.910008482752807</x:v>
      </x:c>
      <x:c r="C1265" s="84" t="n">
        <x:f>SQRT('Resumen'!$B$5^3/3)*B1265</x:f>
        <x:v>-0.525393642482176</x:v>
      </x:c>
      <x:c r="D1265" s="84" t="n">
        <x:f>C1265^2-'Resumen'!$B$5^3/3</x:f>
        <x:v>-0.057294853772644705</x:v>
      </x:c>
      <x:c r="E1265" s="85" t="n">
        <x:f>D1265+'Resumen'!$B$5^3/3</x:f>
        <x:v>0.2760384795606886</x:v>
      </x:c>
    </x:row>
    <x:row r="1266">
      <x:c r="A1266" s="89" t="n">
        <x:v>1264</x:v>
      </x:c>
      <x:c r="B1266" s="80" t="n">
        <x:v>-0.7677466804926599</x:v>
      </x:c>
      <x:c r="C1266" s="84" t="n">
        <x:f>SQRT('Resumen'!$B$5^3/3)*B1266</x:f>
        <x:v>-0.4432587526518788</x:v>
      </x:c>
      <x:c r="D1266" s="84" t="n">
        <x:f>C1266^2-'Resumen'!$B$5^3/3</x:f>
        <x:v>-0.13685501153083385</x:v>
      </x:c>
      <x:c r="E1266" s="85" t="n">
        <x:f>D1266+'Resumen'!$B$5^3/3</x:f>
        <x:v>0.19647832180249947</x:v>
      </x:c>
    </x:row>
    <x:row r="1267">
      <x:c r="A1267" s="89" t="n">
        <x:v>1265</x:v>
      </x:c>
      <x:c r="B1267" s="80" t="n">
        <x:v>-0.42909967742106425</x:v>
      </x:c>
      <x:c r="C1267" s="84" t="n">
        <x:f>SQRT('Resumen'!$B$5^3/3)*B1267</x:f>
        <x:v>-0.24774081426823302</x:v>
      </x:c>
      <x:c r="D1267" s="84" t="n">
        <x:f>C1267^2-'Resumen'!$B$5^3/3</x:f>
        <x:v>-0.2719578222790462</x:v>
      </x:c>
      <x:c r="E1267" s="85" t="n">
        <x:f>D1267+'Resumen'!$B$5^3/3</x:f>
        <x:v>0.061375511054287124</x:v>
      </x:c>
    </x:row>
    <x:row r="1268">
      <x:c r="A1268" s="89" t="n">
        <x:v>1266</x:v>
      </x:c>
      <x:c r="B1268" s="80" t="n">
        <x:v>0.9433260778402829</x:v>
      </x:c>
      <x:c r="C1268" s="84" t="n">
        <x:f>SQRT('Resumen'!$B$5^3/3)*B1268</x:f>
        <x:v>0.5446295649746812</x:v>
      </x:c>
      <x:c r="D1268" s="84" t="n">
        <x:f>C1268^2-'Resumen'!$B$5^3/3</x:f>
        <x:v>-0.03671197028882284</x:v>
      </x:c>
      <x:c r="E1268" s="85" t="n">
        <x:f>D1268+'Resumen'!$B$5^3/3</x:f>
        <x:v>0.2966213630445105</x:v>
      </x:c>
    </x:row>
    <x:row r="1269">
      <x:c r="A1269" s="89" t="n">
        <x:v>1267</x:v>
      </x:c>
      <x:c r="B1269" s="80" t="n">
        <x:v>-0.9659913411291989</x:v>
      </x:c>
      <x:c r="C1269" s="84" t="n">
        <x:f>SQRT('Resumen'!$B$5^3/3)*B1269</x:f>
        <x:v>-0.5577153608357905</x:v>
      </x:c>
      <x:c r="D1269" s="84" t="n">
        <x:f>C1269^2-'Resumen'!$B$5^3/3</x:f>
        <x:v>-0.022286909621137274</x:v>
      </x:c>
      <x:c r="E1269" s="85" t="n">
        <x:f>D1269+'Resumen'!$B$5^3/3</x:f>
        <x:v>0.31104642371219604</x:v>
      </x:c>
    </x:row>
    <x:row r="1270">
      <x:c r="A1270" s="89" t="n">
        <x:v>1268</x:v>
      </x:c>
      <x:c r="B1270" s="80" t="n">
        <x:v>0.2046413199928847</x:v>
      </x:c>
      <x:c r="C1270" s="84" t="n">
        <x:f>SQRT('Resumen'!$B$5^3/3)*B1270</x:f>
        <x:v>0.11814972118521232</x:v>
      </x:c>
      <x:c r="D1270" s="84" t="n">
        <x:f>C1270^2-'Resumen'!$B$5^3/3</x:f>
        <x:v>-0.3193739767171899</x:v>
      </x:c>
      <x:c r="E1270" s="85" t="n">
        <x:f>D1270+'Resumen'!$B$5^3/3</x:f>
        <x:v>0.013959356616143392</x:v>
      </x:c>
    </x:row>
    <x:row r="1271">
      <x:c r="A1271" s="89" t="n">
        <x:v>1269</x:v>
      </x:c>
      <x:c r="B1271" s="80" t="n">
        <x:v>-2.1748507081380914</x:v>
      </x:c>
      <x:c r="C1271" s="84" t="n">
        <x:f>SQRT('Resumen'!$B$5^3/3)*B1271</x:f>
        <x:v>-1.2556506417907753</x:v>
      </x:c>
      <x:c r="D1271" s="84" t="n">
        <x:f>C1271^2-'Resumen'!$B$5^3/3</x:f>
        <x:v>1.2433252008962528</x:v>
      </x:c>
      <x:c r="E1271" s="85" t="n">
        <x:f>D1271+'Resumen'!$B$5^3/3</x:f>
        <x:v>1.576658534229586</x:v>
      </x:c>
    </x:row>
    <x:row r="1272">
      <x:c r="A1272" s="89" t="n">
        <x:v>1270</x:v>
      </x:c>
      <x:c r="B1272" s="80" t="n">
        <x:v>0.063265933734223</x:v>
      </x:c>
      <x:c r="C1272" s="84" t="n">
        <x:f>SQRT('Resumen'!$B$5^3/3)*B1272</x:f>
        <x:v>0.03652660387198667</x:v>
      </x:c>
      <x:c r="D1272" s="84" t="n">
        <x:f>C1272^2-'Resumen'!$B$5^3/3</x:f>
        <x:v>-0.3319991405429123</x:v>
      </x:c>
      <x:c r="E1272" s="85" t="n">
        <x:f>D1272+'Resumen'!$B$5^3/3</x:f>
        <x:v>0.0013341927904210182</x:v>
      </x:c>
    </x:row>
    <x:row r="1273">
      <x:c r="A1273" s="89" t="n">
        <x:v>1271</x:v>
      </x:c>
      <x:c r="B1273" s="80" t="n">
        <x:v>-0.370364651956754</x:v>
      </x:c>
      <x:c r="C1273" s="84" t="n">
        <x:f>SQRT('Resumen'!$B$5^3/3)*B1273</x:f>
        <x:v>-0.21383013150555397</x:v>
      </x:c>
      <x:c r="D1273" s="84" t="n">
        <x:f>C1273^2-'Resumen'!$B$5^3/3</x:f>
        <x:v>-0.2876100081936508</x:v>
      </x:c>
      <x:c r="E1273" s="85" t="n">
        <x:f>D1273+'Resumen'!$B$5^3/3</x:f>
        <x:v>0.045723325139682525</x:v>
      </x:c>
    </x:row>
    <x:row r="1274">
      <x:c r="A1274" s="89" t="n">
        <x:v>1272</x:v>
      </x:c>
      <x:c r="B1274" s="80" t="n">
        <x:v>0.28371343944554905</x:v>
      </x:c>
      <x:c r="C1274" s="84" t="n">
        <x:f>SQRT('Resumen'!$B$5^3/3)*B1274</x:f>
        <x:v>0.1638020306366023</x:v>
      </x:c>
      <x:c r="D1274" s="84" t="n">
        <x:f>C1274^2-'Resumen'!$B$5^3/3</x:f>
        <x:v>-0.3065022280926589</x:v>
      </x:c>
      <x:c r="E1274" s="85" t="n">
        <x:f>D1274+'Resumen'!$B$5^3/3</x:f>
        <x:v>0.02683110524067439</x:v>
      </x:c>
    </x:row>
    <x:row r="1275">
      <x:c r="A1275" s="89" t="n">
        <x:v>1273</x:v>
      </x:c>
      <x:c r="B1275" s="80" t="n">
        <x:v>-2.4099895271091407</x:v>
      </x:c>
      <x:c r="C1275" s="84" t="n">
        <x:f>SQRT('Resumen'!$B$5^3/3)*B1275</x:f>
        <x:v>-1.3914081022206413</x:v>
      </x:c>
      <x:c r="D1275" s="84" t="n">
        <x:f>C1275^2-'Resumen'!$B$5^3/3</x:f>
        <x:v>1.6026831735919131</x:v>
      </x:c>
      <x:c r="E1275" s="85" t="n">
        <x:f>D1275+'Resumen'!$B$5^3/3</x:f>
        <x:v>1.9360165069252464</x:v>
      </x:c>
    </x:row>
    <x:row r="1276">
      <x:c r="A1276" s="89" t="n">
        <x:v>1274</x:v>
      </x:c>
      <x:c r="B1276" s="80" t="n">
        <x:v>-0.5982659676266798</x:v>
      </x:c>
      <x:c r="C1276" s="84" t="n">
        <x:f>SQRT('Resumen'!$B$5^3/3)*B1276</x:f>
        <x:v>-0.3454090174562555</x:v>
      </x:c>
      <x:c r="D1276" s="84" t="n">
        <x:f>C1276^2-'Resumen'!$B$5^3/3</x:f>
        <x:v>-0.2140259439932375</x:v>
      </x:c>
      <x:c r="E1276" s="85" t="n">
        <x:f>D1276+'Resumen'!$B$5^3/3</x:f>
        <x:v>0.11930738934009583</x:v>
      </x:c>
    </x:row>
    <x:row r="1277">
      <x:c r="A1277" s="89" t="n">
        <x:v>1275</x:v>
      </x:c>
      <x:c r="B1277" s="80" t="n">
        <x:v>1.3944945371548476</x:v>
      </x:c>
      <x:c r="C1277" s="84" t="n">
        <x:f>SQRT('Resumen'!$B$5^3/3)*B1277</x:f>
        <x:v>0.8051117964098138</x:v>
      </x:c>
      <x:c r="D1277" s="84" t="n">
        <x:f>C1277^2-'Resumen'!$B$5^3/3</x:f>
        <x:v>0.3148716713849041</x:v>
      </x:c>
      <x:c r="E1277" s="85" t="n">
        <x:f>D1277+'Resumen'!$B$5^3/3</x:f>
        <x:v>0.6482050047182374</x:v>
      </x:c>
    </x:row>
    <x:row r="1278">
      <x:c r="A1278" s="89" t="n">
        <x:v>1276</x:v>
      </x:c>
      <x:c r="B1278" s="80" t="n">
        <x:v>-1.3215015337115565</x:v>
      </x:c>
      <x:c r="C1278" s="84" t="n">
        <x:f>SQRT('Resumen'!$B$5^3/3)*B1278</x:f>
        <x:v>-0.7629692662228704</x:v>
      </x:c>
      <x:c r="D1278" s="84" t="n">
        <x:f>C1278^2-'Resumen'!$B$5^3/3</x:f>
        <x:v>0.248788767867332</x:v>
      </x:c>
      <x:c r="E1278" s="85" t="n">
        <x:f>D1278+'Resumen'!$B$5^3/3</x:f>
        <x:v>0.5821221012006653</x:v>
      </x:c>
    </x:row>
    <x:row r="1279">
      <x:c r="A1279" s="89" t="n">
        <x:v>1277</x:v>
      </x:c>
      <x:c r="B1279" s="80" t="n">
        <x:v>-0.9454932810839171</x:v>
      </x:c>
      <x:c r="C1279" s="84" t="n">
        <x:f>SQRT('Resumen'!$B$5^3/3)*B1279</x:f>
        <x:v>-0.545880800350782</x:v>
      </x:c>
      <x:c r="D1279" s="84" t="n">
        <x:f>C1279^2-'Resumen'!$B$5^3/3</x:f>
        <x:v>-0.03534748514172298</x:v>
      </x:c>
      <x:c r="E1279" s="85" t="n">
        <x:f>D1279+'Resumen'!$B$5^3/3</x:f>
        <x:v>0.29798584819161034</x:v>
      </x:c>
    </x:row>
    <x:row r="1280">
      <x:c r="A1280" s="89" t="n">
        <x:v>1278</x:v>
      </x:c>
      <x:c r="B1280" s="80" t="n">
        <x:v>0.9676307393668004</x:v>
      </x:c>
      <x:c r="C1280" s="84" t="n">
        <x:f>SQRT('Resumen'!$B$5^3/3)*B1280</x:f>
        <x:v>0.5586618678495788</x:v>
      </x:c>
      <x:c r="D1280" s="84" t="n">
        <x:f>C1280^2-'Resumen'!$B$5^3/3</x:f>
        <x:v>-0.021230250744153023</x:v>
      </x:c>
      <x:c r="E1280" s="85" t="n">
        <x:f>D1280+'Resumen'!$B$5^3/3</x:f>
        <x:v>0.3121030825891803</x:v>
      </x:c>
    </x:row>
    <x:row r="1281">
      <x:c r="A1281" s="89" t="n">
        <x:v>1279</x:v>
      </x:c>
      <x:c r="B1281" s="80" t="n">
        <x:v>-1.300150618950828</x:v>
      </x:c>
      <x:c r="C1281" s="84" t="n">
        <x:f>SQRT('Resumen'!$B$5^3/3)*B1281</x:f>
        <x:v>-0.7506423098383191</x:v>
      </x:c>
      <x:c r="D1281" s="84" t="n">
        <x:f>C1281^2-'Resumen'!$B$5^3/3</x:f>
        <x:v>0.23013054398607385</x:v>
      </x:c>
      <x:c r="E1281" s="85" t="n">
        <x:f>D1281+'Resumen'!$B$5^3/3</x:f>
        <x:v>0.5634638773194072</x:v>
      </x:c>
    </x:row>
    <x:row r="1282">
      <x:c r="A1282" s="89" t="n">
        <x:v>1280</x:v>
      </x:c>
      <x:c r="B1282" s="80" t="n">
        <x:v>1.7551603345329863</x:v>
      </x:c>
      <x:c r="C1282" s="84" t="n">
        <x:f>SQRT('Resumen'!$B$5^3/3)*B1282</x:f>
        <x:v>1.0133422916135733</x:v>
      </x:c>
      <x:c r="D1282" s="84" t="n">
        <x:f>C1282^2-'Resumen'!$B$5^3/3</x:f>
        <x:v>0.6935292666393149</x:v>
      </x:c>
      <x:c r="E1282" s="85" t="n">
        <x:f>D1282+'Resumen'!$B$5^3/3</x:f>
        <x:v>1.0268625999726482</x:v>
      </x:c>
    </x:row>
    <x:row r="1283">
      <x:c r="A1283" s="89" t="n">
        <x:v>1281</x:v>
      </x:c>
      <x:c r="B1283" s="80" t="n">
        <x:v>-0.4876356309613966</x:v>
      </x:c>
      <x:c r="C1283" s="84" t="n">
        <x:f>SQRT('Resumen'!$B$5^3/3)*B1283</x:f>
        <x:v>-0.28153656280201533</x:v>
      </x:c>
      <x:c r="D1283" s="84" t="n">
        <x:f>C1283^2-'Resumen'!$B$5^3/3</x:f>
        <x:v>-0.2540704971389602</x:v>
      </x:c>
      <x:c r="E1283" s="85" t="n">
        <x:f>D1283+'Resumen'!$B$5^3/3</x:f>
        <x:v>0.07926283619437313</x:v>
      </x:c>
    </x:row>
    <x:row r="1284">
      <x:c r="A1284" s="89" t="n">
        <x:v>1282</x:v>
      </x:c>
      <x:c r="B1284" s="80" t="n">
        <x:v>-1.3294920054293058</x:v>
      </x:c>
      <x:c r="C1284" s="84" t="n">
        <x:f>SQRT('Resumen'!$B$5^3/3)*B1284</x:f>
        <x:v>-0.767582567220065</x:v>
      </x:c>
      <x:c r="D1284" s="84" t="n">
        <x:f>C1284^2-'Resumen'!$B$5^3/3</x:f>
        <x:v>0.25584966416681226</x:v>
      </x:c>
      <x:c r="E1284" s="85" t="n">
        <x:f>D1284+'Resumen'!$B$5^3/3</x:f>
        <x:v>0.5891829975001456</x:v>
      </x:c>
    </x:row>
    <x:row r="1285">
      <x:c r="A1285" s="89" t="n">
        <x:v>1283</x:v>
      </x:c>
      <x:c r="B1285" s="80" t="n">
        <x:v>-0.079317356456384</x:v>
      </x:c>
      <x:c r="C1285" s="84" t="n">
        <x:f>SQRT('Resumen'!$B$5^3/3)*B1285</x:f>
        <x:v>-0.045793897101502806</x:v>
      </x:c>
      <x:c r="D1285" s="84" t="n">
        <x:f>C1285^2-'Resumen'!$B$5^3/3</x:f>
        <x:v>-0.33123625232159026</x:v>
      </x:c>
      <x:c r="E1285" s="85" t="n">
        <x:f>D1285+'Resumen'!$B$5^3/3</x:f>
        <x:v>0.0020970810117430516</x:v>
      </x:c>
    </x:row>
    <x:row r="1286">
      <x:c r="A1286" s="89" t="n">
        <x:v>1284</x:v>
      </x:c>
      <x:c r="B1286" s="80" t="n">
        <x:v>-1.4008955504593597</x:v>
      </x:c>
      <x:c r="C1286" s="84" t="n">
        <x:f>SQRT('Resumen'!$B$5^3/3)*B1286</x:f>
        <x:v>-0.8088074231642602</x:v>
      </x:c>
      <x:c r="D1286" s="84" t="n">
        <x:f>C1286^2-'Resumen'!$B$5^3/3</x:f>
        <x:v>0.3208361144322774</x:v>
      </x:c>
      <x:c r="E1286" s="85" t="n">
        <x:f>D1286+'Resumen'!$B$5^3/3</x:f>
        <x:v>0.6541694477656107</x:v>
      </x:c>
    </x:row>
    <x:row r="1287">
      <x:c r="A1287" s="89" t="n">
        <x:v>1285</x:v>
      </x:c>
      <x:c r="B1287" s="80" t="n">
        <x:v>1.099606983368052</x:v>
      </x:c>
      <x:c r="C1287" s="84" t="n">
        <x:f>SQRT('Resumen'!$B$5^3/3)*B1287</x:f>
        <x:v>0.6348583878503371</x:v>
      </x:c>
      <x:c r="D1287" s="84" t="n">
        <x:f>C1287^2-'Resumen'!$B$5^3/3</x:f>
        <x:v>0.06971183929059571</x:v>
      </x:c>
      <x:c r="E1287" s="85" t="n">
        <x:f>D1287+'Resumen'!$B$5^3/3</x:f>
        <x:v>0.403045172623929</x:v>
      </x:c>
    </x:row>
    <x:row r="1288">
      <x:c r="A1288" s="89" t="n">
        <x:v>1286</x:v>
      </x:c>
      <x:c r="B1288" s="80" t="n">
        <x:v>-0.23065807457916657</x:v>
      </x:c>
      <x:c r="C1288" s="84" t="n">
        <x:f>SQRT('Resumen'!$B$5^3/3)*B1288</x:f>
        <x:v>-0.13317050144904258</x:v>
      </x:c>
      <x:c r="D1288" s="84" t="n">
        <x:f>C1288^2-'Resumen'!$B$5^3/3</x:f>
        <x:v>-0.31559895087714385</x:v>
      </x:c>
      <x:c r="E1288" s="85" t="n">
        <x:f>D1288+'Resumen'!$B$5^3/3</x:f>
        <x:v>0.017734382456189468</x:v>
      </x:c>
    </x:row>
    <x:row r="1289">
      <x:c r="A1289" s="89" t="n">
        <x:v>1287</x:v>
      </x:c>
      <x:c r="B1289" s="80" t="n">
        <x:v>-1.420123027149283</x:v>
      </x:c>
      <x:c r="C1289" s="84" t="n">
        <x:f>SQRT('Resumen'!$B$5^3/3)*B1289</x:f>
        <x:v>-0.8199084120070248</x:v>
      </x:c>
      <x:c r="D1289" s="84" t="n">
        <x:f>C1289^2-'Resumen'!$B$5^3/3</x:f>
        <x:v>0.3389164707465478</x:v>
      </x:c>
      <x:c r="E1289" s="85" t="n">
        <x:f>D1289+'Resumen'!$B$5^3/3</x:f>
        <x:v>0.6722498040798811</x:v>
      </x:c>
    </x:row>
    <x:row r="1290">
      <x:c r="A1290" s="89" t="n">
        <x:v>1288</x:v>
      </x:c>
      <x:c r="B1290" s="80" t="n">
        <x:v>-0.015713141614604735</x:v>
      </x:c>
      <x:c r="C1290" s="84" t="n">
        <x:f>SQRT('Resumen'!$B$5^3/3)*B1290</x:f>
        <x:v>-0.009071986541006754</x:v>
      </x:c>
      <x:c r="D1290" s="84" t="n">
        <x:f>C1290^2-'Resumen'!$B$5^3/3</x:f>
        <x:v>-0.3332510323935331</x:v>
      </x:c>
      <x:c r="E1290" s="85" t="n">
        <x:f>D1290+'Resumen'!$B$5^3/3</x:f>
        <x:v>0.00008230093980021724</x:v>
      </x:c>
    </x:row>
    <x:row r="1291">
      <x:c r="A1291" s="89" t="n">
        <x:v>1289</x:v>
      </x:c>
      <x:c r="B1291" s="80" t="n">
        <x:v>-1.5638667349118063</x:v>
      </x:c>
      <x:c r="C1291" s="84" t="n">
        <x:f>SQRT('Resumen'!$B$5^3/3)*B1291</x:f>
        <x:v>-0.9028988803780325</x:v>
      </x:c>
      <x:c r="D1291" s="84" t="n">
        <x:f>C1291^2-'Resumen'!$B$5^3/3</x:f>
        <x:v>0.4818930548545713</x:v>
      </x:c>
      <x:c r="E1291" s="85" t="n">
        <x:f>D1291+'Resumen'!$B$5^3/3</x:f>
        <x:v>0.8152263881879046</x:v>
      </x:c>
    </x:row>
    <x:row r="1292">
      <x:c r="A1292" s="89" t="n">
        <x:v>1290</x:v>
      </x:c>
      <x:c r="B1292" s="80" t="n">
        <x:v>0.17529314831428758</x:v>
      </x:c>
      <x:c r="C1292" s="84" t="n">
        <x:f>SQRT('Resumen'!$B$5^3/3)*B1292</x:f>
        <x:v>0.10120554636635092</x:v>
      </x:c>
      <x:c r="D1292" s="84" t="n">
        <x:f>C1292^2-'Resumen'!$B$5^3/3</x:f>
        <x:v>-0.3230907707180217</x:v>
      </x:c>
      <x:c r="E1292" s="85" t="n">
        <x:f>D1292+'Resumen'!$B$5^3/3</x:f>
        <x:v>0.01024256261531159</x:v>
      </x:c>
    </x:row>
    <x:row r="1293">
      <x:c r="A1293" s="89" t="n">
        <x:v>1291</x:v>
      </x:c>
      <x:c r="B1293" s="80" t="n">
        <x:v>0.838880073834445</x:v>
      </x:c>
      <x:c r="C1293" s="84" t="n">
        <x:f>SQRT('Resumen'!$B$5^3/3)*B1293</x:f>
        <x:v>0.4843276364461299</x:v>
      </x:c>
      <x:c r="D1293" s="84" t="n">
        <x:f>C1293^2-'Resumen'!$B$5^3/3</x:f>
        <x:v>-0.09876007390783872</x:v>
      </x:c>
      <x:c r="E1293" s="85" t="n">
        <x:f>D1293+'Resumen'!$B$5^3/3</x:f>
        <x:v>0.2345732594254946</x:v>
      </x:c>
    </x:row>
    <x:row r="1294">
      <x:c r="A1294" s="89" t="n">
        <x:v>1292</x:v>
      </x:c>
      <x:c r="B1294" s="80" t="n">
        <x:v>-0.5488904918819608</x:v>
      </x:c>
      <x:c r="C1294" s="84" t="n">
        <x:f>SQRT('Resumen'!$B$5^3/3)*B1294</x:f>
        <x:v>-0.31690207324367614</x:v>
      </x:c>
      <x:c r="D1294" s="84" t="n">
        <x:f>C1294^2-'Resumen'!$B$5^3/3</x:f>
        <x:v>-0.23290640930719303</x:v>
      </x:c>
      <x:c r="E1294" s="85" t="n">
        <x:f>D1294+'Resumen'!$B$5^3/3</x:f>
        <x:v>0.10042692402614029</x:v>
      </x:c>
    </x:row>
    <x:row r="1295">
      <x:c r="A1295" s="89" t="n">
        <x:v>1293</x:v>
      </x:c>
      <x:c r="B1295" s="80" t="n">
        <x:v>-1.2234506625714843</x:v>
      </x:c>
      <x:c r="C1295" s="84" t="n">
        <x:f>SQRT('Resumen'!$B$5^3/3)*B1295</x:f>
        <x:v>-0.7063595693758724</x:v>
      </x:c>
      <x:c r="D1295" s="84" t="n">
        <x:f>C1295^2-'Resumen'!$B$5^3/3</x:f>
        <x:v>0.1656105079155346</x:v>
      </x:c>
      <x:c r="E1295" s="85" t="n">
        <x:f>D1295+'Resumen'!$B$5^3/3</x:f>
        <x:v>0.4989438412488679</x:v>
      </x:c>
    </x:row>
    <x:row r="1296">
      <x:c r="A1296" s="89" t="n">
        <x:v>1294</x:v>
      </x:c>
      <x:c r="B1296" s="80" t="n">
        <x:v>-0.5918626334205411</x:v>
      </x:c>
      <x:c r="C1296" s="84" t="n">
        <x:f>SQRT('Resumen'!$B$5^3/3)*B1296</x:f>
        <x:v>-0.3417120507286302</x:v>
      </x:c>
      <x:c r="D1296" s="84" t="n">
        <x:f>C1296^2-'Resumen'!$B$5^3/3</x:f>
        <x:v>-0.21656620772016738</x:v>
      </x:c>
      <x:c r="E1296" s="85" t="n">
        <x:f>D1296+'Resumen'!$B$5^3/3</x:f>
        <x:v>0.11676712561316593</x:v>
      </x:c>
    </x:row>
    <x:row r="1297">
      <x:c r="A1297" s="89" t="n">
        <x:v>1295</x:v>
      </x:c>
      <x:c r="B1297" s="80" t="n">
        <x:v>0.9386819744245202</x:v>
      </x:c>
      <x:c r="C1297" s="84" t="n">
        <x:f>SQRT('Resumen'!$B$5^3/3)*B1297</x:f>
        <x:v>0.5419482906174461</x:v>
      </x:c>
      <x:c r="D1297" s="84" t="n">
        <x:f>C1297^2-'Resumen'!$B$5^3/3</x:f>
        <x:v>-0.03962538363016149</x:v>
      </x:c>
      <x:c r="E1297" s="85" t="n">
        <x:f>D1297+'Resumen'!$B$5^3/3</x:f>
        <x:v>0.2937079497031718</x:v>
      </x:c>
    </x:row>
    <x:row r="1298">
      <x:c r="A1298" s="89" t="n">
        <x:v>1296</x:v>
      </x:c>
      <x:c r="B1298" s="80" t="n">
        <x:v>-1.7364273933304852</x:v>
      </x:c>
      <x:c r="C1298" s="84" t="n">
        <x:f>SQRT('Resumen'!$B$5^3/3)*B1298</x:f>
        <x:v>-1.0025268229675959</x:v>
      </x:c>
      <x:c r="D1298" s="84" t="n">
        <x:f>C1298^2-'Resumen'!$B$5^3/3</x:f>
        <x:v>0.671726697436168</x:v>
      </x:c>
      <x:c r="E1298" s="85" t="n">
        <x:f>D1298+'Resumen'!$B$5^3/3</x:f>
        <x:v>1.0050600307695012</x:v>
      </x:c>
    </x:row>
    <x:row r="1299">
      <x:c r="A1299" s="89" t="n">
        <x:v>1297</x:v>
      </x:c>
      <x:c r="B1299" s="80" t="n">
        <x:v>0.5118693499792786</x:v>
      </x:c>
      <x:c r="C1299" s="84" t="n">
        <x:f>SQRT('Resumen'!$B$5^3/3)*B1299</x:f>
        <x:v>0.2955279070004552</x:v>
      </x:c>
      <x:c r="D1299" s="84" t="n">
        <x:f>C1299^2-'Resumen'!$B$5^3/3</x:f>
        <x:v>-0.2459965895172636</x:v>
      </x:c>
      <x:c r="E1299" s="85" t="n">
        <x:f>D1299+'Resumen'!$B$5^3/3</x:f>
        <x:v>0.0873367438160697</x:v>
      </x:c>
    </x:row>
    <x:row r="1300">
      <x:c r="A1300" s="89" t="n">
        <x:v>1298</x:v>
      </x:c>
      <x:c r="B1300" s="80" t="n">
        <x:v>-0.8881530383625806</x:v>
      </x:c>
      <x:c r="C1300" s="84" t="n">
        <x:f>SQRT('Resumen'!$B$5^3/3)*B1300</x:f>
        <x:v>-0.5127753957802199</x:v>
      </x:c>
      <x:c r="D1300" s="84" t="n">
        <x:f>C1300^2-'Resumen'!$B$5^3/3</x:f>
        <x:v>-0.07039472681577214</x:v>
      </x:c>
      <x:c r="E1300" s="85" t="n">
        <x:f>D1300+'Resumen'!$B$5^3/3</x:f>
        <x:v>0.2629386065175612</x:v>
      </x:c>
    </x:row>
    <x:row r="1301">
      <x:c r="A1301" s="89" t="n">
        <x:v>1299</x:v>
      </x:c>
      <x:c r="B1301" s="80" t="n">
        <x:v>1.2821778152052976</x:v>
      </x:c>
      <x:c r="C1301" s="84" t="n">
        <x:f>SQRT('Resumen'!$B$5^3/3)*B1301</x:f>
        <x:v>0.7402657067577447</x:v>
      </x:c>
      <x:c r="D1301" s="84" t="n">
        <x:f>C1301^2-'Resumen'!$B$5^3/3</x:f>
        <x:v>0.21465998326820995</x:v>
      </x:c>
      <x:c r="E1301" s="85" t="n">
        <x:f>D1301+'Resumen'!$B$5^3/3</x:f>
        <x:v>0.5479933166015433</x:v>
      </x:c>
    </x:row>
    <x:row r="1302">
      <x:c r="A1302" s="89" t="n">
        <x:v>1300</x:v>
      </x:c>
      <x:c r="B1302" s="80" t="n">
        <x:v>0.3440303368986472</x:v>
      </x:c>
      <x:c r="C1302" s="84" t="n">
        <x:f>SQRT('Resumen'!$B$5^3/3)*B1302</x:f>
        <x:v>0.19862600761783158</x:v>
      </x:c>
      <x:c r="D1302" s="84" t="n">
        <x:f>C1302^2-'Resumen'!$B$5^3/3</x:f>
        <x:v>-0.29388104243113444</x:v>
      </x:c>
      <x:c r="E1302" s="85" t="n">
        <x:f>D1302+'Resumen'!$B$5^3/3</x:f>
        <x:v>0.03945229090219887</x:v>
      </x:c>
    </x:row>
    <x:row r="1303">
      <x:c r="A1303" s="89" t="n">
        <x:v>1301</x:v>
      </x:c>
      <x:c r="B1303" s="80" t="n">
        <x:v>0.11474369073360276</x:v>
      </x:c>
      <x:c r="C1303" s="84" t="n">
        <x:f>SQRT('Resumen'!$B$5^3/3)*B1303</x:f>
        <x:v>0.06624730073285671</x:v>
      </x:c>
      <x:c r="D1303" s="84" t="n">
        <x:f>C1303^2-'Resumen'!$B$5^3/3</x:f>
        <x:v>-0.32894462847894373</x:v>
      </x:c>
      <x:c r="E1303" s="85" t="n">
        <x:f>D1303+'Resumen'!$B$5^3/3</x:f>
        <x:v>0.00438870485438958</x:v>
      </x:c>
    </x:row>
    <x:row r="1304">
      <x:c r="A1304" s="89" t="n">
        <x:v>1302</x:v>
      </x:c>
      <x:c r="B1304" s="80" t="n">
        <x:v>0.5070888194089507</x:v>
      </x:c>
      <x:c r="C1304" s="84" t="n">
        <x:f>SQRT('Resumen'!$B$5^3/3)*B1304</x:f>
        <x:v>0.2927678663888072</x:v>
      </x:c>
      <x:c r="D1304" s="84" t="n">
        <x:f>C1304^2-'Resumen'!$B$5^3/3</x:f>
        <x:v>-0.24762030974347887</x:v>
      </x:c>
      <x:c r="E1304" s="85" t="n">
        <x:f>D1304+'Resumen'!$B$5^3/3</x:f>
        <x:v>0.08571302358985444</x:v>
      </x:c>
    </x:row>
    <x:row r="1305">
      <x:c r="A1305" s="89" t="n">
        <x:v>1303</x:v>
      </x:c>
      <x:c r="B1305" s="80" t="n">
        <x:v>0.5356173972281592</x:v>
      </x:c>
      <x:c r="C1305" s="84" t="n">
        <x:f>SQRT('Resumen'!$B$5^3/3)*B1305</x:f>
        <x:v>0.30923884847232436</x:v>
      </x:c>
      <x:c r="D1305" s="84" t="n">
        <x:f>C1305^2-'Resumen'!$B$5^3/3</x:f>
        <x:v>-0.23770466792884415</x:v>
      </x:c>
      <x:c r="E1305" s="85" t="n">
        <x:f>D1305+'Resumen'!$B$5^3/3</x:f>
        <x:v>0.09562866540448917</x:v>
      </x:c>
    </x:row>
    <x:row r="1306">
      <x:c r="A1306" s="89" t="n">
        <x:v>1304</x:v>
      </x:c>
      <x:c r="B1306" s="80" t="n">
        <x:v>-0.3765089632769686</x:v>
      </x:c>
      <x:c r="C1306" s="84" t="n">
        <x:f>SQRT('Resumen'!$B$5^3/3)*B1306</x:f>
        <x:v>-0.21737755130026473</x:v>
      </x:c>
      <x:c r="D1306" s="84" t="n">
        <x:f>C1306^2-'Resumen'!$B$5^3/3</x:f>
        <x:v>-0.28608033352403406</x:v>
      </x:c>
      <x:c r="E1306" s="85" t="n">
        <x:f>D1306+'Resumen'!$B$5^3/3</x:f>
        <x:v>0.047252999809299256</x:v>
      </x:c>
    </x:row>
    <x:row r="1307">
      <x:c r="A1307" s="89" t="n">
        <x:v>1305</x:v>
      </x:c>
      <x:c r="B1307" s="80" t="n">
        <x:v>1.8440009934879817</x:v>
      </x:c>
      <x:c r="C1307" s="84" t="n">
        <x:f>SQRT('Resumen'!$B$5^3/3)*B1307</x:f>
        <x:v>1.0646344699762236</x:v>
      </x:c>
      <x:c r="D1307" s="84" t="n">
        <x:f>C1307^2-'Resumen'!$B$5^3/3</x:f>
        <x:v>0.8001132213282212</x:v>
      </x:c>
      <x:c r="E1307" s="85" t="n">
        <x:f>D1307+'Resumen'!$B$5^3/3</x:f>
        <x:v>1.1334465546615544</x:v>
      </x:c>
    </x:row>
    <x:row r="1308">
      <x:c r="A1308" s="89" t="n">
        <x:v>1306</x:v>
      </x:c>
      <x:c r="B1308" s="80" t="n">
        <x:v>0.7894087448747235</x:v>
      </x:c>
      <x:c r="C1308" s="84" t="n">
        <x:f>SQRT('Resumen'!$B$5^3/3)*B1308</x:f>
        <x:v>0.45576535135406615</x:v>
      </x:c>
      <x:c r="D1308" s="84" t="n">
        <x:f>C1308^2-'Resumen'!$B$5^3/3</x:f>
        <x:v>-0.12561127783843795</x:v>
      </x:c>
      <x:c r="E1308" s="85" t="n">
        <x:f>D1308+'Resumen'!$B$5^3/3</x:f>
        <x:v>0.20772205549489536</x:v>
      </x:c>
    </x:row>
    <x:row r="1309">
      <x:c r="A1309" s="89" t="n">
        <x:v>1307</x:v>
      </x:c>
      <x:c r="B1309" s="80" t="n">
        <x:v>0.47187404184124454</x:v>
      </x:c>
      <x:c r="C1309" s="84" t="n">
        <x:f>SQRT('Resumen'!$B$5^3/3)*B1309</x:f>
        <x:v>0.27243660508063927</x:v>
      </x:c>
      <x:c r="D1309" s="84" t="n">
        <x:f>C1309^2-'Resumen'!$B$5^3/3</x:f>
        <x:v>-0.2591116295454691</x:v>
      </x:c>
      <x:c r="E1309" s="85" t="n">
        <x:f>D1309+'Resumen'!$B$5^3/3</x:f>
        <x:v>0.07422170378786419</x:v>
      </x:c>
    </x:row>
    <x:row r="1310">
      <x:c r="A1310" s="89" t="n">
        <x:v>1308</x:v>
      </x:c>
      <x:c r="B1310" s="80" t="n">
        <x:v>-0.45644018464755864</x:v>
      </x:c>
      <x:c r="C1310" s="84" t="n">
        <x:f>SQRT('Resumen'!$B$5^3/3)*B1310</x:f>
        <x:v>-0.26352586347523044</x:v>
      </x:c>
      <x:c r="D1310" s="84" t="n">
        <x:f>C1310^2-'Resumen'!$B$5^3/3</x:f>
        <x:v>-0.26388745261296753</x:v>
      </x:c>
      <x:c r="E1310" s="85" t="n">
        <x:f>D1310+'Resumen'!$B$5^3/3</x:f>
        <x:v>0.06944588072036578</x:v>
      </x:c>
    </x:row>
    <x:row r="1311">
      <x:c r="A1311" s="89" t="n">
        <x:v>1309</x:v>
      </x:c>
      <x:c r="B1311" s="80" t="n">
        <x:v>-1.927889405164109</x:v>
      </x:c>
      <x:c r="C1311" s="84" t="n">
        <x:f>SQRT('Resumen'!$B$5^3/3)*B1311</x:f>
        <x:v>-1.1130674670393257</x:v>
      </x:c>
      <x:c r="D1311" s="84" t="n">
        <x:f>C1311^2-'Resumen'!$B$5^3/3</x:f>
        <x:v>0.9055858528480072</x:v>
      </x:c>
      <x:c r="E1311" s="85" t="n">
        <x:f>D1311+'Resumen'!$B$5^3/3</x:f>
        <x:v>1.2389191861813404</x:v>
      </x:c>
    </x:row>
    <x:row r="1312">
      <x:c r="A1312" s="89" t="n">
        <x:v>1310</x:v>
      </x:c>
      <x:c r="B1312" s="80" t="n">
        <x:v>-2.2231678168694913</x:v>
      </x:c>
      <x:c r="C1312" s="84" t="n">
        <x:f>SQRT('Resumen'!$B$5^3/3)*B1312</x:f>
        <x:v>-1.2835465375233133</x:v>
      </x:c>
      <x:c r="D1312" s="84" t="n">
        <x:f>C1312^2-'Resumen'!$B$5^3/3</x:f>
        <x:v>1.314158380654753</x:v>
      </x:c>
      <x:c r="E1312" s="85" t="n">
        <x:f>D1312+'Resumen'!$B$5^3/3</x:f>
        <x:v>1.6474917139880862</x:v>
      </x:c>
    </x:row>
    <x:row r="1313">
      <x:c r="A1313" s="89" t="n">
        <x:v>1311</x:v>
      </x:c>
      <x:c r="B1313" s="80" t="n">
        <x:v>0.5246460852766192</x:v>
      </x:c>
      <x:c r="C1313" s="84" t="n">
        <x:f>SQRT('Resumen'!$B$5^3/3)*B1313</x:f>
        <x:v>0.30290455856373943</x:v>
      </x:c>
      <x:c r="D1313" s="84" t="n">
        <x:f>C1313^2-'Resumen'!$B$5^3/3</x:f>
        <x:v>-0.24158216173463948</x:v>
      </x:c>
      <x:c r="E1313" s="85" t="n">
        <x:f>D1313+'Resumen'!$B$5^3/3</x:f>
        <x:v>0.09175117159869384</x:v>
      </x:c>
    </x:row>
    <x:row r="1314">
      <x:c r="A1314" s="89" t="n">
        <x:v>1312</x:v>
      </x:c>
      <x:c r="B1314" s="80" t="n">
        <x:v>-0.467426744515456</x:v>
      </x:c>
      <x:c r="C1314" s="84" t="n">
        <x:f>SQRT('Resumen'!$B$5^3/3)*B1314</x:f>
        <x:v>-0.26986895677242895</x:v>
      </x:c>
      <x:c r="D1314" s="84" t="n">
        <x:f>C1314^2-'Resumen'!$B$5^3/3</x:f>
        <x:v>-0.2605040795038942</x:v>
      </x:c>
      <x:c r="E1314" s="85" t="n">
        <x:f>D1314+'Resumen'!$B$5^3/3</x:f>
        <x:v>0.07282925382943911</x:v>
      </x:c>
    </x:row>
    <x:row r="1315">
      <x:c r="A1315" s="89" t="n">
        <x:v>1313</x:v>
      </x:c>
      <x:c r="B1315" s="80" t="n">
        <x:v>0.14136787880150134</x:v>
      </x:c>
      <x:c r="C1315" s="84" t="n">
        <x:f>SQRT('Resumen'!$B$5^3/3)*B1315</x:f>
        <x:v>0.08161878288081319</x:v>
      </x:c>
      <x:c r="D1315" s="84" t="n">
        <x:f>C1315^2-'Resumen'!$B$5^3/3</x:f>
        <x:v>-0.326671707614388</x:v>
      </x:c>
      <x:c r="E1315" s="85" t="n">
        <x:f>D1315+'Resumen'!$B$5^3/3</x:f>
        <x:v>0.0066616257189452965</x:v>
      </x:c>
    </x:row>
    <x:row r="1316">
      <x:c r="A1316" s="89" t="n">
        <x:v>1314</x:v>
      </x:c>
      <x:c r="B1316" s="80" t="n">
        <x:v>-1.206039170148633</x:v>
      </x:c>
      <x:c r="C1316" s="84" t="n">
        <x:f>SQRT('Resumen'!$B$5^3/3)*B1316</x:f>
        <x:v>-0.6963070395385461</x:v>
      </x:c>
      <x:c r="D1316" s="84" t="n">
        <x:f>C1316^2-'Resumen'!$B$5^3/3</x:f>
        <x:v>0.1515101599776011</x:v>
      </x:c>
      <x:c r="E1316" s="85" t="n">
        <x:f>D1316+'Resumen'!$B$5^3/3</x:f>
        <x:v>0.4848434933109344</x:v>
      </x:c>
    </x:row>
    <x:row r="1317">
      <x:c r="A1317" s="89" t="n">
        <x:v>1315</x:v>
      </x:c>
      <x:c r="B1317" s="80" t="n">
        <x:v>1.3145862237722752</x:v>
      </x:c>
      <x:c r="C1317" s="84" t="n">
        <x:f>SQRT('Resumen'!$B$5^3/3)*B1317</x:f>
        <x:v>0.7589767101678967</x:v>
      </x:c>
      <x:c r="D1317" s="84" t="n">
        <x:f>C1317^2-'Resumen'!$B$5^3/3</x:f>
        <x:v>0.2427123132439501</x:v>
      </x:c>
      <x:c r="E1317" s="85" t="n">
        <x:f>D1317+'Resumen'!$B$5^3/3</x:f>
        <x:v>0.5760456465772834</x:v>
      </x:c>
    </x:row>
    <x:row r="1318">
      <x:c r="A1318" s="89" t="n">
        <x:v>1316</x:v>
      </x:c>
      <x:c r="B1318" s="80" t="n">
        <x:v>-0.1510976602259108</x:v>
      </x:c>
      <x:c r="C1318" s="84" t="n">
        <x:f>SQRT('Resumen'!$B$5^3/3)*B1318</x:f>
        <x:v>-0.08723627480535222</x:v>
      </x:c>
      <x:c r="D1318" s="84" t="n">
        <x:f>C1318^2-'Resumen'!$B$5^3/3</x:f>
        <x:v>-0.3257231656914184</x:v>
      </x:c>
      <x:c r="E1318" s="85" t="n">
        <x:f>D1318+'Resumen'!$B$5^3/3</x:f>
        <x:v>0.007610167641914911</x:v>
      </x:c>
    </x:row>
    <x:row r="1319">
      <x:c r="A1319" s="89" t="n">
        <x:v>1317</x:v>
      </x:c>
      <x:c r="B1319" s="80" t="n">
        <x:v>1.6711629711862022</x:v>
      </x:c>
      <x:c r="C1319" s="84" t="n">
        <x:f>SQRT('Resumen'!$B$5^3/3)*B1319</x:f>
        <x:v>0.9648463912740886</x:v>
      </x:c>
      <x:c r="D1319" s="84" t="n">
        <x:f>C1319^2-'Resumen'!$B$5^3/3</x:f>
        <x:v>0.5975952254212982</x:v>
      </x:c>
      <x:c r="E1319" s="85" t="n">
        <x:f>D1319+'Resumen'!$B$5^3/3</x:f>
        <x:v>0.9309285587546314</x:v>
      </x:c>
    </x:row>
    <x:row r="1320">
      <x:c r="A1320" s="89" t="n">
        <x:v>1318</x:v>
      </x:c>
      <x:c r="B1320" s="80" t="n">
        <x:v>-0.1364891930637244</x:v>
      </x:c>
      <x:c r="C1320" s="84" t="n">
        <x:f>SQRT('Resumen'!$B$5^3/3)*B1320</x:f>
        <x:v>-0.07880207235681608</x:v>
      </x:c>
      <x:c r="D1320" s="84" t="n">
        <x:f>C1320^2-'Resumen'!$B$5^3/3</x:f>
        <x:v>-0.32712356672560444</x:v>
      </x:c>
      <x:c r="E1320" s="85" t="n">
        <x:f>D1320+'Resumen'!$B$5^3/3</x:f>
        <x:v>0.006209766607728873</x:v>
      </x:c>
    </x:row>
    <x:row r="1321">
      <x:c r="A1321" s="89" t="n">
        <x:v>1319</x:v>
      </x:c>
      <x:c r="B1321" s="80" t="n">
        <x:v>-0.20243078353832783</x:v>
      </x:c>
      <x:c r="C1321" s="84" t="n">
        <x:f>SQRT('Resumen'!$B$5^3/3)*B1321</x:f>
        <x:v>-0.11687346736812043</x:v>
      </x:c>
      <x:c r="D1321" s="84" t="n">
        <x:f>C1321^2-'Resumen'!$B$5^3/3</x:f>
        <x:v>-0.3196739259586862</x:v>
      </x:c>
      <x:c r="E1321" s="85" t="n">
        <x:f>D1321+'Resumen'!$B$5^3/3</x:f>
        <x:v>0.013659407374647103</x:v>
      </x:c>
    </x:row>
    <x:row r="1322">
      <x:c r="A1322" s="89" t="n">
        <x:v>1320</x:v>
      </x:c>
      <x:c r="B1322" s="80" t="n">
        <x:v>-2.527954878966478</x:v>
      </x:c>
      <x:c r="C1322" s="84" t="n">
        <x:f>SQRT('Resumen'!$B$5^3/3)*B1322</x:f>
        <x:v>-1.459515429870524</x:v>
      </x:c>
      <x:c r="D1322" s="84" t="n">
        <x:f>C1322^2-'Resumen'!$B$5^3/3</x:f>
        <x:v>1.796851956696807</x:v>
      </x:c>
      <x:c r="E1322" s="85" t="n">
        <x:f>D1322+'Resumen'!$B$5^3/3</x:f>
        <x:v>2.1301852900301403</x:v>
      </x:c>
    </x:row>
    <x:row r="1323">
      <x:c r="A1323" s="89" t="n">
        <x:v>1321</x:v>
      </x:c>
      <x:c r="B1323" s="80" t="n">
        <x:v>-1.4684640302243295</x:v>
      </x:c>
      <x:c r="C1323" s="84" t="n">
        <x:f>SQRT('Resumen'!$B$5^3/3)*B1323</x:f>
        <x:v>-0.8478181031452994</x:v>
      </x:c>
      <x:c r="D1323" s="84" t="n">
        <x:f>C1323^2-'Resumen'!$B$5^3/3</x:f>
        <x:v>0.3854622026875602</x:v>
      </x:c>
      <x:c r="E1323" s="85" t="n">
        <x:f>D1323+'Resumen'!$B$5^3/3</x:f>
        <x:v>0.7187955360208935</x:v>
      </x:c>
    </x:row>
    <x:row r="1324">
      <x:c r="A1324" s="89" t="n">
        <x:v>1322</x:v>
      </x:c>
      <x:c r="B1324" s="80" t="n">
        <x:v>1.7099260637471507</x:v>
      </x:c>
      <x:c r="C1324" s="84" t="n">
        <x:f>SQRT('Resumen'!$B$5^3/3)*B1324</x:f>
        <x:v>0.9872262731987747</x:v>
      </x:c>
      <x:c r="D1324" s="84" t="n">
        <x:f>C1324^2-'Resumen'!$B$5^3/3</x:f>
        <x:v>0.6412823811606083</x:v>
      </x:c>
      <x:c r="E1324" s="85" t="n">
        <x:f>D1324+'Resumen'!$B$5^3/3</x:f>
        <x:v>0.9746157144939416</x:v>
      </x:c>
    </x:row>
    <x:row r="1325">
      <x:c r="A1325" s="89" t="n">
        <x:v>1323</x:v>
      </x:c>
      <x:c r="B1325" s="80" t="n">
        <x:v>0.6531133506384058</x:v>
      </x:c>
      <x:c r="C1325" s="84" t="n">
        <x:f>SQRT('Resumen'!$B$5^3/3)*B1325</x:f>
        <x:v>0.37707516880242203</x:v>
      </x:c>
      <x:c r="D1325" s="84" t="n">
        <x:f>C1325^2-'Resumen'!$B$5^3/3</x:f>
        <x:v>-0.19114765040595824</x:v>
      </x:c>
      <x:c r="E1325" s="85" t="n">
        <x:f>D1325+'Resumen'!$B$5^3/3</x:f>
        <x:v>0.14218568292737507</x:v>
      </x:c>
    </x:row>
    <x:row r="1326">
      <x:c r="A1326" s="89" t="n">
        <x:v>1324</x:v>
      </x:c>
      <x:c r="B1326" s="80" t="n">
        <x:v>0.620835452755208</x:v>
      </x:c>
      <x:c r="C1326" s="84" t="n">
        <x:f>SQRT('Resumen'!$B$5^3/3)*B1326</x:f>
        <x:v>0.3584395157706825</x:v>
      </x:c>
      <x:c r="D1326" s="84" t="n">
        <x:f>C1326^2-'Resumen'!$B$5^3/3</x:f>
        <x:v>-0.20485444686741197</x:v>
      </x:c>
      <x:c r="E1326" s="85" t="n">
        <x:f>D1326+'Resumen'!$B$5^3/3</x:f>
        <x:v>0.12847888646592134</x:v>
      </x:c>
    </x:row>
    <x:row r="1327">
      <x:c r="A1327" s="89" t="n">
        <x:v>1325</x:v>
      </x:c>
      <x:c r="B1327" s="80" t="n">
        <x:v>0.4250493056003194</x:v>
      </x:c>
      <x:c r="C1327" s="84" t="n">
        <x:f>SQRT('Resumen'!$B$5^3/3)*B1327</x:f>
        <x:v>0.2454023310072079</x:v>
      </x:c>
      <x:c r="D1327" s="84" t="n">
        <x:f>C1327^2-'Resumen'!$B$5^3/3</x:f>
        <x:v>-0.2731110292695621</x:v>
      </x:c>
      <x:c r="E1327" s="85" t="n">
        <x:f>D1327+'Resumen'!$B$5^3/3</x:f>
        <x:v>0.060222304063771215</x:v>
      </x:c>
    </x:row>
    <x:row r="1328">
      <x:c r="A1328" s="89" t="n">
        <x:v>1326</x:v>
      </x:c>
      <x:c r="B1328" s="80" t="n">
        <x:v>-0.3580554731671923</x:v>
      </x:c>
      <x:c r="C1328" s="84" t="n">
        <x:f>SQRT('Resumen'!$B$5^3/3)*B1328</x:f>
        <x:v>-0.20672342381789727</x:v>
      </x:c>
      <x:c r="D1328" s="84" t="n">
        <x:f>C1328^2-'Resumen'!$B$5^3/3</x:f>
        <x:v>-0.29059875937833934</x:v>
      </x:c>
      <x:c r="E1328" s="85" t="n">
        <x:f>D1328+'Resumen'!$B$5^3/3</x:f>
        <x:v>0.04273457395499397</x:v>
      </x:c>
    </x:row>
    <x:row r="1329">
      <x:c r="A1329" s="89" t="n">
        <x:v>1327</x:v>
      </x:c>
      <x:c r="B1329" s="80" t="n">
        <x:v>-0.004161810403925155</x:v>
      </x:c>
      <x:c r="C1329" s="84" t="n">
        <x:f>SQRT('Resumen'!$B$5^3/3)*B1329</x:f>
        <x:v>-0.0024028223570223732</x:v>
      </x:c>
      <x:c r="D1329" s="84" t="n">
        <x:f>C1329^2-'Resumen'!$B$5^3/3</x:f>
        <x:v>-0.3333275597780539</x:v>
      </x:c>
      <x:c r="E1329" s="85" t="n">
        <x:f>D1329+'Resumen'!$B$5^3/3</x:f>
        <x:v>0.0000057735552794202505</x:v>
      </x:c>
    </x:row>
    <x:row r="1330">
      <x:c r="A1330" s="89" t="n">
        <x:v>1328</x:v>
      </x:c>
      <x:c r="B1330" s="80" t="n">
        <x:v>0.2987187932300495</x:v>
      </x:c>
      <x:c r="C1330" s="84" t="n">
        <x:f>SQRT('Resumen'!$B$5^3/3)*B1330</x:f>
        <x:v>0.17246537568336923</x:v>
      </x:c>
      <x:c r="D1330" s="84" t="n">
        <x:f>C1330^2-'Resumen'!$B$5^3/3</x:f>
        <x:v>-0.30358902752372763</x:v>
      </x:c>
      <x:c r="E1330" s="85" t="n">
        <x:f>D1330+'Resumen'!$B$5^3/3</x:f>
        <x:v>0.029744305809605687</x:v>
      </x:c>
    </x:row>
    <x:row r="1331">
      <x:c r="A1331" s="89" t="n">
        <x:v>1329</x:v>
      </x:c>
      <x:c r="B1331" s="80" t="n">
        <x:v>-1.6838372404838733</x:v>
      </x:c>
      <x:c r="C1331" s="84" t="n">
        <x:f>SQRT('Resumen'!$B$5^3/3)*B1331</x:f>
        <x:v>-0.9721638840648807</x:v>
      </x:c>
      <x:c r="D1331" s="84" t="n">
        <x:f>C1331^2-'Resumen'!$B$5^3/3</x:f>
        <x:v>0.6117692841467817</x:v>
      </x:c>
      <x:c r="E1331" s="85" t="n">
        <x:f>D1331+'Resumen'!$B$5^3/3</x:f>
        <x:v>0.9451026174801149</x:v>
      </x:c>
    </x:row>
    <x:row r="1332">
      <x:c r="A1332" s="89" t="n">
        <x:v>1330</x:v>
      </x:c>
      <x:c r="B1332" s="80" t="n">
        <x:v>0.7753061158099295</x:v>
      </x:c>
      <x:c r="C1332" s="84" t="n">
        <x:f>SQRT('Resumen'!$B$5^3/3)*B1332</x:f>
        <x:v>0.44762319466722594</x:v>
      </x:c>
      <x:c r="D1332" s="84" t="n">
        <x:f>C1332^2-'Resumen'!$B$5^3/3</x:f>
        <x:v>-0.13296680892924007</x:v>
      </x:c>
      <x:c r="E1332" s="85" t="n">
        <x:f>D1332+'Resumen'!$B$5^3/3</x:f>
        <x:v>0.20036652440409325</x:v>
      </x:c>
    </x:row>
    <x:row r="1333">
      <x:c r="A1333" s="89" t="n">
        <x:v>1331</x:v>
      </x:c>
      <x:c r="B1333" s="80" t="n">
        <x:v>-0.9354413857853826</x:v>
      </x:c>
      <x:c r="C1333" s="84" t="n">
        <x:f>SQRT('Resumen'!$B$5^3/3)*B1333</x:f>
        <x:v>-0.5400773358943072</x:v>
      </x:c>
      <x:c r="D1333" s="84" t="n">
        <x:f>C1333^2-'Resumen'!$B$5^3/3</x:f>
        <x:v>-0.041649804586641026</x:v>
      </x:c>
      <x:c r="E1333" s="85" t="n">
        <x:f>D1333+'Resumen'!$B$5^3/3</x:f>
        <x:v>0.2916835287466923</x:v>
      </x:c>
    </x:row>
    <x:row r="1334">
      <x:c r="A1334" s="89" t="n">
        <x:v>1332</x:v>
      </x:c>
      <x:c r="B1334" s="80" t="n">
        <x:v>0.3126547102049082</x:v>
      </x:c>
      <x:c r="C1334" s="84" t="n">
        <x:f>SQRT('Resumen'!$B$5^3/3)*B1334</x:f>
        <x:v>0.18051128110020817</x:v>
      </x:c>
      <x:c r="D1334" s="84" t="n">
        <x:f>C1334^2-'Resumen'!$B$5^3/3</x:f>
        <x:v>-0.3007490107288949</x:v>
      </x:c>
      <x:c r="E1334" s="85" t="n">
        <x:f>D1334+'Resumen'!$B$5^3/3</x:f>
        <x:v>0.03258432260443839</x:v>
      </x:c>
    </x:row>
    <x:row r="1335">
      <x:c r="A1335" s="89" t="n">
        <x:v>1333</x:v>
      </x:c>
      <x:c r="B1335" s="80" t="n">
        <x:v>-0.6794769572440412</x:v>
      </x:c>
      <x:c r="C1335" s="84" t="n">
        <x:f>SQRT('Resumen'!$B$5^3/3)*B1335</x:f>
        <x:v>-0.392296204172995</x:v>
      </x:c>
      <x:c r="D1335" s="84" t="n">
        <x:f>C1335^2-'Resumen'!$B$5^3/3</x:f>
        <x:v>-0.17943702152479316</x:v>
      </x:c>
      <x:c r="E1335" s="85" t="n">
        <x:f>D1335+'Resumen'!$B$5^3/3</x:f>
        <x:v>0.15389631180854016</x:v>
      </x:c>
    </x:row>
    <x:row r="1336">
      <x:c r="A1336" s="89" t="n">
        <x:v>1334</x:v>
      </x:c>
      <x:c r="B1336" s="80" t="n">
        <x:v>0.21677011515540331</x:v>
      </x:c>
      <x:c r="C1336" s="84" t="n">
        <x:f>SQRT('Resumen'!$B$5^3/3)*B1336</x:f>
        <x:v>0.12515228433723827</x:v>
      </x:c>
      <x:c r="D1336" s="84" t="n">
        <x:f>C1336^2-'Resumen'!$B$5^3/3</x:f>
        <x:v>-0.3176702390585044</x:v>
      </x:c>
      <x:c r="E1336" s="85" t="n">
        <x:f>D1336+'Resumen'!$B$5^3/3</x:f>
        <x:v>0.015663094274828926</x:v>
      </x:c>
    </x:row>
    <x:row r="1337">
      <x:c r="A1337" s="89" t="n">
        <x:v>1335</x:v>
      </x:c>
      <x:c r="B1337" s="80" t="n">
        <x:v>0.4503440954364585</x:v>
      </x:c>
      <x:c r="C1337" s="84" t="n">
        <x:f>SQRT('Resumen'!$B$5^3/3)*B1337</x:f>
        <x:v>0.2600062847281978</x:v>
      </x:c>
      <x:c r="D1337" s="84" t="n">
        <x:f>C1337^2-'Resumen'!$B$5^3/3</x:f>
        <x:v>-0.2657300652351726</x:v>
      </x:c>
      <x:c r="E1337" s="85" t="n">
        <x:f>D1337+'Resumen'!$B$5^3/3</x:f>
        <x:v>0.0676032680981607</x:v>
      </x:c>
    </x:row>
    <x:row r="1338">
      <x:c r="A1338" s="89" t="n">
        <x:v>1336</x:v>
      </x:c>
      <x:c r="B1338" s="80" t="n">
        <x:v>0.5677348201825055</x:v>
      </x:c>
      <x:c r="C1338" s="84" t="n">
        <x:f>SQRT('Resumen'!$B$5^3/3)*B1338</x:f>
        <x:v>0.3277818512606933</x:v>
      </x:c>
      <x:c r="D1338" s="84" t="n">
        <x:f>C1338^2-'Resumen'!$B$5^3/3</x:f>
        <x:v>-0.22589239131744604</x:v>
      </x:c>
      <x:c r="E1338" s="85" t="n">
        <x:f>D1338+'Resumen'!$B$5^3/3</x:f>
        <x:v>0.10744094201588728</x:v>
      </x:c>
    </x:row>
    <x:row r="1339">
      <x:c r="A1339" s="89" t="n">
        <x:v>1337</x:v>
      </x:c>
      <x:c r="B1339" s="80" t="n">
        <x:v>-1.6117643299762607</x:v>
      </x:c>
      <x:c r="C1339" s="84" t="n">
        <x:f>SQRT('Resumen'!$B$5^3/3)*B1339</x:f>
        <x:v>-0.9305525697820309</x:v>
      </x:c>
      <x:c r="D1339" s="84" t="n">
        <x:f>C1339^2-'Resumen'!$B$5^3/3</x:f>
        <x:v>0.5325947517946081</x:v>
      </x:c>
      <x:c r="E1339" s="85" t="n">
        <x:f>D1339+'Resumen'!$B$5^3/3</x:f>
        <x:v>0.8659280851279414</x:v>
      </x:c>
    </x:row>
    <x:row r="1340">
      <x:c r="A1340" s="89" t="n">
        <x:v>1338</x:v>
      </x:c>
      <x:c r="B1340" s="80" t="n">
        <x:v>1.4390336994493738</x:v>
      </x:c>
      <x:c r="C1340" s="84" t="n">
        <x:f>SQRT('Resumen'!$B$5^3/3)*B1340</x:f>
        <x:v>0.8308264937500389</x:v>
      </x:c>
      <x:c r="D1340" s="84" t="n">
        <x:f>C1340^2-'Resumen'!$B$5^3/3</x:f>
        <x:v>0.3569393293836502</x:v>
      </x:c>
      <x:c r="E1340" s="85" t="n">
        <x:f>D1340+'Resumen'!$B$5^3/3</x:f>
        <x:v>0.6902726627169835</x:v>
      </x:c>
    </x:row>
    <x:row r="1341">
      <x:c r="A1341" s="89" t="n">
        <x:v>1339</x:v>
      </x:c>
      <x:c r="B1341" s="80" t="n">
        <x:v>-1.5561942728870088</x:v>
      </x:c>
      <x:c r="C1341" s="84" t="n">
        <x:f>SQRT('Resumen'!$B$5^3/3)*B1341</x:f>
        <x:v>-0.8984691823626685</x:v>
      </x:c>
      <x:c r="D1341" s="84" t="n">
        <x:f>C1341^2-'Resumen'!$B$5^3/3</x:f>
        <x:v>0.47391353832210875</x:v>
      </x:c>
      <x:c r="E1341" s="85" t="n">
        <x:f>D1341+'Resumen'!$B$5^3/3</x:f>
        <x:v>0.8072468716554421</x:v>
      </x:c>
    </x:row>
    <x:row r="1342">
      <x:c r="A1342" s="89" t="n">
        <x:v>1340</x:v>
      </x:c>
      <x:c r="B1342" s="80" t="n">
        <x:v>-0.8587521478843848</x:v>
      </x:c>
      <x:c r="C1342" s="84" t="n">
        <x:f>SQRT('Resumen'!$B$5^3/3)*B1342</x:f>
        <x:v>-0.49580078374821884</x:v>
      </x:c>
      <x:c r="D1342" s="84" t="n">
        <x:f>C1342^2-'Resumen'!$B$5^3/3</x:f>
        <x:v>-0.08751491616798526</x:v>
      </x:c>
      <x:c r="E1342" s="85" t="n">
        <x:f>D1342+'Resumen'!$B$5^3/3</x:f>
        <x:v>0.24581841716534805</x:v>
      </x:c>
    </x:row>
    <x:row r="1343">
      <x:c r="A1343" s="89" t="n">
        <x:v>1341</x:v>
      </x:c>
      <x:c r="B1343" s="80" t="n">
        <x:v>-0.8988391697267316</x:v>
      </x:c>
      <x:c r="C1343" s="84" t="n">
        <x:f>SQRT('Resumen'!$B$5^3/3)*B1343</x:f>
        <x:v>-0.5189450365999082</x:v>
      </x:c>
      <x:c r="D1343" s="84" t="n">
        <x:f>C1343^2-'Resumen'!$B$5^3/3</x:f>
        <x:v>-0.06402938232165323</x:v>
      </x:c>
      <x:c r="E1343" s="85" t="n">
        <x:f>D1343+'Resumen'!$B$5^3/3</x:f>
        <x:v>0.2693039510116801</x:v>
      </x:c>
    </x:row>
    <x:row r="1344">
      <x:c r="A1344" s="89" t="n">
        <x:v>1342</x:v>
      </x:c>
      <x:c r="B1344" s="80" t="n">
        <x:v>-0.8638548679624902</x:v>
      </x:c>
      <x:c r="C1344" s="84" t="n">
        <x:f>SQRT('Resumen'!$B$5^3/3)*B1344</x:f>
        <x:v>-0.49874684055891233</x:v>
      </x:c>
      <x:c r="D1344" s="84" t="n">
        <x:f>C1344^2-'Resumen'!$B$5^3/3</x:f>
        <x:v>-0.0845849223658362</x:v>
      </x:c>
      <x:c r="E1344" s="85" t="n">
        <x:f>D1344+'Resumen'!$B$5^3/3</x:f>
        <x:v>0.2487484109674971</x:v>
      </x:c>
    </x:row>
    <x:row r="1345">
      <x:c r="A1345" s="89" t="n">
        <x:v>1343</x:v>
      </x:c>
      <x:c r="B1345" s="80" t="n">
        <x:v>1.1146679167842095</x:v>
      </x:c>
      <x:c r="C1345" s="84" t="n">
        <x:f>SQRT('Resumen'!$B$5^3/3)*B1345</x:f>
        <x:v>0.6435538218124027</x:v>
      </x:c>
      <x:c r="D1345" s="84" t="n">
        <x:f>C1345^2-'Resumen'!$B$5^3/3</x:f>
        <x:v>0.08082818823601651</x:v>
      </x:c>
      <x:c r="E1345" s="85" t="n">
        <x:f>D1345+'Resumen'!$B$5^3/3</x:f>
        <x:v>0.4141615215693498</x:v>
      </x:c>
    </x:row>
    <x:row r="1346">
      <x:c r="A1346" s="89" t="n">
        <x:v>1344</x:v>
      </x:c>
      <x:c r="B1346" s="80" t="n">
        <x:v>0.36218384052219454</x:v>
      </x:c>
      <x:c r="C1346" s="84" t="n">
        <x:f>SQRT('Resumen'!$B$5^3/3)*B1346</x:f>
        <x:v>0.20910693782162149</x:v>
      </x:c>
      <x:c r="D1346" s="84" t="n">
        <x:f>C1346^2-'Resumen'!$B$5^3/3</x:f>
        <x:v>-0.28960762188819783</x:v>
      </x:c>
      <x:c r="E1346" s="85" t="n">
        <x:f>D1346+'Resumen'!$B$5^3/3</x:f>
        <x:v>0.043725711445135484</x:v>
      </x:c>
    </x:row>
    <x:row r="1347">
      <x:c r="A1347" s="89" t="n">
        <x:v>1345</x:v>
      </x:c>
      <x:c r="B1347" s="80" t="n">
        <x:v>0.5318421596248942</x:v>
      </x:c>
      <x:c r="C1347" s="84" t="n">
        <x:f>SQRT('Resumen'!$B$5^3/3)*B1347</x:f>
        <x:v>0.3070592140258246</x:v>
      </x:c>
      <x:c r="D1347" s="84" t="n">
        <x:f>C1347^2-'Resumen'!$B$5^3/3</x:f>
        <x:v>-0.23904797241517617</x:v>
      </x:c>
      <x:c r="E1347" s="85" t="n">
        <x:f>D1347+'Resumen'!$B$5^3/3</x:f>
        <x:v>0.09428536091815715</x:v>
      </x:c>
    </x:row>
    <x:row r="1348">
      <x:c r="A1348" s="89" t="n">
        <x:v>1346</x:v>
      </x:c>
      <x:c r="B1348" s="80" t="n">
        <x:v>-0.3490480793675977</x:v>
      </x:c>
      <x:c r="C1348" s="84" t="n">
        <x:f>SQRT('Resumen'!$B$5^3/3)*B1348</x:f>
        <x:v>-0.20152300258300437</x:v>
      </x:c>
      <x:c r="D1348" s="84" t="n">
        <x:f>C1348^2-'Resumen'!$B$5^3/3</x:f>
        <x:v>-0.2927218127632637</x:v>
      </x:c>
      <x:c r="E1348" s="85" t="n">
        <x:f>D1348+'Resumen'!$B$5^3/3</x:f>
        <x:v>0.040611520570069615</x:v>
      </x:c>
    </x:row>
    <x:row r="1349">
      <x:c r="A1349" s="89" t="n">
        <x:v>1347</x:v>
      </x:c>
      <x:c r="B1349" s="80" t="n">
        <x:v>-0.33730778774646814</x:v>
      </x:c>
      <x:c r="C1349" s="84" t="n">
        <x:f>SQRT('Resumen'!$B$5^3/3)*B1349</x:f>
        <x:v>-0.19474474205518053</x:v>
      </x:c>
      <x:c r="D1349" s="84" t="n">
        <x:f>C1349^2-'Resumen'!$B$5^3/3</x:f>
        <x:v>-0.2954078187751945</x:v>
      </x:c>
      <x:c r="E1349" s="85" t="n">
        <x:f>D1349+'Resumen'!$B$5^3/3</x:f>
        <x:v>0.037925514558138806</x:v>
      </x:c>
    </x:row>
    <x:row r="1350">
      <x:c r="A1350" s="89" t="n">
        <x:v>1348</x:v>
      </x:c>
      <x:c r="B1350" s="80" t="n">
        <x:v>-0.0026752480053697804</x:v>
      </x:c>
      <x:c r="C1350" s="84" t="n">
        <x:f>SQRT('Resumen'!$B$5^3/3)*B1350</x:f>
        <x:v>-0.001544555156049252</x:v>
      </x:c>
      <x:c r="D1350" s="84" t="n">
        <x:f>C1350^2-'Resumen'!$B$5^3/3</x:f>
        <x:v>-0.3333309476827032</x:v>
      </x:c>
      <x:c r="E1350" s="85" t="n">
        <x:f>D1350+'Resumen'!$B$5^3/3</x:f>
        <x:v>0.00000238565063009899</x:v>
      </x:c>
    </x:row>
    <x:row r="1351">
      <x:c r="A1351" s="89" t="n">
        <x:v>1349</x:v>
      </x:c>
      <x:c r="B1351" s="80" t="n">
        <x:v>-1.2641709252024185</x:v>
      </x:c>
      <x:c r="C1351" s="84" t="n">
        <x:f>SQRT('Resumen'!$B$5^3/3)*B1351</x:f>
        <x:v>-0.7298694239673145</x:v>
      </x:c>
      <x:c r="D1351" s="84" t="n">
        <x:f>C1351^2-'Resumen'!$B$5^3/3</x:f>
        <x:v>0.19937604270904613</x:v>
      </x:c>
      <x:c r="E1351" s="85" t="n">
        <x:f>D1351+'Resumen'!$B$5^3/3</x:f>
        <x:v>0.5327093760423794</x:v>
      </x:c>
    </x:row>
    <x:row r="1352">
      <x:c r="A1352" s="89" t="n">
        <x:v>1350</x:v>
      </x:c>
      <x:c r="B1352" s="80" t="n">
        <x:v>-0.22776860416922146</x:v>
      </x:c>
      <x:c r="C1352" s="84" t="n">
        <x:f>SQRT('Resumen'!$B$5^3/3)*B1352</x:f>
        <x:v>-0.13150226493004533</x:v>
      </x:c>
      <x:c r="D1352" s="84" t="n">
        <x:f>C1352^2-'Resumen'!$B$5^3/3</x:f>
        <x:v>-0.3160404876516015</x:v>
      </x:c>
      <x:c r="E1352" s="85" t="n">
        <x:f>D1352+'Resumen'!$B$5^3/3</x:f>
        <x:v>0.01729284568173184</x:v>
      </x:c>
    </x:row>
    <x:row r="1353">
      <x:c r="A1353" s="89" t="n">
        <x:v>1351</x:v>
      </x:c>
      <x:c r="B1353" s="80" t="n">
        <x:v>0.22587061197697453</x:v>
      </x:c>
      <x:c r="C1353" s="84" t="n">
        <x:f>SQRT('Resumen'!$B$5^3/3)*B1353</x:f>
        <x:v>0.13040645862693173</x:v>
      </x:c>
      <x:c r="D1353" s="84" t="n">
        <x:f>C1353^2-'Resumen'!$B$5^3/3</x:f>
        <x:v>-0.31632748888171563</x:v>
      </x:c>
      <x:c r="E1353" s="85" t="n">
        <x:f>D1353+'Resumen'!$B$5^3/3</x:f>
        <x:v>0.01700584445161768</x:v>
      </x:c>
    </x:row>
    <x:row r="1354">
      <x:c r="A1354" s="89" t="n">
        <x:v>1352</x:v>
      </x:c>
      <x:c r="B1354" s="80" t="n">
        <x:v>0.7423479576079057</x:v>
      </x:c>
      <x:c r="C1354" s="84" t="n">
        <x:f>SQRT('Resumen'!$B$5^3/3)*B1354</x:f>
        <x:v>0.42859479315729326</x:v>
      </x:c>
      <x:c r="D1354" s="84" t="n">
        <x:f>C1354^2-'Resumen'!$B$5^3/3</x:f>
        <x:v>-0.1496398366117903</x:v>
      </x:c>
      <x:c r="E1354" s="85" t="n">
        <x:f>D1354+'Resumen'!$B$5^3/3</x:f>
        <x:v>0.183693496721543</x:v>
      </x:c>
    </x:row>
    <x:row r="1355">
      <x:c r="A1355" s="89" t="n">
        <x:v>1353</x:v>
      </x:c>
      <x:c r="B1355" s="80" t="n">
        <x:v>0.9331935867185797</x:v>
      </x:c>
      <x:c r="C1355" s="84" t="n">
        <x:f>SQRT('Resumen'!$B$5^3/3)*B1355</x:f>
        <x:v>0.5387795684980043</x:v>
      </x:c>
      <x:c r="D1355" s="84" t="n">
        <x:f>C1355^2-'Resumen'!$B$5^3/3</x:f>
        <x:v>-0.043049909902437566</x:v>
      </x:c>
      <x:c r="E1355" s="85" t="n">
        <x:f>D1355+'Resumen'!$B$5^3/3</x:f>
        <x:v>0.29028342343089575</x:v>
      </x:c>
    </x:row>
    <x:row r="1356">
      <x:c r="A1356" s="89" t="n">
        <x:v>1354</x:v>
      </x:c>
      <x:c r="B1356" s="80" t="n">
        <x:v>-0.040444901777266784</x:v>
      </x:c>
      <x:c r="C1356" s="84" t="n">
        <x:f>SQRT('Resumen'!$B$5^3/3)*B1356</x:f>
        <x:v>-0.02335087492845295</x:v>
      </x:c>
      <x:c r="D1356" s="84" t="n">
        <x:f>C1356^2-'Resumen'!$B$5^3/3</x:f>
        <x:v>-0.33278806997340904</x:v>
      </x:c>
      <x:c r="E1356" s="85" t="n">
        <x:f>D1356+'Resumen'!$B$5^3/3</x:f>
        <x:v>0.0005452633599242751</x:v>
      </x:c>
    </x:row>
    <x:row r="1357">
      <x:c r="A1357" s="89" t="n">
        <x:v>1355</x:v>
      </x:c>
      <x:c r="B1357" s="80" t="n">
        <x:v>-0.6594913337565935</x:v>
      </x:c>
      <x:c r="C1357" s="84" t="n">
        <x:f>SQRT('Resumen'!$B$5^3/3)*B1357</x:f>
        <x:v>-0.3807574990725946</x:v>
      </x:c>
      <x:c r="D1357" s="84" t="n">
        <x:f>C1357^2-'Resumen'!$B$5^3/3</x:f>
        <x:v>-0.18835706023331644</x:v>
      </x:c>
      <x:c r="E1357" s="85" t="n">
        <x:f>D1357+'Resumen'!$B$5^3/3</x:f>
        <x:v>0.14497627310001687</x:v>
      </x:c>
    </x:row>
    <x:row r="1358">
      <x:c r="A1358" s="89" t="n">
        <x:v>1356</x:v>
      </x:c>
      <x:c r="B1358" s="80" t="n">
        <x:v>1.4037229323817204</x:v>
      </x:c>
      <x:c r="C1358" s="84" t="n">
        <x:f>SQRT('Resumen'!$B$5^3/3)*B1358</x:f>
        <x:v>0.8104398128782371</x:v>
      </x:c>
      <x:c r="D1358" s="84" t="n">
        <x:f>C1358^2-'Resumen'!$B$5^3/3</x:f>
        <x:v>0.32347935696477864</x:v>
      </x:c>
      <x:c r="E1358" s="85" t="n">
        <x:f>D1358+'Resumen'!$B$5^3/3</x:f>
        <x:v>0.656812690298112</x:v>
      </x:c>
    </x:row>
    <x:row r="1359">
      <x:c r="A1359" s="89" t="n">
        <x:v>1357</x:v>
      </x:c>
      <x:c r="B1359" s="80" t="n">
        <x:v>0.6708752599068655</x:v>
      </x:c>
      <x:c r="C1359" s="84" t="n">
        <x:f>SQRT('Resumen'!$B$5^3/3)*B1359</x:f>
        <x:v>0.3873300118998889</x:v>
      </x:c>
      <x:c r="D1359" s="84" t="n">
        <x:f>C1359^2-'Resumen'!$B$5^3/3</x:f>
        <x:v>-0.18330879521496524</x:v>
      </x:c>
      <x:c r="E1359" s="85" t="n">
        <x:f>D1359+'Resumen'!$B$5^3/3</x:f>
        <x:v>0.15002453811836808</x:v>
      </x:c>
    </x:row>
    <x:row r="1360">
      <x:c r="A1360" s="89" t="n">
        <x:v>1358</x:v>
      </x:c>
      <x:c r="B1360" s="80" t="n">
        <x:v>0.9563740128869745</x:v>
      </x:c>
      <x:c r="C1360" s="84" t="n">
        <x:f>SQRT('Resumen'!$B$5^3/3)*B1360</x:f>
        <x:v>0.5521627937862573</x:v>
      </x:c>
      <x:c r="D1360" s="84" t="n">
        <x:f>C1360^2-'Resumen'!$B$5^3/3</x:f>
        <x:v>-0.02844958249148838</x:v>
      </x:c>
      <x:c r="E1360" s="85" t="n">
        <x:f>D1360+'Resumen'!$B$5^3/3</x:f>
        <x:v>0.30488375084184494</x:v>
      </x:c>
    </x:row>
    <x:row r="1361">
      <x:c r="A1361" s="89" t="n">
        <x:v>1359</x:v>
      </x:c>
      <x:c r="B1361" s="80" t="n">
        <x:v>-1.3009965143237596</x:v>
      </x:c>
      <x:c r="C1361" s="84" t="n">
        <x:f>SQRT('Resumen'!$B$5^3/3)*B1361</x:f>
        <x:v>-0.7511306877595874</x:v>
      </x:c>
      <x:c r="D1361" s="84" t="n">
        <x:f>C1361^2-'Resumen'!$B$5^3/3</x:f>
        <x:v>0.2308639767608574</x:v>
      </x:c>
      <x:c r="E1361" s="85" t="n">
        <x:f>D1361+'Resumen'!$B$5^3/3</x:f>
        <x:v>0.5641973100941907</x:v>
      </x:c>
    </x:row>
    <x:row r="1362">
      <x:c r="A1362" s="89" t="n">
        <x:v>1360</x:v>
      </x:c>
      <x:c r="B1362" s="80" t="n">
        <x:v>-0.6438143095330645</x:v>
      </x:c>
      <x:c r="C1362" s="84" t="n">
        <x:f>SQRT('Resumen'!$B$5^3/3)*B1362</x:f>
        <x:v>-0.37170636491704784</x:v>
      </x:c>
      <x:c r="D1362" s="84" t="n">
        <x:f>C1362^2-'Resumen'!$B$5^3/3</x:f>
        <x:v>-0.19516771161348778</x:v>
      </x:c>
      <x:c r="E1362" s="85" t="n">
        <x:f>D1362+'Resumen'!$B$5^3/3</x:f>
        <x:v>0.13816562171984553</x:v>
      </x:c>
    </x:row>
    <x:row r="1363">
      <x:c r="A1363" s="89" t="n">
        <x:v>1361</x:v>
      </x:c>
      <x:c r="B1363" s="80" t="n">
        <x:v>-1.0242944172719577</x:v>
      </x:c>
      <x:c r="C1363" s="84" t="n">
        <x:f>SQRT('Resumen'!$B$5^3/3)*B1363</x:f>
        <x:v>-0.5913766575413956</x:v>
      </x:c>
      <x:c r="D1363" s="84" t="n">
        <x:f>C1363^2-'Resumen'!$B$5^3/3</x:f>
        <x:v>0.01639301775149976</x:v>
      </x:c>
      <x:c r="E1363" s="85" t="n">
        <x:f>D1363+'Resumen'!$B$5^3/3</x:f>
        <x:v>0.3497263510848331</x:v>
      </x:c>
    </x:row>
    <x:row r="1364">
      <x:c r="A1364" s="89" t="n">
        <x:v>1362</x:v>
      </x:c>
      <x:c r="B1364" s="80" t="n">
        <x:v>0.2080869468776524</x:v>
      </x:c>
      <x:c r="C1364" s="84" t="n">
        <x:f>SQRT('Resumen'!$B$5^3/3)*B1364</x:f>
        <x:v>0.12013905479465996</x:v>
      </x:c>
      <x:c r="D1364" s="84" t="n">
        <x:f>C1364^2-'Resumen'!$B$5^3/3</x:f>
        <x:v>-0.318899940846379</x:v>
      </x:c>
      <x:c r="E1364" s="85" t="n">
        <x:f>D1364+'Resumen'!$B$5^3/3</x:f>
        <x:v>0.0144333924869543</x:v>
      </x:c>
    </x:row>
    <x:row r="1365">
      <x:c r="A1365" s="89" t="n">
        <x:v>1363</x:v>
      </x:c>
      <x:c r="B1365" s="80" t="n">
        <x:v>1.5026029196193686</x:v>
      </x:c>
      <x:c r="C1365" s="84" t="n">
        <x:f>SQRT('Resumen'!$B$5^3/3)*B1365</x:f>
        <x:v>0.8675282001273601</x:v>
      </x:c>
      <x:c r="D1365" s="84" t="n">
        <x:f>C1365^2-'Resumen'!$B$5^3/3</x:f>
        <x:v>0.41927184468288364</x:v>
      </x:c>
      <x:c r="E1365" s="85" t="n">
        <x:f>D1365+'Resumen'!$B$5^3/3</x:f>
        <x:v>0.752605178016217</x:v>
      </x:c>
    </x:row>
    <x:row r="1366">
      <x:c r="A1366" s="89" t="n">
        <x:v>1364</x:v>
      </x:c>
      <x:c r="B1366" s="80" t="n">
        <x:v>-0.3308890058369044</x:v>
      </x:c>
      <x:c r="C1366" s="84" t="n">
        <x:f>SQRT('Resumen'!$B$5^3/3)*B1366</x:f>
        <x:v>-0.1910388565918244</x:v>
      </x:c>
      <x:c r="D1366" s="84" t="n">
        <x:f>C1366^2-'Resumen'!$B$5^3/3</x:f>
        <x:v>-0.2968374886054217</x:v>
      </x:c>
      <x:c r="E1366" s="85" t="n">
        <x:f>D1366+'Resumen'!$B$5^3/3</x:f>
        <x:v>0.03649584472791162</x:v>
      </x:c>
    </x:row>
    <x:row r="1367">
      <x:c r="A1367" s="89" t="n">
        <x:v>1365</x:v>
      </x:c>
      <x:c r="B1367" s="80" t="n">
        <x:v>0.29790782353505835</x:v>
      </x:c>
      <x:c r="C1367" s="84" t="n">
        <x:f>SQRT('Resumen'!$B$5^3/3)*B1367</x:f>
        <x:v>0.17199716211166147</x:v>
      </x:c>
      <x:c r="D1367" s="84" t="n">
        <x:f>C1367^2-'Resumen'!$B$5^3/3</x:f>
        <x:v>-0.30375030955886817</x:v>
      </x:c>
      <x:c r="E1367" s="85" t="n">
        <x:f>D1367+'Resumen'!$B$5^3/3</x:f>
        <x:v>0.029583023774465145</x:v>
      </x:c>
    </x:row>
    <x:row r="1368">
      <x:c r="A1368" s="89" t="n">
        <x:v>1366</x:v>
      </x:c>
      <x:c r="B1368" s="80" t="n">
        <x:v>0.9151091042356959</x:v>
      </x:c>
      <x:c r="C1368" s="84" t="n">
        <x:f>SQRT('Resumen'!$B$5^3/3)*B1368</x:f>
        <x:v>0.5283384876683563</x:v>
      </x:c>
      <x:c r="D1368" s="84" t="n">
        <x:f>C1368^2-'Resumen'!$B$5^3/3</x:f>
        <x:v>-0.05419177578164741</x:v>
      </x:c>
      <x:c r="E1368" s="85" t="n">
        <x:f>D1368+'Resumen'!$B$5^3/3</x:f>
        <x:v>0.2791415575516859</x:v>
      </x:c>
    </x:row>
    <x:row r="1369">
      <x:c r="A1369" s="89" t="n">
        <x:v>1367</x:v>
      </x:c>
      <x:c r="B1369" s="80" t="n">
        <x:v>-1.1721324738434853</x:v>
      </x:c>
      <x:c r="C1369" s="84" t="n">
        <x:f>SQRT('Resumen'!$B$5^3/3)*B1369</x:f>
        <x:v>-0.6767309992994381</x:v>
      </x:c>
      <x:c r="D1369" s="84" t="n">
        <x:f>C1369^2-'Resumen'!$B$5^3/3</x:f>
        <x:v>0.12463151207948281</x:v>
      </x:c>
      <x:c r="E1369" s="85" t="n">
        <x:f>D1369+'Resumen'!$B$5^3/3</x:f>
        <x:v>0.4579648454128161</x:v>
      </x:c>
    </x:row>
    <x:row r="1370">
      <x:c r="A1370" s="89" t="n">
        <x:v>1368</x:v>
      </x:c>
      <x:c r="B1370" s="80" t="n">
        <x:v>-1.1684310219025071</x:v>
      </x:c>
      <x:c r="C1370" s="84" t="n">
        <x:f>SQRT('Resumen'!$B$5^3/3)*B1370</x:f>
        <x:v>-0.674593965024922</x:v>
      </x:c>
      <x:c r="D1370" s="84" t="n">
        <x:f>C1370^2-'Resumen'!$B$5^3/3</x:f>
        <x:v>0.12174368431471233</x:v>
      </x:c>
      <x:c r="E1370" s="85" t="n">
        <x:f>D1370+'Resumen'!$B$5^3/3</x:f>
        <x:v>0.45507701764804565</x:v>
      </x:c>
    </x:row>
    <x:row r="1371">
      <x:c r="A1371" s="89" t="n">
        <x:v>1369</x:v>
      </x:c>
      <x:c r="B1371" s="80" t="n">
        <x:v>0.0786992155083589</x:v>
      </x:c>
      <x:c r="C1371" s="84" t="n">
        <x:f>SQRT('Resumen'!$B$5^3/3)*B1371</x:f>
        <x:v>0.04543701325876338</x:v>
      </x:c>
      <x:c r="D1371" s="84" t="n">
        <x:f>C1371^2-'Resumen'!$B$5^3/3</x:f>
        <x:v>-0.3312688111594563</x:v>
      </x:c>
      <x:c r="E1371" s="85" t="n">
        <x:f>D1371+'Resumen'!$B$5^3/3</x:f>
        <x:v>0.002064522173877037</x:v>
      </x:c>
    </x:row>
    <x:row r="1372">
      <x:c r="A1372" s="89" t="n">
        <x:v>1370</x:v>
      </x:c>
      <x:c r="B1372" s="80" t="n">
        <x:v>0.16440361761548655</x:v>
      </x:c>
      <x:c r="C1372" s="84" t="n">
        <x:f>SQRT('Resumen'!$B$5^3/3)*B1372</x:f>
        <x:v>0.09491847288604946</x:v>
      </x:c>
      <x:c r="D1372" s="84" t="n">
        <x:f>C1372^2-'Resumen'!$B$5^3/3</x:f>
        <x:v>-0.3243238168383136</x:v>
      </x:c>
      <x:c r="E1372" s="85" t="n">
        <x:f>D1372+'Resumen'!$B$5^3/3</x:f>
        <x:v>0.009009516495019687</x:v>
      </x:c>
    </x:row>
    <x:row r="1373">
      <x:c r="A1373" s="89" t="n">
        <x:v>1371</x:v>
      </x:c>
      <x:c r="B1373" s="80" t="n">
        <x:v>-0.7058189948499628</x:v>
      </x:c>
      <x:c r="C1373" s="84" t="n">
        <x:f>SQRT('Resumen'!$B$5^3/3)*B1373</x:f>
        <x:v>-0.40750478667577705</x:v>
      </x:c>
      <x:c r="D1373" s="84" t="n">
        <x:f>C1373^2-'Resumen'!$B$5^3/3</x:f>
        <x:v>-0.16727318216966275</x:v>
      </x:c>
      <x:c r="E1373" s="85" t="n">
        <x:f>D1373+'Resumen'!$B$5^3/3</x:f>
        <x:v>0.16606015116367057</x:v>
      </x:c>
    </x:row>
    <x:row r="1374">
      <x:c r="A1374" s="89" t="n">
        <x:v>1372</x:v>
      </x:c>
      <x:c r="B1374" s="80" t="n">
        <x:v>0.8330712519220537</x:v>
      </x:c>
      <x:c r="C1374" s="84" t="n">
        <x:f>SQRT('Resumen'!$B$5^3/3)*B1374</x:f>
        <x:v>0.4809739115513362</x:v>
      </x:c>
      <x:c r="D1374" s="84" t="n">
        <x:f>C1374^2-'Resumen'!$B$5^3/3</x:f>
        <x:v>-0.10199742974034076</x:v>
      </x:c>
      <x:c r="E1374" s="85" t="n">
        <x:f>D1374+'Resumen'!$B$5^3/3</x:f>
        <x:v>0.23133590359299255</x:v>
      </x:c>
    </x:row>
    <x:row r="1375">
      <x:c r="A1375" s="89" t="n">
        <x:v>1373</x:v>
      </x:c>
      <x:c r="B1375" s="80" t="n">
        <x:v>-0.752567511831029</x:v>
      </x:c>
      <x:c r="C1375" s="84" t="n">
        <x:f>SQRT('Resumen'!$B$5^3/3)*B1375</x:f>
        <x:v>-0.4344950555390114</x:v>
      </x:c>
      <x:c r="D1375" s="84" t="n">
        <x:f>C1375^2-'Resumen'!$B$5^3/3</x:f>
        <x:v>-0.1445473800454847</x:v>
      </x:c>
      <x:c r="E1375" s="85" t="n">
        <x:f>D1375+'Resumen'!$B$5^3/3</x:f>
        <x:v>0.1887859532878486</x:v>
      </x:c>
    </x:row>
    <x:row r="1376">
      <x:c r="A1376" s="89" t="n">
        <x:v>1374</x:v>
      </x:c>
      <x:c r="B1376" s="80" t="n">
        <x:v>-0.15370856848638836</x:v>
      </x:c>
      <x:c r="C1376" s="84" t="n">
        <x:f>SQRT('Resumen'!$B$5^3/3)*B1376</x:f>
        <x:v>-0.08874368339236835</x:v>
      </x:c>
      <x:c r="D1376" s="84" t="n">
        <x:f>C1376^2-'Resumen'!$B$5^3/3</x:f>
        <x:v>-0.3254578919912884</x:v>
      </x:c>
      <x:c r="E1376" s="85" t="n">
        <x:f>D1376+'Resumen'!$B$5^3/3</x:f>
        <x:v>0.007875441342044931</x:v>
      </x:c>
    </x:row>
    <x:row r="1377">
      <x:c r="A1377" s="89" t="n">
        <x:v>1375</x:v>
      </x:c>
      <x:c r="B1377" s="80" t="n">
        <x:v>0.392253089213379</x:v>
      </x:c>
      <x:c r="C1377" s="84" t="n">
        <x:f>SQRT('Resumen'!$B$5^3/3)*B1377</x:f>
        <x:v>0.22646742664780664</x:v>
      </x:c>
      <x:c r="D1377" s="84" t="n">
        <x:f>C1377^2-'Resumen'!$B$5^3/3</x:f>
        <x:v>-0.28204583800085364</x:v>
      </x:c>
      <x:c r="E1377" s="85" t="n">
        <x:f>D1377+'Resumen'!$B$5^3/3</x:f>
        <x:v>0.05128749533247967</x:v>
      </x:c>
    </x:row>
    <x:row r="1378">
      <x:c r="A1378" s="89" t="n">
        <x:v>1376</x:v>
      </x:c>
      <x:c r="B1378" s="80" t="n">
        <x:v>-2.371946322774366</x:v>
      </x:c>
      <x:c r="C1378" s="84" t="n">
        <x:f>SQRT('Resumen'!$B$5^3/3)*B1378</x:f>
        <x:v>-1.369443847957123</x:v>
      </x:c>
      <x:c r="D1378" s="84" t="n">
        <x:f>C1378^2-'Resumen'!$B$5^3/3</x:f>
        <x:v>1.5420431193742783</x:v>
      </x:c>
      <x:c r="E1378" s="85" t="n">
        <x:f>D1378+'Resumen'!$B$5^3/3</x:f>
        <x:v>1.8753764527076116</x:v>
      </x:c>
    </x:row>
    <x:row r="1379">
      <x:c r="A1379" s="89" t="n">
        <x:v>1377</x:v>
      </x:c>
      <x:c r="B1379" s="80" t="n">
        <x:v>0.727624693582908</x:v>
      </x:c>
      <x:c r="C1379" s="84" t="n">
        <x:f>SQRT('Resumen'!$B$5^3/3)*B1379</x:f>
        <x:v>0.4200943127091109</x:v>
      </x:c>
      <x:c r="D1379" s="84" t="n">
        <x:f>C1379^2-'Resumen'!$B$5^3/3</x:f>
        <x:v>-0.15685410176279305</x:v>
      </x:c>
      <x:c r="E1379" s="85" t="n">
        <x:f>D1379+'Resumen'!$B$5^3/3</x:f>
        <x:v>0.17647923157054027</x:v>
      </x:c>
    </x:row>
    <x:row r="1380">
      <x:c r="A1380" s="89" t="n">
        <x:v>1378</x:v>
      </x:c>
      <x:c r="B1380" s="80" t="n">
        <x:v>0.162842462657617</x:v>
      </x:c>
      <x:c r="C1380" s="84" t="n">
        <x:f>SQRT('Resumen'!$B$5^3/3)*B1380</x:f>
        <x:v>0.09401713965087675</x:v>
      </x:c>
      <x:c r="D1380" s="84" t="n">
        <x:f>C1380^2-'Resumen'!$B$5^3/3</x:f>
        <x:v>-0.32449411078520085</x:v>
      </x:c>
      <x:c r="E1380" s="85" t="n">
        <x:f>D1380+'Resumen'!$B$5^3/3</x:f>
        <x:v>0.008839222548132464</x:v>
      </x:c>
    </x:row>
    <x:row r="1381">
      <x:c r="A1381" s="89" t="n">
        <x:v>1379</x:v>
      </x:c>
      <x:c r="B1381" s="80" t="n">
        <x:v>1.5948275554997975</x:v>
      </x:c>
      <x:c r="C1381" s="84" t="n">
        <x:f>SQRT('Resumen'!$B$5^3/3)*B1381</x:f>
        <x:v>0.9207741184788408</x:v>
      </x:c>
      <x:c r="D1381" s="84" t="n">
        <x:f>C1381^2-'Resumen'!$B$5^3/3</x:f>
        <x:v>0.5144916439271532</x:v>
      </x:c>
      <x:c r="E1381" s="85" t="n">
        <x:f>D1381+'Resumen'!$B$5^3/3</x:f>
        <x:v>0.8478249772604864</x:v>
      </x:c>
    </x:row>
    <x:row r="1382">
      <x:c r="A1382" s="89" t="n">
        <x:v>1380</x:v>
      </x:c>
      <x:c r="B1382" s="80" t="n">
        <x:v>-1.1641618463909138</x:v>
      </x:c>
      <x:c r="C1382" s="84" t="n">
        <x:f>SQRT('Resumen'!$B$5^3/3)*B1382</x:f>
        <x:v>-0.6721291553940858</x:v>
      </x:c>
      <x:c r="D1382" s="84" t="n">
        <x:f>C1382^2-'Resumen'!$B$5^3/3</x:f>
        <x:v>0.11842426819743385</x:v>
      </x:c>
      <x:c r="E1382" s="85" t="n">
        <x:f>D1382+'Resumen'!$B$5^3/3</x:f>
        <x:v>0.45175760153076716</x:v>
      </x:c>
    </x:row>
    <x:row r="1383">
      <x:c r="A1383" s="89" t="n">
        <x:v>1381</x:v>
      </x:c>
      <x:c r="B1383" s="80" t="n">
        <x:v>-1.1450495114074069</x:v>
      </x:c>
      <x:c r="C1383" s="84" t="n">
        <x:f>SQRT('Resumen'!$B$5^3/3)*B1383</x:f>
        <x:v>-0.6610946436465157</x:v>
      </x:c>
      <x:c r="D1383" s="84" t="n">
        <x:f>C1383^2-'Resumen'!$B$5^3/3</x:f>
        <x:v>0.10371279452478027</x:v>
      </x:c>
      <x:c r="E1383" s="85" t="n">
        <x:f>D1383+'Resumen'!$B$5^3/3</x:f>
        <x:v>0.4370461278581136</x:v>
      </x:c>
    </x:row>
    <x:row r="1384">
      <x:c r="A1384" s="89" t="n">
        <x:v>1382</x:v>
      </x:c>
      <x:c r="B1384" s="80" t="n">
        <x:v>0.0003127051952349506</x:v>
      </x:c>
      <x:c r="C1384" s="84" t="n">
        <x:f>SQRT('Resumen'!$B$5^3/3)*B1384</x:f>
        <x:v>0.0001805404286458932</x:v>
      </x:c>
      <x:c r="D1384" s="84" t="n">
        <x:f>C1384^2-'Resumen'!$B$5^3/3</x:f>
        <x:v>-0.33333330073848694</x:v>
      </x:c>
      <x:c r="E1384" s="85" t="n">
        <x:f>D1384+'Resumen'!$B$5^3/3</x:f>
        <x:v>3.2594846377520525e-8</x:v>
      </x:c>
    </x:row>
    <x:row r="1385">
      <x:c r="A1385" s="89" t="n">
        <x:v>1383</x:v>
      </x:c>
      <x:c r="B1385" s="80" t="n">
        <x:v>-0.30686204529333083</x:v>
      </x:c>
      <x:c r="C1385" s="84" t="n">
        <x:f>SQRT('Resumen'!$B$5^3/3)*B1385</x:f>
        <x:v>-0.1771668844541837</x:v>
      </x:c>
      <x:c r="D1385" s="84" t="n">
        <x:f>C1385^2-'Resumen'!$B$5^3/3</x:f>
        <x:v>-0.30194522838613125</x:v>
      </x:c>
      <x:c r="E1385" s="85" t="n">
        <x:f>D1385+'Resumen'!$B$5^3/3</x:f>
        <x:v>0.03138810494720207</x:v>
      </x:c>
    </x:row>
    <x:row r="1386">
      <x:c r="A1386" s="89" t="n">
        <x:v>1384</x:v>
      </x:c>
      <x:c r="B1386" s="80" t="n">
        <x:v>-1.0623734392034965</x:v>
      </x:c>
      <x:c r="C1386" s="84" t="n">
        <x:f>SQRT('Resumen'!$B$5^3/3)*B1386</x:f>
        <x:v>-0.6133615911040472</x:v>
      </x:c>
      <x:c r="D1386" s="84" t="n">
        <x:f>C1386^2-'Resumen'!$B$5^3/3</x:f>
        <x:v>0.0428791081083551</x:v>
      </x:c>
      <x:c r="E1386" s="85" t="n">
        <x:f>D1386+'Resumen'!$B$5^3/3</x:f>
        <x:v>0.3762124414416884</x:v>
      </x:c>
    </x:row>
    <x:row r="1387">
      <x:c r="A1387" s="89" t="n">
        <x:v>1385</x:v>
      </x:c>
      <x:c r="B1387" s="80" t="n">
        <x:v>1.1074346120739034</x:v>
      </x:c>
      <x:c r="C1387" s="84" t="n">
        <x:f>SQRT('Resumen'!$B$5^3/3)*B1387</x:f>
        <x:v>0.6393776713907768</x:v>
      </x:c>
      <x:c r="D1387" s="84" t="n">
        <x:f>C1387^2-'Resumen'!$B$5^3/3</x:f>
        <x:v>0.07547047333975887</x:v>
      </x:c>
      <x:c r="E1387" s="85" t="n">
        <x:f>D1387+'Resumen'!$B$5^3/3</x:f>
        <x:v>0.4088038066730922</x:v>
      </x:c>
    </x:row>
    <x:row r="1388">
      <x:c r="A1388" s="89" t="n">
        <x:v>1386</x:v>
      </x:c>
      <x:c r="B1388" s="80" t="n">
        <x:v>-1.3289090004405064</x:v>
      </x:c>
      <x:c r="C1388" s="84" t="n">
        <x:f>SQRT('Resumen'!$B$5^3/3)*B1388</x:f>
        <x:v>-0.7672459691328428</x:v>
      </x:c>
      <x:c r="D1388" s="84" t="n">
        <x:f>C1388^2-'Resumen'!$B$5^3/3</x:f>
        <x:v>0.2553330438172619</x:v>
      </x:c>
      <x:c r="E1388" s="85" t="n">
        <x:f>D1388+'Resumen'!$B$5^3/3</x:f>
        <x:v>0.5886663771505952</x:v>
      </x:c>
    </x:row>
    <x:row r="1389">
      <x:c r="A1389" s="89" t="n">
        <x:v>1387</x:v>
      </x:c>
      <x:c r="B1389" s="80" t="n">
        <x:v>-0.7715784739001552</x:v>
      </x:c>
      <x:c r="C1389" s="84" t="n">
        <x:f>SQRT('Resumen'!$B$5^3/3)*B1389</x:f>
        <x:v>-0.4454710396071752</x:v>
      </x:c>
      <x:c r="D1389" s="84" t="n">
        <x:f>C1389^2-'Resumen'!$B$5^3/3</x:f>
        <x:v>-0.13488888620463585</x:v>
      </x:c>
      <x:c r="E1389" s="85" t="n">
        <x:f>D1389+'Resumen'!$B$5^3/3</x:f>
        <x:v>0.19844444712869747</x:v>
      </x:c>
    </x:row>
    <x:row r="1390">
      <x:c r="A1390" s="89" t="n">
        <x:v>1388</x:v>
      </x:c>
      <x:c r="B1390" s="80" t="n">
        <x:v>-2.0747658401506466</x:v>
      </x:c>
      <x:c r="C1390" s="84" t="n">
        <x:f>SQRT('Resumen'!$B$5^3/3)*B1390</x:f>
        <x:v>-1.1978666163164158</x:v>
      </x:c>
      <x:c r="D1390" s="84" t="n">
        <x:f>C1390^2-'Resumen'!$B$5^3/3</x:f>
        <x:v>1.101551097152006</x:v>
      </x:c>
      <x:c r="E1390" s="85" t="n">
        <x:f>D1390+'Resumen'!$B$5^3/3</x:f>
        <x:v>1.4348844304853392</x:v>
      </x:c>
    </x:row>
    <x:row r="1391">
      <x:c r="A1391" s="89" t="n">
        <x:v>1389</x:v>
      </x:c>
      <x:c r="B1391" s="80" t="n">
        <x:v>1.1342979817231011</x:v>
      </x:c>
      <x:c r="C1391" s="84" t="n">
        <x:f>SQRT('Resumen'!$B$5^3/3)*B1391</x:f>
        <x:v>0.6548872450890816</x:v>
      </x:c>
      <x:c r="D1391" s="84" t="n">
        <x:f>C1391^2-'Resumen'!$B$5^3/3</x:f>
        <x:v>0.0955439704470335</x:v>
      </x:c>
      <x:c r="E1391" s="85" t="n">
        <x:f>D1391+'Resumen'!$B$5^3/3</x:f>
        <x:v>0.4288773037803668</x:v>
      </x:c>
    </x:row>
    <x:row r="1392">
      <x:c r="A1392" s="89" t="n">
        <x:v>1390</x:v>
      </x:c>
      <x:c r="B1392" s="80" t="n">
        <x:v>1.6223199309862584</x:v>
      </x:c>
      <x:c r="C1392" s="84" t="n">
        <x:f>SQRT('Resumen'!$B$5^3/3)*B1392</x:f>
        <x:v>0.9366468488666113</x:v>
      </x:c>
      <x:c r="D1392" s="84" t="n">
        <x:f>C1392^2-'Resumen'!$B$5^3/3</x:f>
        <x:v>0.5439739861584194</x:v>
      </x:c>
      <x:c r="E1392" s="85" t="n">
        <x:f>D1392+'Resumen'!$B$5^3/3</x:f>
        <x:v>0.8773073194917527</x:v>
      </x:c>
    </x:row>
    <x:row r="1393">
      <x:c r="A1393" s="89" t="n">
        <x:v>1391</x:v>
      </x:c>
      <x:c r="B1393" s="80" t="n">
        <x:v>0.32731657928086716</x:v>
      </x:c>
      <x:c r="C1393" s="84" t="n">
        <x:f>SQRT('Resumen'!$B$5^3/3)*B1393</x:f>
        <x:v>0.18897631515803612</x:v>
      </x:c>
      <x:c r="D1393" s="84" t="n">
        <x:f>C1393^2-'Resumen'!$B$5^3/3</x:f>
        <x:v>-0.2976212856426239</x:v>
      </x:c>
      <x:c r="E1393" s="85" t="n">
        <x:f>D1393+'Resumen'!$B$5^3/3</x:f>
        <x:v>0.0357120476907094</x:v>
      </x:c>
    </x:row>
    <x:row r="1394">
      <x:c r="A1394" s="89" t="n">
        <x:v>1392</x:v>
      </x:c>
      <x:c r="B1394" s="80" t="n">
        <x:v>1.090210872778616</x:v>
      </x:c>
      <x:c r="C1394" s="84" t="n">
        <x:f>SQRT('Resumen'!$B$5^3/3)*B1394</x:f>
        <x:v>0.6294335408721907</x:v>
      </x:c>
      <x:c r="D1394" s="84" t="n">
        <x:f>C1394^2-'Resumen'!$B$5^3/3</x:f>
        <x:v>0.06285324904157047</x:v>
      </x:c>
      <x:c r="E1394" s="85" t="n">
        <x:f>D1394+'Resumen'!$B$5^3/3</x:f>
        <x:v>0.3961865823749038</x:v>
      </x:c>
    </x:row>
    <x:row r="1395">
      <x:c r="A1395" s="89" t="n">
        <x:v>1393</x:v>
      </x:c>
      <x:c r="B1395" s="80" t="n">
        <x:v>0.17563515576790834</x:v>
      </x:c>
      <x:c r="C1395" s="84" t="n">
        <x:f>SQRT('Resumen'!$B$5^3/3)*B1395</x:f>
        <x:v>0.10140300446176373</x:v>
      </x:c>
      <x:c r="D1395" s="84" t="n">
        <x:f>C1395^2-'Resumen'!$B$5^3/3</x:f>
        <x:v>-0.32305076401946087</x:v>
      </x:c>
      <x:c r="E1395" s="85" t="n">
        <x:f>D1395+'Resumen'!$B$5^3/3</x:f>
        <x:v>0.010282569313872447</x:v>
      </x:c>
    </x:row>
    <x:row r="1396">
      <x:c r="A1396" s="89" t="n">
        <x:v>1394</x:v>
      </x:c>
      <x:c r="B1396" s="80" t="n">
        <x:v>0.143096646173898</x:v>
      </x:c>
      <x:c r="C1396" s="84" t="n">
        <x:f>SQRT('Resumen'!$B$5^3/3)*B1396</x:f>
        <x:v>0.08261688718863264</x:v>
      </x:c>
      <x:c r="D1396" s="84" t="n">
        <x:f>C1396^2-'Resumen'!$B$5^3/3</x:f>
        <x:v>-0.32650778328459407</x:v>
      </x:c>
      <x:c r="E1396" s="85" t="n">
        <x:f>D1396+'Resumen'!$B$5^3/3</x:f>
        <x:v>0.006825550048739248</x:v>
      </x:c>
    </x:row>
    <x:row r="1397">
      <x:c r="A1397" s="89" t="n">
        <x:v>1395</x:v>
      </x:c>
      <x:c r="B1397" s="80" t="n">
        <x:v>1.572651336673301</x:v>
      </x:c>
      <x:c r="C1397" s="84" t="n">
        <x:f>SQRT('Resumen'!$B$5^3/3)*B1397</x:f>
        <x:v>0.907970672569755</x:v>
      </x:c>
      <x:c r="D1397" s="84" t="n">
        <x:f>C1397^2-'Resumen'!$B$5^3/3</x:f>
        <x:v>0.49107740891344004</x:v>
      </x:c>
      <x:c r="E1397" s="85" t="n">
        <x:f>D1397+'Resumen'!$B$5^3/3</x:f>
        <x:v>0.8244107422467734</x:v>
      </x:c>
    </x:row>
    <x:row r="1398">
      <x:c r="A1398" s="89" t="n">
        <x:v>1396</x:v>
      </x:c>
      <x:c r="B1398" s="80" t="n">
        <x:v>-0.2085978468713051</x:v>
      </x:c>
      <x:c r="C1398" s="84" t="n">
        <x:f>SQRT('Resumen'!$B$5^3/3)*B1398</x:f>
        <x:v>-0.12043402304352432</x:v>
      </x:c>
      <x:c r="D1398" s="84" t="n">
        <x:f>C1398^2-'Resumen'!$B$5^3/3</x:f>
        <x:v>-0.31882897942688515</x:v>
      </x:c>
      <x:c r="E1398" s="85" t="n">
        <x:f>D1398+'Resumen'!$B$5^3/3</x:f>
        <x:v>0.014504353906448164</x:v>
      </x:c>
    </x:row>
    <x:row r="1399">
      <x:c r="A1399" s="89" t="n">
        <x:v>1397</x:v>
      </x:c>
      <x:c r="B1399" s="80" t="n">
        <x:v>1.2926006938244385</x:v>
      </x:c>
      <x:c r="C1399" s="84" t="n">
        <x:f>SQRT('Resumen'!$B$5^3/3)*B1399</x:f>
        <x:v>0.7462833585342366</x:v>
      </x:c>
      <x:c r="D1399" s="84" t="n">
        <x:f>C1399^2-'Resumen'!$B$5^3/3</x:f>
        <x:v>0.22360551789180655</x:v>
      </x:c>
      <x:c r="E1399" s="85" t="n">
        <x:f>D1399+'Resumen'!$B$5^3/3</x:f>
        <x:v>0.5569388512251399</x:v>
      </x:c>
    </x:row>
    <x:row r="1400">
      <x:c r="A1400" s="89" t="n">
        <x:v>1398</x:v>
      </x:c>
      <x:c r="B1400" s="80" t="n">
        <x:v>0.1847442037584249</x:v>
      </x:c>
      <x:c r="C1400" s="84" t="n">
        <x:f>SQRT('Resumen'!$B$5^3/3)*B1400</x:f>
        <x:v>0.10666211577114969</x:v>
      </x:c>
      <x:c r="D1400" s="84" t="n">
        <x:f>C1400^2-'Resumen'!$B$5^3/3</x:f>
        <x:v>-0.3219565263925552</x:v>
      </x:c>
      <x:c r="E1400" s="85" t="n">
        <x:f>D1400+'Resumen'!$B$5^3/3</x:f>
        <x:v>0.01137680694077814</x:v>
      </x:c>
    </x:row>
    <x:row r="1401">
      <x:c r="A1401" s="89" t="n">
        <x:v>1399</x:v>
      </x:c>
      <x:c r="B1401" s="80" t="n">
        <x:v>-0.4353058541233142</x:v>
      </x:c>
      <x:c r="C1401" s="84" t="n">
        <x:f>SQRT('Resumen'!$B$5^3/3)*B1401</x:f>
        <x:v>-0.2513239520579154</x:v>
      </x:c>
      <x:c r="D1401" s="84" t="n">
        <x:f>C1401^2-'Resumen'!$B$5^3/3</x:f>
        <x:v>-0.27016960445532395</x:v>
      </x:c>
      <x:c r="E1401" s="85" t="n">
        <x:f>D1401+'Resumen'!$B$5^3/3</x:f>
        <x:v>0.06316372887800936</x:v>
      </x:c>
    </x:row>
    <x:row r="1402">
      <x:c r="A1402" s="89" t="n">
        <x:v>1400</x:v>
      </x:c>
      <x:c r="B1402" s="80" t="n">
        <x:v>-0.830453414645037</x:v>
      </x:c>
      <x:c r="C1402" s="84" t="n">
        <x:f>SQRT('Resumen'!$B$5^3/3)*B1402</x:f>
        <x:v>-0.47946250249475597</x:v>
      </x:c>
      <x:c r="D1402" s="84" t="n">
        <x:f>C1402^2-'Resumen'!$B$5^3/3</x:f>
        <x:v>-0.10344904203479943</x:v>
      </x:c>
      <x:c r="E1402" s="85" t="n">
        <x:f>D1402+'Resumen'!$B$5^3/3</x:f>
        <x:v>0.22988429129853388</x:v>
      </x:c>
    </x:row>
    <x:row r="1403">
      <x:c r="A1403" s="89" t="n">
        <x:v>1401</x:v>
      </x:c>
      <x:c r="B1403" s="80" t="n">
        <x:v>0.24865225155737705</x:v>
      </x:c>
      <x:c r="C1403" s="84" t="n">
        <x:f>SQRT('Resumen'!$B$5^3/3)*B1403</x:f>
        <x:v>0.14355944437125817</x:v>
      </x:c>
      <x:c r="D1403" s="84" t="n">
        <x:f>C1403^2-'Resumen'!$B$5^3/3</x:f>
        <x:v>-0.3127240192651489</x:v>
      </x:c>
      <x:c r="E1403" s="85" t="n">
        <x:f>D1403+'Resumen'!$B$5^3/3</x:f>
        <x:v>0.020609314068184392</x:v>
      </x:c>
    </x:row>
    <x:row r="1404">
      <x:c r="A1404" s="89" t="n">
        <x:v>1402</x:v>
      </x:c>
      <x:c r="B1404" s="80" t="n">
        <x:v>0.28092316105054255</x:v>
      </x:c>
      <x:c r="C1404" s="84" t="n">
        <x:f>SQRT('Resumen'!$B$5^3/3)*B1404</x:f>
        <x:v>0.16219106265413133</x:v>
      </x:c>
      <x:c r="D1404" s="84" t="n">
        <x:f>C1404^2-'Resumen'!$B$5^3/3</x:f>
        <x:v>-0.30702739252845695</x:v>
      </x:c>
      <x:c r="E1404" s="85" t="n">
        <x:f>D1404+'Resumen'!$B$5^3/3</x:f>
        <x:v>0.02630594080487636</x:v>
      </x:c>
    </x:row>
    <x:row r="1405">
      <x:c r="A1405" s="89" t="n">
        <x:v>1403</x:v>
      </x:c>
      <x:c r="B1405" s="80" t="n">
        <x:v>0.6000202035983778</x:v>
      </x:c>
      <x:c r="C1405" s="84" t="n">
        <x:f>SQRT('Resumen'!$B$5^3/3)*B1405</x:f>
        <x:v>0.3464218260667375</x:v>
      </x:c>
      <x:c r="D1405" s="84" t="n">
        <x:f>C1405^2-'Resumen'!$B$5^3/3</x:f>
        <x:v>-0.2133252517579204</x:v>
      </x:c>
      <x:c r="E1405" s="85" t="n">
        <x:f>D1405+'Resumen'!$B$5^3/3</x:f>
        <x:v>0.12000808157541293</x:v>
      </x:c>
    </x:row>
    <x:row r="1406">
      <x:c r="A1406" s="89" t="n">
        <x:v>1404</x:v>
      </x:c>
      <x:c r="B1406" s="80" t="n">
        <x:v>-1.1629979580663024</x:v>
      </x:c>
      <x:c r="C1406" s="84" t="n">
        <x:f>SQRT('Resumen'!$B$5^3/3)*B1406</x:f>
        <x:v>-0.6714571841565647</x:v>
      </x:c>
      <x:c r="D1406" s="84" t="n">
        <x:f>C1406^2-'Resumen'!$B$5^3/3</x:f>
        <x:v>0.11752141682212958</x:v>
      </x:c>
      <x:c r="E1406" s="85" t="n">
        <x:f>D1406+'Resumen'!$B$5^3/3</x:f>
        <x:v>0.4508547501554629</x:v>
      </x:c>
    </x:row>
    <x:row r="1407">
      <x:c r="A1407" s="89" t="n">
        <x:v>1405</x:v>
      </x:c>
      <x:c r="B1407" s="80" t="n">
        <x:v>0.5455403585724728</x:v>
      </x:c>
      <x:c r="C1407" s="84" t="n">
        <x:f>SQRT('Resumen'!$B$5^3/3)*B1407</x:f>
        <x:v>0.31496787287562217</x:v>
      </x:c>
      <x:c r="D1407" s="84" t="n">
        <x:f>C1407^2-'Resumen'!$B$5^3/3</x:f>
        <x:v>-0.2341285723895392</x:v>
      </x:c>
      <x:c r="E1407" s="85" t="n">
        <x:f>D1407+'Resumen'!$B$5^3/3</x:f>
        <x:v>0.0992047609437941</x:v>
      </x:c>
    </x:row>
    <x:row r="1408">
      <x:c r="A1408" s="89" t="n">
        <x:v>1406</x:v>
      </x:c>
      <x:c r="B1408" s="80" t="n">
        <x:v>-1.4302875214541937</x:v>
      </x:c>
      <x:c r="C1408" s="84" t="n">
        <x:f>SQRT('Resumen'!$B$5^3/3)*B1408</x:f>
        <x:v>-0.8257768855301413</x:v>
      </x:c>
      <x:c r="D1408" s="84" t="n">
        <x:f>C1408^2-'Resumen'!$B$5^3/3</x:f>
        <x:v>0.34857413134252674</x:v>
      </x:c>
      <x:c r="E1408" s="85" t="n">
        <x:f>D1408+'Resumen'!$B$5^3/3</x:f>
        <x:v>0.68190746467586</x:v>
      </x:c>
    </x:row>
    <x:row r="1409">
      <x:c r="A1409" s="89" t="n">
        <x:v>1407</x:v>
      </x:c>
      <x:c r="B1409" s="80" t="n">
        <x:v>0.019406060357204</x:v>
      </x:c>
      <x:c r="C1409" s="84" t="n">
        <x:f>SQRT('Resumen'!$B$5^3/3)*B1409</x:f>
        <x:v>0.011204094171141854</x:v>
      </x:c>
      <x:c r="D1409" s="84" t="n">
        <x:f>C1409^2-'Resumen'!$B$5^3/3</x:f>
        <x:v>-0.3332078016071375</x:v>
      </x:c>
      <x:c r="E1409" s="85" t="n">
        <x:f>D1409+'Resumen'!$B$5^3/3</x:f>
        <x:v>0.00012553172619583775</x:v>
      </x:c>
    </x:row>
    <x:row r="1410">
      <x:c r="A1410" s="89" t="n">
        <x:v>1408</x:v>
      </x:c>
      <x:c r="B1410" s="80" t="n">
        <x:v>0.3032217054655591</x:v>
      </x:c>
      <x:c r="C1410" s="84" t="n">
        <x:f>SQRT('Resumen'!$B$5^3/3)*B1410</x:f>
        <x:v>0.17506513327467796</x:v>
      </x:c>
      <x:c r="D1410" s="84" t="n">
        <x:f>C1410^2-'Resumen'!$B$5^3/3</x:f>
        <x:v>-0.3026855324448526</x:v>
      </x:c>
      <x:c r="E1410" s="85" t="n">
        <x:f>D1410+'Resumen'!$B$5^3/3</x:f>
        <x:v>0.030647800888480736</x:v>
      </x:c>
    </x:row>
    <x:row r="1411">
      <x:c r="A1411" s="89" t="n">
        <x:v>1409</x:v>
      </x:c>
      <x:c r="B1411" s="80" t="n">
        <x:v>2.236234454088302</x:v>
      </x:c>
      <x:c r="C1411" s="84" t="n">
        <x:f>SQRT('Resumen'!$B$5^3/3)*B1411</x:f>
        <x:v>1.291090564038997</x:v>
      </x:c>
      <x:c r="D1411" s="84" t="n">
        <x:f>C1411^2-'Resumen'!$B$5^3/3</x:f>
        <x:v>1.333581511217202</x:v>
      </x:c>
      <x:c r="E1411" s="85" t="n">
        <x:f>D1411+'Resumen'!$B$5^3/3</x:f>
        <x:v>1.6669148445505353</x:v>
      </x:c>
    </x:row>
    <x:row r="1412">
      <x:c r="A1412" s="89" t="n">
        <x:v>1410</x:v>
      </x:c>
      <x:c r="B1412" s="80" t="n">
        <x:v>-0.02674101271147166</x:v>
      </x:c>
      <x:c r="C1412" s="84" t="n">
        <x:f>SQRT('Resumen'!$B$5^3/3)*B1412</x:f>
        <x:v>-0.015438930887371367</x:v>
      </x:c>
      <x:c r="D1412" s="84" t="n">
        <x:f>C1412^2-'Resumen'!$B$5^3/3</x:f>
        <x:v>-0.3330949727463883</x:v>
      </x:c>
      <x:c r="E1412" s="85" t="n">
        <x:f>D1412+'Resumen'!$B$5^3/3</x:f>
        <x:v>0.00023836058694504114</x:v>
      </x:c>
    </x:row>
    <x:row r="1413">
      <x:c r="A1413" s="89" t="n">
        <x:v>1411</x:v>
      </x:c>
      <x:c r="B1413" s="80" t="n">
        <x:v>-0.3813482384575473</x:v>
      </x:c>
      <x:c r="C1413" s="84" t="n">
        <x:f>SQRT('Resumen'!$B$5^3/3)*B1413</x:f>
        <x:v>-0.2201715081284545</x:v>
      </x:c>
      <x:c r="D1413" s="84" t="n">
        <x:f>C1413^2-'Resumen'!$B$5^3/3</x:f>
        <x:v>-0.2848578403417752</x:v>
      </x:c>
      <x:c r="E1413" s="85" t="n">
        <x:f>D1413+'Resumen'!$B$5^3/3</x:f>
        <x:v>0.04847549299155812</x:v>
      </x:c>
    </x:row>
    <x:row r="1414">
      <x:c r="A1414" s="89" t="n">
        <x:v>1412</x:v>
      </x:c>
      <x:c r="B1414" s="80" t="n">
        <x:v>1.0863130024984091</x:v>
      </x:c>
      <x:c r="C1414" s="84" t="n">
        <x:f>SQRT('Resumen'!$B$5^3/3)*B1414</x:f>
        <x:v>0.627183104416647</x:v>
      </x:c>
      <x:c r="D1414" s="84" t="n">
        <x:f>C1414^2-'Resumen'!$B$5^3/3</x:f>
        <x:v>0.06002531313236947</x:v>
      </x:c>
      <x:c r="E1414" s="85" t="n">
        <x:f>D1414+'Resumen'!$B$5^3/3</x:f>
        <x:v>0.3933586464657028</x:v>
      </x:c>
    </x:row>
    <x:row r="1415">
      <x:c r="A1415" s="89" t="n">
        <x:v>1413</x:v>
      </x:c>
      <x:c r="B1415" s="80" t="n">
        <x:v>0.21770480987413637</x:v>
      </x:c>
      <x:c r="C1415" s="84" t="n">
        <x:f>SQRT('Resumen'!$B$5^3/3)*B1415</x:f>
        <x:v>0.12569193058470893</x:v>
      </x:c>
      <x:c r="D1415" s="84" t="n">
        <x:f>C1415^2-'Resumen'!$B$5^3/3</x:f>
        <x:v>-0.31753487191922203</x:v>
      </x:c>
      <x:c r="E1415" s="85" t="n">
        <x:f>D1415+'Resumen'!$B$5^3/3</x:f>
        <x:v>0.015798461414111287</x:v>
      </x:c>
    </x:row>
    <x:row r="1416">
      <x:c r="A1416" s="89" t="n">
        <x:v>1414</x:v>
      </x:c>
      <x:c r="B1416" s="80" t="n">
        <x:v>-0.8364048700950952</x:v>
      </x:c>
      <x:c r="C1416" s="84" t="n">
        <x:f>SQRT('Resumen'!$B$5^3/3)*B1416</x:f>
        <x:v>-0.4828985769009172</x:v>
      </x:c>
      <x:c r="D1416" s="84" t="n">
        <x:f>C1416^2-'Resumen'!$B$5^3/3</x:f>
        <x:v>-0.10014229776040226</x:v>
      </x:c>
      <x:c r="E1416" s="85" t="n">
        <x:f>D1416+'Resumen'!$B$5^3/3</x:f>
        <x:v>0.23319103557293105</x:v>
      </x:c>
    </x:row>
    <x:row r="1417">
      <x:c r="A1417" s="89" t="n">
        <x:v>1415</x:v>
      </x:c>
      <x:c r="B1417" s="80" t="n">
        <x:v>-0.1674239173442675</x:v>
      </x:c>
      <x:c r="C1417" s="84" t="n">
        <x:f>SQRT('Resumen'!$B$5^3/3)*B1417</x:f>
        <x:v>-0.09666224374749449</x:v>
      </x:c>
      <x:c r="D1417" s="84" t="n">
        <x:f>C1417^2-'Resumen'!$B$5^3/3</x:f>
        <x:v>-0.3239897439670333</x:v>
      </x:c>
      <x:c r="E1417" s="85" t="n">
        <x:f>D1417+'Resumen'!$B$5^3/3</x:f>
        <x:v>0.009343589366300031</x:v>
      </x:c>
    </x:row>
    <x:row r="1418">
      <x:c r="A1418" s="89" t="n">
        <x:v>1416</x:v>
      </x:c>
      <x:c r="B1418" s="80" t="n">
        <x:v>0.9800279274402068</x:v>
      </x:c>
      <x:c r="C1418" s="84" t="n">
        <x:f>SQRT('Resumen'!$B$5^3/3)*B1418</x:f>
        <x:v>0.5658193877209544</x:v>
      </x:c>
      <x:c r="D1418" s="84" t="n">
        <x:f>C1418^2-'Resumen'!$B$5^3/3</x:f>
        <x:v>-0.013181753812417596</x:v>
      </x:c>
      <x:c r="E1418" s="85" t="n">
        <x:f>D1418+'Resumen'!$B$5^3/3</x:f>
        <x:v>0.3201515795209157</x:v>
      </x:c>
    </x:row>
    <x:row r="1419">
      <x:c r="A1419" s="89" t="n">
        <x:v>1417</x:v>
      </x:c>
      <x:c r="B1419" s="80" t="n">
        <x:v>1.7093334799847553</x:v>
      </x:c>
      <x:c r="C1419" s="84" t="n">
        <x:f>SQRT('Resumen'!$B$5^3/3)*B1419</x:f>
        <x:v>0.9868841448040382</x:v>
      </x:c>
      <x:c r="D1419" s="84" t="n">
        <x:f>C1419^2-'Resumen'!$B$5^3/3</x:f>
        <x:v>0.6406069819322644</x:v>
      </x:c>
      <x:c r="E1419" s="85" t="n">
        <x:f>D1419+'Resumen'!$B$5^3/3</x:f>
        <x:v>0.9739403152655977</x:v>
      </x:c>
    </x:row>
    <x:row r="1420">
      <x:c r="A1420" s="89" t="n">
        <x:v>1418</x:v>
      </x:c>
      <x:c r="B1420" s="80" t="n">
        <x:v>0.12565317593059175</x:v>
      </x:c>
      <x:c r="C1420" s="84" t="n">
        <x:f>SQRT('Resumen'!$B$5^3/3)*B1420</x:f>
        <x:v>0.07254589494805855</x:v>
      </x:c>
      <x:c r="D1420" s="84" t="n">
        <x:f>C1420^2-'Resumen'!$B$5^3/3</x:f>
        <x:v>-0.32807042645951856</x:v>
      </x:c>
      <x:c r="E1420" s="85" t="n">
        <x:f>D1420+'Resumen'!$B$5^3/3</x:f>
        <x:v>0.005262906873814754</x:v>
      </x:c>
    </x:row>
    <x:row r="1421">
      <x:c r="A1421" s="89" t="n">
        <x:v>1419</x:v>
      </x:c>
      <x:c r="B1421" s="80" t="n">
        <x:v>1.1229952476772993</x:v>
      </x:c>
      <x:c r="C1421" s="84" t="n">
        <x:f>SQRT('Resumen'!$B$5^3/3)*B1421</x:f>
        <x:v>0.6483616085451591</x:v>
      </x:c>
      <x:c r="D1421" s="84" t="n">
        <x:f>C1421^2-'Resumen'!$B$5^3/3</x:f>
        <x:v>0.08703944210193282</x:v>
      </x:c>
      <x:c r="E1421" s="85" t="n">
        <x:f>D1421+'Resumen'!$B$5^3/3</x:f>
        <x:v>0.42037277543526613</x:v>
      </x:c>
    </x:row>
    <x:row r="1422">
      <x:c r="A1422" s="89" t="n">
        <x:v>1420</x:v>
      </x:c>
      <x:c r="B1422" s="80" t="n">
        <x:v>-1.3301277959587081</x:v>
      </x:c>
      <x:c r="C1422" s="84" t="n">
        <x:f>SQRT('Resumen'!$B$5^3/3)*B1422</x:f>
        <x:v>-0.7679496410533637</x:v>
      </x:c>
      <x:c r="D1422" s="84" t="n">
        <x:f>C1422^2-'Resumen'!$B$5^3/3</x:f>
        <x:v>0.25641331786065685</x:v>
      </x:c>
      <x:c r="E1422" s="85" t="n">
        <x:f>D1422+'Resumen'!$B$5^3/3</x:f>
        <x:v>0.5897466511939902</x:v>
      </x:c>
    </x:row>
    <x:row r="1423">
      <x:c r="A1423" s="89" t="n">
        <x:v>1421</x:v>
      </x:c>
      <x:c r="B1423" s="80" t="n">
        <x:v>-0.15020838710288967</x:v>
      </x:c>
      <x:c r="C1423" s="84" t="n">
        <x:f>SQRT('Resumen'!$B$5^3/3)*B1423</x:f>
        <x:v>-0.08672285272839285</x:v>
      </x:c>
      <x:c r="D1423" s="84" t="n">
        <x:f>C1423^2-'Resumen'!$B$5^3/3</x:f>
        <x:v>-0.3258124801479828</x:v>
      </x:c>
      <x:c r="E1423" s="85" t="n">
        <x:f>D1423+'Resumen'!$B$5^3/3</x:f>
        <x:v>0.007520853185350507</x:v>
      </x:c>
    </x:row>
    <x:row r="1424">
      <x:c r="A1424" s="89" t="n">
        <x:v>1422</x:v>
      </x:c>
      <x:c r="B1424" s="80" t="n">
        <x:v>-0.1156762454141479</x:v>
      </x:c>
      <x:c r="C1424" s="84" t="n">
        <x:f>SQRT('Resumen'!$B$5^3/3)*B1424</x:f>
        <x:v>-0.0667857114287035</x:v>
      </x:c>
      <x:c r="D1424" s="84" t="n">
        <x:f>C1424^2-'Resumen'!$B$5^3/3</x:f>
        <x:v>-0.32887300208229525</x:v>
      </x:c>
      <x:c r="E1424" s="85" t="n">
        <x:f>D1424+'Resumen'!$B$5^3/3</x:f>
        <x:v>0.004460331251038063</x:v>
      </x:c>
    </x:row>
    <x:row r="1425">
      <x:c r="A1425" s="89" t="n">
        <x:v>1423</x:v>
      </x:c>
      <x:c r="B1425" s="80" t="n">
        <x:v>0.36234081694960485</x:v>
      </x:c>
      <x:c r="C1425" s="84" t="n">
        <x:f>SQRT('Resumen'!$B$5^3/3)*B1425</x:f>
        <x:v>0.20919756820424326</x:v>
      </x:c>
      <x:c r="D1425" s="84" t="n">
        <x:f>C1425^2-'Resumen'!$B$5^3/3</x:f>
        <x:v>-0.2895697107907643</x:v>
      </x:c>
      <x:c r="E1425" s="85" t="n">
        <x:f>D1425+'Resumen'!$B$5^3/3</x:f>
        <x:v>0.04376362254256899</x:v>
      </x:c>
    </x:row>
    <x:row r="1426">
      <x:c r="A1426" s="89" t="n">
        <x:v>1424</x:v>
      </x:c>
      <x:c r="B1426" s="80" t="n">
        <x:v>0.24393767859710866</x:v>
      </x:c>
      <x:c r="C1426" s="84" t="n">
        <x:f>SQRT('Resumen'!$B$5^3/3)*B1426</x:f>
        <x:v>0.14083748440353308</x:v>
      </x:c>
      <x:c r="D1426" s="84" t="n">
        <x:f>C1426^2-'Resumen'!$B$5^3/3</x:f>
        <x:v>-0.3134981363202179</x:v>
      </x:c>
      <x:c r="E1426" s="85" t="n">
        <x:f>D1426+'Resumen'!$B$5^3/3</x:f>
        <x:v>0.019835197013115424</x:v>
      </x:c>
    </x:row>
    <x:row r="1427">
      <x:c r="A1427" s="89" t="n">
        <x:v>1425</x:v>
      </x:c>
      <x:c r="B1427" s="80" t="n">
        <x:v>0.7572027070172109</x:v>
      </x:c>
      <x:c r="C1427" s="84" t="n">
        <x:f>SQRT('Resumen'!$B$5^3/3)*B1427</x:f>
        <x:v>0.43717118672750005</x:v>
      </x:c>
      <x:c r="D1427" s="84" t="n">
        <x:f>C1427^2-'Resumen'!$B$5^3/3</x:f>
        <x:v>-0.1422146868286026</x:v>
      </x:c>
      <x:c r="E1427" s="85" t="n">
        <x:f>D1427+'Resumen'!$B$5^3/3</x:f>
        <x:v>0.1911186465047307</x:v>
      </x:c>
    </x:row>
    <x:row r="1428">
      <x:c r="A1428" s="89" t="n">
        <x:v>1426</x:v>
      </x:c>
      <x:c r="B1428" s="80" t="n">
        <x:v>0.1671990141138778</x:v>
      </x:c>
      <x:c r="C1428" s="84" t="n">
        <x:f>SQRT('Resumen'!$B$5^3/3)*B1428</x:f>
        <x:v>0.09653239580688738</x:v>
      </x:c>
      <x:c r="D1428" s="84" t="n">
        <x:f>C1428^2-'Resumen'!$B$5^3/3</x:f>
        <x:v>-0.32401482989311575</x:v>
      </x:c>
      <x:c r="E1428" s="85" t="n">
        <x:f>D1428+'Resumen'!$B$5^3/3</x:f>
        <x:v>0.009318503440217563</x:v>
      </x:c>
    </x:row>
    <x:row r="1429">
      <x:c r="A1429" s="89" t="n">
        <x:v>1427</x:v>
      </x:c>
      <x:c r="B1429" s="80" t="n">
        <x:v>-1.2826982288427506</x:v>
      </x:c>
      <x:c r="C1429" s="84" t="n">
        <x:f>SQRT('Resumen'!$B$5^3/3)*B1429</x:f>
        <x:v>-0.7405661677114183</x:v>
      </x:c>
      <x:c r="D1429" s="84" t="n">
        <x:f>C1429^2-'Resumen'!$B$5^3/3</x:f>
        <x:v>0.21510491542544313</x:v>
      </x:c>
      <x:c r="E1429" s="85" t="n">
        <x:f>D1429+'Resumen'!$B$5^3/3</x:f>
        <x:v>0.5484382487587764</x:v>
      </x:c>
    </x:row>
    <x:row r="1430">
      <x:c r="A1430" s="89" t="n">
        <x:v>1428</x:v>
      </x:c>
      <x:c r="B1430" s="80" t="n">
        <x:v>-0.8382261396034648</x:v>
      </x:c>
      <x:c r="C1430" s="84" t="n">
        <x:f>SQRT('Resumen'!$B$5^3/3)*B1430</x:f>
        <x:v>-0.4839500873418412</x:v>
      </x:c>
      <x:c r="D1430" s="84" t="n">
        <x:f>C1430^2-'Resumen'!$B$5^3/3</x:f>
        <x:v>-0.0991256462951576</x:v>
      </x:c>
      <x:c r="E1430" s="85" t="n">
        <x:f>D1430+'Resumen'!$B$5^3/3</x:f>
        <x:v>0.2342076870381757</x:v>
      </x:c>
    </x:row>
    <x:row r="1431">
      <x:c r="A1431" s="89" t="n">
        <x:v>1429</x:v>
      </x:c>
      <x:c r="B1431" s="80" t="n">
        <x:v>-0.738966504831133</x:v>
      </x:c>
      <x:c r="C1431" s="84" t="n">
        <x:f>SQRT('Resumen'!$B$5^3/3)*B1431</x:f>
        <x:v>-0.42664251048637153</x:v>
      </x:c>
      <x:c r="D1431" s="84" t="n">
        <x:f>C1431^2-'Resumen'!$B$5^3/3</x:f>
        <x:v>-0.15130950157921969</x:v>
      </x:c>
      <x:c r="E1431" s="85" t="n">
        <x:f>D1431+'Resumen'!$B$5^3/3</x:f>
        <x:v>0.18202383175411363</x:v>
      </x:c>
    </x:row>
    <x:row r="1432">
      <x:c r="A1432" s="89" t="n">
        <x:v>1430</x:v>
      </x:c>
      <x:c r="B1432" s="80" t="n">
        <x:v>-0.31221529452911373</x:v>
      </x:c>
      <x:c r="C1432" s="84" t="n">
        <x:f>SQRT('Resumen'!$B$5^3/3)*B1432</x:f>
        <x:v>-0.1802575843415021</x:v>
      </x:c>
      <x:c r="D1432" s="84" t="n">
        <x:f>C1432^2-'Resumen'!$B$5^3/3</x:f>
        <x:v>-0.3008405366206996</x:v>
      </x:c>
      <x:c r="E1432" s="85" t="n">
        <x:f>D1432+'Resumen'!$B$5^3/3</x:f>
        <x:v>0.03249279671263372</x:v>
      </x:c>
    </x:row>
    <x:row r="1433">
      <x:c r="A1433" s="89" t="n">
        <x:v>1431</x:v>
      </x:c>
      <x:c r="B1433" s="80" t="n">
        <x:v>0.5978908069376196</x:v>
      </x:c>
      <x:c r="C1433" s="84" t="n">
        <x:f>SQRT('Resumen'!$B$5^3/3)*B1433</x:f>
        <x:v>0.34519241833143727</x:v>
      </x:c>
      <x:c r="D1433" s="84" t="n">
        <x:f>C1433^2-'Resumen'!$B$5^3/3</x:f>
        <x:v>-0.21417552765982734</x:v>
      </x:c>
      <x:c r="E1433" s="85" t="n">
        <x:f>D1433+'Resumen'!$B$5^3/3</x:f>
        <x:v>0.11915780567350598</x:v>
      </x:c>
    </x:row>
    <x:row r="1434">
      <x:c r="A1434" s="89" t="n">
        <x:v>1432</x:v>
      </x:c>
      <x:c r="B1434" s="80" t="n">
        <x:v>-0.5524989856889883</x:v>
      </x:c>
      <x:c r="C1434" s="84" t="n">
        <x:f>SQRT('Resumen'!$B$5^3/3)*B1434</x:f>
        <x:v>-0.31898543811453256</x:v>
      </x:c>
      <x:c r="D1434" s="84" t="n">
        <x:f>C1434^2-'Resumen'!$B$5^3/3</x:f>
        <x:v>-0.23158162360421303</x:v>
      </x:c>
      <x:c r="E1434" s="85" t="n">
        <x:f>D1434+'Resumen'!$B$5^3/3</x:f>
        <x:v>0.10175170972912029</x:v>
      </x:c>
    </x:row>
    <x:row r="1435">
      <x:c r="A1435" s="89" t="n">
        <x:v>1433</x:v>
      </x:c>
      <x:c r="B1435" s="80" t="n">
        <x:v>-1.104925709060625</x:v>
      </x:c>
      <x:c r="C1435" s="84" t="n">
        <x:f>SQRT('Resumen'!$B$5^3/3)*B1435</x:f>
        <x:v>-0.63792915556069</x:v>
      </x:c>
      <x:c r="D1435" s="84" t="n">
        <x:f>C1435^2-'Resumen'!$B$5^3/3</x:f>
        <x:v>0.07362027418104167</x:v>
      </x:c>
      <x:c r="E1435" s="85" t="n">
        <x:f>D1435+'Resumen'!$B$5^3/3</x:f>
        <x:v>0.406953607514375</x:v>
      </x:c>
    </x:row>
    <x:row r="1436">
      <x:c r="A1436" s="89" t="n">
        <x:v>1434</x:v>
      </x:c>
      <x:c r="B1436" s="80" t="n">
        <x:v>-0.6885623915463276</x:v>
      </x:c>
      <x:c r="C1436" s="84" t="n">
        <x:f>SQRT('Resumen'!$B$5^3/3)*B1436</x:f>
        <x:v>-0.3975416821131247</x:v>
      </x:c>
      <x:c r="D1436" s="84" t="n">
        <x:f>C1436^2-'Resumen'!$B$5^3/3</x:f>
        <x:v>-0.17529394431600065</x:v>
      </x:c>
      <x:c r="E1436" s="85" t="n">
        <x:f>D1436+'Resumen'!$B$5^3/3</x:f>
        <x:v>0.15803938901733267</x:v>
      </x:c>
    </x:row>
    <x:row r="1437">
      <x:c r="A1437" s="89" t="n">
        <x:v>1435</x:v>
      </x:c>
      <x:c r="B1437" s="80" t="n">
        <x:v>-1.229527582317358</x:v>
      </x:c>
      <x:c r="C1437" s="84" t="n">
        <x:f>SQRT('Resumen'!$B$5^3/3)*B1437</x:f>
        <x:v>-0.7098680806269964</x:v>
      </x:c>
      <x:c r="D1437" s="84" t="n">
        <x:f>C1437^2-'Resumen'!$B$5^3/3</x:f>
        <x:v>0.17057935855972245</x:v>
      </x:c>
      <x:c r="E1437" s="85" t="n">
        <x:f>D1437+'Resumen'!$B$5^3/3</x:f>
        <x:v>0.5039126918930558</x:v>
      </x:c>
    </x:row>
    <x:row r="1438">
      <x:c r="A1438" s="89" t="n">
        <x:v>1436</x:v>
      </x:c>
      <x:c r="B1438" s="80" t="n">
        <x:v>-0.9706207105192945</x:v>
      </x:c>
      <x:c r="C1438" s="84" t="n">
        <x:f>SQRT('Resumen'!$B$5^3/3)*B1438</x:f>
        <x:v>-0.5603881284993405</x:v>
      </x:c>
      <x:c r="D1438" s="84" t="n">
        <x:f>C1438^2-'Resumen'!$B$5^3/3</x:f>
        <x:v>-0.019298478770339966</x:v>
      </x:c>
      <x:c r="E1438" s="85" t="n">
        <x:f>D1438+'Resumen'!$B$5^3/3</x:f>
        <x:v>0.31403485456299335</x:v>
      </x:c>
    </x:row>
    <x:row r="1439">
      <x:c r="A1439" s="89" t="n">
        <x:v>1437</x:v>
      </x:c>
      <x:c r="B1439" s="80" t="n">
        <x:v>-0.4913558725935639</x:v>
      </x:c>
      <x:c r="C1439" s="84" t="n">
        <x:f>SQRT('Resumen'!$B$5^3/3)*B1439</x:f>
        <x:v>-0.2836844453097976</x:v>
      </x:c>
      <x:c r="D1439" s="84" t="n">
        <x:f>C1439^2-'Resumen'!$B$5^3/3</x:f>
        <x:v>-0.25285646882260576</x:v>
      </x:c>
      <x:c r="E1439" s="85" t="n">
        <x:f>D1439+'Resumen'!$B$5^3/3</x:f>
        <x:v>0.08047686451072755</x:v>
      </x:c>
    </x:row>
    <x:row r="1440">
      <x:c r="A1440" s="89" t="n">
        <x:v>1438</x:v>
      </x:c>
      <x:c r="B1440" s="80" t="n">
        <x:v>-0.0560958089401285</x:v>
      </x:c>
      <x:c r="C1440" s="84" t="n">
        <x:f>SQRT('Resumen'!$B$5^3/3)*B1440</x:f>
        <x:v>-0.032386930391993</x:v>
      </x:c>
      <x:c r="D1440" s="84" t="n">
        <x:f>C1440^2-'Resumen'!$B$5^3/3</x:f>
        <x:v>-0.33228442007311754</x:v>
      </x:c>
      <x:c r="E1440" s="85" t="n">
        <x:f>D1440+'Resumen'!$B$5^3/3</x:f>
        <x:v>0.001048913260215778</x:v>
      </x:c>
    </x:row>
    <x:row r="1441">
      <x:c r="A1441" s="89" t="n">
        <x:v>1439</x:v>
      </x:c>
      <x:c r="B1441" s="80" t="n">
        <x:v>0.6500149713535758</x:v>
      </x:c>
      <x:c r="C1441" s="84" t="n">
        <x:f>SQRT('Resumen'!$B$5^3/3)*B1441</x:f>
        <x:v>0.37528631868827383</x:v>
      </x:c>
      <x:c r="D1441" s="84" t="n">
        <x:f>C1441^2-'Resumen'!$B$5^3/3</x:f>
        <x:v>-0.19249351233873668</x:v>
      </x:c>
      <x:c r="E1441" s="85" t="n">
        <x:f>D1441+'Resumen'!$B$5^3/3</x:f>
        <x:v>0.14083982099459663</x:v>
      </x:c>
    </x:row>
    <x:row r="1442">
      <x:c r="A1442" s="89" t="n">
        <x:v>1440</x:v>
      </x:c>
      <x:c r="B1442" s="80" t="n">
        <x:v>-1.3798661706582076</x:v>
      </x:c>
      <x:c r="C1442" s="84" t="n">
        <x:f>SQRT('Resumen'!$B$5^3/3)*B1442</x:f>
        <x:v>-0.7966661050751742</x:v>
      </x:c>
      <x:c r="D1442" s="84" t="n">
        <x:f>C1442^2-'Resumen'!$B$5^3/3</x:f>
        <x:v>0.3013435496423152</x:v>
      </x:c>
      <x:c r="E1442" s="85" t="n">
        <x:f>D1442+'Resumen'!$B$5^3/3</x:f>
        <x:v>0.6346768829756485</x:v>
      </x:c>
    </x:row>
    <x:row r="1443">
      <x:c r="A1443" s="89" t="n">
        <x:v>1441</x:v>
      </x:c>
      <x:c r="B1443" s="80" t="n">
        <x:v>-0.4968171550492234</x:v>
      </x:c>
      <x:c r="C1443" s="84" t="n">
        <x:f>SQRT('Resumen'!$B$5^3/3)*B1443</x:f>
        <x:v>-0.28683751820569314</x:v>
      </x:c>
      <x:c r="D1443" s="84" t="n">
        <x:f>C1443^2-'Resumen'!$B$5^3/3</x:f>
        <x:v>-0.25105757148293195</x:v>
      </x:c>
      <x:c r="E1443" s="85" t="n">
        <x:f>D1443+'Resumen'!$B$5^3/3</x:f>
        <x:v>0.08227576185040136</x:v>
      </x:c>
    </x:row>
    <x:row r="1444">
      <x:c r="A1444" s="89" t="n">
        <x:v>1442</x:v>
      </x:c>
      <x:c r="B1444" s="80" t="n">
        <x:v>0.38398985938193697</x:v>
      </x:c>
      <x:c r="C1444" s="84" t="n">
        <x:f>SQRT('Resumen'!$B$5^3/3)*B1444</x:f>
        <x:v>0.22169664868024785</x:v>
      </x:c>
      <x:c r="D1444" s="84" t="n">
        <x:f>C1444^2-'Resumen'!$B$5^3/3</x:f>
        <x:v>-0.2841839292972801</x:v>
      </x:c>
      <x:c r="E1444" s="85" t="n">
        <x:f>D1444+'Resumen'!$B$5^3/3</x:f>
        <x:v>0.049149404036053224</x:v>
      </x:c>
    </x:row>
    <x:row r="1445">
      <x:c r="A1445" s="89" t="n">
        <x:v>1443</x:v>
      </x:c>
      <x:c r="B1445" s="80" t="n">
        <x:v>-0.3864546790849269</x:v>
      </x:c>
      <x:c r="C1445" s="84" t="n">
        <x:f>SQRT('Resumen'!$B$5^3/3)*B1445</x:f>
        <x:v>-0.223119712999273</x:v>
      </x:c>
      <x:c r="D1445" s="84" t="n">
        <x:f>C1445^2-'Resumen'!$B$5^3/3</x:f>
        <x:v>-0.2835509270044554</x:v>
      </x:c>
      <x:c r="E1445" s="85" t="n">
        <x:f>D1445+'Resumen'!$B$5^3/3</x:f>
        <x:v>0.049782406328877926</x:v>
      </x:c>
    </x:row>
    <x:row r="1446">
      <x:c r="A1446" s="89" t="n">
        <x:v>1444</x:v>
      </x:c>
      <x:c r="B1446" s="80" t="n">
        <x:v>-0.057301429895449306</x:v>
      </x:c>
      <x:c r="C1446" s="84" t="n">
        <x:f>SQRT('Resumen'!$B$5^3/3)*B1446</x:f>
        <x:v>-0.033082995975088125</x:v>
      </x:c>
      <x:c r="D1446" s="84" t="n">
        <x:f>C1446^2-'Resumen'!$B$5^3/3</x:f>
        <x:v>-0.33223884871064563</x:v>
      </x:c>
      <x:c r="E1446" s="85" t="n">
        <x:f>D1446+'Resumen'!$B$5^3/3</x:f>
        <x:v>0.0010944846226876859</x:v>
      </x:c>
    </x:row>
    <x:row r="1447">
      <x:c r="A1447" s="89" t="n">
        <x:v>1445</x:v>
      </x:c>
      <x:c r="B1447" s="80" t="n">
        <x:v>2.389225965277978</x:v>
      </x:c>
      <x:c r="C1447" s="84" t="n">
        <x:f>SQRT('Resumen'!$B$5^3/3)*B1447</x:f>
        <x:v>1.379420254208084</x:v>
      </x:c>
      <x:c r="D1447" s="84" t="n">
        <x:f>C1447^2-'Resumen'!$B$5^3/3</x:f>
        <x:v>1.5694669043861618</x:v>
      </x:c>
      <x:c r="E1447" s="85" t="n">
        <x:f>D1447+'Resumen'!$B$5^3/3</x:f>
        <x:v>1.902800237719495</x:v>
      </x:c>
    </x:row>
    <x:row r="1448">
      <x:c r="A1448" s="89" t="n">
        <x:v>1446</x:v>
      </x:c>
      <x:c r="B1448" s="80" t="n">
        <x:v>-0.5034407021374433</x:v>
      </x:c>
      <x:c r="C1448" s="84" t="n">
        <x:f>SQRT('Resumen'!$B$5^3/3)*B1448</x:f>
        <x:v>-0.2906616249000671</x:v>
      </x:c>
      <x:c r="D1448" s="84" t="n">
        <x:f>C1448^2-'Resumen'!$B$5^3/3</x:f>
        <x:v>-0.24884915314378603</x:v>
      </x:c>
      <x:c r="E1448" s="85" t="n">
        <x:f>D1448+'Resumen'!$B$5^3/3</x:f>
        <x:v>0.08448418018954729</x:v>
      </x:c>
    </x:row>
    <x:row r="1449">
      <x:c r="A1449" s="89" t="n">
        <x:v>1447</x:v>
      </x:c>
      <x:c r="B1449" s="80" t="n">
        <x:v>0.5074683912186495</x:v>
      </x:c>
      <x:c r="C1449" s="84" t="n">
        <x:f>SQRT('Resumen'!$B$5^3/3)*B1449</x:f>
        <x:v>0.2929870122753136</x:v>
      </x:c>
      <x:c r="D1449" s="84" t="n">
        <x:f>C1449^2-'Resumen'!$B$5^3/3</x:f>
        <x:v>-0.24749194397131857</x:v>
      </x:c>
      <x:c r="E1449" s="85" t="n">
        <x:f>D1449+'Resumen'!$B$5^3/3</x:f>
        <x:v>0.08584138936201474</x:v>
      </x:c>
    </x:row>
    <x:row r="1450">
      <x:c r="A1450" s="89" t="n">
        <x:v>1448</x:v>
      </x:c>
      <x:c r="B1450" s="80" t="n">
        <x:v>-0.17217646778284768</x:v>
      </x:c>
      <x:c r="C1450" s="84" t="n">
        <x:f>SQRT('Resumen'!$B$5^3/3)*B1450</x:f>
        <x:v>-0.09940613002254603</x:v>
      </x:c>
      <x:c r="D1450" s="84" t="n">
        <x:f>C1450^2-'Resumen'!$B$5^3/3</x:f>
        <x:v>-0.323451754647274</x:v>
      </x:c>
      <x:c r="E1450" s="85" t="n">
        <x:f>D1450+'Resumen'!$B$5^3/3</x:f>
        <x:v>0.009881578686059322</x:v>
      </x:c>
    </x:row>
    <x:row r="1451">
      <x:c r="A1451" s="89" t="n">
        <x:v>1449</x:v>
      </x:c>
      <x:c r="B1451" s="80" t="n">
        <x:v>0.042237316246885946</x:v>
      </x:c>
      <x:c r="C1451" s="84" t="n">
        <x:f>SQRT('Resumen'!$B$5^3/3)*B1451</x:f>
        <x:v>0.024385725904986954</x:v>
      </x:c>
      <x:c r="D1451" s="84" t="n">
        <x:f>C1451^2-'Resumen'!$B$5^3/3</x:f>
        <x:v>-0.33273866970542015</x:v>
      </x:c>
      <x:c r="E1451" s="85" t="n">
        <x:f>D1451+'Resumen'!$B$5^3/3</x:f>
        <x:v>0.0005946636279131612</x:v>
      </x:c>
    </x:row>
    <x:row r="1452">
      <x:c r="A1452" s="89" t="n">
        <x:v>1450</x:v>
      </x:c>
      <x:c r="B1452" s="80" t="n">
        <x:v>-0.25775731571666044</x:v>
      </x:c>
      <x:c r="C1452" s="84" t="n">
        <x:f>SQRT('Resumen'!$B$5^3/3)*B1452</x:f>
        <x:v>-0.14881625561460926</x:v>
      </x:c>
      <x:c r="D1452" s="84" t="n">
        <x:f>C1452^2-'Resumen'!$B$5^3/3</x:f>
        <x:v>-0.3111870553981806</x:v>
      </x:c>
      <x:c r="E1452" s="85" t="n">
        <x:f>D1452+'Resumen'!$B$5^3/3</x:f>
        <x:v>0.022146277935152725</x:v>
      </x:c>
    </x:row>
    <x:row r="1453">
      <x:c r="A1453" s="89" t="n">
        <x:v>1451</x:v>
      </x:c>
      <x:c r="B1453" s="80" t="n">
        <x:v>2.289907545637884</x:v>
      </x:c>
      <x:c r="C1453" s="84" t="n">
        <x:f>SQRT('Resumen'!$B$5^3/3)*B1453</x:f>
        <x:v>1.3220787378933876</x:v>
      </x:c>
      <x:c r="D1453" s="84" t="n">
        <x:f>C1453^2-'Resumen'!$B$5^3/3</x:f>
        <x:v>1.4145588558564395</x:v>
      </x:c>
      <x:c r="E1453" s="85" t="n">
        <x:f>D1453+'Resumen'!$B$5^3/3</x:f>
        <x:v>1.7478921891897727</x:v>
      </x:c>
    </x:row>
    <x:row r="1454">
      <x:c r="A1454" s="89" t="n">
        <x:v>1452</x:v>
      </x:c>
      <x:c r="B1454" s="80" t="n">
        <x:v>0.010579278710572033</x:v>
      </x:c>
      <x:c r="C1454" s="84" t="n">
        <x:f>SQRT('Resumen'!$B$5^3/3)*B1454</x:f>
        <x:v>0.00610794941138084</x:v>
      </x:c>
      <x:c r="D1454" s="84" t="n">
        <x:f>C1454^2-'Resumen'!$B$5^3/3</x:f>
        <x:v>-0.3332960262873213</x:v>
      </x:c>
      <x:c r="E1454" s="85" t="n">
        <x:f>D1454+'Resumen'!$B$5^3/3</x:f>
        <x:v>0.000037307046012013956</x:v>
      </x:c>
    </x:row>
    <x:row r="1455">
      <x:c r="A1455" s="89" t="n">
        <x:v>1453</x:v>
      </x:c>
      <x:c r="B1455" s="80" t="n">
        <x:v>-0.593348166067202</x:v>
      </x:c>
      <x:c r="C1455" s="84" t="n">
        <x:f>SQRT('Resumen'!$B$5^3/3)*B1455</x:f>
        <x:v>-0.3425697234020698</x:v>
      </x:c>
      <x:c r="D1455" s="84" t="n">
        <x:f>C1455^2-'Resumen'!$B$5^3/3</x:f>
        <x:v>-0.2159793179415627</x:v>
      </x:c>
      <x:c r="E1455" s="85" t="n">
        <x:f>D1455+'Resumen'!$B$5^3/3</x:f>
        <x:v>0.11735401539177062</x:v>
      </x:c>
    </x:row>
    <x:row r="1456">
      <x:c r="A1456" s="89" t="n">
        <x:v>1454</x:v>
      </x:c>
      <x:c r="B1456" s="80" t="n">
        <x:v>-1.71411094163224</x:v>
      </x:c>
      <x:c r="C1456" s="84" t="n">
        <x:f>SQRT('Resumen'!$B$5^3/3)*B1456</x:f>
        <x:v>-0.9896424135722566</x:v>
      </x:c>
      <x:c r="D1456" s="84" t="n">
        <x:f>C1456^2-'Resumen'!$B$5^3/3</x:f>
        <x:v>0.6460587734077881</x:v>
      </x:c>
      <x:c r="E1456" s="85" t="n">
        <x:f>D1456+'Resumen'!$B$5^3/3</x:f>
        <x:v>0.9793921067411213</x:v>
      </x:c>
    </x:row>
    <x:row r="1457">
      <x:c r="A1457" s="89" t="n">
        <x:v>1455</x:v>
      </x:c>
      <x:c r="B1457" s="80" t="n">
        <x:v>-2.0514102465079547</x:v>
      </x:c>
      <x:c r="C1457" s="84" t="n">
        <x:f>SQRT('Resumen'!$B$5^3/3)*B1457</x:f>
        <x:v>-1.184382258039724</x:v>
      </x:c>
      <x:c r="D1457" s="84" t="n">
        <x:f>C1457^2-'Resumen'!$B$5^3/3</x:f>
        <x:v>1.0694279998259424</x:v>
      </x:c>
      <x:c r="E1457" s="85" t="n">
        <x:f>D1457+'Resumen'!$B$5^3/3</x:f>
        <x:v>1.4027613331592756</x:v>
      </x:c>
    </x:row>
    <x:row r="1458">
      <x:c r="A1458" s="89" t="n">
        <x:v>1456</x:v>
      </x:c>
      <x:c r="B1458" s="80" t="n">
        <x:v>-0.045724083847428335</x:v>
      </x:c>
      <x:c r="C1458" s="84" t="n">
        <x:f>SQRT('Resumen'!$B$5^3/3)*B1458</x:f>
        <x:v>-0.026398812117761766</x:v>
      </x:c>
      <x:c r="D1458" s="84" t="n">
        <x:f>C1458^2-'Resumen'!$B$5^3/3</x:f>
        <x:v>-0.3326364360521044</x:v>
      </x:c>
      <x:c r="E1458" s="85" t="n">
        <x:f>D1458+'Resumen'!$B$5^3/3</x:f>
        <x:v>0.0006968972812289032</x:v>
      </x:c>
    </x:row>
    <x:row r="1459">
      <x:c r="A1459" s="89" t="n">
        <x:v>1457</x:v>
      </x:c>
      <x:c r="B1459" s="80" t="n">
        <x:v>-0.5445873634359638</x:v>
      </x:c>
      <x:c r="C1459" s="84" t="n">
        <x:f>SQRT('Resumen'!$B$5^3/3)*B1459</x:f>
        <x:v>-0.3144176608770222</x:v>
      </x:c>
      <x:c r="D1459" s="84" t="n">
        <x:f>C1459^2-'Resumen'!$B$5^3/3</x:f>
        <x:v>-0.23447486786195515</x:v>
      </x:c>
      <x:c r="E1459" s="85" t="n">
        <x:f>D1459+'Resumen'!$B$5^3/3</x:f>
        <x:v>0.09885846547137817</x:v>
      </x:c>
    </x:row>
    <x:row r="1460">
      <x:c r="A1460" s="89" t="n">
        <x:v>1458</x:v>
      </x:c>
      <x:c r="B1460" s="80" t="n">
        <x:v>-0.21960421060052687</x:v>
      </x:c>
      <x:c r="C1460" s="84" t="n">
        <x:f>SQRT('Resumen'!$B$5^3/3)*B1460</x:f>
        <x:v>-0.12678855010538945</x:v>
      </x:c>
      <x:c r="D1460" s="84" t="n">
        <x:f>C1460^2-'Resumen'!$B$5^3/3</x:f>
        <x:v>-0.3172579968955065</x:v>
      </x:c>
      <x:c r="E1460" s="85" t="n">
        <x:f>D1460+'Resumen'!$B$5^3/3</x:f>
        <x:v>0.016075336437826826</x:v>
      </x:c>
    </x:row>
    <x:row r="1461">
      <x:c r="A1461" s="89" t="n">
        <x:v>1459</x:v>
      </x:c>
      <x:c r="B1461" s="80" t="n">
        <x:v>-0.8817205041587827</x:v>
      </x:c>
      <x:c r="C1461" s="84" t="n">
        <x:f>SQRT('Resumen'!$B$5^3/3)*B1461</x:f>
        <x:v>-0.5090615704260857</x:v>
      </x:c>
      <x:c r="D1461" s="84" t="n">
        <x:f>C1461^2-'Resumen'!$B$5^3/3</x:f>
        <x:v>-0.0741896508486607</x:v>
      </x:c>
      <x:c r="E1461" s="85" t="n">
        <x:f>D1461+'Resumen'!$B$5^3/3</x:f>
        <x:v>0.2591436824846726</x:v>
      </x:c>
    </x:row>
    <x:row r="1462">
      <x:c r="A1462" s="89" t="n">
        <x:v>1460</x:v>
      </x:c>
      <x:c r="B1462" s="80" t="n">
        <x:v>1.9364230645755378</x:v>
      </x:c>
      <x:c r="C1462" s="84" t="n">
        <x:f>SQRT('Resumen'!$B$5^3/3)*B1462</x:f>
        <x:v>1.1179943775976868</x:v>
      </x:c>
      <x:c r="D1462" s="84" t="n">
        <x:f>C1462^2-'Resumen'!$B$5^3/3</x:f>
        <x:v>0.916578095006706</x:v>
      </x:c>
      <x:c r="E1462" s="85" t="n">
        <x:f>D1462+'Resumen'!$B$5^3/3</x:f>
        <x:v>1.2499114283400392</x:v>
      </x:c>
    </x:row>
    <x:row r="1463">
      <x:c r="A1463" s="89" t="n">
        <x:v>1461</x:v>
      </x:c>
      <x:c r="B1463" s="80" t="n">
        <x:v>0.9934098733562051</x:v>
      </x:c>
      <x:c r="C1463" s="84" t="n">
        <x:f>SQRT('Resumen'!$B$5^3/3)*B1463</x:f>
        <x:v>0.573545457797837</x:v>
      </x:c>
      <x:c r="D1463" s="84" t="n">
        <x:f>C1463^2-'Resumen'!$B$5^3/3</x:f>
        <x:v>-0.004378941172802853</x:v>
      </x:c>
      <x:c r="E1463" s="85" t="n">
        <x:f>D1463+'Resumen'!$B$5^3/3</x:f>
        <x:v>0.32895439216053046</x:v>
      </x:c>
    </x:row>
    <x:row r="1464">
      <x:c r="A1464" s="89" t="n">
        <x:v>1462</x:v>
      </x:c>
      <x:c r="B1464" s="80" t="n">
        <x:v>-0.03626089017008671</x:v>
      </x:c>
      <x:c r="C1464" s="84" t="n">
        <x:f>SQRT('Resumen'!$B$5^3/3)*B1464</x:f>
        <x:v>-0.020935234700755017</x:v>
      </x:c>
      <x:c r="D1464" s="84" t="n">
        <x:f>C1464^2-'Resumen'!$B$5^3/3</x:f>
        <x:v>-0.3328950492813576</x:v>
      </x:c>
      <x:c r="E1464" s="85" t="n">
        <x:f>D1464+'Resumen'!$B$5^3/3</x:f>
        <x:v>0.0004382840519757125</x:v>
      </x:c>
    </x:row>
    <x:row r="1465">
      <x:c r="A1465" s="89" t="n">
        <x:v>1463</x:v>
      </x:c>
      <x:c r="B1465" s="80" t="n">
        <x:v>-1.9667514119752956</x:v>
      </x:c>
      <x:c r="C1465" s="84" t="n">
        <x:f>SQRT('Resumen'!$B$5^3/3)*B1465</x:f>
        <x:v>-1.1355044571330133</x:v>
      </x:c>
      <x:c r="D1465" s="84" t="n">
        <x:f>C1465^2-'Resumen'!$B$5^3/3</x:f>
        <x:v>0.9560370388356059</x:v>
      </x:c>
      <x:c r="E1465" s="85" t="n">
        <x:f>D1465+'Resumen'!$B$5^3/3</x:f>
        <x:v>1.2893703721689391</x:v>
      </x:c>
    </x:row>
    <x:row r="1466">
      <x:c r="A1466" s="89" t="n">
        <x:v>1464</x:v>
      </x:c>
      <x:c r="B1466" s="80" t="n">
        <x:v>0.6109727544661027</x:v>
      </x:c>
      <x:c r="C1466" s="84" t="n">
        <x:f>SQRT('Resumen'!$B$5^3/3)*B1466</x:f>
        <x:v>0.35274528425853147</x:v>
      </x:c>
      <x:c r="D1466" s="84" t="n">
        <x:f>C1466^2-'Resumen'!$B$5^3/3</x:f>
        <x:v>-0.20890409776670116</x:v>
      </x:c>
      <x:c r="E1466" s="85" t="n">
        <x:f>D1466+'Resumen'!$B$5^3/3</x:f>
        <x:v>0.12442923556663216</x:v>
      </x:c>
    </x:row>
    <x:row r="1467">
      <x:c r="A1467" s="89" t="n">
        <x:v>1465</x:v>
      </x:c>
      <x:c r="B1467" s="80" t="n">
        <x:v>-0.6614955936895599</x:v>
      </x:c>
      <x:c r="C1467" s="84" t="n">
        <x:f>SQRT('Resumen'!$B$5^3/3)*B1467</x:f>
        <x:v>-0.3819146590844187</x:v>
      </x:c>
      <x:c r="D1467" s="84" t="n">
        <x:f>C1467^2-'Resumen'!$B$5^3/3</x:f>
        <x:v>-0.18747452650976557</x:v>
      </x:c>
      <x:c r="E1467" s="85" t="n">
        <x:f>D1467+'Resumen'!$B$5^3/3</x:f>
        <x:v>0.14585880682356775</x:v>
      </x:c>
    </x:row>
    <x:row r="1468">
      <x:c r="A1468" s="89" t="n">
        <x:v>1466</x:v>
      </x:c>
      <x:c r="B1468" s="80" t="n">
        <x:v>0.9938161992030048</x:v>
      </x:c>
      <x:c r="C1468" s="84" t="n">
        <x:f>SQRT('Resumen'!$B$5^3/3)*B1468</x:f>
        <x:v>0.5737800501348655</x:v>
      </x:c>
      <x:c r="D1468" s="84" t="n">
        <x:f>C1468^2-'Resumen'!$B$5^3/3</x:f>
        <x:v>-0.004109787400564502</x:v>
      </x:c>
      <x:c r="E1468" s="85" t="n">
        <x:f>D1468+'Resumen'!$B$5^3/3</x:f>
        <x:v>0.3292235459327688</x:v>
      </x:c>
    </x:row>
    <x:row r="1469">
      <x:c r="A1469" s="89" t="n">
        <x:v>1467</x:v>
      </x:c>
      <x:c r="B1469" s="80" t="n">
        <x:v>-0.008145814778790603</x:v>
      </x:c>
      <x:c r="C1469" s="84" t="n">
        <x:f>SQRT('Resumen'!$B$5^3/3)*B1469</x:f>
        <x:v>-0.004702988355303586</x:v>
      </x:c>
      <x:c r="D1469" s="84" t="n">
        <x:f>C1469^2-'Resumen'!$B$5^3/3</x:f>
        <x:v>-0.3333112152338632</x:v>
      </x:c>
      <x:c r="E1469" s="85" t="n">
        <x:f>D1469+'Resumen'!$B$5^3/3</x:f>
        <x:v>0.000022118099470114228</x:v>
      </x:c>
    </x:row>
    <x:row r="1470">
      <x:c r="A1470" s="89" t="n">
        <x:v>1468</x:v>
      </x:c>
      <x:c r="B1470" s="80" t="n">
        <x:v>-0.6621106880441945</x:v>
      </x:c>
      <x:c r="C1470" s="84" t="n">
        <x:f>SQRT('Resumen'!$B$5^3/3)*B1470</x:f>
        <x:v>-0.382269783975644</x:v>
      </x:c>
      <x:c r="D1470" s="84" t="n">
        <x:f>C1470^2-'Resumen'!$B$5^3/3</x:f>
        <x:v>-0.1872031455925478</x:v>
      </x:c>
      <x:c r="E1470" s="85" t="n">
        <x:f>D1470+'Resumen'!$B$5^3/3</x:f>
        <x:v>0.1461301877407855</x:v>
      </x:c>
    </x:row>
    <x:row r="1471">
      <x:c r="A1471" s="89" t="n">
        <x:v>1469</x:v>
      </x:c>
      <x:c r="B1471" s="80" t="n">
        <x:v>1.240255527805233</x:v>
      </x:c>
      <x:c r="C1471" s="84" t="n">
        <x:f>SQRT('Resumen'!$B$5^3/3)*B1471</x:f>
        <x:v>0.7160618628422726</x:v>
      </x:c>
      <x:c r="D1471" s="84" t="n">
        <x:f>C1471^2-'Resumen'!$B$5^3/3</x:f>
        <x:v>0.17941125808381225</x:v>
      </x:c>
      <x:c r="E1471" s="85" t="n">
        <x:f>D1471+'Resumen'!$B$5^3/3</x:f>
        <x:v>0.5127445914171456</x:v>
      </x:c>
    </x:row>
    <x:row r="1472">
      <x:c r="A1472" s="89" t="n">
        <x:v>1470</x:v>
      </x:c>
      <x:c r="B1472" s="80" t="n">
        <x:v>-0.6832763749248439</x:v>
      </x:c>
      <x:c r="C1472" s="84" t="n">
        <x:f>SQRT('Resumen'!$B$5^3/3)*B1472</x:f>
        <x:v>-0.3944897989937703</x:v>
      </x:c>
      <x:c r="D1472" s="84" t="n">
        <x:f>C1472^2-'Resumen'!$B$5^3/3</x:f>
        <x:v>-0.17771113182318804</x:v>
      </x:c>
      <x:c r="E1472" s="85" t="n">
        <x:f>D1472+'Resumen'!$B$5^3/3</x:f>
        <x:v>0.15562220151014527</x:v>
      </x:c>
    </x:row>
    <x:row r="1473">
      <x:c r="A1473" s="89" t="n">
        <x:v>1471</x:v>
      </x:c>
      <x:c r="B1473" s="80" t="n">
        <x:v>-0.7493251641993066</x:v>
      </x:c>
      <x:c r="C1473" s="84" t="n">
        <x:f>SQRT('Resumen'!$B$5^3/3)*B1473</x:f>
        <x:v>-0.43262308526103016</x:v>
      </x:c>
      <x:c r="D1473" s="84" t="n">
        <x:f>C1473^2-'Resumen'!$B$5^3/3</x:f>
        <x:v>-0.14617059943256075</x:v>
      </x:c>
      <x:c r="E1473" s="85" t="n">
        <x:f>D1473+'Resumen'!$B$5^3/3</x:f>
        <x:v>0.18716273390077257</x:v>
      </x:c>
    </x:row>
    <x:row r="1474">
      <x:c r="A1474" s="89" t="n">
        <x:v>1472</x:v>
      </x:c>
      <x:c r="B1474" s="80" t="n">
        <x:v>0.35031315744846514</x:v>
      </x:c>
      <x:c r="C1474" s="84" t="n">
        <x:f>SQRT('Resumen'!$B$5^3/3)*B1474</x:f>
        <x:v>0.2022533957535391</x:v>
      </x:c>
      <x:c r="D1474" s="84" t="n">
        <x:f>C1474^2-'Resumen'!$B$5^3/3</x:f>
        <x:v>-0.2924268972394956</x:v>
      </x:c>
      <x:c r="E1474" s="85" t="n">
        <x:f>D1474+'Resumen'!$B$5^3/3</x:f>
        <x:v>0.040906436093837706</x:v>
      </x:c>
    </x:row>
    <x:row r="1475">
      <x:c r="A1475" s="89" t="n">
        <x:v>1473</x:v>
      </x:c>
      <x:c r="B1475" s="80" t="n">
        <x:v>0.44165578045007886</x:v>
      </x:c>
      <x:c r="C1475" s="84" t="n">
        <x:f>SQRT('Resumen'!$B$5^3/3)*B1475</x:f>
        <x:v>0.25499008373200727</x:v>
      </x:c>
      <x:c r="D1475" s="84" t="n">
        <x:f>C1475^2-'Resumen'!$B$5^3/3</x:f>
        <x:v>-0.26831339053167724</x:v>
      </x:c>
      <x:c r="E1475" s="85" t="n">
        <x:f>D1475+'Resumen'!$B$5^3/3</x:f>
        <x:v>0.06501994280165607</x:v>
      </x:c>
    </x:row>
    <x:row r="1476">
      <x:c r="A1476" s="89" t="n">
        <x:v>1474</x:v>
      </x:c>
      <x:c r="B1476" s="80" t="n">
        <x:v>0.33141774840380883</x:v>
      </x:c>
      <x:c r="C1476" s="84" t="n">
        <x:f>SQRT('Resumen'!$B$5^3/3)*B1476</x:f>
        <x:v>0.19134412625515868</x:v>
      </x:c>
      <x:c r="D1476" s="84" t="n">
        <x:f>C1476^2-'Resumen'!$B$5^3/3</x:f>
        <x:v>-0.2967207586809832</x:v>
      </x:c>
      <x:c r="E1476" s="85" t="n">
        <x:f>D1476+'Resumen'!$B$5^3/3</x:f>
        <x:v>0.03661257465235013</x:v>
      </x:c>
    </x:row>
    <x:row r="1477">
      <x:c r="A1477" s="89" t="n">
        <x:v>1475</x:v>
      </x:c>
      <x:c r="B1477" s="80" t="n">
        <x:v>-0.053268868812808345</x:v>
      </x:c>
      <x:c r="C1477" s="84" t="n">
        <x:f>SQRT('Resumen'!$B$5^3/3)*B1477</x:f>
        <x:v>-0.03075479574850176</x:v>
      </x:c>
      <x:c r="D1477" s="84" t="n">
        <x:f>C1477^2-'Resumen'!$B$5^3/3</x:f>
        <x:v>-0.33238747587180123</x:v>
      </x:c>
      <x:c r="E1477" s="85" t="n">
        <x:f>D1477+'Resumen'!$B$5^3/3</x:f>
        <x:v>0.0009458574615320847</x:v>
      </x:c>
    </x:row>
    <x:row r="1478">
      <x:c r="A1478" s="89" t="n">
        <x:v>1476</x:v>
      </x:c>
      <x:c r="B1478" s="80" t="n">
        <x:v>-0.469090745858927</x:v>
      </x:c>
      <x:c r="C1478" s="84" t="n">
        <x:f>SQRT('Resumen'!$B$5^3/3)*B1478</x:f>
        <x:v>-0.2708296683960138</x:v>
      </x:c>
      <x:c r="D1478" s="84" t="n">
        <x:f>C1478^2-'Resumen'!$B$5^3/3</x:f>
        <x:v>-0.2599846240498385</x:v>
      </x:c>
      <x:c r="E1478" s="85" t="n">
        <x:f>D1478+'Resumen'!$B$5^3/3</x:f>
        <x:v>0.0733487092834948</x:v>
      </x:c>
    </x:row>
    <x:row r="1479">
      <x:c r="A1479" s="89" t="n">
        <x:v>1477</x:v>
      </x:c>
      <x:c r="B1479" s="80" t="n">
        <x:v>-0.6375640210179696</x:v>
      </x:c>
      <x:c r="C1479" s="84" t="n">
        <x:f>SQRT('Resumen'!$B$5^3/3)*B1479</x:f>
        <x:v>-0.36809775916034493</x:v>
      </x:c>
      <x:c r="D1479" s="84" t="n">
        <x:f>C1479^2-'Resumen'!$B$5^3/3</x:f>
        <x:v>-0.19783737303446602</x:v>
      </x:c>
      <x:c r="E1479" s="85" t="n">
        <x:f>D1479+'Resumen'!$B$5^3/3</x:f>
        <x:v>0.1354959602988673</x:v>
      </x:c>
    </x:row>
    <x:row r="1480">
      <x:c r="A1480" s="89" t="n">
        <x:v>1478</x:v>
      </x:c>
      <x:c r="B1480" s="80" t="n">
        <x:v>0.2657044409232762</x:v>
      </x:c>
      <x:c r="C1480" s="84" t="n">
        <x:f>SQRT('Resumen'!$B$5^3/3)*B1480</x:f>
        <x:v>0.15340453049193253</x:v>
      </x:c>
      <x:c r="D1480" s="84" t="n">
        <x:f>C1480^2-'Resumen'!$B$5^3/3</x:f>
        <x:v>-0.30980038335788307</x:v>
      </x:c>
      <x:c r="E1480" s="85" t="n">
        <x:f>D1480+'Resumen'!$B$5^3/3</x:f>
        <x:v>0.023532949975450246</x:v>
      </x:c>
    </x:row>
    <x:row r="1481">
      <x:c r="A1481" s="89" t="n">
        <x:v>1479</x:v>
      </x:c>
      <x:c r="B1481" s="80" t="n">
        <x:v>1.5259338220726806</x:v>
      </x:c>
      <x:c r="C1481" s="84" t="n">
        <x:f>SQRT('Resumen'!$B$5^3/3)*B1481</x:f>
        <x:v>0.8809983029392165</x:v>
      </x:c>
      <x:c r="D1481" s="84" t="n">
        <x:f>C1481^2-'Resumen'!$B$5^3/3</x:f>
        <x:v>0.4428246764484463</x:v>
      </x:c>
      <x:c r="E1481" s="85" t="n">
        <x:f>D1481+'Resumen'!$B$5^3/3</x:f>
        <x:v>0.7761580097817796</x:v>
      </x:c>
    </x:row>
    <x:row r="1482">
      <x:c r="A1482" s="89" t="n">
        <x:v>1480</x:v>
      </x:c>
      <x:c r="B1482" s="80" t="n">
        <x:v>-0.7412712140531266</x:v>
      </x:c>
      <x:c r="C1482" s="84" t="n">
        <x:f>SQRT('Resumen'!$B$5^3/3)*B1482</x:f>
        <x:v>-0.4279731349760933</x:v>
      </x:c>
      <x:c r="D1482" s="84" t="n">
        <x:f>C1482^2-'Resumen'!$B$5^3/3</x:f>
        <x:v>-0.15017232907206796</x:v>
      </x:c>
      <x:c r="E1482" s="85" t="n">
        <x:f>D1482+'Resumen'!$B$5^3/3</x:f>
        <x:v>0.18316100426126536</x:v>
      </x:c>
    </x:row>
    <x:row r="1483">
      <x:c r="A1483" s="89" t="n">
        <x:v>1481</x:v>
      </x:c>
      <x:c r="B1483" s="80" t="n">
        <x:v>-0.5021983671610654</x:v>
      </x:c>
      <x:c r="C1483" s="84" t="n">
        <x:f>SQRT('Resumen'!$B$5^3/3)*B1483</x:f>
        <x:v>-0.2899443624670316</x:v>
      </x:c>
      <x:c r="D1483" s="84" t="n">
        <x:f>C1483^2-'Resumen'!$B$5^3/3</x:f>
        <x:v>-0.2492656000069199</x:v>
      </x:c>
      <x:c r="E1483" s="85" t="n">
        <x:f>D1483+'Resumen'!$B$5^3/3</x:f>
        <x:v>0.0840677333264134</x:v>
      </x:c>
    </x:row>
    <x:row r="1484">
      <x:c r="A1484" s="89" t="n">
        <x:v>1482</x:v>
      </x:c>
      <x:c r="B1484" s="80" t="n">
        <x:v>0.4231473009193023</x:v>
      </x:c>
      <x:c r="C1484" s="84" t="n">
        <x:f>SQRT('Resumen'!$B$5^3/3)*B1484</x:f>
        <x:v>0.24430420809262274</x:v>
      </x:c>
      <x:c r="D1484" s="84" t="n">
        <x:f>C1484^2-'Resumen'!$B$5^3/3</x:f>
        <x:v>-0.2736487872415698</x:v>
      </x:c>
      <x:c r="E1484" s="85" t="n">
        <x:f>D1484+'Resumen'!$B$5^3/3</x:f>
        <x:v>0.05968454609176349</x:v>
      </x:c>
    </x:row>
    <x:row r="1485">
      <x:c r="A1485" s="89" t="n">
        <x:v>1483</x:v>
      </x:c>
      <x:c r="B1485" s="80" t="n">
        <x:v>-0.14923713278971973</x:v>
      </x:c>
      <x:c r="C1485" s="84" t="n">
        <x:f>SQRT('Resumen'!$B$5^3/3)*B1485</x:f>
        <x:v>-0.0861620987892326</x:v>
      </x:c>
      <x:c r="D1485" s="84" t="n">
        <x:f>C1485^2-'Resumen'!$B$5^3/3</x:f>
        <x:v>-0.32590942606556783</x:v>
      </x:c>
      <x:c r="E1485" s="85" t="n">
        <x:f>D1485+'Resumen'!$B$5^3/3</x:f>
        <x:v>0.007423907267765484</x:v>
      </x:c>
    </x:row>
    <x:row r="1486">
      <x:c r="A1486" s="89" t="n">
        <x:v>1484</x:v>
      </x:c>
      <x:c r="B1486" s="80" t="n">
        <x:v>0.10263849665554965</x:v>
      </x:c>
      <x:c r="C1486" s="84" t="n">
        <x:f>SQRT('Resumen'!$B$5^3/3)*B1486</x:f>
        <x:v>0.05925836367330009</x:v>
      </x:c>
      <x:c r="D1486" s="84" t="n">
        <x:f>C1486^2-'Resumen'!$B$5^3/3</x:f>
        <x:v>-0.3298217796680962</x:v>
      </x:c>
      <x:c r="E1486" s="85" t="n">
        <x:f>D1486+'Resumen'!$B$5^3/3</x:f>
        <x:v>0.0035115536652370882</x:v>
      </x:c>
    </x:row>
    <x:row r="1487">
      <x:c r="A1487" s="89" t="n">
        <x:v>1485</x:v>
      </x:c>
      <x:c r="B1487" s="80" t="n">
        <x:v>1.8362309006983768</x:v>
      </x:c>
      <x:c r="C1487" s="84" t="n">
        <x:f>SQRT('Resumen'!$B$5^3/3)*B1487</x:f>
        <x:v>1.0601484048125167</x:v>
      </x:c>
      <x:c r="D1487" s="84" t="n">
        <x:f>C1487^2-'Resumen'!$B$5^3/3</x:f>
        <x:v>0.7905813068931906</x:v>
      </x:c>
      <x:c r="E1487" s="85" t="n">
        <x:f>D1487+'Resumen'!$B$5^3/3</x:f>
        <x:v>1.1239146402265239</x:v>
      </x:c>
    </x:row>
    <x:row r="1488">
      <x:c r="A1488" s="89" t="n">
        <x:v>1486</x:v>
      </x:c>
      <x:c r="B1488" s="80" t="n">
        <x:v>1.31661509539116</x:v>
      </x:c>
      <x:c r="C1488" s="84" t="n">
        <x:f>SQRT('Resumen'!$B$5^3/3)*B1488</x:f>
        <x:v>0.760148079743211</x:v>
      </x:c>
      <x:c r="D1488" s="84" t="n">
        <x:f>C1488^2-'Resumen'!$B$5^3/3</x:f>
        <x:v>0.24449176980395776</x:v>
      </x:c>
      <x:c r="E1488" s="85" t="n">
        <x:f>D1488+'Resumen'!$B$5^3/3</x:f>
        <x:v>0.5778251031372911</x:v>
      </x:c>
    </x:row>
    <x:row r="1489">
      <x:c r="A1489" s="89" t="n">
        <x:v>1487</x:v>
      </x:c>
      <x:c r="B1489" s="80" t="n">
        <x:v>2.2936855402689416</x:v>
      </x:c>
      <x:c r="C1489" s="84" t="n">
        <x:f>SQRT('Resumen'!$B$5^3/3)*B1489</x:f>
        <x:v>1.3242599641106256</x:v>
      </x:c>
      <x:c r="D1489" s="84" t="n">
        <x:f>C1489^2-'Resumen'!$B$5^3/3</x:f>
        <x:v>1.4203311192129422</x:v>
      </x:c>
      <x:c r="E1489" s="85" t="n">
        <x:f>D1489+'Resumen'!$B$5^3/3</x:f>
        <x:v>1.7536644525462755</x:v>
      </x:c>
    </x:row>
    <x:row r="1490">
      <x:c r="A1490" s="89" t="n">
        <x:v>1488</x:v>
      </x:c>
      <x:c r="B1490" s="80" t="n">
        <x:v>-0.2737447770324454</x:v>
      </x:c>
      <x:c r="C1490" s="84" t="n">
        <x:f>SQRT('Resumen'!$B$5^3/3)*B1490</x:f>
        <x:v>-0.1580466207089364</x:v>
      </x:c>
      <x:c r="D1490" s="84" t="n">
        <x:f>C1490^2-'Resumen'!$B$5^3/3</x:f>
        <x:v>-0.3083545990158189</x:v>
      </x:c>
      <x:c r="E1490" s="85" t="n">
        <x:f>D1490+'Resumen'!$B$5^3/3</x:f>
        <x:v>0.024978734317514406</x:v>
      </x:c>
    </x:row>
    <x:row r="1491">
      <x:c r="A1491" s="89" t="n">
        <x:v>1489</x:v>
      </x:c>
      <x:c r="B1491" s="80" t="n">
        <x:v>0.7945327376884225</x:v>
      </x:c>
      <x:c r="C1491" s="84" t="n">
        <x:f>SQRT('Resumen'!$B$5^3/3)*B1491</x:f>
        <x:v>0.458723689984381</x:v>
      </x:c>
      <x:c r="D1491" s="84" t="n">
        <x:f>C1491^2-'Resumen'!$B$5^3/3</x:f>
        <x:v>-0.12290590958044681</x:v>
      </x:c>
      <x:c r="E1491" s="85" t="n">
        <x:f>D1491+'Resumen'!$B$5^3/3</x:f>
        <x:v>0.2104274237528865</x:v>
      </x:c>
    </x:row>
    <x:row r="1492">
      <x:c r="A1492" s="89" t="n">
        <x:v>1490</x:v>
      </x:c>
      <x:c r="B1492" s="80" t="n">
        <x:v>0.9668920095985919</x:v>
      </x:c>
      <x:c r="C1492" s="84" t="n">
        <x:f>SQRT('Resumen'!$B$5^3/3)*B1492</x:f>
        <x:v>0.5582353620190452</x:v>
      </x:c>
      <x:c r="D1492" s="84" t="n">
        <x:f>C1492^2-'Resumen'!$B$5^3/3</x:f>
        <x:v>-0.021706613924798834</x:v>
      </x:c>
      <x:c r="E1492" s="85" t="n">
        <x:f>D1492+'Resumen'!$B$5^3/3</x:f>
        <x:v>0.3116267194085345</x:v>
      </x:c>
    </x:row>
    <x:row r="1493">
      <x:c r="A1493" s="89" t="n">
        <x:v>1491</x:v>
      </x:c>
      <x:c r="B1493" s="80" t="n">
        <x:v>-0.48857398050964385</x:v>
      </x:c>
      <x:c r="C1493" s="84" t="n">
        <x:f>SQRT('Resumen'!$B$5^3/3)*B1493</x:f>
        <x:v>-0.28207831916628984</x:v>
      </x:c>
      <x:c r="D1493" s="84" t="n">
        <x:f>C1493^2-'Resumen'!$B$5^3/3</x:f>
        <x:v>-0.25376515518965403</x:v>
      </x:c>
      <x:c r="E1493" s="85" t="n">
        <x:f>D1493+'Resumen'!$B$5^3/3</x:f>
        <x:v>0.07956817814367928</x:v>
      </x:c>
    </x:row>
    <x:row r="1494">
      <x:c r="A1494" s="89" t="n">
        <x:v>1492</x:v>
      </x:c>
      <x:c r="B1494" s="80" t="n">
        <x:v>-1.0538452628143145</x:v>
      </x:c>
      <x:c r="C1494" s="84" t="n">
        <x:f>SQRT('Resumen'!$B$5^3/3)*B1494</x:f>
        <x:v>-0.6084378461700564</x:v>
      </x:c>
      <x:c r="D1494" s="84" t="n">
        <x:f>C1494^2-'Resumen'!$B$5^3/3</x:f>
        <x:v>0.03686327931872385</x:v>
      </x:c>
      <x:c r="E1494" s="85" t="n">
        <x:f>D1494+'Resumen'!$B$5^3/3</x:f>
        <x:v>0.37019661265205717</x:v>
      </x:c>
    </x:row>
    <x:row r="1495">
      <x:c r="A1495" s="89" t="n">
        <x:v>1493</x:v>
      </x:c>
      <x:c r="B1495" s="80" t="n">
        <x:v>0.6822028979794509</x:v>
      </x:c>
      <x:c r="C1495" s="84" t="n">
        <x:f>SQRT('Resumen'!$B$5^3/3)*B1495</x:f>
        <x:v>0.39387002679037875</x:v>
      </x:c>
      <x:c r="D1495" s="84" t="n">
        <x:f>C1495^2-'Resumen'!$B$5^3/3</x:f>
        <x:v>-0.17819973532947964</x:v>
      </x:c>
      <x:c r="E1495" s="85" t="n">
        <x:f>D1495+'Resumen'!$B$5^3/3</x:f>
        <x:v>0.15513359800385368</x:v>
      </x:c>
    </x:row>
    <x:row r="1496">
      <x:c r="A1496" s="89" t="n">
        <x:v>1494</x:v>
      </x:c>
      <x:c r="B1496" s="80" t="n">
        <x:v>-1.1868571093091465</x:v>
      </x:c>
      <x:c r="C1496" s="84" t="n">
        <x:f>SQRT('Resumen'!$B$5^3/3)*B1496</x:f>
        <x:v>-0.6852322715492568</x:v>
      </x:c>
      <x:c r="D1496" s="84" t="n">
        <x:f>C1496^2-'Resumen'!$B$5^3/3</x:f>
        <x:v>0.1362099326392211</x:v>
      </x:c>
      <x:c r="E1496" s="85" t="n">
        <x:f>D1496+'Resumen'!$B$5^3/3</x:f>
        <x:v>0.4695432659725544</x:v>
      </x:c>
    </x:row>
    <x:row r="1497">
      <x:c r="A1497" s="89" t="n">
        <x:v>1495</x:v>
      </x:c>
      <x:c r="B1497" s="80" t="n">
        <x:v>-1.23697670748561</x:v>
      </x:c>
      <x:c r="C1497" s="84" t="n">
        <x:f>SQRT('Resumen'!$B$5^3/3)*B1497</x:f>
        <x:v>-0.7141688350481138</x:v>
      </x:c>
      <x:c r="D1497" s="84" t="n">
        <x:f>C1497^2-'Resumen'!$B$5^3/3</x:f>
        <x:v>0.1767037916206467</x:v>
      </x:c>
      <x:c r="E1497" s="85" t="n">
        <x:f>D1497+'Resumen'!$B$5^3/3</x:f>
        <x:v>0.51003712495398</x:v>
      </x:c>
    </x:row>
    <x:row r="1498">
      <x:c r="A1498" s="89" t="n">
        <x:v>1496</x:v>
      </x:c>
      <x:c r="B1498" s="80" t="n">
        <x:v>1.2256604872798225</x:v>
      </x:c>
      <x:c r="C1498" s="84" t="n">
        <x:f>SQRT('Resumen'!$B$5^3/3)*B1498</x:f>
        <x:v>0.7076354122660934</x:v>
      </x:c>
      <x:c r="D1498" s="84" t="n">
        <x:f>C1498^2-'Resumen'!$B$5^3/3</x:f>
        <x:v>0.1674145433596706</x:v>
      </x:c>
      <x:c r="E1498" s="85" t="n">
        <x:f>D1498+'Resumen'!$B$5^3/3</x:f>
        <x:v>0.5007478766930039</x:v>
      </x:c>
    </x:row>
    <x:row r="1499">
      <x:c r="A1499" s="89" t="n">
        <x:v>1497</x:v>
      </x:c>
      <x:c r="B1499" s="80" t="n">
        <x:v>-0.6256943358157915</x:v>
      </x:c>
      <x:c r="C1499" s="84" t="n">
        <x:f>SQRT('Resumen'!$B$5^3/3)*B1499</x:f>
        <x:v>-0.3612447932136713</x:v>
      </x:c>
      <x:c r="D1499" s="84" t="n">
        <x:f>C1499^2-'Resumen'!$B$5^3/3</x:f>
        <x:v>-0.20283553270934518</x:v>
      </x:c>
      <x:c r="E1499" s="85" t="n">
        <x:f>D1499+'Resumen'!$B$5^3/3</x:f>
        <x:v>0.13049780062398814</x:v>
      </x:c>
    </x:row>
    <x:row r="1500">
      <x:c r="A1500" s="89" t="n">
        <x:v>1498</x:v>
      </x:c>
      <x:c r="B1500" s="80" t="n">
        <x:v>-2.2639469535022814</x:v>
      </x:c>
      <x:c r="C1500" s="84" t="n">
        <x:f>SQRT('Resumen'!$B$5^3/3)*B1500</x:f>
        <x:v>-1.3070903830355753</x:v>
      </x:c>
      <x:c r="D1500" s="84" t="n">
        <x:f>C1500^2-'Resumen'!$B$5^3/3</x:f>
        <x:v>1.3751519360907538</x:v>
      </x:c>
      <x:c r="E1500" s="85" t="n">
        <x:f>D1500+'Resumen'!$B$5^3/3</x:f>
        <x:v>1.708485269424087</x:v>
      </x:c>
    </x:row>
    <x:row r="1501">
      <x:c r="A1501" s="89" t="n">
        <x:v>1499</x:v>
      </x:c>
      <x:c r="B1501" s="80" t="n">
        <x:v>0.6791661178961546</x:v>
      </x:c>
      <x:c r="C1501" s="84" t="n">
        <x:f>SQRT('Resumen'!$B$5^3/3)*B1501</x:f>
        <x:v>0.3921167409918179</x:v>
      </x:c>
      <x:c r="D1501" s="84" t="n">
        <x:f>C1501^2-'Resumen'!$B$5^3/3</x:f>
        <x:v>-0.17957779476728888</x:v>
      </x:c>
      <x:c r="E1501" s="85" t="n">
        <x:f>D1501+'Resumen'!$B$5^3/3</x:f>
        <x:v>0.15375553856604443</x:v>
      </x:c>
    </x:row>
    <x:row r="1502">
      <x:c r="A1502" s="89" t="n">
        <x:v>1500</x:v>
      </x:c>
      <x:c r="B1502" s="80" t="n">
        <x:v>0.9739893534363065</x:v>
      </x:c>
      <x:c r="C1502" s="84" t="n">
        <x:f>SQRT('Resumen'!$B$5^3/3)*B1502</x:f>
        <x:v>0.5623330153942812</x:v>
      </x:c>
      <x:c r="D1502" s="84" t="n">
        <x:f>C1502^2-'Resumen'!$B$5^3/3</x:f>
        <x:v>-0.01711491313090846</x:v>
      </x:c>
      <x:c r="E1502" s="85" t="n">
        <x:f>D1502+'Resumen'!$B$5^3/3</x:f>
        <x:v>0.31621842020242485</x:v>
      </x:c>
    </x:row>
    <x:row r="1503">
      <x:c r="A1503" s="89" t="n">
        <x:v>1501</x:v>
      </x:c>
      <x:c r="B1503" s="80" t="n">
        <x:v>1.0990333673609924</x:v>
      </x:c>
      <x:c r="C1503" s="84" t="n">
        <x:f>SQRT('Resumen'!$B$5^3/3)*B1503</x:f>
        <x:v>0.6345272104942498</x:v>
      </x:c>
      <x:c r="D1503" s="84" t="n">
        <x:f>C1503^2-'Resumen'!$B$5^3/3</x:f>
        <x:v>0.06929144752428062</x:v>
      </x:c>
      <x:c r="E1503" s="85" t="n">
        <x:f>D1503+'Resumen'!$B$5^3/3</x:f>
        <x:v>0.40262478085761394</x:v>
      </x:c>
    </x:row>
    <x:row r="1504">
      <x:c r="A1504" s="89" t="n">
        <x:v>1502</x:v>
      </x:c>
      <x:c r="B1504" s="80" t="n">
        <x:v>-1.3749593226502794</x:v>
      </x:c>
      <x:c r="C1504" s="84" t="n">
        <x:f>SQRT('Resumen'!$B$5^3/3)*B1504</x:f>
        <x:v>-0.7938331350569243</x:v>
      </x:c>
      <x:c r="D1504" s="84" t="n">
        <x:f>C1504^2-'Resumen'!$B$5^3/3</x:f>
        <x:v>0.2968377129809718</x:v>
      </x:c>
      <x:c r="E1504" s="85" t="n">
        <x:f>D1504+'Resumen'!$B$5^3/3</x:f>
        <x:v>0.6301710463143051</x:v>
      </x:c>
    </x:row>
    <x:row r="1505">
      <x:c r="A1505" s="89" t="n">
        <x:v>1503</x:v>
      </x:c>
      <x:c r="B1505" s="80" t="n">
        <x:v>0.6767211039185275</x:v>
      </x:c>
      <x:c r="C1505" s="84" t="n">
        <x:f>SQRT('Resumen'!$B$5^3/3)*B1505</x:f>
        <x:v>0.3907051115136625</x:v>
      </x:c>
      <x:c r="D1505" s="84" t="n">
        <x:f>C1505^2-'Resumen'!$B$5^3/3</x:f>
        <x:v>-0.18068284917042987</x:v>
      </x:c>
      <x:c r="E1505" s="85" t="n">
        <x:f>D1505+'Resumen'!$B$5^3/3</x:f>
        <x:v>0.15265048416290344</x:v>
      </x:c>
    </x:row>
    <x:row r="1506">
      <x:c r="A1506" s="89" t="n">
        <x:v>1504</x:v>
      </x:c>
      <x:c r="B1506" s="80" t="n">
        <x:v>1.656436739084102</x:v>
      </x:c>
      <x:c r="C1506" s="84" t="n">
        <x:f>SQRT('Resumen'!$B$5^3/3)*B1506</x:f>
        <x:v>0.9563441972057921</x:v>
      </x:c>
      <x:c r="D1506" s="84" t="n">
        <x:f>C1506^2-'Resumen'!$B$5^3/3</x:f>
        <x:v>0.5812608901958576</x:v>
      </x:c>
      <x:c r="E1506" s="85" t="n">
        <x:f>D1506+'Resumen'!$B$5^3/3</x:f>
        <x:v>0.9145942235291908</x:v>
      </x:c>
    </x:row>
    <x:row r="1507">
      <x:c r="A1507" s="89" t="n">
        <x:v>1505</x:v>
      </x:c>
      <x:c r="B1507" s="80" t="n">
        <x:v>-0.820335411538419</x:v>
      </x:c>
      <x:c r="C1507" s="84" t="n">
        <x:f>SQRT('Resumen'!$B$5^3/3)*B1507</x:f>
        <x:v>-0.47362087067748865</x:v>
      </x:c>
      <x:c r="D1507" s="84" t="n">
        <x:f>C1507^2-'Resumen'!$B$5^3/3</x:f>
        <x:v>-0.10901660419203088</x:v>
      </x:c>
      <x:c r="E1507" s="85" t="n">
        <x:f>D1507+'Resumen'!$B$5^3/3</x:f>
        <x:v>0.22431672914130243</x:v>
      </x:c>
    </x:row>
    <x:row r="1508">
      <x:c r="A1508" s="89" t="n">
        <x:v>1506</x:v>
      </x:c>
      <x:c r="B1508" s="80" t="n">
        <x:v>-0.5900727262684601</x:v>
      </x:c>
      <x:c r="C1508" s="84" t="n">
        <x:f>SQRT('Resumen'!$B$5^3/3)*B1508</x:f>
        <x:v>-0.34067864735255177</x:v>
      </x:c>
      <x:c r="D1508" s="84" t="n">
        <x:f>C1508^2-'Resumen'!$B$5^3/3</x:f>
        <x:v>-0.217271392571369</x:v>
      </x:c>
      <x:c r="E1508" s="85" t="n">
        <x:f>D1508+'Resumen'!$B$5^3/3</x:f>
        <x:v>0.11606194076196433</x:v>
      </x:c>
    </x:row>
    <x:row r="1509">
      <x:c r="A1509" s="89" t="n">
        <x:v>1507</x:v>
      </x:c>
      <x:c r="B1509" s="80" t="n">
        <x:v>-0.8486836153557534</x:v>
      </x:c>
      <x:c r="C1509" s="84" t="n">
        <x:f>SQRT('Resumen'!$B$5^3/3)*B1509</x:f>
        <x:v>-0.489987713782469</x:v>
      </x:c>
      <x:c r="D1509" s="84" t="n">
        <x:f>C1509^2-'Resumen'!$B$5^3/3</x:f>
        <x:v>-0.09324537367556252</x:v>
      </x:c>
      <x:c r="E1509" s="85" t="n">
        <x:f>D1509+'Resumen'!$B$5^3/3</x:f>
        <x:v>0.2400879596577708</x:v>
      </x:c>
    </x:row>
    <x:row r="1510">
      <x:c r="A1510" s="89" t="n">
        <x:v>1508</x:v>
      </x:c>
      <x:c r="B1510" s="80" t="n">
        <x:v>1.5910046067319827</x:v>
      </x:c>
      <x:c r="C1510" s="84" t="n">
        <x:f>SQRT('Resumen'!$B$5^3/3)*B1510</x:f>
        <x:v>0.9185669379786449</x:v>
      </x:c>
      <x:c r="D1510" s="84" t="n">
        <x:f>C1510^2-'Resumen'!$B$5^3/3</x:f>
        <x:v>0.5104318862141304</x:v>
      </x:c>
      <x:c r="E1510" s="85" t="n">
        <x:f>D1510+'Resumen'!$B$5^3/3</x:f>
        <x:v>0.8437652195474636</x:v>
      </x:c>
    </x:row>
    <x:row r="1511">
      <x:c r="A1511" s="89" t="n">
        <x:v>1509</x:v>
      </x:c>
      <x:c r="B1511" s="80" t="n">
        <x:v>-0.22259807842605267</x:v>
      </x:c>
      <x:c r="C1511" s="84" t="n">
        <x:f>SQRT('Resumen'!$B$5^3/3)*B1511</x:f>
        <x:v>-0.12851706050037492</x:v>
      </x:c>
      <x:c r="D1511" s="84" t="n">
        <x:f>C1511^2-'Resumen'!$B$5^3/3</x:f>
        <x:v>-0.3168166984936763</x:v>
      </x:c>
      <x:c r="E1511" s="85" t="n">
        <x:f>D1511+'Resumen'!$B$5^3/3</x:f>
        <x:v>0.01651663483965704</x:v>
      </x:c>
    </x:row>
    <x:row r="1512">
      <x:c r="A1512" s="89" t="n">
        <x:v>1510</x:v>
      </x:c>
      <x:c r="B1512" s="80" t="n">
        <x:v>-0.45401844867172075</x:v>
      </x:c>
      <x:c r="C1512" s="84" t="n">
        <x:f>SQRT('Resumen'!$B$5^3/3)*B1512</x:f>
        <x:v>-0.26212767355767425</x:v>
      </x:c>
      <x:c r="D1512" s="84" t="n">
        <x:f>C1512^2-'Resumen'!$B$5^3/3</x:f>
        <x:v>-0.2646224160885747</x:v>
      </x:c>
      <x:c r="E1512" s="85" t="n">
        <x:f>D1512+'Resumen'!$B$5^3/3</x:f>
        <x:v>0.06871091724475864</x:v>
      </x:c>
    </x:row>
    <x:row r="1513">
      <x:c r="A1513" s="89" t="n">
        <x:v>1511</x:v>
      </x:c>
      <x:c r="B1513" s="80" t="n">
        <x:v>0.9824040335201136</x:v>
      </x:c>
      <x:c r="C1513" s="84" t="n">
        <x:f>SQRT('Resumen'!$B$5^3/3)*B1513</x:f>
        <x:v>0.5671912332058117</x:v>
      </x:c>
      <x:c r="D1513" s="84" t="n">
        <x:f>C1513^2-'Resumen'!$B$5^3/3</x:f>
        <x:v>-0.011627438307803883</x:v>
      </x:c>
      <x:c r="E1513" s="85" t="n">
        <x:f>D1513+'Resumen'!$B$5^3/3</x:f>
        <x:v>0.32170589502552943</x:v>
      </x:c>
    </x:row>
    <x:row r="1514">
      <x:c r="A1514" s="89" t="n">
        <x:v>1512</x:v>
      </x:c>
      <x:c r="B1514" s="80" t="n">
        <x:v>0.4994756846032763</x:v>
      </x:c>
      <x:c r="C1514" s="84" t="n">
        <x:f>SQRT('Resumen'!$B$5^3/3)*B1514</x:f>
        <x:v>0.28837242095937415</x:v>
      </x:c>
      <x:c r="D1514" s="84" t="n">
        <x:f>C1514^2-'Resumen'!$B$5^3/3</x:f>
        <x:v>-0.2501746801633628</x:v>
      </x:c>
      <x:c r="E1514" s="85" t="n">
        <x:f>D1514+'Resumen'!$B$5^3/3</x:f>
        <x:v>0.08315865316997051</x:v>
      </x:c>
    </x:row>
    <x:row r="1515">
      <x:c r="A1515" s="89" t="n">
        <x:v>1513</x:v>
      </x:c>
      <x:c r="B1515" s="80" t="n">
        <x:v>-0.02007901406438373</x:v>
      </x:c>
      <x:c r="C1515" s="84" t="n">
        <x:f>SQRT('Resumen'!$B$5^3/3)*B1515</x:f>
        <x:v>-0.011592624175134228</x:v>
      </x:c>
      <x:c r="D1515" s="84" t="n">
        <x:f>C1515^2-'Resumen'!$B$5^3/3</x:f>
        <x:v>-0.3331989443980674</x:v>
      </x:c>
      <x:c r="E1515" s="85" t="n">
        <x:f>D1515+'Resumen'!$B$5^3/3</x:f>
        <x:v>0.00013438893526590556</x:v>
      </x:c>
    </x:row>
    <x:row r="1516">
      <x:c r="A1516" s="89" t="n">
        <x:v>1514</x:v>
      </x:c>
      <x:c r="B1516" s="80" t="n">
        <x:v>-1.2592762112831333</x:v>
      </x:c>
      <x:c r="C1516" s="84" t="n">
        <x:f>SQRT('Resumen'!$B$5^3/3)*B1516</x:f>
        <x:v>-0.727043459568409</x:v>
      </x:c>
      <x:c r="D1516" s="84" t="n">
        <x:f>C1516^2-'Resumen'!$B$5^3/3</x:f>
        <x:v>0.19525885876786747</x:v>
      </x:c>
      <x:c r="E1516" s="85" t="n">
        <x:f>D1516+'Resumen'!$B$5^3/3</x:f>
        <x:v>0.5285921921012008</x:v>
      </x:c>
    </x:row>
    <x:row r="1517">
      <x:c r="A1517" s="89" t="n">
        <x:v>1515</x:v>
      </x:c>
      <x:c r="B1517" s="80" t="n">
        <x:v>0.6184772292063946</x:v>
      </x:c>
      <x:c r="C1517" s="84" t="n">
        <x:f>SQRT('Resumen'!$B$5^3/3)*B1517</x:f>
        <x:v>0.35707799476996577</x:v>
      </x:c>
      <x:c r="D1517" s="84" t="n">
        <x:f>C1517^2-'Resumen'!$B$5^3/3</x:f>
        <x:v>-0.2058286389843936</x:v>
      </x:c>
      <x:c r="E1517" s="85" t="n">
        <x:f>D1517+'Resumen'!$B$5^3/3</x:f>
        <x:v>0.1275046943489397</x:v>
      </x:c>
    </x:row>
    <x:row r="1518">
      <x:c r="A1518" s="89" t="n">
        <x:v>1516</x:v>
      </x:c>
      <x:c r="B1518" s="80" t="n">
        <x:v>1.0479035058304929</x:v>
      </x:c>
      <x:c r="C1518" s="84" t="n">
        <x:f>SQRT('Resumen'!$B$5^3/3)*B1518</x:f>
        <x:v>0.6050073711759876</x:v>
      </x:c>
      <x:c r="D1518" s="84" t="n">
        <x:f>C1518^2-'Resumen'!$B$5^3/3</x:f>
        <x:v>0.03270058584394586</x:v>
      </x:c>
      <x:c r="E1518" s="85" t="n">
        <x:f>D1518+'Resumen'!$B$5^3/3</x:f>
        <x:v>0.3660339191772792</x:v>
      </x:c>
    </x:row>
    <x:row r="1519">
      <x:c r="A1519" s="89" t="n">
        <x:v>1517</x:v>
      </x:c>
      <x:c r="B1519" s="80" t="n">
        <x:v>-0.1935358928644858</x:v>
      </x:c>
      <x:c r="C1519" s="84" t="n">
        <x:f>SQRT('Resumen'!$B$5^3/3)*B1519</x:f>
        <x:v>-0.11173799984316544</x:v>
      </x:c>
      <x:c r="D1519" s="84" t="n">
        <x:f>C1519^2-'Resumen'!$B$5^3/3</x:f>
        <x:v>-0.32084795272438205</x:v>
      </x:c>
      <x:c r="E1519" s="85" t="n">
        <x:f>D1519+'Resumen'!$B$5^3/3</x:f>
        <x:v>0.012485380608951269</x:v>
      </x:c>
    </x:row>
    <x:row r="1520">
      <x:c r="A1520" s="89" t="n">
        <x:v>1518</x:v>
      </x:c>
      <x:c r="B1520" s="80" t="n">
        <x:v>-2.2238769411856745</x:v>
      </x:c>
      <x:c r="C1520" s="84" t="n">
        <x:f>SQRT('Resumen'!$B$5^3/3)*B1520</x:f>
        <x:v>-1.2839559506381506</x:v>
      </x:c>
      <x:c r="D1520" s="84" t="n">
        <x:f>C1520^2-'Resumen'!$B$5^3/3</x:f>
        <x:v>1.3152095498457839</x:v>
      </x:c>
      <x:c r="E1520" s="85" t="n">
        <x:f>D1520+'Resumen'!$B$5^3/3</x:f>
        <x:v>1.6485428831791171</x:v>
      </x:c>
    </x:row>
    <x:row r="1521">
      <x:c r="A1521" s="89" t="n">
        <x:v>1519</x:v>
      </x:c>
      <x:c r="B1521" s="80" t="n">
        <x:v>-0.6957882819478506</x:v>
      </x:c>
      <x:c r="C1521" s="84" t="n">
        <x:f>SQRT('Resumen'!$B$5^3/3)*B1521</x:f>
        <x:v>-0.40171355188157876</x:v>
      </x:c>
      <x:c r="D1521" s="84" t="n">
        <x:f>C1521^2-'Resumen'!$B$5^3/3</x:f>
        <x:v>-0.17195955556801945</x:v>
      </x:c>
      <x:c r="E1521" s="85" t="n">
        <x:f>D1521+'Resumen'!$B$5^3/3</x:f>
        <x:v>0.16137377776531386</x:v>
      </x:c>
    </x:row>
    <x:row r="1522">
      <x:c r="A1522" s="89" t="n">
        <x:v>1520</x:v>
      </x:c>
      <x:c r="B1522" s="80" t="n">
        <x:v>-1.1923065403116575</x:v>
      </x:c>
      <x:c r="C1522" s="84" t="n">
        <x:f>SQRT('Resumen'!$B$5^3/3)*B1522</x:f>
        <x:v>-0.6883785020054868</x:v>
      </x:c>
      <x:c r="D1522" s="84" t="n">
        <x:f>C1522^2-'Resumen'!$B$5^3/3</x:f>
        <x:v>0.14053162868998464</x:v>
      </x:c>
      <x:c r="E1522" s="85" t="n">
        <x:f>D1522+'Resumen'!$B$5^3/3</x:f>
        <x:v>0.47386496202331796</x:v>
      </x:c>
    </x:row>
    <x:row r="1523">
      <x:c r="A1523" s="89" t="n">
        <x:v>1521</x:v>
      </x:c>
      <x:c r="B1523" s="80" t="n">
        <x:v>0.7644899618266767</x:v>
      </x:c>
      <x:c r="C1523" s="84" t="n">
        <x:f>SQRT('Resumen'!$B$5^3/3)*B1523</x:f>
        <x:v>0.4413784852533985</x:v>
      </x:c>
      <x:c r="D1523" s="84" t="n">
        <x:f>C1523^2-'Resumen'!$B$5^3/3</x:f>
        <x:v>-0.1385183660887488</x:v>
      </x:c>
      <x:c r="E1523" s="85" t="n">
        <x:f>D1523+'Resumen'!$B$5^3/3</x:f>
        <x:v>0.19481496724458452</x:v>
      </x:c>
    </x:row>
    <x:row r="1524">
      <x:c r="A1524" s="89" t="n">
        <x:v>1522</x:v>
      </x:c>
      <x:c r="B1524" s="80" t="n">
        <x:v>2.4333306142030517</x:v>
      </x:c>
      <x:c r="C1524" s="84" t="n">
        <x:f>SQRT('Resumen'!$B$5^3/3)*B1524</x:f>
        <x:v>1.4048840851374893</x:v>
      </x:c>
      <x:c r="D1524" s="84" t="n">
        <x:f>C1524^2-'Resumen'!$B$5^3/3</x:f>
        <x:v>1.640365959339267</x:v>
      </x:c>
      <x:c r="E1524" s="85" t="n">
        <x:f>D1524+'Resumen'!$B$5^3/3</x:f>
        <x:v>1.9736992926726002</x:v>
      </x:c>
    </x:row>
    <x:row r="1525">
      <x:c r="A1525" s="89" t="n">
        <x:v>1523</x:v>
      </x:c>
      <x:c r="B1525" s="80" t="n">
        <x:v>-1.0846053669314353</x:v>
      </x:c>
      <x:c r="C1525" s="84" t="n">
        <x:f>SQRT('Resumen'!$B$5^3/3)*B1525</x:f>
        <x:v>-0.6261972005623769</x:v>
      </x:c>
      <x:c r="D1525" s="84" t="n">
        <x:f>C1525^2-'Resumen'!$B$5^3/3</x:f>
        <x:v>0.05878960065882438</x:v>
      </x:c>
      <x:c r="E1525" s="85" t="n">
        <x:f>D1525+'Resumen'!$B$5^3/3</x:f>
        <x:v>0.3921229339921577</x:v>
      </x:c>
    </x:row>
    <x:row r="1526">
      <x:c r="A1526" s="89" t="n">
        <x:v>1524</x:v>
      </x:c>
      <x:c r="B1526" s="80" t="n">
        <x:v>-1.4694206021134613</x:v>
      </x:c>
      <x:c r="C1526" s="84" t="n">
        <x:f>SQRT('Resumen'!$B$5^3/3)*B1526</x:f>
        <x:v>-0.8483703801829888</x:v>
      </x:c>
      <x:c r="D1526" s="84" t="n">
        <x:f>C1526^2-'Resumen'!$B$5^3/3</x:f>
        <x:v>0.3863989686384957</x:v>
      </x:c>
      <x:c r="E1526" s="85" t="n">
        <x:f>D1526+'Resumen'!$B$5^3/3</x:f>
        <x:v>0.719732301971829</x:v>
      </x:c>
    </x:row>
    <x:row r="1527">
      <x:c r="A1527" s="89" t="n">
        <x:v>1525</x:v>
      </x:c>
      <x:c r="B1527" s="80" t="n">
        <x:v>-0.8472184062869191</x:v>
      </x:c>
      <x:c r="C1527" s="84" t="n">
        <x:f>SQRT('Resumen'!$B$5^3/3)*B1527</x:f>
        <x:v>-0.4891417749321585</x:v>
      </x:c>
      <x:c r="D1527" s="84" t="n">
        <x:f>C1527^2-'Resumen'!$B$5^3/3</x:f>
        <x:v>-0.09407365734955092</x:v>
      </x:c>
      <x:c r="E1527" s="85" t="n">
        <x:f>D1527+'Resumen'!$B$5^3/3</x:f>
        <x:v>0.2392596759837824</x:v>
      </x:c>
    </x:row>
    <x:row r="1528">
      <x:c r="A1528" s="89" t="n">
        <x:v>1526</x:v>
      </x:c>
      <x:c r="B1528" s="80" t="n">
        <x:v>-0.508494869952942</x:v>
      </x:c>
      <x:c r="C1528" s="84" t="n">
        <x:f>SQRT('Resumen'!$B$5^3/3)*B1528</x:f>
        <x:v>-0.2935796500488748</x:v>
      </x:c>
      <x:c r="D1528" s="84" t="n">
        <x:f>C1528^2-'Resumen'!$B$5^3/3</x:f>
        <x:v>-0.2471443224105135</x:v>
      </x:c>
      <x:c r="E1528" s="85" t="n">
        <x:f>D1528+'Resumen'!$B$5^3/3</x:f>
        <x:v>0.0861890109228198</x:v>
      </x:c>
    </x:row>
    <x:row r="1529">
      <x:c r="A1529" s="89" t="n">
        <x:v>1527</x:v>
      </x:c>
      <x:c r="B1529" s="80" t="n">
        <x:v>-0.13694683233844296</x:v>
      </x:c>
      <x:c r="C1529" s="84" t="n">
        <x:f>SQRT('Resumen'!$B$5^3/3)*B1529</x:f>
        <x:v>-0.07906629051526659</x:v>
      </x:c>
      <x:c r="D1529" s="84" t="n">
        <x:f>C1529^2-'Resumen'!$B$5^3/3</x:f>
        <x:v>-0.32708185503748877</x:v>
      </x:c>
      <x:c r="E1529" s="85" t="n">
        <x:f>D1529+'Resumen'!$B$5^3/3</x:f>
        <x:v>0.006251478295844548</x:v>
      </x:c>
    </x:row>
    <x:row r="1530">
      <x:c r="A1530" s="89" t="n">
        <x:v>1528</x:v>
      </x:c>
      <x:c r="B1530" s="80" t="n">
        <x:v>-0.9208530274419124</x:v>
      </x:c>
      <x:c r="C1530" s="84" t="n">
        <x:f>SQRT('Resumen'!$B$5^3/3)*B1530</x:f>
        <x:v>-0.5316547432776699</x:v>
      </x:c>
      <x:c r="D1530" s="84" t="n">
        <x:f>C1530^2-'Resumen'!$B$5^3/3</x:f>
        <x:v>-0.05067656728368819</x:v>
      </x:c>
      <x:c r="E1530" s="85" t="n">
        <x:f>D1530+'Resumen'!$B$5^3/3</x:f>
        <x:v>0.2826567660496451</x:v>
      </x:c>
    </x:row>
    <x:row r="1531">
      <x:c r="A1531" s="89" t="n">
        <x:v>1529</x:v>
      </x:c>
      <x:c r="B1531" s="80" t="n">
        <x:v>-1.4997055811199294</x:v>
      </x:c>
      <x:c r="C1531" s="84" t="n">
        <x:f>SQRT('Resumen'!$B$5^3/3)*B1531</x:f>
        <x:v>-0.8658554209647753</x:v>
      </x:c>
      <x:c r="D1531" s="84" t="n">
        <x:f>C1531^2-'Resumen'!$B$5^3/3</x:f>
        <x:v>0.4163722766807549</x:v>
      </x:c>
      <x:c r="E1531" s="85" t="n">
        <x:f>D1531+'Resumen'!$B$5^3/3</x:f>
        <x:v>0.7497056100140882</x:v>
      </x:c>
    </x:row>
    <x:row r="1532">
      <x:c r="A1532" s="89" t="n">
        <x:v>1530</x:v>
      </x:c>
      <x:c r="B1532" s="80" t="n">
        <x:v>-0.4607087063046163</x:v>
      </x:c>
      <x:c r="C1532" s="84" t="n">
        <x:f>SQRT('Resumen'!$B$5^3/3)*B1532</x:f>
        <x:v>-0.26599029560297444</x:v>
      </x:c>
      <x:c r="D1532" s="84" t="n">
        <x:f>C1532^2-'Resumen'!$B$5^3/3</x:f>
        <x:v>-0.2625824959783756</x:v>
      </x:c>
      <x:c r="E1532" s="85" t="n">
        <x:f>D1532+'Resumen'!$B$5^3/3</x:f>
        <x:v>0.07075083735495774</x:v>
      </x:c>
    </x:row>
    <x:row r="1533">
      <x:c r="A1533" s="89" t="n">
        <x:v>1531</x:v>
      </x:c>
      <x:c r="B1533" s="80" t="n">
        <x:v>-1.3951620716897482</x:v>
      </x:c>
      <x:c r="C1533" s="84" t="n">
        <x:f>SQRT('Resumen'!$B$5^3/3)*B1533</x:f>
        <x:v>-0.805497197653232</x:v>
      </x:c>
      <x:c r="D1533" s="84" t="n">
        <x:f>C1533^2-'Resumen'!$B$5^3/3</x:f>
        <x:v>0.3154924020938766</x:v>
      </x:c>
      <x:c r="E1533" s="85" t="n">
        <x:f>D1533+'Resumen'!$B$5^3/3</x:f>
        <x:v>0.6488257354272099</x:v>
      </x:c>
    </x:row>
    <x:row r="1534">
      <x:c r="A1534" s="89" t="n">
        <x:v>1532</x:v>
      </x:c>
      <x:c r="B1534" s="80" t="n">
        <x:v>1.451567758421002</x:v>
      </x:c>
      <x:c r="C1534" s="84" t="n">
        <x:f>SQRT('Resumen'!$B$5^3/3)*B1534</x:f>
        <x:v>0.8380630360713471</x:v>
      </x:c>
      <x:c r="D1534" s="84" t="n">
        <x:f>C1534^2-'Resumen'!$B$5^3/3</x:f>
        <x:v>0.36901631909579075</x:v>
      </x:c>
      <x:c r="E1534" s="85" t="n">
        <x:f>D1534+'Resumen'!$B$5^3/3</x:f>
        <x:v>0.7023496524291241</x:v>
      </x:c>
    </x:row>
    <x:row r="1535">
      <x:c r="A1535" s="89" t="n">
        <x:v>1533</x:v>
      </x:c>
      <x:c r="B1535" s="80" t="n">
        <x:v>1.2648175333097789</x:v>
      </x:c>
      <x:c r="C1535" s="84" t="n">
        <x:f>SQRT('Resumen'!$B$5^3/3)*B1535</x:f>
        <x:v>0.7302427433321592</x:v>
      </x:c>
      <x:c r="D1535" s="84" t="n">
        <x:f>C1535^2-'Resumen'!$B$5^3/3</x:f>
        <x:v>0.19992113085594448</x:v>
      </x:c>
      <x:c r="E1535" s="85" t="n">
        <x:f>D1535+'Resumen'!$B$5^3/3</x:f>
        <x:v>0.5332544641892778</x:v>
      </x:c>
    </x:row>
    <x:row r="1536">
      <x:c r="A1536" s="89" t="n">
        <x:v>1534</x:v>
      </x:c>
      <x:c r="B1536" s="80" t="n">
        <x:v>-0.952374087148765</x:v>
      </x:c>
      <x:c r="C1536" s="84" t="n">
        <x:f>SQRT('Resumen'!$B$5^3/3)*B1536</x:f>
        <x:v>-0.5498534355845636</x:v>
      </x:c>
      <x:c r="D1536" s="84" t="n">
        <x:f>C1536^2-'Resumen'!$B$5^3/3</x:f>
        <x:v>-0.030994532709185507</x:v>
      </x:c>
      <x:c r="E1536" s="85" t="n">
        <x:f>D1536+'Resumen'!$B$5^3/3</x:f>
        <x:v>0.3023388006241478</x:v>
      </x:c>
    </x:row>
    <x:row r="1537">
      <x:c r="A1537" s="89" t="n">
        <x:v>1535</x:v>
      </x:c>
      <x:c r="B1537" s="80" t="n">
        <x:v>-0.35432071251682273</x:v>
      </x:c>
      <x:c r="C1537" s="84" t="n">
        <x:f>SQRT('Resumen'!$B$5^3/3)*B1537</x:f>
        <x:v>-0.20456715875104758</x:v>
      </x:c>
      <x:c r="D1537" s="84" t="n">
        <x:f>C1537^2-'Resumen'!$B$5^3/3</x:f>
        <x:v>-0.291485610893857</x:v>
      </x:c>
      <x:c r="E1537" s="85" t="n">
        <x:f>D1537+'Resumen'!$B$5^3/3</x:f>
        <x:v>0.04184772243947632</x:v>
      </x:c>
    </x:row>
    <x:row r="1538">
      <x:c r="A1538" s="89" t="n">
        <x:v>1536</x:v>
      </x:c>
      <x:c r="B1538" s="80" t="n">
        <x:v>-0.4338391923015743</x:v>
      </x:c>
      <x:c r="C1538" s="84" t="n">
        <x:f>SQRT('Resumen'!$B$5^3/3)*B1538</x:f>
        <x:v>-0.25047717446032375</x:v>
      </x:c>
      <x:c r="D1538" s="84" t="n">
        <x:f>C1538^2-'Resumen'!$B$5^3/3</x:f>
        <x:v>-0.2705945184077059</x:v>
      </x:c>
      <x:c r="E1538" s="85" t="n">
        <x:f>D1538+'Resumen'!$B$5^3/3</x:f>
        <x:v>0.06273881492562744</x:v>
      </x:c>
    </x:row>
    <x:row r="1539">
      <x:c r="A1539" s="89" t="n">
        <x:v>1537</x:v>
      </x:c>
      <x:c r="B1539" s="80" t="n">
        <x:v>-0.47374304333748485</x:v>
      </x:c>
      <x:c r="C1539" s="84" t="n">
        <x:f>SQRT('Resumen'!$B$5^3/3)*B1539</x:f>
        <x:v>-0.2735156735976094</x:v>
      </x:c>
      <x:c r="D1539" s="84" t="n">
        <x:f>C1539^2-'Resumen'!$B$5^3/3</x:f>
        <x:v>-0.2585225096297793</x:v>
      </x:c>
      <x:c r="E1539" s="85" t="n">
        <x:f>D1539+'Resumen'!$B$5^3/3</x:f>
        <x:v>0.07481082370355402</x:v>
      </x:c>
    </x:row>
    <x:row r="1540">
      <x:c r="A1540" s="89" t="n">
        <x:v>1538</x:v>
      </x:c>
      <x:c r="B1540" s="80" t="n">
        <x:v>-1.1045565548070508</x:v>
      </x:c>
      <x:c r="C1540" s="84" t="n">
        <x:f>SQRT('Resumen'!$B$5^3/3)*B1540</x:f>
        <x:v>-0.6377160242530164</x:v>
      </x:c>
      <x:c r="D1540" s="84" t="n">
        <x:f>C1540^2-'Resumen'!$B$5^3/3</x:f>
        <x:v>0.07334839425574052</x:v>
      </x:c>
      <x:c r="E1540" s="85" t="n">
        <x:f>D1540+'Resumen'!$B$5^3/3</x:f>
        <x:v>0.40668172758907384</x:v>
      </x:c>
    </x:row>
    <x:row r="1541">
      <x:c r="A1541" s="89" t="n">
        <x:v>1539</x:v>
      </x:c>
      <x:c r="B1541" s="80" t="n">
        <x:v>-0.2966342507866136</x:v>
      </x:c>
      <x:c r="C1541" s="84" t="n">
        <x:f>SQRT('Resumen'!$B$5^3/3)*B1541</x:f>
        <x:v>-0.1712618645425143</x:v>
      </x:c>
      <x:c r="D1541" s="84" t="n">
        <x:f>C1541^2-'Resumen'!$B$5^3/3</x:f>
        <x:v>-0.3040027070867548</x:v>
      </x:c>
      <x:c r="E1541" s="85" t="n">
        <x:f>D1541+'Resumen'!$B$5^3/3</x:f>
        <x:v>0.029330626246578506</x:v>
      </x:c>
    </x:row>
    <x:row r="1542">
      <x:c r="A1542" s="89" t="n">
        <x:v>1540</x:v>
      </x:c>
      <x:c r="B1542" s="80" t="n">
        <x:v>-0.5481096950072889</x:v>
      </x:c>
      <x:c r="C1542" s="84" t="n">
        <x:f>SQRT('Resumen'!$B$5^3/3)*B1542</x:f>
        <x:v>-0.3164512799579019</x:v>
      </x:c>
      <x:c r="D1542" s="84" t="n">
        <x:f>C1542^2-'Resumen'!$B$5^3/3</x:f>
        <x:v>-0.2331919207463389</x:v>
      </x:c>
      <x:c r="E1542" s="85" t="n">
        <x:f>D1542+'Resumen'!$B$5^3/3</x:f>
        <x:v>0.10014141258699441</x:v>
      </x:c>
    </x:row>
    <x:row r="1543">
      <x:c r="A1543" s="89" t="n">
        <x:v>1541</x:v>
      </x:c>
      <x:c r="B1543" s="80" t="n">
        <x:v>-0.07937059116816356</x:v>
      </x:c>
      <x:c r="C1543" s="84" t="n">
        <x:f>SQRT('Resumen'!$B$5^3/3)*B1543</x:f>
        <x:v>-0.04582463217667896</x:v>
      </x:c>
      <x:c r="D1543" s="84" t="n">
        <x:f>C1543^2-'Resumen'!$B$5^3/3</x:f>
        <x:v>-0.3312334364192054</x:v>
      </x:c>
      <x:c r="E1543" s="85" t="n">
        <x:f>D1543+'Resumen'!$B$5^3/3</x:f>
        <x:v>0.00209989691412793</x:v>
      </x:c>
    </x:row>
    <x:row r="1544">
      <x:c r="A1544" s="89" t="n">
        <x:v>1542</x:v>
      </x:c>
      <x:c r="B1544" s="80" t="n">
        <x:v>2.7145619669308574</x:v>
      </x:c>
      <x:c r="C1544" s="84" t="n">
        <x:f>SQRT('Resumen'!$B$5^3/3)*B1544</x:f>
        <x:v>1.5672530823394504</x:v>
      </x:c>
      <x:c r="D1544" s="84" t="n">
        <x:f>C1544^2-'Resumen'!$B$5^3/3</x:f>
        <x:v>2.1229488907691745</x:v>
      </x:c>
      <x:c r="E1544" s="85" t="n">
        <x:f>D1544+'Resumen'!$B$5^3/3</x:f>
        <x:v>2.456282224102508</x:v>
      </x:c>
    </x:row>
    <x:row r="1545">
      <x:c r="A1545" s="89" t="n">
        <x:v>1543</x:v>
      </x:c>
      <x:c r="B1545" s="80" t="n">
        <x:v>2.094776364557046</x:v>
      </x:c>
      <x:c r="C1545" s="84" t="n">
        <x:f>SQRT('Resumen'!$B$5^3/3)*B1545</x:f>
        <x:v>1.209419697969076</x:v>
      </x:c>
      <x:c r="D1545" s="84" t="n">
        <x:f>C1545^2-'Resumen'!$B$5^3/3</x:f>
        <x:v>1.1293626725022774</x:v>
      </x:c>
      <x:c r="E1545" s="85" t="n">
        <x:f>D1545+'Resumen'!$B$5^3/3</x:f>
        <x:v>1.4626960058356107</x:v>
      </x:c>
    </x:row>
    <x:row r="1546">
      <x:c r="A1546" s="89" t="n">
        <x:v>1544</x:v>
      </x:c>
      <x:c r="B1546" s="80" t="n">
        <x:v>0.11870874343488798</x:v>
      </x:c>
      <x:c r="C1546" s="84" t="n">
        <x:f>SQRT('Resumen'!$B$5^3/3)*B1546</x:f>
        <x:v>0.06853652497729479</x:v>
      </x:c>
      <x:c r="D1546" s="84" t="n">
        <x:f>C1546^2-'Resumen'!$B$5^3/3</x:f>
        <x:v>-0.32863607807736994</x:v>
      </x:c>
      <x:c r="E1546" s="85" t="n">
        <x:f>D1546+'Resumen'!$B$5^3/3</x:f>
        <x:v>0.004697255255963373</x:v>
      </x:c>
    </x:row>
    <x:row r="1547">
      <x:c r="A1547" s="89" t="n">
        <x:v>1545</x:v>
      </x:c>
      <x:c r="B1547" s="80" t="n">
        <x:v>-0.6620277321085163</x:v>
      </x:c>
      <x:c r="C1547" s="84" t="n">
        <x:f>SQRT('Resumen'!$B$5^3/3)*B1547</x:f>
        <x:v>-0.3822218893438493</x:v>
      </x:c>
      <x:c r="D1547" s="84" t="n">
        <x:f>C1547^2-'Resumen'!$B$5^3/3</x:f>
        <x:v>-0.18723976063975153</x:v>
      </x:c>
      <x:c r="E1547" s="85" t="n">
        <x:f>D1547+'Resumen'!$B$5^3/3</x:f>
        <x:v>0.14609357269358178</x:v>
      </x:c>
    </x:row>
    <x:row r="1548">
      <x:c r="A1548" s="89" t="n">
        <x:v>1546</x:v>
      </x:c>
      <x:c r="B1548" s="80" t="n">
        <x:v>0.6815090968506455</x:v>
      </x:c>
      <x:c r="C1548" s="84" t="n">
        <x:f>SQRT('Resumen'!$B$5^3/3)*B1548</x:f>
        <x:v>0.3934694605218989</x:v>
      </x:c>
      <x:c r="D1548" s="84" t="n">
        <x:f>C1548^2-'Resumen'!$B$5^3/3</x:f>
        <x:v>-0.17851511696993916</x:v>
      </x:c>
      <x:c r="E1548" s="85" t="n">
        <x:f>D1548+'Resumen'!$B$5^3/3</x:f>
        <x:v>0.15481821636339416</x:v>
      </x:c>
    </x:row>
    <x:row r="1549">
      <x:c r="A1549" s="89" t="n">
        <x:v>1547</x:v>
      </x:c>
      <x:c r="B1549" s="80" t="n">
        <x:v>1.3917499835354987</x:v>
      </x:c>
      <x:c r="C1549" s="84" t="n">
        <x:f>SQRT('Resumen'!$B$5^3/3)*B1549</x:f>
        <x:v>0.8035272276388774</x:v>
      </x:c>
      <x:c r="D1549" s="84" t="n">
        <x:f>C1549^2-'Resumen'!$B$5^3/3</x:f>
        <x:v>0.312322672223687</x:v>
      </x:c>
      <x:c r="E1549" s="85" t="n">
        <x:f>D1549+'Resumen'!$B$5^3/3</x:f>
        <x:v>0.6456560055570203</x:v>
      </x:c>
    </x:row>
    <x:row r="1550">
      <x:c r="A1550" s="89" t="n">
        <x:v>1548</x:v>
      </x:c>
      <x:c r="B1550" s="80" t="n">
        <x:v>0.6415049954667649</x:v>
      </x:c>
      <x:c r="C1550" s="84" t="n">
        <x:f>SQRT('Resumen'!$B$5^3/3)*B1550</x:f>
        <x:v>0.37037308181922635</x:v>
      </x:c>
      <x:c r="D1550" s="84" t="n">
        <x:f>C1550^2-'Resumen'!$B$5^3/3</x:f>
        <x:v>-0.19615711359706198</x:v>
      </x:c>
      <x:c r="E1550" s="85" t="n">
        <x:f>D1550+'Resumen'!$B$5^3/3</x:f>
        <x:v>0.13717621973627134</x:v>
      </x:c>
    </x:row>
    <x:row r="1551">
      <x:c r="A1551" s="89" t="n">
        <x:v>1549</x:v>
      </x:c>
      <x:c r="B1551" s="80" t="n">
        <x:v>0.6462670936516991</x:v>
      </x:c>
      <x:c r="C1551" s="84" t="n">
        <x:f>SQRT('Resumen'!$B$5^3/3)*B1551</x:f>
        <x:v>0.3731224804882055</x:v>
      </x:c>
      <x:c r="D1551" s="84" t="n">
        <x:f>C1551^2-'Resumen'!$B$5^3/3</x:f>
        <x:v>-0.194112947887662</x:v>
      </x:c>
      <x:c r="E1551" s="85" t="n">
        <x:f>D1551+'Resumen'!$B$5^3/3</x:f>
        <x:v>0.1392203854456713</x:v>
      </x:c>
    </x:row>
    <x:row r="1552">
      <x:c r="A1552" s="89" t="n">
        <x:v>1550</x:v>
      </x:c>
      <x:c r="B1552" s="80" t="n">
        <x:v>-0.251490759857669</x:v>
      </x:c>
      <x:c r="C1552" s="84" t="n">
        <x:f>SQRT('Resumen'!$B$5^3/3)*B1552</x:f>
        <x:v>-0.14519825790252872</x:v>
      </x:c>
      <x:c r="D1552" s="84" t="n">
        <x:f>C1552^2-'Resumen'!$B$5^3/3</x:f>
        <x:v>-0.31225079923540405</x:v>
      </x:c>
      <x:c r="E1552" s="85" t="n">
        <x:f>D1552+'Resumen'!$B$5^3/3</x:f>
        <x:v>0.021082534097929262</x:v>
      </x:c>
    </x:row>
    <x:row r="1553">
      <x:c r="A1553" s="89" t="n">
        <x:v>1551</x:v>
      </x:c>
      <x:c r="B1553" s="80" t="n">
        <x:v>0.7712858757164343</x:v>
      </x:c>
      <x:c r="C1553" s="84" t="n">
        <x:f>SQRT('Resumen'!$B$5^3/3)*B1553</x:f>
        <x:v>0.4453021079670395</x:v>
      </x:c>
      <x:c r="D1553" s="84" t="n">
        <x:f>C1553^2-'Resumen'!$B$5^3/3</x:f>
        <x:v>-0.1350393659734444</x:v>
      </x:c>
      <x:c r="E1553" s="85" t="n">
        <x:f>D1553+'Resumen'!$B$5^3/3</x:f>
        <x:v>0.1982939673598889</x:v>
      </x:c>
    </x:row>
    <x:row r="1554">
      <x:c r="A1554" s="89" t="n">
        <x:v>1552</x:v>
      </x:c>
      <x:c r="B1554" s="80" t="n">
        <x:v>-1.1169521839413563</x:v>
      </x:c>
      <x:c r="C1554" s="84" t="n">
        <x:f>SQRT('Resumen'!$B$5^3/3)*B1554</x:f>
        <x:v>-0.6448726440704824</x:v>
      </x:c>
      <x:c r="D1554" s="84" t="n">
        <x:f>C1554^2-'Resumen'!$B$5^3/3</x:f>
        <x:v>0.08252739373712176</x:v>
      </x:c>
      <x:c r="E1554" s="85" t="n">
        <x:f>D1554+'Resumen'!$B$5^3/3</x:f>
        <x:v>0.41586072707045507</x:v>
      </x:c>
    </x:row>
    <x:row r="1555">
      <x:c r="A1555" s="89" t="n">
        <x:v>1553</x:v>
      </x:c>
      <x:c r="B1555" s="80" t="n">
        <x:v>-1.6260818572668159</x:v>
      </x:c>
      <x:c r="C1555" s="84" t="n">
        <x:f>SQRT('Resumen'!$B$5^3/3)*B1555</x:f>
        <x:v>-0.9388187980173627</x:v>
      </x:c>
      <x:c r="D1555" s="84" t="n">
        <x:f>C1555^2-'Resumen'!$B$5^3/3</x:f>
        <x:v>0.5480474021774322</x:v>
      </x:c>
      <x:c r="E1555" s="85" t="n">
        <x:f>D1555+'Resumen'!$B$5^3/3</x:f>
        <x:v>0.8813807355107655</x:v>
      </x:c>
    </x:row>
    <x:row r="1556">
      <x:c r="A1556" s="89" t="n">
        <x:v>1554</x:v>
      </x:c>
      <x:c r="B1556" s="80" t="n">
        <x:v>-0.49304377170042063</x:v>
      </x:c>
      <x:c r="C1556" s="84" t="n">
        <x:f>SQRT('Resumen'!$B$5^3/3)*B1556</x:f>
        <x:v>-0.28465895431350624</x:v>
      </x:c>
      <x:c r="D1556" s="84" t="n">
        <x:f>C1556^2-'Resumen'!$B$5^3/3</x:f>
        <x:v>-0.2523026130624745</x:v>
      </x:c>
      <x:c r="E1556" s="85" t="n">
        <x:f>D1556+'Resumen'!$B$5^3/3</x:f>
        <x:v>0.08103072027085884</x:v>
      </x:c>
    </x:row>
    <x:row r="1557">
      <x:c r="A1557" s="89" t="n">
        <x:v>1555</x:v>
      </x:c>
      <x:c r="B1557" s="80" t="n">
        <x:v>-0.3978134357978401</x:v>
      </x:c>
      <x:c r="C1557" s="84" t="n">
        <x:f>SQRT('Resumen'!$B$5^3/3)*B1557</x:f>
        <x:v>-0.22967769424513287</x:v>
      </x:c>
      <x:c r="D1557" s="84" t="n">
        <x:f>C1557^2-'Resumen'!$B$5^3/3</x:f>
        <x:v>-0.28058149009957256</x:v>
      </x:c>
      <x:c r="E1557" s="85" t="n">
        <x:f>D1557+'Resumen'!$B$5^3/3</x:f>
        <x:v>0.05275184323376075</x:v>
      </x:c>
    </x:row>
    <x:row r="1558">
      <x:c r="A1558" s="89" t="n">
        <x:v>1556</x:v>
      </x:c>
      <x:c r="B1558" s="80" t="n">
        <x:v>1.2005586935626247</x:v>
      </x:c>
      <x:c r="C1558" s="84" t="n">
        <x:f>SQRT('Resumen'!$B$5^3/3)*B1558</x:f>
        <x:v>0.6931428849063267</x:v>
      </x:c>
      <x:c r="D1558" s="84" t="n">
        <x:f>C1558^2-'Resumen'!$B$5^3/3</x:f>
        <x:v>0.14711372556293195</x:v>
      </x:c>
      <x:c r="E1558" s="85" t="n">
        <x:f>D1558+'Resumen'!$B$5^3/3</x:f>
        <x:v>0.48044705889626527</x:v>
      </x:c>
    </x:row>
    <x:row r="1559">
      <x:c r="A1559" s="89" t="n">
        <x:v>1557</x:v>
      </x:c>
      <x:c r="B1559" s="80" t="n">
        <x:v>1.3601172008025408</x:v>
      </x:c>
      <x:c r="C1559" s="84" t="n">
        <x:f>SQRT('Resumen'!$B$5^3/3)*B1559</x:f>
        <x:v>0.7852640320127872</x:v>
      </x:c>
      <x:c r="D1559" s="84" t="n">
        <x:f>C1559^2-'Resumen'!$B$5^3/3</x:f>
        <x:v>0.28330626663964625</x:v>
      </x:c>
      <x:c r="E1559" s="85" t="n">
        <x:f>D1559+'Resumen'!$B$5^3/3</x:f>
        <x:v>0.6166395999729796</x:v>
      </x:c>
    </x:row>
    <x:row r="1560">
      <x:c r="A1560" s="89" t="n">
        <x:v>1558</x:v>
      </x:c>
      <x:c r="B1560" s="80" t="n">
        <x:v>0.7108501623253536</x:v>
      </x:c>
      <x:c r="C1560" s="84" t="n">
        <x:f>SQRT('Resumen'!$B$5^3/3)*B1560</x:f>
        <x:v>0.41040953257203205</x:v>
      </x:c>
      <x:c r="D1560" s="84" t="n">
        <x:f>C1560^2-'Resumen'!$B$5^3/3</x:f>
        <x:v>-0.16489734890733948</x:v>
      </x:c>
      <x:c r="E1560" s="85" t="n">
        <x:f>D1560+'Resumen'!$B$5^3/3</x:f>
        <x:v>0.16843598442599383</x:v>
      </x:c>
    </x:row>
    <x:row r="1561">
      <x:c r="A1561" s="89" t="n">
        <x:v>1559</x:v>
      </x:c>
      <x:c r="B1561" s="80" t="n">
        <x:v>-0.6544794214394035</x:v>
      </x:c>
      <x:c r="C1561" s="84" t="n">
        <x:f>SQRT('Resumen'!$B$5^3/3)*B1561</x:f>
        <x:v>-0.37786387014711015</x:v>
      </x:c>
      <x:c r="D1561" s="84" t="n">
        <x:f>C1561^2-'Resumen'!$B$5^3/3</x:f>
        <x:v>-0.1905522289707812</x:v>
      </x:c>
      <x:c r="E1561" s="85" t="n">
        <x:f>D1561+'Resumen'!$B$5^3/3</x:f>
        <x:v>0.14278110436255212</x:v>
      </x:c>
    </x:row>
    <x:row r="1562">
      <x:c r="A1562" s="89" t="n">
        <x:v>1560</x:v>
      </x:c>
      <x:c r="B1562" s="80" t="n">
        <x:v>1.5255863479191</x:v>
      </x:c>
      <x:c r="C1562" s="84" t="n">
        <x:f>SQRT('Resumen'!$B$5^3/3)*B1562</x:f>
        <x:v>0.8807976886431105</x:v>
      </x:c>
      <x:c r="D1562" s="84" t="n">
        <x:f>C1562^2-'Resumen'!$B$5^3/3</x:f>
        <x:v>0.44247123498571245</x:v>
      </x:c>
      <x:c r="E1562" s="85" t="n">
        <x:f>D1562+'Resumen'!$B$5^3/3</x:f>
        <x:v>0.7758045683190458</x:v>
      </x:c>
    </x:row>
    <x:row r="1563">
      <x:c r="A1563" s="89" t="n">
        <x:v>1561</x:v>
      </x:c>
      <x:c r="B1563" s="80" t="n">
        <x:v>0.5420096811969455</x:v>
      </x:c>
      <x:c r="C1563" s="84" t="n">
        <x:f>SQRT('Resumen'!$B$5^3/3)*B1563</x:f>
        <x:v>0.3129294353424397</x:v>
      </x:c>
      <x:c r="D1563" s="84" t="n">
        <x:f>C1563^2-'Resumen'!$B$5^3/3</x:f>
        <x:v>-0.23540850182959516</x:v>
      </x:c>
      <x:c r="E1563" s="85" t="n">
        <x:f>D1563+'Resumen'!$B$5^3/3</x:f>
        <x:v>0.09792483150373815</x:v>
      </x:c>
    </x:row>
    <x:row r="1564">
      <x:c r="A1564" s="89" t="n">
        <x:v>1562</x:v>
      </x:c>
      <x:c r="B1564" s="80" t="n">
        <x:v>0.055954176586446885</x:v>
      </x:c>
      <x:c r="C1564" s="84" t="n">
        <x:f>SQRT('Resumen'!$B$5^3/3)*B1564</x:f>
        <x:v>0.03230515891446896</x:v>
      </x:c>
      <x:c r="D1564" s="84" t="n">
        <x:f>C1564^2-'Resumen'!$B$5^3/3</x:f>
        <x:v>-0.33228971004084423</x:v>
      </x:c>
      <x:c r="E1564" s="85" t="n">
        <x:f>D1564+'Resumen'!$B$5^3/3</x:f>
        <x:v>0.001043623292489082</x:v>
      </x:c>
    </x:row>
    <x:row r="1565">
      <x:c r="A1565" s="89" t="n">
        <x:v>1563</x:v>
      </x:c>
      <x:c r="B1565" s="80" t="n">
        <x:v>0.7682759786982282</x:v>
      </x:c>
      <x:c r="C1565" s="84" t="n">
        <x:f>SQRT('Resumen'!$B$5^3/3)*B1565</x:f>
        <x:v>0.4435643431133452</x:v>
      </x:c>
      <x:c r="D1565" s="84" t="n">
        <x:f>C1565^2-'Resumen'!$B$5^3/3</x:f>
        <x:v>-0.1365840068517599</x:v>
      </x:c>
      <x:c r="E1565" s="85" t="n">
        <x:f>D1565+'Resumen'!$B$5^3/3</x:f>
        <x:v>0.19674932648157342</x:v>
      </x:c>
    </x:row>
    <x:row r="1566">
      <x:c r="A1566" s="89" t="n">
        <x:v>1564</x:v>
      </x:c>
      <x:c r="B1566" s="80" t="n">
        <x:v>0.38962633011542414</x:v>
      </x:c>
      <x:c r="C1566" s="84" t="n">
        <x:f>SQRT('Resumen'!$B$5^3/3)*B1566</x:f>
        <x:v>0.22495086657550611</x:v>
      </x:c>
      <x:c r="D1566" s="84" t="n">
        <x:f>C1566^2-'Resumen'!$B$5^3/3</x:f>
        <x:v>-0.2827304409602622</x:v>
      </x:c>
      <x:c r="E1566" s="85" t="n">
        <x:f>D1566+'Resumen'!$B$5^3/3</x:f>
        <x:v>0.05060289237307114</x:v>
      </x:c>
    </x:row>
    <x:row r="1567">
      <x:c r="A1567" s="89" t="n">
        <x:v>1565</x:v>
      </x:c>
      <x:c r="B1567" s="80" t="n">
        <x:v>-0.2647835279666436</x:v>
      </x:c>
      <x:c r="C1567" s="84" t="n">
        <x:f>SQRT('Resumen'!$B$5^3/3)*B1567</x:f>
        <x:v>-0.15287284114852048</x:v>
      </x:c>
      <x:c r="D1567" s="84" t="n">
        <x:f>C1567^2-'Resumen'!$B$5^3/3</x:f>
        <x:v>-0.30996322777251256</x:v>
      </x:c>
      <x:c r="E1567" s="85" t="n">
        <x:f>D1567+'Resumen'!$B$5^3/3</x:f>
        <x:v>0.023370105560820753</x:v>
      </x:c>
    </x:row>
    <x:row r="1568">
      <x:c r="A1568" s="89" t="n">
        <x:v>1566</x:v>
      </x:c>
      <x:c r="B1568" s="80" t="n">
        <x:v>-0.14615865322133284</x:v>
      </x:c>
      <x:c r="C1568" s="84" t="n">
        <x:f>SQRT('Resumen'!$B$5^3/3)*B1568</x:f>
        <x:v>-0.08438473778172967</x:v>
      </x:c>
      <x:c r="D1568" s="84" t="n">
        <x:f>C1568^2-'Resumen'!$B$5^3/3</x:f>
        <x:v>-0.32621254936284205</x:v>
      </x:c>
      <x:c r="E1568" s="85" t="n">
        <x:f>D1568+'Resumen'!$B$5^3/3</x:f>
        <x:v>0.007120783970491262</x:v>
      </x:c>
    </x:row>
    <x:row r="1569">
      <x:c r="A1569" s="89" t="n">
        <x:v>1567</x:v>
      </x:c>
      <x:c r="B1569" s="80" t="n">
        <x:v>0.10279780819180552</x:v>
      </x:c>
      <x:c r="C1569" s="84" t="n">
        <x:f>SQRT('Resumen'!$B$5^3/3)*B1569</x:f>
        <x:v>0.05935034223164243</x:v>
      </x:c>
      <x:c r="D1569" s="84" t="n">
        <x:f>C1569^2-'Resumen'!$B$5^3/3</x:f>
        <x:v>-0.32981087021032024</x:v>
      </x:c>
      <x:c r="E1569" s="85" t="n">
        <x:f>D1569+'Resumen'!$B$5^3/3</x:f>
        <x:v>0.0035224631230130754</x:v>
      </x:c>
    </x:row>
    <x:row r="1570">
      <x:c r="A1570" s="89" t="n">
        <x:v>1568</x:v>
      </x:c>
      <x:c r="B1570" s="80" t="n">
        <x:v>-0.14644847025841845</x:v>
      </x:c>
      <x:c r="C1570" s="84" t="n">
        <x:f>SQRT('Resumen'!$B$5^3/3)*B1570</x:f>
        <x:v>-0.0845520637261068</x:v>
      </x:c>
      <x:c r="D1570" s="84" t="n">
        <x:f>C1570^2-'Resumen'!$B$5^3/3</x:f>
        <x:v>-0.3261842818529897</x:v>
      </x:c>
      <x:c r="E1570" s="85" t="n">
        <x:f>D1570+'Resumen'!$B$5^3/3</x:f>
        <x:v>0.007149051480343616</x:v>
      </x:c>
    </x:row>
    <x:row r="1571">
      <x:c r="A1571" s="89" t="n">
        <x:v>1569</x:v>
      </x:c>
      <x:c r="B1571" s="80" t="n">
        <x:v>-0.3899613558645819</x:v>
      </x:c>
      <x:c r="C1571" s="84" t="n">
        <x:f>SQRT('Resumen'!$B$5^3/3)*B1571</x:f>
        <x:v>-0.2251442937819678</x:v>
      </x:c>
      <x:c r="D1571" s="84" t="n">
        <x:f>C1571^2-'Resumen'!$B$5^3/3</x:f>
        <x:v>-0.2826433803107523</x:v>
      </x:c>
      <x:c r="E1571" s="85" t="n">
        <x:f>D1571+'Resumen'!$B$5^3/3</x:f>
        <x:v>0.050689953022581</x:v>
      </x:c>
    </x:row>
    <x:row r="1572">
      <x:c r="A1572" s="89" t="n">
        <x:v>1570</x:v>
      </x:c>
      <x:c r="B1572" s="80" t="n">
        <x:v>2.022477837365362</x:v>
      </x:c>
      <x:c r="C1572" s="84" t="n">
        <x:f>SQRT('Resumen'!$B$5^3/3)*B1572</x:f>
        <x:v>1.1676781238329437</x:v>
      </x:c>
      <x:c r="D1572" s="84" t="n">
        <x:f>C1572^2-'Resumen'!$B$5^3/3</x:f>
        <x:v>1.03013886754469</x:v>
      </x:c>
      <x:c r="E1572" s="85" t="n">
        <x:f>D1572+'Resumen'!$B$5^3/3</x:f>
        <x:v>1.3634722008780233</x:v>
      </x:c>
    </x:row>
    <x:row r="1573">
      <x:c r="A1573" s="89" t="n">
        <x:v>1571</x:v>
      </x:c>
      <x:c r="B1573" s="80" t="n">
        <x:v>1.455212342038963</x:v>
      </x:c>
      <x:c r="C1573" s="84" t="n">
        <x:f>SQRT('Resumen'!$B$5^3/3)*B1573</x:f>
        <x:v>0.840167237404261</x:v>
      </x:c>
      <x:c r="D1573" s="84" t="n">
        <x:f>C1573^2-'Resumen'!$B$5^3/3</x:f>
        <x:v>0.37254765347417457</x:v>
      </x:c>
      <x:c r="E1573" s="85" t="n">
        <x:f>D1573+'Resumen'!$B$5^3/3</x:f>
        <x:v>0.7058809868075079</x:v>
      </x:c>
    </x:row>
    <x:row r="1574">
      <x:c r="A1574" s="89" t="n">
        <x:v>1572</x:v>
      </x:c>
      <x:c r="B1574" s="80" t="n">
        <x:v>0.9737043384985957</x:v>
      </x:c>
      <x:c r="C1574" s="84" t="n">
        <x:f>SQRT('Resumen'!$B$5^3/3)*B1574</x:f>
        <x:v>0.5621684619432707</x:v>
      </x:c>
      <x:c r="D1574" s="84" t="n">
        <x:f>C1574^2-'Resumen'!$B$5^3/3</x:f>
        <x:v>-0.017299953729670692</x:v>
      </x:c>
      <x:c r="E1574" s="85" t="n">
        <x:f>D1574+'Resumen'!$B$5^3/3</x:f>
        <x:v>0.3160333796036626</x:v>
      </x:c>
    </x:row>
    <x:row r="1575">
      <x:c r="A1575" s="89" t="n">
        <x:v>1573</x:v>
      </x:c>
      <x:c r="B1575" s="80" t="n">
        <x:v>-1.9911613845133682</x:v>
      </x:c>
      <x:c r="C1575" s="84" t="n">
        <x:f>SQRT('Resumen'!$B$5^3/3)*B1575</x:f>
        <x:v>-1.149597561348781</x:v>
      </x:c>
      <x:c r="D1575" s="84" t="n">
        <x:f>C1575^2-'Resumen'!$B$5^3/3</x:f>
        <x:v>0.9882412197257311</x:v>
      </x:c>
      <x:c r="E1575" s="85" t="n">
        <x:f>D1575+'Resumen'!$B$5^3/3</x:f>
        <x:v>1.3215745530590643</x:v>
      </x:c>
    </x:row>
    <x:row r="1576">
      <x:c r="A1576" s="89" t="n">
        <x:v>1574</x:v>
      </x:c>
      <x:c r="B1576" s="80" t="n">
        <x:v>-0.808519078801771</x:v>
      </x:c>
      <x:c r="C1576" s="84" t="n">
        <x:f>SQRT('Resumen'!$B$5^3/3)*B1576</x:f>
        <x:v>-0.4667987077911507</x:v>
      </x:c>
      <x:c r="D1576" s="84" t="n">
        <x:f>C1576^2-'Resumen'!$B$5^3/3</x:f>
        <x:v>-0.11543229973784525</x:v>
      </x:c>
      <x:c r="E1576" s="85" t="n">
        <x:f>D1576+'Resumen'!$B$5^3/3</x:f>
        <x:v>0.21790103359548807</x:v>
      </x:c>
    </x:row>
    <x:row r="1577">
      <x:c r="A1577" s="89" t="n">
        <x:v>1575</x:v>
      </x:c>
      <x:c r="B1577" s="80" t="n">
        <x:v>-0.8937661582021239</x:v>
      </x:c>
      <x:c r="C1577" s="84" t="n">
        <x:f>SQRT('Resumen'!$B$5^3/3)*B1577</x:f>
        <x:v>-0.5160161320305738</x:v>
      </x:c>
      <x:c r="D1577" s="84" t="n">
        <x:f>C1577^2-'Resumen'!$B$5^3/3</x:f>
        <x:v>-0.06706068481753868</x:v>
      </x:c>
      <x:c r="E1577" s="85" t="n">
        <x:f>D1577+'Resumen'!$B$5^3/3</x:f>
        <x:v>0.26627264851579463</x:v>
      </x:c>
    </x:row>
    <x:row r="1578">
      <x:c r="A1578" s="89" t="n">
        <x:v>1576</x:v>
      </x:c>
      <x:c r="B1578" s="80" t="n">
        <x:v>0.3666052666269053</x:v>
      </x:c>
      <x:c r="C1578" s="84" t="n">
        <x:f>SQRT('Resumen'!$B$5^3/3)*B1578</x:f>
        <x:v>0.21165964937337828</x:v>
      </x:c>
      <x:c r="D1578" s="84" t="n">
        <x:f>C1578^2-'Resumen'!$B$5^3/3</x:f>
        <x:v>-0.2885335261604719</x:v>
      </x:c>
      <x:c r="E1578" s="85" t="n">
        <x:f>D1578+'Resumen'!$B$5^3/3</x:f>
        <x:v>0.04479980717286142</x:v>
      </x:c>
    </x:row>
    <x:row r="1579">
      <x:c r="A1579" s="89" t="n">
        <x:v>1577</x:v>
      </x:c>
      <x:c r="B1579" s="80" t="n">
        <x:v>1.2407445314808516</x:v>
      </x:c>
      <x:c r="C1579" s="84" t="n">
        <x:f>SQRT('Resumen'!$B$5^3/3)*B1579</x:f>
        <x:v>0.7163441892460257</x:v>
      </x:c>
      <x:c r="D1579" s="84" t="n">
        <x:f>C1579^2-'Resumen'!$B$5^3/3</x:f>
        <x:v>0.17981566413321265</x:v>
      </x:c>
      <x:c r="E1579" s="85" t="n">
        <x:f>D1579+'Resumen'!$B$5^3/3</x:f>
        <x:v>0.513148997466546</x:v>
      </x:c>
    </x:row>
    <x:row r="1580">
      <x:c r="A1580" s="89" t="n">
        <x:v>1578</x:v>
      </x:c>
      <x:c r="B1580" s="80" t="n">
        <x:v>-0.25432022284427486</x:v>
      </x:c>
      <x:c r="C1580" s="84" t="n">
        <x:f>SQRT('Resumen'!$B$5^3/3)*B1580</x:f>
        <x:v>-0.1468318491195077</x:v>
      </x:c>
      <x:c r="D1580" s="84" t="n">
        <x:f>C1580^2-'Resumen'!$B$5^3/3</x:f>
        <x:v>-0.31177374141747943</x:v>
      </x:c>
      <x:c r="E1580" s="85" t="n">
        <x:f>D1580+'Resumen'!$B$5^3/3</x:f>
        <x:v>0.021559591915853882</x:v>
      </x:c>
    </x:row>
    <x:row r="1581">
      <x:c r="A1581" s="89" t="n">
        <x:v>1579</x:v>
      </x:c>
      <x:c r="B1581" s="80" t="n">
        <x:v>-0.26172124278273573</x:v>
      </x:c>
      <x:c r="C1581" s="84" t="n">
        <x:f>SQRT('Resumen'!$B$5^3/3)*B1581</x:f>
        <x:v>-0.15110482997325586</x:v>
      </x:c>
      <x:c r="D1581" s="84" t="n">
        <x:f>C1581^2-'Resumen'!$B$5^3/3</x:f>
        <x:v>-0.31050066369208673</x:v>
      </x:c>
      <x:c r="E1581" s="85" t="n">
        <x:f>D1581+'Resumen'!$B$5^3/3</x:f>
        <x:v>0.022832669641246583</x:v>
      </x:c>
    </x:row>
    <x:row r="1582">
      <x:c r="A1582" s="89" t="n">
        <x:v>1580</x:v>
      </x:c>
      <x:c r="B1582" s="80" t="n">
        <x:v>0.41283529148223724</x:v>
      </x:c>
      <x:c r="C1582" s="84" t="n">
        <x:f>SQRT('Resumen'!$B$5^3/3)*B1582</x:f>
        <x:v>0.23835056666824728</x:v>
      </x:c>
      <x:c r="D1582" s="84" t="n">
        <x:f>C1582^2-'Resumen'!$B$5^3/3</x:f>
        <x:v>-0.27652234070225873</x:v>
      </x:c>
      <x:c r="E1582" s="85" t="n">
        <x:f>D1582+'Resumen'!$B$5^3/3</x:f>
        <x:v>0.056810992631074586</x:v>
      </x:c>
    </x:row>
    <x:row r="1583">
      <x:c r="A1583" s="89" t="n">
        <x:v>1581</x:v>
      </x:c>
      <x:c r="B1583" s="80" t="n">
        <x:v>0.8621196099006723</x:v>
      </x:c>
      <x:c r="C1583" s="84" t="n">
        <x:f>SQRT('Resumen'!$B$5^3/3)*B1583</x:f>
        <x:v>0.4977449888498083</x:v>
      </x:c>
      <x:c r="D1583" s="84" t="n">
        <x:f>C1583^2-'Resumen'!$B$5^3/3</x:f>
        <x:v>-0.08558325940823755</x:v>
      </x:c>
      <x:c r="E1583" s="85" t="n">
        <x:f>D1583+'Resumen'!$B$5^3/3</x:f>
        <x:v>0.24775007392509577</x:v>
      </x:c>
    </x:row>
    <x:row r="1584">
      <x:c r="A1584" s="89" t="n">
        <x:v>1582</x:v>
      </x:c>
      <x:c r="B1584" s="80" t="n">
        <x:v>-1.5934557157974567</x:v>
      </x:c>
      <x:c r="C1584" s="84" t="n">
        <x:f>SQRT('Resumen'!$B$5^3/3)*B1584</x:f>
        <x:v>-0.9199820864574094</x:v>
      </x:c>
      <x:c r="D1584" s="84" t="n">
        <x:f>C1584^2-'Resumen'!$B$5^3/3</x:f>
        <x:v>0.513033706069195</x:v>
      </x:c>
      <x:c r="E1584" s="85" t="n">
        <x:f>D1584+'Resumen'!$B$5^3/3</x:f>
        <x:v>0.8463670394025282</x:v>
      </x:c>
    </x:row>
    <x:row r="1585">
      <x:c r="A1585" s="89" t="n">
        <x:v>1583</x:v>
      </x:c>
      <x:c r="B1585" s="80" t="n">
        <x:v>0.24088005082738706</x:v>
      </x:c>
      <x:c r="C1585" s="84" t="n">
        <x:f>SQRT('Resumen'!$B$5^3/3)*B1585</x:f>
        <x:v>0.13907216218760265</x:v>
      </x:c>
      <x:c r="D1585" s="84" t="n">
        <x:f>C1585^2-'Resumen'!$B$5^3/3</x:f>
        <x:v>-0.3139922670377985</x:v>
      </x:c>
      <x:c r="E1585" s="85" t="n">
        <x:f>D1585+'Resumen'!$B$5^3/3</x:f>
        <x:v>0.019341066295534837</x:v>
      </x:c>
    </x:row>
    <x:row r="1586">
      <x:c r="A1586" s="89" t="n">
        <x:v>1584</x:v>
      </x:c>
      <x:c r="B1586" s="80" t="n">
        <x:v>1.4726880543758274</x:v>
      </x:c>
      <x:c r="C1586" s="84" t="n">
        <x:f>SQRT('Resumen'!$B$5^3/3)*B1586</x:f>
        <x:v>0.8502568446262301</x:v>
      </x:c>
      <x:c r="D1586" s="84" t="n">
        <x:f>C1586^2-'Resumen'!$B$5^3/3</x:f>
        <x:v>0.3896033685004198</x:v>
      </x:c>
      <x:c r="E1586" s="85" t="n">
        <x:f>D1586+'Resumen'!$B$5^3/3</x:f>
        <x:v>0.7229367018337531</x:v>
      </x:c>
    </x:row>
    <x:row r="1587">
      <x:c r="A1587" s="89" t="n">
        <x:v>1585</x:v>
      </x:c>
      <x:c r="B1587" s="80" t="n">
        <x:v>0.36171465671309844</x:v>
      </x:c>
      <x:c r="C1587" s="84" t="n">
        <x:f>SQRT('Resumen'!$B$5^3/3)*B1587</x:f>
        <x:v>0.20883605442314043</x:v>
      </x:c>
      <x:c r="D1587" s="84" t="n">
        <x:f>C1587^2-'Resumen'!$B$5^3/3</x:f>
        <x:v>-0.28972083570630847</x:v>
      </x:c>
      <x:c r="E1587" s="85" t="n">
        <x:f>D1587+'Resumen'!$B$5^3/3</x:f>
        <x:v>0.04361249762702485</x:v>
      </x:c>
    </x:row>
    <x:row r="1588">
      <x:c r="A1588" s="89" t="n">
        <x:v>1586</x:v>
      </x:c>
      <x:c r="B1588" s="80" t="n">
        <x:v>0.12006268515024512</x:v>
      </x:c>
      <x:c r="C1588" s="84" t="n">
        <x:f>SQRT('Resumen'!$B$5^3/3)*B1588</x:f>
        <x:v>0.0693182235911233</x:v>
      </x:c>
      <x:c r="D1588" s="84" t="n">
        <x:f>C1588^2-'Resumen'!$B$5^3/3</x:f>
        <x:v>-0.32852831721150433</x:v>
      </x:c>
      <x:c r="E1588" s="85" t="n">
        <x:f>D1588+'Resumen'!$B$5^3/3</x:f>
        <x:v>0.004805016121828987</x:v>
      </x:c>
    </x:row>
    <x:row r="1589">
      <x:c r="A1589" s="89" t="n">
        <x:v>1587</x:v>
      </x:c>
      <x:c r="B1589" s="80" t="n">
        <x:v>-0.20832547179414712</x:v>
      </x:c>
      <x:c r="C1589" s="84" t="n">
        <x:f>SQRT('Resumen'!$B$5^3/3)*B1589</x:f>
        <x:v>-0.12027676721940662</x:v>
      </x:c>
      <x:c r="D1589" s="84" t="n">
        <x:f>C1589^2-'Resumen'!$B$5^3/3</x:f>
        <x:v>-0.31886683260058196</x:v>
      </x:c>
      <x:c r="E1589" s="85" t="n">
        <x:f>D1589+'Resumen'!$B$5^3/3</x:f>
        <x:v>0.014466500732751353</x:v>
      </x:c>
    </x:row>
    <x:row r="1590">
      <x:c r="A1590" s="89" t="n">
        <x:v>1588</x:v>
      </x:c>
      <x:c r="B1590" s="80" t="n">
        <x:v>0.0014506759892106132</x:v>
      </x:c>
      <x:c r="C1590" s="84" t="n">
        <x:f>SQRT('Resumen'!$B$5^3/3)*B1590</x:f>
        <x:v>0.0008375481728776741</x:v>
      </x:c>
      <x:c r="D1590" s="84" t="n">
        <x:f>C1590^2-'Resumen'!$B$5^3/3</x:f>
        <x:v>-0.33333263184639145</x:v>
      </x:c>
      <x:c r="E1590" s="85" t="n">
        <x:f>D1590+'Resumen'!$B$5^3/3</x:f>
        <x:v>7.014869418675573e-7</x:v>
      </x:c>
    </x:row>
    <x:row r="1591">
      <x:c r="A1591" s="89" t="n">
        <x:v>1589</x:v>
      </x:c>
      <x:c r="B1591" s="80" t="n">
        <x:v>-0.6340382040098863</x:v>
      </x:c>
      <x:c r="C1591" s="84" t="n">
        <x:f>SQRT('Resumen'!$B$5^3/3)*B1591</x:f>
        <x:v>-0.3660621277616147</x:v>
      </x:c>
      <x:c r="D1591" s="84" t="n">
        <x:f>C1591^2-'Resumen'!$B$5^3/3</x:f>
        <x:v>-0.19933185195197262</x:v>
      </x:c>
      <x:c r="E1591" s="85" t="n">
        <x:f>D1591+'Resumen'!$B$5^3/3</x:f>
        <x:v>0.1340014813813607</x:v>
      </x:c>
    </x:row>
    <x:row r="1592">
      <x:c r="A1592" s="89" t="n">
        <x:v>1590</x:v>
      </x:c>
      <x:c r="B1592" s="80" t="n">
        <x:v>-0.21930378177805243</x:v>
      </x:c>
      <x:c r="C1592" s="84" t="n">
        <x:f>SQRT('Resumen'!$B$5^3/3)*B1592</x:f>
        <x:v>-0.1266150974438615</x:v>
      </x:c>
      <x:c r="D1592" s="84" t="n">
        <x:f>C1592^2-'Resumen'!$B$5^3/3</x:f>
        <x:v>-0.3173019504326148</x:v>
      </x:c>
      <x:c r="E1592" s="85" t="n">
        <x:f>D1592+'Resumen'!$B$5^3/3</x:f>
        <x:v>0.016031382900718538</x:v>
      </x:c>
    </x:row>
    <x:row r="1593">
      <x:c r="A1593" s="89" t="n">
        <x:v>1591</x:v>
      </x:c>
      <x:c r="B1593" s="80" t="n">
        <x:v>-2.1079241778989304</x:v>
      </x:c>
      <x:c r="C1593" s="84" t="n">
        <x:f>SQRT('Resumen'!$B$5^3/3)*B1593</x:f>
        <x:v>-1.217010591541268</x:v>
      </x:c>
      <x:c r="D1593" s="84" t="n">
        <x:f>C1593^2-'Resumen'!$B$5^3/3</x:f>
        <x:v>1.1477814465902936</x:v>
      </x:c>
      <x:c r="E1593" s="85" t="n">
        <x:f>D1593+'Resumen'!$B$5^3/3</x:f>
        <x:v>1.4811147799236268</x:v>
      </x:c>
    </x:row>
    <x:row r="1594">
      <x:c r="A1594" s="89" t="n">
        <x:v>1592</x:v>
      </x:c>
      <x:c r="B1594" s="80" t="n">
        <x:v>0.20400293795126612</x:v>
      </x:c>
      <x:c r="C1594" s="84" t="n">
        <x:f>SQRT('Resumen'!$B$5^3/3)*B1594</x:f>
        <x:v>0.11778115114163801</x:v>
      </x:c>
      <x:c r="D1594" s="84" t="n">
        <x:f>C1594^2-'Resumen'!$B$5^3/3</x:f>
        <x:v>-0.3194609337690839</x:v>
      </x:c>
      <x:c r="E1594" s="85" t="n">
        <x:f>D1594+'Resumen'!$B$5^3/3</x:f>
        <x:v>0.013872399564249405</x:v>
      </x:c>
    </x:row>
    <x:row r="1595">
      <x:c r="A1595" s="89" t="n">
        <x:v>1593</x:v>
      </x:c>
      <x:c r="B1595" s="80" t="n">
        <x:v>0.9810398695127942</x:v>
      </x:c>
      <x:c r="C1595" s="84" t="n">
        <x:f>SQRT('Resumen'!$B$5^3/3)*B1595</x:f>
        <x:v>0.566403632748967</x:v>
      </x:c>
      <x:c r="D1595" s="84" t="n">
        <x:f>C1595^2-'Resumen'!$B$5^3/3</x:f>
        <x:v>-0.012520258142106666</x:v>
      </x:c>
      <x:c r="E1595" s="85" t="n">
        <x:f>D1595+'Resumen'!$B$5^3/3</x:f>
        <x:v>0.32081307519122665</x:v>
      </x:c>
    </x:row>
    <x:row r="1596">
      <x:c r="A1596" s="89" t="n">
        <x:v>1594</x:v>
      </x:c>
      <x:c r="B1596" s="80" t="n">
        <x:v>-0.8652263858469897</x:v>
      </x:c>
      <x:c r="C1596" s="84" t="n">
        <x:f>SQRT('Resumen'!$B$5^3/3)*B1596</x:f>
        <x:v>-0.4995386867787265</x:v>
      </x:c>
      <x:c r="D1596" s="84" t="n">
        <x:f>C1596^2-'Resumen'!$B$5^3/3</x:f>
        <x:v>-0.0837944337447187</x:v>
      </x:c>
      <x:c r="E1596" s="85" t="n">
        <x:f>D1596+'Resumen'!$B$5^3/3</x:f>
        <x:v>0.2495388995886146</x:v>
      </x:c>
    </x:row>
    <x:row r="1597">
      <x:c r="A1597" s="89" t="n">
        <x:v>1595</x:v>
      </x:c>
      <x:c r="B1597" s="80" t="n">
        <x:v>-0.215320388079072</x:v>
      </x:c>
      <x:c r="C1597" s="84" t="n">
        <x:f>SQRT('Resumen'!$B$5^3/3)*B1597</x:f>
        <x:v>-0.1243152840194669</x:v>
      </x:c>
      <x:c r="D1597" s="84" t="n">
        <x:f>C1597^2-'Resumen'!$B$5^3/3</x:f>
        <x:v>-0.3178790434924926</x:v>
      </x:c>
      <x:c r="E1597" s="85" t="n">
        <x:f>D1597+'Resumen'!$B$5^3/3</x:f>
        <x:v>0.01545428984084074</x:v>
      </x:c>
    </x:row>
    <x:row r="1598">
      <x:c r="A1598" s="89" t="n">
        <x:v>1596</x:v>
      </x:c>
      <x:c r="B1598" s="80" t="n">
        <x:v>-0.3866244925275442</x:v>
      </x:c>
      <x:c r="C1598" s="84" t="n">
        <x:f>SQRT('Resumen'!$B$5^3/3)*B1598</x:f>
        <x:v>-0.22321775483608008</x:v>
      </x:c>
      <x:c r="D1598" s="84" t="n">
        <x:f>C1598^2-'Resumen'!$B$5^3/3</x:f>
        <x:v>-0.28350716725927294</x:v>
      </x:c>
      <x:c r="E1598" s="85" t="n">
        <x:f>D1598+'Resumen'!$B$5^3/3</x:f>
        <x:v>0.049826166074060374</x:v>
      </x:c>
    </x:row>
    <x:row r="1599">
      <x:c r="A1599" s="89" t="n">
        <x:v>1597</x:v>
      </x:c>
      <x:c r="B1599" s="80" t="n">
        <x:v>0.2367791141482012</x:v>
      </x:c>
      <x:c r="C1599" s="84" t="n">
        <x:f>SQRT('Resumen'!$B$5^3/3)*B1599</x:f>
        <x:v>0.13670448529194507</x:v>
      </x:c>
      <x:c r="D1599" s="84" t="n">
        <x:f>C1599^2-'Resumen'!$B$5^3/3</x:f>
        <x:v>-0.3146452170343977</x:v>
      </x:c>
      <x:c r="E1599" s="85" t="n">
        <x:f>D1599+'Resumen'!$B$5^3/3</x:f>
        <x:v>0.01868811629893563</x:v>
      </x:c>
    </x:row>
    <x:row r="1600">
      <x:c r="A1600" s="89" t="n">
        <x:v>1598</x:v>
      </x:c>
      <x:c r="B1600" s="80" t="n">
        <x:v>-0.563705769505283</x:v>
      </x:c>
      <x:c r="C1600" s="84" t="n">
        <x:f>SQRT('Resumen'!$B$5^3/3)*B1600</x:f>
        <x:v>-0.32545567776762024</x:v>
      </x:c>
      <x:c r="D1600" s="84" t="n">
        <x:f>C1600^2-'Resumen'!$B$5^3/3</x:f>
        <x:v>-0.22741193514215224</x:v>
      </x:c>
      <x:c r="E1600" s="85" t="n">
        <x:f>D1600+'Resumen'!$B$5^3/3</x:f>
        <x:v>0.10592139819118107</x:v>
      </x:c>
    </x:row>
    <x:row r="1601">
      <x:c r="A1601" s="89" t="n">
        <x:v>1599</x:v>
      </x:c>
      <x:c r="B1601" s="80" t="n">
        <x:v>-0.1820199263421645</x:v>
      </x:c>
      <x:c r="C1601" s="84" t="n">
        <x:f>SQRT('Resumen'!$B$5^3/3)*B1601</x:f>
        <x:v>-0.10508925347152452</x:v>
      </x:c>
      <x:c r="D1601" s="84" t="n">
        <x:f>C1601^2-'Resumen'!$B$5^3/3</x:f>
        <x:v>-0.32228958213813097</x:v>
      </x:c>
      <x:c r="E1601" s="85" t="n">
        <x:f>D1601+'Resumen'!$B$5^3/3</x:f>
        <x:v>0.011043751195202345</x:v>
      </x:c>
    </x:row>
    <x:row r="1602">
      <x:c r="A1602" s="89" t="n">
        <x:v>1600</x:v>
      </x:c>
      <x:c r="B1602" s="80" t="n">
        <x:v>-1.6832853318249263</x:v>
      </x:c>
      <x:c r="C1602" s="84" t="n">
        <x:f>SQRT('Resumen'!$B$5^3/3)*B1602</x:f>
        <x:v>-0.9718452394520697</x:v>
      </x:c>
      <x:c r="D1602" s="84" t="n">
        <x:f>C1602^2-'Resumen'!$B$5^3/3</x:f>
        <x:v>0.6111498361123173</x:v>
      </x:c>
      <x:c r="E1602" s="85" t="n">
        <x:f>D1602+'Resumen'!$B$5^3/3</x:f>
        <x:v>0.9444831694456506</x:v>
      </x:c>
    </x:row>
    <x:row r="1603">
      <x:c r="A1603" s="89" t="n">
        <x:v>1601</x:v>
      </x:c>
      <x:c r="B1603" s="80" t="n">
        <x:v>-0.1953244877035882</x:v>
      </x:c>
      <x:c r="C1603" s="84" t="n">
        <x:f>SQRT('Resumen'!$B$5^3/3)*B1603</x:f>
        <x:v>-0.11277064555499239</x:v>
      </x:c>
      <x:c r="D1603" s="84" t="n">
        <x:f>C1603^2-'Resumen'!$B$5^3/3</x:f>
        <x:v>-0.3206161148344436</x:v>
      </x:c>
      <x:c r="E1603" s="85" t="n">
        <x:f>D1603+'Resumen'!$B$5^3/3</x:f>
        <x:v>0.012717218498889737</x:v>
      </x:c>
    </x:row>
    <x:row r="1604">
      <x:c r="A1604" s="89" t="n">
        <x:v>1602</x:v>
      </x:c>
      <x:c r="B1604" s="80" t="n">
        <x:v>0.0894472579494233</x:v>
      </x:c>
      <x:c r="C1604" s="84" t="n">
        <x:f>SQRT('Resumen'!$B$5^3/3)*B1604</x:f>
        <x:v>0.05164239845537343</x:v>
      </x:c>
      <x:c r="D1604" s="84" t="n">
        <x:f>C1604^2-'Resumen'!$B$5^3/3</x:f>
        <x:v>-0.3306663960151098</x:v>
      </x:c>
      <x:c r="E1604" s="85" t="n">
        <x:f>D1604+'Resumen'!$B$5^3/3</x:f>
        <x:v>0.002666937318223539</x:v>
      </x:c>
    </x:row>
    <x:row r="1605">
      <x:c r="A1605" s="89" t="n">
        <x:v>1603</x:v>
      </x:c>
      <x:c r="B1605" s="80" t="n">
        <x:v>0.9574320657852237</x:v>
      </x:c>
      <x:c r="C1605" s="84" t="n">
        <x:f>SQRT('Resumen'!$B$5^3/3)*B1605</x:f>
        <x:v>0.5527736609118783</x:v>
      </x:c>
      <x:c r="D1605" s="84" t="n">
        <x:f>C1605^2-'Resumen'!$B$5^3/3</x:f>
        <x:v>-0.02777461313541313</x:v>
      </x:c>
      <x:c r="E1605" s="85" t="n">
        <x:f>D1605+'Resumen'!$B$5^3/3</x:f>
        <x:v>0.3055587201979202</x:v>
      </x:c>
    </x:row>
    <x:row r="1606">
      <x:c r="A1606" s="89" t="n">
        <x:v>1604</x:v>
      </x:c>
      <x:c r="B1606" s="80" t="n">
        <x:v>-0.9986294087333943</x:v>
      </x:c>
      <x:c r="C1606" s="84" t="n">
        <x:f>SQRT('Resumen'!$B$5^3/3)*B1606</x:f>
        <x:v>-0.576558957952902</x:v>
      </x:c>
      <x:c r="D1606" s="84" t="n">
        <x:f>C1606^2-'Resumen'!$B$5^3/3</x:f>
        <x:v>-0.0009131013375970887</x:v>
      </x:c>
      <x:c r="E1606" s="85" t="n">
        <x:f>D1606+'Resumen'!$B$5^3/3</x:f>
        <x:v>0.3324202319957362</x:v>
      </x:c>
    </x:row>
    <x:row r="1607">
      <x:c r="A1607" s="89" t="n">
        <x:v>1605</x:v>
      </x:c>
      <x:c r="B1607" s="80" t="n">
        <x:v>-1.2701045918551175</x:v>
      </x:c>
      <x:c r="C1607" s="84" t="n">
        <x:f>SQRT('Resumen'!$B$5^3/3)*B1607</x:f>
        <x:v>-0.7332952280065318</x:v>
      </x:c>
      <x:c r="D1607" s="84" t="n">
        <x:f>C1607^2-'Resumen'!$B$5^3/3</x:f>
        <x:v>0.20438855808381812</x:v>
      </x:c>
      <x:c r="E1607" s="85" t="n">
        <x:f>D1607+'Resumen'!$B$5^3/3</x:f>
        <x:v>0.5377218914171514</x:v>
      </x:c>
    </x:row>
    <x:row r="1608">
      <x:c r="A1608" s="89" t="n">
        <x:v>1606</x:v>
      </x:c>
      <x:c r="B1608" s="80" t="n">
        <x:v>1.402247191155423</x:v>
      </x:c>
      <x:c r="C1608" s="84" t="n">
        <x:f>SQRT('Resumen'!$B$5^3/3)*B1608</x:f>
        <x:v>0.8095877932839801</x:v>
      </x:c>
      <x:c r="D1608" s="84" t="n">
        <x:f>C1608^2-'Resumen'!$B$5^3/3</x:f>
        <x:v>0.3220990617010912</x:v>
      </x:c>
      <x:c r="E1608" s="85" t="n">
        <x:f>D1608+'Resumen'!$B$5^3/3</x:f>
        <x:v>0.6554323950344245</x:v>
      </x:c>
    </x:row>
    <x:row r="1609">
      <x:c r="A1609" s="89" t="n">
        <x:v>1607</x:v>
      </x:c>
      <x:c r="B1609" s="80" t="n">
        <x:v>-1.254371112608221</x:v>
      </x:c>
      <x:c r="C1609" s="84" t="n">
        <x:f>SQRT('Resumen'!$B$5^3/3)*B1609</x:f>
        <x:v>-0.7242114995280468</x:v>
      </x:c>
      <x:c r="D1609" s="84" t="n">
        <x:f>C1609^2-'Resumen'!$B$5^3/3</x:f>
        <x:v>0.19114896271532872</x:v>
      </x:c>
      <x:c r="E1609" s="85" t="n">
        <x:f>D1609+'Resumen'!$B$5^3/3</x:f>
        <x:v>0.524482296048662</x:v>
      </x:c>
    </x:row>
    <x:row r="1610">
      <x:c r="A1610" s="89" t="n">
        <x:v>1608</x:v>
      </x:c>
      <x:c r="B1610" s="80" t="n">
        <x:v>-1.1833279702091608</x:v>
      </x:c>
      <x:c r="C1610" s="84" t="n">
        <x:f>SQRT('Resumen'!$B$5^3/3)*B1610</x:f>
        <x:v>-0.6831947221398724</x:v>
      </x:c>
      <x:c r="D1610" s="84" t="n">
        <x:f>C1610^2-'Resumen'!$B$5^3/3</x:f>
        <x:v>0.1334216950264442</x:v>
      </x:c>
      <x:c r="E1610" s="85" t="n">
        <x:f>D1610+'Resumen'!$B$5^3/3</x:f>
        <x:v>0.4667550283597775</x:v>
      </x:c>
    </x:row>
    <x:row r="1611">
      <x:c r="A1611" s="89" t="n">
        <x:v>1609</x:v>
      </x:c>
      <x:c r="B1611" s="80" t="n">
        <x:v>-0.43572390221393975</x:v>
      </x:c>
      <x:c r="C1611" s="84" t="n">
        <x:f>SQRT('Resumen'!$B$5^3/3)*B1611</x:f>
        <x:v>-0.25156531223557227</x:v>
      </x:c>
      <x:c r="D1611" s="84" t="n">
        <x:f>C1611^2-'Resumen'!$B$5^3/3</x:f>
        <x:v>-0.27004822701315234</x:v>
      </x:c>
      <x:c r="E1611" s="85" t="n">
        <x:f>D1611+'Resumen'!$B$5^3/3</x:f>
        <x:v>0.06328510632018097</x:v>
      </x:c>
    </x:row>
    <x:row r="1612">
      <x:c r="A1612" s="89" t="n">
        <x:v>1610</x:v>
      </x:c>
      <x:c r="B1612" s="80" t="n">
        <x:v>0.19321662517602872</x:v>
      </x:c>
      <x:c r="C1612" s="84" t="n">
        <x:f>SQRT('Resumen'!$B$5^3/3)*B1612</x:f>
        <x:v>0.11155367055729119</x:v>
      </x:c>
      <x:c r="D1612" s="84" t="n">
        <x:f>C1612^2-'Resumen'!$B$5^3/3</x:f>
        <x:v>-0.32088911191852865</x:v>
      </x:c>
      <x:c r="E1612" s="85" t="n">
        <x:f>D1612+'Resumen'!$B$5^3/3</x:f>
        <x:v>0.012444221414804668</x:v>
      </x:c>
    </x:row>
    <x:row r="1613">
      <x:c r="A1613" s="89" t="n">
        <x:v>1611</x:v>
      </x:c>
      <x:c r="B1613" s="80" t="n">
        <x:v>0.07325109420953073</x:v>
      </x:c>
      <x:c r="C1613" s="84" t="n">
        <x:f>SQRT('Resumen'!$B$5^3/3)*B1613</x:f>
        <x:v>0.0422915389603072</x:v>
      </x:c>
      <x:c r="D1613" s="84" t="n">
        <x:f>C1613^2-'Resumen'!$B$5^3/3</x:f>
        <x:v>-0.33154475906570213</x:v>
      </x:c>
      <x:c r="E1613" s="85" t="n">
        <x:f>D1613+'Resumen'!$B$5^3/3</x:f>
        <x:v>0.0017885742676311822</x:v>
      </x:c>
    </x:row>
    <x:row r="1614">
      <x:c r="A1614" s="89" t="n">
        <x:v>1612</x:v>
      </x:c>
      <x:c r="B1614" s="80" t="n">
        <x:v>-0.0831949325914859</x:v>
      </x:c>
      <x:c r="C1614" s="84" t="n">
        <x:f>SQRT('Resumen'!$B$5^3/3)*B1614</x:f>
        <x:v>-0.04803261672690715</x:v>
      </x:c>
      <x:c r="D1614" s="84" t="n">
        <x:f>C1614^2-'Resumen'!$B$5^3/3</x:f>
        <x:v>-0.33102620106369934</x:v>
      </x:c>
      <x:c r="E1614" s="85" t="n">
        <x:f>D1614+'Resumen'!$B$5^3/3</x:f>
        <x:v>0.0023071322696339713</x:v>
      </x:c>
    </x:row>
    <x:row r="1615">
      <x:c r="A1615" s="89" t="n">
        <x:v>1613</x:v>
      </x:c>
      <x:c r="B1615" s="80" t="n">
        <x:v>1.3929139700094935</x:v>
      </x:c>
      <x:c r="C1615" s="84" t="n">
        <x:f>SQRT('Resumen'!$B$5^3/3)*B1615</x:f>
        <x:v>0.8041992555429713</x:v>
      </x:c>
      <x:c r="D1615" s="84" t="n">
        <x:f>C1615^2-'Resumen'!$B$5^3/3</x:f>
        <x:v>0.31340310928253595</x:v>
      </x:c>
      <x:c r="E1615" s="85" t="n">
        <x:f>D1615+'Resumen'!$B$5^3/3</x:f>
        <x:v>0.6467364426158693</x:v>
      </x:c>
    </x:row>
    <x:row r="1616">
      <x:c r="A1616" s="89" t="n">
        <x:v>1614</x:v>
      </x:c>
      <x:c r="B1616" s="80" t="n">
        <x:v>0.6009458612102189</x:v>
      </x:c>
      <x:c r="C1616" s="84" t="n">
        <x:f>SQRT('Resumen'!$B$5^3/3)*B1616</x:f>
        <x:v>0.3469562547381113</x:v>
      </x:c>
      <x:c r="D1616" s="84" t="n">
        <x:f>C1616^2-'Resumen'!$B$5^3/3</x:f>
        <x:v>-0.21295469063143613</x:v>
      </x:c>
      <x:c r="E1616" s="85" t="n">
        <x:f>D1616+'Resumen'!$B$5^3/3</x:f>
        <x:v>0.12037864270189719</x:v>
      </x:c>
    </x:row>
    <x:row r="1617">
      <x:c r="A1617" s="89" t="n">
        <x:v>1615</x:v>
      </x:c>
      <x:c r="B1617" s="80" t="n">
        <x:v>-0.01933438601713417</x:v>
      </x:c>
      <x:c r="C1617" s="84" t="n">
        <x:f>SQRT('Resumen'!$B$5^3/3)*B1617</x:f>
        <x:v>-0.011162712971608549</x:v>
      </x:c>
      <x:c r="D1617" s="84" t="n">
        <x:f>C1617^2-'Resumen'!$B$5^3/3</x:f>
        <x:v>-0.3332087271724468</x:v>
      </x:c>
      <x:c r="E1617" s="85" t="n">
        <x:f>D1617+'Resumen'!$B$5^3/3</x:f>
        <x:v>0.0001246061608864979</x:v>
      </x:c>
    </x:row>
    <x:row r="1618">
      <x:c r="A1618" s="89" t="n">
        <x:v>1616</x:v>
      </x:c>
      <x:c r="B1618" s="80" t="n">
        <x:v>1.0135173920526162</x:v>
      </x:c>
      <x:c r="C1618" s="84" t="n">
        <x:f>SQRT('Resumen'!$B$5^3/3)*B1618</x:f>
        <x:v>0.5851545391299454</x:v>
      </x:c>
      <x:c r="D1618" s="84" t="n">
        <x:f>C1618^2-'Resumen'!$B$5^3/3</x:f>
        <x:v>0.009072501331045535</x:v>
      </x:c>
      <x:c r="E1618" s="85" t="n">
        <x:f>D1618+'Resumen'!$B$5^3/3</x:f>
        <x:v>0.34240583466437885</x:v>
      </x:c>
    </x:row>
    <x:row r="1619">
      <x:c r="A1619" s="89" t="n">
        <x:v>1617</x:v>
      </x:c>
      <x:c r="B1619" s="80" t="n">
        <x:v>0.04849277122217493</x:v>
      </x:c>
      <x:c r="C1619" s="84" t="n">
        <x:f>SQRT('Resumen'!$B$5^3/3)*B1619</x:f>
        <x:v>0.02799731451887363</x:v>
      </x:c>
      <x:c r="D1619" s="84" t="n">
        <x:f>C1619^2-'Resumen'!$B$5^3/3</x:f>
        <x:v>-0.3325494837130646</x:v>
      </x:c>
      <x:c r="E1619" s="85" t="n">
        <x:f>D1619+'Resumen'!$B$5^3/3</x:f>
        <x:v>0.0007838496202687284</x:v>
      </x:c>
    </x:row>
    <x:row r="1620">
      <x:c r="A1620" s="89" t="n">
        <x:v>1618</x:v>
      </x:c>
      <x:c r="B1620" s="80" t="n">
        <x:v>0.45256432495385807</x:v>
      </x:c>
      <x:c r="C1620" s="84" t="n">
        <x:f>SQRT('Resumen'!$B$5^3/3)*B1620</x:f>
        <x:v>0.2612881348377312</x:v>
      </x:c>
      <x:c r="D1620" s="84" t="n">
        <x:f>C1620^2-'Resumen'!$B$5^3/3</x:f>
        <x:v>-0.2650618439263529</x:v>
      </x:c>
      <x:c r="E1620" s="85" t="n">
        <x:f>D1620+'Resumen'!$B$5^3/3</x:f>
        <x:v>0.06827148940698041</x:v>
      </x:c>
    </x:row>
    <x:row r="1621">
      <x:c r="A1621" s="89" t="n">
        <x:v>1619</x:v>
      </x:c>
      <x:c r="B1621" s="80" t="n">
        <x:v>-0.01680982110994778</x:v>
      </x:c>
      <x:c r="C1621" s="84" t="n">
        <x:f>SQRT('Resumen'!$B$5^3/3)*B1621</x:f>
        <x:v>-0.009705154742857804</x:v>
      </x:c>
      <x:c r="D1621" s="84" t="n">
        <x:f>C1621^2-'Resumen'!$B$5^3/3</x:f>
        <x:v>-0.3332391433047505</x:v>
      </x:c>
      <x:c r="E1621" s="85" t="n">
        <x:f>D1621+'Resumen'!$B$5^3/3</x:f>
        <x:v>0.00009419002858279679</x:v>
      </x:c>
    </x:row>
    <x:row r="1622">
      <x:c r="A1622" s="89" t="n">
        <x:v>1620</x:v>
      </x:c>
      <x:c r="B1622" s="80" t="n">
        <x:v>0.28062048269879253</x:v>
      </x:c>
      <x:c r="C1622" s="84" t="n">
        <x:f>SQRT('Resumen'!$B$5^3/3)*B1622</x:f>
        <x:v>0.16201631122627058</x:v>
      </x:c>
      <x:c r="D1622" s="84" t="n">
        <x:f>C1622^2-'Resumen'!$B$5^3/3</x:f>
        <x:v>-0.30708404822996554</x:v>
      </x:c>
      <x:c r="E1622" s="85" t="n">
        <x:f>D1622+'Resumen'!$B$5^3/3</x:f>
        <x:v>0.02624928510336777</x:v>
      </x:c>
    </x:row>
    <x:row r="1623">
      <x:c r="A1623" s="89" t="n">
        <x:v>1621</x:v>
      </x:c>
      <x:c r="B1623" s="80" t="n">
        <x:v>0.6296687081335468</x:v>
      </x:c>
      <x:c r="C1623" s="84" t="n">
        <x:f>SQRT('Resumen'!$B$5^3/3)*B1623</x:f>
        <x:v>0.36353939814118713</x:v>
      </x:c>
      <x:c r="D1623" s="84" t="n">
        <x:f>C1623^2-'Resumen'!$B$5^3/3</x:f>
        <x:v>-0.20117243933247675</x:v>
      </x:c>
      <x:c r="E1623" s="85" t="n">
        <x:f>D1623+'Resumen'!$B$5^3/3</x:f>
        <x:v>0.13216089400085657</x:v>
      </x:c>
    </x:row>
    <x:row r="1624">
      <x:c r="A1624" s="89" t="n">
        <x:v>1622</x:v>
      </x:c>
      <x:c r="B1624" s="80" t="n">
        <x:v>-2.147785639025309</x:v>
      </x:c>
      <x:c r="C1624" s="84" t="n">
        <x:f>SQRT('Resumen'!$B$5^3/3)*B1624</x:f>
        <x:v>-1.2400246168528744</x:v>
      </x:c>
      <x:c r="D1624" s="84" t="n">
        <x:f>C1624^2-'Resumen'!$B$5^3/3</x:f>
        <x:v>1.2043277170677846</x:v>
      </x:c>
      <x:c r="E1624" s="85" t="n">
        <x:f>D1624+'Resumen'!$B$5^3/3</x:f>
        <x:v>1.537661050401118</x:v>
      </x:c>
    </x:row>
    <x:row r="1625">
      <x:c r="A1625" s="89" t="n">
        <x:v>1623</x:v>
      </x:c>
      <x:c r="B1625" s="80" t="n">
        <x:v>0.7742144987793314</x:v>
      </x:c>
      <x:c r="C1625" s="84" t="n">
        <x:f>SQRT('Resumen'!$B$5^3/3)*B1625</x:f>
        <x:v>0.4469929492807581</x:v>
      </x:c>
      <x:c r="D1625" s="84" t="n">
        <x:f>C1625^2-'Resumen'!$B$5^3/3</x:f>
        <x:v>-0.13353063662662293</x:v>
      </x:c>
      <x:c r="E1625" s="85" t="n">
        <x:f>D1625+'Resumen'!$B$5^3/3</x:f>
        <x:v>0.1998026967067104</x:v>
      </x:c>
    </x:row>
    <x:row r="1626">
      <x:c r="A1626" s="89" t="n">
        <x:v>1624</x:v>
      </x:c>
      <x:c r="B1626" s="80" t="n">
        <x:v>-2.2520885662265298</x:v>
      </x:c>
      <x:c r="C1626" s="84" t="n">
        <x:f>SQRT('Resumen'!$B$5^3/3)*B1626</x:f>
        <x:v>-1.3002439399497652</x:v>
      </x:c>
      <x:c r="D1626" s="84" t="n">
        <x:f>C1626^2-'Resumen'!$B$5^3/3</x:f>
        <x:v>1.3573009700427552</x:v>
      </x:c>
      <x:c r="E1626" s="85" t="n">
        <x:f>D1626+'Resumen'!$B$5^3/3</x:f>
        <x:v>1.6906343033760884</x:v>
      </x:c>
    </x:row>
    <x:row r="1627">
      <x:c r="A1627" s="89" t="n">
        <x:v>1625</x:v>
      </x:c>
      <x:c r="B1627" s="80" t="n">
        <x:v>-1.2481005219054802</x:v>
      </x:c>
      <x:c r="C1627" s="84" t="n">
        <x:f>SQRT('Resumen'!$B$5^3/3)*B1627</x:f>
        <x:v>-0.7205911722978413</x:v>
      </x:c>
      <x:c r="D1627" s="84" t="n">
        <x:f>C1627^2-'Resumen'!$B$5^3/3</x:f>
        <x:v>0.18591830426024386</x:v>
      </x:c>
      <x:c r="E1627" s="85" t="n">
        <x:f>D1627+'Resumen'!$B$5^3/3</x:f>
        <x:v>0.5192516375935772</x:v>
      </x:c>
    </x:row>
    <x:row r="1628">
      <x:c r="A1628" s="89" t="n">
        <x:v>1626</x:v>
      </x:c>
      <x:c r="B1628" s="80" t="n">
        <x:v>2.4216683041258444</x:v>
      </x:c>
      <x:c r="C1628" s="84" t="n">
        <x:f>SQRT('Resumen'!$B$5^3/3)*B1628</x:f>
        <x:v>1.3981508472750408</x:v>
      </x:c>
      <x:c r="D1628" s="84" t="n">
        <x:f>C1628^2-'Resumen'!$B$5^3/3</x:f>
        <x:v>1.6214924584025812</x:v>
      </x:c>
      <x:c r="E1628" s="85" t="n">
        <x:f>D1628+'Resumen'!$B$5^3/3</x:f>
        <x:v>1.9548257917359144</x:v>
      </x:c>
    </x:row>
    <x:row r="1629">
      <x:c r="A1629" s="89" t="n">
        <x:v>1627</x:v>
      </x:c>
      <x:c r="B1629" s="80" t="n">
        <x:v>-0.7015162121243372</x:v>
      </x:c>
      <x:c r="C1629" s="84" t="n">
        <x:f>SQRT('Resumen'!$B$5^3/3)*B1629</x:f>
        <x:v>-0.4050205739108727</x:v>
      </x:c>
      <x:c r="D1629" s="84" t="n">
        <x:f>C1629^2-'Resumen'!$B$5^3/3</x:f>
        <x:v>-0.1692916680422406</x:v>
      </x:c>
      <x:c r="E1629" s="85" t="n">
        <x:f>D1629+'Resumen'!$B$5^3/3</x:f>
        <x:v>0.1640416652910927</x:v>
      </x:c>
    </x:row>
    <x:row r="1630">
      <x:c r="A1630" s="89" t="n">
        <x:v>1628</x:v>
      </x:c>
      <x:c r="B1630" s="80" t="n">
        <x:v>-1.9884938414551903</x:v>
      </x:c>
      <x:c r="C1630" s="84" t="n">
        <x:f>SQRT('Resumen'!$B$5^3/3)*B1630</x:f>
        <x:v>-1.1480574546460671</x:v>
      </x:c>
      <x:c r="D1630" s="84" t="n">
        <x:f>C1630^2-'Resumen'!$B$5^3/3</x:f>
        <x:v>0.9847025858350733</x:v>
      </x:c>
      <x:c r="E1630" s="85" t="n">
        <x:f>D1630+'Resumen'!$B$5^3/3</x:f>
        <x:v>1.3180359191684066</x:v>
      </x:c>
    </x:row>
    <x:row r="1631">
      <x:c r="A1631" s="89" t="n">
        <x:v>1629</x:v>
      </x:c>
      <x:c r="B1631" s="80" t="n">
        <x:v>0.9605998634337838</x:v>
      </x:c>
      <x:c r="C1631" s="84" t="n">
        <x:f>SQRT('Resumen'!$B$5^3/3)*B1631</x:f>
        <x:v>0.5546025897370128</x:v>
      </x:c>
      <x:c r="D1631" s="84" t="n">
        <x:f>C1631^2-'Resumen'!$B$5^3/3</x:f>
        <x:v>-0.02574930079033194</x:v>
      </x:c>
      <x:c r="E1631" s="85" t="n">
        <x:f>D1631+'Resumen'!$B$5^3/3</x:f>
        <x:v>0.3075840325430014</x:v>
      </x:c>
    </x:row>
    <x:row r="1632">
      <x:c r="A1632" s="89" t="n">
        <x:v>1630</x:v>
      </x:c>
      <x:c r="B1632" s="80" t="n">
        <x:v>0.5119503582181271</x:v>
      </x:c>
      <x:c r="C1632" s="84" t="n">
        <x:f>SQRT('Resumen'!$B$5^3/3)*B1632</x:f>
        <x:v>0.29557467712896096</x:v>
      </x:c>
      <x:c r="D1632" s="84" t="n">
        <x:f>C1632^2-'Resumen'!$B$5^3/3</x:f>
        <x:v>-0.2459689435734438</x:v>
      </x:c>
      <x:c r="E1632" s="85" t="n">
        <x:f>D1632+'Resumen'!$B$5^3/3</x:f>
        <x:v>0.08736438975988953</x:v>
      </x:c>
    </x:row>
    <x:row r="1633">
      <x:c r="A1633" s="89" t="n">
        <x:v>1631</x:v>
      </x:c>
      <x:c r="B1633" s="80" t="n">
        <x:v>0.14601529303174002</x:v>
      </x:c>
      <x:c r="C1633" s="84" t="n">
        <x:f>SQRT('Resumen'!$B$5^3/3)*B1633</x:f>
        <x:v>0.08430196873767719</x:v>
      </x:c>
      <x:c r="D1633" s="84" t="n">
        <x:f>C1633^2-'Resumen'!$B$5^3/3</x:f>
        <x:v>-0.326226511400285</x:v>
      </x:c>
      <x:c r="E1633" s="85" t="n">
        <x:f>D1633+'Resumen'!$B$5^3/3</x:f>
        <x:v>0.007106821933048291</x:v>
      </x:c>
    </x:row>
    <x:row r="1634">
      <x:c r="A1634" s="89" t="n">
        <x:v>1632</x:v>
      </x:c>
      <x:c r="B1634" s="80" t="n">
        <x:v>-0.20723579421195237</x:v>
      </x:c>
      <x:c r="C1634" s="84" t="n">
        <x:f>SQRT('Resumen'!$B$5^3/3)*B1634</x:f>
        <x:v>-0.11964764157399659</x:v>
      </x:c>
      <x:c r="D1634" s="84" t="n">
        <x:f>C1634^2-'Resumen'!$B$5^3/3</x:f>
        <x:v>-0.3190177751991138</x:v>
      </x:c>
      <x:c r="E1634" s="85" t="n">
        <x:f>D1634+'Resumen'!$B$5^3/3</x:f>
        <x:v>0.01431555813421953</x:v>
      </x:c>
    </x:row>
    <x:row r="1635">
      <x:c r="A1635" s="89" t="n">
        <x:v>1633</x:v>
      </x:c>
      <x:c r="B1635" s="80" t="n">
        <x:v>0.1942456666206319</x:v>
      </x:c>
      <x:c r="C1635" s="84" t="n">
        <x:f>SQRT('Resumen'!$B$5^3/3)*B1635</x:f>
        <x:v>0.11214778791234012</x:v>
      </x:c>
      <x:c r="D1635" s="84" t="n">
        <x:f>C1635^2-'Resumen'!$B$5^3/3</x:f>
        <x:v>-0.3207562069997021</x:v>
      </x:c>
      <x:c r="E1635" s="85" t="n">
        <x:f>D1635+'Resumen'!$B$5^3/3</x:f>
        <x:v>0.012577126333631228</x:v>
      </x:c>
    </x:row>
    <x:row r="1636">
      <x:c r="A1636" s="89" t="n">
        <x:v>1634</x:v>
      </x:c>
      <x:c r="B1636" s="80" t="n">
        <x:v>-1.6849536761231847</x:v>
      </x:c>
      <x:c r="C1636" s="84" t="n">
        <x:f>SQRT('Resumen'!$B$5^3/3)*B1636</x:f>
        <x:v>-0.9728084584817701</x:v>
      </x:c>
      <x:c r="D1636" s="84" t="n">
        <x:f>C1636^2-'Resumen'!$B$5^3/3</x:f>
        <x:v>0.6130229635603446</x:v>
      </x:c>
      <x:c r="E1636" s="85" t="n">
        <x:f>D1636+'Resumen'!$B$5^3/3</x:f>
        <x:v>0.9463562968936778</x:v>
      </x:c>
    </x:row>
    <x:row r="1637">
      <x:c r="A1637" s="89" t="n">
        <x:v>1635</x:v>
      </x:c>
      <x:c r="B1637" s="80" t="n">
        <x:v>-1.1089930541648452</x:v>
      </x:c>
      <x:c r="C1637" s="84" t="n">
        <x:f>SQRT('Resumen'!$B$5^3/3)*B1637</x:f>
        <x:v>-0.6402774383514985</x:v>
      </x:c>
      <x:c r="D1637" s="84" t="n">
        <x:f>C1637^2-'Resumen'!$B$5^3/3</x:f>
        <x:v>0.0766218647286237</x:v>
      </x:c>
      <x:c r="E1637" s="85" t="n">
        <x:f>D1637+'Resumen'!$B$5^3/3</x:f>
        <x:v>0.409955198061957</x:v>
      </x:c>
    </x:row>
    <x:row r="1638">
      <x:c r="A1638" s="89" t="n">
        <x:v>1636</x:v>
      </x:c>
      <x:c r="B1638" s="80" t="n">
        <x:v>0.31433501648725937</x:v>
      </x:c>
      <x:c r="C1638" s="84" t="n">
        <x:f>SQRT('Resumen'!$B$5^3/3)*B1638</x:f>
        <x:v>0.18148140638464463</x:v>
      </x:c>
      <x:c r="D1638" s="84" t="n">
        <x:f>C1638^2-'Resumen'!$B$5^3/3</x:f>
        <x:v>-0.3003978324699848</x:v>
      </x:c>
      <x:c r="E1638" s="85" t="n">
        <x:f>D1638+'Resumen'!$B$5^3/3</x:f>
        <x:v>0.03293550086334851</x:v>
      </x:c>
    </x:row>
    <x:row r="1639">
      <x:c r="A1639" s="89" t="n">
        <x:v>1637</x:v>
      </x:c>
      <x:c r="B1639" s="80" t="n">
        <x:v>0.44594994197786014</x:v>
      </x:c>
      <x:c r="C1639" s="84" t="n">
        <x:f>SQRT('Resumen'!$B$5^3/3)*B1639</x:f>
        <x:v>0.25746931904601555</x:v>
      </x:c>
      <x:c r="D1639" s="84" t="n">
        <x:f>C1639^2-'Resumen'!$B$5^3/3</x:f>
        <x:v>-0.26704288308331436</x:v>
      </x:c>
      <x:c r="E1639" s="85" t="n">
        <x:f>D1639+'Resumen'!$B$5^3/3</x:f>
        <x:v>0.06629045025001895</x:v>
      </x:c>
    </x:row>
    <x:row r="1640">
      <x:c r="A1640" s="89" t="n">
        <x:v>1638</x:v>
      </x:c>
      <x:c r="B1640" s="80" t="n">
        <x:v>1.195336891632069</x:v>
      </x:c>
      <x:c r="C1640" s="84" t="n">
        <x:f>SQRT('Resumen'!$B$5^3/3)*B1640</x:f>
        <x:v>0.6901280761560655</x:v>
      </x:c>
      <x:c r="D1640" s="84" t="n">
        <x:f>C1640^2-'Resumen'!$B$5^3/3</x:f>
        <x:v>0.14294342816553884</x:v>
      </x:c>
      <x:c r="E1640" s="85" t="n">
        <x:f>D1640+'Resumen'!$B$5^3/3</x:f>
        <x:v>0.47627676149887216</x:v>
      </x:c>
    </x:row>
    <x:row r="1641">
      <x:c r="A1641" s="89" t="n">
        <x:v>1639</x:v>
      </x:c>
      <x:c r="B1641" s="80" t="n">
        <x:v>-0.17487399215679508</x:v>
      </x:c>
      <x:c r="C1641" s="84" t="n">
        <x:f>SQRT('Resumen'!$B$5^3/3)*B1641</x:f>
        <x:v>-0.10096354644599013</x:v>
      </x:c>
      <x:c r="D1641" s="84" t="n">
        <x:f>C1641^2-'Resumen'!$B$5^3/3</x:f>
        <x:v>-0.3231396956223817</x:v>
      </x:c>
      <x:c r="E1641" s="85" t="n">
        <x:f>D1641+'Resumen'!$B$5^3/3</x:f>
        <x:v>0.010193637710951609</x:v>
      </x:c>
    </x:row>
    <x:row r="1642">
      <x:c r="A1642" s="89" t="n">
        <x:v>1640</x:v>
      </x:c>
      <x:c r="B1642" s="80" t="n">
        <x:v>-0.542097755423515</x:v>
      </x:c>
      <x:c r="C1642" s="84" t="n">
        <x:f>SQRT('Resumen'!$B$5^3/3)*B1642</x:f>
        <x:v>-0.3129802850208583</x:v>
      </x:c>
      <x:c r="D1642" s="84" t="n">
        <x:f>C1642^2-'Resumen'!$B$5^3/3</x:f>
        <x:v>-0.2353766745215956</x:v>
      </x:c>
      <x:c r="E1642" s="85" t="n">
        <x:f>D1642+'Resumen'!$B$5^3/3</x:f>
        <x:v>0.0979566588117377</x:v>
      </x:c>
    </x:row>
    <x:row r="1643">
      <x:c r="A1643" s="89" t="n">
        <x:v>1641</x:v>
      </x:c>
      <x:c r="B1643" s="80" t="n">
        <x:v>0.9969240885823029</x:v>
      </x:c>
      <x:c r="C1643" s="84" t="n">
        <x:f>SQRT('Resumen'!$B$5^3/3)*B1643</x:f>
        <x:v>0.5755743909046148</x:v>
      </x:c>
      <x:c r="D1643" s="84" t="n">
        <x:f>C1643^2-'Resumen'!$B$5^3/3</x:f>
        <x:v>-0.0020474538681149457</x:v>
      </x:c>
      <x:c r="E1643" s="85" t="n">
        <x:f>D1643+'Resumen'!$B$5^3/3</x:f>
        <x:v>0.33128587946521837</x:v>
      </x:c>
    </x:row>
    <x:row r="1644">
      <x:c r="A1644" s="89" t="n">
        <x:v>1642</x:v>
      </x:c>
      <x:c r="B1644" s="80" t="n">
        <x:v>-1.2945655668309664</x:v>
      </x:c>
      <x:c r="C1644" s="84" t="n">
        <x:f>SQRT('Resumen'!$B$5^3/3)*B1644</x:f>
        <x:v>-0.7474177784934788</x:v>
      </x:c>
      <x:c r="D1644" s="84" t="n">
        <x:f>C1644^2-'Resumen'!$B$5^3/3</x:f>
        <x:v>0.22530000227479358</x:v>
      </x:c>
      <x:c r="E1644" s="85" t="n">
        <x:f>D1644+'Resumen'!$B$5^3/3</x:f>
        <x:v>0.5586333356081269</x:v>
      </x:c>
    </x:row>
    <x:row r="1645">
      <x:c r="A1645" s="89" t="n">
        <x:v>1643</x:v>
      </x:c>
      <x:c r="B1645" s="80" t="n">
        <x:v>-1.6560890000243011</x:v>
      </x:c>
      <x:c r="C1645" s="84" t="n">
        <x:f>SQRT('Resumen'!$B$5^3/3)*B1645</x:f>
        <x:v>-0.9561434299660083</x:v>
      </x:c>
      <x:c r="D1645" s="84" t="n">
        <x:f>C1645^2-'Resumen'!$B$5^3/3</x:f>
        <x:v>0.5808769253338297</x:v>
      </x:c>
      <x:c r="E1645" s="85" t="n">
        <x:f>D1645+'Resumen'!$B$5^3/3</x:f>
        <x:v>0.914210258667163</x:v>
      </x:c>
    </x:row>
    <x:row r="1646">
      <x:c r="A1646" s="89" t="n">
        <x:v>1644</x:v>
      </x:c>
      <x:c r="B1646" s="80" t="n">
        <x:v>1.6945023110562567</x:v>
      </x:c>
      <x:c r="C1646" s="84" t="n">
        <x:f>SQRT('Resumen'!$B$5^3/3)*B1646</x:f>
        <x:v>0.9783213654307727</x:v>
      </x:c>
      <x:c r="D1646" s="84" t="n">
        <x:f>C1646^2-'Resumen'!$B$5^3/3</x:f>
        <x:v>0.6237793607249982</x:v>
      </x:c>
      <x:c r="E1646" s="85" t="n">
        <x:f>D1646+'Resumen'!$B$5^3/3</x:f>
        <x:v>0.9571126940583314</x:v>
      </x:c>
    </x:row>
    <x:row r="1647">
      <x:c r="A1647" s="89" t="n">
        <x:v>1645</x:v>
      </x:c>
      <x:c r="B1647" s="80" t="n">
        <x:v>0.14185398880555367</x:v>
      </x:c>
      <x:c r="C1647" s="84" t="n">
        <x:f>SQRT('Resumen'!$B$5^3/3)*B1647</x:f>
        <x:v>0.08189943862250856</x:v>
      </x:c>
      <x:c r="D1647" s="84" t="n">
        <x:f>C1647^2-'Resumen'!$B$5^3/3</x:f>
        <x:v>-0.32662581528665124</x:v>
      </x:c>
      <x:c r="E1647" s="85" t="n">
        <x:f>D1647+'Resumen'!$B$5^3/3</x:f>
        <x:v>0.0067075180466820705</x:v>
      </x:c>
    </x:row>
    <x:row r="1648">
      <x:c r="A1648" s="89" t="n">
        <x:v>1646</x:v>
      </x:c>
      <x:c r="B1648" s="80" t="n">
        <x:v>-0.6542148151576057</x:v>
      </x:c>
      <x:c r="C1648" s="84" t="n">
        <x:f>SQRT('Resumen'!$B$5^3/3)*B1648</x:f>
        <x:v>-0.3777110996390849</x:v>
      </x:c>
      <x:c r="D1648" s="84" t="n">
        <x:f>C1648^2-'Resumen'!$B$5^3/3</x:f>
        <x:v>-0.1906676585427666</x:v>
      </x:c>
      <x:c r="E1648" s="85" t="n">
        <x:f>D1648+'Resumen'!$B$5^3/3</x:f>
        <x:v>0.14266567479056672</x:v>
      </x:c>
    </x:row>
    <x:row r="1649">
      <x:c r="A1649" s="89" t="n">
        <x:v>1647</x:v>
      </x:c>
      <x:c r="B1649" s="80" t="n">
        <x:v>-0.19317837676164926</x:v>
      </x:c>
      <x:c r="C1649" s="84" t="n">
        <x:f>SQRT('Resumen'!$B$5^3/3)*B1649</x:f>
        <x:v>-0.11153158782495314</x:v>
      </x:c>
      <x:c r="D1649" s="84" t="n">
        <x:f>C1649^2-'Resumen'!$B$5^3/3</x:f>
        <x:v>-0.3208940382505781</x:v>
      </x:c>
      <x:c r="E1649" s="85" t="n">
        <x:f>D1649+'Resumen'!$B$5^3/3</x:f>
        <x:v>0.012439295082755208</x:v>
      </x:c>
    </x:row>
    <x:row r="1650">
      <x:c r="A1650" s="89" t="n">
        <x:v>1648</x:v>
      </x:c>
      <x:c r="B1650" s="80" t="n">
        <x:v>-0.39009739125232357</x:v>
      </x:c>
      <x:c r="C1650" s="84" t="n">
        <x:f>SQRT('Resumen'!$B$5^3/3)*B1650</x:f>
        <x:v>-0.22522283384969977</x:v>
      </x:c>
      <x:c r="D1650" s="84" t="n">
        <x:f>C1650^2-'Resumen'!$B$5^3/3</x:f>
        <x:v>-0.28260800844604383</x:v>
      </x:c>
      <x:c r="E1650" s="85" t="n">
        <x:f>D1650+'Resumen'!$B$5^3/3</x:f>
        <x:v>0.05072532488728948</x:v>
      </x:c>
    </x:row>
    <x:row r="1651">
      <x:c r="A1651" s="89" t="n">
        <x:v>1649</x:v>
      </x:c>
      <x:c r="B1651" s="80" t="n">
        <x:v>0.3056692583340489</x:v>
      </x:c>
      <x:c r="C1651" s="84" t="n">
        <x:f>SQRT('Resumen'!$B$5^3/3)*B1651</x:f>
        <x:v>0.1764782285821564</x:v>
      </x:c>
      <x:c r="D1651" s="84" t="n">
        <x:f>C1651^2-'Resumen'!$B$5^3/3</x:f>
        <x:v>-0.3021887681698375</x:v>
      </x:c>
      <x:c r="E1651" s="85" t="n">
        <x:f>D1651+'Resumen'!$B$5^3/3</x:f>
        <x:v>0.03114456516349584</x:v>
      </x:c>
    </x:row>
    <x:row r="1652">
      <x:c r="A1652" s="89" t="n">
        <x:v>1650</x:v>
      </x:c>
      <x:c r="B1652" s="80" t="n">
        <x:v>-1.401000587941876</x:v>
      </x:c>
      <x:c r="C1652" s="84" t="n">
        <x:f>SQRT('Resumen'!$B$5^3/3)*B1652</x:f>
        <x:v>-0.8088680665830661</x:v>
      </x:c>
      <x:c r="D1652" s="84" t="n">
        <x:f>C1652^2-'Resumen'!$B$5^3/3</x:f>
        <x:v>0.32093421580449416</x:v>
      </x:c>
      <x:c r="E1652" s="85" t="n">
        <x:f>D1652+'Resumen'!$B$5^3/3</x:f>
        <x:v>0.6542675491378275</x:v>
      </x:c>
    </x:row>
    <x:row r="1653">
      <x:c r="A1653" s="89" t="n">
        <x:v>1651</x:v>
      </x:c>
      <x:c r="B1653" s="80" t="n">
        <x:v>0.5313519209558509</x:v>
      </x:c>
      <x:c r="C1653" s="84" t="n">
        <x:f>SQRT('Resumen'!$B$5^3/3)*B1653</x:f>
        <x:v>0.30677617459828527</x:v>
      </x:c>
      <x:c r="D1653" s="84" t="n">
        <x:f>C1653^2-'Resumen'!$B$5^3/3</x:f>
        <x:v>-0.2392217120321757</x:v>
      </x:c>
      <x:c r="E1653" s="85" t="n">
        <x:f>D1653+'Resumen'!$B$5^3/3</x:f>
        <x:v>0.0941116213011576</x:v>
      </x:c>
    </x:row>
    <x:row r="1654">
      <x:c r="A1654" s="89" t="n">
        <x:v>1652</x:v>
      </x:c>
      <x:c r="B1654" s="80" t="n">
        <x:v>0.48885344965705047</x:v>
      </x:c>
      <x:c r="C1654" s="84" t="n">
        <x:f>SQRT('Resumen'!$B$5^3/3)*B1654</x:f>
        <x:v>0.28223967075377526</x:v>
      </x:c>
      <x:c r="D1654" s="84" t="n">
        <x:f>C1654^2-'Resumen'!$B$5^3/3</x:f>
        <x:v>-0.25367410158613385</x:v>
      </x:c>
      <x:c r="E1654" s="85" t="n">
        <x:f>D1654+'Resumen'!$B$5^3/3</x:f>
        <x:v>0.07965923174719947</x:v>
      </x:c>
    </x:row>
    <x:row r="1655">
      <x:c r="A1655" s="89" t="n">
        <x:v>1653</x:v>
      </x:c>
      <x:c r="B1655" s="80" t="n">
        <x:v>0.5429097783786981</x:v>
      </x:c>
      <x:c r="C1655" s="84" t="n">
        <x:f>SQRT('Resumen'!$B$5^3/3)*B1655</x:f>
        <x:v>0.31344910669262144</x:v>
      </x:c>
      <x:c r="D1655" s="84" t="n">
        <x:f>C1655^2-'Resumen'!$B$5^3/3</x:f>
        <x:v>-0.23508299084693093</x:v>
      </x:c>
      <x:c r="E1655" s="85" t="n">
        <x:f>D1655+'Resumen'!$B$5^3/3</x:f>
        <x:v>0.09825034248640238</x:v>
      </x:c>
    </x:row>
    <x:row r="1656">
      <x:c r="A1656" s="89" t="n">
        <x:v>1654</x:v>
      </x:c>
      <x:c r="B1656" s="80" t="n">
        <x:v>-2.0740985333169446</x:v>
      </x:c>
      <x:c r="C1656" s="84" t="n">
        <x:f>SQRT('Resumen'!$B$5^3/3)*B1656</x:f>
        <x:v>-1.1974813465363459</x:v>
      </x:c>
      <x:c r="D1656" s="84" t="n">
        <x:f>C1656^2-'Resumen'!$B$5^3/3</x:f>
        <x:v>1.1006282419691669</x:v>
      </x:c>
      <x:c r="E1656" s="85" t="n">
        <x:f>D1656+'Resumen'!$B$5^3/3</x:f>
        <x:v>1.4339615753025001</x:v>
      </x:c>
    </x:row>
    <x:row r="1657">
      <x:c r="A1657" s="89" t="n">
        <x:v>1655</x:v>
      </x:c>
      <x:c r="B1657" s="80" t="n">
        <x:v>0.9478576628322845</x:v>
      </x:c>
      <x:c r="C1657" s="84" t="n">
        <x:f>SQRT('Resumen'!$B$5^3/3)*B1657</x:f>
        <x:v>0.547245876789669</x:v>
      </x:c>
      <x:c r="D1657" s="84" t="n">
        <x:f>C1657^2-'Resumen'!$B$5^3/3</x:f>
        <x:v>-0.03385528367003976</x:v>
      </x:c>
      <x:c r="E1657" s="85" t="n">
        <x:f>D1657+'Resumen'!$B$5^3/3</x:f>
        <x:v>0.29947804966329356</x:v>
      </x:c>
    </x:row>
    <x:row r="1658">
      <x:c r="A1658" s="89" t="n">
        <x:v>1656</x:v>
      </x:c>
      <x:c r="B1658" s="80" t="n">
        <x:v>-0.6134987688448237</x:v>
      </x:c>
      <x:c r="C1658" s="84" t="n">
        <x:f>SQRT('Resumen'!$B$5^3/3)*B1658</x:f>
        <x:v>-0.3542036793400629</x:v>
      </x:c>
      <x:c r="D1658" s="84" t="n">
        <x:f>C1658^2-'Resumen'!$B$5^3/3</x:f>
        <x:v>-0.2078730868752952</x:v>
      </x:c>
      <x:c r="E1658" s="85" t="n">
        <x:f>D1658+'Resumen'!$B$5^3/3</x:f>
        <x:v>0.1254602464580381</x:v>
      </x:c>
    </x:row>
    <x:row r="1659">
      <x:c r="A1659" s="89" t="n">
        <x:v>1657</x:v>
      </x:c>
      <x:c r="B1659" s="80" t="n">
        <x:v>0.08910011922697096</x:v>
      </x:c>
      <x:c r="C1659" s="84" t="n">
        <x:f>SQRT('Resumen'!$B$5^3/3)*B1659</x:f>
        <x:v>0.05144197782051943</x:v>
      </x:c>
      <x:c r="D1659" s="84" t="n">
        <x:f>C1659^2-'Resumen'!$B$5^3/3</x:f>
        <x:v>-0.3306870562512465</x:v>
      </x:c>
      <x:c r="E1659" s="85" t="n">
        <x:f>D1659+'Resumen'!$B$5^3/3</x:f>
        <x:v>0.002646277082086812</x:v>
      </x:c>
    </x:row>
    <x:row r="1660">
      <x:c r="A1660" s="89" t="n">
        <x:v>1658</x:v>
      </x:c>
      <x:c r="B1660" s="80" t="n">
        <x:v>-0.971913559531118</x:v>
      </x:c>
      <x:c r="C1660" s="84" t="n">
        <x:f>SQRT('Resumen'!$B$5^3/3)*B1660</x:f>
        <x:v>-0.5611345552243383</x:v>
      </x:c>
      <x:c r="D1660" s="84" t="n">
        <x:f>C1660^2-'Resumen'!$B$5^3/3</x:f>
        <x:v>-0.018461344266517354</x:v>
      </x:c>
      <x:c r="E1660" s="85" t="n">
        <x:f>D1660+'Resumen'!$B$5^3/3</x:f>
        <x:v>0.31487198906681596</x:v>
      </x:c>
    </x:row>
    <x:row r="1661">
      <x:c r="A1661" s="89" t="n">
        <x:v>1659</x:v>
      </x:c>
      <x:c r="B1661" s="80" t="n">
        <x:v>0.15853846902679997</x:v>
      </x:c>
      <x:c r="C1661" s="84" t="n">
        <x:f>SQRT('Resumen'!$B$5^3/3)*B1661</x:f>
        <x:v>0.0915322277695341</x:v>
      </x:c>
      <x:c r="D1661" s="84" t="n">
        <x:f>C1661^2-'Resumen'!$B$5^3/3</x:f>
        <x:v>-0.3249551846128794</x:v>
      </x:c>
      <x:c r="E1661" s="85" t="n">
        <x:f>D1661+'Resumen'!$B$5^3/3</x:f>
        <x:v>0.008378148720453893</x:v>
      </x:c>
    </x:row>
    <x:row r="1662">
      <x:c r="A1662" s="89" t="n">
        <x:v>1660</x:v>
      </x:c>
      <x:c r="B1662" s="80" t="n">
        <x:v>-0.8318342323332971</x:v>
      </x:c>
      <x:c r="C1662" s="84" t="n">
        <x:f>SQRT('Resumen'!$B$5^3/3)*B1662</x:f>
        <x:v>-0.48025971795877476</x:v>
      </x:c>
      <x:c r="D1662" s="84" t="n">
        <x:f>C1662^2-'Resumen'!$B$5^3/3</x:f>
        <x:v>-0.10268393663949144</x:v>
      </x:c>
      <x:c r="E1662" s="85" t="n">
        <x:f>D1662+'Resumen'!$B$5^3/3</x:f>
        <x:v>0.23064939669384188</x:v>
      </x:c>
    </x:row>
    <x:row r="1663">
      <x:c r="A1663" s="89" t="n">
        <x:v>1661</x:v>
      </x:c>
      <x:c r="B1663" s="80" t="n">
        <x:v>-1.0152382852397142</x:v>
      </x:c>
      <x:c r="C1663" s="84" t="n">
        <x:f>SQRT('Resumen'!$B$5^3/3)*B1663</x:f>
        <x:v>-0.586148097274763</x:v>
      </x:c>
      <x:c r="D1663" s="84" t="n">
        <x:f>C1663^2-'Resumen'!$B$5^3/3</x:f>
        <x:v>0.010236258605491766</x:v>
      </x:c>
      <x:c r="E1663" s="85" t="n">
        <x:f>D1663+'Resumen'!$B$5^3/3</x:f>
        <x:v>0.3435695919388251</x:v>
      </x:c>
    </x:row>
    <x:row r="1664">
      <x:c r="A1664" s="89" t="n">
        <x:v>1662</x:v>
      </x:c>
      <x:c r="B1664" s="80" t="n">
        <x:v>0.08134510271012735</x:v>
      </x:c>
      <x:c r="C1664" s="84" t="n">
        <x:f>SQRT('Resumen'!$B$5^3/3)*B1664</x:f>
        <x:v>0.046964616946949776</x:v>
      </x:c>
      <x:c r="D1664" s="84" t="n">
        <x:f>C1664^2-'Resumen'!$B$5^3/3</x:f>
        <x:v>-0.3311276580883596</x:v>
      </x:c>
      <x:c r="E1664" s="85" t="n">
        <x:f>D1664+'Resumen'!$B$5^3/3</x:f>
        <x:v>0.002205675244973726</x:v>
      </x:c>
    </x:row>
    <x:row r="1665">
      <x:c r="A1665" s="89" t="n">
        <x:v>1663</x:v>
      </x:c>
      <x:c r="B1665" s="80" t="n">
        <x:v>0.8262017578371016</x:v>
      </x:c>
      <x:c r="C1665" s="84" t="n">
        <x:f>SQRT('Resumen'!$B$5^3/3)*B1665</x:f>
        <x:v>0.47700780729219255</x:v>
      </x:c>
      <x:c r="D1665" s="84" t="n">
        <x:f>C1665^2-'Resumen'!$B$5^3/3</x:f>
        <x:v>-0.10579688511562782</x:v>
      </x:c>
      <x:c r="E1665" s="85" t="n">
        <x:f>D1665+'Resumen'!$B$5^3/3</x:f>
        <x:v>0.2275364482177055</x:v>
      </x:c>
    </x:row>
    <x:row r="1666">
      <x:c r="A1666" s="89" t="n">
        <x:v>1664</x:v>
      </x:c>
      <x:c r="B1666" s="80" t="n">
        <x:v>1.8873430670084888</x:v>
      </x:c>
      <x:c r="C1666" s="84" t="n">
        <x:f>SQRT('Resumen'!$B$5^3/3)*B1666</x:f>
        <x:v>1.0896580277905248</x:v>
      </x:c>
      <x:c r="D1666" s="84" t="n">
        <x:f>C1666^2-'Resumen'!$B$5^3/3</x:f>
        <x:v>0.8540212841950028</x:v>
      </x:c>
      <x:c r="E1666" s="85" t="n">
        <x:f>D1666+'Resumen'!$B$5^3/3</x:f>
        <x:v>1.187354617528336</x:v>
      </x:c>
    </x:row>
    <x:row r="1667">
      <x:c r="A1667" s="89" t="n">
        <x:v>1665</x:v>
      </x:c>
      <x:c r="B1667" s="80" t="n">
        <x:v>-0.5916295511591455</x:v>
      </x:c>
      <x:c r="C1667" s="84" t="n">
        <x:f>SQRT('Resumen'!$B$5^3/3)*B1667</x:f>
        <x:v>-0.3415774806222701</x:v>
      </x:c>
      <x:c r="D1667" s="84" t="n">
        <x:f>C1667^2-'Resumen'!$B$5^3/3</x:f>
        <x:v>-0.216658158065076</x:v>
      </x:c>
      <x:c r="E1667" s="85" t="n">
        <x:f>D1667+'Resumen'!$B$5^3/3</x:f>
        <x:v>0.11667517526825733</x:v>
      </x:c>
    </x:row>
    <x:row r="1668">
      <x:c r="A1668" s="89" t="n">
        <x:v>1666</x:v>
      </x:c>
      <x:c r="B1668" s="80" t="n">
        <x:v>0.8463221055959746</x:v>
      </x:c>
      <x:c r="C1668" s="84" t="n">
        <x:f>SQRT('Resumen'!$B$5^3/3)*B1668</x:f>
        <x:v>0.48862429548696684</x:v>
      </x:c>
      <x:c r="D1668" s="84" t="n">
        <x:f>C1668^2-'Resumen'!$B$5^3/3</x:f>
        <x:v>-0.09457963119319862</x:v>
      </x:c>
      <x:c r="E1668" s="85" t="n">
        <x:f>D1668+'Resumen'!$B$5^3/3</x:f>
        <x:v>0.2387537021401347</x:v>
      </x:c>
    </x:row>
    <x:row r="1669">
      <x:c r="A1669" s="89" t="n">
        <x:v>1667</x:v>
      </x:c>
      <x:c r="B1669" s="80" t="n">
        <x:v>0.5264177940001397</x:v>
      </x:c>
      <x:c r="C1669" s="84" t="n">
        <x:f>SQRT('Resumen'!$B$5^3/3)*B1669</x:f>
        <x:v>0.3039274550721896</x:v>
      </x:c>
      <x:c r="D1669" s="84" t="n">
        <x:f>C1669^2-'Resumen'!$B$5^3/3</x:f>
        <x:v>-0.24096143538667547</x:v>
      </x:c>
      <x:c r="E1669" s="85" t="n">
        <x:f>D1669+'Resumen'!$B$5^3/3</x:f>
        <x:v>0.09237189794665784</x:v>
      </x:c>
    </x:row>
    <x:row r="1670">
      <x:c r="A1670" s="89" t="n">
        <x:v>1668</x:v>
      </x:c>
      <x:c r="B1670" s="80" t="n">
        <x:v>-3.4473541584295693</x:v>
      </x:c>
      <x:c r="C1670" s="84" t="n">
        <x:f>SQRT('Resumen'!$B$5^3/3)*B1670</x:f>
        <x:v>-1.9903308513612874</x:v>
      </x:c>
      <x:c r="D1670" s="84" t="n">
        <x:f>C1670^2-'Resumen'!$B$5^3/3</x:f>
        <x:v>3.6280835645472136</x:v>
      </x:c>
      <x:c r="E1670" s="85" t="n">
        <x:f>D1670+'Resumen'!$B$5^3/3</x:f>
        <x:v>3.961416897880547</x:v>
      </x:c>
    </x:row>
    <x:row r="1671">
      <x:c r="A1671" s="89" t="n">
        <x:v>1669</x:v>
      </x:c>
      <x:c r="B1671" s="80" t="n">
        <x:v>0.707763726444355</x:v>
      </x:c>
      <x:c r="C1671" s="84" t="n">
        <x:f>SQRT('Resumen'!$B$5^3/3)*B1671</x:f>
        <x:v>0.408627577985301</x:v>
      </x:c>
      <x:c r="D1671" s="84" t="n">
        <x:f>C1671^2-'Resumen'!$B$5^3/3</x:f>
        <x:v>-0.16635683584320005</x:v>
      </x:c>
      <x:c r="E1671" s="85" t="n">
        <x:f>D1671+'Resumen'!$B$5^3/3</x:f>
        <x:v>0.16697649749013327</x:v>
      </x:c>
    </x:row>
    <x:row r="1672">
      <x:c r="A1672" s="89" t="n">
        <x:v>1670</x:v>
      </x:c>
      <x:c r="B1672" s="80" t="n">
        <x:v>0.13294268026544978</x:v>
      </x:c>
      <x:c r="C1672" s="84" t="n">
        <x:f>SQRT('Resumen'!$B$5^3/3)*B1672</x:f>
        <x:v>0.07675449223804777</x:v>
      </x:c>
      <x:c r="D1672" s="84" t="n">
        <x:f>C1672^2-'Resumen'!$B$5^3/3</x:f>
        <x:v>-0.32744208125461277</x:v>
      </x:c>
      <x:c r="E1672" s="85" t="n">
        <x:f>D1672+'Resumen'!$B$5^3/3</x:f>
        <x:v>0.005891252078720544</x:v>
      </x:c>
    </x:row>
    <x:row r="1673">
      <x:c r="A1673" s="89" t="n">
        <x:v>1671</x:v>
      </x:c>
      <x:c r="B1673" s="80" t="n">
        <x:v>0.8542620528328416</x:v>
      </x:c>
      <x:c r="C1673" s="84" t="n">
        <x:f>SQRT('Resumen'!$B$5^3/3)*B1673</x:f>
        <x:v>0.4932084261615234</x:v>
      </x:c>
      <x:c r="D1673" s="84" t="n">
        <x:f>C1673^2-'Resumen'!$B$5^3/3</x:f>
        <x:v>-0.09007878169660646</x:v>
      </x:c>
      <x:c r="E1673" s="85" t="n">
        <x:f>D1673+'Resumen'!$B$5^3/3</x:f>
        <x:v>0.24325455163672685</x:v>
      </x:c>
    </x:row>
    <x:row r="1674">
      <x:c r="A1674" s="89" t="n">
        <x:v>1672</x:v>
      </x:c>
      <x:c r="B1674" s="80" t="n">
        <x:v>0.17934514774135685</x:v>
      </x:c>
      <x:c r="C1674" s="84" t="n">
        <x:f>SQRT('Resumen'!$B$5^3/3)*B1674</x:f>
        <x:v>0.10354496932632558</x:v>
      </x:c>
      <x:c r="D1674" s="84" t="n">
        <x:f>C1674^2-'Resumen'!$B$5^3/3</x:f>
        <x:v>-0.3226117726605436</x:v>
      </x:c>
      <x:c r="E1674" s="85" t="n">
        <x:f>D1674+'Resumen'!$B$5^3/3</x:f>
        <x:v>0.010721560672789732</x:v>
      </x:c>
    </x:row>
    <x:row r="1675">
      <x:c r="A1675" s="89" t="n">
        <x:v>1673</x:v>
      </x:c>
      <x:c r="B1675" s="80" t="n">
        <x:v>1.208804355521199</x:v>
      </x:c>
      <x:c r="C1675" s="84" t="n">
        <x:f>SQRT('Resumen'!$B$5^3/3)*B1675</x:f>
        <x:v>0.6979035200577562</x:v>
      </x:c>
      <x:c r="D1675" s="84" t="n">
        <x:f>C1675^2-'Resumen'!$B$5^3/3</x:f>
        <x:v>0.15373598997567367</x:v>
      </x:c>
      <x:c r="E1675" s="85" t="n">
        <x:f>D1675+'Resumen'!$B$5^3/3</x:f>
        <x:v>0.487069323309007</x:v>
      </x:c>
    </x:row>
    <x:row r="1676">
      <x:c r="A1676" s="89" t="n">
        <x:v>1674</x:v>
      </x:c>
      <x:c r="B1676" s="80" t="n">
        <x:v>-0.03710530779715225</x:v>
      </x:c>
      <x:c r="C1676" s="84" t="n">
        <x:f>SQRT('Resumen'!$B$5^3/3)*B1676</x:f>
        <x:v>-0.02142275944504977</x:v>
      </x:c>
      <x:c r="D1676" s="84" t="n">
        <x:f>C1676^2-'Resumen'!$B$5^3/3</x:f>
        <x:v>-0.33287439871109287</x:v>
      </x:c>
      <x:c r="E1676" s="85" t="n">
        <x:f>D1676+'Resumen'!$B$5^3/3</x:f>
        <x:v>0.0004589346222404478</x:v>
      </x:c>
    </x:row>
    <x:row r="1677">
      <x:c r="A1677" s="89" t="n">
        <x:v>1675</x:v>
      </x:c>
      <x:c r="B1677" s="80" t="n">
        <x:v>2.2061177461316337</x:v>
      </x:c>
      <x:c r="C1677" s="84" t="n">
        <x:f>SQRT('Resumen'!$B$5^3/3)*B1677</x:f>
        <x:v>1.273702674593109</x:v>
      </x:c>
      <x:c r="D1677" s="84" t="n">
        <x:f>C1677^2-'Resumen'!$B$5^3/3</x:f>
        <x:v>1.288985169932306</x:v>
      </x:c>
      <x:c r="E1677" s="85" t="n">
        <x:f>D1677+'Resumen'!$B$5^3/3</x:f>
        <x:v>1.6223185032656393</x:v>
      </x:c>
    </x:row>
    <x:row r="1678">
      <x:c r="A1678" s="89" t="n">
        <x:v>1676</x:v>
      </x:c>
      <x:c r="B1678" s="80" t="n">
        <x:v>0.8680587218676222</x:v>
      </x:c>
      <x:c r="C1678" s="84" t="n">
        <x:f>SQRT('Resumen'!$B$5^3/3)*B1678</x:f>
        <x:v>0.5011739367426742</x:v>
      </x:c>
      <x:c r="D1678" s="84" t="n">
        <x:f>C1678^2-'Resumen'!$B$5^3/3</x:f>
        <x:v>-0.08215801846318332</x:v>
      </x:c>
      <x:c r="E1678" s="85" t="n">
        <x:f>D1678+'Resumen'!$B$5^3/3</x:f>
        <x:v>0.25117531487015</x:v>
      </x:c>
    </x:row>
    <x:row r="1679">
      <x:c r="A1679" s="89" t="n">
        <x:v>1677</x:v>
      </x:c>
      <x:c r="B1679" s="80" t="n">
        <x:v>0.8277037871627345</x:v>
      </x:c>
      <x:c r="C1679" s="84" t="n">
        <x:f>SQRT('Resumen'!$B$5^3/3)*B1679</x:f>
        <x:v>0.47787500432767743</x:v>
      </x:c>
      <x:c r="D1679" s="84" t="n">
        <x:f>C1679^2-'Resumen'!$B$5^3/3</x:f>
        <x:v>-0.1049688135721556</x:v>
      </x:c>
      <x:c r="E1679" s="85" t="n">
        <x:f>D1679+'Resumen'!$B$5^3/3</x:f>
        <x:v>0.22836451976117772</x:v>
      </x:c>
    </x:row>
    <x:row r="1680">
      <x:c r="A1680" s="89" t="n">
        <x:v>1678</x:v>
      </x:c>
      <x:c r="B1680" s="80" t="n">
        <x:v>1.8216116130392488</x:v>
      </x:c>
      <x:c r="C1680" s="84" t="n">
        <x:f>SQRT('Resumen'!$B$5^3/3)*B1680</x:f>
        <x:v>1.0517079551471586</x:v>
      </x:c>
      <x:c r="D1680" s="84" t="n">
        <x:f>C1680^2-'Resumen'!$B$5^3/3</x:f>
        <x:v>0.7727562895864846</x:v>
      </x:c>
      <x:c r="E1680" s="85" t="n">
        <x:f>D1680+'Resumen'!$B$5^3/3</x:f>
        <x:v>1.1060896229198178</x:v>
      </x:c>
    </x:row>
    <x:row r="1681">
      <x:c r="A1681" s="89" t="n">
        <x:v>1679</x:v>
      </x:c>
      <x:c r="B1681" s="80" t="n">
        <x:v>0.0470564417683462</x:v>
      </x:c>
      <x:c r="C1681" s="84" t="n">
        <x:f>SQRT('Resumen'!$B$5^3/3)*B1681</x:f>
        <x:v>0.027168049322060624</x:v>
      </x:c>
      <x:c r="D1681" s="84" t="n">
        <x:f>C1681^2-'Resumen'!$B$5^3/3</x:f>
        <x:v>-0.3325952304293674</x:v>
      </x:c>
      <x:c r="E1681" s="85" t="n">
        <x:f>D1681+'Resumen'!$B$5^3/3</x:f>
        <x:v>0.0007381029039659204</x:v>
      </x:c>
    </x:row>
    <x:row r="1682">
      <x:c r="A1682" s="89" t="n">
        <x:v>1680</x:v>
      </x:c>
      <x:c r="B1682" s="80" t="n">
        <x:v>0.5116710240648776</x:v>
      </x:c>
      <x:c r="C1682" s="84" t="n">
        <x:f>SQRT('Resumen'!$B$5^3/3)*B1682</x:f>
        <x:v>0.2954134034803886</x:v>
      </x:c>
      <x:c r="D1682" s="84" t="n">
        <x:f>C1682^2-'Resumen'!$B$5^3/3</x:f>
        <x:v>-0.24606425437746646</x:v>
      </x:c>
      <x:c r="E1682" s="85" t="n">
        <x:f>D1682+'Resumen'!$B$5^3/3</x:f>
        <x:v>0.08726907895586686</x:v>
      </x:c>
    </x:row>
    <x:row r="1683">
      <x:c r="A1683" s="89" t="n">
        <x:v>1681</x:v>
      </x:c>
      <x:c r="B1683" s="80" t="n">
        <x:v>1.561620992346798</x:v>
      </x:c>
      <x:c r="C1683" s="84" t="n">
        <x:f>SQRT('Resumen'!$B$5^3/3)*B1683</x:f>
        <x:v>0.9016023003035943</x:v>
      </x:c>
      <x:c r="D1683" s="84" t="n">
        <x:f>C1683^2-'Resumen'!$B$5^3/3</x:f>
        <x:v>0.47955337457939945</x:v>
      </x:c>
      <x:c r="E1683" s="85" t="n">
        <x:f>D1683+'Resumen'!$B$5^3/3</x:f>
        <x:v>0.8128867079127328</x:v>
      </x:c>
    </x:row>
    <x:row r="1684">
      <x:c r="A1684" s="89" t="n">
        <x:v>1682</x:v>
      </x:c>
      <x:c r="B1684" s="80" t="n">
        <x:v>2.8847614669821233</x:v>
      </x:c>
      <x:c r="C1684" s="84" t="n">
        <x:f>SQRT('Resumen'!$B$5^3/3)*B1684</x:f>
        <x:v>1.6655178095099885</x:v>
      </x:c>
      <x:c r="D1684" s="84" t="n">
        <x:f>C1684^2-'Resumen'!$B$5^3/3</x:f>
        <x:v>2.4406162404616167</x:v>
      </x:c>
      <x:c r="E1684" s="85" t="n">
        <x:f>D1684+'Resumen'!$B$5^3/3</x:f>
        <x:v>2.77394957379495</x:v>
      </x:c>
    </x:row>
    <x:row r="1685">
      <x:c r="A1685" s="89" t="n">
        <x:v>1683</x:v>
      </x:c>
      <x:c r="B1685" s="80" t="n">
        <x:v>1.4872969886306366</x:v>
      </x:c>
      <x:c r="C1685" s="84" t="n">
        <x:f>SQRT('Resumen'!$B$5^3/3)*B1685</x:f>
        <x:v>0.8586913167508178</x:v>
      </x:c>
      <x:c r="D1685" s="84" t="n">
        <x:f>C1685^2-'Resumen'!$B$5^3/3</x:f>
        <x:v>0.40401744412991997</x:v>
      </x:c>
      <x:c r="E1685" s="85" t="n">
        <x:f>D1685+'Resumen'!$B$5^3/3</x:f>
        <x:v>0.7373507774632533</x:v>
      </x:c>
    </x:row>
    <x:row r="1686">
      <x:c r="A1686" s="89" t="n">
        <x:v>1684</x:v>
      </x:c>
      <x:c r="B1686" s="80" t="n">
        <x:v>1.7555261104577522</x:v>
      </x:c>
      <x:c r="C1686" s="84" t="n">
        <x:f>SQRT('Resumen'!$B$5^3/3)*B1686</x:f>
        <x:v>1.0135534724422</x:v>
      </x:c>
      <x:c r="D1686" s="84" t="n">
        <x:f>C1686^2-'Resumen'!$B$5^3/3</x:f>
        <x:v>0.6939573081663082</x:v>
      </x:c>
      <x:c r="E1686" s="85" t="n">
        <x:f>D1686+'Resumen'!$B$5^3/3</x:f>
        <x:v>1.0272906414996414</x:v>
      </x:c>
    </x:row>
    <x:row r="1687">
      <x:c r="A1687" s="89" t="n">
        <x:v>1685</x:v>
      </x:c>
      <x:c r="B1687" s="80" t="n">
        <x:v>0.22286495380171026</x:v>
      </x:c>
      <x:c r="C1687" s="84" t="n">
        <x:f>SQRT('Resumen'!$B$5^3/3)*B1687</x:f>
        <x:v>0.1286711410703509</x:v>
      </x:c>
      <x:c r="D1687" s="84" t="n">
        <x:f>C1687^2-'Resumen'!$B$5^3/3</x:f>
        <x:v>-0.31677707078898715</x:v>
      </x:c>
      <x:c r="E1687" s="85" t="n">
        <x:f>D1687+'Resumen'!$B$5^3/3</x:f>
        <x:v>0.016556262544346168</x:v>
      </x:c>
    </x:row>
    <x:row r="1688">
      <x:c r="A1688" s="89" t="n">
        <x:v>1686</x:v>
      </x:c>
      <x:c r="B1688" s="80" t="n">
        <x:v>-0.1560807977997112</x:v>
      </x:c>
      <x:c r="C1688" s="84" t="n">
        <x:f>SQRT('Resumen'!$B$5^3/3)*B1688</x:f>
        <x:v>-0.0901132906249948</x:v>
      </x:c>
      <x:c r="D1688" s="84" t="n">
        <x:f>C1688^2-'Resumen'!$B$5^3/3</x:f>
        <x:v>-0.32521292818606856</x:v>
      </x:c>
      <x:c r="E1688" s="85" t="n">
        <x:f>D1688+'Resumen'!$B$5^3/3</x:f>
        <x:v>0.008120405147264753</x:v>
      </x:c>
    </x:row>
    <x:row r="1689">
      <x:c r="A1689" s="89" t="n">
        <x:v>1687</x:v>
      </x:c>
      <x:c r="B1689" s="80" t="n">
        <x:v>1.2381070675512271</x:v>
      </x:c>
      <x:c r="C1689" s="84" t="n">
        <x:f>SQRT('Resumen'!$B$5^3/3)*B1689</x:f>
        <x:v>0.7148214487362791</x:v>
      </x:c>
      <x:c r="D1689" s="84" t="n">
        <x:f>C1689^2-'Resumen'!$B$5^3/3</x:f>
        <x:v>0.17763637024009954</x:v>
      </x:c>
      <x:c r="E1689" s="85" t="n">
        <x:f>D1689+'Resumen'!$B$5^3/3</x:f>
        <x:v>0.5109697035734329</x:v>
      </x:c>
    </x:row>
    <x:row r="1690">
      <x:c r="A1690" s="89" t="n">
        <x:v>1688</x:v>
      </x:c>
      <x:c r="B1690" s="80" t="n">
        <x:v>-1.3784067548116854</x:v>
      </x:c>
      <x:c r="C1690" s="84" t="n">
        <x:f>SQRT('Resumen'!$B$5^3/3)*B1690</x:f>
        <x:v>-0.795823510943325</x:v>
      </x:c>
      <x:c r="D1690" s="84" t="n">
        <x:f>C1690^2-'Resumen'!$B$5^3/3</x:f>
        <x:v>0.30000172723682733</x:v>
      </x:c>
      <x:c r="E1690" s="85" t="n">
        <x:f>D1690+'Resumen'!$B$5^3/3</x:f>
        <x:v>0.6333350605701606</x:v>
      </x:c>
    </x:row>
    <x:row r="1691">
      <x:c r="A1691" s="89" t="n">
        <x:v>1689</x:v>
      </x:c>
      <x:c r="B1691" s="80" t="n">
        <x:v>0.21793750619045815</x:v>
      </x:c>
      <x:c r="C1691" s="84" t="n">
        <x:f>SQRT('Resumen'!$B$5^3/3)*B1691</x:f>
        <x:v>0.12582627786557674</x:v>
      </x:c>
      <x:c r="D1691" s="84" t="n">
        <x:f>C1691^2-'Resumen'!$B$5^3/3</x:f>
        <x:v>-0.317501081131828</x:v>
      </x:c>
      <x:c r="E1691" s="85" t="n">
        <x:f>D1691+'Resumen'!$B$5^3/3</x:f>
        <x:v>0.015832252201505304</x:v>
      </x:c>
    </x:row>
    <x:row r="1692">
      <x:c r="A1692" s="89" t="n">
        <x:v>1690</x:v>
      </x:c>
      <x:c r="B1692" s="80" t="n">
        <x:v>-1.477670663685155</x:v>
      </x:c>
      <x:c r="C1692" s="84" t="n">
        <x:f>SQRT('Resumen'!$B$5^3/3)*B1692</x:f>
        <x:v>-0.8531335554522372</x:v>
      </x:c>
      <x:c r="D1692" s="84" t="n">
        <x:f>C1692^2-'Resumen'!$B$5^3/3</x:f>
        <x:v>0.39450353010524225</x:v>
      </x:c>
      <x:c r="E1692" s="85" t="n">
        <x:f>D1692+'Resumen'!$B$5^3/3</x:f>
        <x:v>0.7278368634385756</x:v>
      </x:c>
    </x:row>
    <x:row r="1693">
      <x:c r="A1693" s="89" t="n">
        <x:v>1691</x:v>
      </x:c>
      <x:c r="B1693" s="80" t="n">
        <x:v>2.2833733427072</x:v>
      </x:c>
      <x:c r="C1693" s="84" t="n">
        <x:f>SQRT('Resumen'!$B$5^3/3)*B1693</x:f>
        <x:v>1.3183062140724175</x:v>
      </x:c>
      <x:c r="D1693" s="84" t="n">
        <x:f>C1693^2-'Resumen'!$B$5^3/3</x:f>
        <x:v>1.4045979407286175</x:v>
      </x:c>
      <x:c r="E1693" s="85" t="n">
        <x:f>D1693+'Resumen'!$B$5^3/3</x:f>
        <x:v>1.7379312740619508</x:v>
      </x:c>
    </x:row>
    <x:row r="1694">
      <x:c r="A1694" s="89" t="n">
        <x:v>1692</x:v>
      </x:c>
      <x:c r="B1694" s="80" t="n">
        <x:v>-0.48178693685584495</x:v>
      </x:c>
      <x:c r="C1694" s="84" t="n">
        <x:f>SQRT('Resumen'!$B$5^3/3)*B1694</x:f>
        <x:v>-0.2781598176857673</x:v>
      </x:c>
      <x:c r="D1694" s="84" t="n">
        <x:f>C1694^2-'Resumen'!$B$5^3/3</x:f>
        <x:v>-0.25596044915835403</x:v>
      </x:c>
      <x:c r="E1694" s="85" t="n">
        <x:f>D1694+'Resumen'!$B$5^3/3</x:f>
        <x:v>0.07737288417497928</x:v>
      </x:c>
    </x:row>
    <x:row r="1695">
      <x:c r="A1695" s="89" t="n">
        <x:v>1693</x:v>
      </x:c>
      <x:c r="B1695" s="80" t="n">
        <x:v>-0.8421089663576048</x:v>
      </x:c>
      <x:c r="C1695" s="84" t="n">
        <x:f>SQRT('Resumen'!$B$5^3/3)*B1695</x:f>
        <x:v>-0.4861918384135606</x:v>
      </x:c>
      <x:c r="D1695" s="84" t="n">
        <x:f>C1695^2-'Resumen'!$B$5^3/3</x:f>
        <x:v>-0.09695082959337548</x:v>
      </x:c>
      <x:c r="E1695" s="85" t="n">
        <x:f>D1695+'Resumen'!$B$5^3/3</x:f>
        <x:v>0.23638250373995784</x:v>
      </x:c>
    </x:row>
    <x:row r="1696">
      <x:c r="A1696" s="89" t="n">
        <x:v>1694</x:v>
      </x:c>
      <x:c r="B1696" s="80" t="n">
        <x:v>1.0459858421523631</x:v>
      </x:c>
      <x:c r="C1696" s="84" t="n">
        <x:f>SQRT('Resumen'!$B$5^3/3)*B1696</x:f>
        <x:v>0.6039002075352042</x:v>
      </x:c>
      <x:c r="D1696" s="84" t="n">
        <x:f>C1696^2-'Resumen'!$B$5^3/3</x:f>
        <x:v>0.03136212732772942</x:v>
      </x:c>
      <x:c r="E1696" s="85" t="n">
        <x:f>D1696+'Resumen'!$B$5^3/3</x:f>
        <x:v>0.36469546066106273</x:v>
      </x:c>
    </x:row>
    <x:row r="1697">
      <x:c r="A1697" s="89" t="n">
        <x:v>1695</x:v>
      </x:c>
      <x:c r="B1697" s="80" t="n">
        <x:v>0.8448596934282756</x:v>
      </x:c>
      <x:c r="C1697" s="84" t="n">
        <x:f>SQRT('Resumen'!$B$5^3/3)*B1697</x:f>
        <x:v>0.4877799714282796</x:v>
      </x:c>
      <x:c r="D1697" s="84" t="n">
        <x:f>C1697^2-'Resumen'!$B$5^3/3</x:f>
        <x:v>-0.09540403280676005</x:v>
      </x:c>
      <x:c r="E1697" s="85" t="n">
        <x:f>D1697+'Resumen'!$B$5^3/3</x:f>
        <x:v>0.23792930052657327</x:v>
      </x:c>
    </x:row>
    <x:row r="1698">
      <x:c r="A1698" s="89" t="n">
        <x:v>1696</x:v>
      </x:c>
      <x:c r="B1698" s="80" t="n">
        <x:v>-0.12443237699187698</x:v>
      </x:c>
      <x:c r="C1698" s="84" t="n">
        <x:f>SQRT('Resumen'!$B$5^3/3)*B1698</x:f>
        <x:v>-0.07184106635216517</x:v>
      </x:c>
      <x:c r="D1698" s="84" t="n">
        <x:f>C1698^2-'Resumen'!$B$5^3/3</x:f>
        <x:v>-0.3281721945187171</x:v>
      </x:c>
      <x:c r="E1698" s="85" t="n">
        <x:f>D1698+'Resumen'!$B$5^3/3</x:f>
        <x:v>0.005161138814616217</x:v>
      </x:c>
    </x:row>
    <x:row r="1699">
      <x:c r="A1699" s="89" t="n">
        <x:v>1697</x:v>
      </x:c>
      <x:c r="B1699" s="80" t="n">
        <x:v>0.2173574272731363</x:v>
      </x:c>
      <x:c r="C1699" s="84" t="n">
        <x:f>SQRT('Resumen'!$B$5^3/3)*B1699</x:f>
        <x:v>0.12549136914650974</x:v>
      </x:c>
      <x:c r="D1699" s="84" t="n">
        <x:f>C1699^2-'Resumen'!$B$5^3/3</x:f>
        <x:v>-0.3175852496030677</x:v>
      </x:c>
      <x:c r="E1699" s="85" t="n">
        <x:f>D1699+'Resumen'!$B$5^3/3</x:f>
        <x:v>0.015748083730265594</x:v>
      </x:c>
    </x:row>
    <x:row r="1700">
      <x:c r="A1700" s="89" t="n">
        <x:v>1698</x:v>
      </x:c>
      <x:c r="B1700" s="80" t="n">
        <x:v>1.466136269282049</x:v>
      </x:c>
      <x:c r="C1700" s="84" t="n">
        <x:f>SQRT('Resumen'!$B$5^3/3)*B1700</x:f>
        <x:v>0.8464741697386646</x:v>
      </x:c>
      <x:c r="D1700" s="84" t="n">
        <x:f>C1700^2-'Resumen'!$B$5^3/3</x:f>
        <x:v>0.38318518670142826</x:v>
      </x:c>
      <x:c r="E1700" s="85" t="n">
        <x:f>D1700+'Resumen'!$B$5^3/3</x:f>
        <x:v>0.7165185200347616</x:v>
      </x:c>
    </x:row>
    <x:row r="1701">
      <x:c r="A1701" s="89" t="n">
        <x:v>1699</x:v>
      </x:c>
      <x:c r="B1701" s="80" t="n">
        <x:v>-0.0713419718150437</x:v>
      </x:c>
      <x:c r="C1701" s="84" t="n">
        <x:f>SQRT('Resumen'!$B$5^3/3)*B1701</x:f>
        <x:v>-0.041189306631934174</x:v>
      </x:c>
      <x:c r="D1701" s="84" t="n">
        <x:f>C1701^2-'Resumen'!$B$5^3/3</x:f>
        <x:v>-0.3316367743525138</x:v>
      </x:c>
      <x:c r="E1701" s="85" t="n">
        <x:f>D1701+'Resumen'!$B$5^3/3</x:f>
        <x:v>0.0016965589808194959</x:v>
      </x:c>
    </x:row>
    <x:row r="1702">
      <x:c r="A1702" s="89" t="n">
        <x:v>1700</x:v>
      </x:c>
      <x:c r="B1702" s="80" t="n">
        <x:v>-0.18309123248794157</x:v>
      </x:c>
      <x:c r="C1702" s="84" t="n">
        <x:f>SQRT('Resumen'!$B$5^3/3)*B1702</x:f>
        <x:v>-0.10570777236317341</x:v>
      </x:c>
      <x:c r="D1702" s="84" t="n">
        <x:f>C1702^2-'Resumen'!$B$5^3/3</x:f>
        <x:v>-0.3221592001953488</x:v>
      </x:c>
      <x:c r="E1702" s="85" t="n">
        <x:f>D1702+'Resumen'!$B$5^3/3</x:f>
        <x:v>0.011174133137984488</x:v>
      </x:c>
    </x:row>
    <x:row r="1703">
      <x:c r="A1703" s="89" t="n">
        <x:v>1701</x:v>
      </x:c>
      <x:c r="B1703" s="80" t="n">
        <x:v>0.7720058531137464</x:v>
      </x:c>
      <x:c r="C1703" s="84" t="n">
        <x:f>SQRT('Resumen'!$B$5^3/3)*B1703</x:f>
        <x:v>0.44571778711118815</x:v>
      </x:c>
      <x:c r="D1703" s="84" t="n">
        <x:f>C1703^2-'Resumen'!$B$5^3/3</x:f>
        <x:v>-0.13466898758603887</x:v>
      </x:c>
      <x:c r="E1703" s="85" t="n">
        <x:f>D1703+'Resumen'!$B$5^3/3</x:f>
        <x:v>0.19866434574729444</x:v>
      </x:c>
    </x:row>
    <x:row r="1704">
      <x:c r="A1704" s="89" t="n">
        <x:v>1702</x:v>
      </x:c>
      <x:c r="B1704" s="80" t="n">
        <x:v>-1.7864848743010522</x:v>
      </x:c>
      <x:c r="C1704" s="84" t="n">
        <x:f>SQRT('Resumen'!$B$5^3/3)*B1704</x:f>
        <x:v>-1.0314275230809071</x:v>
      </x:c>
      <x:c r="D1704" s="84" t="n">
        <x:f>C1704^2-'Resumen'!$B$5^3/3</x:f>
        <x:v>0.7305094020354819</x:v>
      </x:c>
      <x:c r="E1704" s="85" t="n">
        <x:f>D1704+'Resumen'!$B$5^3/3</x:f>
        <x:v>1.0638427353688151</x:v>
      </x:c>
    </x:row>
    <x:row r="1705">
      <x:c r="A1705" s="89" t="n">
        <x:v>1703</x:v>
      </x:c>
      <x:c r="B1705" s="80" t="n">
        <x:v>-0.9380738437096379</x:v>
      </x:c>
      <x:c r="C1705" s="84" t="n">
        <x:f>SQRT('Resumen'!$B$5^3/3)*B1705</x:f>
        <x:v>-0.5415971861855063</x:v>
      </x:c>
      <x:c r="D1705" s="84" t="n">
        <x:f>C1705^2-'Resumen'!$B$5^3/3</x:f>
        <x:v>-0.04000582124927532</x:v>
      </x:c>
      <x:c r="E1705" s="85" t="n">
        <x:f>D1705+'Resumen'!$B$5^3/3</x:f>
        <x:v>0.293327512084058</x:v>
      </x:c>
    </x:row>
    <x:row r="1706">
      <x:c r="A1706" s="89" t="n">
        <x:v>1704</x:v>
      </x:c>
      <x:c r="B1706" s="80" t="n">
        <x:v>-1.103621551499068</x:v>
      </x:c>
      <x:c r="C1706" s="84" t="n">
        <x:f>SQRT('Resumen'!$B$5^3/3)*B1706</x:f>
        <x:v>-0.6371761998414592</x:v>
      </x:c>
      <x:c r="D1706" s="84" t="n">
        <x:f>C1706^2-'Resumen'!$B$5^3/3</x:f>
        <x:v>0.07266017631106986</x:v>
      </x:c>
      <x:c r="E1706" s="85" t="n">
        <x:f>D1706+'Resumen'!$B$5^3/3</x:f>
        <x:v>0.40599350964440317</x:v>
      </x:c>
    </x:row>
    <x:row r="1707">
      <x:c r="A1707" s="89" t="n">
        <x:v>1705</x:v>
      </x:c>
      <x:c r="B1707" s="80" t="n">
        <x:v>-0.29360145395076215</x:v>
      </x:c>
      <x:c r="C1707" s="84" t="n">
        <x:f>SQRT('Resumen'!$B$5^3/3)*B1707</x:f>
        <x:v>-0.16951087847293803</x:v>
      </x:c>
      <x:c r="D1707" s="84" t="n">
        <x:f>C1707^2-'Resumen'!$B$5^3/3</x:f>
        <x:v>-0.3045993954126662</x:v>
      </x:c>
      <x:c r="E1707" s="85" t="n">
        <x:f>D1707+'Resumen'!$B$5^3/3</x:f>
        <x:v>0.02873393792066714</x:v>
      </x:c>
    </x:row>
    <x:row r="1708">
      <x:c r="A1708" s="89" t="n">
        <x:v>1706</x:v>
      </x:c>
      <x:c r="B1708" s="80" t="n">
        <x:v>0.6890361396035114</x:v>
      </x:c>
      <x:c r="C1708" s="84" t="n">
        <x:f>SQRT('Resumen'!$B$5^3/3)*B1708</x:f>
        <x:v>0.39781520068146786</x:v>
      </x:c>
      <x:c r="D1708" s="84" t="n">
        <x:f>C1708^2-'Resumen'!$B$5^3/3</x:f>
        <x:v>-0.17507639944009676</x:v>
      </x:c>
      <x:c r="E1708" s="85" t="n">
        <x:f>D1708+'Resumen'!$B$5^3/3</x:f>
        <x:v>0.15825693389323656</x:v>
      </x:c>
    </x:row>
    <x:row r="1709">
      <x:c r="A1709" s="89" t="n">
        <x:v>1707</x:v>
      </x:c>
      <x:c r="B1709" s="80" t="n">
        <x:v>-1.0852161519877968</x:v>
      </x:c>
      <x:c r="C1709" s="84" t="n">
        <x:f>SQRT('Resumen'!$B$5^3/3)*B1709</x:f>
        <x:v>-0.6265498374790842</x:v>
      </x:c>
      <x:c r="D1709" s="84" t="n">
        <x:f>C1709^2-'Resumen'!$B$5^3/3</x:f>
        <x:v>0.059231365511733525</x:v>
      </x:c>
      <x:c r="E1709" s="85" t="n">
        <x:f>D1709+'Resumen'!$B$5^3/3</x:f>
        <x:v>0.39256469884506684</x:v>
      </x:c>
    </x:row>
    <x:row r="1710">
      <x:c r="A1710" s="89" t="n">
        <x:v>1708</x:v>
      </x:c>
      <x:c r="B1710" s="80" t="n">
        <x:v>-0.5836965829288622</x:v>
      </x:c>
      <x:c r="C1710" s="84" t="n">
        <x:f>SQRT('Resumen'!$B$5^3/3)*B1710</x:f>
        <x:v>-0.3369973792790433</x:v>
      </x:c>
      <x:c r="D1710" s="84" t="n">
        <x:f>C1710^2-'Resumen'!$B$5^3/3</x:f>
        <x:v>-0.21976609969238997</x:v>
      </x:c>
      <x:c r="E1710" s="85" t="n">
        <x:f>D1710+'Resumen'!$B$5^3/3</x:f>
        <x:v>0.11356723364094334</x:v>
      </x:c>
    </x:row>
    <x:row r="1711">
      <x:c r="A1711" s="89" t="n">
        <x:v>1709</x:v>
      </x:c>
      <x:c r="B1711" s="80" t="n">
        <x:v>-0.9316883410687473</x:v>
      </x:c>
      <x:c r="C1711" s="84" t="n">
        <x:f>SQRT('Resumen'!$B$5^3/3)*B1711</x:f>
        <x:v>-0.5379105145168771</x:v>
      </x:c>
      <x:c r="D1711" s="84" t="n">
        <x:f>C1711^2-'Resumen'!$B$5^3/3</x:f>
        <x:v>-0.04398561170552184</x:v>
      </x:c>
      <x:c r="E1711" s="85" t="n">
        <x:f>D1711+'Resumen'!$B$5^3/3</x:f>
        <x:v>0.28934772162781147</x:v>
      </x:c>
    </x:row>
    <x:row r="1712">
      <x:c r="A1712" s="89" t="n">
        <x:v>1710</x:v>
      </x:c>
      <x:c r="B1712" s="80" t="n">
        <x:v>1.6828261456616929</x:v>
      </x:c>
      <x:c r="C1712" s="84" t="n">
        <x:f>SQRT('Resumen'!$B$5^3/3)*B1712</x:f>
        <x:v>0.9715801281971187</x:v>
      </x:c>
      <x:c r="D1712" s="84" t="n">
        <x:f>C1712^2-'Resumen'!$B$5^3/3</x:f>
        <x:v>0.6106346121741963</x:v>
      </x:c>
      <x:c r="E1712" s="85" t="n">
        <x:f>D1712+'Resumen'!$B$5^3/3</x:f>
        <x:v>0.9439679455075296</x:v>
      </x:c>
    </x:row>
    <x:row r="1713">
      <x:c r="A1713" s="89" t="n">
        <x:v>1711</x:v>
      </x:c>
      <x:c r="B1713" s="80" t="n">
        <x:v>1.5411877616762706</x:v>
      </x:c>
      <x:c r="C1713" s="84" t="n">
        <x:f>SQRT('Resumen'!$B$5^3/3)*B1713</x:f>
        <x:v>0.8898051690755515</x:v>
      </x:c>
      <x:c r="D1713" s="84" t="n">
        <x:f>C1713^2-'Resumen'!$B$5^3/3</x:f>
        <x:v>0.45841990558023754</x:v>
      </x:c>
      <x:c r="E1713" s="85" t="n">
        <x:f>D1713+'Resumen'!$B$5^3/3</x:f>
        <x:v>0.7917532389135709</x:v>
      </x:c>
    </x:row>
    <x:row r="1714">
      <x:c r="A1714" s="89" t="n">
        <x:v>1712</x:v>
      </x:c>
      <x:c r="B1714" s="80" t="n">
        <x:v>-1.6590967658591746</x:v>
      </x:c>
      <x:c r="C1714" s="84" t="n">
        <x:f>SQRT('Resumen'!$B$5^3/3)*B1714</x:f>
        <x:v>-0.957879964380432</x:v>
      </x:c>
      <x:c r="D1714" s="84" t="n">
        <x:f>C1714^2-'Resumen'!$B$5^3/3</x:f>
        <x:v>0.5842006928281243</x:v>
      </x:c>
      <x:c r="E1714" s="85" t="n">
        <x:f>D1714+'Resumen'!$B$5^3/3</x:f>
        <x:v>0.9175340261614575</x:v>
      </x:c>
    </x:row>
    <x:row r="1715">
      <x:c r="A1715" s="89" t="n">
        <x:v>1713</x:v>
      </x:c>
      <x:c r="B1715" s="80" t="n">
        <x:v>-0.573611254035327</x:v>
      </x:c>
      <x:c r="C1715" s="84" t="n">
        <x:f>SQRT('Resumen'!$B$5^3/3)*B1715</x:f>
        <x:v>-0.3311746119274948</x:v>
      </x:c>
      <x:c r="D1715" s="84" t="n">
        <x:f>C1715^2-'Resumen'!$B$5^3/3</x:f>
        <x:v>-0.22365670974800653</x:v>
      </x:c>
      <x:c r="E1715" s="85" t="n">
        <x:f>D1715+'Resumen'!$B$5^3/3</x:f>
        <x:v>0.10967662358532679</x:v>
      </x:c>
    </x:row>
    <x:row r="1716">
      <x:c r="A1716" s="89" t="n">
        <x:v>1714</x:v>
      </x:c>
      <x:c r="B1716" s="80" t="n">
        <x:v>0.7806124655861224</x:v>
      </x:c>
      <x:c r="C1716" s="84" t="n">
        <x:f>SQRT('Resumen'!$B$5^3/3)*B1716</x:f>
        <x:v>0.4506868171389252</x:v>
      </x:c>
      <x:c r="D1716" s="84" t="n">
        <x:f>C1716^2-'Resumen'!$B$5^3/3</x:f>
        <x:v>-0.1302147261905183</x:v>
      </x:c>
      <x:c r="E1716" s="85" t="n">
        <x:f>D1716+'Resumen'!$B$5^3/3</x:f>
        <x:v>0.20311860714281502</x:v>
      </x:c>
    </x:row>
    <x:row r="1717">
      <x:c r="A1717" s="89" t="n">
        <x:v>1715</x:v>
      </x:c>
      <x:c r="B1717" s="80" t="n">
        <x:v>-0.611324420177035</x:v>
      </x:c>
      <x:c r="C1717" s="84" t="n">
        <x:f>SQRT('Resumen'!$B$5^3/3)*B1717</x:f>
        <x:v>-0.352948318551403</x:v>
      </x:c>
      <x:c r="D1717" s="84" t="n">
        <x:f>C1717^2-'Resumen'!$B$5^3/3</x:f>
        <x:v>-0.20876081776507066</x:v>
      </x:c>
      <x:c r="E1717" s="85" t="n">
        <x:f>D1717+'Resumen'!$B$5^3/3</x:f>
        <x:v>0.12457251556826265</x:v>
      </x:c>
    </x:row>
    <x:row r="1718">
      <x:c r="A1718" s="89" t="n">
        <x:v>1716</x:v>
      </x:c>
      <x:c r="B1718" s="80" t="n">
        <x:v>-0.4718193741207363</x:v>
      </x:c>
      <x:c r="C1718" s="84" t="n">
        <x:f>SQRT('Resumen'!$B$5^3/3)*B1718</x:f>
        <x:v>-0.27240504265748783</x:v>
      </x:c>
      <x:c r="D1718" s="84" t="n">
        <x:f>C1718^2-'Resumen'!$B$5^3/3</x:f>
        <x:v>-0.25912882606810556</x:v>
      </x:c>
      <x:c r="E1718" s="85" t="n">
        <x:f>D1718+'Resumen'!$B$5^3/3</x:f>
        <x:v>0.07420450726522776</x:v>
      </x:c>
    </x:row>
    <x:row r="1719">
      <x:c r="A1719" s="89" t="n">
        <x:v>1717</x:v>
      </x:c>
      <x:c r="B1719" s="80" t="n">
        <x:v>-0.08571934745123368</x:v>
      </x:c>
      <x:c r="C1719" s="84" t="n">
        <x:f>SQRT('Resumen'!$B$5^3/3)*B1719</x:f>
        <x:v>-0.04949008832572882</x:v>
      </x:c>
      <x:c r="D1719" s="84" t="n">
        <x:f>C1719^2-'Resumen'!$B$5^3/3</x:f>
        <x:v>-0.3308840644908449</x:v>
      </x:c>
      <x:c r="E1719" s="85" t="n">
        <x:f>D1719+'Resumen'!$B$5^3/3</x:f>
        <x:v>0.002449268842488417</x:v>
      </x:c>
    </x:row>
    <x:row r="1720">
      <x:c r="A1720" s="89" t="n">
        <x:v>1718</x:v>
      </x:c>
      <x:c r="B1720" s="80" t="n">
        <x:v>-0.07910367658434818</x:v>
      </x:c>
      <x:c r="C1720" s="84" t="n">
        <x:f>SQRT('Resumen'!$B$5^3/3)*B1720</x:f>
        <x:v>-0.04567052896986251</x:v>
      </x:c>
      <x:c r="D1720" s="84" t="n">
        <x:f>C1720^2-'Resumen'!$B$5^3/3</x:f>
        <x:v>-0.33124753611694624</x:v>
      </x:c>
      <x:c r="E1720" s="85" t="n">
        <x:f>D1720+'Resumen'!$B$5^3/3</x:f>
        <x:v>0.0020857972163870753</x:v>
      </x:c>
    </x:row>
    <x:row r="1721">
      <x:c r="A1721" s="89" t="n">
        <x:v>1719</x:v>
      </x:c>
      <x:c r="B1721" s="80" t="n">
        <x:v>0.2266881218825432</x:v>
      </x:c>
      <x:c r="C1721" s="84" t="n">
        <x:f>SQRT('Resumen'!$B$5^3/3)*B1721</x:f>
        <x:v>0.130878448190977</x:v>
      </x:c>
      <x:c r="D1721" s="84" t="n">
        <x:f>C1721^2-'Resumen'!$B$5^3/3</x:f>
        <x:v>-0.3162041651324551</x:v>
      </x:c>
      <x:c r="E1721" s="85" t="n">
        <x:f>D1721+'Resumen'!$B$5^3/3</x:f>
        <x:v>0.01712916820087823</x:v>
      </x:c>
    </x:row>
    <x:row r="1722">
      <x:c r="A1722" s="89" t="n">
        <x:v>1720</x:v>
      </x:c>
      <x:c r="B1722" s="80" t="n">
        <x:v>-0.5739994031911427</x:v>
      </x:c>
      <x:c r="C1722" s="84" t="n">
        <x:f>SQRT('Resumen'!$B$5^3/3)*B1722</x:f>
        <x:v>-0.33139870994709075</x:v>
      </x:c>
      <x:c r="D1722" s="84" t="n">
        <x:f>C1722^2-'Resumen'!$B$5^3/3</x:f>
        <x:v>-0.22350822837873732</x:v>
      </x:c>
      <x:c r="E1722" s="85" t="n">
        <x:f>D1722+'Resumen'!$B$5^3/3</x:f>
        <x:v>0.10982510495459599</x:v>
      </x:c>
    </x:row>
    <x:row r="1723">
      <x:c r="A1723" s="89" t="n">
        <x:v>1721</x:v>
      </x:c>
      <x:c r="B1723" s="80" t="n">
        <x:v>2.0494502037430915</x:v>
      </x:c>
      <x:c r="C1723" s="84" t="n">
        <x:f>SQRT('Resumen'!$B$5^3/3)*B1723</x:f>
        <x:v>1.1832506268218073</x:v>
      </x:c>
      <x:c r="D1723" s="84" t="n">
        <x:f>C1723^2-'Resumen'!$B$5^3/3</x:f>
        <x:v>1.0667487125408666</x:v>
      </x:c>
      <x:c r="E1723" s="85" t="n">
        <x:f>D1723+'Resumen'!$B$5^3/3</x:f>
        <x:v>1.4000820458741998</x:v>
      </x:c>
    </x:row>
    <x:row r="1724">
      <x:c r="A1724" s="89" t="n">
        <x:v>1722</x:v>
      </x:c>
      <x:c r="B1724" s="80" t="n">
        <x:v>-0.05986597428846763</x:v>
      </x:c>
      <x:c r="C1724" s="84" t="n">
        <x:f>SQRT('Resumen'!$B$5^3/3)*B1724</x:f>
        <x:v>-0.034563636370746</x:v>
      </x:c>
      <x:c r="D1724" s="84" t="n">
        <x:f>C1724^2-'Resumen'!$B$5^3/3</x:f>
        <x:v>-0.33213868837416416</x:v>
      </x:c>
      <x:c r="E1724" s="85" t="n">
        <x:f>D1724+'Resumen'!$B$5^3/3</x:f>
        <x:v>0.0011946449591691555</x:v>
      </x:c>
    </x:row>
    <x:row r="1725">
      <x:c r="A1725" s="89" t="n">
        <x:v>1723</x:v>
      </x:c>
      <x:c r="B1725" s="80" t="n">
        <x:v>0.21811425588529354</x:v>
      </x:c>
      <x:c r="C1725" s="84" t="n">
        <x:f>SQRT('Resumen'!$B$5^3/3)*B1725</x:f>
        <x:v>0.12592832434946913</x:v>
      </x:c>
      <x:c r="D1725" s="84" t="n">
        <x:f>C1725^2-'Resumen'!$B$5^3/3</x:f>
        <x:v>-0.3174753904598682</x:v>
      </x:c>
      <x:c r="E1725" s="85" t="n">
        <x:f>D1725+'Resumen'!$B$5^3/3</x:f>
        <x:v>0.015857942873465092</x:v>
      </x:c>
    </x:row>
    <x:row r="1726">
      <x:c r="A1726" s="89" t="n">
        <x:v>1724</x:v>
      </x:c>
      <x:c r="B1726" s="80" t="n">
        <x:v>-0.7698010495448502</x:v>
      </x:c>
      <x:c r="C1726" s="84" t="n">
        <x:f>SQRT('Resumen'!$B$5^3/3)*B1726</x:f>
        <x:v>-0.44444484317717564</x:v>
      </x:c>
      <x:c r="D1726" s="84" t="n">
        <x:f>C1726^2-'Resumen'!$B$5^3/3</x:f>
        <x:v>-0.13580211470654907</x:v>
      </x:c>
      <x:c r="E1726" s="85" t="n">
        <x:f>D1726+'Resumen'!$B$5^3/3</x:f>
        <x:v>0.19753121862678424</x:v>
      </x:c>
    </x:row>
    <x:row r="1727">
      <x:c r="A1727" s="89" t="n">
        <x:v>1725</x:v>
      </x:c>
      <x:c r="B1727" s="80" t="n">
        <x:v>-0.3904076506693421</x:v>
      </x:c>
      <x:c r="C1727" s="84" t="n">
        <x:f>SQRT('Resumen'!$B$5^3/3)*B1727</x:f>
        <x:v>-0.225401962207634</x:v>
      </x:c>
      <x:c r="D1727" s="84" t="n">
        <x:f>C1727^2-'Resumen'!$B$5^3/3</x:f>
        <x:v>-0.28252728876628164</x:v>
      </x:c>
      <x:c r="E1727" s="85" t="n">
        <x:f>D1727+'Resumen'!$B$5^3/3</x:f>
        <x:v>0.05080604456705168</x:v>
      </x:c>
    </x:row>
    <x:row r="1728">
      <x:c r="A1728" s="89" t="n">
        <x:v>1726</x:v>
      </x:c>
      <x:c r="B1728" s="80" t="n">
        <x:v>0.13249111860072627</x:v>
      </x:c>
      <x:c r="C1728" s="84" t="n">
        <x:f>SQRT('Resumen'!$B$5^3/3)*B1728</x:f>
        <x:v>0.07649378298936393</x:v>
      </x:c>
      <x:c r="D1728" s="84" t="n">
        <x:f>C1728^2-'Resumen'!$B$5^3/3</x:f>
        <x:v>-0.3274820344973094</x:v>
      </x:c>
      <x:c r="E1728" s="85" t="n">
        <x:f>D1728+'Resumen'!$B$5^3/3</x:f>
        <x:v>0.0058512988360239215</x:v>
      </x:c>
    </x:row>
    <x:row r="1729">
      <x:c r="A1729" s="89" t="n">
        <x:v>1727</x:v>
      </x:c>
      <x:c r="B1729" s="80" t="n">
        <x:v>-1.2138420761785962</x:v>
      </x:c>
      <x:c r="C1729" s="84" t="n">
        <x:f>SQRT('Resumen'!$B$5^3/3)*B1729</x:f>
        <x:v>-0.7008120494354066</x:v>
      </x:c>
      <x:c r="D1729" s="84" t="n">
        <x:f>C1729^2-'Resumen'!$B$5^3/3</x:f>
        <x:v>0.15780419530052153</x:v>
      </x:c>
      <x:c r="E1729" s="85" t="n">
        <x:f>D1729+'Resumen'!$B$5^3/3</x:f>
        <x:v>0.49113752863385485</x:v>
      </x:c>
    </x:row>
    <x:row r="1730">
      <x:c r="A1730" s="89" t="n">
        <x:v>1728</x:v>
      </x:c>
      <x:c r="B1730" s="80" t="n">
        <x:v>0.7219878080591554</x:v>
      </x:c>
      <x:c r="C1730" s="84" t="n">
        <x:f>SQRT('Resumen'!$B$5^3/3)*B1730</x:f>
        <x:v>0.41683985533458123</x:v>
      </x:c>
      <x:c r="D1730" s="84" t="n">
        <x:f>C1730^2-'Resumen'!$B$5^3/3</x:f>
        <x:v>-0.1595778683379787</x:v>
      </x:c>
      <x:c r="E1730" s="85" t="n">
        <x:f>D1730+'Resumen'!$B$5^3/3</x:f>
        <x:v>0.1737554649953546</x:v>
      </x:c>
    </x:row>
    <x:row r="1731">
      <x:c r="A1731" s="89" t="n">
        <x:v>1729</x:v>
      </x:c>
      <x:c r="B1731" s="80" t="n">
        <x:v>1.1038419516568472</x:v>
      </x:c>
      <x:c r="C1731" s="84" t="n">
        <x:f>SQRT('Resumen'!$B$5^3/3)*B1731</x:f>
        <x:v>0.6373034479318825</x:v>
      </x:c>
      <x:c r="D1731" s="84" t="n">
        <x:f>C1731^2-'Resumen'!$B$5^3/3</x:f>
        <x:v>0.0728223514125324</x:v>
      </x:c>
      <x:c r="E1731" s="85" t="n">
        <x:f>D1731+'Resumen'!$B$5^3/3</x:f>
        <x:v>0.4061556847458657</x:v>
      </x:c>
    </x:row>
    <x:row r="1732">
      <x:c r="A1732" s="89" t="n">
        <x:v>1730</x:v>
      </x:c>
      <x:c r="B1732" s="80" t="n">
        <x:v>0.1704267164882553</x:v>
      </x:c>
      <x:c r="C1732" s="84" t="n">
        <x:f>SQRT('Resumen'!$B$5^3/3)*B1732</x:f>
        <x:v>0.09839591064159822</x:v>
      </x:c>
      <x:c r="D1732" s="84" t="n">
        <x:f>C1732^2-'Resumen'!$B$5^3/3</x:f>
        <x:v>-0.3236515781023439</x:v>
      </x:c>
      <x:c r="E1732" s="85" t="n">
        <x:f>D1732+'Resumen'!$B$5^3/3</x:f>
        <x:v>0.009681755230989408</x:v>
      </x:c>
    </x:row>
    <x:row r="1733">
      <x:c r="A1733" s="89" t="n">
        <x:v>1731</x:v>
      </x:c>
      <x:c r="B1733" s="80" t="n">
        <x:v>2.0091477524567076</x:v>
      </x:c>
      <x:c r="C1733" s="84" t="n">
        <x:f>SQRT('Resumen'!$B$5^3/3)*B1733</x:f>
        <x:v>1.1599819957226116</x:v>
      </x:c>
      <x:c r="D1733" s="84" t="n">
        <x:f>C1733^2-'Resumen'!$B$5^3/3</x:f>
        <x:v>1.0122248970672798</x:v>
      </x:c>
      <x:c r="E1733" s="85" t="n">
        <x:f>D1733+'Resumen'!$B$5^3/3</x:f>
        <x:v>1.345558230400613</x:v>
      </x:c>
    </x:row>
    <x:row r="1734">
      <x:c r="A1734" s="89" t="n">
        <x:v>1732</x:v>
      </x:c>
      <x:c r="B1734" s="80" t="n">
        <x:v>-1.3660681841165625</x:v>
      </x:c>
      <x:c r="C1734" s="84" t="n">
        <x:f>SQRT('Resumen'!$B$5^3/3)*B1734</x:f>
        <x:v>-0.7886998338310806</x:v>
      </x:c>
      <x:c r="D1734" s="84" t="n">
        <x:f>C1734^2-'Resumen'!$B$5^3/3</x:f>
        <x:v>0.28871409455184077</x:v>
      </x:c>
      <x:c r="E1734" s="85" t="n">
        <x:f>D1734+'Resumen'!$B$5^3/3</x:f>
        <x:v>0.6220474278851741</x:v>
      </x:c>
    </x:row>
    <x:row r="1735">
      <x:c r="A1735" s="89" t="n">
        <x:v>1733</x:v>
      </x:c>
      <x:c r="B1735" s="80" t="n">
        <x:v>2.822325463596335</x:v>
      </x:c>
      <x:c r="C1735" s="84" t="n">
        <x:f>SQRT('Resumen'!$B$5^3/3)*B1735</x:f>
        <x:v>1.6294703661480792</x:v>
      </x:c>
      <x:c r="D1735" s="84" t="n">
        <x:f>C1735^2-'Resumen'!$B$5^3/3</x:f>
        <x:v>2.3218403408214217</x:v>
      </x:c>
      <x:c r="E1735" s="85" t="n">
        <x:f>D1735+'Resumen'!$B$5^3/3</x:f>
        <x:v>2.655173674154755</x:v>
      </x:c>
    </x:row>
    <x:row r="1736">
      <x:c r="A1736" s="89" t="n">
        <x:v>1734</x:v>
      </x:c>
      <x:c r="B1736" s="80" t="n">
        <x:v>-0.49423013903568386</x:v>
      </x:c>
      <x:c r="C1736" s="84" t="n">
        <x:f>SQRT('Resumen'!$B$5^3/3)*B1736</x:f>
        <x:v>-0.28534390381387825</x:v>
      </x:c>
      <x:c r="D1736" s="84" t="n">
        <x:f>C1736^2-'Resumen'!$B$5^3/3</x:f>
        <x:v>-0.2519121898895895</x:v>
      </x:c>
      <x:c r="E1736" s="85" t="n">
        <x:f>D1736+'Resumen'!$B$5^3/3</x:f>
        <x:v>0.0814211434437438</x:v>
      </x:c>
    </x:row>
    <x:row r="1737">
      <x:c r="A1737" s="89" t="n">
        <x:v>1735</x:v>
      </x:c>
      <x:c r="B1737" s="80" t="n">
        <x:v>0.615467602977182</x:v>
      </x:c>
      <x:c r="C1737" s="84" t="n">
        <x:f>SQRT('Resumen'!$B$5^3/3)*B1737</x:f>
        <x:v>0.3553403862563697</x:v>
      </x:c>
      <x:c r="D1737" s="84" t="n">
        <x:f>C1737^2-'Resumen'!$B$5^3/3</x:f>
        <x:v>-0.2070665432285073</x:v>
      </x:c>
      <x:c r="E1737" s="85" t="n">
        <x:f>D1737+'Resumen'!$B$5^3/3</x:f>
        <x:v>0.12626679010482603</x:v>
      </x:c>
    </x:row>
    <x:row r="1738">
      <x:c r="A1738" s="89" t="n">
        <x:v>1736</x:v>
      </x:c>
      <x:c r="B1738" s="80" t="n">
        <x:v>0.42527407354945673</x:v>
      </x:c>
      <x:c r="C1738" s="84" t="n">
        <x:f>SQRT('Resumen'!$B$5^3/3)*B1738</x:f>
        <x:v>0.24553210084314753</x:v>
      </x:c>
      <x:c r="D1738" s="84" t="n">
        <x:f>C1738^2-'Resumen'!$B$5^3/3</x:f>
        <x:v>-0.2730473207888837</x:v>
      </x:c>
      <x:c r="E1738" s="85" t="n">
        <x:f>D1738+'Resumen'!$B$5^3/3</x:f>
        <x:v>0.060286012544449596</x:v>
      </x:c>
    </x:row>
    <x:row r="1739">
      <x:c r="A1739" s="89" t="n">
        <x:v>1737</x:v>
      </x:c>
      <x:c r="B1739" s="80" t="n">
        <x:v>-0.6357652208877534</x:v>
      </x:c>
      <x:c r="C1739" s="84" t="n">
        <x:f>SQRT('Resumen'!$B$5^3/3)*B1739</x:f>
        <x:v>-0.3670592214209463</x:v>
      </x:c>
      <x:c r="D1739" s="84" t="n">
        <x:f>C1739^2-'Resumen'!$B$5^3/3</x:f>
        <x:v>-0.19860086130318202</x:v>
      </x:c>
      <x:c r="E1739" s="85" t="n">
        <x:f>D1739+'Resumen'!$B$5^3/3</x:f>
        <x:v>0.1347324720301513</x:v>
      </x:c>
    </x:row>
    <x:row r="1740">
      <x:c r="A1740" s="89" t="n">
        <x:v>1738</x:v>
      </x:c>
      <x:c r="B1740" s="80" t="n">
        <x:v>0.7715113742495322</x:v>
      </x:c>
      <x:c r="C1740" s="84" t="n">
        <x:f>SQRT('Resumen'!$B$5^3/3)*B1740</x:f>
        <x:v>0.4454322996058255</x:v>
      </x:c>
      <x:c r="D1740" s="84" t="n">
        <x:f>C1740^2-'Resumen'!$B$5^3/3</x:f>
        <x:v>-0.13492339980119944</x:v>
      </x:c>
      <x:c r="E1740" s="85" t="n">
        <x:f>D1740+'Resumen'!$B$5^3/3</x:f>
        <x:v>0.19840993353213388</x:v>
      </x:c>
    </x:row>
    <x:row r="1741">
      <x:c r="A1741" s="89" t="n">
        <x:v>1739</x:v>
      </x:c>
      <x:c r="B1741" s="80" t="n">
        <x:v>-0.15054500382551944</x:v>
      </x:c>
      <x:c r="C1741" s="84" t="n">
        <x:f>SQRT('Resumen'!$B$5^3/3)*B1741</x:f>
        <x:v>-0.08691719848381689</x:v>
      </x:c>
      <x:c r="D1741" s="84" t="n">
        <x:f>C1741^2-'Resumen'!$B$5^3/3</x:f>
        <x:v>-0.3257787339410581</x:v>
      </x:c>
      <x:c r="E1741" s="85" t="n">
        <x:f>D1741+'Resumen'!$B$5^3/3</x:f>
        <x:v>0.0075545993922752075</x:v>
      </x:c>
    </x:row>
    <x:row r="1742">
      <x:c r="A1742" s="89" t="n">
        <x:v>1740</x:v>
      </x:c>
      <x:c r="B1742" s="80" t="n">
        <x:v>1.2288062187417763</x:v>
      </x:c>
      <x:c r="C1742" s="84" t="n">
        <x:f>SQRT('Resumen'!$B$5^3/3)*B1742</x:f>
        <x:v>0.7094516011724507</x:v>
      </x:c>
      <x:c r="D1742" s="84" t="n">
        <x:f>C1742^2-'Resumen'!$B$5^3/3</x:f>
        <x:v>0.16998824107282068</x:v>
      </x:c>
      <x:c r="E1742" s="85" t="n">
        <x:f>D1742+'Resumen'!$B$5^3/3</x:f>
        <x:v>0.503321574406154</x:v>
      </x:c>
    </x:row>
    <x:row r="1743">
      <x:c r="A1743" s="89" t="n">
        <x:v>1741</x:v>
      </x:c>
      <x:c r="B1743" s="80" t="n">
        <x:v>-1.8075179773908876</x:v>
      </x:c>
      <x:c r="C1743" s="84" t="n">
        <x:f>SQRT('Resumen'!$B$5^3/3)*B1743</x:f>
        <x:v>-1.0435709908117168</x:v>
      </x:c>
      <x:c r="D1743" s="84" t="n">
        <x:f>C1743^2-'Resumen'!$B$5^3/3</x:f>
        <x:v>0.755707079530415</x:v>
      </x:c>
      <x:c r="E1743" s="85" t="n">
        <x:f>D1743+'Resumen'!$B$5^3/3</x:f>
        <x:v>1.0890404128637483</x:v>
      </x:c>
    </x:row>
    <x:row r="1744">
      <x:c r="A1744" s="89" t="n">
        <x:v>1742</x:v>
      </x:c>
      <x:c r="B1744" s="80" t="n">
        <x:v>1.1044616248072006</x:v>
      </x:c>
      <x:c r="C1744" s="84" t="n">
        <x:f>SQRT('Resumen'!$B$5^3/3)*B1744</x:f>
        <x:v>0.6376612163920486</x:v>
      </x:c>
      <x:c r="D1744" s="84" t="n">
        <x:f>C1744^2-'Resumen'!$B$5^3/3</x:f>
        <x:v>0.0732784935572538</x:v>
      </x:c>
      <x:c r="E1744" s="85" t="n">
        <x:f>D1744+'Resumen'!$B$5^3/3</x:f>
        <x:v>0.4066118268905871</x:v>
      </x:c>
    </x:row>
    <x:row r="1745">
      <x:c r="A1745" s="89" t="n">
        <x:v>1743</x:v>
      </x:c>
      <x:c r="B1745" s="80" t="n">
        <x:v>-0.0006352851233818162</x:v>
      </x:c>
      <x:c r="C1745" s="84" t="n">
        <x:f>SQRT('Resumen'!$B$5^3/3)*B1745</x:f>
        <x:v>-0.0003667820369966562</x:v>
      </x:c>
      <x:c r="D1745" s="84" t="n">
        <x:f>C1745^2-'Resumen'!$B$5^3/3</x:f>
        <x:v>-0.33333319880427065</x:v>
      </x:c>
      <x:c r="E1745" s="85" t="n">
        <x:f>D1745+'Resumen'!$B$5^3/3</x:f>
        <x:v>1.3452906266753217e-7</x:v>
      </x:c>
    </x:row>
    <x:row r="1746">
      <x:c r="A1746" s="89" t="n">
        <x:v>1744</x:v>
      </x:c>
      <x:c r="B1746" s="80" t="n">
        <x:v>1.1670486631041186</x:v>
      </x:c>
      <x:c r="C1746" s="84" t="n">
        <x:f>SQRT('Resumen'!$B$5^3/3)*B1746</x:f>
        <x:v>0.6737958598005557</x:v>
      </x:c>
      <x:c r="D1746" s="84" t="n">
        <x:f>C1746^2-'Resumen'!$B$5^3/3</x:f>
        <x:v>0.12066752735103675</x:v>
      </x:c>
      <x:c r="E1746" s="85" t="n">
        <x:f>D1746+'Resumen'!$B$5^3/3</x:f>
        <x:v>0.45400086068437007</x:v>
      </x:c>
    </x:row>
    <x:row r="1747">
      <x:c r="A1747" s="89" t="n">
        <x:v>1745</x:v>
      </x:c>
      <x:c r="B1747" s="80" t="n">
        <x:v>-0.49715799928601</x:v>
      </x:c>
      <x:c r="C1747" s="84" t="n">
        <x:f>SQRT('Resumen'!$B$5^3/3)*B1747</x:f>
        <x:v>-0.28703430471755365</x:v>
      </x:c>
      <x:c r="D1747" s="84" t="n">
        <x:f>C1747^2-'Resumen'!$B$5^3/3</x:f>
        <x:v>-0.2509446412486439</x:v>
      </x:c>
      <x:c r="E1747" s="85" t="n">
        <x:f>D1747+'Resumen'!$B$5^3/3</x:f>
        <x:v>0.08238869208468941</x:v>
      </x:c>
    </x:row>
    <x:row r="1748">
      <x:c r="A1748" s="89" t="n">
        <x:v>1746</x:v>
      </x:c>
      <x:c r="B1748" s="80" t="n">
        <x:v>0.7985191228673778</x:v>
      </x:c>
      <x:c r="C1748" s="84" t="n">
        <x:f>SQRT('Resumen'!$B$5^3/3)*B1748</x:f>
        <x:v>0.4610252305405444</x:v>
      </x:c>
      <x:c r="D1748" s="84" t="n">
        <x:f>C1748^2-'Resumen'!$B$5^3/3</x:f>
        <x:v>-0.1207890701383712</x:v>
      </x:c>
      <x:c r="E1748" s="85" t="n">
        <x:f>D1748+'Resumen'!$B$5^3/3</x:f>
        <x:v>0.2125442631949621</x:v>
      </x:c>
    </x:row>
    <x:row r="1749">
      <x:c r="A1749" s="89" t="n">
        <x:v>1747</x:v>
      </x:c>
      <x:c r="B1749" s="80" t="n">
        <x:v>-0.6774214499044131</x:v>
      </x:c>
      <x:c r="C1749" s="84" t="n">
        <x:f>SQRT('Resumen'!$B$5^3/3)*B1749</x:f>
        <x:v>-0.39110945645713946</x:v>
      </x:c>
      <x:c r="D1749" s="84" t="n">
        <x:f>C1749^2-'Resumen'!$B$5^3/3</x:f>
        <x:v>-0.18036672640313425</x:v>
      </x:c>
      <x:c r="E1749" s="85" t="n">
        <x:f>D1749+'Resumen'!$B$5^3/3</x:f>
        <x:v>0.15296660693019906</x:v>
      </x:c>
    </x:row>
    <x:row r="1750">
      <x:c r="A1750" s="89" t="n">
        <x:v>1748</x:v>
      </x:c>
      <x:c r="B1750" s="80" t="n">
        <x:v>-0.8357485998638515</x:v>
      </x:c>
      <x:c r="C1750" s="84" t="n">
        <x:f>SQRT('Resumen'!$B$5^3/3)*B1750</x:f>
        <x:v>-0.4825196791062475</x:v>
      </x:c>
      <x:c r="D1750" s="84" t="n">
        <x:f>C1750^2-'Resumen'!$B$5^3/3</x:f>
        <x:v>-0.10050809260853727</x:v>
      </x:c>
      <x:c r="E1750" s="85" t="n">
        <x:f>D1750+'Resumen'!$B$5^3/3</x:f>
        <x:v>0.23282524072479605</x:v>
      </x:c>
    </x:row>
    <x:row r="1751">
      <x:c r="A1751" s="89" t="n">
        <x:v>1749</x:v>
      </x:c>
      <x:c r="B1751" s="80" t="n">
        <x:v>-0.0981320132206316</x:v>
      </x:c>
      <x:c r="C1751" s="84" t="n">
        <x:f>SQRT('Resumen'!$B$5^3/3)*B1751</x:f>
        <x:v>-0.05665654424905157</x:v>
      </x:c>
      <x:c r="D1751" s="84" t="n">
        <x:f>C1751^2-'Resumen'!$B$5^3/3</x:f>
        <x:v>-0.3301233693270886</x:v>
      </x:c>
      <x:c r="E1751" s="85" t="n">
        <x:f>D1751+'Resumen'!$B$5^3/3</x:f>
        <x:v>0.0032099640062447365</x:v>
      </x:c>
    </x:row>
    <x:row r="1752">
      <x:c r="A1752" s="89" t="n">
        <x:v>1750</x:v>
      </x:c>
      <x:c r="B1752" s="80" t="n">
        <x:v>1.586337192219616</x:v>
      </x:c>
      <x:c r="C1752" s="84" t="n">
        <x:f>SQRT('Resumen'!$B$5^3/3)*B1752</x:f>
        <x:v>0.9158722049535104</x:v>
      </x:c>
      <x:c r="D1752" s="84" t="n">
        <x:f>C1752^2-'Resumen'!$B$5^3/3</x:f>
        <x:v>0.5054885624730716</x:v>
      </x:c>
      <x:c r="E1752" s="85" t="n">
        <x:f>D1752+'Resumen'!$B$5^3/3</x:f>
        <x:v>0.8388218958064049</x:v>
      </x:c>
    </x:row>
    <x:row r="1753">
      <x:c r="A1753" s="89" t="n">
        <x:v>1751</x:v>
      </x:c>
      <x:c r="B1753" s="80" t="n">
        <x:v>0.22972887996125016</x:v>
      </x:c>
      <x:c r="C1753" s="84" t="n">
        <x:f>SQRT('Resumen'!$B$5^3/3)*B1753</x:f>
        <x:v>0.132634030686259</x:v>
      </x:c>
      <x:c r="D1753" s="84" t="n">
        <x:f>C1753^2-'Resumen'!$B$5^3/3</x:f>
        <x:v>-0.31574154723724984</x:v>
      </x:c>
      <x:c r="E1753" s="85" t="n">
        <x:f>D1753+'Resumen'!$B$5^3/3</x:f>
        <x:v>0.017591786096083473</x:v>
      </x:c>
    </x:row>
    <x:row r="1754">
      <x:c r="A1754" s="89" t="n">
        <x:v>1752</x:v>
      </x:c>
      <x:c r="B1754" s="80" t="n">
        <x:v>1.5149337663556777</x:v>
      </x:c>
      <x:c r="C1754" s="84" t="n">
        <x:f>SQRT('Resumen'!$B$5^3/3)*B1754</x:f>
        <x:v>0.8746474178099041</x:v>
      </x:c>
      <x:c r="D1754" s="84" t="n">
        <x:f>C1754^2-'Resumen'!$B$5^3/3</x:f>
        <x:v>0.43167477214819955</x:v>
      </x:c>
      <x:c r="E1754" s="85" t="n">
        <x:f>D1754+'Resumen'!$B$5^3/3</x:f>
        <x:v>0.7650081054815329</x:v>
      </x:c>
    </x:row>
    <x:row r="1755">
      <x:c r="A1755" s="89" t="n">
        <x:v>1753</x:v>
      </x:c>
      <x:c r="B1755" s="80" t="n">
        <x:v>-0.8132598261432378</x:v>
      </x:c>
      <x:c r="C1755" s="84" t="n">
        <x:f>SQRT('Resumen'!$B$5^3/3)*B1755</x:f>
        <x:v>-0.46953577954490655</x:v>
      </x:c>
      <x:c r="D1755" s="84" t="n">
        <x:f>C1755^2-'Resumen'!$B$5^3/3</x:f>
        <x:v>-0.11286948506049024</x:v>
      </x:c>
      <x:c r="E1755" s="85" t="n">
        <x:f>D1755+'Resumen'!$B$5^3/3</x:f>
        <x:v>0.22046384827284307</x:v>
      </x:c>
    </x:row>
    <x:row r="1756">
      <x:c r="A1756" s="89" t="n">
        <x:v>1754</x:v>
      </x:c>
      <x:c r="B1756" s="80" t="n">
        <x:v>-0.3054180280353109</x:v>
      </x:c>
      <x:c r="C1756" s="84" t="n">
        <x:f>SQRT('Resumen'!$B$5^3/3)*B1756</x:f>
        <x:v>-0.17633318070155138</x:v>
      </x:c>
      <x:c r="D1756" s="84" t="n">
        <x:f>C1756^2-'Resumen'!$B$5^3/3</x:f>
        <x:v>-0.3022399427170073</x:v>
      </x:c>
      <x:c r="E1756" s="85" t="n">
        <x:f>D1756+'Resumen'!$B$5^3/3</x:f>
        <x:v>0.03109339061632599</x:v>
      </x:c>
    </x:row>
    <x:row r="1757">
      <x:c r="A1757" s="89" t="n">
        <x:v>1755</x:v>
      </x:c>
      <x:c r="B1757" s="80" t="n">
        <x:v>0.32895946646561725</x:v>
      </x:c>
      <x:c r="C1757" s="84" t="n">
        <x:f>SQRT('Resumen'!$B$5^3/3)*B1757</x:f>
        <x:v>0.18992483651639977</x:v>
      </x:c>
      <x:c r="D1757" s="84" t="n">
        <x:f>C1757^2-'Resumen'!$B$5^3/3</x:f>
        <x:v>-0.29726188980755214</x:v>
      </x:c>
      <x:c r="E1757" s="85" t="n">
        <x:f>D1757+'Resumen'!$B$5^3/3</x:f>
        <x:v>0.03607144352578118</x:v>
      </x:c>
    </x:row>
    <x:row r="1758">
      <x:c r="A1758" s="89" t="n">
        <x:v>1756</x:v>
      </x:c>
      <x:c r="B1758" s="80" t="n">
        <x:v>-1.6020890620375194</x:v>
      </x:c>
      <x:c r="C1758" s="84" t="n">
        <x:f>SQRT('Resumen'!$B$5^3/3)*B1758</x:f>
        <x:v>-0.9249665512331169</x:v>
      </x:c>
      <x:c r="D1758" s="84" t="n">
        <x:f>C1758^2-'Resumen'!$B$5^3/3</x:f>
        <x:v>0.522229787566753</x:v>
      </x:c>
      <x:c r="E1758" s="85" t="n">
        <x:f>D1758+'Resumen'!$B$5^3/3</x:f>
        <x:v>0.8555631209000862</x:v>
      </x:c>
    </x:row>
    <x:row r="1759">
      <x:c r="A1759" s="89" t="n">
        <x:v>1757</x:v>
      </x:c>
      <x:c r="B1759" s="80" t="n">
        <x:v>-0.68317237866073</x:v>
      </x:c>
      <x:c r="C1759" s="84" t="n">
        <x:f>SQRT('Resumen'!$B$5^3/3)*B1759</x:f>
        <x:v>-0.3944297567226894</x:v>
      </x:c>
      <x:c r="D1759" s="84" t="n">
        <x:f>C1759^2-'Resumen'!$B$5^3/3</x:f>
        <x:v>-0.1777585003450134</x:v>
      </x:c>
      <x:c r="E1759" s="85" t="n">
        <x:f>D1759+'Resumen'!$B$5^3/3</x:f>
        <x:v>0.15557483298831992</x:v>
      </x:c>
    </x:row>
    <x:row r="1760">
      <x:c r="A1760" s="89" t="n">
        <x:v>1758</x:v>
      </x:c>
      <x:c r="B1760" s="80" t="n">
        <x:v>-1.8173163145074984</x:v>
      </x:c>
      <x:c r="C1760" s="84" t="n">
        <x:f>SQRT('Resumen'!$B$5^3/3)*B1760</x:f>
        <x:v>-1.0492280633836029</x:v>
      </x:c>
      <x:c r="D1760" s="84" t="n">
        <x:f>C1760^2-'Resumen'!$B$5^3/3</x:f>
        <x:v>0.7675461956583725</x:v>
      </x:c>
      <x:c r="E1760" s="85" t="n">
        <x:f>D1760+'Resumen'!$B$5^3/3</x:f>
        <x:v>1.1008795289917057</x:v>
      </x:c>
    </x:row>
    <x:row r="1761">
      <x:c r="A1761" s="89" t="n">
        <x:v>1759</x:v>
      </x:c>
      <x:c r="B1761" s="80" t="n">
        <x:v>0.5768086937432273</x:v>
      </x:c>
      <x:c r="C1761" s="84" t="n">
        <x:f>SQRT('Resumen'!$B$5^3/3)*B1761</x:f>
        <x:v>0.33302065460356867</x:v>
      </x:c>
      <x:c r="D1761" s="84" t="n">
        <x:f>C1761^2-'Resumen'!$B$5^3/3</x:f>
        <x:v>-0.22243057694074392</x:v>
      </x:c>
      <x:c r="E1761" s="85" t="n">
        <x:f>D1761+'Resumen'!$B$5^3/3</x:f>
        <x:v>0.1109027563925894</x:v>
      </x:c>
    </x:row>
    <x:row r="1762">
      <x:c r="A1762" s="89" t="n">
        <x:v>1760</x:v>
      </x:c>
      <x:c r="B1762" s="80" t="n">
        <x:v>0.7302595192971528</x:v>
      </x:c>
      <x:c r="C1762" s="84" t="n">
        <x:f>SQRT('Resumen'!$B$5^3/3)*B1762</x:f>
        <x:v>0.42161553004449787</x:v>
      </x:c>
      <x:c r="D1762" s="84" t="n">
        <x:f>C1762^2-'Resumen'!$B$5^3/3</x:f>
        <x:v>-0.15557367815863044</x:v>
      </x:c>
      <x:c r="E1762" s="85" t="n">
        <x:f>D1762+'Resumen'!$B$5^3/3</x:f>
        <x:v>0.17775965517470288</x:v>
      </x:c>
    </x:row>
    <x:row r="1763">
      <x:c r="A1763" s="89" t="n">
        <x:v>1761</x:v>
      </x:c>
      <x:c r="B1763" s="80" t="n">
        <x:v>-0.5122563669128646</x:v>
      </x:c>
      <x:c r="C1763" s="84" t="n">
        <x:f>SQRT('Resumen'!$B$5^3/3)*B1763</x:f>
        <x:v>-0.29575135133124203</x:v>
      </x:c>
      <x:c r="D1763" s="84" t="n">
        <x:f>C1763^2-'Resumen'!$B$5^3/3</x:f>
        <x:v>-0.24586447151907756</x:v>
      </x:c>
      <x:c r="E1763" s="85" t="n">
        <x:f>D1763+'Resumen'!$B$5^3/3</x:f>
        <x:v>0.08746886181425576</x:v>
      </x:c>
    </x:row>
    <x:row r="1764">
      <x:c r="A1764" s="89" t="n">
        <x:v>1762</x:v>
      </x:c>
      <x:c r="B1764" s="80" t="n">
        <x:v>1.5001390888092812</x:v>
      </x:c>
      <x:c r="C1764" s="84" t="n">
        <x:f>SQRT('Resumen'!$B$5^3/3)*B1764</x:f>
        <x:v>0.8661057067459184</x:v>
      </x:c>
      <x:c r="D1764" s="84" t="n">
        <x:f>C1764^2-'Resumen'!$B$5^3/3</x:f>
        <x:v>0.4168057619245134</x:v>
      </x:c>
      <x:c r="E1764" s="85" t="n">
        <x:f>D1764+'Resumen'!$B$5^3/3</x:f>
        <x:v>0.7501390952578467</x:v>
      </x:c>
    </x:row>
    <x:row r="1765">
      <x:c r="A1765" s="89" t="n">
        <x:v>1763</x:v>
      </x:c>
      <x:c r="B1765" s="80" t="n">
        <x:v>1.1012886400350717</x:v>
      </x:c>
      <x:c r="C1765" s="84" t="n">
        <x:f>SQRT('Resumen'!$B$5^3/3)*B1765</x:f>
        <x:v>0.6358292927797254</x:v>
      </x:c>
      <x:c r="D1765" s="84" t="n">
        <x:f>C1765^2-'Resumen'!$B$5^3/3</x:f>
        <x:v>0.07094555622343252</x:v>
      </x:c>
      <x:c r="E1765" s="85" t="n">
        <x:f>D1765+'Resumen'!$B$5^3/3</x:f>
        <x:v>0.40427888955676583</x:v>
      </x:c>
    </x:row>
    <x:row r="1766">
      <x:c r="A1766" s="89" t="n">
        <x:v>1764</x:v>
      </x:c>
      <x:c r="B1766" s="80" t="n">
        <x:v>1.7136694755722246</x:v>
      </x:c>
      <x:c r="C1766" s="84" t="n">
        <x:f>SQRT('Resumen'!$B$5^3/3)*B1766</x:f>
        <x:v>0.9893875330236687</x:v>
      </x:c>
      <x:c r="D1766" s="84" t="n">
        <x:f>C1766^2-'Resumen'!$B$5^3/3</x:f>
        <x:v>0.6455543571693276</x:v>
      </x:c>
      <x:c r="E1766" s="85" t="n">
        <x:f>D1766+'Resumen'!$B$5^3/3</x:f>
        <x:v>0.9788876905026609</x:v>
      </x:c>
    </x:row>
    <x:row r="1767">
      <x:c r="A1767" s="89" t="n">
        <x:v>1765</x:v>
      </x:c>
      <x:c r="B1767" s="80" t="n">
        <x:v>0.5672698619612179</x:v>
      </x:c>
      <x:c r="C1767" s="84" t="n">
        <x:f>SQRT('Resumen'!$B$5^3/3)*B1767</x:f>
        <x:v>0.32751340750647095</x:v>
      </x:c>
      <x:c r="D1767" s="84" t="n">
        <x:f>C1767^2-'Resumen'!$B$5^3/3</x:f>
        <x:v>-0.2260683012368336</x:v>
      </x:c>
      <x:c r="E1767" s="85" t="n">
        <x:f>D1767+'Resumen'!$B$5^3/3</x:f>
        <x:v>0.10726503209649971</x:v>
      </x:c>
    </x:row>
    <x:row r="1768">
      <x:c r="A1768" s="89" t="n">
        <x:v>1766</x:v>
      </x:c>
      <x:c r="B1768" s="80" t="n">
        <x:v>0.26727389655932393</x:v>
      </x:c>
      <x:c r="C1768" s="84" t="n">
        <x:f>SQRT('Resumen'!$B$5^3/3)*B1768</x:f>
        <x:v>0.15431065612588585</x:v>
      </x:c>
      <x:c r="D1768" s="84" t="n">
        <x:f>C1768^2-'Resumen'!$B$5^3/3</x:f>
        <x:v>-0.3095215547393319</x:v>
      </x:c>
      <x:c r="E1768" s="85" t="n">
        <x:f>D1768+'Resumen'!$B$5^3/3</x:f>
        <x:v>0.02381177859400141</x:v>
      </x:c>
    </x:row>
    <x:row r="1769">
      <x:c r="A1769" s="89" t="n">
        <x:v>1767</x:v>
      </x:c>
      <x:c r="B1769" s="80" t="n">
        <x:v>-0.050176297703141866</x:v>
      </x:c>
      <x:c r="C1769" s="84" t="n">
        <x:f>SQRT('Resumen'!$B$5^3/3)*B1769</x:f>
        <x:v>-0.028969298985847755</x:v>
      </x:c>
      <x:c r="D1769" s="84" t="n">
        <x:f>C1769^2-'Resumen'!$B$5^3/3</x:f>
        <x:v>-0.33249411304960186</x:v>
      </x:c>
      <x:c r="E1769" s="85" t="n">
        <x:f>D1769+'Resumen'!$B$5^3/3</x:f>
        <x:v>0.0008392202837314566</x:v>
      </x:c>
    </x:row>
    <x:row r="1770">
      <x:c r="A1770" s="89" t="n">
        <x:v>1768</x:v>
      </x:c>
      <x:c r="B1770" s="80" t="n">
        <x:v>1.3212380623970108</x:v>
      </x:c>
      <x:c r="C1770" s="84" t="n">
        <x:f>SQRT('Resumen'!$B$5^3/3)*B1770</x:f>
        <x:v>0.7628171509884937</x:v>
      </x:c>
      <x:c r="D1770" s="84" t="n">
        <x:f>C1770^2-'Resumen'!$B$5^3/3</x:f>
        <x:v>0.2485566725088691</x:v>
      </x:c>
      <x:c r="E1770" s="85" t="n">
        <x:f>D1770+'Resumen'!$B$5^3/3</x:f>
        <x:v>0.5818900058422024</x:v>
      </x:c>
    </x:row>
    <x:row r="1771">
      <x:c r="A1771" s="89" t="n">
        <x:v>1769</x:v>
      </x:c>
      <x:c r="B1771" s="80" t="n">
        <x:v>-1.4309897105356262</x:v>
      </x:c>
      <x:c r="C1771" s="84" t="n">
        <x:f>SQRT('Resumen'!$B$5^3/3)*B1771</x:f>
        <x:v>-0.8261822945853283</x:v>
      </x:c>
      <x:c r="D1771" s="84" t="n">
        <x:f>C1771^2-'Resumen'!$B$5^3/3</x:f>
        <x:v>0.3492438505529449</x:v>
      </x:c>
      <x:c r="E1771" s="85" t="n">
        <x:f>D1771+'Resumen'!$B$5^3/3</x:f>
        <x:v>0.6825771838862782</x:v>
      </x:c>
    </x:row>
    <x:row r="1772">
      <x:c r="A1772" s="89" t="n">
        <x:v>1770</x:v>
      </x:c>
      <x:c r="B1772" s="80" t="n">
        <x:v>0.7758296457032339</x:v>
      </x:c>
      <x:c r="C1772" s="84" t="n">
        <x:f>SQRT('Resumen'!$B$5^3/3)*B1772</x:f>
        <x:v>0.44792545479205403</x:v>
      </x:c>
      <x:c r="D1772" s="84" t="n">
        <x:f>C1772^2-'Resumen'!$B$5^3/3</x:f>
        <x:v>-0.13269612028266486</x:v>
      </x:c>
      <x:c r="E1772" s="85" t="n">
        <x:f>D1772+'Resumen'!$B$5^3/3</x:f>
        <x:v>0.20063721305066845</x:v>
      </x:c>
    </x:row>
    <x:row r="1773">
      <x:c r="A1773" s="89" t="n">
        <x:v>1771</x:v>
      </x:c>
      <x:c r="B1773" s="80" t="n">
        <x:v>-1.771468690512614</x:v>
      </x:c>
      <x:c r="C1773" s="84" t="n">
        <x:f>SQRT('Resumen'!$B$5^3/3)*B1773</x:f>
        <x:v>-1.0227579253284516</x:v>
      </x:c>
      <x:c r="D1773" s="84" t="n">
        <x:f>C1773^2-'Resumen'!$B$5^3/3</x:f>
        <x:v>0.7127004404888253</x:v>
      </x:c>
      <x:c r="E1773" s="85" t="n">
        <x:f>D1773+'Resumen'!$B$5^3/3</x:f>
        <x:v>1.0460337738221586</x:v>
      </x:c>
    </x:row>
    <x:row r="1774">
      <x:c r="A1774" s="89" t="n">
        <x:v>1772</x:v>
      </x:c>
      <x:c r="B1774" s="80" t="n">
        <x:v>1.8394117909748156</x:v>
      </x:c>
      <x:c r="C1774" s="84" t="n">
        <x:f>SQRT('Resumen'!$B$5^3/3)*B1774</x:f>
        <x:v>1.0619848926698814</x:v>
      </x:c>
      <x:c r="D1774" s="84" t="n">
        <x:f>C1774^2-'Resumen'!$B$5^3/3</x:f>
        <x:v>0.7944785789257263</x:v>
      </x:c>
      <x:c r="E1774" s="85" t="n">
        <x:f>D1774+'Resumen'!$B$5^3/3</x:f>
        <x:v>1.1278119122590595</x:v>
      </x:c>
    </x:row>
    <x:row r="1775">
      <x:c r="A1775" s="89" t="n">
        <x:v>1773</x:v>
      </x:c>
      <x:c r="B1775" s="80" t="n">
        <x:v>-0.8740900823065204</x:v>
      </x:c>
      <x:c r="C1775" s="84" t="n">
        <x:f>SQRT('Resumen'!$B$5^3/3)*B1775</x:f>
        <x:v>-0.5046561443156516</x:v>
      </x:c>
      <x:c r="D1775" s="84" t="n">
        <x:f>C1775^2-'Resumen'!$B$5^3/3</x:f>
        <x:v>-0.07865550933779347</x:v>
      </x:c>
      <x:c r="E1775" s="85" t="n">
        <x:f>D1775+'Resumen'!$B$5^3/3</x:f>
        <x:v>0.25467782399553984</x:v>
      </x:c>
    </x:row>
    <x:row r="1776">
      <x:c r="A1776" s="89" t="n">
        <x:v>1774</x:v>
      </x:c>
      <x:c r="B1776" s="80" t="n">
        <x:v>0.6711355238089299</x:v>
      </x:c>
      <x:c r="C1776" s="84" t="n">
        <x:f>SQRT('Resumen'!$B$5^3/3)*B1776</x:f>
        <x:v>0.3874802753338062</x:v>
      </x:c>
      <x:c r="D1776" s="84" t="n">
        <x:f>C1776^2-'Resumen'!$B$5^3/3</x:f>
        <x:v>-0.18319236956057106</x:v>
      </x:c>
      <x:c r="E1776" s="85" t="n">
        <x:f>D1776+'Resumen'!$B$5^3/3</x:f>
        <x:v>0.15014096377276226</x:v>
      </x:c>
    </x:row>
    <x:row r="1777">
      <x:c r="A1777" s="89" t="n">
        <x:v>1775</x:v>
      </x:c>
      <x:c r="B1777" s="80" t="n">
        <x:v>-0.48429679518974883</x:v>
      </x:c>
      <x:c r="C1777" s="84" t="n">
        <x:f>SQRT('Resumen'!$B$5^3/3)*B1777</x:f>
        <x:v>-0.27960888507047454</x:v>
      </x:c>
      <x:c r="D1777" s="84" t="n">
        <x:f>C1777^2-'Resumen'!$B$5^3/3</x:f>
        <x:v>-0.2551522047229795</x:v>
      </x:c>
      <x:c r="E1777" s="85" t="n">
        <x:f>D1777+'Resumen'!$B$5^3/3</x:f>
        <x:v>0.07818112861035381</x:v>
      </x:c>
    </x:row>
    <x:row r="1778">
      <x:c r="A1778" s="89" t="n">
        <x:v>1776</x:v>
      </x:c>
      <x:c r="B1778" s="80" t="n">
        <x:v>0.02884112787659186</x:v>
      </x:c>
      <x:c r="C1778" s="84" t="n">
        <x:f>SQRT('Resumen'!$B$5^3/3)*B1778</x:f>
        <x:v>0.016651432943282727</x:v>
      </x:c>
      <x:c r="D1778" s="84" t="n">
        <x:f>C1778^2-'Resumen'!$B$5^3/3</x:f>
        <x:v>-0.33305606311426866</x:v>
      </x:c>
      <x:c r="E1778" s="85" t="n">
        <x:f>D1778+'Resumen'!$B$5^3/3</x:f>
        <x:v>0.00027727021906465144</x:v>
      </x:c>
    </x:row>
    <x:row r="1779">
      <x:c r="A1779" s="89" t="n">
        <x:v>1777</x:v>
      </x:c>
      <x:c r="B1779" s="80" t="n">
        <x:v>-0.32351050911296</x:v>
      </x:c>
      <x:c r="C1779" s="84" t="n">
        <x:f>SQRT('Resumen'!$B$5^3/3)*B1779</x:f>
        <x:v>-0.1867788795220403</x:v>
      </x:c>
      <x:c r="D1779" s="84" t="n">
        <x:f>C1779^2-'Resumen'!$B$5^3/3</x:f>
        <x:v>-0.29844698349782445</x:v>
      </x:c>
      <x:c r="E1779" s="85" t="n">
        <x:f>D1779+'Resumen'!$B$5^3/3</x:f>
        <x:v>0.03488634983550887</x:v>
      </x:c>
    </x:row>
    <x:row r="1780">
      <x:c r="A1780" s="89" t="n">
        <x:v>1778</x:v>
      </x:c>
      <x:c r="B1780" s="80" t="n">
        <x:v>0.5332956731802732</x:v>
      </x:c>
      <x:c r="C1780" s="84" t="n">
        <x:f>SQRT('Resumen'!$B$5^3/3)*B1780</x:f>
        <x:v>0.30789840046829337</x:v>
      </x:c>
      <x:c r="D1780" s="84" t="n">
        <x:f>C1780^2-'Resumen'!$B$5^3/3</x:f>
        <x:v>-0.23853190832239976</x:v>
      </x:c>
      <x:c r="E1780" s="85" t="n">
        <x:f>D1780+'Resumen'!$B$5^3/3</x:f>
        <x:v>0.09480142501093355</x:v>
      </x:c>
    </x:row>
    <x:row r="1781">
      <x:c r="A1781" s="89" t="n">
        <x:v>1779</x:v>
      </x:c>
      <x:c r="B1781" s="80" t="n">
        <x:v>1.7975838635206514</x:v>
      </x:c>
      <x:c r="C1781" s="84" t="n">
        <x:f>SQRT('Resumen'!$B$5^3/3)*B1781</x:f>
        <x:v>1.0378355274945754</x:v>
      </x:c>
      <x:c r="D1781" s="84" t="n">
        <x:f>C1781^2-'Resumen'!$B$5^3/3</x:f>
        <x:v>0.7437692487966103</x:v>
      </x:c>
      <x:c r="E1781" s="85" t="n">
        <x:f>D1781+'Resumen'!$B$5^3/3</x:f>
        <x:v>1.0771025821299436</x:v>
      </x:c>
    </x:row>
    <x:row r="1782">
      <x:c r="A1782" s="89" t="n">
        <x:v>1780</x:v>
      </x:c>
      <x:c r="B1782" s="80" t="n">
        <x:v>-1.414153678010889</x:v>
      </x:c>
      <x:c r="C1782" s="84" t="n">
        <x:f>SQRT('Resumen'!$B$5^3/3)*B1782</x:f>
        <x:v>-0.8164620066750861</x:v>
      </x:c>
      <x:c r="D1782" s="84" t="n">
        <x:f>C1782^2-'Resumen'!$B$5^3/3</x:f>
        <x:v>0.33327687501057496</x:v>
      </x:c>
      <x:c r="E1782" s="85" t="n">
        <x:f>D1782+'Resumen'!$B$5^3/3</x:f>
        <x:v>0.6666102083439083</x:v>
      </x:c>
    </x:row>
    <x:row r="1783">
      <x:c r="A1783" s="89" t="n">
        <x:v>1781</x:v>
      </x:c>
      <x:c r="B1783" s="80" t="n">
        <x:v>-0.21905109375095133</x:v>
      </x:c>
      <x:c r="C1783" s="84" t="n">
        <x:f>SQRT('Resumen'!$B$5^3/3)*B1783</x:f>
        <x:v>-0.1264692079433937</x:v>
      </x:c>
      <x:c r="D1783" s="84" t="n">
        <x:f>C1783^2-'Resumen'!$B$5^3/3</x:f>
        <x:v>-0.317338872775504</x:v>
      </x:c>
      <x:c r="E1783" s="85" t="n">
        <x:f>D1783+'Resumen'!$B$5^3/3</x:f>
        <x:v>0.015994460557829326</x:v>
      </x:c>
    </x:row>
    <x:row r="1784">
      <x:c r="A1784" s="89" t="n">
        <x:v>1782</x:v>
      </x:c>
      <x:c r="B1784" s="80" t="n">
        <x:v>-0.33515548912937554</x:v>
      </x:c>
      <x:c r="C1784" s="84" t="n">
        <x:f>SQRT('Resumen'!$B$5^3/3)*B1784</x:f>
        <x:v>-0.19350211186922564</x:v>
      </x:c>
      <x:c r="D1784" s="84" t="n">
        <x:f>C1784^2-'Resumen'!$B$5^3/3</x:f>
        <x:v>-0.295890266035483</x:v>
      </x:c>
      <x:c r="E1784" s="85" t="n">
        <x:f>D1784+'Resumen'!$B$5^3/3</x:f>
        <x:v>0.037443067297850297</x:v>
      </x:c>
    </x:row>
    <x:row r="1785">
      <x:c r="A1785" s="89" t="n">
        <x:v>1783</x:v>
      </x:c>
      <x:c r="B1785" s="80" t="n">
        <x:v>-0.9954102540810873</x:v>
      </x:c>
      <x:c r="C1785" s="84" t="n">
        <x:f>SQRT('Resumen'!$B$5^3/3)*B1785</x:f>
        <x:v>-0.5747003781478295</x:v>
      </x:c>
      <x:c r="D1785" s="84" t="n">
        <x:f>C1785^2-'Resumen'!$B$5^3/3</x:f>
        <x:v>-0.003052808690075126</x:v>
      </x:c>
      <x:c r="E1785" s="85" t="n">
        <x:f>D1785+'Resumen'!$B$5^3/3</x:f>
        <x:v>0.3302805246432582</x:v>
      </x:c>
    </x:row>
    <x:row r="1786">
      <x:c r="A1786" s="89" t="n">
        <x:v>1784</x:v>
      </x:c>
      <x:c r="B1786" s="80" t="n">
        <x:v>1.3525416200133147</x:v>
      </x:c>
      <x:c r="C1786" s="84" t="n">
        <x:f>SQRT('Resumen'!$B$5^3/3)*B1786</x:f>
        <x:v>0.7808902684048598</x:v>
      </x:c>
      <x:c r="D1786" s="84" t="n">
        <x:f>C1786^2-'Resumen'!$B$5^3/3</x:f>
        <x:v>0.2764562779560806</x:v>
      </x:c>
      <x:c r="E1786" s="85" t="n">
        <x:f>D1786+'Resumen'!$B$5^3/3</x:f>
        <x:v>0.6097896112894139</x:v>
      </x:c>
    </x:row>
    <x:row r="1787">
      <x:c r="A1787" s="89" t="n">
        <x:v>1785</x:v>
      </x:c>
      <x:c r="B1787" s="80" t="n">
        <x:v>-0.2787070105539593</x:v>
      </x:c>
      <x:c r="C1787" s="84" t="n">
        <x:f>SQRT('Resumen'!$B$5^3/3)*B1787</x:f>
        <x:v>-0.16091156756836425</x:v>
      </x:c>
      <x:c r="D1787" s="84" t="n">
        <x:f>C1787^2-'Resumen'!$B$5^3/3</x:f>
        <x:v>-0.3074408007560251</x:v>
      </x:c>
      <x:c r="E1787" s="85" t="n">
        <x:f>D1787+'Resumen'!$B$5^3/3</x:f>
        <x:v>0.025892532577308225</x:v>
      </x:c>
    </x:row>
    <x:row r="1788">
      <x:c r="A1788" s="89" t="n">
        <x:v>1786</x:v>
      </x:c>
      <x:c r="B1788" s="80" t="n">
        <x:v>-1.692086182595973</x:v>
      </x:c>
      <x:c r="C1788" s="84" t="n">
        <x:f>SQRT('Resumen'!$B$5^3/3)*B1788</x:f>
        <x:v>-0.9769264130138312</x:v>
      </x:c>
      <x:c r="D1788" s="84" t="n">
        <x:f>C1788^2-'Resumen'!$B$5^3/3</x:f>
        <x:v>0.6210518831107374</x:v>
      </x:c>
      <x:c r="E1788" s="85" t="n">
        <x:f>D1788+'Resumen'!$B$5^3/3</x:f>
        <x:v>0.9543852164440707</x:v>
      </x:c>
    </x:row>
    <x:row r="1789">
      <x:c r="A1789" s="89" t="n">
        <x:v>1787</x:v>
      </x:c>
      <x:c r="B1789" s="80" t="n">
        <x:v>0.2864062306274322</x:v>
      </x:c>
      <x:c r="C1789" s="84" t="n">
        <x:f>SQRT('Resumen'!$B$5^3/3)*B1789</x:f>
        <x:v>0.165356714350334</x:v>
      </x:c>
      <x:c r="D1789" s="84" t="n">
        <x:f>C1789^2-'Resumen'!$B$5^3/3</x:f>
        <x:v>-0.30599049035259535</x:v>
      </x:c>
      <x:c r="E1789" s="85" t="n">
        <x:f>D1789+'Resumen'!$B$5^3/3</x:f>
        <x:v>0.02734284298073797</x:v>
      </x:c>
    </x:row>
    <x:row r="1790">
      <x:c r="A1790" s="89" t="n">
        <x:v>1788</x:v>
      </x:c>
      <x:c r="B1790" s="80" t="n">
        <x:v>-0.6676313901701302</x:v>
      </x:c>
      <x:c r="C1790" s="84" t="n">
        <x:f>SQRT('Resumen'!$B$5^3/3)*B1790</x:f>
        <x:v>-0.3854571628341687</x:v>
      </x:c>
      <x:c r="D1790" s="84" t="n">
        <x:f>C1790^2-'Resumen'!$B$5^3/3</x:f>
        <x:v>-0.18475610895316646</x:v>
      </x:c>
      <x:c r="E1790" s="85" t="n">
        <x:f>D1790+'Resumen'!$B$5^3/3</x:f>
        <x:v>0.14857722438016685</x:v>
      </x:c>
    </x:row>
    <x:row r="1791">
      <x:c r="A1791" s="89" t="n">
        <x:v>1789</x:v>
      </x:c>
      <x:c r="B1791" s="80" t="n">
        <x:v>-1.2177077009244759</x:v>
      </x:c>
      <x:c r="C1791" s="84" t="n">
        <x:f>SQRT('Resumen'!$B$5^3/3)*B1791</x:f>
        <x:v>-0.7030438689230264</x:v>
      </x:c>
      <x:c r="D1791" s="84" t="n">
        <x:f>C1791^2-'Resumen'!$B$5^3/3</x:f>
        <x:v>0.1609373482969242</x:v>
      </x:c>
      <x:c r="E1791" s="85" t="n">
        <x:f>D1791+'Resumen'!$B$5^3/3</x:f>
        <x:v>0.4942706816302575</x:v>
      </x:c>
    </x:row>
    <x:row r="1792">
      <x:c r="A1792" s="89" t="n">
        <x:v>1790</x:v>
      </x:c>
      <x:c r="B1792" s="80" t="n">
        <x:v>2.5491037925310516</x:v>
      </x:c>
      <x:c r="C1792" s="84" t="n">
        <x:f>SQRT('Resumen'!$B$5^3/3)*B1792</x:f>
        <x:v>1.4717257608100984</x:v>
      </x:c>
      <x:c r="D1792" s="84" t="n">
        <x:f>C1792^2-'Resumen'!$B$5^3/3</x:f>
        <x:v>1.8326433816987298</x:v>
      </x:c>
      <x:c r="E1792" s="85" t="n">
        <x:f>D1792+'Resumen'!$B$5^3/3</x:f>
        <x:v>2.165976715032063</x:v>
      </x:c>
    </x:row>
    <x:row r="1793">
      <x:c r="A1793" s="89" t="n">
        <x:v>1791</x:v>
      </x:c>
      <x:c r="B1793" s="80" t="n">
        <x:v>1.23644785882125</x:v>
      </x:c>
      <x:c r="C1793" s="84" t="n">
        <x:f>SQRT('Resumen'!$B$5^3/3)*B1793</x:f>
        <x:v>0.713863504129385</x:v>
      </x:c>
      <x:c r="D1793" s="84" t="n">
        <x:f>C1793^2-'Resumen'!$B$5^3/3</x:f>
        <x:v>0.17626776919455117</x:v>
      </x:c>
      <x:c r="E1793" s="85" t="n">
        <x:f>D1793+'Resumen'!$B$5^3/3</x:f>
        <x:v>0.5096011025278845</x:v>
      </x:c>
    </x:row>
    <x:row r="1794">
      <x:c r="A1794" s="89" t="n">
        <x:v>1792</x:v>
      </x:c>
      <x:c r="B1794" s="80" t="n">
        <x:v>-0.8352080310305284</x:v>
      </x:c>
      <x:c r="C1794" s="84" t="n">
        <x:f>SQRT('Resumen'!$B$5^3/3)*B1794</x:f>
        <x:v>-0.48220758154481286</x:v>
      </x:c>
      <x:c r="D1794" s="84" t="n">
        <x:f>C1794^2-'Resumen'!$B$5^3/3</x:f>
        <x:v>-0.10080918163403596</x:v>
      </x:c>
      <x:c r="E1794" s="85" t="n">
        <x:f>D1794+'Resumen'!$B$5^3/3</x:f>
        <x:v>0.23252415169929735</x:v>
      </x:c>
    </x:row>
    <x:row r="1795">
      <x:c r="A1795" s="89" t="n">
        <x:v>1793</x:v>
      </x:c>
      <x:c r="B1795" s="80" t="n">
        <x:v>0.651930219284875</x:v>
      </x:c>
      <x:c r="C1795" s="84" t="n">
        <x:f>SQRT('Resumen'!$B$5^3/3)*B1795</x:f>
        <x:v>0.37639208759697435</x:v>
      </x:c>
      <x:c r="D1795" s="84" t="n">
        <x:f>C1795^2-'Resumen'!$B$5^3/3</x:f>
        <x:v>-0.1916623297277249</x:v>
      </x:c>
      <x:c r="E1795" s="85" t="n">
        <x:f>D1795+'Resumen'!$B$5^3/3</x:f>
        <x:v>0.14167100360560841</x:v>
      </x:c>
    </x:row>
    <x:row r="1796">
      <x:c r="A1796" s="89" t="n">
        <x:v>1794</x:v>
      </x:c>
      <x:c r="B1796" s="80" t="n">
        <x:v>2.5265988045713055</x:v>
      </x:c>
      <x:c r="C1796" s="84" t="n">
        <x:f>SQRT('Resumen'!$B$5^3/3)*B1796</x:f>
        <x:v>1.4587324999534297</x:v>
      </x:c>
      <x:c r="D1796" s="84" t="n">
        <x:f>C1796^2-'Resumen'!$B$5^3/3</x:f>
        <x:v>1.7945671730870496</x:v>
      </x:c>
      <x:c r="E1796" s="85" t="n">
        <x:f>D1796+'Resumen'!$B$5^3/3</x:f>
        <x:v>2.127900506420383</x:v>
      </x:c>
    </x:row>
    <x:row r="1797">
      <x:c r="A1797" s="89" t="n">
        <x:v>1795</x:v>
      </x:c>
      <x:c r="B1797" s="80" t="n">
        <x:v>-1.3743897840699861</x:v>
      </x:c>
      <x:c r="C1797" s="84" t="n">
        <x:f>SQRT('Resumen'!$B$5^3/3)*B1797</x:f>
        <x:v>-0.793504311804278</x:v>
      </x:c>
      <x:c r="D1797" s="84" t="n">
        <x:f>C1797^2-'Resumen'!$B$5^3/3</x:f>
        <x:v>0.2963157595186476</x:v>
      </x:c>
      <x:c r="E1797" s="85" t="n">
        <x:f>D1797+'Resumen'!$B$5^3/3</x:f>
        <x:v>0.6296490928519809</x:v>
      </x:c>
    </x:row>
    <x:row r="1798">
      <x:c r="A1798" s="89" t="n">
        <x:v>1796</x:v>
      </x:c>
      <x:c r="B1798" s="80" t="n">
        <x:v>-1.289483120296347</x:v>
      </x:c>
      <x:c r="C1798" s="84" t="n">
        <x:f>SQRT('Resumen'!$B$5^3/3)*B1798</x:f>
        <x:v>-0.7444834266185745</x:v>
      </x:c>
      <x:c r="D1798" s="84" t="n">
        <x:f>C1798^2-'Resumen'!$B$5^3/3</x:f>
        <x:v>0.22092223917640103</x:v>
      </x:c>
      <x:c r="E1798" s="85" t="n">
        <x:f>D1798+'Resumen'!$B$5^3/3</x:f>
        <x:v>0.5542555725097343</x:v>
      </x:c>
    </x:row>
    <x:row r="1799">
      <x:c r="A1799" s="89" t="n">
        <x:v>1797</x:v>
      </x:c>
      <x:c r="B1799" s="80" t="n">
        <x:v>0.357712980827286</x:v>
      </x:c>
      <x:c r="C1799" s="84" t="n">
        <x:f>SQRT('Resumen'!$B$5^3/3)*B1799</x:f>
        <x:v>0.20652568577325697</x:v>
      </x:c>
      <x:c r="D1799" s="84" t="n">
        <x:f>C1799^2-'Resumen'!$B$5^3/3</x:f>
        <x:v>-0.29068047444921924</x:v>
      </x:c>
      <x:c r="E1799" s="85" t="n">
        <x:f>D1799+'Resumen'!$B$5^3/3</x:f>
        <x:v>0.042652858884114075</x:v>
      </x:c>
    </x:row>
    <x:row r="1800">
      <x:c r="A1800" s="89" t="n">
        <x:v>1798</x:v>
      </x:c>
      <x:c r="B1800" s="80" t="n">
        <x:v>-3.090016738963736</x:v>
      </x:c>
      <x:c r="C1800" s="84" t="n">
        <x:f>SQRT('Resumen'!$B$5^3/3)*B1800</x:f>
        <x:v>-1.7840219960411623</x:v>
      </x:c>
      <x:c r="D1800" s="84" t="n">
        <x:f>C1800^2-'Resumen'!$B$5^3/3</x:f>
        <x:v>2.8494011490253595</x:v>
      </x:c>
      <x:c r="E1800" s="85" t="n">
        <x:f>D1800+'Resumen'!$B$5^3/3</x:f>
        <x:v>3.182734482358693</x:v>
      </x:c>
    </x:row>
    <x:row r="1801">
      <x:c r="A1801" s="89" t="n">
        <x:v>1799</x:v>
      </x:c>
      <x:c r="B1801" s="80" t="n">
        <x:v>-1.0472773941171194</x:v>
      </x:c>
      <x:c r="C1801" s="84" t="n">
        <x:f>SQRT('Resumen'!$B$5^3/3)*B1801</x:f>
        <x:v>-0.6046458854097286</x:v>
      </x:c>
      <x:c r="D1801" s="84" t="n">
        <x:f>C1801^2-'Resumen'!$B$5^3/3</x:f>
        <x:v>0.032263313409581384</x:v>
      </x:c>
      <x:c r="E1801" s="85" t="n">
        <x:f>D1801+'Resumen'!$B$5^3/3</x:f>
        <x:v>0.3655966467429147</x:v>
      </x:c>
    </x:row>
    <x:row r="1802">
      <x:c r="A1802" s="89" t="n">
        <x:v>1800</x:v>
      </x:c>
      <x:c r="B1802" s="80" t="n">
        <x:v>0.011187425367835133</x:v>
      </x:c>
      <x:c r="C1802" s="84" t="n">
        <x:f>SQRT('Resumen'!$B$5^3/3)*B1802</x:f>
        <x:v>0.0064590630476584615</x:v>
      </x:c>
      <x:c r="D1802" s="84" t="n">
        <x:f>C1802^2-'Resumen'!$B$5^3/3</x:f>
        <x:v>-0.3332916138378797</x:v>
      </x:c>
      <x:c r="E1802" s="85" t="n">
        <x:f>D1802+'Resumen'!$B$5^3/3</x:f>
        <x:v>0.000041719495453618194</x:v>
      </x:c>
    </x:row>
    <x:row r="1803">
      <x:c r="A1803" s="89" t="n">
        <x:v>1801</x:v>
      </x:c>
      <x:c r="B1803" s="80" t="n">
        <x:v>-0.22403512859608482</x:v>
      </x:c>
      <x:c r="C1803" s="84" t="n">
        <x:f>SQRT('Resumen'!$B$5^3/3)*B1803</x:f>
        <x:v>-0.129346741802882</x:v>
      </x:c>
      <x:c r="D1803" s="84" t="n">
        <x:f>C1803^2-'Resumen'!$B$5^3/3</x:f>
        <x:v>-0.31660275371831187</x:v>
      </x:c>
      <x:c r="E1803" s="85" t="n">
        <x:f>D1803+'Resumen'!$B$5^3/3</x:f>
        <x:v>0.016730579615021446</x:v>
      </x:c>
    </x:row>
    <x:row r="1804">
      <x:c r="A1804" s="89" t="n">
        <x:v>1802</x:v>
      </x:c>
      <x:c r="B1804" s="80" t="n">
        <x:v>-0.05320158163252549</x:v>
      </x:c>
      <x:c r="C1804" s="84" t="n">
        <x:f>SQRT('Resumen'!$B$5^3/3)*B1804</x:f>
        <x:v>-0.03071594747685244</x:v>
      </x:c>
      <x:c r="D1804" s="84" t="n">
        <x:f>C1804^2-'Resumen'!$B$5^3/3</x:f>
        <x:v>-0.33238986390393255</x:v>
      </x:c>
      <x:c r="E1804" s="85" t="n">
        <x:f>D1804+'Resumen'!$B$5^3/3</x:f>
        <x:v>0.0009434694294007673</x:v>
      </x:c>
    </x:row>
    <x:row r="1805">
      <x:c r="A1805" s="89" t="n">
        <x:v>1803</x:v>
      </x:c>
      <x:c r="B1805" s="80" t="n">
        <x:v>-0.3608819157664134</x:v>
      </x:c>
      <x:c r="C1805" s="84" t="n">
        <x:f>SQRT('Resumen'!$B$5^3/3)*B1805</x:f>
        <x:v>-0.2083552712134066</x:v>
      </x:c>
      <x:c r="D1805" s="84" t="n">
        <x:f>C1805^2-'Resumen'!$B$5^3/3</x:f>
        <x:v>-0.2899214142909211</x:v>
      </x:c>
      <x:c r="E1805" s="85" t="n">
        <x:f>D1805+'Resumen'!$B$5^3/3</x:f>
        <x:v>0.043411919042412206</x:v>
      </x:c>
    </x:row>
    <x:row r="1806">
      <x:c r="A1806" s="89" t="n">
        <x:v>1804</x:v>
      </x:c>
      <x:c r="B1806" s="80" t="n">
        <x:v>0.38574648568435105</x:v>
      </x:c>
      <x:c r="C1806" s="84" t="n">
        <x:f>SQRT('Resumen'!$B$5^3/3)*B1806</x:f>
        <x:v>0.2227108373488122</x:v>
      </x:c>
      <x:c r="D1806" s="84" t="n">
        <x:f>C1806^2-'Resumen'!$B$5^3/3</x:f>
        <x:v>-0.28373321626072423</x:v>
      </x:c>
      <x:c r="E1806" s="85" t="n">
        <x:f>D1806+'Resumen'!$B$5^3/3</x:f>
        <x:v>0.049600117072609085</x:v>
      </x:c>
    </x:row>
    <x:row r="1807">
      <x:c r="A1807" s="89" t="n">
        <x:v>1805</x:v>
      </x:c>
      <x:c r="B1807" s="80" t="n">
        <x:v>1.025514722885982</x:v>
      </x:c>
      <x:c r="C1807" s="84" t="n">
        <x:f>SQRT('Resumen'!$B$5^3/3)*B1807</x:f>
        <x:v>0.5920812013161462</x:v>
      </x:c>
      <x:c r="D1807" s="84" t="n">
        <x:f>C1807^2-'Resumen'!$B$5^3/3</x:f>
        <x:v>0.01722681561863748</x:v>
      </x:c>
      <x:c r="E1807" s="85" t="n">
        <x:f>D1807+'Resumen'!$B$5^3/3</x:f>
        <x:v>0.3505601489519708</x:v>
      </x:c>
    </x:row>
    <x:row r="1808">
      <x:c r="A1808" s="89" t="n">
        <x:v>1806</x:v>
      </x:c>
      <x:c r="B1808" s="80" t="n">
        <x:v>1.5099184216489843</x:v>
      </x:c>
      <x:c r="C1808" s="84" t="n">
        <x:f>SQRT('Resumen'!$B$5^3/3)*B1808</x:f>
        <x:v>0.8717518071934158</x:v>
      </x:c>
      <x:c r="D1808" s="84" t="n">
        <x:f>C1808^2-'Resumen'!$B$5^3/3</x:f>
        <x:v>0.4266178800116532</x:v>
      </x:c>
      <x:c r="E1808" s="85" t="n">
        <x:f>D1808+'Resumen'!$B$5^3/3</x:f>
        <x:v>0.7599512133449865</x:v>
      </x:c>
    </x:row>
    <x:row r="1809">
      <x:c r="A1809" s="89" t="n">
        <x:v>1807</x:v>
      </x:c>
      <x:c r="B1809" s="80" t="n">
        <x:v>-1.428435406499919</x:v>
      </x:c>
      <x:c r="C1809" s="84" t="n">
        <x:f>SQRT('Resumen'!$B$5^3/3)*B1809</x:f>
        <x:v>-0.8247075664627207</x:v>
      </x:c>
      <x:c r="D1809" s="84" t="n">
        <x:f>C1809^2-'Resumen'!$B$5^3/3</x:f>
        <x:v>0.34680923684752957</x:v>
      </x:c>
      <x:c r="E1809" s="85" t="n">
        <x:f>D1809+'Resumen'!$B$5^3/3</x:f>
        <x:v>0.6801425701808629</x:v>
      </x:c>
    </x:row>
    <x:row r="1810">
      <x:c r="A1810" s="89" t="n">
        <x:v>1808</x:v>
      </x:c>
      <x:c r="B1810" s="80" t="n">
        <x:v>0.0009820116170593239</x:v>
      </x:c>
      <x:c r="C1810" s="84" t="n">
        <x:f>SQRT('Resumen'!$B$5^3/3)*B1810</x:f>
        <x:v>0.0005669646714565403</x:v>
      </x:c>
      <x:c r="D1810" s="84" t="n">
        <x:f>C1810^2-'Resumen'!$B$5^3/3</x:f>
        <x:v>-0.3333330118843946</x:v>
      </x:c>
      <x:c r="E1810" s="85" t="n">
        <x:f>D1810+'Resumen'!$B$5^3/3</x:f>
        <x:v>3.2144893868935043e-7</x:v>
      </x:c>
    </x:row>
    <x:row r="1811">
      <x:c r="A1811" s="89" t="n">
        <x:v>1809</x:v>
      </x:c>
      <x:c r="B1811" s="80" t="n">
        <x:v>-1.8428780109656002</x:v>
      </x:c>
      <x:c r="C1811" s="84" t="n">
        <x:f>SQRT('Resumen'!$B$5^3/3)*B1811</x:f>
        <x:v>-1.0639861157146313</x:v>
      </x:c>
      <x:c r="D1811" s="84" t="n">
        <x:f>C1811^2-'Resumen'!$B$5^3/3</x:f>
        <x:v>0.7987331211001756</x:v>
      </x:c>
      <x:c r="E1811" s="85" t="n">
        <x:f>D1811+'Resumen'!$B$5^3/3</x:f>
        <x:v>1.1320664544335088</x:v>
      </x:c>
    </x:row>
    <x:row r="1812">
      <x:c r="A1812" s="89" t="n">
        <x:v>1810</x:v>
      </x:c>
      <x:c r="B1812" s="80" t="n">
        <x:v>0.7974802320063493</x:v>
      </x:c>
      <x:c r="C1812" s="84" t="n">
        <x:f>SQRT('Resumen'!$B$5^3/3)*B1812</x:f>
        <x:v>0.460425426622271</x:v>
      </x:c>
      <x:c r="D1812" s="84" t="n">
        <x:f>C1812^2-'Resumen'!$B$5^3/3</x:f>
        <x:v>-0.12134175985303308</x:v>
      </x:c>
      <x:c r="E1812" s="85" t="n">
        <x:f>D1812+'Resumen'!$B$5^3/3</x:f>
        <x:v>0.21199157348030023</x:v>
      </x:c>
    </x:row>
    <x:row r="1813">
      <x:c r="A1813" s="89" t="n">
        <x:v>1811</x:v>
      </x:c>
      <x:c r="B1813" s="80" t="n">
        <x:v>-0.6572031363107882</x:v>
      </x:c>
      <x:c r="C1813" s="84" t="n">
        <x:f>SQRT('Resumen'!$B$5^3/3)*B1813</x:f>
        <x:v>-0.3794364076612999</x:v>
      </x:c>
      <x:c r="D1813" s="84" t="n">
        <x:f>C1813^2-'Resumen'!$B$5^3/3</x:f>
        <x:v>-0.18936134587442116</x:v>
      </x:c>
      <x:c r="E1813" s="85" t="n">
        <x:f>D1813+'Resumen'!$B$5^3/3</x:f>
        <x:v>0.14397198745891215</x:v>
      </x:c>
    </x:row>
    <x:row r="1814">
      <x:c r="A1814" s="89" t="n">
        <x:v>1812</x:v>
      </x:c>
      <x:c r="B1814" s="80" t="n">
        <x:v>0.3710495012418535</x:v>
      </x:c>
      <x:c r="C1814" s="84" t="n">
        <x:f>SQRT('Resumen'!$B$5^3/3)*B1814</x:f>
        <x:v>0.21422552942466047</x:v>
      </x:c>
      <x:c r="D1814" s="84" t="n">
        <x:f>C1814^2-'Resumen'!$B$5^3/3</x:f>
        <x:v>-0.2874407558760572</x:v>
      </x:c>
      <x:c r="E1814" s="85" t="n">
        <x:f>D1814+'Resumen'!$B$5^3/3</x:f>
        <x:v>0.045892577457276096</x:v>
      </x:c>
    </x:row>
    <x:row r="1815">
      <x:c r="A1815" s="89" t="n">
        <x:v>1813</x:v>
      </x:c>
      <x:c r="B1815" s="80" t="n">
        <x:v>-0.8524349348242333</x:v>
      </x:c>
      <x:c r="C1815" s="84" t="n">
        <x:f>SQRT('Resumen'!$B$5^3/3)*B1815</x:f>
        <x:v>-0.49215353908741216</x:v>
      </x:c>
      <x:c r="D1815" s="84" t="n">
        <x:f>C1815^2-'Resumen'!$B$5^3/3</x:f>
        <x:v>-0.0911182272970684</x:v>
      </x:c>
      <x:c r="E1815" s="85" t="n">
        <x:f>D1815+'Resumen'!$B$5^3/3</x:f>
        <x:v>0.24221510603626492</x:v>
      </x:c>
    </x:row>
    <x:row r="1816">
      <x:c r="A1816" s="89" t="n">
        <x:v>1814</x:v>
      </x:c>
      <x:c r="B1816" s="80" t="n">
        <x:v>0.5942516376440763</x:v>
      </x:c>
      <x:c r="C1816" s="84" t="n">
        <x:f>SQRT('Resumen'!$B$5^3/3)*B1816</x:f>
        <x:v>0.3430913429601834</x:v>
      </x:c>
      <x:c r="D1816" s="84" t="n">
        <x:f>C1816^2-'Resumen'!$B$5^3/3</x:f>
        <x:v>-0.21562166371911112</x:v>
      </x:c>
      <x:c r="E1816" s="85" t="n">
        <x:f>D1816+'Resumen'!$B$5^3/3</x:f>
        <x:v>0.11771166961422219</x:v>
      </x:c>
    </x:row>
    <x:row r="1817">
      <x:c r="A1817" s="89" t="n">
        <x:v>1815</x:v>
      </x:c>
      <x:c r="B1817" s="80" t="n">
        <x:v>1.3845521105797298</x:v>
      </x:c>
      <x:c r="C1817" s="84" t="n">
        <x:f>SQRT('Resumen'!$B$5^3/3)*B1817</x:f>
        <x:v>0.7993715337502715</x:v>
      </x:c>
      <x:c r="D1817" s="84" t="n">
        <x:f>C1817^2-'Resumen'!$B$5^3/3</x:f>
        <x:v>0.30566151563692806</x:v>
      </x:c>
      <x:c r="E1817" s="85" t="n">
        <x:f>D1817+'Resumen'!$B$5^3/3</x:f>
        <x:v>0.6389948489702614</x:v>
      </x:c>
    </x:row>
    <x:row r="1818">
      <x:c r="A1818" s="89" t="n">
        <x:v>1816</x:v>
      </x:c>
      <x:c r="B1818" s="80" t="n">
        <x:v>0.623747433473005</x:v>
      </x:c>
      <x:c r="C1818" s="84" t="n">
        <x:f>SQRT('Resumen'!$B$5^3/3)*B1818</x:f>
        <x:v>0.36012074862197757</x:v>
      </x:c>
      <x:c r="D1818" s="84" t="n">
        <x:f>C1818^2-'Resumen'!$B$5^3/3</x:f>
        <x:v>-0.20364637974527974</x:v>
      </x:c>
      <x:c r="E1818" s="85" t="n">
        <x:f>D1818+'Resumen'!$B$5^3/3</x:f>
        <x:v>0.12968695358805357</x:v>
      </x:c>
    </x:row>
    <x:row r="1819">
      <x:c r="A1819" s="89" t="n">
        <x:v>1817</x:v>
      </x:c>
      <x:c r="B1819" s="80" t="n">
        <x:v>0.5465115548105134</x:v>
      </x:c>
      <x:c r="C1819" s="84" t="n">
        <x:f>SQRT('Resumen'!$B$5^3/3)*B1819</x:f>
        <x:v>0.3155285932850908</x:v>
      </x:c>
      <x:c r="D1819" s="84" t="n">
        <x:f>C1819^2-'Resumen'!$B$5^3/3</x:f>
        <x:v>-0.23377504015286504</x:v>
      </x:c>
      <x:c r="E1819" s="85" t="n">
        <x:f>D1819+'Resumen'!$B$5^3/3</x:f>
        <x:v>0.09955829318046827</x:v>
      </x:c>
    </x:row>
    <x:row r="1820">
      <x:c r="A1820" s="89" t="n">
        <x:v>1818</x:v>
      </x:c>
      <x:c r="B1820" s="80" t="n">
        <x:v>-0.5065801663962264</x:v>
      </x:c>
      <x:c r="C1820" s="84" t="n">
        <x:f>SQRT('Resumen'!$B$5^3/3)*B1820</x:f>
        <x:v>-0.2924741954349867</x:v>
      </x:c>
      <x:c r="D1820" s="84" t="n">
        <x:f>C1820^2-'Resumen'!$B$5^3/3</x:f>
        <x:v>-0.2477921783379905</x:v>
      </x:c>
      <x:c r="E1820" s="85" t="n">
        <x:f>D1820+'Resumen'!$B$5^3/3</x:f>
        <x:v>0.08554115499534282</x:v>
      </x:c>
    </x:row>
    <x:row r="1821">
      <x:c r="A1821" s="89" t="n">
        <x:v>1819</x:v>
      </x:c>
      <x:c r="B1821" s="80" t="n">
        <x:v>1.7319143361085494</x:v>
      </x:c>
      <x:c r="C1821" s="84" t="n">
        <x:f>SQRT('Resumen'!$B$5^3/3)*B1821</x:f>
        <x:v>0.9999212081656429</x:v>
      </x:c>
      <x:c r="D1821" s="84" t="n">
        <x:f>C1821^2-'Resumen'!$B$5^3/3</x:f>
        <x:v>0.6665090892061056</x:v>
      </x:c>
      <x:c r="E1821" s="85" t="n">
        <x:f>D1821+'Resumen'!$B$5^3/3</x:f>
        <x:v>0.9998424225394389</x:v>
      </x:c>
    </x:row>
    <x:row r="1822">
      <x:c r="A1822" s="89" t="n">
        <x:v>1820</x:v>
      </x:c>
      <x:c r="B1822" s="80" t="n">
        <x:v>1.9997401548802511</x:v>
      </x:c>
      <x:c r="C1822" s="84" t="n">
        <x:f>SQRT('Resumen'!$B$5^3/3)*B1822</x:f>
        <x:v>1.1545505167294168</x:v>
      </x:c>
      <x:c r="D1822" s="84" t="n">
        <x:f>C1822^2-'Resumen'!$B$5^3/3</x:f>
        <x:v>0.9996535623468301</x:v>
      </x:c>
      <x:c r="E1822" s="85" t="n">
        <x:f>D1822+'Resumen'!$B$5^3/3</x:f>
        <x:v>1.3329868956801634</x:v>
      </x:c>
    </x:row>
    <x:row r="1823">
      <x:c r="A1823" s="89" t="n">
        <x:v>1821</x:v>
      </x:c>
      <x:c r="B1823" s="80" t="n">
        <x:v>2.605982686919227</x:v>
      </x:c>
      <x:c r="C1823" s="84" t="n">
        <x:f>SQRT('Resumen'!$B$5^3/3)*B1823</x:f>
        <x:v>1.5045648057963197</x:v>
      </x:c>
      <x:c r="D1823" s="84" t="n">
        <x:f>C1823^2-'Resumen'!$B$5^3/3</x:f>
        <x:v>1.930381921507584</x:v>
      </x:c>
      <x:c r="E1823" s="85" t="n">
        <x:f>D1823+'Resumen'!$B$5^3/3</x:f>
        <x:v>2.263715254840917</x:v>
      </x:c>
    </x:row>
    <x:row r="1824">
      <x:c r="A1824" s="89" t="n">
        <x:v>1822</x:v>
      </x:c>
      <x:c r="B1824" s="80" t="n">
        <x:v>-0.8038856279648537</x:v>
      </x:c>
      <x:c r="C1824" s="84" t="n">
        <x:f>SQRT('Resumen'!$B$5^3/3)*B1824</x:f>
        <x:v>-0.46412358370317963</x:v>
      </x:c>
      <x:c r="D1824" s="84" t="n">
        <x:f>C1824^2-'Resumen'!$B$5^3/3</x:f>
        <x:v>-0.11792263238385092</x:v>
      </x:c>
      <x:c r="E1824" s="85" t="n">
        <x:f>D1824+'Resumen'!$B$5^3/3</x:f>
        <x:v>0.2154107009494824</x:v>
      </x:c>
    </x:row>
    <x:row r="1825">
      <x:c r="A1825" s="89" t="n">
        <x:v>1823</x:v>
      </x:c>
      <x:c r="B1825" s="80" t="n">
        <x:v>-1.2339022963894704</x:v>
      </x:c>
      <x:c r="C1825" s="84" t="n">
        <x:f>SQRT('Resumen'!$B$5^3/3)*B1825</x:f>
        <x:v>-0.7123938229741581</x:v>
      </x:c>
      <x:c r="D1825" s="84" t="n">
        <x:f>C1825^2-'Resumen'!$B$5^3/3</x:f>
        <x:v>0.17417162567840277</x:v>
      </x:c>
      <x:c r="E1825" s="85" t="n">
        <x:f>D1825+'Resumen'!$B$5^3/3</x:f>
        <x:v>0.5075049590117361</x:v>
      </x:c>
    </x:row>
    <x:row r="1826">
      <x:c r="A1826" s="89" t="n">
        <x:v>1824</x:v>
      </x:c>
      <x:c r="B1826" s="80" t="n">
        <x:v>-0.9590533524616854</x:v>
      </x:c>
      <x:c r="C1826" s="84" t="n">
        <x:f>SQRT('Resumen'!$B$5^3/3)*B1826</x:f>
        <x:v>-0.5537097112109671</x:v>
      </x:c>
      <x:c r="D1826" s="84" t="n">
        <x:f>C1826^2-'Resumen'!$B$5^3/3</x:f>
        <x:v>-0.02673888904400068</x:v>
      </x:c>
      <x:c r="E1826" s="85" t="n">
        <x:f>D1826+'Resumen'!$B$5^3/3</x:f>
        <x:v>0.30659444428933263</x:v>
      </x:c>
    </x:row>
    <x:row r="1827">
      <x:c r="A1827" s="89" t="n">
        <x:v>1825</x:v>
      </x:c>
      <x:c r="B1827" s="80" t="n">
        <x:v>-1.7075879457889294</x:v>
      </x:c>
      <x:c r="C1827" s="84" t="n">
        <x:f>SQRT('Resumen'!$B$5^3/3)*B1827</x:f>
        <x:v>-0.9858763601661984</x:v>
      </x:c>
      <x:c r="D1827" s="84" t="n">
        <x:f>C1827^2-'Resumen'!$B$5^3/3</x:f>
        <x:v>0.6386188642012185</x:v>
      </x:c>
      <x:c r="E1827" s="85" t="n">
        <x:f>D1827+'Resumen'!$B$5^3/3</x:f>
        <x:v>0.9719521975345518</x:v>
      </x:c>
    </x:row>
    <x:row r="1828">
      <x:c r="A1828" s="89" t="n">
        <x:v>1826</x:v>
      </x:c>
      <x:c r="B1828" s="80" t="n">
        <x:v>-0.3738887924418455</x:v>
      </x:c>
      <x:c r="C1828" s="84" t="n">
        <x:f>SQRT('Resumen'!$B$5^3/3)*B1828</x:f>
        <x:v>-0.2158647949632836</x:v>
      </x:c>
      <x:c r="D1828" s="84" t="n">
        <x:f>C1828^2-'Resumen'!$B$5^3/3</x:f>
        <x:v>-0.28673572362879285</x:v>
      </x:c>
      <x:c r="E1828" s="85" t="n">
        <x:f>D1828+'Resumen'!$B$5^3/3</x:f>
        <x:v>0.046597609704540466</x:v>
      </x:c>
    </x:row>
    <x:row r="1829">
      <x:c r="A1829" s="89" t="n">
        <x:v>1827</x:v>
      </x:c>
      <x:c r="B1829" s="80" t="n">
        <x:v>-0.32923838441827474</x:v>
      </x:c>
      <x:c r="C1829" s="84" t="n">
        <x:f>SQRT('Resumen'!$B$5^3/3)*B1829</x:f>
        <x:v>-0.1900858698714484</x:v>
      </x:c>
      <x:c r="D1829" s="84" t="n">
        <x:f>C1829^2-'Resumen'!$B$5^3/3</x:f>
        <x:v>-0.2972006954085481</x:v>
      </x:c>
      <x:c r="E1829" s="85" t="n">
        <x:f>D1829+'Resumen'!$B$5^3/3</x:f>
        <x:v>0.036132637924785216</x:v>
      </x:c>
    </x:row>
    <x:row r="1830">
      <x:c r="A1830" s="89" t="n">
        <x:v>1828</x:v>
      </x:c>
      <x:c r="B1830" s="80" t="n">
        <x:v>0.42349791918010876</x:v>
      </x:c>
      <x:c r="C1830" s="84" t="n">
        <x:f>SQRT('Resumen'!$B$5^3/3)*B1830</x:f>
        <x:v>0.24450663763988215</x:v>
      </x:c>
      <x:c r="D1830" s="84" t="n">
        <x:f>C1830^2-'Resumen'!$B$5^3/3</x:f>
        <x:v>-0.2735498374833727</x:v>
      </x:c>
      <x:c r="E1830" s="85" t="n">
        <x:f>D1830+'Resumen'!$B$5^3/3</x:f>
        <x:v>0.05978349584996062</x:v>
      </x:c>
    </x:row>
    <x:row r="1831">
      <x:c r="A1831" s="89" t="n">
        <x:v>1829</x:v>
      </x:c>
      <x:c r="B1831" s="80" t="n">
        <x:v>-1.134228664872577</x:v>
      </x:c>
      <x:c r="C1831" s="84" t="n">
        <x:f>SQRT('Resumen'!$B$5^3/3)*B1831</x:f>
        <x:v>-0.6548472249867722</x:v>
      </x:c>
      <x:c r="D1831" s="84" t="n">
        <x:f>C1831^2-'Resumen'!$B$5^3/3</x:f>
        <x:v>0.0954915547395429</x:v>
      </x:c>
      <x:c r="E1831" s="85" t="n">
        <x:f>D1831+'Resumen'!$B$5^3/3</x:f>
        <x:v>0.4288248880728762</x:v>
      </x:c>
    </x:row>
    <x:row r="1832">
      <x:c r="A1832" s="89" t="n">
        <x:v>1830</x:v>
      </x:c>
      <x:c r="B1832" s="80" t="n">
        <x:v>0.9199979277716445</x:v>
      </x:c>
      <x:c r="C1832" s="84" t="n">
        <x:f>SQRT('Resumen'!$B$5^3/3)*B1832</x:f>
        <x:v>0.5311610512528567</x:v>
      </x:c>
      <x:c r="D1832" s="84" t="n">
        <x:f>C1832^2-'Resumen'!$B$5^3/3</x:f>
        <x:v>-0.05120127096529342</x:v>
      </x:c>
      <x:c r="E1832" s="85" t="n">
        <x:f>D1832+'Resumen'!$B$5^3/3</x:f>
        <x:v>0.2821320623680399</x:v>
      </x:c>
    </x:row>
    <x:row r="1833">
      <x:c r="A1833" s="89" t="n">
        <x:v>1831</x:v>
      </x:c>
      <x:c r="B1833" s="80" t="n">
        <x:v>1.6041516094683923</x:v>
      </x:c>
      <x:c r="C1833" s="84" t="n">
        <x:f>SQRT('Resumen'!$B$5^3/3)*B1833</x:f>
        <x:v>0.9261573635475476</x:v>
      </x:c>
      <x:c r="D1833" s="84" t="n">
        <x:f>C1833^2-'Resumen'!$B$5^3/3</x:f>
        <x:v>0.5244341287200109</x:v>
      </x:c>
      <x:c r="E1833" s="85" t="n">
        <x:f>D1833+'Resumen'!$B$5^3/3</x:f>
        <x:v>0.8577674620533442</x:v>
      </x:c>
    </x:row>
    <x:row r="1834">
      <x:c r="A1834" s="89" t="n">
        <x:v>1832</x:v>
      </x:c>
      <x:c r="B1834" s="80" t="n">
        <x:v>-0.460689194731451</x:v>
      </x:c>
      <x:c r="C1834" s="84" t="n">
        <x:f>SQRT('Resumen'!$B$5^3/3)*B1834</x:f>
        <x:v>-0.2659790305909551</x:v>
      </x:c>
      <x:c r="D1834" s="84" t="n">
        <x:f>C1834^2-'Resumen'!$B$5^3/3</x:f>
        <x:v>-0.26258848861922907</x:v>
      </x:c>
      <x:c r="E1834" s="85" t="n">
        <x:f>D1834+'Resumen'!$B$5^3/3</x:f>
        <x:v>0.07074484471410425</x:v>
      </x:c>
    </x:row>
    <x:row r="1835">
      <x:c r="A1835" s="89" t="n">
        <x:v>1833</x:v>
      </x:c>
      <x:c r="B1835" s="80" t="n">
        <x:v>-1.700063217918816</x:v>
      </x:c>
      <x:c r="C1835" s="84" t="n">
        <x:f>SQRT('Resumen'!$B$5^3/3)*B1835</x:f>
        <x:v>-0.9815319565048097</x:v>
      </x:c>
      <x:c r="D1835" s="84" t="n">
        <x:f>C1835^2-'Resumen'!$B$5^3/3</x:f>
        <x:v>0.6300716483068265</x:v>
      </x:c>
      <x:c r="E1835" s="85" t="n">
        <x:f>D1835+'Resumen'!$B$5^3/3</x:f>
        <x:v>0.9634049816401598</x:v>
      </x:c>
    </x:row>
    <x:row r="1836">
      <x:c r="A1836" s="89" t="n">
        <x:v>1834</x:v>
      </x:c>
      <x:c r="B1836" s="80" t="n">
        <x:v>-1.040964308542235</x:v>
      </x:c>
      <x:c r="C1836" s="84" t="n">
        <x:f>SQRT('Resumen'!$B$5^3/3)*B1836</x:f>
        <x:v>-0.601001023753652</x:v>
      </x:c>
      <x:c r="D1836" s="84" t="n">
        <x:f>C1836^2-'Resumen'!$B$5^3/3</x:f>
        <x:v>0.027868897219604505</x:v>
      </x:c>
      <x:c r="E1836" s="85" t="n">
        <x:f>D1836+'Resumen'!$B$5^3/3</x:f>
        <x:v>0.3612022305529378</x:v>
      </x:c>
    </x:row>
    <x:row r="1837">
      <x:c r="A1837" s="89" t="n">
        <x:v>1835</x:v>
      </x:c>
      <x:c r="B1837" s="80" t="n">
        <x:v>-0.5409094921408186</x:v>
      </x:c>
      <x:c r="C1837" s="84" t="n">
        <x:f>SQRT('Resumen'!$B$5^3/3)*B1837</x:f>
        <x:v>-0.31229424089472535</x:v>
      </x:c>
      <x:c r="D1837" s="84" t="n">
        <x:f>C1837^2-'Resumen'!$B$5^3/3</x:f>
        <x:v>-0.23580564043732055</x:v>
      </x:c>
      <x:c r="E1837" s="85" t="n">
        <x:f>D1837+'Resumen'!$B$5^3/3</x:f>
        <x:v>0.09752769289601276</x:v>
      </x:c>
    </x:row>
    <x:row r="1838">
      <x:c r="A1838" s="89" t="n">
        <x:v>1836</x:v>
      </x:c>
      <x:c r="B1838" s="80" t="n">
        <x:v>-0.5671659945577701</x:v>
      </x:c>
      <x:c r="C1838" s="84" t="n">
        <x:f>SQRT('Resumen'!$B$5^3/3)*B1838</x:f>
        <x:v>-0.32745343963313034</x:v>
      </x:c>
      <x:c r="D1838" s="84" t="n">
        <x:f>C1838^2-'Resumen'!$B$5^3/3</x:f>
        <x:v>-0.2261075782057652</x:v>
      </x:c>
      <x:c r="E1838" s="85" t="n">
        <x:f>D1838+'Resumen'!$B$5^3/3</x:f>
        <x:v>0.10722575512756813</x:v>
      </x:c>
    </x:row>
    <x:row r="1839">
      <x:c r="A1839" s="89" t="n">
        <x:v>1837</x:v>
      </x:c>
      <x:c r="B1839" s="80" t="n">
        <x:v>-0.35438126766271477</x:v>
      </x:c>
      <x:c r="C1839" s="84" t="n">
        <x:f>SQRT('Resumen'!$B$5^3/3)*B1839</x:f>
        <x:v>-0.2046021202808292</x:v>
      </x:c>
      <x:c r="D1839" s="84" t="n">
        <x:f>C1839^2-'Resumen'!$B$5^3/3</x:f>
        <x:v>-0.2914713057099224</x:v>
      </x:c>
      <x:c r="E1839" s="85" t="n">
        <x:f>D1839+'Resumen'!$B$5^3/3</x:f>
        <x:v>0.0418620276234109</x:v>
      </x:c>
    </x:row>
    <x:row r="1840">
      <x:c r="A1840" s="89" t="n">
        <x:v>1838</x:v>
      </x:c>
      <x:c r="B1840" s="80" t="n">
        <x:v>-0.7059530827393301</x:v>
      </x:c>
      <x:c r="C1840" s="84" t="n">
        <x:f>SQRT('Resumen'!$B$5^3/3)*B1840</x:f>
        <x:v>-0.40758220235479836</x:v>
      </x:c>
      <x:c r="D1840" s="84" t="n">
        <x:f>C1840^2-'Resumen'!$B$5^3/3</x:f>
        <x:v>-0.1672100816569455</x:v>
      </x:c>
      <x:c r="E1840" s="85" t="n">
        <x:f>D1840+'Resumen'!$B$5^3/3</x:f>
        <x:v>0.1661232516763878</x:v>
      </x:c>
    </x:row>
    <x:row r="1841">
      <x:c r="A1841" s="89" t="n">
        <x:v>1839</x:v>
      </x:c>
      <x:c r="B1841" s="80" t="n">
        <x:v>0.7752661833329952</x:v>
      </x:c>
      <x:c r="C1841" s="84" t="n">
        <x:f>SQRT('Resumen'!$B$5^3/3)*B1841</x:f>
        <x:v>0.44760013964091855</x:v>
      </x:c>
      <x:c r="D1841" s="84" t="n">
        <x:f>C1841^2-'Resumen'!$B$5^3/3</x:f>
        <x:v>-0.13298744832676354</x:v>
      </x:c>
      <x:c r="E1841" s="85" t="n">
        <x:f>D1841+'Resumen'!$B$5^3/3</x:f>
        <x:v>0.20034588500656977</x:v>
      </x:c>
    </x:row>
    <x:row r="1842">
      <x:c r="A1842" s="89" t="n">
        <x:v>1840</x:v>
      </x:c>
      <x:c r="B1842" s="80" t="n">
        <x:v>0.12363202813502944</x:v>
      </x:c>
      <x:c r="C1842" s="84" t="n">
        <x:f>SQRT('Resumen'!$B$5^3/3)*B1842</x:f>
        <x:v>0.07137898472421862</x:v>
      </x:c>
      <x:c r="D1842" s="84" t="n">
        <x:f>C1842^2-'Resumen'!$B$5^3/3</x:f>
        <x:v>-0.3282383738730731</x:v>
      </x:c>
      <x:c r="E1842" s="85" t="n">
        <x:f>D1842+'Resumen'!$B$5^3/3</x:f>
        <x:v>0.005094959460260229</x:v>
      </x:c>
    </x:row>
    <x:row r="1843">
      <x:c r="A1843" s="89" t="n">
        <x:v>1841</x:v>
      </x:c>
      <x:c r="B1843" s="80" t="n">
        <x:v>1.7238441332566943</x:v>
      </x:c>
      <x:c r="C1843" s="84" t="n">
        <x:f>SQRT('Resumen'!$B$5^3/3)*B1843</x:f>
        <x:v>0.9952618743767095</x:v>
      </x:c>
      <x:c r="D1843" s="84" t="n">
        <x:f>C1843^2-'Resumen'!$B$5^3/3</x:f>
        <x:v>0.657212865254508</x:v>
      </x:c>
      <x:c r="E1843" s="85" t="n">
        <x:f>D1843+'Resumen'!$B$5^3/3</x:f>
        <x:v>0.9905461985878412</x:v>
      </x:c>
    </x:row>
    <x:row r="1844">
      <x:c r="A1844" s="89" t="n">
        <x:v>1842</x:v>
      </x:c>
      <x:c r="B1844" s="80" t="n">
        <x:v>-0.09145016970473464</x:v>
      </x:c>
      <x:c r="C1844" s="84" t="n">
        <x:f>SQRT('Resumen'!$B$5^3/3)*B1844</x:f>
        <x:v>-0.0527987800964655</x:v>
      </x:c>
      <x:c r="D1844" s="84" t="n">
        <x:f>C1844^2-'Resumen'!$B$5^3/3</x:f>
        <x:v>-0.3305456221536584</x:v>
      </x:c>
      <x:c r="E1844" s="85" t="n">
        <x:f>D1844+'Resumen'!$B$5^3/3</x:f>
        <x:v>0.002787711179674912</x:v>
      </x:c>
    </x:row>
    <x:row r="1845">
      <x:c r="A1845" s="89" t="n">
        <x:v>1843</x:v>
      </x:c>
      <x:c r="B1845" s="80" t="n">
        <x:v>1.3241504517863212</x:v>
      </x:c>
      <x:c r="C1845" s="84" t="n">
        <x:f>SQRT('Resumen'!$B$5^3/3)*B1845</x:f>
        <x:v>0.7644986197863971</x:v>
      </x:c>
      <x:c r="D1845" s="84" t="n">
        <x:f>C1845^2-'Resumen'!$B$5^3/3</x:f>
        <x:v>0.2511248063219728</x:v>
      </x:c>
      <x:c r="E1845" s="85" t="n">
        <x:f>D1845+'Resumen'!$B$5^3/3</x:f>
        <x:v>0.5844581396553061</x:v>
      </x:c>
    </x:row>
    <x:row r="1846">
      <x:c r="A1846" s="89" t="n">
        <x:v>1844</x:v>
      </x:c>
      <x:c r="B1846" s="80" t="n">
        <x:v>-0.4589808930641447</x:v>
      </x:c>
      <x:c r="C1846" s="84" t="n">
        <x:f>SQRT('Resumen'!$B$5^3/3)*B1846</x:f>
        <x:v>-0.26499274216347873</x:v>
      </x:c>
      <x:c r="D1846" s="84" t="n">
        <x:f>C1846^2-'Resumen'!$B$5^3/3</x:f>
        <x:v>-0.26311217993401337</x:v>
      </x:c>
      <x:c r="E1846" s="85" t="n">
        <x:f>D1846+'Resumen'!$B$5^3/3</x:f>
        <x:v>0.07022115339931995</x:v>
      </x:c>
    </x:row>
    <x:row r="1847">
      <x:c r="A1847" s="89" t="n">
        <x:v>1845</x:v>
      </x:c>
      <x:c r="B1847" s="80" t="n">
        <x:v>-0.7852012723856319</x:v>
      </x:c>
      <x:c r="C1847" s="84" t="n">
        <x:f>SQRT('Resumen'!$B$5^3/3)*B1847</x:f>
        <x:v>-0.4533361659798812</x:v>
      </x:c>
      <x:c r="D1847" s="84" t="n">
        <x:f>C1847^2-'Resumen'!$B$5^3/3</x:f>
        <x:v>-0.12781965394799494</x:v>
      </x:c>
      <x:c r="E1847" s="85" t="n">
        <x:f>D1847+'Resumen'!$B$5^3/3</x:f>
        <x:v>0.20551367938533838</x:v>
      </x:c>
    </x:row>
    <x:row r="1848">
      <x:c r="A1848" s="89" t="n">
        <x:v>1846</x:v>
      </x:c>
      <x:c r="B1848" s="80" t="n">
        <x:v>1.8585457693534642</x:v>
      </x:c>
      <x:c r="C1848" s="84" t="n">
        <x:f>SQRT('Resumen'!$B$5^3/3)*B1848</x:f>
        <x:v>1.0730319002374626</x:v>
      </x:c>
      <x:c r="D1848" s="84" t="n">
        <x:f>C1848^2-'Resumen'!$B$5^3/3</x:f>
        <x:v>0.8180641255938867</x:v>
      </x:c>
      <x:c r="E1848" s="85" t="n">
        <x:f>D1848+'Resumen'!$B$5^3/3</x:f>
        <x:v>1.15139745892722</x:v>
      </x:c>
    </x:row>
    <x:row r="1849">
      <x:c r="A1849" s="89" t="n">
        <x:v>1847</x:v>
      </x:c>
      <x:c r="B1849" s="80" t="n">
        <x:v>-0.12991919352224277</x:v>
      </x:c>
      <x:c r="C1849" s="84" t="n">
        <x:f>SQRT('Resumen'!$B$5^3/3)*B1849</x:f>
        <x:v>-0.07500888135296593</x:v>
      </x:c>
      <x:c r="D1849" s="84" t="n">
        <x:f>C1849^2-'Resumen'!$B$5^3/3</x:f>
        <x:v>-0.32770700105151</x:v>
      </x:c>
      <x:c r="E1849" s="85" t="n">
        <x:f>D1849+'Resumen'!$B$5^3/3</x:f>
        <x:v>0.005626332281823299</x:v>
      </x:c>
    </x:row>
    <x:row r="1850">
      <x:c r="A1850" s="89" t="n">
        <x:v>1848</x:v>
      </x:c>
      <x:c r="B1850" s="80" t="n">
        <x:v>0.031831535836229476</x:v>
      </x:c>
      <x:c r="C1850" s="84" t="n">
        <x:f>SQRT('Resumen'!$B$5^3/3)*B1850</x:f>
        <x:v>0.018377945783766305</x:v>
      </x:c>
      <x:c r="D1850" s="84" t="n">
        <x:f>C1850^2-'Resumen'!$B$5^3/3</x:f>
        <x:v>-0.33299558444210225</x:v>
      </x:c>
      <x:c r="E1850" s="85" t="n">
        <x:f>D1850+'Resumen'!$B$5^3/3</x:f>
        <x:v>0.00033774889123106</x:v>
      </x:c>
    </x:row>
    <x:row r="1851">
      <x:c r="A1851" s="89" t="n">
        <x:v>1849</x:v>
      </x:c>
      <x:c r="B1851" s="80" t="n">
        <x:v>-1.7111909194561383</x:v>
      </x:c>
      <x:c r="C1851" s="84" t="n">
        <x:f>SQRT('Resumen'!$B$5^3/3)*B1851</x:f>
        <x:v>-0.9879565379828447</x:v>
      </x:c>
      <x:c r="D1851" s="84" t="n">
        <x:f>C1851^2-'Resumen'!$B$5^3/3</x:f>
        <x:v>0.6427247876097146</x:v>
      </x:c>
      <x:c r="E1851" s="85" t="n">
        <x:f>D1851+'Resumen'!$B$5^3/3</x:f>
        <x:v>0.9760581209430479</x:v>
      </x:c>
    </x:row>
    <x:row r="1852">
      <x:c r="A1852" s="89" t="n">
        <x:v>1850</x:v>
      </x:c>
      <x:c r="B1852" s="80" t="n">
        <x:v>1.5316944907430334</x:v>
      </x:c>
      <x:c r="C1852" s="84" t="n">
        <x:f>SQRT('Resumen'!$B$5^3/3)*B1852</x:f>
        <x:v>0.884324226546757</x:v>
      </x:c>
      <x:c r="D1852" s="84" t="n">
        <x:f>C1852^2-'Resumen'!$B$5^3/3</x:f>
        <x:v>0.4486960043241867</x:v>
      </x:c>
      <x:c r="E1852" s="85" t="n">
        <x:f>D1852+'Resumen'!$B$5^3/3</x:f>
        <x:v>0.78202933765752</x:v>
      </x:c>
    </x:row>
    <x:row r="1853">
      <x:c r="A1853" s="89" t="n">
        <x:v>1851</x:v>
      </x:c>
      <x:c r="B1853" s="80" t="n">
        <x:v>-0.24173613517116005</x:v>
      </x:c>
      <x:c r="C1853" s="84" t="n">
        <x:f>SQRT('Resumen'!$B$5^3/3)*B1853</x:f>
        <x:v>-0.139566422713929</x:v>
      </x:c>
      <x:c r="D1853" s="84" t="n">
        <x:f>C1853^2-'Resumen'!$B$5^3/3</x:f>
        <x:v>-0.3138545469841702</x:v>
      </x:c>
      <x:c r="E1853" s="85" t="n">
        <x:f>D1853+'Resumen'!$B$5^3/3</x:f>
        <x:v>0.019478786349163113</x:v>
      </x:c>
    </x:row>
    <x:row r="1854">
      <x:c r="A1854" s="89" t="n">
        <x:v>1852</x:v>
      </x:c>
      <x:c r="B1854" s="80" t="n">
        <x:v>0.048003643247823205</x:v>
      </x:c>
      <x:c r="C1854" s="84" t="n">
        <x:f>SQRT('Resumen'!$B$5^3/3)*B1854</x:f>
        <x:v>0.027714916351213488</x:v>
      </x:c>
      <x:c r="D1854" s="84" t="n">
        <x:f>C1854^2-'Resumen'!$B$5^3/3</x:f>
        <x:v>-0.3325652167449786</x:v>
      </x:c>
      <x:c r="E1854" s="85" t="n">
        <x:f>D1854+'Resumen'!$B$5^3/3</x:f>
        <x:v>0.0007681165883547392</x:v>
      </x:c>
    </x:row>
    <x:row r="1855">
      <x:c r="A1855" s="89" t="n">
        <x:v>1853</x:v>
      </x:c>
      <x:c r="B1855" s="80" t="n">
        <x:v>-0.5694064919697662</x:v>
      </x:c>
      <x:c r="C1855" s="84" t="n">
        <x:f>SQRT('Resumen'!$B$5^3/3)*B1855</x:f>
        <x:v>-0.328746991417065</x:v>
      </x:c>
      <x:c r="D1855" s="84" t="n">
        <x:f>C1855^2-'Resumen'!$B$5^3/3</x:f>
        <x:v>-0.2252587489675615</x:v>
      </x:c>
      <x:c r="E1855" s="85" t="n">
        <x:f>D1855+'Resumen'!$B$5^3/3</x:f>
        <x:v>0.1080745843657718</x:v>
      </x:c>
    </x:row>
    <x:row r="1856">
      <x:c r="A1856" s="89" t="n">
        <x:v>1854</x:v>
      </x:c>
      <x:c r="B1856" s="80" t="n">
        <x:v>-0.05707400995527054</x:v>
      </x:c>
      <x:c r="C1856" s="84" t="n">
        <x:f>SQRT('Resumen'!$B$5^3/3)*B1856</x:f>
        <x:v>-0.03295169501140682</x:v>
      </x:c>
      <x:c r="D1856" s="84" t="n">
        <x:f>C1856^2-'Resumen'!$B$5^3/3</x:f>
        <x:v>-0.3322475191292085</x:v>
      </x:c>
      <x:c r="E1856" s="85" t="n">
        <x:f>D1856+'Resumen'!$B$5^3/3</x:f>
        <x:v>0.001085814204124791</x:v>
      </x:c>
    </x:row>
    <x:row r="1857">
      <x:c r="A1857" s="89" t="n">
        <x:v>1855</x:v>
      </x:c>
      <x:c r="B1857" s="80" t="n">
        <x:v>-0.43390367475544384</x:v>
      </x:c>
      <x:c r="C1857" s="84" t="n">
        <x:f>SQRT('Resumen'!$B$5^3/3)*B1857</x:f>
        <x:v>-0.2505144034224233</x:v>
      </x:c>
      <x:c r="D1857" s="84" t="n">
        <x:f>C1857^2-'Resumen'!$B$5^3/3</x:f>
        <x:v>-0.27057586701124064</x:v>
      </x:c>
      <x:c r="E1857" s="85" t="n">
        <x:f>D1857+'Resumen'!$B$5^3/3</x:f>
        <x:v>0.06275746632209267</x:v>
      </x:c>
    </x:row>
    <x:row r="1858">
      <x:c r="A1858" s="89" t="n">
        <x:v>1856</x:v>
      </x:c>
      <x:c r="B1858" s="80" t="n">
        <x:v>1.38229047864763</x:v>
      </x:c>
      <x:c r="C1858" s="84" t="n">
        <x:f>SQRT('Resumen'!$B$5^3/3)*B1858</x:f>
        <x:v>0.7980657799454658</x:v>
      </x:c>
      <x:c r="D1858" s="84" t="n">
        <x:f>C1858^2-'Resumen'!$B$5^3/3</x:f>
        <x:v>0.3035756557866313</x:v>
      </x:c>
      <x:c r="E1858" s="85" t="n">
        <x:f>D1858+'Resumen'!$B$5^3/3</x:f>
        <x:v>0.6369089891199646</x:v>
      </x:c>
    </x:row>
    <x:row r="1859">
      <x:c r="A1859" s="89" t="n">
        <x:v>1857</x:v>
      </x:c>
      <x:c r="B1859" s="80" t="n">
        <x:v>1.6288252832463581</x:v>
      </x:c>
      <x:c r="C1859" s="84" t="n">
        <x:f>SQRT('Resumen'!$B$5^3/3)*B1859</x:f>
        <x:v>0.9404027157451532</x:v>
      </x:c>
      <x:c r="D1859" s="84" t="n">
        <x:f>C1859^2-'Resumen'!$B$5^3/3</x:f>
        <x:v>0.5510239344475261</x:v>
      </x:c>
      <x:c r="E1859" s="85" t="n">
        <x:f>D1859+'Resumen'!$B$5^3/3</x:f>
        <x:v>0.8843572677808593</x:v>
      </x:c>
    </x:row>
    <x:row r="1860">
      <x:c r="A1860" s="89" t="n">
        <x:v>1858</x:v>
      </x:c>
      <x:c r="B1860" s="80" t="n">
        <x:v>-0.22394301903475522</x:v>
      </x:c>
      <x:c r="C1860" s="84" t="n">
        <x:f>SQRT('Resumen'!$B$5^3/3)*B1860</x:f>
        <x:v>-0.1292935623228534</x:v>
      </x:c>
      <x:c r="D1860" s="84" t="n">
        <x:f>C1860^2-'Resumen'!$B$5^3/3</x:f>
        <x:v>-0.31661650807519975</x:v>
      </x:c>
      <x:c r="E1860" s="85" t="n">
        <x:f>D1860+'Resumen'!$B$5^3/3</x:f>
        <x:v>0.01671682525813356</x:v>
      </x:c>
    </x:row>
    <x:row r="1861">
      <x:c r="A1861" s="89" t="n">
        <x:v>1859</x:v>
      </x:c>
      <x:c r="B1861" s="80" t="n">
        <x:v>0.134510987755539</x:v>
      </x:c>
      <x:c r="C1861" s="84" t="n">
        <x:f>SQRT('Resumen'!$B$5^3/3)*B1861</x:f>
        <x:v>0.07765995498962289</x:v>
      </x:c>
      <x:c r="D1861" s="84" t="n">
        <x:f>C1861^2-'Resumen'!$B$5^3/3</x:f>
        <x:v>-0.32730226472434304</x:v>
      </x:c>
      <x:c r="E1861" s="85" t="n">
        <x:f>D1861+'Resumen'!$B$5^3/3</x:f>
        <x:v>0.006031068608990275</x:v>
      </x:c>
    </x:row>
    <x:row r="1862">
      <x:c r="A1862" s="89" t="n">
        <x:v>1860</x:v>
      </x:c>
      <x:c r="B1862" s="80" t="n">
        <x:v>-1.36479118454786</x:v>
      </x:c>
      <x:c r="C1862" s="84" t="n">
        <x:f>SQRT('Resumen'!$B$5^3/3)*B1862</x:f>
        <x:v>-0.7879625577863352</x:v>
      </x:c>
      <x:c r="D1862" s="84" t="n">
        <x:f>C1862^2-'Resumen'!$B$5^3/3</x:f>
        <x:v>0.2875516591398503</x:v>
      </x:c>
      <x:c r="E1862" s="85" t="n">
        <x:f>D1862+'Resumen'!$B$5^3/3</x:f>
        <x:v>0.6208849924731836</x:v>
      </x:c>
    </x:row>
    <x:row r="1863">
      <x:c r="A1863" s="89" t="n">
        <x:v>1861</x:v>
      </x:c>
      <x:c r="B1863" s="80" t="n">
        <x:v>-2.2337155291040984</x:v>
      </x:c>
      <x:c r="C1863" s="84" t="n">
        <x:f>SQRT('Resumen'!$B$5^3/3)*B1863</x:f>
        <x:v>-1.2896362620212984</x:v>
      </x:c>
      <x:c r="D1863" s="84" t="n">
        <x:f>C1863^2-'Resumen'!$B$5^3/3</x:f>
        <x:v>1.3298283549869339</x:v>
      </x:c>
      <x:c r="E1863" s="85" t="n">
        <x:f>D1863+'Resumen'!$B$5^3/3</x:f>
        <x:v>1.6631616883202671</x:v>
      </x:c>
    </x:row>
    <x:row r="1864">
      <x:c r="A1864" s="89" t="n">
        <x:v>1862</x:v>
      </x:c>
      <x:c r="B1864" s="80" t="n">
        <x:v>-2.359359119087059</x:v>
      </x:c>
      <x:c r="C1864" s="84" t="n">
        <x:f>SQRT('Resumen'!$B$5^3/3)*B1864</x:f>
        <x:v>-1.3621766225199117</x:v>
      </x:c>
      <x:c r="D1864" s="84" t="n">
        <x:f>C1864^2-'Resumen'!$B$5^3/3</x:f>
        <x:v>1.5221918176064206</x:v>
      </x:c>
      <x:c r="E1864" s="85" t="n">
        <x:f>D1864+'Resumen'!$B$5^3/3</x:f>
        <x:v>1.855525150939754</x:v>
      </x:c>
    </x:row>
    <x:row r="1865">
      <x:c r="A1865" s="89" t="n">
        <x:v>1863</x:v>
      </x:c>
      <x:c r="B1865" s="80" t="n">
        <x:v>0.1420547113899332</x:v>
      </x:c>
      <x:c r="C1865" s="84" t="n">
        <x:f>SQRT('Resumen'!$B$5^3/3)*B1865</x:f>
        <x:v>0.08201532586063252</x:v>
      </x:c>
      <x:c r="D1865" s="84" t="n">
        <x:f>C1865^2-'Resumen'!$B$5^3/3</x:f>
        <x:v>-0.3266068196573076</x:v>
      </x:c>
      <x:c r="E1865" s="85" t="n">
        <x:f>D1865+'Resumen'!$B$5^3/3</x:f>
        <x:v>0.006726513676025725</x:v>
      </x:c>
    </x:row>
    <x:row r="1866">
      <x:c r="A1866" s="89" t="n">
        <x:v>1864</x:v>
      </x:c>
      <x:c r="B1866" s="80" t="n">
        <x:v>1.0351930439183679</x:v>
      </x:c>
      <x:c r="C1866" s="84" t="n">
        <x:f>SQRT('Resumen'!$B$5^3/3)*B1866</x:f>
        <x:v>0.5976689825694977</x:v>
      </x:c>
      <x:c r="D1866" s="84" t="n">
        <x:f>C1866^2-'Resumen'!$B$5^3/3</x:f>
        <x:v>0.0238748793923253</x:v>
      </x:c>
      <x:c r="E1866" s="85" t="n">
        <x:f>D1866+'Resumen'!$B$5^3/3</x:f>
        <x:v>0.3572082127256586</x:v>
      </x:c>
    </x:row>
    <x:row r="1867">
      <x:c r="A1867" s="89" t="n">
        <x:v>1865</x:v>
      </x:c>
      <x:c r="B1867" s="80" t="n">
        <x:v>0.6037257061738944</x:v>
      </x:c>
      <x:c r="C1867" s="84" t="n">
        <x:f>SQRT('Resumen'!$B$5^3/3)*B1867</x:f>
        <x:v>0.34856119897619486</x:v>
      </x:c>
      <x:c r="D1867" s="84" t="n">
        <x:f>C1867^2-'Resumen'!$B$5^3/3</x:f>
        <x:v>-0.2118384239016108</x:v>
      </x:c>
      <x:c r="E1867" s="85" t="n">
        <x:f>D1867+'Resumen'!$B$5^3/3</x:f>
        <x:v>0.1214949094317225</x:v>
      </x:c>
    </x:row>
    <x:row r="1868">
      <x:c r="A1868" s="89" t="n">
        <x:v>1866</x:v>
      </x:c>
      <x:c r="B1868" s="80" t="n">
        <x:v>0.35147269726940966</x:v>
      </x:c>
      <x:c r="C1868" s="84" t="n">
        <x:f>SQRT('Resumen'!$B$5^3/3)*B1868</x:f>
        <x:v>0.2029228563812975</x:v>
      </x:c>
      <x:c r="D1868" s="84" t="n">
        <x:f>C1868^2-'Resumen'!$B$5^3/3</x:f>
        <x:v>-0.29215564769138863</x:v>
      </x:c>
      <x:c r="E1868" s="85" t="n">
        <x:f>D1868+'Resumen'!$B$5^3/3</x:f>
        <x:v>0.041177685641944684</x:v>
      </x:c>
    </x:row>
    <x:row r="1869">
      <x:c r="A1869" s="89" t="n">
        <x:v>1867</x:v>
      </x:c>
      <x:c r="B1869" s="80" t="n">
        <x:v>0.0457777797167308</x:v>
      </x:c>
      <x:c r="C1869" s="84" t="n">
        <x:f>SQRT('Resumen'!$B$5^3/3)*B1869</x:f>
        <x:v>0.026429813442357914</x:v>
      </x:c>
      <x:c r="D1869" s="84" t="n">
        <x:f>C1869^2-'Resumen'!$B$5^3/3</x:f>
        <x:v>-0.33263479829473547</x:v>
      </x:c>
      <x:c r="E1869" s="85" t="n">
        <x:f>D1869+'Resumen'!$B$5^3/3</x:f>
        <x:v>0.0006985350385978473</x:v>
      </x:c>
    </x:row>
    <x:row r="1870">
      <x:c r="A1870" s="89" t="n">
        <x:v>1868</x:v>
      </x:c>
      <x:c r="B1870" s="80" t="n">
        <x:v>1.3539023738109341</x:v>
      </x:c>
      <x:c r="C1870" s="84" t="n">
        <x:f>SQRT('Resumen'!$B$5^3/3)*B1870</x:f>
        <x:v>0.7816758999762161</x:v>
      </x:c>
      <x:c r="D1870" s="84" t="n">
        <x:f>C1870^2-'Resumen'!$B$5^3/3</x:f>
        <x:v>0.2776838792702941</x:v>
      </x:c>
      <x:c r="E1870" s="85" t="n">
        <x:f>D1870+'Resumen'!$B$5^3/3</x:f>
        <x:v>0.6110172126036274</x:v>
      </x:c>
    </x:row>
    <x:row r="1871">
      <x:c r="A1871" s="89" t="n">
        <x:v>1869</x:v>
      </x:c>
      <x:c r="B1871" s="80" t="n">
        <x:v>-1.829568305053545</x:v>
      </x:c>
      <x:c r="C1871" s="84" t="n">
        <x:f>SQRT('Resumen'!$B$5^3/3)*B1871</x:f>
        <x:v>-1.0563017534234715</x:v>
      </x:c>
      <x:c r="D1871" s="84" t="n">
        <x:f>C1871^2-'Resumen'!$B$5^3/3</x:f>
        <x:v>0.7824400609521671</x:v>
      </x:c>
      <x:c r="E1871" s="85" t="n">
        <x:f>D1871+'Resumen'!$B$5^3/3</x:f>
        <x:v>1.1157733942855004</x:v>
      </x:c>
    </x:row>
    <x:row r="1872">
      <x:c r="A1872" s="89" t="n">
        <x:v>1870</x:v>
      </x:c>
      <x:c r="B1872" s="80" t="n">
        <x:v>0.020020756508039222</x:v>
      </x:c>
      <x:c r="C1872" s="84" t="n">
        <x:f>SQRT('Resumen'!$B$5^3/3)*B1872</x:f>
        <x:v>0.011558989159296396</x:v>
      </x:c>
      <x:c r="D1872" s="84" t="n">
        <x:f>C1872^2-'Resumen'!$B$5^3/3</x:f>
        <x:v>-0.3331997231029486</x:v>
      </x:c>
      <x:c r="E1872" s="85" t="n">
        <x:f>D1872+'Resumen'!$B$5^3/3</x:f>
        <x:v>0.00013361023038471753</x:v>
      </x:c>
    </x:row>
    <x:row r="1873">
      <x:c r="A1873" s="89" t="n">
        <x:v>1871</x:v>
      </x:c>
      <x:c r="B1873" s="80" t="n">
        <x:v>0.9176326741654572</x:v>
      </x:c>
      <x:c r="C1873" s="84" t="n">
        <x:f>SQRT('Resumen'!$B$5^3/3)*B1873</x:f>
        <x:v>0.5297954714466229</x:v>
      </x:c>
      <x:c r="D1873" s="84" t="n">
        <x:f>C1873^2-'Resumen'!$B$5^3/3</x:f>
        <x:v>-0.05265009176798391</x:v>
      </x:c>
      <x:c r="E1873" s="85" t="n">
        <x:f>D1873+'Resumen'!$B$5^3/3</x:f>
        <x:v>0.2806832415653494</x:v>
      </x:c>
    </x:row>
    <x:row r="1874">
      <x:c r="A1874" s="89" t="n">
        <x:v>1872</x:v>
      </x:c>
      <x:c r="B1874" s="80" t="n">
        <x:v>0.21518638630119705</x:v>
      </x:c>
      <x:c r="C1874" s="84" t="n">
        <x:f>SQRT('Resumen'!$B$5^3/3)*B1874</x:f>
        <x:v>0.1242379180569389</x:v>
      </x:c>
      <x:c r="D1874" s="84" t="n">
        <x:f>C1874^2-'Resumen'!$B$5^3/3</x:f>
        <x:v>-0.3178982730502107</x:v>
      </x:c>
      <x:c r="E1874" s="85" t="n">
        <x:f>D1874+'Resumen'!$B$5^3/3</x:f>
        <x:v>0.015435060283122637</x:v>
      </x:c>
    </x:row>
    <x:row r="1875">
      <x:c r="A1875" s="89" t="n">
        <x:v>1873</x:v>
      </x:c>
      <x:c r="B1875" s="80" t="n">
        <x:v>-0.9373478329865274</x:v>
      </x:c>
      <x:c r="C1875" s="84" t="n">
        <x:f>SQRT('Resumen'!$B$5^3/3)*B1875</x:f>
        <x:v>-0.5411780236990839</x:v>
      </x:c>
      <x:c r="D1875" s="84" t="n">
        <x:f>C1875^2-'Resumen'!$B$5^3/3</x:f>
        <x:v>-0.04045967999848715</x:v>
      </x:c>
      <x:c r="E1875" s="85" t="n">
        <x:f>D1875+'Resumen'!$B$5^3/3</x:f>
        <x:v>0.29287365333484616</x:v>
      </x:c>
    </x:row>
    <x:row r="1876">
      <x:c r="A1876" s="89" t="n">
        <x:v>1874</x:v>
      </x:c>
      <x:c r="B1876" s="80" t="n">
        <x:v>-0.5299492836747758</x:v>
      </x:c>
      <x:c r="C1876" s="84" t="n">
        <x:f>SQRT('Resumen'!$B$5^3/3)*B1876</x:f>
        <x:v>-0.3059663615864811</x:v>
      </x:c>
      <x:c r="D1876" s="84" t="n">
        <x:f>C1876^2-'Resumen'!$B$5^3/3</x:f>
        <x:v>-0.23971791891086403</x:v>
      </x:c>
      <x:c r="E1876" s="85" t="n">
        <x:f>D1876+'Resumen'!$B$5^3/3</x:f>
        <x:v>0.09361541442246929</x:v>
      </x:c>
    </x:row>
    <x:row r="1877">
      <x:c r="A1877" s="89" t="n">
        <x:v>1875</x:v>
      </x:c>
      <x:c r="B1877" s="80" t="n">
        <x:v>-0.324258781560481</x:v>
      </x:c>
      <x:c r="C1877" s="84" t="n">
        <x:f>SQRT('Resumen'!$B$5^3/3)*B1877</x:f>
        <x:v>-0.18721089482104375</x:v>
      </x:c>
      <x:c r="D1877" s="84" t="n">
        <x:f>C1877^2-'Resumen'!$B$5^3/3</x:f>
        <x:v>-0.2982854141936374</x:v>
      </x:c>
      <x:c r="E1877" s="85" t="n">
        <x:f>D1877+'Resumen'!$B$5^3/3</x:f>
        <x:v>0.035047919139695904</x:v>
      </x:c>
    </x:row>
    <x:row r="1878">
      <x:c r="A1878" s="89" t="n">
        <x:v>1876</x:v>
      </x:c>
      <x:c r="B1878" s="80" t="n">
        <x:v>-0.3891629781777969</x:v>
      </x:c>
      <x:c r="C1878" s="84" t="n">
        <x:f>SQRT('Resumen'!$B$5^3/3)*B1878</x:f>
        <x:v>-0.22468335020958746</x:v>
      </x:c>
      <x:c r="D1878" s="84" t="n">
        <x:f>C1878^2-'Resumen'!$B$5^3/3</x:f>
        <x:v>-0.2828507254719292</x:v>
      </x:c>
      <x:c r="E1878" s="85" t="n">
        <x:f>D1878+'Resumen'!$B$5^3/3</x:f>
        <x:v>0.05048260786140413</x:v>
      </x:c>
    </x:row>
    <x:row r="1879">
      <x:c r="A1879" s="89" t="n">
        <x:v>1877</x:v>
      </x:c>
      <x:c r="B1879" s="80" t="n">
        <x:v>-1.0164662319705542</x:v>
      </x:c>
      <x:c r="C1879" s="84" t="n">
        <x:f>SQRT('Resumen'!$B$5^3/3)*B1879</x:f>
        <x:v>-0.586857052650364</x:v>
      </x:c>
      <x:c r="D1879" s="84" t="n">
        <x:f>C1879^2-'Resumen'!$B$5^3/3</x:f>
        <x:v>0.011067866912138846</x:v>
      </x:c>
      <x:c r="E1879" s="85" t="n">
        <x:f>D1879+'Resumen'!$B$5^3/3</x:f>
        <x:v>0.34440120024547216</x:v>
      </x:c>
    </x:row>
    <x:row r="1880">
      <x:c r="A1880" s="89" t="n">
        <x:v>1878</x:v>
      </x:c>
      <x:c r="B1880" s="80" t="n">
        <x:v>1.335996630821618</x:v>
      </x:c>
      <x:c r="C1880" s="84" t="n">
        <x:f>SQRT('Resumen'!$B$5^3/3)*B1880</x:f>
        <x:v>0.7713380144412942</x:v>
      </x:c>
      <x:c r="D1880" s="84" t="n">
        <x:f>C1880^2-'Resumen'!$B$5^3/3</x:f>
        <x:v>0.261628999188905</x:v>
      </x:c>
      <x:c r="E1880" s="85" t="n">
        <x:f>D1880+'Resumen'!$B$5^3/3</x:f>
        <x:v>0.5949623325222383</x:v>
      </x:c>
    </x:row>
    <x:row r="1881">
      <x:c r="A1881" s="89" t="n">
        <x:v>1879</x:v>
      </x:c>
      <x:c r="B1881" s="80" t="n">
        <x:v>1.5217597432747358</x:v>
      </x:c>
      <x:c r="C1881" s="84" t="n">
        <x:f>SQRT('Resumen'!$B$5^3/3)*B1881</x:f>
        <x:v>0.8785883974216044</x:v>
      </x:c>
      <x:c r="D1881" s="84" t="n">
        <x:f>C1881^2-'Resumen'!$B$5^3/3</x:f>
        <x:v>0.4385842387505298</x:v>
      </x:c>
      <x:c r="E1881" s="85" t="n">
        <x:f>D1881+'Resumen'!$B$5^3/3</x:f>
        <x:v>0.7719175720838631</x:v>
      </x:c>
    </x:row>
    <x:row r="1882">
      <x:c r="A1882" s="89" t="n">
        <x:v>1880</x:v>
      </x:c>
      <x:c r="B1882" s="80" t="n">
        <x:v>1.9107451076790571</x:v>
      </x:c>
      <x:c r="C1882" s="84" t="n">
        <x:f>SQRT('Resumen'!$B$5^3/3)*B1882</x:f>
        <x:v>1.103169202271264</x:v>
      </x:c>
      <x:c r="D1882" s="84" t="n">
        <x:f>C1882^2-'Resumen'!$B$5^3/3</x:f>
        <x:v>0.8836489555064837</x:v>
      </x:c>
      <x:c r="E1882" s="85" t="n">
        <x:f>D1882+'Resumen'!$B$5^3/3</x:f>
        <x:v>1.216982288839817</x:v>
      </x:c>
    </x:row>
    <x:row r="1883">
      <x:c r="A1883" s="89" t="n">
        <x:v>1881</x:v>
      </x:c>
      <x:c r="B1883" s="80" t="n">
        <x:v>0.7234720726690973</x:v>
      </x:c>
      <x:c r="C1883" s="84" t="n">
        <x:f>SQRT('Resumen'!$B$5^3/3)*B1883</x:f>
        <x:v>0.4176967959066798</x:v>
      </x:c>
      <x:c r="D1883" s="84" t="n">
        <x:f>C1883^2-'Resumen'!$B$5^3/3</x:f>
        <x:v>-0.1588627200226268</x:v>
      </x:c>
      <x:c r="E1883" s="85" t="n">
        <x:f>D1883+'Resumen'!$B$5^3/3</x:f>
        <x:v>0.1744706133107065</x:v>
      </x:c>
    </x:row>
    <x:row r="1884">
      <x:c r="A1884" s="89" t="n">
        <x:v>1882</x:v>
      </x:c>
      <x:c r="B1884" s="80" t="n">
        <x:v>0.6227557133005871</x:v>
      </x:c>
      <x:c r="C1884" s="84" t="n">
        <x:f>SQRT('Resumen'!$B$5^3/3)*B1884</x:f>
        <x:v>0.35954817871347133</x:v>
      </x:c>
      <x:c r="D1884" s="84" t="n">
        <x:f>C1884^2-'Resumen'!$B$5^3/3</x:f>
        <x:v>-0.204058440517159</x:v>
      </x:c>
      <x:c r="E1884" s="85" t="n">
        <x:f>D1884+'Resumen'!$B$5^3/3</x:f>
        <x:v>0.12927489281617432</x:v>
      </x:c>
    </x:row>
    <x:row r="1885">
      <x:c r="A1885" s="89" t="n">
        <x:v>1883</x:v>
      </x:c>
      <x:c r="B1885" s="80" t="n">
        <x:v>0.0402425785077343</x:v>
      </x:c>
      <x:c r="C1885" s="84" t="n">
        <x:f>SQRT('Resumen'!$B$5^3/3)*B1885</x:f>
        <x:v>0.023234063534325045</x:v>
      </x:c>
      <x:c r="D1885" s="84" t="n">
        <x:f>C1885^2-'Resumen'!$B$5^3/3</x:f>
        <x:v>-0.33279351162501625</x:v>
      </x:c>
      <x:c r="E1885" s="85" t="n">
        <x:f>D1885+'Resumen'!$B$5^3/3</x:f>
        <x:v>0.0005398217083170676</x:v>
      </x:c>
    </x:row>
    <x:row r="1886">
      <x:c r="A1886" s="89" t="n">
        <x:v>1884</x:v>
      </x:c>
      <x:c r="B1886" s="80" t="n">
        <x:v>-0.5716222620621009</x:v>
      </x:c>
      <x:c r="C1886" s="84" t="n">
        <x:f>SQRT('Resumen'!$B$5^3/3)*B1886</x:f>
        <x:v>-0.33002626687633674</x:v>
      </x:c>
      <x:c r="D1886" s="84" t="n">
        <x:f>C1886^2-'Resumen'!$B$5^3/3</x:f>
        <x:v>-0.22441599650500227</x:v>
      </x:c>
      <x:c r="E1886" s="85" t="n">
        <x:f>D1886+'Resumen'!$B$5^3/3</x:f>
        <x:v>0.10891733682833105</x:v>
      </x:c>
    </x:row>
    <x:row r="1887">
      <x:c r="A1887" s="89" t="n">
        <x:v>1885</x:v>
      </x:c>
      <x:c r="B1887" s="80" t="n">
        <x:v>-0.10675720952876251</x:v>
      </x:c>
      <x:c r="C1887" s="84" t="n">
        <x:f>SQRT('Resumen'!$B$5^3/3)*B1887</x:f>
        <x:v>-0.06163630365936432</x:v>
      </x:c>
      <x:c r="D1887" s="84" t="n">
        <x:f>C1887^2-'Resumen'!$B$5^3/3</x:f>
        <x:v>-0.32953429940454393</x:v>
      </x:c>
      <x:c r="E1887" s="85" t="n">
        <x:f>D1887+'Resumen'!$B$5^3/3</x:f>
        <x:v>0.003799033928789386</x:v>
      </x:c>
    </x:row>
    <x:row r="1888">
      <x:c r="A1888" s="89" t="n">
        <x:v>1886</x:v>
      </x:c>
      <x:c r="B1888" s="80" t="n">
        <x:v>-0.29381967463844105</x:v>
      </x:c>
      <x:c r="C1888" s="84" t="n">
        <x:f>SQRT('Resumen'!$B$5^3/3)*B1888</x:f>
        <x:v>-0.1696368682457122</x:v>
      </x:c>
      <x:c r="D1888" s="84" t="n">
        <x:f>C1888^2-'Resumen'!$B$5^3/3</x:f>
        <x:v>-0.3045566662651202</x:v>
      </x:c>
      <x:c r="E1888" s="85" t="n">
        <x:f>D1888+'Resumen'!$B$5^3/3</x:f>
        <x:v>0.028776667068213135</x:v>
      </x:c>
    </x:row>
    <x:row r="1889">
      <x:c r="A1889" s="89" t="n">
        <x:v>1887</x:v>
      </x:c>
      <x:c r="B1889" s="80" t="n">
        <x:v>2.1778452335979486</x:v>
      </x:c>
      <x:c r="C1889" s="84" t="n">
        <x:f>SQRT('Resumen'!$B$5^3/3)*B1889</x:f>
        <x:v>1.257379531871119</x:v>
      </x:c>
      <x:c r="D1889" s="84" t="n">
        <x:f>C1889^2-'Resumen'!$B$5^3/3</x:f>
        <x:v>1.247669953835101</x:v>
      </x:c>
      <x:c r="E1889" s="85" t="n">
        <x:f>D1889+'Resumen'!$B$5^3/3</x:f>
        <x:v>1.5810032871684343</x:v>
      </x:c>
    </x:row>
    <x:row r="1890">
      <x:c r="A1890" s="89" t="n">
        <x:v>1888</x:v>
      </x:c>
      <x:c r="B1890" s="80" t="n">
        <x:v>-0.9719406200284391</x:v>
      </x:c>
      <x:c r="C1890" s="84" t="n">
        <x:f>SQRT('Resumen'!$B$5^3/3)*B1890</x:f>
        <x:v>-0.561150178609751</x:v>
      </x:c>
      <x:c r="D1890" s="84" t="n">
        <x:f>C1890^2-'Resumen'!$B$5^3/3</x:f>
        <x:v>-0.01844381037957782</x:v>
      </x:c>
      <x:c r="E1890" s="85" t="n">
        <x:f>D1890+'Resumen'!$B$5^3/3</x:f>
        <x:v>0.3148895229537555</x:v>
      </x:c>
    </x:row>
    <x:row r="1891">
      <x:c r="A1891" s="89" t="n">
        <x:v>1889</x:v>
      </x:c>
      <x:c r="B1891" s="80" t="n">
        <x:v>1.3216882545086537</x:v>
      </x:c>
      <x:c r="C1891" s="84" t="n">
        <x:f>SQRT('Resumen'!$B$5^3/3)*B1891</x:f>
        <x:v>0.7630770695253377</x:v>
      </x:c>
      <x:c r="D1891" s="84" t="n">
        <x:f>C1891^2-'Resumen'!$B$5^3/3</x:f>
        <x:v>0.24895328070204376</x:v>
      </x:c>
      <x:c r="E1891" s="85" t="n">
        <x:f>D1891+'Resumen'!$B$5^3/3</x:f>
        <x:v>0.5822866140353771</x:v>
      </x:c>
    </x:row>
    <x:row r="1892">
      <x:c r="A1892" s="89" t="n">
        <x:v>1890</x:v>
      </x:c>
      <x:c r="B1892" s="80" t="n">
        <x:v>0.6054260322002619</x:v>
      </x:c>
      <x:c r="C1892" s="84" t="n">
        <x:f>SQRT('Resumen'!$B$5^3/3)*B1892</x:f>
        <x:v>0.34954288266522826</x:v>
      </x:c>
      <x:c r="D1892" s="84" t="n">
        <x:f>C1892^2-'Resumen'!$B$5^3/3</x:f>
        <x:v>-0.21115310651141578</x:v>
      </x:c>
      <x:c r="E1892" s="85" t="n">
        <x:f>D1892+'Resumen'!$B$5^3/3</x:f>
        <x:v>0.12218022682191754</x:v>
      </x:c>
    </x:row>
    <x:row r="1893">
      <x:c r="A1893" s="89" t="n">
        <x:v>1891</x:v>
      </x:c>
      <x:c r="B1893" s="80" t="n">
        <x:v>-0.28572629614263795</x:v>
      </x:c>
      <x:c r="C1893" s="84" t="n">
        <x:f>SQRT('Resumen'!$B$5^3/3)*B1893</x:f>
        <x:v>-0.16496415399250675</x:v>
      </x:c>
      <x:c r="D1893" s="84" t="n">
        <x:f>C1893^2-'Resumen'!$B$5^3/3</x:f>
        <x:v>-0.3061201612308698</x:v>
      </x:c>
      <x:c r="E1893" s="85" t="n">
        <x:f>D1893+'Resumen'!$B$5^3/3</x:f>
        <x:v>0.02721317210246349</x:v>
      </x:c>
    </x:row>
    <x:row r="1894">
      <x:c r="A1894" s="89" t="n">
        <x:v>1892</x:v>
      </x:c>
      <x:c r="B1894" s="80" t="n">
        <x:v>-1.3128471062922749</x:v>
      </x:c>
      <x:c r="C1894" s="84" t="n">
        <x:f>SQRT('Resumen'!$B$5^3/3)*B1894</x:f>
        <x:v>-0.757972630222666</x:v>
      </x:c>
      <x:c r="D1894" s="84" t="n">
        <x:f>C1894^2-'Resumen'!$B$5^3/3</x:f>
        <x:v>0.24118917483333308</x:v>
      </x:c>
      <x:c r="E1894" s="85" t="n">
        <x:f>D1894+'Resumen'!$B$5^3/3</x:f>
        <x:v>0.5745225081666664</x:v>
      </x:c>
    </x:row>
    <x:row r="1895">
      <x:c r="A1895" s="89" t="n">
        <x:v>1893</x:v>
      </x:c>
      <x:c r="B1895" s="80" t="n">
        <x:v>-0.27738821710912964</x:v>
      </x:c>
      <x:c r="C1895" s="84" t="n">
        <x:f>SQRT('Resumen'!$B$5^3/3)*B1895</x:f>
        <x:v>-0.16015016181798636</x:v>
      </x:c>
      <x:c r="D1895" s="84" t="n">
        <x:f>C1895^2-'Resumen'!$B$5^3/3</x:f>
        <x:v>-0.3076852590030061</x:v>
      </x:c>
      <x:c r="E1895" s="85" t="n">
        <x:f>D1895+'Resumen'!$B$5^3/3</x:f>
        <x:v>0.02564807433032723</x:v>
      </x:c>
    </x:row>
    <x:row r="1896">
      <x:c r="A1896" s="89" t="n">
        <x:v>1894</x:v>
      </x:c>
      <x:c r="B1896" s="80" t="n">
        <x:v>-1.744117989312218</x:v>
      </x:c>
      <x:c r="C1896" s="84" t="n">
        <x:f>SQRT('Resumen'!$B$5^3/3)*B1896</x:f>
        <x:v>-1.006966990627878</x:v>
      </x:c>
      <x:c r="D1896" s="84" t="n">
        <x:f>C1896^2-'Resumen'!$B$5^3/3</x:f>
        <x:v>0.6806491868808315</x:v>
      </x:c>
      <x:c r="E1896" s="85" t="n">
        <x:f>D1896+'Resumen'!$B$5^3/3</x:f>
        <x:v>1.0139825202141648</x:v>
      </x:c>
    </x:row>
    <x:row r="1897">
      <x:c r="A1897" s="89" t="n">
        <x:v>1895</x:v>
      </x:c>
      <x:c r="B1897" s="80" t="n">
        <x:v>-0.81210139892803</x:v>
      </x:c>
      <x:c r="C1897" s="84" t="n">
        <x:f>SQRT('Resumen'!$B$5^3/3)*B1897</x:f>
        <x:v>-0.46886696128036975</x:v>
      </x:c>
      <x:c r="D1897" s="84" t="n">
        <x:f>C1897^2-'Resumen'!$B$5^3/3</x:f>
        <x:v>-0.11349710595304557</x:v>
      </x:c>
      <x:c r="E1897" s="85" t="n">
        <x:f>D1897+'Resumen'!$B$5^3/3</x:f>
        <x:v>0.21983622738028774</x:v>
      </x:c>
    </x:row>
    <x:row r="1898">
      <x:c r="A1898" s="89" t="n">
        <x:v>1896</x:v>
      </x:c>
      <x:c r="B1898" s="80" t="n">
        <x:v>-0.5094109650082829</x:v>
      </x:c>
      <x:c r="C1898" s="84" t="n">
        <x:f>SQRT('Resumen'!$B$5^3/3)*B1898</x:f>
        <x:v>-0.2941085577756791</x:v>
      </x:c>
      <x:c r="D1898" s="84" t="n">
        <x:f>C1898^2-'Resumen'!$B$5^3/3</x:f>
        <x:v>-0.24683348957644333</x:v>
      </x:c>
      <x:c r="E1898" s="85" t="n">
        <x:f>D1898+'Resumen'!$B$5^3/3</x:f>
        <x:v>0.08649984375688999</x:v>
      </x:c>
    </x:row>
    <x:row r="1899">
      <x:c r="A1899" s="89" t="n">
        <x:v>1897</x:v>
      </x:c>
      <x:c r="B1899" s="80" t="n">
        <x:v>-1.2222475882578914</x:v>
      </x:c>
      <x:c r="C1899" s="84" t="n">
        <x:f>SQRT('Resumen'!$B$5^3/3)*B1899</x:f>
        <x:v>-0.7056649740970644</x:v>
      </x:c>
      <x:c r="D1899" s="84" t="n">
        <x:f>C1899^2-'Resumen'!$B$5^3/3</x:f>
        <x:v>0.1646297223340773</x:v>
      </x:c>
      <x:c r="E1899" s="85" t="n">
        <x:f>D1899+'Resumen'!$B$5^3/3</x:f>
        <x:v>0.4979630556674106</x:v>
      </x:c>
    </x:row>
    <x:row r="1900">
      <x:c r="A1900" s="89" t="n">
        <x:v>1898</x:v>
      </x:c>
      <x:c r="B1900" s="80" t="n">
        <x:v>1.0852955567640878</x:v>
      </x:c>
      <x:c r="C1900" s="84" t="n">
        <x:f>SQRT('Resumen'!$B$5^3/3)*B1900</x:f>
        <x:v>0.6265956818480508</x:v>
      </x:c>
      <x:c r="D1900" s="84" t="n">
        <x:f>C1900^2-'Resumen'!$B$5^3/3</x:f>
        <x:v>0.0592888151772904</x:v>
      </x:c>
      <x:c r="E1900" s="85" t="n">
        <x:f>D1900+'Resumen'!$B$5^3/3</x:f>
        <x:v>0.3926221485106237</x:v>
      </x:c>
    </x:row>
    <x:row r="1901">
      <x:c r="A1901" s="89" t="n">
        <x:v>1899</x:v>
      </x:c>
      <x:c r="B1901" s="80" t="n">
        <x:v>-1.6130926783249906</x:v>
      </x:c>
      <x:c r="C1901" s="84" t="n">
        <x:f>SQRT('Resumen'!$B$5^3/3)*B1901</x:f>
        <x:v>-0.9313194920587476</x:v>
      </x:c>
      <x:c r="D1901" s="84" t="n">
        <x:f>C1901^2-'Resumen'!$B$5^3/3</x:f>
        <x:v>0.5340226629552305</x:v>
      </x:c>
      <x:c r="E1901" s="85" t="n">
        <x:f>D1901+'Resumen'!$B$5^3/3</x:f>
        <x:v>0.8673559962885637</x:v>
      </x:c>
    </x:row>
    <x:row r="1902">
      <x:c r="A1902" s="89" t="n">
        <x:v>1900</x:v>
      </x:c>
      <x:c r="B1902" s="80" t="n">
        <x:v>0.9178123882031736</x:v>
      </x:c>
      <x:c r="C1902" s="84" t="n">
        <x:f>SQRT('Resumen'!$B$5^3/3)*B1902</x:f>
        <x:v>0.5298992293946755</x:v>
      </x:c>
      <x:c r="D1902" s="84" t="n">
        <x:f>C1902^2-'Resumen'!$B$5^3/3</x:f>
        <x:v>-0.052540140020262416</x:v>
      </x:c>
      <x:c r="E1902" s="85" t="n">
        <x:f>D1902+'Resumen'!$B$5^3/3</x:f>
        <x:v>0.2807931933130709</x:v>
      </x:c>
    </x:row>
    <x:row r="1903">
      <x:c r="A1903" s="89" t="n">
        <x:v>1901</x:v>
      </x:c>
      <x:c r="B1903" s="80" t="n">
        <x:v>0.6597386599358127</x:v>
      </x:c>
      <x:c r="C1903" s="84" t="n">
        <x:f>SQRT('Resumen'!$B$5^3/3)*B1903</x:f>
        <x:v>0.38090029290874444</x:v>
      </x:c>
      <x:c r="D1903" s="84" t="n">
        <x:f>C1903^2-'Resumen'!$B$5^3/3</x:f>
        <x:v>-0.188248300195366</x:v>
      </x:c>
      <x:c r="E1903" s="85" t="n">
        <x:f>D1903+'Resumen'!$B$5^3/3</x:f>
        <x:v>0.1450850331379673</x:v>
      </x:c>
    </x:row>
    <x:row r="1904">
      <x:c r="A1904" s="89" t="n">
        <x:v>1902</x:v>
      </x:c>
      <x:c r="B1904" s="80" t="n">
        <x:v>-0.45643785076907034</x:v>
      </x:c>
      <x:c r="C1904" s="84" t="n">
        <x:f>SQRT('Resumen'!$B$5^3/3)*B1904</x:f>
        <x:v>-0.263524516009857</x:v>
      </x:c>
      <x:c r="D1904" s="84" t="n">
        <x:f>C1904^2-'Resumen'!$B$5^3/3</x:f>
        <x:v>-0.26388816279510396</x:v>
      </x:c>
      <x:c r="E1904" s="85" t="n">
        <x:f>D1904+'Resumen'!$B$5^3/3</x:f>
        <x:v>0.06944517053822935</x:v>
      </x:c>
    </x:row>
    <x:row r="1905">
      <x:c r="A1905" s="89" t="n">
        <x:v>1903</x:v>
      </x:c>
      <x:c r="B1905" s="80" t="n">
        <x:v>-0.39555814858013566</x:v>
      </x:c>
      <x:c r="C1905" s="84" t="n">
        <x:f>SQRT('Resumen'!$B$5^3/3)*B1905</x:f>
        <x:v>-0.2283756035628913</x:v>
      </x:c>
      <x:c r="D1905" s="84" t="n">
        <x:f>C1905^2-'Resumen'!$B$5^3/3</x:f>
        <x:v>-0.28117791703061845</x:v>
      </x:c>
      <x:c r="E1905" s="85" t="n">
        <x:f>D1905+'Resumen'!$B$5^3/3</x:f>
        <x:v>0.05215541630271486</x:v>
      </x:c>
    </x:row>
    <x:row r="1906">
      <x:c r="A1906" s="89" t="n">
        <x:v>1904</x:v>
      </x:c>
      <x:c r="B1906" s="80" t="n">
        <x:v>-0.5147908253456599</x:v>
      </x:c>
      <x:c r="C1906" s="84" t="n">
        <x:f>SQRT('Resumen'!$B$5^3/3)*B1906</x:f>
        <x:v>-0.29721462158966633</x:v>
      </x:c>
      <x:c r="D1906" s="84" t="n">
        <x:f>C1906^2-'Resumen'!$B$5^3/3</x:f>
        <x:v>-0.24499680204664476</x:v>
      </x:c>
      <x:c r="E1906" s="85" t="n">
        <x:f>D1906+'Resumen'!$B$5^3/3</x:f>
        <x:v>0.08833653128668856</x:v>
      </x:c>
    </x:row>
    <x:row r="1907">
      <x:c r="A1907" s="89" t="n">
        <x:v>1905</x:v>
      </x:c>
      <x:c r="B1907" s="80" t="n">
        <x:v>0.17425519231696857</x:v>
      </x:c>
      <x:c r="C1907" s="84" t="n">
        <x:f>SQRT('Resumen'!$B$5^3/3)*B1907</x:f>
        <x:v>0.1006062821918918</x:v>
      </x:c>
      <x:c r="D1907" s="84" t="n">
        <x:f>C1907^2-'Resumen'!$B$5^3/3</x:f>
        <x:v>-0.3232117093168588</x:v>
      </x:c>
      <x:c r="E1907" s="85" t="n">
        <x:f>D1907+'Resumen'!$B$5^3/3</x:f>
        <x:v>0.01012162401647454</x:v>
      </x:c>
    </x:row>
    <x:row r="1908">
      <x:c r="A1908" s="89" t="n">
        <x:v>1906</x:v>
      </x:c>
      <x:c r="B1908" s="80" t="n">
        <x:v>-0.2455626819146796</x:v>
      </x:c>
      <x:c r="C1908" s="84" t="n">
        <x:f>SQRT('Resumen'!$B$5^3/3)*B1908</x:f>
        <x:v>-0.14177568050636669</x:v>
      </x:c>
      <x:c r="D1908" s="84" t="n">
        <x:f>C1908^2-'Resumen'!$B$5^3/3</x:f>
        <x:v>-0.31323298975028996</x:v>
      </x:c>
      <x:c r="E1908" s="85" t="n">
        <x:f>D1908+'Resumen'!$B$5^3/3</x:f>
        <x:v>0.020100343583043356</x:v>
      </x:c>
    </x:row>
    <x:row r="1909">
      <x:c r="A1909" s="89" t="n">
        <x:v>1907</x:v>
      </x:c>
      <x:c r="B1909" s="80" t="n">
        <x:v>-1.118670368545321</x:v>
      </x:c>
      <x:c r="C1909" s="84" t="n">
        <x:f>SQRT('Resumen'!$B$5^3/3)*B1909</x:f>
        <x:v>-0.6458646384140989</x:v>
      </x:c>
      <x:c r="D1909" s="84" t="n">
        <x:f>C1909^2-'Resumen'!$B$5^3/3</x:f>
        <x:v>0.0838077978204414</x:v>
      </x:c>
      <x:c r="E1909" s="85" t="n">
        <x:f>D1909+'Resumen'!$B$5^3/3</x:f>
        <x:v>0.4171411311537747</x:v>
      </x:c>
    </x:row>
    <x:row r="1910">
      <x:c r="A1910" s="89" t="n">
        <x:v>1908</x:v>
      </x:c>
      <x:c r="B1910" s="80" t="n">
        <x:v>-0.47320526823888287</x:v>
      </x:c>
      <x:c r="C1910" s="84" t="n">
        <x:f>SQRT('Resumen'!$B$5^3/3)*B1910</x:f>
        <x:v>-0.27320518899966806</x:v>
      </x:c>
      <x:c r="D1910" s="84" t="n">
        <x:f>C1910^2-'Resumen'!$B$5^3/3</x:f>
        <x:v>-0.258692258036989</x:v>
      </x:c>
      <x:c r="E1910" s="85" t="n">
        <x:f>D1910+'Resumen'!$B$5^3/3</x:f>
        <x:v>0.07464107529634434</x:v>
      </x:c>
    </x:row>
    <x:row r="1911">
      <x:c r="A1911" s="89" t="n">
        <x:v>1909</x:v>
      </x:c>
      <x:c r="B1911" s="80" t="n">
        <x:v>-1.2131162847904304</x:v>
      </x:c>
      <x:c r="C1911" s="84" t="n">
        <x:f>SQRT('Resumen'!$B$5^3/3)*B1911</x:f>
        <x:v>-0.7003930135820737</x:v>
      </x:c>
      <x:c r="D1911" s="84" t="n">
        <x:f>C1911^2-'Resumen'!$B$5^3/3</x:f>
        <x:v>0.1572170401412456</x:v>
      </x:c>
      <x:c r="E1911" s="85" t="n">
        <x:f>D1911+'Resumen'!$B$5^3/3</x:f>
        <x:v>0.4905503734745789</x:v>
      </x:c>
    </x:row>
    <x:row r="1912">
      <x:c r="A1912" s="89" t="n">
        <x:v>1910</x:v>
      </x:c>
      <x:c r="B1912" s="80" t="n">
        <x:v>-1.3733504546052344</x:v>
      </x:c>
      <x:c r="C1912" s="84" t="n">
        <x:f>SQRT('Resumen'!$B$5^3/3)*B1912</x:f>
        <x:v>-0.7929042546580269</x:v>
      </x:c>
      <x:c r="D1912" s="84" t="n">
        <x:f>C1912^2-'Resumen'!$B$5^3/3</x:f>
        <x:v>0.2953638237214679</x:v>
      </x:c>
      <x:c r="E1912" s="85" t="n">
        <x:f>D1912+'Resumen'!$B$5^3/3</x:f>
        <x:v>0.6286971570548012</x:v>
      </x:c>
    </x:row>
    <x:row r="1913">
      <x:c r="A1913" s="89" t="n">
        <x:v>1911</x:v>
      </x:c>
      <x:c r="B1913" s="80" t="n">
        <x:v>-0.9282704399784644</x:v>
      </x:c>
      <x:c r="C1913" s="84" t="n">
        <x:f>SQRT('Resumen'!$B$5^3/3)*B1913</x:f>
        <x:v>-0.5359371884023387</x:v>
      </x:c>
      <x:c r="D1913" s="84" t="n">
        <x:f>C1913^2-'Resumen'!$B$5^3/3</x:f>
        <x:v>-0.046104663420729386</x:v>
      </x:c>
      <x:c r="E1913" s="85" t="n">
        <x:f>D1913+'Resumen'!$B$5^3/3</x:f>
        <x:v>0.28722866991260393</x:v>
      </x:c>
    </x:row>
    <x:row r="1914">
      <x:c r="A1914" s="89" t="n">
        <x:v>1912</x:v>
      </x:c>
      <x:c r="B1914" s="80" t="n">
        <x:v>0.13756100238151428</x:v>
      </x:c>
      <x:c r="C1914" s="84" t="n">
        <x:f>SQRT('Resumen'!$B$5^3/3)*B1914</x:f>
        <x:v>0.07942088175496202</x:v>
      </x:c>
      <x:c r="D1914" s="84" t="n">
        <x:f>C1914^2-'Resumen'!$B$5^3/3</x:f>
        <x:v>-0.32702565687459767</x:v>
      </x:c>
      <x:c r="E1914" s="85" t="n">
        <x:f>D1914+'Resumen'!$B$5^3/3</x:f>
        <x:v>0.006307676458735645</x:v>
      </x:c>
    </x:row>
    <x:row r="1915">
      <x:c r="A1915" s="89" t="n">
        <x:v>1913</x:v>
      </x:c>
      <x:c r="B1915" s="80" t="n">
        <x:v>0.42072230099726915</x:v>
      </x:c>
      <x:c r="C1915" s="84" t="n">
        <x:f>SQRT('Resumen'!$B$5^3/3)*B1915</x:f>
        <x:v>0.2429041337348521</x:v>
      </x:c>
      <x:c r="D1915" s="84" t="n">
        <x:f>C1915^2-'Resumen'!$B$5^3/3</x:f>
        <x:v>-0.2743309151478544</x:v>
      </x:c>
      <x:c r="E1915" s="85" t="n">
        <x:f>D1915+'Resumen'!$B$5^3/3</x:f>
        <x:v>0.05900241818547891</x:v>
      </x:c>
    </x:row>
    <x:row r="1916">
      <x:c r="A1916" s="89" t="n">
        <x:v>1914</x:v>
      </x:c>
      <x:c r="B1916" s="80" t="n">
        <x:v>0.9466726052080524</x:v>
      </x:c>
      <x:c r="C1916" s="84" t="n">
        <x:f>SQRT('Resumen'!$B$5^3/3)*B1916</x:f>
        <x:v>0.5465616834513134</x:v>
      </x:c>
      <x:c r="D1916" s="84" t="n">
        <x:f>C1916^2-'Resumen'!$B$5^3/3</x:f>
        <x:v>-0.03460365951619959</x:v>
      </x:c>
      <x:c r="E1916" s="85" t="n">
        <x:f>D1916+'Resumen'!$B$5^3/3</x:f>
        <x:v>0.2987296738171337</x:v>
      </x:c>
    </x:row>
    <x:row r="1917">
      <x:c r="A1917" s="89" t="n">
        <x:v>1915</x:v>
      </x:c>
      <x:c r="B1917" s="80" t="n">
        <x:v>-0.2724744295174534</x:v>
      </x:c>
      <x:c r="C1917" s="84" t="n">
        <x:f>SQRT('Resumen'!$B$5^3/3)*B1917</x:f>
        <x:v>-0.1573131852291914</x:v>
      </x:c>
      <x:c r="D1917" s="84" t="n">
        <x:f>C1917^2-'Resumen'!$B$5^3/3</x:f>
        <x:v>-0.3085858950863794</x:v>
      </x:c>
      <x:c r="E1917" s="85" t="n">
        <x:f>D1917+'Resumen'!$B$5^3/3</x:f>
        <x:v>0.024747438246953912</x:v>
      </x:c>
    </x:row>
    <x:row r="1918">
      <x:c r="A1918" s="89" t="n">
        <x:v>1916</x:v>
      </x:c>
      <x:c r="B1918" s="80" t="n">
        <x:v>-0.031434344100102735</x:v>
      </x:c>
      <x:c r="C1918" s="84" t="n">
        <x:f>SQRT('Resumen'!$B$5^3/3)*B1918</x:f>
        <x:v>-0.018148627027993636</x:v>
      </x:c>
      <x:c r="D1918" s="84" t="n">
        <x:f>C1918^2-'Resumen'!$B$5^3/3</x:f>
        <x:v>-0.3330039606703321</x:v>
      </x:c>
      <x:c r="E1918" s="85" t="n">
        <x:f>D1918+'Resumen'!$B$5^3/3</x:f>
        <x:v>0.00032937266300120394</x:v>
      </x:c>
    </x:row>
    <x:row r="1919">
      <x:c r="A1919" s="89" t="n">
        <x:v>1917</x:v>
      </x:c>
      <x:c r="B1919" s="80" t="n">
        <x:v>-0.3110884157286651</x:v>
      </x:c>
      <x:c r="C1919" s="84" t="n">
        <x:f>SQRT('Resumen'!$B$5^3/3)*B1919</x:f>
        <x:v>-0.17960698056271898</x:v>
      </x:c>
      <x:c r="D1919" s="84" t="n">
        <x:f>C1919^2-'Resumen'!$B$5^3/3</x:f>
        <x:v>-0.3010746658664764</x:v>
      </x:c>
      <x:c r="E1919" s="85" t="n">
        <x:f>D1919+'Resumen'!$B$5^3/3</x:f>
        <x:v>0.032258667466856905</x:v>
      </x:c>
    </x:row>
    <x:row r="1920">
      <x:c r="A1920" s="89" t="n">
        <x:v>1918</x:v>
      </x:c>
      <x:c r="B1920" s="80" t="n">
        <x:v>-1.2686275689146458</x:v>
      </x:c>
      <x:c r="C1920" s="84" t="n">
        <x:f>SQRT('Resumen'!$B$5^3/3)*B1920</x:f>
        <x:v>-0.7324424684142512</x:v>
      </x:c>
      <x:c r="D1920" s="84" t="n">
        <x:f>C1920^2-'Resumen'!$B$5^3/3</x:f>
        <x:v>0.20313863620342804</x:v>
      </x:c>
      <x:c r="E1920" s="85" t="n">
        <x:f>D1920+'Resumen'!$B$5^3/3</x:f>
        <x:v>0.5364719695367614</x:v>
      </x:c>
    </x:row>
    <x:row r="1921">
      <x:c r="A1921" s="89" t="n">
        <x:v>1919</x:v>
      </x:c>
      <x:c r="B1921" s="80" t="n">
        <x:v>1.7057958459733629</x:v>
      </x:c>
      <x:c r="C1921" s="84" t="n">
        <x:f>SQRT('Resumen'!$B$5^3/3)*B1921</x:f>
        <x:v>0.9848416908552664</x:v>
      </x:c>
      <x:c r="D1921" s="84" t="n">
        <x:f>C1921^2-'Resumen'!$B$5^3/3</x:f>
        <x:v>0.6365798227133268</x:v>
      </x:c>
      <x:c r="E1921" s="85" t="n">
        <x:f>D1921+'Resumen'!$B$5^3/3</x:f>
        <x:v>0.9699131560466601</x:v>
      </x:c>
    </x:row>
    <x:row r="1922">
      <x:c r="A1922" s="89" t="n">
        <x:v>1920</x:v>
      </x:c>
      <x:c r="B1922" s="80" t="n">
        <x:v>-1.412811037307339</x:v>
      </x:c>
      <x:c r="C1922" s="84" t="n">
        <x:f>SQRT('Resumen'!$B$5^3/3)*B1922</x:f>
        <x:v>-0.8156868327034665</x:v>
      </x:c>
      <x:c r="D1922" s="84" t="n">
        <x:f>C1922^2-'Resumen'!$B$5^3/3</x:f>
        <x:v>0.33201167571247964</x:v>
      </x:c>
      <x:c r="E1922" s="85" t="n">
        <x:f>D1922+'Resumen'!$B$5^3/3</x:f>
        <x:v>0.665345009045813</x:v>
      </x:c>
    </x:row>
    <x:row r="1923">
      <x:c r="A1923" s="89" t="n">
        <x:v>1921</x:v>
      </x:c>
      <x:c r="B1923" s="80" t="n">
        <x:v>0.8368781432873263</x:v>
      </x:c>
      <x:c r="C1923" s="84" t="n">
        <x:f>SQRT('Resumen'!$B$5^3/3)*B1923</x:f>
        <x:v>0.48317182130585207</x:v>
      </x:c>
      <x:c r="D1923" s="84" t="n">
        <x:f>C1923^2-'Resumen'!$B$5^3/3</x:f>
        <x:v>-0.09987832442931907</x:v>
      </x:c>
      <x:c r="E1923" s="85" t="n">
        <x:f>D1923+'Resumen'!$B$5^3/3</x:f>
        <x:v>0.23345500890401424</x:v>
      </x:c>
    </x:row>
    <x:row r="1924">
      <x:c r="A1924" s="89" t="n">
        <x:v>1922</x:v>
      </x:c>
      <x:c r="B1924" s="80" t="n">
        <x:v>1.7286836725522174</x:v>
      </x:c>
      <x:c r="C1924" s="84" t="n">
        <x:f>SQRT('Resumen'!$B$5^3/3)*B1924</x:f>
        <x:v>0.9980559836917335</x:v>
      </x:c>
      <x:c r="D1924" s="84" t="n">
        <x:f>C1924^2-'Resumen'!$B$5^3/3</x:f>
        <x:v>0.6627824132495406</x:v>
      </x:c>
      <x:c r="E1924" s="85" t="n">
        <x:f>D1924+'Resumen'!$B$5^3/3</x:f>
        <x:v>0.9961157465828738</x:v>
      </x:c>
    </x:row>
    <x:row r="1925">
      <x:c r="A1925" s="89" t="n">
        <x:v>1923</x:v>
      </x:c>
      <x:c r="B1925" s="80" t="n">
        <x:v>-0.30945251460457185</x:v>
      </x:c>
      <x:c r="C1925" s="84" t="n">
        <x:f>SQRT('Resumen'!$B$5^3/3)*B1925</x:f>
        <x:v>-0.17866249260835615</x:v>
      </x:c>
      <x:c r="D1925" s="84" t="n">
        <x:f>C1925^2-'Resumen'!$B$5^3/3</x:f>
        <x:v>-0.3014130470683024</x:v>
      </x:c>
      <x:c r="E1925" s="85" t="n">
        <x:f>D1925+'Resumen'!$B$5^3/3</x:f>
        <x:v>0.031920286265030906</x:v>
      </x:c>
    </x:row>
    <x:row r="1926">
      <x:c r="A1926" s="89" t="n">
        <x:v>1924</x:v>
      </x:c>
      <x:c r="B1926" s="80" t="n">
        <x:v>-0.5222792549170359</x:v>
      </x:c>
      <x:c r="C1926" s="84" t="n">
        <x:f>SQRT('Resumen'!$B$5^3/3)*B1926</x:f>
        <x:v>-0.30153806841850783</x:v>
      </x:c>
      <x:c r="D1926" s="84" t="n">
        <x:f>C1926^2-'Resumen'!$B$5^3/3</x:f>
        <x:v>-0.24240812662776862</x:v>
      </x:c>
      <x:c r="E1926" s="85" t="n">
        <x:f>D1926+'Resumen'!$B$5^3/3</x:f>
        <x:v>0.0909252067055647</x:v>
      </x:c>
    </x:row>
    <x:row r="1927">
      <x:c r="A1927" s="89" t="n">
        <x:v>1925</x:v>
      </x:c>
      <x:c r="B1927" s="80" t="n">
        <x:v>-0.28024365631101233</x:v>
      </x:c>
      <x:c r="C1927" s="84" t="n">
        <x:f>SQRT('Resumen'!$B$5^3/3)*B1927</x:f>
        <x:v>-0.16179875040984792</x:v>
      </x:c>
      <x:c r="D1927" s="84" t="n">
        <x:f>C1927^2-'Resumen'!$B$5^3/3</x:f>
        <x:v>-0.30715449769914505</x:v>
      </x:c>
      <x:c r="E1927" s="85" t="n">
        <x:f>D1927+'Resumen'!$B$5^3/3</x:f>
        <x:v>0.02617883563418827</x:v>
      </x:c>
    </x:row>
    <x:row r="1928">
      <x:c r="A1928" s="89" t="n">
        <x:v>1926</x:v>
      </x:c>
      <x:c r="B1928" s="80" t="n">
        <x:v>0.8400782284207003</x:v>
      </x:c>
      <x:c r="C1928" s="84" t="n">
        <x:f>SQRT('Resumen'!$B$5^3/3)*B1928</x:f>
        <x:v>0.48501939131903526</x:v>
      </x:c>
      <x:c r="D1928" s="84" t="n">
        <x:f>C1928^2-'Resumen'!$B$5^3/3</x:f>
        <x:v>-0.09808952337784585</x:v>
      </x:c>
      <x:c r="E1928" s="85" t="n">
        <x:f>D1928+'Resumen'!$B$5^3/3</x:f>
        <x:v>0.23524380995548747</x:v>
      </x:c>
    </x:row>
    <x:row r="1929">
      <x:c r="A1929" s="89" t="n">
        <x:v>1927</x:v>
      </x:c>
      <x:c r="B1929" s="80" t="n">
        <x:v>-0.9341014860227382</x:v>
      </x:c>
      <x:c r="C1929" s="84" t="n">
        <x:f>SQRT('Resumen'!$B$5^3/3)*B1929</x:f>
        <x:v>-0.5393037444056573</x:v>
      </x:c>
      <x:c r="D1929" s="84" t="n">
        <x:f>C1929^2-'Resumen'!$B$5^3/3</x:f>
        <x:v>-0.042484804603370785</x:v>
      </x:c>
      <x:c r="E1929" s="85" t="n">
        <x:f>D1929+'Resumen'!$B$5^3/3</x:f>
        <x:v>0.29084852872996253</x:v>
      </x:c>
    </x:row>
    <x:row r="1930">
      <x:c r="A1930" s="89" t="n">
        <x:v>1928</x:v>
      </x:c>
      <x:c r="B1930" s="80" t="n">
        <x:v>0.17267144389340755</x:v>
      </x:c>
      <x:c r="C1930" s="84" t="n">
        <x:f>SQRT('Resumen'!$B$5^3/3)*B1930</x:f>
        <x:v>0.09969190461322021</x:v>
      </x:c>
      <x:c r="D1930" s="84" t="n">
        <x:f>C1930^2-'Resumen'!$B$5^3/3</x:f>
        <x:v>-0.3233948574879219</x:v>
      </x:c>
      <x:c r="E1930" s="85" t="n">
        <x:f>D1930+'Resumen'!$B$5^3/3</x:f>
        <x:v>0.00993847584541141</x:v>
      </x:c>
    </x:row>
    <x:row r="1931">
      <x:c r="A1931" s="89" t="n">
        <x:v>1929</x:v>
      </x:c>
      <x:c r="B1931" s="80" t="n">
        <x:v>0.670189686696746</x:v>
      </x:c>
      <x:c r="C1931" s="84" t="n">
        <x:f>SQRT('Resumen'!$B$5^3/3)*B1931</x:f>
        <x:v>0.3869341960224772</x:v>
      </x:c>
      <x:c r="D1931" s="84" t="n">
        <x:f>C1931^2-'Resumen'!$B$5^3/3</x:f>
        <x:v>-0.1836152612817725</x:v>
      </x:c>
      <x:c r="E1931" s="85" t="n">
        <x:f>D1931+'Resumen'!$B$5^3/3</x:f>
        <x:v>0.14971807205156082</x:v>
      </x:c>
    </x:row>
    <x:row r="1932">
      <x:c r="A1932" s="89" t="n">
        <x:v>1930</x:v>
      </x:c>
      <x:c r="B1932" s="80" t="n">
        <x:v>0.6788112042854239</x:v>
      </x:c>
      <x:c r="C1932" s="84" t="n">
        <x:f>SQRT('Resumen'!$B$5^3/3)*B1932</x:f>
        <x:v>0.3919118315231235</x:v>
      </x:c>
      <x:c r="D1932" s="84" t="n">
        <x:f>C1932^2-'Resumen'!$B$5^3/3</x:f>
        <x:v>-0.17973844964552418</x:v>
      </x:c>
      <x:c r="E1932" s="85" t="n">
        <x:f>D1932+'Resumen'!$B$5^3/3</x:f>
        <x:v>0.15359488368780913</x:v>
      </x:c>
    </x:row>
    <x:row r="1933">
      <x:c r="A1933" s="89" t="n">
        <x:v>1931</x:v>
      </x:c>
      <x:c r="B1933" s="80" t="n">
        <x:v>-0.671082863940361</x:v>
      </x:c>
      <x:c r="C1933" s="84" t="n">
        <x:f>SQRT('Resumen'!$B$5^3/3)*B1933</x:f>
        <x:v>-0.3874498721445124</x:v>
      </x:c>
      <x:c r="D1933" s="84" t="n">
        <x:f>C1933^2-'Resumen'!$B$5^3/3</x:f>
        <x:v>-0.18321592990853433</x:v>
      </x:c>
      <x:c r="E1933" s="85" t="n">
        <x:f>D1933+'Resumen'!$B$5^3/3</x:f>
        <x:v>0.15011740342479898</x:v>
      </x:c>
    </x:row>
    <x:row r="1934">
      <x:c r="A1934" s="89" t="n">
        <x:v>1932</x:v>
      </x:c>
      <x:c r="B1934" s="80" t="n">
        <x:v>-1.215499959532984</x:v>
      </x:c>
      <x:c r="C1934" s="84" t="n">
        <x:f>SQRT('Resumen'!$B$5^3/3)*B1934</x:f>
        <x:v>-0.7017692288363475</x:v>
      </x:c>
      <x:c r="D1934" s="84" t="n">
        <x:f>C1934^2-'Resumen'!$B$5^3/3</x:f>
        <x:v>0.1591467172082286</x:v>
      </x:c>
      <x:c r="E1934" s="85" t="n">
        <x:f>D1934+'Resumen'!$B$5^3/3</x:f>
        <x:v>0.4924800505415619</x:v>
      </x:c>
    </x:row>
    <x:row r="1935">
      <x:c r="A1935" s="89" t="n">
        <x:v>1933</x:v>
      </x:c>
      <x:c r="B1935" s="80" t="n">
        <x:v>-1.6746566825923512</x:v>
      </x:c>
      <x:c r="C1935" s="84" t="n">
        <x:f>SQRT('Resumen'!$B$5^3/3)*B1935</x:f>
        <x:v>-0.9668634864948996</x:v>
      </x:c>
      <x:c r="D1935" s="84" t="n">
        <x:f>C1935^2-'Resumen'!$B$5^3/3</x:f>
        <x:v>0.6014916681837397</x:v>
      </x:c>
      <x:c r="E1935" s="85" t="n">
        <x:f>D1935+'Resumen'!$B$5^3/3</x:f>
        <x:v>0.9348250015170729</x:v>
      </x:c>
    </x:row>
    <x:row r="1936">
      <x:c r="A1936" s="89" t="n">
        <x:v>1934</x:v>
      </x:c>
      <x:c r="B1936" s="80" t="n">
        <x:v>-0.4431328249144374</x:v>
      </x:c>
      <x:c r="C1936" s="84" t="n">
        <x:f>SQRT('Resumen'!$B$5^3/3)*B1936</x:f>
        <x:v>-0.2558428557511097</x:v>
      </x:c>
      <x:c r="D1936" s="84" t="n">
        <x:f>C1936^2-'Resumen'!$B$5^3/3</x:f>
        <x:v>-0.26787776649445016</x:v>
      </x:c>
      <x:c r="E1936" s="85" t="n">
        <x:f>D1936+'Resumen'!$B$5^3/3</x:f>
        <x:v>0.06545556683888315</x:v>
      </x:c>
    </x:row>
    <x:row r="1937">
      <x:c r="A1937" s="89" t="n">
        <x:v>1935</x:v>
      </x:c>
      <x:c r="B1937" s="80" t="n">
        <x:v>0.5620637793876837</x:v>
      </x:c>
      <x:c r="C1937" s="84" t="n">
        <x:f>SQRT('Resumen'!$B$5^3/3)*B1937</x:f>
        <x:v>0.3245076743312176</x:v>
      </x:c>
      <x:c r="D1937" s="84" t="n">
        <x:f>C1937^2-'Resumen'!$B$5^3/3</x:f>
        <x:v>-0.22802810263347775</x:v>
      </x:c>
      <x:c r="E1937" s="85" t="n">
        <x:f>D1937+'Resumen'!$B$5^3/3</x:f>
        <x:v>0.10530523069985556</x:v>
      </x:c>
    </x:row>
    <x:row r="1938">
      <x:c r="A1938" s="89" t="n">
        <x:v>1936</x:v>
      </x:c>
      <x:c r="B1938" s="80" t="n">
        <x:v>0.09342452619181436</x:v>
      </x:c>
      <x:c r="C1938" s="84" t="n">
        <x:f>SQRT('Resumen'!$B$5^3/3)*B1938</x:f>
        <x:v>0.05393867534575726</x:v>
      </x:c>
      <x:c r="D1938" s="84" t="n">
        <x:f>C1938^2-'Resumen'!$B$5^3/3</x:f>
        <x:v>-0.3304239526352783</x:v>
      </x:c>
      <x:c r="E1938" s="85" t="n">
        <x:f>D1938+'Resumen'!$B$5^3/3</x:f>
        <x:v>0.0029093806980550196</x:v>
      </x:c>
    </x:row>
    <x:row r="1939">
      <x:c r="A1939" s="89" t="n">
        <x:v>1937</x:v>
      </x:c>
      <x:c r="B1939" s="80" t="n">
        <x:v>-0.37621027236144244</x:v>
      </x:c>
      <x:c r="C1939" s="84" t="n">
        <x:f>SQRT('Resumen'!$B$5^3/3)*B1939</x:f>
        <x:v>-0.21720510201978122</x:v>
      </x:c>
      <x:c r="D1939" s="84" t="n">
        <x:f>C1939^2-'Resumen'!$B$5^3/3</x:f>
        <x:v>-0.2861552769899097</x:v>
      </x:c>
      <x:c r="E1939" s="85" t="n">
        <x:f>D1939+'Resumen'!$B$5^3/3</x:f>
        <x:v>0.04717805634342359</x:v>
      </x:c>
    </x:row>
    <x:row r="1940">
      <x:c r="A1940" s="89" t="n">
        <x:v>1938</x:v>
      </x:c>
      <x:c r="B1940" s="80" t="n">
        <x:v>-0.7387001661656103</x:v>
      </x:c>
      <x:c r="C1940" s="84" t="n">
        <x:f>SQRT('Resumen'!$B$5^3/3)*B1940</x:f>
        <x:v>-0.4264887397861364</x:v>
      </x:c>
      <x:c r="D1940" s="84" t="n">
        <x:f>C1940^2-'Resumen'!$B$5^3/3</x:f>
        <x:v>-0.15144068816896655</x:v>
      </x:c>
      <x:c r="E1940" s="85" t="n">
        <x:f>D1940+'Resumen'!$B$5^3/3</x:f>
        <x:v>0.18189264516436676</x:v>
      </x:c>
    </x:row>
    <x:row r="1941">
      <x:c r="A1941" s="89" t="n">
        <x:v>1939</x:v>
      </x:c>
      <x:c r="B1941" s="80" t="n">
        <x:v>1.7748308312998848</x:v>
      </x:c>
      <x:c r="C1941" s="84" t="n">
        <x:f>SQRT('Resumen'!$B$5^3/3)*B1941</x:f>
        <x:v>1.0246990582170357</x:v>
      </x:c>
      <x:c r="D1941" s="84" t="n">
        <x:f>C1941^2-'Resumen'!$B$5^3/3</x:f>
        <x:v>0.7166748265775467</x:v>
      </x:c>
      <x:c r="E1941" s="85" t="n">
        <x:f>D1941+'Resumen'!$B$5^3/3</x:f>
        <x:v>1.05000815991088</x:v>
      </x:c>
    </x:row>
    <x:row r="1942">
      <x:c r="A1942" s="89" t="n">
        <x:v>1940</x:v>
      </x:c>
      <x:c r="B1942" s="80" t="n">
        <x:v>1.494522045644601</x:v>
      </x:c>
      <x:c r="C1942" s="84" t="n">
        <x:f>SQRT('Resumen'!$B$5^3/3)*B1942</x:f>
        <x:v>0.8628627053627405</x:v>
      </x:c>
      <x:c r="D1942" s="84" t="n">
        <x:f>C1942^2-'Resumen'!$B$5^3/3</x:f>
        <x:v>0.41119871497257415</x:v>
      </x:c>
      <x:c r="E1942" s="85" t="n">
        <x:f>D1942+'Resumen'!$B$5^3/3</x:f>
        <x:v>0.7445320483059075</x:v>
      </x:c>
    </x:row>
    <x:row r="1943">
      <x:c r="A1943" s="89" t="n">
        <x:v>1941</x:v>
      </x:c>
      <x:c r="B1943" s="80" t="n">
        <x:v>0.7531150977038494</x:v>
      </x:c>
      <x:c r="C1943" s="84" t="n">
        <x:f>SQRT('Resumen'!$B$5^3/3)*B1943</x:f>
        <x:v>0.43481120439008875</x:v>
      </x:c>
      <x:c r="D1943" s="84" t="n">
        <x:f>C1943^2-'Resumen'!$B$5^3/3</x:f>
        <x:v>-0.1442725498701738</x:v>
      </x:c>
      <x:c r="E1943" s="85" t="n">
        <x:f>D1943+'Resumen'!$B$5^3/3</x:f>
        <x:v>0.18906078346315952</x:v>
      </x:c>
    </x:row>
    <x:row r="1944">
      <x:c r="A1944" s="89" t="n">
        <x:v>1942</x:v>
      </x:c>
      <x:c r="B1944" s="80" t="n">
        <x:v>-0.7151541853544175</x:v>
      </x:c>
      <x:c r="C1944" s="84" t="n">
        <x:f>SQRT('Resumen'!$B$5^3/3)*B1944</x:f>
        <x:v>-0.41289446142646047</x:v>
      </x:c>
      <x:c r="D1944" s="84" t="n">
        <x:f>C1944^2-'Resumen'!$B$5^3/3</x:f>
        <x:v>-0.16285149705668647</x:v>
      </x:c>
      <x:c r="E1944" s="85" t="n">
        <x:f>D1944+'Resumen'!$B$5^3/3</x:f>
        <x:v>0.17048183627664684</x:v>
      </x:c>
    </x:row>
    <x:row r="1945">
      <x:c r="A1945" s="89" t="n">
        <x:v>1943</x:v>
      </x:c>
      <x:c r="B1945" s="80" t="n">
        <x:v>-1.6988787047371323</x:v>
      </x:c>
      <x:c r="C1945" s="84" t="n">
        <x:f>SQRT('Resumen'!$B$5^3/3)*B1945</x:f>
        <x:v>-0.9808480775005061</x:v>
      </x:c>
      <x:c r="D1945" s="84" t="n">
        <x:f>C1945^2-'Resumen'!$B$5^3/3</x:f>
        <x:v>0.6287296178031054</x:v>
      </x:c>
      <x:c r="E1945" s="85" t="n">
        <x:f>D1945+'Resumen'!$B$5^3/3</x:f>
        <x:v>0.9620629511364387</x:v>
      </x:c>
    </x:row>
    <x:row r="1946">
      <x:c r="A1946" s="89" t="n">
        <x:v>1944</x:v>
      </x:c>
      <x:c r="B1946" s="80" t="n">
        <x:v>1.7132658931126252</x:v>
      </x:c>
      <x:c r="C1946" s="84" t="n">
        <x:f>SQRT('Resumen'!$B$5^3/3)*B1946</x:f>
        <x:v>0.9891545245819787</x:v>
      </x:c>
      <x:c r="D1946" s="84" t="n">
        <x:f>C1946^2-'Resumen'!$B$5^3/3</x:f>
        <x:v>0.6450933401676671</x:v>
      </x:c>
      <x:c r="E1946" s="85" t="n">
        <x:f>D1946+'Resumen'!$B$5^3/3</x:f>
        <x:v>0.9784266735010003</x:v>
      </x:c>
    </x:row>
    <x:row r="1947">
      <x:c r="A1947" s="89" t="n">
        <x:v>1945</x:v>
      </x:c>
      <x:c r="B1947" s="80" t="n">
        <x:v>-0.41980121842116824</x:v>
      </x:c>
      <x:c r="C1947" s="84" t="n">
        <x:f>SQRT('Resumen'!$B$5^3/3)*B1947</x:f>
        <x:v>-0.24237234646159436</x:v>
      </x:c>
      <x:c r="D1947" s="84" t="n">
        <x:f>C1947^2-'Resumen'!$B$5^3/3</x:f>
        <x:v>-0.2745889790040342</x:v>
      </x:c>
      <x:c r="E1947" s="85" t="n">
        <x:f>D1947+'Resumen'!$B$5^3/3</x:f>
        <x:v>0.05874435432929914</x:v>
      </x:c>
    </x:row>
    <x:row r="1948">
      <x:c r="A1948" s="89" t="n">
        <x:v>1946</x:v>
      </x:c>
      <x:c r="B1948" s="80" t="n">
        <x:v>0.4425565567911257</x:v>
      </x:c>
      <x:c r="C1948" s="84" t="n">
        <x:f>SQRT('Resumen'!$B$5^3/3)*B1948</x:f>
        <x:v>0.2555101471949903</x:v>
      </x:c>
      <x:c r="D1948" s="84" t="n">
        <x:f>C1948^2-'Resumen'!$B$5^3/3</x:f>
        <x:v>-0.2680478980137277</x:v>
      </x:c>
      <x:c r="E1948" s="85" t="n">
        <x:f>D1948+'Resumen'!$B$5^3/3</x:f>
        <x:v>0.06528543531960562</x:v>
      </x:c>
    </x:row>
    <x:row r="1949">
      <x:c r="A1949" s="89" t="n">
        <x:v>1947</x:v>
      </x:c>
      <x:c r="B1949" s="80" t="n">
        <x:v>0.8327504547011381</x:v>
      </x:c>
      <x:c r="C1949" s="84" t="n">
        <x:f>SQRT('Resumen'!$B$5^3/3)*B1949</x:f>
        <x:v>0.4807886991894853</x:v>
      </x:c>
      <x:c r="D1949" s="84" t="n">
        <x:f>C1949^2-'Resumen'!$B$5^3/3</x:f>
        <x:v>-0.10217556006501594</x:v>
      </x:c>
      <x:c r="E1949" s="85" t="n">
        <x:f>D1949+'Resumen'!$B$5^3/3</x:f>
        <x:v>0.23115777326831738</x:v>
      </x:c>
    </x:row>
    <x:row r="1950">
      <x:c r="A1950" s="89" t="n">
        <x:v>1948</x:v>
      </x:c>
      <x:c r="B1950" s="80" t="n">
        <x:v>0.9557769619749613</x:v>
      </x:c>
      <x:c r="C1950" s="84" t="n">
        <x:f>SQRT('Resumen'!$B$5^3/3)*B1950</x:f>
        <x:v>0.5518180862814865</x:v>
      </x:c>
      <x:c r="D1950" s="84" t="n">
        <x:f>C1950^2-'Resumen'!$B$5^3/3</x:f>
        <x:v>-0.028830132985971202</x:v>
      </x:c>
      <x:c r="E1950" s="85" t="n">
        <x:f>D1950+'Resumen'!$B$5^3/3</x:f>
        <x:v>0.3045032003473621</x:v>
      </x:c>
    </x:row>
    <x:row r="1951">
      <x:c r="A1951" s="89" t="n">
        <x:v>1949</x:v>
      </x:c>
      <x:c r="B1951" s="80" t="n">
        <x:v>-0.19296488102771042</x:v>
      </x:c>
      <x:c r="C1951" s="84" t="n">
        <x:f>SQRT('Resumen'!$B$5^3/3)*B1951</x:f>
        <x:v>-0.11140832600549272</x:v>
      </x:c>
      <x:c r="D1951" s="84" t="n">
        <x:f>C1951^2-'Resumen'!$B$5^3/3</x:f>
        <x:v>-0.32092151822998716</x:v>
      </x:c>
      <x:c r="E1951" s="85" t="n">
        <x:f>D1951+'Resumen'!$B$5^3/3</x:f>
        <x:v>0.012411815103346158</x:v>
      </x:c>
    </x:row>
    <x:row r="1952">
      <x:c r="A1952" s="89" t="n">
        <x:v>1950</x:v>
      </x:c>
      <x:c r="B1952" s="80" t="n">
        <x:v>0.1089892687389766</x:v>
      </x:c>
      <x:c r="C1952" s="84" t="n">
        <x:f>SQRT('Resumen'!$B$5^3/3)*B1952</x:f>
        <x:v>0.0629249836452286</x:v>
      </x:c>
      <x:c r="D1952" s="84" t="n">
        <x:f>C1952^2-'Resumen'!$B$5^3/3</x:f>
        <x:v>-0.32937377976658105</x:v>
      </x:c>
      <x:c r="E1952" s="85" t="n">
        <x:f>D1952+'Resumen'!$B$5^3/3</x:f>
        <x:v>0.003959553566752261</x:v>
      </x:c>
    </x:row>
    <x:row r="1953">
      <x:c r="A1953" s="89" t="n">
        <x:v>1951</x:v>
      </x:c>
      <x:c r="B1953" s="80" t="n">
        <x:v>-0.35555683307198904</x:v>
      </x:c>
      <x:c r="C1953" s="84" t="n">
        <x:f>SQRT('Resumen'!$B$5^3/3)*B1953</x:f>
        <x:v>-0.20528083328632368</x:v>
      </x:c>
      <x:c r="D1953" s="84" t="n">
        <x:f>C1953^2-'Resumen'!$B$5^3/3</x:f>
        <x:v>-0.2911931128186059</x:v>
      </x:c>
      <x:c r="E1953" s="85" t="n">
        <x:f>D1953+'Resumen'!$B$5^3/3</x:f>
        <x:v>0.04214022051472743</x:v>
      </x:c>
    </x:row>
    <x:row r="1954">
      <x:c r="A1954" s="89" t="n">
        <x:v>1952</x:v>
      </x:c>
      <x:c r="B1954" s="80" t="n">
        <x:v>0.09171805392012009</x:v>
      </x:c>
      <x:c r="C1954" s="84" t="n">
        <x:f>SQRT('Resumen'!$B$5^3/3)*B1954</x:f>
        <x:v>0.052953443120329936</x:v>
      </x:c>
      <x:c r="D1954" s="84" t="n">
        <x:f>C1954^2-'Resumen'!$B$5^3/3</x:f>
        <x:v>-0.3305292661950353</x:v>
      </x:c>
      <x:c r="E1954" s="85" t="n">
        <x:f>D1954+'Resumen'!$B$5^3/3</x:f>
        <x:v>0.0028040671382980054</x:v>
      </x:c>
    </x:row>
    <x:row r="1955">
      <x:c r="A1955" s="89" t="n">
        <x:v>1953</x:v>
      </x:c>
      <x:c r="B1955" s="80" t="n">
        <x:v>-0.5146606947466199</x:v>
      </x:c>
      <x:c r="C1955" s="84" t="n">
        <x:f>SQRT('Resumen'!$B$5^3/3)*B1955</x:f>
        <x:v>-0.2971394906532808</x:v>
      </x:c>
      <x:c r="D1955" s="84" t="n">
        <x:f>C1955^2-'Resumen'!$B$5^3/3</x:f>
        <x:v>-0.24504145642764213</x:v>
      </x:c>
      <x:c r="E1955" s="85" t="n">
        <x:f>D1955+'Resumen'!$B$5^3/3</x:f>
        <x:v>0.08829187690569118</x:v>
      </x:c>
    </x:row>
    <x:row r="1956">
      <x:c r="A1956" s="89" t="n">
        <x:v>1954</x:v>
      </x:c>
      <x:c r="B1956" s="80" t="n">
        <x:v>-0.09730060656395233</x:v>
      </x:c>
      <x:c r="C1956" s="84" t="n">
        <x:f>SQRT('Resumen'!$B$5^3/3)*B1956</x:f>
        <x:v>-0.05617653139201174</x:v>
      </x:c>
      <x:c r="D1956" s="84" t="n">
        <x:f>C1956^2-'Resumen'!$B$5^3/3</x:f>
        <x:v>-0.3301775306540956</x:v>
      </x:c>
      <x:c r="E1956" s="85" t="n">
        <x:f>D1956+'Resumen'!$B$5^3/3</x:f>
        <x:v>0.003155802679237707</x:v>
      </x:c>
    </x:row>
    <x:row r="1957">
      <x:c r="A1957" s="89" t="n">
        <x:v>1955</x:v>
      </x:c>
      <x:c r="B1957" s="80" t="n">
        <x:v>-0.6800132069843431</x:v>
      </x:c>
      <x:c r="C1957" s="84" t="n">
        <x:f>SQRT('Resumen'!$B$5^3/3)*B1957</x:f>
        <x:v>-0.39260580810491114</x:v>
      </x:c>
      <x:c r="D1957" s="84" t="n">
        <x:f>C1957^2-'Resumen'!$B$5^3/3</x:f>
        <x:v>-0.179194012775623</x:v>
      </x:c>
      <x:c r="E1957" s="85" t="n">
        <x:f>D1957+'Resumen'!$B$5^3/3</x:f>
        <x:v>0.15413932055771032</x:v>
      </x:c>
    </x:row>
    <x:row r="1958">
      <x:c r="A1958" s="89" t="n">
        <x:v>1956</x:v>
      </x:c>
      <x:c r="B1958" s="80" t="n">
        <x:v>0.478120330846769</x:v>
      </x:c>
      <x:c r="C1958" s="84" t="n">
        <x:f>SQRT('Resumen'!$B$5^3/3)*B1958</x:f>
        <x:v>0.27604290171941503</x:v>
      </x:c>
      <x:c r="D1958" s="84" t="n">
        <x:f>C1958^2-'Resumen'!$B$5^3/3</x:f>
        <x:v>-0.2571336497436587</x:v>
      </x:c>
      <x:c r="E1958" s="85" t="n">
        <x:f>D1958+'Resumen'!$B$5^3/3</x:f>
        <x:v>0.0761996835896746</x:v>
      </x:c>
    </x:row>
    <x:row r="1959">
      <x:c r="A1959" s="89" t="n">
        <x:v>1957</x:v>
      </x:c>
      <x:c r="B1959" s="80" t="n">
        <x:v>-0.6107477905979706</x:v>
      </x:c>
      <x:c r="C1959" s="84" t="n">
        <x:f>SQRT('Resumen'!$B$5^3/3)*B1959</x:f>
        <x:v>-0.3526154013087075</x:v>
      </x:c>
      <x:c r="D1959" s="84" t="n">
        <x:f>C1959^2-'Resumen'!$B$5^3/3</x:f>
        <x:v>-0.20899571209323248</x:v>
      </x:c>
      <x:c r="E1959" s="85" t="n">
        <x:f>D1959+'Resumen'!$B$5^3/3</x:f>
        <x:v>0.12433762124010084</x:v>
      </x:c>
    </x:row>
    <x:row r="1960">
      <x:c r="A1960" s="89" t="n">
        <x:v>1958</x:v>
      </x:c>
      <x:c r="B1960" s="80" t="n">
        <x:v>1.531709344257964</x:v>
      </x:c>
      <x:c r="C1960" s="84" t="n">
        <x:f>SQRT('Resumen'!$B$5^3/3)*B1960</x:f>
        <x:v>0.8843328022276006</x:v>
      </x:c>
      <x:c r="D1960" s="84" t="n">
        <x:f>C1960^2-'Resumen'!$B$5^3/3</x:f>
        <x:v>0.44871117176238723</x:v>
      </x:c>
      <x:c r="E1960" s="85" t="n">
        <x:f>D1960+'Resumen'!$B$5^3/3</x:f>
        <x:v>0.7820445050957205</x:v>
      </x:c>
    </x:row>
    <x:row r="1961">
      <x:c r="A1961" s="89" t="n">
        <x:v>1959</x:v>
      </x:c>
      <x:c r="B1961" s="80" t="n">
        <x:v>0.5396764572620171</x:v>
      </x:c>
      <x:c r="C1961" s="84" t="n">
        <x:f>SQRT('Resumen'!$B$5^3/3)*B1961</x:f>
        <x:v>0.31158234787552913</x:v>
      </x:c>
      <x:c r="D1961" s="84" t="n">
        <x:f>C1961^2-'Resumen'!$B$5^3/3</x:f>
        <x:v>-0.23624977382570606</x:v>
      </x:c>
      <x:c r="E1961" s="85" t="n">
        <x:f>D1961+'Resumen'!$B$5^3/3</x:f>
        <x:v>0.09708355950762726</x:v>
      </x:c>
    </x:row>
    <x:row r="1962">
      <x:c r="A1962" s="89" t="n">
        <x:v>1960</x:v>
      </x:c>
      <x:c r="B1962" s="80" t="n">
        <x:v>1.2271497140700869</x:v>
      </x:c>
      <x:c r="C1962" s="84" t="n">
        <x:f>SQRT('Resumen'!$B$5^3/3)*B1962</x:f>
        <x:v>0.7084952177543369</x:v>
      </x:c>
      <x:c r="D1962" s="84" t="n">
        <x:f>C1962^2-'Resumen'!$B$5^3/3</x:f>
        <x:v>0.16863214024743195</x:v>
      </x:c>
      <x:c r="E1962" s="85" t="n">
        <x:f>D1962+'Resumen'!$B$5^3/3</x:f>
        <x:v>0.5019654735807653</x:v>
      </x:c>
    </x:row>
    <x:row r="1963">
      <x:c r="A1963" s="89" t="n">
        <x:v>1961</x:v>
      </x:c>
      <x:c r="B1963" s="80" t="n">
        <x:v>-1.6790528252942514</x:v>
      </x:c>
      <x:c r="C1963" s="84" t="n">
        <x:f>SQRT('Resumen'!$B$5^3/3)*B1963</x:f>
        <x:v>-0.9694016006672377</x:v>
      </x:c>
      <x:c r="D1963" s="84" t="n">
        <x:f>C1963^2-'Resumen'!$B$5^3/3</x:f>
        <x:v>0.6064061300428691</x:v>
      </x:c>
      <x:c r="E1963" s="85" t="n">
        <x:f>D1963+'Resumen'!$B$5^3/3</x:f>
        <x:v>0.9397394633762024</x:v>
      </x:c>
    </x:row>
    <x:row r="1964">
      <x:c r="A1964" s="89" t="n">
        <x:v>1962</x:v>
      </x:c>
      <x:c r="B1964" s="80" t="n">
        <x:v>-0.19528548257955292</x:v>
      </x:c>
      <x:c r="C1964" s="84" t="n">
        <x:f>SQRT('Resumen'!$B$5^3/3)*B1964</x:f>
        <x:v>-0.11274812593613084</x:v>
      </x:c>
      <x:c r="D1964" s="84" t="n">
        <x:f>C1964^2-'Resumen'!$B$5^3/3</x:f>
        <x:v>-0.3206211934312237</x:v>
      </x:c>
      <x:c r="E1964" s="85" t="n">
        <x:f>D1964+'Resumen'!$B$5^3/3</x:f>
        <x:v>0.01271213990210962</x:v>
      </x:c>
    </x:row>
    <x:row r="1965">
      <x:c r="A1965" s="89" t="n">
        <x:v>1963</x:v>
      </x:c>
      <x:c r="B1965" s="80" t="n">
        <x:v>0.5757745646070894</x:v>
      </x:c>
      <x:c r="C1965" s="84" t="n">
        <x:f>SQRT('Resumen'!$B$5^3/3)*B1965</x:f>
        <x:v>0.3324235998684426</x:v>
      </x:c>
      <x:c r="D1965" s="84" t="n">
        <x:f>C1965^2-'Resumen'!$B$5^3/3</x:f>
        <x:v>-0.22282788358383887</x:v>
      </x:c>
      <x:c r="E1965" s="85" t="n">
        <x:f>D1965+'Resumen'!$B$5^3/3</x:f>
        <x:v>0.11050544974949444</x:v>
      </x:c>
    </x:row>
    <x:row r="1966">
      <x:c r="A1966" s="89" t="n">
        <x:v>1964</x:v>
      </x:c>
      <x:c r="B1966" s="80" t="n">
        <x:v>-0.08257778483352504</x:v>
      </x:c>
      <x:c r="C1966" s="84" t="n">
        <x:f>SQRT('Resumen'!$B$5^3/3)*B1966</x:f>
        <x:v>-0.04767630630271868</x:v>
      </x:c>
      <x:c r="D1966" s="84" t="n">
        <x:f>C1966^2-'Resumen'!$B$5^3/3</x:f>
        <x:v>-0.33106030315066265</x:v>
      </x:c>
      <x:c r="E1966" s="85" t="n">
        <x:f>D1966+'Resumen'!$B$5^3/3</x:f>
        <x:v>0.0022730301826706656</x:v>
      </x:c>
    </x:row>
    <x:row r="1967">
      <x:c r="A1967" s="89" t="n">
        <x:v>1965</x:v>
      </x:c>
      <x:c r="B1967" s="80" t="n">
        <x:v>0.025928312361777592</x:v>
      </x:c>
      <x:c r="C1967" s="84" t="n">
        <x:f>SQRT('Resumen'!$B$5^3/3)*B1967</x:f>
        <x:v>0.014969718121704993</x:v>
      </x:c>
      <x:c r="D1967" s="84" t="n">
        <x:f>C1967^2-'Resumen'!$B$5^3/3</x:f>
        <x:v>-0.33310924087269</x:v>
      </x:c>
      <x:c r="E1967" s="85" t="n">
        <x:f>D1967+'Resumen'!$B$5^3/3</x:f>
        <x:v>0.00022409246064331034</x:v>
      </x:c>
    </x:row>
    <x:row r="1968">
      <x:c r="A1968" s="89" t="n">
        <x:v>1966</x:v>
      </x:c>
      <x:c r="B1968" s="80" t="n">
        <x:v>0.6379769924598078</x:v>
      </x:c>
      <x:c r="C1968" s="84" t="n">
        <x:f>SQRT('Resumen'!$B$5^3/3)*B1968</x:f>
        <x:v>0.3683361883334578</x:v>
      </x:c>
      <x:c r="D1968" s="84" t="n">
        <x:f>C1968^2-'Resumen'!$B$5^3/3</x:f>
        <x:v>-0.1976617856973128</x:v>
      </x:c>
      <x:c r="E1968" s="85" t="n">
        <x:f>D1968+'Resumen'!$B$5^3/3</x:f>
        <x:v>0.13567154763602052</x:v>
      </x:c>
    </x:row>
    <x:row r="1969">
      <x:c r="A1969" s="89" t="n">
        <x:v>1967</x:v>
      </x:c>
      <x:c r="B1969" s="80" t="n">
        <x:v>-0.9235605202883275</x:v>
      </x:c>
      <x:c r="C1969" s="84" t="n">
        <x:f>SQRT('Resumen'!$B$5^3/3)*B1969</x:f>
        <x:v>-0.5332179150013766</x:v>
      </x:c>
      <x:c r="D1969" s="84" t="n">
        <x:f>C1969^2-'Resumen'!$B$5^3/3</x:f>
        <x:v>-0.049011988454918</x:v>
      </x:c>
      <x:c r="E1969" s="85" t="n">
        <x:f>D1969+'Resumen'!$B$5^3/3</x:f>
        <x:v>0.2843213448784153</x:v>
      </x:c>
    </x:row>
    <x:row r="1970">
      <x:c r="A1970" s="89" t="n">
        <x:v>1968</x:v>
      </x:c>
      <x:c r="B1970" s="80" t="n">
        <x:v>-0.660323435924428</x:v>
      </x:c>
      <x:c r="C1970" s="84" t="n">
        <x:f>SQRT('Resumen'!$B$5^3/3)*B1970</x:f>
        <x:v>-0.3812379134831871</x:v>
      </x:c>
      <x:c r="D1970" s="84" t="n">
        <x:f>C1970^2-'Resumen'!$B$5^3/3</x:f>
        <x:v>-0.18799098665631928</x:v>
      </x:c>
      <x:c r="E1970" s="85" t="n">
        <x:f>D1970+'Resumen'!$B$5^3/3</x:f>
        <x:v>0.14534234667701404</x:v>
      </x:c>
    </x:row>
    <x:row r="1971">
      <x:c r="A1971" s="89" t="n">
        <x:v>1969</x:v>
      </x:c>
      <x:c r="B1971" s="80" t="n">
        <x:v>1.4338231503824583</x:v>
      </x:c>
      <x:c r="C1971" s="84" t="n">
        <x:f>SQRT('Resumen'!$B$5^3/3)*B1971</x:f>
        <x:v>0.8278181818436295</x:v>
      </x:c>
      <x:c r="D1971" s="84" t="n">
        <x:f>C1971^2-'Resumen'!$B$5^3/3</x:f>
        <x:v>0.35194960885755916</x:v>
      </x:c>
      <x:c r="E1971" s="85" t="n">
        <x:f>D1971+'Resumen'!$B$5^3/3</x:f>
        <x:v>0.6852829421908925</x:v>
      </x:c>
    </x:row>
    <x:row r="1972">
      <x:c r="A1972" s="89" t="n">
        <x:v>1970</x:v>
      </x:c>
      <x:c r="B1972" s="80" t="n">
        <x:v>-0.8418633824617784</x:v>
      </x:c>
      <x:c r="C1972" s="84" t="n">
        <x:f>SQRT('Resumen'!$B$5^3/3)*B1972</x:f>
        <x:v>-0.4860500504851966</x:v>
      </x:c>
      <x:c r="D1972" s="84" t="n">
        <x:f>C1972^2-'Resumen'!$B$5^3/3</x:f>
        <x:v>-0.09708868175667112</x:v>
      </x:c>
      <x:c r="E1972" s="85" t="n">
        <x:f>D1972+'Resumen'!$B$5^3/3</x:f>
        <x:v>0.2362446515766622</x:v>
      </x:c>
    </x:row>
    <x:row r="1973">
      <x:c r="A1973" s="89" t="n">
        <x:v>1971</x:v>
      </x:c>
      <x:c r="B1973" s="80" t="n">
        <x:v>-0.5327726013578755</x:v>
      </x:c>
      <x:c r="C1973" s="84" t="n">
        <x:f>SQRT('Resumen'!$B$5^3/3)*B1973</x:f>
        <x:v>-0.3075964048108266</x:v>
      </x:c>
      <x:c r="D1973" s="84" t="n">
        <x:f>C1973^2-'Resumen'!$B$5^3/3</x:f>
        <x:v>-0.2387177850807874</x:v>
      </x:c>
      <x:c r="E1973" s="85" t="n">
        <x:f>D1973+'Resumen'!$B$5^3/3</x:f>
        <x:v>0.09461554825254592</x:v>
      </x:c>
    </x:row>
    <x:row r="1974">
      <x:c r="A1974" s="89" t="n">
        <x:v>1972</x:v>
      </x:c>
      <x:c r="B1974" s="80" t="n">
        <x:v>0.438514107493244</x:v>
      </x:c>
      <x:c r="C1974" s="84" t="n">
        <x:f>SQRT('Resumen'!$B$5^3/3)*B1974</x:f>
        <x:v>0.25317623800467287</x:v>
      </x:c>
      <x:c r="D1974" s="84" t="n">
        <x:f>C1974^2-'Resumen'!$B$5^3/3</x:f>
        <x:v>-0.2692351258431346</x:v>
      </x:c>
      <x:c r="E1974" s="85" t="n">
        <x:f>D1974+'Resumen'!$B$5^3/3</x:f>
        <x:v>0.06409820749019873</x:v>
      </x:c>
    </x:row>
    <x:row r="1975">
      <x:c r="A1975" s="89" t="n">
        <x:v>1973</x:v>
      </x:c>
      <x:c r="B1975" s="80" t="n">
        <x:v>0.16002104138739845</x:v>
      </x:c>
      <x:c r="C1975" s="84" t="n">
        <x:f>SQRT('Resumen'!$B$5^3/3)*B1975</x:f>
        <x:v>0.09238819132101873</x:v>
      </x:c>
      <x:c r="D1975" s="84" t="n">
        <x:f>C1975^2-'Resumen'!$B$5^3/3</x:f>
        <x:v>-0.3247977554377642</x:v>
      </x:c>
      <x:c r="E1975" s="85" t="n">
        <x:f>D1975+'Resumen'!$B$5^3/3</x:f>
        <x:v>0.008535577895569135</x:v>
      </x:c>
    </x:row>
    <x:row r="1976">
      <x:c r="A1976" s="89" t="n">
        <x:v>1974</x:v>
      </x:c>
      <x:c r="B1976" s="80" t="n">
        <x:v>1.1131477074987735</x:v>
      </x:c>
      <x:c r="C1976" s="84" t="n">
        <x:f>SQRT('Resumen'!$B$5^3/3)*B1976</x:f>
        <x:v>0.6426761285722317</x:v>
      </x:c>
      <x:c r="D1976" s="84" t="n">
        <x:f>C1976^2-'Resumen'!$B$5^3/3</x:f>
        <x:v>0.07969927290325834</x:v>
      </x:c>
      <x:c r="E1976" s="85" t="n">
        <x:f>D1976+'Resumen'!$B$5^3/3</x:f>
        <x:v>0.41303260623659166</x:v>
      </x:c>
    </x:row>
    <x:row r="1977">
      <x:c r="A1977" s="89" t="n">
        <x:v>1975</x:v>
      </x:c>
      <x:c r="B1977" s="80" t="n">
        <x:v>0.1976893364684254</x:v>
      </x:c>
      <x:c r="C1977" s="84" t="n">
        <x:f>SQRT('Resumen'!$B$5^3/3)*B1977</x:f>
        <x:v>0.1141359916259639</x:v>
      </x:c>
      <x:c r="D1977" s="84" t="n">
        <x:f>C1977^2-'Resumen'!$B$5^3/3</x:f>
        <x:v>-0.3203063087488912</x:v>
      </x:c>
      <x:c r="E1977" s="85" t="n">
        <x:f>D1977+'Resumen'!$B$5^3/3</x:f>
        <x:v>0.013027024584442104</x:v>
      </x:c>
    </x:row>
    <x:row r="1978">
      <x:c r="A1978" s="89" t="n">
        <x:v>1976</x:v>
      </x:c>
      <x:c r="B1978" s="80" t="n">
        <x:v>0.5668448223624485</x:v>
      </x:c>
      <x:c r="C1978" s="84" t="n">
        <x:f>SQRT('Resumen'!$B$5^3/3)*B1978</x:f>
        <x:v>0.3272680107797052</x:v>
      </x:c>
      <x:c r="D1978" s="84" t="n">
        <x:f>C1978^2-'Resumen'!$B$5^3/3</x:f>
        <x:v>-0.2262289824536281</x:v>
      </x:c>
      <x:c r="E1978" s="85" t="n">
        <x:f>D1978+'Resumen'!$B$5^3/3</x:f>
        <x:v>0.10710435087970521</x:v>
      </x:c>
    </x:row>
    <x:row r="1979">
      <x:c r="A1979" s="89" t="n">
        <x:v>1977</x:v>
      </x:c>
      <x:c r="B1979" s="80" t="n">
        <x:v>0.5583703927212896</x:v>
      </x:c>
      <x:c r="C1979" s="84" t="n">
        <x:f>SQRT('Resumen'!$B$5^3/3)*B1979</x:f>
        <x:v>0.3223752965451536</x:v>
      </x:c>
      <x:c r="D1979" s="84" t="n">
        <x:f>C1979^2-'Resumen'!$B$5^3/3</x:f>
        <x:v>-0.22940750151075756</x:v>
      </x:c>
      <x:c r="E1979" s="85" t="n">
        <x:f>D1979+'Resumen'!$B$5^3/3</x:f>
        <x:v>0.10392583182257575</x:v>
      </x:c>
    </x:row>
    <x:row r="1980">
      <x:c r="A1980" s="89" t="n">
        <x:v>1978</x:v>
      </x:c>
      <x:c r="B1980" s="80" t="n">
        <x:v>1.3638147732349397</x:v>
      </x:c>
      <x:c r="C1980" s="84" t="n">
        <x:f>SQRT('Resumen'!$B$5^3/3)*B1980</x:f>
        <x:v>0.7873988264519808</x:v>
      </x:c>
      <x:c r="D1980" s="84" t="n">
        <x:f>C1980^2-'Resumen'!$B$5^3/3</x:f>
        <x:v>0.28666357856462327</x:v>
      </x:c>
      <x:c r="E1980" s="85" t="n">
        <x:f>D1980+'Resumen'!$B$5^3/3</x:f>
        <x:v>0.6199969118979566</x:v>
      </x:c>
    </x:row>
    <x:row r="1981">
      <x:c r="A1981" s="89" t="n">
        <x:v>1979</x:v>
      </x:c>
      <x:c r="B1981" s="80" t="n">
        <x:v>-1.0022152057931712</x:v>
      </x:c>
      <x:c r="C1981" s="84" t="n">
        <x:f>SQRT('Resumen'!$B$5^3/3)*B1981</x:f>
        <x:v>-0.5786292188506236</x:v>
      </x:c>
      <x:c r="D1981" s="84" t="n">
        <x:f>C1981^2-'Resumen'!$B$5^3/3</x:f>
        <x:v>0.0014784395743495105</x:v>
      </x:c>
      <x:c r="E1981" s="85" t="n">
        <x:f>D1981+'Resumen'!$B$5^3/3</x:f>
        <x:v>0.3348117729076828</x:v>
      </x:c>
    </x:row>
    <x:row r="1982">
      <x:c r="A1982" s="89" t="n">
        <x:v>1980</x:v>
      </x:c>
      <x:c r="B1982" s="80" t="n">
        <x:v>-0.6077506968345204</x:v>
      </x:c>
      <x:c r="C1982" s="84" t="n">
        <x:f>SQRT('Resumen'!$B$5^3/3)*B1982</x:f>
        <x:v>-0.350885028417593</x:v>
      </x:c>
      <x:c r="D1982" s="84" t="n">
        <x:f>C1982^2-'Resumen'!$B$5^3/3</x:f>
        <x:v>-0.21021303016571827</x:v>
      </x:c>
      <x:c r="E1982" s="85" t="n">
        <x:f>D1982+'Resumen'!$B$5^3/3</x:f>
        <x:v>0.12312030316761505</x:v>
      </x:c>
    </x:row>
    <x:row r="1983">
      <x:c r="A1983" s="89" t="n">
        <x:v>1981</x:v>
      </x:c>
      <x:c r="B1983" s="80" t="n">
        <x:v>-1.427067258931634</x:v>
      </x:c>
      <x:c r="C1983" s="84" t="n">
        <x:f>SQRT('Resumen'!$B$5^3/3)*B1983</x:f>
        <x:v>-0.8239176660958802</x:v>
      </x:c>
      <x:c r="D1983" s="84" t="n">
        <x:f>C1983^2-'Resumen'!$B$5^3/3</x:f>
        <x:v>0.3455069871715491</x:v>
      </x:c>
      <x:c r="E1983" s="85" t="n">
        <x:f>D1983+'Resumen'!$B$5^3/3</x:f>
        <x:v>0.6788403205048824</x:v>
      </x:c>
    </x:row>
    <x:row r="1984">
      <x:c r="A1984" s="89" t="n">
        <x:v>1982</x:v>
      </x:c>
      <x:c r="B1984" s="80" t="n">
        <x:v>-1.1116445067735408</x:v>
      </x:c>
      <x:c r="C1984" s="84" t="n">
        <x:f>SQRT('Resumen'!$B$5^3/3)*B1984</x:f>
        <x:v>-0.6418082552288725</x:v>
      </x:c>
      <x:c r="D1984" s="84" t="n">
        <x:f>C1984^2-'Resumen'!$B$5^3/3</x:f>
        <x:v>0.07858450314659626</x:v>
      </x:c>
      <x:c r="E1984" s="85" t="n">
        <x:f>D1984+'Resumen'!$B$5^3/3</x:f>
        <x:v>0.4119178364799296</x:v>
      </x:c>
    </x:row>
    <x:row r="1985">
      <x:c r="A1985" s="89" t="n">
        <x:v>1983</x:v>
      </x:c>
      <x:c r="B1985" s="80" t="n">
        <x:v>-1.3741441838165867</x:v>
      </x:c>
      <x:c r="C1985" s="84" t="n">
        <x:f>SQRT('Resumen'!$B$5^3/3)*B1985</x:f>
        <x:v>-0.7933625144318649</x:v>
      </x:c>
      <x:c r="D1985" s="84" t="n">
        <x:f>C1985^2-'Resumen'!$B$5^3/3</x:f>
        <x:v>0.2960907459723177</x:v>
      </x:c>
      <x:c r="E1985" s="85" t="n">
        <x:f>D1985+'Resumen'!$B$5^3/3</x:f>
        <x:v>0.629424079305651</x:v>
      </x:c>
    </x:row>
    <x:row r="1986">
      <x:c r="A1986" s="89" t="n">
        <x:v>1984</x:v>
      </x:c>
      <x:c r="B1986" s="80" t="n">
        <x:v>1.2946385361406552</x:v>
      </x:c>
      <x:c r="C1986" s="84" t="n">
        <x:f>SQRT('Resumen'!$B$5^3/3)*B1986</x:f>
        <x:v>0.7474599073440703</x:v>
      </x:c>
      <x:c r="D1986" s="84" t="n">
        <x:f>C1986^2-'Resumen'!$B$5^3/3</x:f>
        <x:v>0.2253629797534728</x:v>
      </x:c>
      <x:c r="E1986" s="85" t="n">
        <x:f>D1986+'Resumen'!$B$5^3/3</x:f>
        <x:v>0.5586963130868061</x:v>
      </x:c>
    </x:row>
    <x:row r="1987">
      <x:c r="A1987" s="89" t="n">
        <x:v>1985</x:v>
      </x:c>
      <x:c r="B1987" s="80" t="n">
        <x:v>0.24649285053392542</x:v>
      </x:c>
      <x:c r="C1987" s="84" t="n">
        <x:f>SQRT('Resumen'!$B$5^3/3)*B1987</x:f>
        <x:v>0.14231271360908002</x:v>
      </x:c>
      <x:c r="D1987" s="84" t="n">
        <x:f>C1987^2-'Resumen'!$B$5^3/3</x:f>
        <x:v>-0.3130804248785533</x:v>
      </x:c>
      <x:c r="E1987" s="85" t="n">
        <x:f>D1987+'Resumen'!$B$5^3/3</x:f>
        <x:v>0.020252908454780005</x:v>
      </x:c>
    </x:row>
    <x:row r="1988">
      <x:c r="A1988" s="89" t="n">
        <x:v>1986</x:v>
      </x:c>
      <x:c r="B1988" s="80" t="n">
        <x:v>-0.011525598858265854</x:v>
      </x:c>
      <x:c r="C1988" s="84" t="n">
        <x:f>SQRT('Resumen'!$B$5^3/3)*B1988</x:f>
        <x:v>-0.006654307603391434</x:v>
      </x:c>
      <x:c r="D1988" s="84" t="n">
        <x:f>C1988^2-'Resumen'!$B$5^3/3</x:f>
        <x:v>-0.33328905352365273</x:v>
      </x:c>
      <x:c r="E1988" s="85" t="n">
        <x:f>D1988+'Resumen'!$B$5^3/3</x:f>
        <x:v>0.00004427980968058076</x:v>
      </x:c>
    </x:row>
    <x:row r="1989">
      <x:c r="A1989" s="89" t="n">
        <x:v>1987</x:v>
      </x:c>
      <x:c r="B1989" s="80" t="n">
        <x:v>-0.9181903383030318</x:v>
      </x:c>
      <x:c r="C1989" s="84" t="n">
        <x:f>SQRT('Resumen'!$B$5^3/3)*B1989</x:f>
        <x:v>-0.5301174389865689</x:v>
      </x:c>
      <x:c r="D1989" s="84" t="n">
        <x:f>C1989^2-'Resumen'!$B$5^3/3</x:f>
        <x:v>-0.05230883421565469</x:v>
      </x:c>
      <x:c r="E1989" s="85" t="n">
        <x:f>D1989+'Resumen'!$B$5^3/3</x:f>
        <x:v>0.28102449911767863</x:v>
      </x:c>
    </x:row>
    <x:row r="1990">
      <x:c r="A1990" s="89" t="n">
        <x:v>1988</x:v>
      </x:c>
      <x:c r="B1990" s="80" t="n">
        <x:v>-0.41869825332460714</x:v>
      </x:c>
      <x:c r="C1990" s="84" t="n">
        <x:f>SQRT('Resumen'!$B$5^3/3)*B1990</x:f>
        <x:v>-0.24173554926618804</x:v>
      </x:c>
      <x:c r="D1990" s="84" t="n">
        <x:f>C1990^2-'Resumen'!$B$5^3/3</x:f>
        <x:v>-0.2748972575543077</x:v>
      </x:c>
      <x:c r="E1990" s="85" t="n">
        <x:f>D1990+'Resumen'!$B$5^3/3</x:f>
        <x:v>0.0584360757790256</x:v>
      </x:c>
    </x:row>
    <x:row r="1991">
      <x:c r="A1991" s="89" t="n">
        <x:v>1989</x:v>
      </x:c>
      <x:c r="B1991" s="80" t="n">
        <x:v>0.4323063984502515</x:v>
      </x:c>
      <x:c r="C1991" s="84" t="n">
        <x:f>SQRT('Resumen'!$B$5^3/3)*B1991</x:f>
        <x:v>0.2495922155176503</x:v>
      </x:c>
      <x:c r="D1991" s="84" t="n">
        <x:f>C1991^2-'Resumen'!$B$5^3/3</x:f>
        <x:v>-0.27103705928632416</x:v>
      </x:c>
      <x:c r="E1991" s="85" t="n">
        <x:f>D1991+'Resumen'!$B$5^3/3</x:f>
        <x:v>0.06229627404700916</x:v>
      </x:c>
    </x:row>
    <x:row r="1992">
      <x:c r="A1992" s="89" t="n">
        <x:v>1990</x:v>
      </x:c>
      <x:c r="B1992" s="80" t="n">
        <x:v>0.865364460196291</x:v>
      </x:c>
      <x:c r="C1992" s="84" t="n">
        <x:f>SQRT('Resumen'!$B$5^3/3)*B1992</x:f>
        <x:v>0.49961840404146374</x:v>
      </x:c>
      <x:c r="D1992" s="84" t="n">
        <x:f>C1992^2-'Resumen'!$B$5^3/3</x:f>
        <x:v>-0.08371478367639401</x:v>
      </x:c>
      <x:c r="E1992" s="85" t="n">
        <x:f>D1992+'Resumen'!$B$5^3/3</x:f>
        <x:v>0.2496185496569393</x:v>
      </x:c>
    </x:row>
    <x:row r="1993">
      <x:c r="A1993" s="89" t="n">
        <x:v>1991</x:v>
      </x:c>
      <x:c r="B1993" s="80" t="n">
        <x:v>-0.8729296902086543</x:v>
      </x:c>
      <x:c r="C1993" s="84" t="n">
        <x:f>SQRT('Resumen'!$B$5^3/3)*B1993</x:f>
        <x:v>-0.5039861916255831</x:v>
      </x:c>
      <x:c r="D1993" s="84" t="n">
        <x:f>C1993^2-'Resumen'!$B$5^3/3</x:f>
        <x:v>-0.07933125198407431</x:v>
      </x:c>
      <x:c r="E1993" s="85" t="n">
        <x:f>D1993+'Resumen'!$B$5^3/3</x:f>
        <x:v>0.254002081349259</x:v>
      </x:c>
    </x:row>
    <x:row r="1994">
      <x:c r="A1994" s="89" t="n">
        <x:v>1992</x:v>
      </x:c>
      <x:c r="B1994" s="80" t="n">
        <x:v>0.482924558550982</x:v>
      </x:c>
      <x:c r="C1994" s="84" t="n">
        <x:f>SQRT('Resumen'!$B$5^3/3)*B1994</x:f>
        <x:v>0.27881662387769063</x:v>
      </x:c>
      <x:c r="D1994" s="84" t="n">
        <x:f>C1994^2-'Resumen'!$B$5^3/3</x:f>
        <x:v>-0.25559462358277973</x:v>
      </x:c>
      <x:c r="E1994" s="85" t="n">
        <x:f>D1994+'Resumen'!$B$5^3/3</x:f>
        <x:v>0.07773870975055358</x:v>
      </x:c>
    </x:row>
    <x:row r="1995">
      <x:c r="A1995" s="89" t="n">
        <x:v>1993</x:v>
      </x:c>
      <x:c r="B1995" s="80" t="n">
        <x:v>0.7556008048463875</x:v>
      </x:c>
      <x:c r="C1995" s="84" t="n">
        <x:f>SQRT('Resumen'!$B$5^3/3)*B1995</x:f>
        <x:v>0.43624632807795966</x:v>
      </x:c>
      <x:c r="D1995" s="84" t="n">
        <x:f>C1995^2-'Resumen'!$B$5^3/3</x:f>
        <x:v>-0.1430224745718305</x:v>
      </x:c>
      <x:c r="E1995" s="85" t="n">
        <x:f>D1995+'Resumen'!$B$5^3/3</x:f>
        <x:v>0.1903108587615028</x:v>
      </x:c>
    </x:row>
    <x:row r="1996">
      <x:c r="A1996" s="89" t="n">
        <x:v>1994</x:v>
      </x:c>
      <x:c r="B1996" s="80" t="n">
        <x:v>-0.9350244242454462</x:v>
      </x:c>
      <x:c r="C1996" s="84" t="n">
        <x:f>SQRT('Resumen'!$B$5^3/3)*B1996</x:f>
        <x:v>-0.5398366030369832</x:v>
      </x:c>
      <x:c r="D1996" s="84" t="n">
        <x:f>C1996^2-'Resumen'!$B$5^3/3</x:f>
        <x:v>-0.04190977535482393</x:v>
      </x:c>
      <x:c r="E1996" s="85" t="n">
        <x:f>D1996+'Resumen'!$B$5^3/3</x:f>
        <x:v>0.2914235579785094</x:v>
      </x:c>
    </x:row>
    <x:row r="1997">
      <x:c r="A1997" s="89" t="n">
        <x:v>1995</x:v>
      </x:c>
      <x:c r="B1997" s="80" t="n">
        <x:v>1.2218938576064462</x:v>
      </x:c>
      <x:c r="C1997" s="84" t="n">
        <x:f>SQRT('Resumen'!$B$5^3/3)*B1997</x:f>
        <x:v>0.7054607476102319</x:v>
      </x:c>
      <x:c r="D1997" s="84" t="n">
        <x:f>C1997^2-'Resumen'!$B$5^3/3</x:f>
        <x:v>0.16434153308545402</x:v>
      </x:c>
      <x:c r="E1997" s="85" t="n">
        <x:f>D1997+'Resumen'!$B$5^3/3</x:f>
        <x:v>0.49767486641878733</x:v>
      </x:c>
    </x:row>
    <x:row r="1998">
      <x:c r="A1998" s="89" t="n">
        <x:v>1996</x:v>
      </x:c>
      <x:c r="B1998" s="80" t="n">
        <x:v>0.39840104198889403</x:v>
      </x:c>
      <x:c r="C1998" s="84" t="n">
        <x:f>SQRT('Resumen'!$B$5^3/3)*B1998</x:f>
        <x:v>0.23001694883771534</x:v>
      </x:c>
      <x:c r="D1998" s="84" t="n">
        <x:f>C1998^2-'Resumen'!$B$5^3/3</x:f>
        <x:v>-0.28042553658072117</x:v>
      </x:c>
      <x:c r="E1998" s="85" t="n">
        <x:f>D1998+'Resumen'!$B$5^3/3</x:f>
        <x:v>0.052907796752612146</x:v>
      </x:c>
    </x:row>
    <x:row r="1999">
      <x:c r="A1999" s="89" t="n">
        <x:v>1997</x:v>
      </x:c>
      <x:c r="B1999" s="80" t="n">
        <x:v>-0.07698898726899325</x:v>
      </x:c>
      <x:c r="C1999" s="84" t="n">
        <x:f>SQRT('Resumen'!$B$5^3/3)*B1999</x:f>
        <x:v>-0.04444961252438992</x:v>
      </x:c>
      <x:c r="D1999" s="84" t="n">
        <x:f>C1999^2-'Resumen'!$B$5^3/3</x:f>
        <x:v>-0.3313575652797649</x:v>
      </x:c>
      <x:c r="E1999" s="85" t="n">
        <x:f>D1999+'Resumen'!$B$5^3/3</x:f>
        <x:v>0.0019757680535684163</x:v>
      </x:c>
    </x:row>
    <x:row r="2000">
      <x:c r="A2000" s="89" t="n">
        <x:v>1998</x:v>
      </x:c>
      <x:c r="B2000" s="80" t="n">
        <x:v>-0.6973945045669546</x:v>
      </x:c>
      <x:c r="C2000" s="84" t="n">
        <x:f>SQRT('Resumen'!$B$5^3/3)*B2000</x:f>
        <x:v>-0.4026409049430969</x:v>
      </x:c>
      <x:c r="D2000" s="84" t="n">
        <x:f>C2000^2-'Resumen'!$B$5^3/3</x:f>
        <x:v>-0.17121363499993733</x:v>
      </x:c>
      <x:c r="E2000" s="85" t="n">
        <x:f>D2000+'Resumen'!$B$5^3/3</x:f>
        <x:v>0.16211969833339598</x:v>
      </x:c>
    </x:row>
    <x:row r="2001">
      <x:c r="A2001" s="89" t="n">
        <x:v>1999</x:v>
      </x:c>
      <x:c r="B2001" s="80" t="n">
        <x:v>0.16398361866144565</x:v>
      </x:c>
      <x:c r="C2001" s="84" t="n">
        <x:f>SQRT('Resumen'!$B$5^3/3)*B2001</x:f>
        <x:v>0.09467598637687458</x:v>
      </x:c>
      <x:c r="D2001" s="84" t="n">
        <x:f>C2001^2-'Resumen'!$B$5^3/3</x:f>
        <x:v>-0.32436979093689916</x:v>
      </x:c>
      <x:c r="E2001" s="85" t="n">
        <x:f>D2001+'Resumen'!$B$5^3/3</x:f>
        <x:v>0.008963542396434154</x:v>
      </x:c>
    </x:row>
    <x:row r="2002">
      <x:c r="A2002" s="89" t="n">
        <x:v>2000</x:v>
      </x:c>
      <x:c r="B2002" s="80" t="n">
        <x:v>-3.2505132828056262</x:v>
      </x:c>
      <x:c r="C2002" s="84" t="n">
        <x:f>SQRT('Resumen'!$B$5^3/3)*B2002</x:f>
        <x:v>-1.8766847188322824</x:v>
      </x:c>
      <x:c r="D2002" s="84" t="n">
        <x:f>C2002^2-'Resumen'!$B$5^3/3</x:f>
        <x:v>3.1886122005652693</x:v>
      </x:c>
      <x:c r="E2002" s="85" t="n">
        <x:f>D2002+'Resumen'!$B$5^3/3</x:f>
        <x:v>3.5219455338986028</x:v>
      </x:c>
    </x:row>
    <x:row r="2003">
      <x:c r="A2003" s="89" t="n">
        <x:v>2001</x:v>
      </x:c>
      <x:c r="B2003" s="80" t="n">
        <x:v>1.8472245136372782</x:v>
      </x:c>
      <x:c r="C2003" s="84" t="n">
        <x:f>SQRT('Resumen'!$B$5^3/3)*B2003</x:f>
        <x:v>1.0664955702021581</x:v>
      </x:c>
      <x:c r="D2003" s="84" t="n">
        <x:f>C2003^2-'Resumen'!$B$5^3/3</x:f>
        <x:v>0.8040794679274932</x:v>
      </x:c>
      <x:c r="E2003" s="85" t="n">
        <x:f>D2003+'Resumen'!$B$5^3/3</x:f>
        <x:v>1.1374128012608264</x:v>
      </x:c>
    </x:row>
    <x:row r="2004">
      <x:c r="A2004" s="89" t="n">
        <x:v>2002</x:v>
      </x:c>
      <x:c r="B2004" s="80" t="n">
        <x:v>0.09622096394611197</x:v>
      </x:c>
      <x:c r="C2004" s="84" t="n">
        <x:f>SQRT('Resumen'!$B$5^3/3)*B2004</x:f>
        <x:v>0.05555319943597302</x:v>
      </x:c>
      <x:c r="D2004" s="84" t="n">
        <x:f>C2004^2-'Resumen'!$B$5^3/3</x:f>
        <x:v>-0.3302471753657603</x:v>
      </x:c>
      <x:c r="E2004" s="85" t="n">
        <x:f>D2004+'Resumen'!$B$5^3/3</x:f>
        <x:v>0.003086157967573</x:v>
      </x:c>
    </x:row>
    <x:row r="2005">
      <x:c r="A2005" s="89" t="n">
        <x:v>2003</x:v>
      </x:c>
      <x:c r="B2005" s="80" t="n">
        <x:v>-0.30118456579350866</x:v>
      </x:c>
      <x:c r="C2005" s="84" t="n">
        <x:f>SQRT('Resumen'!$B$5^3/3)*B2005</x:f>
        <x:v>-0.17388899013664277</x:v>
      </x:c>
      <x:c r="D2005" s="84" t="n">
        <x:f>C2005^2-'Resumen'!$B$5^3/3</x:f>
        <x:v>-0.30309595244259185</x:v>
      </x:c>
      <x:c r="E2005" s="85" t="n">
        <x:f>D2005+'Resumen'!$B$5^3/3</x:f>
        <x:v>0.03023738089074146</x:v>
      </x:c>
    </x:row>
    <x:row r="2006">
      <x:c r="A2006" s="89" t="n">
        <x:v>2004</x:v>
      </x:c>
      <x:c r="B2006" s="80" t="n">
        <x:v>-0.4470528732836211</x:v>
      </x:c>
      <x:c r="C2006" s="84" t="n">
        <x:f>SQRT('Resumen'!$B$5^3/3)*B2006</x:f>
        <x:v>-0.2581060967322943</x:v>
      </x:c>
      <x:c r="D2006" s="84" t="n">
        <x:f>C2006^2-'Resumen'!$B$5^3/3</x:f>
        <x:v>-0.26671457616295285</x:v>
      </x:c>
      <x:c r="E2006" s="85" t="n">
        <x:f>D2006+'Resumen'!$B$5^3/3</x:f>
        <x:v>0.06661875717038046</x:v>
      </x:c>
    </x:row>
    <x:row r="2007">
      <x:c r="A2007" s="89" t="n">
        <x:v>2005</x:v>
      </x:c>
      <x:c r="B2007" s="80" t="n">
        <x:v>2.2912877139310406</x:v>
      </x:c>
      <x:c r="C2007" s="84" t="n">
        <x:f>SQRT('Resumen'!$B$5^3/3)*B2007</x:f>
        <x:v>1.3228755784289685</x:v>
      </x:c>
      <x:c r="D2007" s="84" t="n">
        <x:f>C2007^2-'Resumen'!$B$5^3/3</x:f>
        <x:v>1.4166664626704448</x:v>
      </x:c>
      <x:c r="E2007" s="85" t="n">
        <x:f>D2007+'Resumen'!$B$5^3/3</x:f>
        <x:v>1.749999796003778</x:v>
      </x:c>
    </x:row>
    <x:row r="2008">
      <x:c r="A2008" s="89" t="n">
        <x:v>2006</x:v>
      </x:c>
      <x:c r="B2008" s="80" t="n">
        <x:v>1.025199181382579</x:v>
      </x:c>
      <x:c r="C2008" s="84" t="n">
        <x:f>SQRT('Resumen'!$B$5^3/3)*B2008</x:f>
        <x:v>0.5918990233442158</x:v>
      </x:c>
      <x:c r="D2008" s="84" t="n">
        <x:f>C2008^2-'Resumen'!$B$5^3/3</x:f>
        <x:v>0.017011120502503252</x:v>
      </x:c>
      <x:c r="E2008" s="85" t="n">
        <x:f>D2008+'Resumen'!$B$5^3/3</x:f>
        <x:v>0.35034445383583657</x:v>
      </x:c>
    </x:row>
    <x:row r="2009">
      <x:c r="A2009" s="89" t="n">
        <x:v>2007</x:v>
      </x:c>
      <x:c r="B2009" s="80" t="n">
        <x:v>-1.02960850255101</x:v>
      </x:c>
      <x:c r="C2009" s="84" t="n">
        <x:f>SQRT('Resumen'!$B$5^3/3)*B2009</x:f>
        <x:v>-0.5944447461077531</x:v>
      </x:c>
      <x:c r="D2009" s="84" t="n">
        <x:f>C2009^2-'Resumen'!$B$5^3/3</x:f>
        <x:v>0.02003122284177772</x:v>
      </x:c>
      <x:c r="E2009" s="85" t="n">
        <x:f>D2009+'Resumen'!$B$5^3/3</x:f>
        <x:v>0.35336455617511103</x:v>
      </x:c>
    </x:row>
    <x:row r="2010">
      <x:c r="A2010" s="89" t="n">
        <x:v>2008</x:v>
      </x:c>
      <x:c r="B2010" s="80" t="n">
        <x:v>0.14962682568433427</x:v>
      </x:c>
      <x:c r="C2010" s="84" t="n">
        <x:f>SQRT('Resumen'!$B$5^3/3)*B2010</x:f>
        <x:v>0.0863870880868396</x:v>
      </x:c>
      <x:c r="D2010" s="84" t="n">
        <x:f>C2010^2-'Resumen'!$B$5^3/3</x:f>
        <x:v>-0.3258706043452099</x:v>
      </x:c>
      <x:c r="E2010" s="85" t="n">
        <x:f>D2010+'Resumen'!$B$5^3/3</x:f>
        <x:v>0.0074627289881233905</x:v>
      </x:c>
    </x:row>
    <x:row r="2011">
      <x:c r="A2011" s="89" t="n">
        <x:v>2009</x:v>
      </x:c>
      <x:c r="B2011" s="80" t="n">
        <x:v>0.8835771207982867</x:v>
      </x:c>
      <x:c r="C2011" s="84" t="n">
        <x:f>SQRT('Resumen'!$B$5^3/3)*B2011</x:f>
        <x:v>0.5101334885426853</x:v>
      </x:c>
      <x:c r="D2011" s="84" t="n">
        <x:f>C2011^2-'Resumen'!$B$5^3/3</x:f>
        <x:v>-0.07309715720060334</x:v>
      </x:c>
      <x:c r="E2011" s="85" t="n">
        <x:f>D2011+'Resumen'!$B$5^3/3</x:f>
        <x:v>0.26023617613273</x:v>
      </x:c>
    </x:row>
    <x:row r="2012">
      <x:c r="A2012" s="89" t="n">
        <x:v>2010</x:v>
      </x:c>
      <x:c r="B2012" s="80" t="n">
        <x:v>0.8768218443909881</x:v>
      </x:c>
      <x:c r="C2012" s="84" t="n">
        <x:f>SQRT('Resumen'!$B$5^3/3)*B2012</x:f>
        <x:v>0.5062333278904811</x:v>
      </x:c>
      <x:c r="D2012" s="84" t="n">
        <x:f>C2012^2-'Resumen'!$B$5^3/3</x:f>
        <x:v>-0.07706115106626193</x:v>
      </x:c>
      <x:c r="E2012" s="85" t="n">
        <x:f>D2012+'Resumen'!$B$5^3/3</x:f>
        <x:v>0.2562721822670714</x:v>
      </x:c>
    </x:row>
    <x:row r="2013">
      <x:c r="A2013" s="89" t="n">
        <x:v>2011</x:v>
      </x:c>
      <x:c r="B2013" s="80" t="n">
        <x:v>-0.27240131912484095</x:v>
      </x:c>
      <x:c r="C2013" s="84" t="n">
        <x:f>SQRT('Resumen'!$B$5^3/3)*B2013</x:f>
        <x:v>-0.15727097492433606</x:v>
      </x:c>
      <x:c r="D2013" s="84" t="n">
        <x:f>C2013^2-'Resumen'!$B$5^3/3</x:f>
        <x:v>-0.30859917377968216</x:v>
      </x:c>
      <x:c r="E2013" s="85" t="n">
        <x:f>D2013+'Resumen'!$B$5^3/3</x:f>
        <x:v>0.024734159553651158</x:v>
      </x:c>
    </x:row>
    <x:row r="2014">
      <x:c r="A2014" s="89" t="n">
        <x:v>2012</x:v>
      </x:c>
      <x:c r="B2014" s="80" t="n">
        <x:v>0.19069897079071452</x:v>
      </x:c>
      <x:c r="C2014" s="84" t="n">
        <x:f>SQRT('Resumen'!$B$5^3/3)*B2014</x:f>
        <x:v>0.1101001021202036</x:v>
      </x:c>
      <x:c r="D2014" s="84" t="n">
        <x:f>C2014^2-'Resumen'!$B$5^3/3</x:f>
        <x:v>-0.32121130084645405</x:v>
      </x:c>
      <x:c r="E2014" s="85" t="n">
        <x:f>D2014+'Resumen'!$B$5^3/3</x:f>
        <x:v>0.012122032486879264</x:v>
      </x:c>
    </x:row>
    <x:row r="2015">
      <x:c r="A2015" s="89" t="n">
        <x:v>2013</x:v>
      </x:c>
      <x:c r="B2015" s="80" t="n">
        <x:v>-1.4049786649565361</x:v>
      </x:c>
      <x:c r="C2015" s="84" t="n">
        <x:f>SQRT('Resumen'!$B$5^3/3)*B2015</x:f>
        <x:v>-0.8111648104183371</x:v>
      </x:c>
      <x:c r="D2015" s="84" t="n">
        <x:f>C2015^2-'Resumen'!$B$5^3/3</x:f>
        <x:v>0.3246550163276835</x:v>
      </x:c>
      <x:c r="E2015" s="85" t="n">
        <x:f>D2015+'Resumen'!$B$5^3/3</x:f>
        <x:v>0.6579883496610168</x:v>
      </x:c>
    </x:row>
    <x:row r="2016">
      <x:c r="A2016" s="89" t="n">
        <x:v>2014</x:v>
      </x:c>
      <x:c r="B2016" s="80" t="n">
        <x:v>-0.9666556305206468</x:v>
      </x:c>
      <x:c r="C2016" s="84" t="n">
        <x:f>SQRT('Resumen'!$B$5^3/3)*B2016</x:f>
        <x:v>-0.5580988884947629</x:v>
      </x:c>
      <x:c r="D2016" s="84" t="n">
        <x:f>C2016^2-'Resumen'!$B$5^3/3</x:f>
        <x:v>-0.021858963994243585</x:v>
      </x:c>
      <x:c r="E2016" s="85" t="n">
        <x:f>D2016+'Resumen'!$B$5^3/3</x:f>
        <x:v>0.31147436933908973</x:v>
      </x:c>
    </x:row>
    <x:row r="2017">
      <x:c r="A2017" s="89" t="n">
        <x:v>2015</x:v>
      </x:c>
      <x:c r="B2017" s="80" t="n">
        <x:v>-0.25513572776472876</x:v>
      </x:c>
      <x:c r="C2017" s="84" t="n">
        <x:f>SQRT('Resumen'!$B$5^3/3)*B2017</x:f>
        <x:v>-0.14730268110485722</x:v>
      </x:c>
      <x:c r="D2017" s="84" t="n">
        <x:f>C2017^2-'Resumen'!$B$5^3/3</x:f>
        <x:v>-0.31163525347265403</x:v>
      </x:c>
      <x:c r="E2017" s="85" t="n">
        <x:f>D2017+'Resumen'!$B$5^3/3</x:f>
        <x:v>0.021698079860679287</x:v>
      </x:c>
    </x:row>
    <x:row r="2018">
      <x:c r="A2018" s="89" t="n">
        <x:v>2016</x:v>
      </x:c>
      <x:c r="B2018" s="80" t="n">
        <x:v>0.2714246516171675</x:v>
      </x:c>
      <x:c r="C2018" s="84" t="n">
        <x:f>SQRT('Resumen'!$B$5^3/3)*B2018</x:f>
        <x:v>0.15670709567587204</x:v>
      </x:c>
      <x:c r="D2018" s="84" t="n">
        <x:f>C2018^2-'Resumen'!$B$5^3/3</x:f>
        <x:v>-0.3087762194981664</x:v>
      </x:c>
      <x:c r="E2018" s="85" t="n">
        <x:f>D2018+'Resumen'!$B$5^3/3</x:f>
        <x:v>0.0245571138351669</x:v>
      </x:c>
    </x:row>
    <x:row r="2019">
      <x:c r="A2019" s="89" t="n">
        <x:v>2017</x:v>
      </x:c>
      <x:c r="B2019" s="80" t="n">
        <x:v>-1.5080461532730476</x:v>
      </x:c>
      <x:c r="C2019" s="84" t="n">
        <x:f>SQRT('Resumen'!$B$5^3/3)*B2019</x:f>
        <x:v>-0.8706708525425736</x:v>
      </x:c>
      <x:c r="D2019" s="84" t="n">
        <x:f>C2019^2-'Resumen'!$B$5^3/3</x:f>
        <x:v>0.4247344001338786</x:v>
      </x:c>
      <x:c r="E2019" s="85" t="n">
        <x:f>D2019+'Resumen'!$B$5^3/3</x:f>
        <x:v>0.7580677334672119</x:v>
      </x:c>
    </x:row>
    <x:row r="2020">
      <x:c r="A2020" s="89" t="n">
        <x:v>2018</x:v>
      </x:c>
      <x:c r="B2020" s="80" t="n">
        <x:v>-1.334935364998865</x:v>
      </x:c>
      <x:c r="C2020" s="84" t="n">
        <x:f>SQRT('Resumen'!$B$5^3/3)*B2020</x:f>
        <x:v>-0.7707252923328459</x:v>
      </x:c>
      <x:c r="D2020" s="84" t="n">
        <x:f>C2020^2-'Resumen'!$B$5^3/3</x:f>
        <x:v>0.26068414290821745</x:v>
      </x:c>
      <x:c r="E2020" s="85" t="n">
        <x:f>D2020+'Resumen'!$B$5^3/3</x:f>
        <x:v>0.5940174762415508</x:v>
      </x:c>
    </x:row>
    <x:row r="2021">
      <x:c r="A2021" s="89" t="n">
        <x:v>2019</x:v>
      </x:c>
      <x:c r="B2021" s="80" t="n">
        <x:v>0.5156124127674879</x:v>
      </x:c>
      <x:c r="C2021" s="84" t="n">
        <x:f>SQRT('Resumen'!$B$5^3/3)*B2021</x:f>
        <x:v>0.29768896530882155</x:v>
      </x:c>
      <x:c r="D2021" s="84" t="n">
        <x:f>C2021^2-'Resumen'!$B$5^3/3</x:f>
        <x:v>-0.24471461326669655</x:v>
      </x:c>
      <x:c r="E2021" s="85" t="n">
        <x:f>D2021+'Resumen'!$B$5^3/3</x:f>
        <x:v>0.08861872006663676</x:v>
      </x:c>
    </x:row>
    <x:row r="2022">
      <x:c r="A2022" s="89" t="n">
        <x:v>2020</x:v>
      </x:c>
      <x:c r="B2022" s="80" t="n">
        <x:v>-1.4063209164298724</x:v>
      </x:c>
      <x:c r="C2022" s="84" t="n">
        <x:f>SQRT('Resumen'!$B$5^3/3)*B2022</x:f>
        <x:v>-0.811939759667788</x:v>
      </x:c>
      <x:c r="D2022" s="84" t="n">
        <x:f>C2022^2-'Resumen'!$B$5^3/3</x:f>
        <x:v>0.325912839996052</x:v>
      </x:c>
      <x:c r="E2022" s="85" t="n">
        <x:f>D2022+'Resumen'!$B$5^3/3</x:f>
        <x:v>0.6592461733293853</x:v>
      </x:c>
    </x:row>
    <x:row r="2023">
      <x:c r="A2023" s="89" t="n">
        <x:v>2021</x:v>
      </x:c>
      <x:c r="B2023" s="80" t="n">
        <x:v>-1.2622035204043964</x:v>
      </x:c>
      <x:c r="C2023" s="84" t="n">
        <x:f>SQRT('Resumen'!$B$5^3/3)*B2023</x:f>
        <x:v>-0.7287335422775715</x:v>
      </x:c>
      <x:c r="D2023" s="84" t="n">
        <x:f>C2023^2-'Resumen'!$B$5^3/3</x:f>
        <x:v>0.19771924230708376</x:v>
      </x:c>
      <x:c r="E2023" s="85" t="n">
        <x:f>D2023+'Resumen'!$B$5^3/3</x:f>
        <x:v>0.5310525756404171</x:v>
      </x:c>
    </x:row>
    <x:row r="2024">
      <x:c r="A2024" s="89" t="n">
        <x:v>2022</x:v>
      </x:c>
      <x:c r="B2024" s="80" t="n">
        <x:v>0.23636472522347168</x:v>
      </x:c>
      <x:c r="C2024" s="84" t="n">
        <x:f>SQRT('Resumen'!$B$5^3/3)*B2024</x:f>
        <x:v>0.1364652377347033</x:v>
      </x:c>
      <x:c r="D2024" s="84" t="n">
        <x:f>C2024^2-'Resumen'!$B$5^3/3</x:f>
        <x:v>-0.31471057222334425</x:v>
      </x:c>
      <x:c r="E2024" s="85" t="n">
        <x:f>D2024+'Resumen'!$B$5^3/3</x:f>
        <x:v>0.01862276110998906</x:v>
      </x:c>
    </x:row>
    <x:row r="2025">
      <x:c r="A2025" s="89" t="n">
        <x:v>2023</x:v>
      </x:c>
      <x:c r="B2025" s="80" t="n">
        <x:v>0.04358640563442276</x:v>
      </x:c>
      <x:c r="C2025" s="84" t="n">
        <x:f>SQRT('Resumen'!$B$5^3/3)*B2025</x:f>
        <x:v>0.0251646230260422</x:v>
      </x:c>
      <x:c r="D2025" s="84" t="n">
        <x:f>C2025^2-'Resumen'!$B$5^3/3</x:f>
        <x:v>-0.3327000750812905</x:v>
      </x:c>
      <x:c r="E2025" s="85" t="n">
        <x:f>D2025+'Resumen'!$B$5^3/3</x:f>
        <x:v>0.000633258252042801</x:v>
      </x:c>
    </x:row>
    <x:row r="2026">
      <x:c r="A2026" s="89" t="n">
        <x:v>2024</x:v>
      </x:c>
      <x:c r="B2026" s="80" t="n">
        <x:v>-0.39157484501489864</x:v>
      </x:c>
      <x:c r="C2026" s="84" t="n">
        <x:f>SQRT('Resumen'!$B$5^3/3)*B2026</x:f>
        <x:v>-0.2260758421772377</x:v>
      </x:c>
      <x:c r="D2026" s="84" t="n">
        <x:f>C2026^2-'Resumen'!$B$5^3/3</x:f>
        <x:v>-0.282223046917186</x:v>
      </x:c>
      <x:c r="E2026" s="85" t="n">
        <x:f>D2026+'Resumen'!$B$5^3/3</x:f>
        <x:v>0.05111028641614729</x:v>
      </x:c>
    </x:row>
    <x:row r="2027">
      <x:c r="A2027" s="89" t="n">
        <x:v>2025</x:v>
      </x:c>
      <x:c r="B2027" s="80" t="n">
        <x:v>0.42563034289894613</x:v>
      </x:c>
      <x:c r="C2027" s="84" t="n">
        <x:f>SQRT('Resumen'!$B$5^3/3)*B2027</x:f>
        <x:v>0.24573779304797927</x:v>
      </x:c>
      <x:c r="D2027" s="84" t="n">
        <x:f>C2027^2-'Resumen'!$B$5^3/3</x:f>
        <x:v>-0.2729462704012418</x:v>
      </x:c>
      <x:c r="E2027" s="85" t="n">
        <x:f>D2027+'Resumen'!$B$5^3/3</x:f>
        <x:v>0.060387062932091506</x:v>
      </x:c>
    </x:row>
    <x:row r="2028">
      <x:c r="A2028" s="89" t="n">
        <x:v>2026</x:v>
      </x:c>
      <x:c r="B2028" s="80" t="n">
        <x:v>-1.2969135869732094</x:v>
      </x:c>
      <x:c r="C2028" s="84" t="n">
        <x:f>SQRT('Resumen'!$B$5^3/3)*B2028</x:f>
        <x:v>-0.7487734085546655</x:v>
      </x:c>
      <x:c r="D2028" s="84" t="n">
        <x:f>C2028^2-'Resumen'!$B$5^3/3</x:f>
        <x:v>0.22732828402523858</x:v>
      </x:c>
      <x:c r="E2028" s="85" t="n">
        <x:f>D2028+'Resumen'!$B$5^3/3</x:f>
        <x:v>0.5606616173585719</x:v>
      </x:c>
    </x:row>
    <x:row r="2029">
      <x:c r="A2029" s="89" t="n">
        <x:v>2027</x:v>
      </x:c>
      <x:c r="B2029" s="80" t="n">
        <x:v>0.20578251777653495</x:v>
      </x:c>
      <x:c r="C2029" s="84" t="n">
        <x:f>SQRT('Resumen'!$B$5^3/3)*B2029</x:f>
        <x:v>0.11880859203280139</x:v>
      </x:c>
      <x:c r="D2029" s="84" t="n">
        <x:f>C2029^2-'Resumen'!$B$5^3/3</x:f>
        <x:v>-0.31921785179251666</x:v>
      </x:c>
      <x:c r="E2029" s="85" t="n">
        <x:f>D2029+'Resumen'!$B$5^3/3</x:f>
        <x:v>0.014115481540816655</x:v>
      </x:c>
    </x:row>
    <x:row r="2030">
      <x:c r="A2030" s="89" t="n">
        <x:v>2028</x:v>
      </x:c>
      <x:c r="B2030" s="80" t="n">
        <x:v>1.2137857923917152</x:v>
      </x:c>
      <x:c r="C2030" s="84" t="n">
        <x:f>SQRT('Resumen'!$B$5^3/3)*B2030</x:f>
        <x:v>0.7007795539759</x:v>
      </x:c>
      <x:c r="D2030" s="84" t="n">
        <x:f>C2030^2-'Resumen'!$B$5^3/3</x:f>
        <x:v>0.15775864993732797</x:v>
      </x:c>
      <x:c r="E2030" s="85" t="n">
        <x:f>D2030+'Resumen'!$B$5^3/3</x:f>
        <x:v>0.4910919832706613</x:v>
      </x:c>
    </x:row>
    <x:row r="2031">
      <x:c r="A2031" s="89" t="n">
        <x:v>2029</x:v>
      </x:c>
      <x:c r="B2031" s="80" t="n">
        <x:v>-0.7055664763151579</x:v>
      </x:c>
      <x:c r="C2031" s="84" t="n">
        <x:f>SQRT('Resumen'!$B$5^3/3)*B2031</x:f>
        <x:v>-0.4073589950317321</x:v>
      </x:c>
      <x:c r="D2031" s="84" t="n">
        <x:f>C2031^2-'Resumen'!$B$5^3/3</x:f>
        <x:v>-0.16739198250007056</x:v>
      </x:c>
      <x:c r="E2031" s="85" t="n">
        <x:f>D2031+'Resumen'!$B$5^3/3</x:f>
        <x:v>0.16594135083326275</x:v>
      </x:c>
    </x:row>
    <x:row r="2032">
      <x:c r="A2032" s="89" t="n">
        <x:v>2030</x:v>
      </x:c>
      <x:c r="B2032" s="80" t="n">
        <x:v>0.7567469037265493</x:v>
      </x:c>
      <x:c r="C2032" s="84" t="n">
        <x:f>SQRT('Resumen'!$B$5^3/3)*B2032</x:f>
        <x:v>0.43690802857493904</x:v>
      </x:c>
      <x:c r="D2032" s="84" t="n">
        <x:f>C2032^2-'Resumen'!$B$5^3/3</x:f>
        <x:v>-0.14244470790009356</x:v>
      </x:c>
      <x:c r="E2032" s="85" t="n">
        <x:f>D2032+'Resumen'!$B$5^3/3</x:f>
        <x:v>0.19088862543323976</x:v>
      </x:c>
    </x:row>
    <x:row r="2033">
      <x:c r="A2033" s="89" t="n">
        <x:v>2031</x:v>
      </x:c>
      <x:c r="B2033" s="80" t="n">
        <x:v>0.6220705825533678</x:v>
      </x:c>
      <x:c r="C2033" s="84" t="n">
        <x:f>SQRT('Resumen'!$B$5^3/3)*B2033</x:f>
        <x:v>0.3591526182921342</x:v>
      </x:c>
      <x:c r="D2033" s="84" t="n">
        <x:f>C2033^2-'Resumen'!$B$5^3/3</x:f>
        <x:v>-0.20434273010723789</x:v>
      </x:c>
      <x:c r="E2033" s="85" t="n">
        <x:f>D2033+'Resumen'!$B$5^3/3</x:f>
        <x:v>0.12899060322609543</x:v>
      </x:c>
    </x:row>
    <x:row r="2034">
      <x:c r="A2034" s="89" t="n">
        <x:v>2032</x:v>
      </x:c>
      <x:c r="B2034" s="80" t="n">
        <x:v>-0.7598263409944623</x:v>
      </x:c>
      <x:c r="C2034" s="84" t="n">
        <x:f>SQRT('Resumen'!$B$5^3/3)*B2034</x:f>
        <x:v>-0.4386859425105212</x:v>
      </x:c>
      <x:c r="D2034" s="84" t="n">
        <x:f>C2034^2-'Resumen'!$B$5^3/3</x:f>
        <x:v>-0.14088797717698903</x:v>
      </x:c>
      <x:c r="E2034" s="85" t="n">
        <x:f>D2034+'Resumen'!$B$5^3/3</x:f>
        <x:v>0.19244535615634428</x:v>
      </x:c>
    </x:row>
    <x:row r="2035">
      <x:c r="A2035" s="89" t="n">
        <x:v>2033</x:v>
      </x:c>
      <x:c r="B2035" s="80" t="n">
        <x:v>0.9097337838531997</x:v>
      </x:c>
      <x:c r="C2035" s="84" t="n">
        <x:f>SQRT('Resumen'!$B$5^3/3)*B2035</x:f>
        <x:v>0.5252350449985417</x:v>
      </x:c>
      <x:c r="D2035" s="84" t="n">
        <x:f>C2035^2-'Resumen'!$B$5^3/3</x:f>
        <x:v>-0.05746148083871322</x:v>
      </x:c>
      <x:c r="E2035" s="85" t="n">
        <x:f>D2035+'Resumen'!$B$5^3/3</x:f>
        <x:v>0.2758718524946201</x:v>
      </x:c>
    </x:row>
    <x:row r="2036">
      <x:c r="A2036" s="89" t="n">
        <x:v>2034</x:v>
      </x:c>
      <x:c r="B2036" s="80" t="n">
        <x:v>-0.7776747115137168</x:v>
      </x:c>
      <x:c r="C2036" s="84" t="n">
        <x:f>SQRT('Resumen'!$B$5^3/3)*B2036</x:f>
        <x:v>-0.44899070403440894</x:v>
      </x:c>
      <x:c r="D2036" s="84" t="n">
        <x:f>C2036^2-'Resumen'!$B$5^3/3</x:f>
        <x:v>-0.13174068102401912</x:v>
      </x:c>
      <x:c r="E2036" s="85" t="n">
        <x:f>D2036+'Resumen'!$B$5^3/3</x:f>
        <x:v>0.2015926523093142</x:v>
      </x:c>
    </x:row>
    <x:row r="2037">
      <x:c r="A2037" s="89" t="n">
        <x:v>2035</x:v>
      </x:c>
      <x:c r="B2037" s="80" t="n">
        <x:v>0.2368710399270118</x:v>
      </x:c>
      <x:c r="C2037" s="84" t="n">
        <x:f>SQRT('Resumen'!$B$5^3/3)*B2037</x:f>
        <x:v>0.13675755866508685</x:v>
      </x:c>
      <x:c r="D2037" s="84" t="n">
        <x:f>C2037^2-'Resumen'!$B$5^3/3</x:f>
        <x:v>-0.3146307034812986</x:v>
      </x:c>
      <x:c r="E2037" s="85" t="n">
        <x:f>D2037+'Resumen'!$B$5^3/3</x:f>
        <x:v>0.01870262985203469</x:v>
      </x:c>
    </x:row>
    <x:row r="2038">
      <x:c r="A2038" s="89" t="n">
        <x:v>2036</x:v>
      </x:c>
      <x:c r="B2038" s="80" t="n">
        <x:v>0.43698392389189306</x:v>
      </x:c>
      <x:c r="C2038" s="84" t="n">
        <x:f>SQRT('Resumen'!$B$5^3/3)*B2038</x:f>
        <x:v>0.25229278609052336</x:v>
      </x:c>
      <x:c r="D2038" s="84" t="n">
        <x:f>C2038^2-'Resumen'!$B$5^3/3</x:f>
        <x:v>-0.26968168342001475</x:v>
      </x:c>
      <x:c r="E2038" s="85" t="n">
        <x:f>D2038+'Resumen'!$B$5^3/3</x:f>
        <x:v>0.06365164991331856</x:v>
      </x:c>
    </x:row>
    <x:row r="2039">
      <x:c r="A2039" s="89" t="n">
        <x:v>2037</x:v>
      </x:c>
      <x:c r="B2039" s="80" t="n">
        <x:v>-1.5146351967430711</x:v>
      </x:c>
      <x:c r="C2039" s="84" t="n">
        <x:f>SQRT('Resumen'!$B$5^3/3)*B2039</x:f>
        <x:v>-0.8744750385636938</x:v>
      </x:c>
      <x:c r="D2039" s="84" t="n">
        <x:f>C2039^2-'Resumen'!$B$5^3/3</x:f>
        <x:v>0.43137325973764046</x:v>
      </x:c>
      <x:c r="E2039" s="85" t="n">
        <x:f>D2039+'Resumen'!$B$5^3/3</x:f>
        <x:v>0.7647065930709738</x:v>
      </x:c>
    </x:row>
    <x:row r="2040">
      <x:c r="A2040" s="89" t="n">
        <x:v>2038</x:v>
      </x:c>
      <x:c r="B2040" s="80" t="n">
        <x:v>-2.4884467206628784</x:v>
      </x:c>
      <x:c r="C2040" s="84" t="n">
        <x:f>SQRT('Resumen'!$B$5^3/3)*B2040</x:f>
        <x:v>-1.4367053840387543</x:v>
      </x:c>
      <x:c r="D2040" s="84" t="n">
        <x:f>C2040^2-'Resumen'!$B$5^3/3</x:f>
        <x:v>1.7307890271926112</x:v>
      </x:c>
      <x:c r="E2040" s="85" t="n">
        <x:f>D2040+'Resumen'!$B$5^3/3</x:f>
        <x:v>2.0641223605259444</x:v>
      </x:c>
    </x:row>
    <x:row r="2041">
      <x:c r="A2041" s="89" t="n">
        <x:v>2039</x:v>
      </x:c>
      <x:c r="B2041" s="80" t="n">
        <x:v>-1.6412563084829466</x:v>
      </x:c>
      <x:c r="C2041" s="84" t="n">
        <x:f>SQRT('Resumen'!$B$5^3/3)*B2041</x:f>
        <x:v>-0.9475797715118006</x:v>
      </x:c>
      <x:c r="D2041" s="84" t="n">
        <x:f>C2041^2-'Resumen'!$B$5^3/3</x:f>
        <x:v>0.5645740900450229</x:v>
      </x:c>
      <x:c r="E2041" s="85" t="n">
        <x:f>D2041+'Resumen'!$B$5^3/3</x:f>
        <x:v>0.8979074233783562</x:v>
      </x:c>
    </x:row>
    <x:row r="2042">
      <x:c r="A2042" s="89" t="n">
        <x:v>2040</x:v>
      </x:c>
      <x:c r="B2042" s="80" t="n">
        <x:v>-0.6202924503993519</x:v>
      </x:c>
      <x:c r="C2042" s="84" t="n">
        <x:f>SQRT('Resumen'!$B$5^3/3)*B2042</x:f>
        <x:v>-0.3581260132143584</x:v>
      </x:c>
      <x:c r="D2042" s="84" t="n">
        <x:f>C2042^2-'Resumen'!$B$5^3/3</x:f>
        <x:v>-0.20507909199252253</x:v>
      </x:c>
      <x:c r="E2042" s="85" t="n">
        <x:f>D2042+'Resumen'!$B$5^3/3</x:f>
        <x:v>0.1282542413408108</x:v>
      </x:c>
    </x:row>
    <x:row r="2043">
      <x:c r="A2043" s="89" t="n">
        <x:v>2041</x:v>
      </x:c>
      <x:c r="B2043" s="80" t="n">
        <x:v>-0.7553797587966062</x:v>
      </x:c>
      <x:c r="C2043" s="84" t="n">
        <x:f>SQRT('Resumen'!$B$5^3/3)*B2043</x:f>
        <x:v>-0.43611870708161515</x:v>
      </x:c>
      <x:c r="D2043" s="84" t="n">
        <x:f>C2043^2-'Resumen'!$B$5^3/3</x:f>
        <x:v>-0.14313380666679368</x:v>
      </x:c>
      <x:c r="E2043" s="85" t="n">
        <x:f>D2043+'Resumen'!$B$5^3/3</x:f>
        <x:v>0.19019952666653964</x:v>
      </x:c>
    </x:row>
    <x:row r="2044">
      <x:c r="A2044" s="89" t="n">
        <x:v>2042</x:v>
      </x:c>
      <x:c r="B2044" s="80" t="n">
        <x:v>-1.5477864155852217</x:v>
      </x:c>
      <x:c r="C2044" s="84" t="n">
        <x:f>SQRT('Resumen'!$B$5^3/3)*B2044</x:f>
        <x:v>-0.8936149036861737</x:v>
      </x:c>
      <x:c r="D2044" s="84" t="n">
        <x:f>C2044^2-'Resumen'!$B$5^3/3</x:f>
        <x:v>0.4652142627567161</x:v>
      </x:c>
      <x:c r="E2044" s="85" t="n">
        <x:f>D2044+'Resumen'!$B$5^3/3</x:f>
        <x:v>0.7985475960900494</x:v>
      </x:c>
    </x:row>
    <x:row r="2045">
      <x:c r="A2045" s="89" t="n">
        <x:v>2043</x:v>
      </x:c>
      <x:c r="B2045" s="80" t="n">
        <x:v>-1.2176783914482177</x:v>
      </x:c>
      <x:c r="C2045" s="84" t="n">
        <x:f>SQRT('Resumen'!$B$5^3/3)*B2045</x:f>
        <x:v>-0.7030269470890189</x:v>
      </x:c>
      <x:c r="D2045" s="84" t="n">
        <x:f>C2045^2-'Resumen'!$B$5^3/3</x:f>
        <x:v>0.1609135549999729</x:v>
      </x:c>
      <x:c r="E2045" s="85" t="n">
        <x:f>D2045+'Resumen'!$B$5^3/3</x:f>
        <x:v>0.4942468883333062</x:v>
      </x:c>
    </x:row>
    <x:row r="2046">
      <x:c r="A2046" s="89" t="n">
        <x:v>2044</x:v>
      </x:c>
      <x:c r="B2046" s="80" t="n">
        <x:v>-0.5142469937007119</x:v>
      </x:c>
      <x:c r="C2046" s="84" t="n">
        <x:f>SQRT('Resumen'!$B$5^3/3)*B2046</x:f>
        <x:v>-0.2969006402430618</x:v>
      </x:c>
      <x:c r="D2046" s="84" t="n">
        <x:f>C2046^2-'Resumen'!$B$5^3/3</x:f>
        <x:v>-0.24518334315659332</x:v>
      </x:c>
      <x:c r="E2046" s="85" t="n">
        <x:f>D2046+'Resumen'!$B$5^3/3</x:f>
        <x:v>0.08814999017674</x:v>
      </x:c>
    </x:row>
    <x:row r="2047">
      <x:c r="A2047" s="89" t="n">
        <x:v>2045</x:v>
      </x:c>
      <x:c r="B2047" s="80" t="n">
        <x:v>1.2521857059357855</x:v>
      </x:c>
      <x:c r="C2047" s="84" t="n">
        <x:f>SQRT('Resumen'!$B$5^3/3)*B2047</x:f>
        <x:v>0.7229497543974273</x:v>
      </x:c>
      <x:c r="D2047" s="84" t="n">
        <x:f>C2047^2-'Resumen'!$B$5^3/3</x:f>
        <x:v>0.18932301404996704</x:v>
      </x:c>
      <x:c r="E2047" s="85" t="n">
        <x:f>D2047+'Resumen'!$B$5^3/3</x:f>
        <x:v>0.5226563473833004</x:v>
      </x:c>
    </x:row>
    <x:row r="2048">
      <x:c r="A2048" s="89" t="n">
        <x:v>2046</x:v>
      </x:c>
      <x:c r="B2048" s="80" t="n">
        <x:v>-1.779604697429033</x:v>
      </x:c>
      <x:c r="C2048" s="84" t="n">
        <x:f>SQRT('Resumen'!$B$5^3/3)*B2048</x:f>
        <x:v>-1.0274552511117747</x:v>
      </x:c>
      <x:c r="D2048" s="84" t="n">
        <x:f>C2048^2-'Resumen'!$B$5^3/3</x:f>
        <x:v>0.7223309597038268</x:v>
      </x:c>
      <x:c r="E2048" s="85" t="n">
        <x:f>D2048+'Resumen'!$B$5^3/3</x:f>
        <x:v>1.05566429303716</x:v>
      </x:c>
    </x:row>
    <x:row r="2049">
      <x:c r="A2049" s="89" t="n">
        <x:v>2047</x:v>
      </x:c>
      <x:c r="B2049" s="80" t="n">
        <x:v>-1.9643975508357296</x:v>
      </x:c>
      <x:c r="C2049" s="84" t="n">
        <x:f>SQRT('Resumen'!$B$5^3/3)*B2049</x:f>
        <x:v>-1.13414545477045</x:v>
      </x:c>
      <x:c r="D2049" s="84" t="n">
        <x:f>C2049^2-'Resumen'!$B$5^3/3</x:f>
        <x:v>0.9529525792431375</x:v>
      </x:c>
      <x:c r="E2049" s="85" t="n">
        <x:f>D2049+'Resumen'!$B$5^3/3</x:f>
        <x:v>1.2862859125764707</x:v>
      </x:c>
    </x:row>
    <x:row r="2050">
      <x:c r="A2050" s="89" t="n">
        <x:v>2048</x:v>
      </x:c>
      <x:c r="B2050" s="80" t="n">
        <x:v>0.2644126400398848</x:v>
      </x:c>
      <x:c r="C2050" s="84" t="n">
        <x:f>SQRT('Resumen'!$B$5^3/3)*B2050</x:f>
        <x:v>0.1526587089041671</x:v>
      </x:c>
      <x:c r="D2050" s="84" t="n">
        <x:f>C2050^2-'Resumen'!$B$5^3/3</x:f>
        <x:v>-0.3100286519290461</x:v>
      </x:c>
      <x:c r="E2050" s="85" t="n">
        <x:f>D2050+'Resumen'!$B$5^3/3</x:f>
        <x:v>0.02330468140428721</x:v>
      </x:c>
    </x:row>
    <x:row r="2051">
      <x:c r="A2051" s="89" t="n">
        <x:v>2049</x:v>
      </x:c>
      <x:c r="B2051" s="80" t="n">
        <x:v>-0.47607717394022825</x:v>
      </x:c>
      <x:c r="C2051" s="84" t="n">
        <x:f>SQRT('Resumen'!$B$5^3/3)*B2051</x:f>
        <x:v>-0.27486328452942704</x:v>
      </x:c>
      <x:c r="D2051" s="84" t="n">
        <x:f>C2051^2-'Resumen'!$B$5^3/3</x:f>
        <x:v>-0.2577835081510286</x:v>
      </x:c>
      <x:c r="E2051" s="85" t="n">
        <x:f>D2051+'Resumen'!$B$5^3/3</x:f>
        <x:v>0.07554982518230474</x:v>
      </x:c>
    </x:row>
    <x:row r="2052">
      <x:c r="A2052" s="89" t="n">
        <x:v>2050</x:v>
      </x:c>
      <x:c r="B2052" s="80" t="n">
        <x:v>0.027906981701821723</x:v>
      </x:c>
      <x:c r="C2052" s="84" t="n">
        <x:f>SQRT('Resumen'!$B$5^3/3)*B2052</x:f>
        <x:v>0.01611210339781673</x:v>
      </x:c>
      <x:c r="D2052" s="84" t="n">
        <x:f>C2052^2-'Resumen'!$B$5^3/3</x:f>
        <x:v>-0.33307373345743135</x:v>
      </x:c>
      <x:c r="E2052" s="85" t="n">
        <x:f>D2052+'Resumen'!$B$5^3/3</x:f>
        <x:v>0.0002595998759019613</x:v>
      </x:c>
    </x:row>
    <x:row r="2053">
      <x:c r="A2053" s="89" t="n">
        <x:v>2051</x:v>
      </x:c>
      <x:c r="B2053" s="80" t="n">
        <x:v>0.810540878560946</x:v>
      </x:c>
      <x:c r="C2053" s="84" t="n">
        <x:f>SQRT('Resumen'!$B$5^3/3)*B2053</x:f>
        <x:v>0.46796599442635795</x:v>
      </x:c>
      <x:c r="D2053" s="84" t="n">
        <x:f>C2053^2-'Resumen'!$B$5^3/3</x:f>
        <x:v>-0.11434116139388323</x:v>
      </x:c>
      <x:c r="E2053" s="85" t="n">
        <x:f>D2053+'Resumen'!$B$5^3/3</x:f>
        <x:v>0.2189921719394501</x:v>
      </x:c>
    </x:row>
    <x:row r="2054">
      <x:c r="A2054" s="89" t="n">
        <x:v>2052</x:v>
      </x:c>
      <x:c r="B2054" s="80" t="n">
        <x:v>1.0025559265698865</x:v>
      </x:c>
      <x:c r="C2054" s="84" t="n">
        <x:f>SQRT('Resumen'!$B$5^3/3)*B2054</x:f>
        <x:v>0.5788259340827786</x:v>
      </x:c>
      <x:c r="D2054" s="84" t="n">
        <x:f>C2054^2-'Resumen'!$B$5^3/3</x:f>
        <x:v>0.0017061286334678627</x:v>
      </x:c>
      <x:c r="E2054" s="85" t="n">
        <x:f>D2054+'Resumen'!$B$5^3/3</x:f>
        <x:v>0.3350394619668012</x:v>
      </x:c>
    </x:row>
    <x:row r="2055">
      <x:c r="A2055" s="89" t="n">
        <x:v>2053</x:v>
      </x:c>
      <x:c r="B2055" s="80" t="n">
        <x:v>0.3842850007796315</x:v>
      </x:c>
      <x:c r="C2055" s="84" t="n">
        <x:f>SQRT('Resumen'!$B$5^3/3)*B2055</x:f>
        <x:v>0.2218670486456558</x:v>
      </x:c>
      <x:c r="D2055" s="84" t="n">
        <x:f>C2055^2-'Resumen'!$B$5^3/3</x:f>
        <x:v>-0.2841083460585995</x:v>
      </x:c>
      <x:c r="E2055" s="85" t="n">
        <x:f>D2055+'Resumen'!$B$5^3/3</x:f>
        <x:v>0.04922498727473379</x:v>
      </x:c>
    </x:row>
    <x:row r="2056">
      <x:c r="A2056" s="89" t="n">
        <x:v>2054</x:v>
      </x:c>
      <x:c r="B2056" s="80" t="n">
        <x:v>-0.1231624725815137</x:v>
      </x:c>
      <x:c r="C2056" s="84" t="n">
        <x:f>SQRT('Resumen'!$B$5^3/3)*B2056</x:f>
        <x:v>-0.07110788669899683</x:v>
      </x:c>
      <x:c r="D2056" s="84" t="n">
        <x:f>C2056^2-'Resumen'!$B$5^3/3</x:f>
        <x:v>-0.32827700178253594</x:v>
      </x:c>
      <x:c r="E2056" s="85" t="n">
        <x:f>D2056+'Resumen'!$B$5^3/3</x:f>
        <x:v>0.005056331550797377</x:v>
      </x:c>
    </x:row>
    <x:row r="2057">
      <x:c r="A2057" s="89" t="n">
        <x:v>2055</x:v>
      </x:c>
      <x:c r="B2057" s="80" t="n">
        <x:v>-0.16734104925801635</x:v>
      </x:c>
      <x:c r="C2057" s="84" t="n">
        <x:f>SQRT('Resumen'!$B$5^3/3)*B2057</x:f>
        <x:v>-0.09661439983559016</x:v>
      </x:c>
      <x:c r="D2057" s="84" t="n">
        <x:f>C2057^2-'Resumen'!$B$5^3/3</x:f>
        <x:v>-0.32399899107774205</x:v>
      </x:c>
      <x:c r="E2057" s="85" t="n">
        <x:f>D2057+'Resumen'!$B$5^3/3</x:f>
        <x:v>0.009334342255591266</x:v>
      </x:c>
    </x:row>
    <x:row r="2058">
      <x:c r="A2058" s="89" t="n">
        <x:v>2056</x:v>
      </x:c>
      <x:c r="B2058" s="80" t="n">
        <x:v>0.70720765096316</x:v>
      </x:c>
      <x:c r="C2058" s="84" t="n">
        <x:f>SQRT('Resumen'!$B$5^3/3)*B2058</x:f>
        <x:v>0.4083065276565433</x:v>
      </x:c>
      <x:c r="D2058" s="84" t="n">
        <x:f>C2058^2-'Resumen'!$B$5^3/3</x:f>
        <x:v>-0.16661911280638977</x:v>
      </x:c>
      <x:c r="E2058" s="85" t="n">
        <x:f>D2058+'Resumen'!$B$5^3/3</x:f>
        <x:v>0.16671422052694354</x:v>
      </x:c>
    </x:row>
    <x:row r="2059">
      <x:c r="A2059" s="89" t="n">
        <x:v>2057</x:v>
      </x:c>
      <x:c r="B2059" s="80" t="n">
        <x:v>0.37583943826754557</x:v>
      </x:c>
      <x:c r="C2059" s="84" t="n">
        <x:f>SQRT('Resumen'!$B$5^3/3)*B2059</x:f>
        <x:v>0.21699100085584516</x:v>
      </x:c>
      <x:c r="D2059" s="84" t="n">
        <x:f>C2059^2-'Resumen'!$B$5^3/3</x:f>
        <x:v>-0.28624823888091194</x:v>
      </x:c>
      <x:c r="E2059" s="85" t="n">
        <x:f>D2059+'Resumen'!$B$5^3/3</x:f>
        <x:v>0.04708509445242137</x:v>
      </x:c>
    </x:row>
    <x:row r="2060">
      <x:c r="A2060" s="89" t="n">
        <x:v>2058</x:v>
      </x:c>
      <x:c r="B2060" s="80" t="n">
        <x:v>0.7512229971681769</x:v>
      </x:c>
      <x:c r="C2060" s="84" t="n">
        <x:f>SQRT('Resumen'!$B$5^3/3)*B2060</x:f>
        <x:v>0.43371879963648435</x:v>
      </x:c>
      <x:c r="D2060" s="84" t="n">
        <x:f>C2060^2-'Resumen'!$B$5^3/3</x:f>
        <x:v>-0.14522133617522046</x:v>
      </x:c>
      <x:c r="E2060" s="85" t="n">
        <x:f>D2060+'Resumen'!$B$5^3/3</x:f>
        <x:v>0.18811199715811286</x:v>
      </x:c>
    </x:row>
    <x:row r="2061">
      <x:c r="A2061" s="89" t="n">
        <x:v>2059</x:v>
      </x:c>
      <x:c r="B2061" s="80" t="n">
        <x:v>-0.2705927267791886</x:v>
      </x:c>
      <x:c r="C2061" s="84" t="n">
        <x:f>SQRT('Resumen'!$B$5^3/3)*B2061</x:f>
        <x:v>-0.15622678364671938</x:v>
      </x:c>
      <x:c r="D2061" s="84" t="n">
        <x:f>C2061^2-'Resumen'!$B$5^3/3</x:f>
        <x:v>-0.3089265254047344</x:v>
      </x:c>
      <x:c r="E2061" s="85" t="n">
        <x:f>D2061+'Resumen'!$B$5^3/3</x:f>
        <x:v>0.024406807928598895</x:v>
      </x:c>
    </x:row>
    <x:row r="2062">
      <x:c r="A2062" s="89" t="n">
        <x:v>2060</x:v>
      </x:c>
      <x:c r="B2062" s="80" t="n">
        <x:v>1.1832957531311792</x:v>
      </x:c>
      <x:c r="C2062" s="84" t="n">
        <x:f>SQRT('Resumen'!$B$5^3/3)*B2062</x:f>
        <x:v>0.6831761216012272</x:v>
      </x:c>
      <x:c r="D2062" s="84" t="n">
        <x:f>C2062^2-'Resumen'!$B$5^3/3</x:f>
        <x:v>0.13339627979276147</x:v>
      </x:c>
      <x:c r="E2062" s="85" t="n">
        <x:f>D2062+'Resumen'!$B$5^3/3</x:f>
        <x:v>0.4667296131260948</x:v>
      </x:c>
    </x:row>
    <x:row r="2063">
      <x:c r="A2063" s="89" t="n">
        <x:v>2061</x:v>
      </x:c>
      <x:c r="B2063" s="80" t="n">
        <x:v>-0.293539171282527</x:v>
      </x:c>
      <x:c r="C2063" s="84" t="n">
        <x:f>SQRT('Resumen'!$B$5^3/3)*B2063</x:f>
        <x:v>-0.1694749195576666</x:v>
      </x:c>
      <x:c r="D2063" s="84" t="n">
        <x:f>C2063^2-'Resumen'!$B$5^3/3</x:f>
        <x:v>-0.3046115849742557</x:v>
      </x:c>
      <x:c r="E2063" s="85" t="n">
        <x:f>D2063+'Resumen'!$B$5^3/3</x:f>
        <x:v>0.028721748359077592</x:v>
      </x:c>
    </x:row>
    <x:row r="2064">
      <x:c r="A2064" s="89" t="n">
        <x:v>2062</x:v>
      </x:c>
      <x:c r="B2064" s="80" t="n">
        <x:v>-0.33010898158761204</x:v>
      </x:c>
      <x:c r="C2064" s="84" t="n">
        <x:f>SQRT('Resumen'!$B$5^3/3)*B2064</x:f>
        <x:v>-0.19058850938152103</x:v>
      </x:c>
      <x:c r="D2064" s="84" t="n">
        <x:f>C2064^2-'Resumen'!$B$5^3/3</x:f>
        <x:v>-0.2970093534250632</x:v>
      </x:c>
      <x:c r="E2064" s="85" t="n">
        <x:f>D2064+'Resumen'!$B$5^3/3</x:f>
        <x:v>0.03632397990827013</x:v>
      </x:c>
    </x:row>
    <x:row r="2065">
      <x:c r="A2065" s="89" t="n">
        <x:v>2063</x:v>
      </x:c>
      <x:c r="B2065" s="80" t="n">
        <x:v>-1.943884601659931</x:v>
      </x:c>
      <x:c r="C2065" s="84" t="n">
        <x:f>SQRT('Resumen'!$B$5^3/3)*B2065</x:f>
        <x:v>-1.1223022980419295</x:v>
      </x:c>
      <x:c r="D2065" s="84" t="n">
        <x:f>C2065^2-'Resumen'!$B$5^3/3</x:f>
        <x:v>0.9262291148568627</x:v>
      </x:c>
      <x:c r="E2065" s="85" t="n">
        <x:f>D2065+'Resumen'!$B$5^3/3</x:f>
        <x:v>1.259562448190196</x:v>
      </x:c>
    </x:row>
    <x:row r="2066">
      <x:c r="A2066" s="89" t="n">
        <x:v>2064</x:v>
      </x:c>
      <x:c r="B2066" s="80" t="n">
        <x:v>-0.4688693029441435</x:v>
      </x:c>
      <x:c r="C2066" s="84" t="n">
        <x:f>SQRT('Resumen'!$B$5^3/3)*B2066</x:f>
        <x:v>-0.2707018182695534</x:v>
      </x:c>
      <x:c r="D2066" s="84" t="n">
        <x:f>C2066^2-'Resumen'!$B$5^3/3</x:f>
        <x:v>-0.260053858918891</x:v>
      </x:c>
      <x:c r="E2066" s="85" t="n">
        <x:f>D2066+'Resumen'!$B$5^3/3</x:f>
        <x:v>0.07327947441444232</x:v>
      </x:c>
    </x:row>
    <x:row r="2067">
      <x:c r="A2067" s="89" t="n">
        <x:v>2065</x:v>
      </x:c>
      <x:c r="B2067" s="80" t="n">
        <x:v>0.46804440013516485</x:v>
      </x:c>
      <x:c r="C2067" s="84" t="n">
        <x:f>SQRT('Resumen'!$B$5^3/3)*B2067</x:f>
        <x:v>0.2702255604107343</x:v>
      </x:c>
      <x:c r="D2067" s="84" t="n">
        <x:f>C2067^2-'Resumen'!$B$5^3/3</x:f>
        <x:v>-0.2603114798340379</x:v>
      </x:c>
      <x:c r="E2067" s="85" t="n">
        <x:f>D2067+'Resumen'!$B$5^3/3</x:f>
        <x:v>0.07302185349929541</x:v>
      </x:c>
    </x:row>
    <x:row r="2068">
      <x:c r="A2068" s="89" t="n">
        <x:v>2066</x:v>
      </x:c>
      <x:c r="B2068" s="80" t="n">
        <x:v>1.1693131868911033</x:v>
      </x:c>
      <x:c r="C2068" s="84" t="n">
        <x:f>SQRT('Resumen'!$B$5^3/3)*B2068</x:f>
        <x:v>0.6751032832185576</x:v>
      </x:c>
      <x:c r="D2068" s="84" t="n">
        <x:f>C2068^2-'Resumen'!$B$5^3/3</x:f>
        <x:v>0.12243110967914272</x:v>
      </x:c>
      <x:c r="E2068" s="85" t="n">
        <x:f>D2068+'Resumen'!$B$5^3/3</x:f>
        <x:v>0.45576444301247604</x:v>
      </x:c>
    </x:row>
    <x:row r="2069">
      <x:c r="A2069" s="89" t="n">
        <x:v>2067</x:v>
      </x:c>
      <x:c r="B2069" s="80" t="n">
        <x:v>-0.5784955040687063</x:v>
      </x:c>
      <x:c r="C2069" s="84" t="n">
        <x:f>SQRT('Resumen'!$B$5^3/3)*B2069</x:f>
        <x:v>-0.3339945349990558</x:v>
      </x:c>
      <x:c r="D2069" s="84" t="n">
        <x:f>C2069^2-'Resumen'!$B$5^3/3</x:f>
        <x:v>-0.2217809839240978</x:v>
      </x:c>
      <x:c r="E2069" s="85" t="n">
        <x:f>D2069+'Resumen'!$B$5^3/3</x:f>
        <x:v>0.1115523494092355</x:v>
      </x:c>
    </x:row>
    <x:row r="2070">
      <x:c r="A2070" s="89" t="n">
        <x:v>2068</x:v>
      </x:c>
      <x:c r="B2070" s="80" t="n">
        <x:v>0.6049167515880882</x:v>
      </x:c>
      <x:c r="C2070" s="84" t="n">
        <x:f>SQRT('Resumen'!$B$5^3/3)*B2070</x:f>
        <x:v>0.3492488493666967</x:v>
      </x:c>
      <x:c r="D2070" s="84" t="n">
        <x:f>C2070^2-'Resumen'!$B$5^3/3</x:f>
        <x:v>-0.2113585745493717</x:v>
      </x:c>
      <x:c r="E2070" s="85" t="n">
        <x:f>D2070+'Resumen'!$B$5^3/3</x:f>
        <x:v>0.1219747587839616</x:v>
      </x:c>
    </x:row>
    <x:row r="2071">
      <x:c r="A2071" s="89" t="n">
        <x:v>2069</x:v>
      </x:c>
      <x:c r="B2071" s="80" t="n">
        <x:v>2.2199809644024198</x:v>
      </x:c>
      <x:c r="C2071" s="84" t="n">
        <x:f>SQRT('Resumen'!$B$5^3/3)*B2071</x:f>
        <x:v>1.2817066073935819</x:v>
      </x:c>
      <x:c r="D2071" s="84" t="n">
        <x:f>C2071^2-'Resumen'!$B$5^3/3</x:f>
        <x:v>1.3094384941030321</x:v>
      </x:c>
      <x:c r="E2071" s="85" t="n">
        <x:f>D2071+'Resumen'!$B$5^3/3</x:f>
        <x:v>1.6427718274363654</x:v>
      </x:c>
    </x:row>
    <x:row r="2072">
      <x:c r="A2072" s="89" t="n">
        <x:v>2070</x:v>
      </x:c>
      <x:c r="B2072" s="80" t="n">
        <x:v>-0.20939319265922582</x:v>
      </x:c>
      <x:c r="C2072" s="84" t="n">
        <x:f>SQRT('Resumen'!$B$5^3/3)*B2072</x:f>
        <x:v>-0.12089321614827919</x:v>
      </x:c>
      <x:c r="D2072" s="84" t="n">
        <x:f>C2072^2-'Resumen'!$B$5^3/3</x:f>
        <x:v>-0.31871816362265876</x:v>
      </x:c>
      <x:c r="E2072" s="85" t="n">
        <x:f>D2072+'Resumen'!$B$5^3/3</x:f>
        <x:v>0.014615169710674558</x:v>
      </x:c>
    </x:row>
    <x:row r="2073">
      <x:c r="A2073" s="89" t="n">
        <x:v>2071</x:v>
      </x:c>
      <x:c r="B2073" s="80" t="n">
        <x:v>0.15603209139325128</x:v>
      </x:c>
      <x:c r="C2073" s="84" t="n">
        <x:f>SQRT('Resumen'!$B$5^3/3)*B2073</x:f>
        <x:v>0.09008516996811392</x:v>
      </x:c>
      <x:c r="D2073" s="84" t="n">
        <x:f>C2073^2-'Resumen'!$B$5^3/3</x:f>
        <x:v>-0.32521799548514935</x:v>
      </x:c>
      <x:c r="E2073" s="85" t="n">
        <x:f>D2073+'Resumen'!$B$5^3/3</x:f>
        <x:v>0.008115337848183968</x:v>
      </x:c>
    </x:row>
    <x:row r="2074">
      <x:c r="A2074" s="89" t="n">
        <x:v>2072</x:v>
      </x:c>
      <x:c r="B2074" s="80" t="n">
        <x:v>-1.085536015156771</x:v>
      </x:c>
      <x:c r="C2074" s="84" t="n">
        <x:f>SQRT('Resumen'!$B$5^3/3)*B2074</x:f>
        <x:v>-0.6267345105657954</x:v>
      </x:c>
      <x:c r="D2074" s="84" t="n">
        <x:f>C2074^2-'Resumen'!$B$5^3/3</x:f>
        <x:v>0.05946281340081383</x:v>
      </x:c>
      <x:c r="E2074" s="85" t="n">
        <x:f>D2074+'Resumen'!$B$5^3/3</x:f>
        <x:v>0.39279614673414714</x:v>
      </x:c>
    </x:row>
    <x:row r="2075">
      <x:c r="A2075" s="89" t="n">
        <x:v>2073</x:v>
      </x:c>
      <x:c r="B2075" s="80" t="n">
        <x:v>-0.15120857202925</x:v>
      </x:c>
      <x:c r="C2075" s="84" t="n">
        <x:f>SQRT('Resumen'!$B$5^3/3)*B2075</x:f>
        <x:v>-0.0873003097648664</x:v>
      </x:c>
      <x:c r="D2075" s="84" t="n">
        <x:f>C2075^2-'Resumen'!$B$5^3/3</x:f>
        <x:v>-0.3257119892482917</x:v>
      </x:c>
      <x:c r="E2075" s="85" t="n">
        <x:f>D2075+'Resumen'!$B$5^3/3</x:f>
        <x:v>0.007621344085041615</x:v>
      </x:c>
    </x:row>
    <x:row r="2076">
      <x:c r="A2076" s="89" t="n">
        <x:v>2074</x:v>
      </x:c>
      <x:c r="B2076" s="80" t="n">
        <x:v>0.9359924431239646</x:v>
      </x:c>
      <x:c r="C2076" s="84" t="n">
        <x:f>SQRT('Resumen'!$B$5^3/3)*B2076</x:f>
        <x:v>0.5403954889970763</x:v>
      </x:c>
      <x:c r="D2076" s="84" t="n">
        <x:f>C2076^2-'Resumen'!$B$5^3/3</x:f>
        <x:v>-0.04130604880494404</x:v>
      </x:c>
      <x:c r="E2076" s="85" t="n">
        <x:f>D2076+'Resumen'!$B$5^3/3</x:f>
        <x:v>0.2920272845283893</x:v>
      </x:c>
    </x:row>
    <x:row r="2077">
      <x:c r="A2077" s="89" t="n">
        <x:v>2075</x:v>
      </x:c>
      <x:c r="B2077" s="80" t="n">
        <x:v>-0.15902751627924708</x:v>
      </x:c>
      <x:c r="C2077" s="84" t="n">
        <x:f>SQRT('Resumen'!$B$5^3/3)*B2077</x:f>
        <x:v>-0.0918145793323809</x:v>
      </x:c>
      <x:c r="D2077" s="84" t="n">
        <x:f>C2077^2-'Resumen'!$B$5^3/3</x:f>
        <x:v>-0.32490341635535125</x:v>
      </x:c>
      <x:c r="E2077" s="85" t="n">
        <x:f>D2077+'Resumen'!$B$5^3/3</x:f>
        <x:v>0.008429916977982066</x:v>
      </x:c>
    </x:row>
    <x:row r="2078">
      <x:c r="A2078" s="89" t="n">
        <x:v>2076</x:v>
      </x:c>
      <x:c r="B2078" s="80" t="n">
        <x:v>-0.8370375344208422</x:v>
      </x:c>
      <x:c r="C2078" s="84" t="n">
        <x:f>SQRT('Resumen'!$B$5^3/3)*B2078</x:f>
        <x:v>-0.48326384581969384</x:v>
      </x:c>
      <x:c r="D2078" s="84" t="n">
        <x:f>C2078^2-'Resumen'!$B$5^3/3</x:f>
        <x:v>-0.09978938865689249</x:v>
      </x:c>
      <x:c r="E2078" s="85" t="n">
        <x:f>D2078+'Resumen'!$B$5^3/3</x:f>
        <x:v>0.23354394467644082</x:v>
      </x:c>
    </x:row>
    <x:row r="2079">
      <x:c r="A2079" s="89" t="n">
        <x:v>2077</x:v>
      </x:c>
      <x:c r="B2079" s="80" t="n">
        <x:v>-0.11270980142250023</x:v>
      </x:c>
      <x:c r="C2079" s="84" t="n">
        <x:f>SQRT('Resumen'!$B$5^3/3)*B2079</x:f>
        <x:v>-0.06507303419158977</x:v>
      </x:c>
      <x:c r="D2079" s="84" t="n">
        <x:f>C2079^2-'Resumen'!$B$5^3/3</x:f>
        <x:v>-0.3290988335544335</x:v>
      </x:c>
      <x:c r="E2079" s="85" t="n">
        <x:f>D2079+'Resumen'!$B$5^3/3</x:f>
        <x:v>0.004234499778899836</x:v>
      </x:c>
    </x:row>
    <x:row r="2080">
      <x:c r="A2080" s="89" t="n">
        <x:v>2078</x:v>
      </x:c>
      <x:c r="B2080" s="80" t="n">
        <x:v>-0.099554432809924</x:v>
      </x:c>
      <x:c r="C2080" s="84" t="n">
        <x:f>SQRT('Resumen'!$B$5^3/3)*B2080</x:f>
        <x:v>-0.05747777858183013</x:v>
      </x:c>
      <x:c r="D2080" s="84" t="n">
        <x:f>C2080^2-'Resumen'!$B$5^3/3</x:f>
        <x:v>-0.33002963830263143</x:v>
      </x:c>
      <x:c r="E2080" s="85" t="n">
        <x:f>D2080+'Resumen'!$B$5^3/3</x:f>
        <x:v>0.003303695030701881</x:v>
      </x:c>
    </x:row>
    <x:row r="2081">
      <x:c r="A2081" s="89" t="n">
        <x:v>2079</x:v>
      </x:c>
      <x:c r="B2081" s="80" t="n">
        <x:v>-1.1444631848761038</x:v>
      </x:c>
      <x:c r="C2081" s="84" t="n">
        <x:f>SQRT('Resumen'!$B$5^3/3)*B2081</x:f>
        <x:v>-0.6607561278658349</x:v>
      </x:c>
      <x:c r="D2081" s="84" t="n">
        <x:f>C2081^2-'Resumen'!$B$5^3/3</x:f>
        <x:v>0.10326532717891829</x:v>
      </x:c>
      <x:c r="E2081" s="85" t="n">
        <x:f>D2081+'Resumen'!$B$5^3/3</x:f>
        <x:v>0.4365986605122516</x:v>
      </x:c>
    </x:row>
    <x:row r="2082">
      <x:c r="A2082" s="89" t="n">
        <x:v>2080</x:v>
      </x:c>
      <x:c r="B2082" s="80" t="n">
        <x:v>0.41197902182834556</x:v>
      </x:c>
      <x:c r="C2082" s="84" t="n">
        <x:f>SQRT('Resumen'!$B$5^3/3)*B2082</x:f>
        <x:v>0.23785619915307402</x:v>
      </x:c>
      <x:c r="D2082" s="84" t="n">
        <x:f>C2082^2-'Resumen'!$B$5^3/3</x:f>
        <x:v>-0.2767577618577865</x:v>
      </x:c>
      <x:c r="E2082" s="85" t="n">
        <x:f>D2082+'Resumen'!$B$5^3/3</x:f>
        <x:v>0.056575571475546815</x:v>
      </x:c>
    </x:row>
    <x:row r="2083">
      <x:c r="A2083" s="89" t="n">
        <x:v>2081</x:v>
      </x:c>
      <x:c r="B2083" s="80" t="n">
        <x:v>1.1245126097578004</x:v>
      </x:c>
      <x:c r="C2083" s="84" t="n">
        <x:f>SQRT('Resumen'!$B$5^3/3)*B2083</x:f>
        <x:v>0.6492376579507946</x:v>
      </x:c>
      <x:c r="D2083" s="84" t="n">
        <x:f>C2083^2-'Resumen'!$B$5^3/3</x:f>
        <x:v>0.0881762031680996</x:v>
      </x:c>
      <x:c r="E2083" s="85" t="n">
        <x:f>D2083+'Resumen'!$B$5^3/3</x:f>
        <x:v>0.4215095365014329</x:v>
      </x:c>
    </x:row>
    <x:row r="2084">
      <x:c r="A2084" s="89" t="n">
        <x:v>2082</x:v>
      </x:c>
      <x:c r="B2084" s="80" t="n">
        <x:v>0.6136451061431595</x:v>
      </x:c>
      <x:c r="C2084" s="84" t="n">
        <x:f>SQRT('Resumen'!$B$5^3/3)*B2084</x:f>
        <x:v>0.3542881672186496</x:v>
      </x:c>
      <x:c r="D2084" s="84" t="n">
        <x:f>C2084^2-'Resumen'!$B$5^3/3</x:f>
        <x:v>-0.2078132279021835</x:v>
      </x:c>
      <x:c r="E2084" s="85" t="n">
        <x:f>D2084+'Resumen'!$B$5^3/3</x:f>
        <x:v>0.1255201054311498</x:v>
      </x:c>
    </x:row>
    <x:row r="2085">
      <x:c r="A2085" s="89" t="n">
        <x:v>2083</x:v>
      </x:c>
      <x:c r="B2085" s="80" t="n">
        <x:v>-0.7043584563854575</x:v>
      </x:c>
      <x:c r="C2085" s="84" t="n">
        <x:f>SQRT('Resumen'!$B$5^3/3)*B2085</x:f>
        <x:v>-0.40666154440013313</x:v>
      </x:c>
      <x:c r="D2085" s="84" t="n">
        <x:f>C2085^2-'Resumen'!$B$5^3/3</x:f>
        <x:v>-0.16795972163943187</x:v>
      </x:c>
      <x:c r="E2085" s="85" t="n">
        <x:f>D2085+'Resumen'!$B$5^3/3</x:f>
        <x:v>0.16537361169390144</x:v>
      </x:c>
    </x:row>
    <x:row r="2086">
      <x:c r="A2086" s="89" t="n">
        <x:v>2084</x:v>
      </x:c>
      <x:c r="B2086" s="80" t="n">
        <x:v>-2.2173240080895518</x:v>
      </x:c>
      <x:c r="C2086" s="84" t="n">
        <x:f>SQRT('Resumen'!$B$5^3/3)*B2086</x:f>
        <x:v>-1.2801726129511226</x:v>
      </x:c>
      <x:c r="D2086" s="84" t="n">
        <x:f>C2086^2-'Resumen'!$B$5^3/3</x:f>
        <x:v>1.3055085856167716</x:v>
      </x:c>
      <x:c r="E2086" s="85" t="n">
        <x:f>D2086+'Resumen'!$B$5^3/3</x:f>
        <x:v>1.638841918950105</x:v>
      </x:c>
    </x:row>
    <x:row r="2087">
      <x:c r="A2087" s="89" t="n">
        <x:v>2085</x:v>
      </x:c>
      <x:c r="B2087" s="80" t="n">
        <x:v>0.6411781801080588</x:v>
      </x:c>
      <x:c r="C2087" s="84" t="n">
        <x:f>SQRT('Resumen'!$B$5^3/3)*B2087</x:f>
        <x:v>0.3701843948839021</x:v>
      </x:c>
      <x:c r="D2087" s="84" t="n">
        <x:f>C2087^2-'Resumen'!$B$5^3/3</x:f>
        <x:v>-0.19629684711777257</x:v>
      </x:c>
      <x:c r="E2087" s="85" t="n">
        <x:f>D2087+'Resumen'!$B$5^3/3</x:f>
        <x:v>0.13703648621556075</x:v>
      </x:c>
    </x:row>
    <x:row r="2088">
      <x:c r="A2088" s="89" t="n">
        <x:v>2086</x:v>
      </x:c>
      <x:c r="B2088" s="80" t="n">
        <x:v>0.2038145325548598</x:v>
      </x:c>
      <x:c r="C2088" s="84" t="n">
        <x:f>SQRT('Resumen'!$B$5^3/3)*B2088</x:f>
        <x:v>0.11767237523530603</x:v>
      </x:c>
      <x:c r="D2088" s="84" t="n">
        <x:f>C2088^2-'Resumen'!$B$5^3/3</x:f>
        <x:v>-0.31948654543981464</x:v>
      </x:c>
      <x:c r="E2088" s="85" t="n">
        <x:f>D2088+'Resumen'!$B$5^3/3</x:f>
        <x:v>0.013846787893518675</x:v>
      </x:c>
    </x:row>
    <x:row r="2089">
      <x:c r="A2089" s="89" t="n">
        <x:v>2087</x:v>
      </x:c>
      <x:c r="B2089" s="80" t="n">
        <x:v>1.1217613924064327</x:v>
      </x:c>
      <x:c r="C2089" s="84" t="n">
        <x:f>SQRT('Resumen'!$B$5^3/3)*B2089</x:f>
        <x:v>0.6476492418723833</x:v>
      </x:c>
      <x:c r="D2089" s="84" t="n">
        <x:f>C2089^2-'Resumen'!$B$5^3/3</x:f>
        <x:v>0.0861162071645395</x:v>
      </x:c>
      <x:c r="E2089" s="85" t="n">
        <x:f>D2089+'Resumen'!$B$5^3/3</x:f>
        <x:v>0.4194495404978728</x:v>
      </x:c>
    </x:row>
    <x:row r="2090">
      <x:c r="A2090" s="89" t="n">
        <x:v>2088</x:v>
      </x:c>
      <x:c r="B2090" s="80" t="n">
        <x:v>0.579139994281423</x:v>
      </x:c>
      <x:c r="C2090" s="84" t="n">
        <x:f>SQRT('Resumen'!$B$5^3/3)*B2090</x:f>
        <x:v>0.3343666315968579</x:v>
      </x:c>
      <x:c r="D2090" s="84" t="n">
        <x:f>C2090^2-'Resumen'!$B$5^3/3</x:f>
        <x:v>-0.2215322890079044</x:v>
      </x:c>
      <x:c r="E2090" s="85" t="n">
        <x:f>D2090+'Resumen'!$B$5^3/3</x:f>
        <x:v>0.11180104432542892</x:v>
      </x:c>
    </x:row>
    <x:row r="2091">
      <x:c r="A2091" s="89" t="n">
        <x:v>2089</x:v>
      </x:c>
      <x:c r="B2091" s="80" t="n">
        <x:v>2.2112175546922157</x:v>
      </x:c>
      <x:c r="C2091" s="84" t="n">
        <x:f>SQRT('Resumen'!$B$5^3/3)*B2091</x:f>
        <x:v>1.2766470504383767</x:v>
      </x:c>
      <x:c r="D2091" s="84" t="n">
        <x:f>C2091^2-'Resumen'!$B$5^3/3</x:f>
        <x:v>1.2964943580596737</x:v>
      </x:c>
      <x:c r="E2091" s="85" t="n">
        <x:f>D2091+'Resumen'!$B$5^3/3</x:f>
        <x:v>1.629827691393007</x:v>
      </x:c>
    </x:row>
    <x:row r="2092">
      <x:c r="A2092" s="89" t="n">
        <x:v>2090</x:v>
      </x:c>
      <x:c r="B2092" s="80" t="n">
        <x:v>0.2624332372028681</x:v>
      </x:c>
      <x:c r="C2092" s="84" t="n">
        <x:f>SQRT('Resumen'!$B$5^3/3)*B2092</x:f>
        <x:v>0.1515159001433808</x:v>
      </x:c>
      <x:c r="D2092" s="84" t="n">
        <x:f>C2092^2-'Resumen'!$B$5^3/3</x:f>
        <x:v>-0.31037626533707435</x:v>
      </x:c>
      <x:c r="E2092" s="85" t="n">
        <x:f>D2092+'Resumen'!$B$5^3/3</x:f>
        <x:v>0.022957067996258962</x:v>
      </x:c>
    </x:row>
    <x:row r="2093">
      <x:c r="A2093" s="89" t="n">
        <x:v>2091</x:v>
      </x:c>
      <x:c r="B2093" s="80" t="n">
        <x:v>0.14395210723666796</x:v>
      </x:c>
      <x:c r="C2093" s="84" t="n">
        <x:f>SQRT('Resumen'!$B$5^3/3)*B2093</x:f>
        <x:v>0.08311078786350412</x:v>
      </x:c>
      <x:c r="D2093" s="84" t="n">
        <x:f>C2093^2-'Resumen'!$B$5^3/3</x:f>
        <x:v>-0.32642593027404093</x:v>
      </x:c>
      <x:c r="E2093" s="85" t="n">
        <x:f>D2093+'Resumen'!$B$5^3/3</x:f>
        <x:v>0.006907403059292383</x:v>
      </x:c>
    </x:row>
    <x:row r="2094">
      <x:c r="A2094" s="89" t="n">
        <x:v>2092</x:v>
      </x:c>
      <x:c r="B2094" s="80" t="n">
        <x:v>0.5739960569583354</x:v>
      </x:c>
      <x:c r="C2094" s="84" t="n">
        <x:f>SQRT('Resumen'!$B$5^3/3)*B2094</x:f>
        <x:v>0.3313967779986787</x:v>
      </x:c>
      <x:c r="D2094" s="84" t="n">
        <x:f>C2094^2-'Resumen'!$B$5^3/3</x:f>
        <x:v>-0.22350950886542775</x:v>
      </x:c>
      <x:c r="E2094" s="85" t="n">
        <x:f>D2094+'Resumen'!$B$5^3/3</x:f>
        <x:v>0.10982382446790556</x:v>
      </x:c>
    </x:row>
    <x:row r="2095">
      <x:c r="A2095" s="89" t="n">
        <x:v>2093</x:v>
      </x:c>
      <x:c r="B2095" s="80" t="n">
        <x:v>0.6461380921275005</x:v>
      </x:c>
      <x:c r="C2095" s="84" t="n">
        <x:f>SQRT('Resumen'!$B$5^3/3)*B2095</x:f>
        <x:v>0.3730480014234836</x:v>
      </x:c>
      <x:c r="D2095" s="84" t="n">
        <x:f>C2095^2-'Resumen'!$B$5^3/3</x:f>
        <x:v>-0.19416852196727788</x:v>
      </x:c>
      <x:c r="E2095" s="85" t="n">
        <x:f>D2095+'Resumen'!$B$5^3/3</x:f>
        <x:v>0.13916481136605544</x:v>
      </x:c>
    </x:row>
    <x:row r="2096">
      <x:c r="A2096" s="89" t="n">
        <x:v>2094</x:v>
      </x:c>
      <x:c r="B2096" s="80" t="n">
        <x:v>1.0936680920395678</x:v>
      </x:c>
      <x:c r="C2096" s="84" t="n">
        <x:f>SQRT('Resumen'!$B$5^3/3)*B2096</x:f>
        <x:v>0.6314295673431488</x:v>
      </x:c>
      <x:c r="D2096" s="84" t="n">
        <x:f>C2096^2-'Resumen'!$B$5^3/3</x:f>
        <x:v>0.06536996518182281</x:v>
      </x:c>
      <x:c r="E2096" s="85" t="n">
        <x:f>D2096+'Resumen'!$B$5^3/3</x:f>
        <x:v>0.3987032985151561</x:v>
      </x:c>
    </x:row>
    <x:row r="2097">
      <x:c r="A2097" s="89" t="n">
        <x:v>2095</x:v>
      </x:c>
      <x:c r="B2097" s="80" t="n">
        <x:v>-0.8999950876071983</x:v>
      </x:c>
      <x:c r="C2097" s="84" t="n">
        <x:f>SQRT('Resumen'!$B$5^3/3)*B2097</x:f>
        <x:v>-0.5196124060993567</x:v>
      </x:c>
      <x:c r="D2097" s="84" t="n">
        <x:f>C2097^2-'Resumen'!$B$5^3/3</x:f>
        <x:v>-0.06333628076097059</x:v>
      </x:c>
      <x:c r="E2097" s="85" t="n">
        <x:f>D2097+'Resumen'!$B$5^3/3</x:f>
        <x:v>0.26999705257236273</x:v>
      </x:c>
    </x:row>
    <x:row r="2098">
      <x:c r="A2098" s="89" t="n">
        <x:v>2096</x:v>
      </x:c>
      <x:c r="B2098" s="80" t="n">
        <x:v>0.953153896527193</x:v>
      </x:c>
      <x:c r="C2098" s="84" t="n">
        <x:f>SQRT('Resumen'!$B$5^3/3)*B2098</x:f>
        <x:v>0.5503036587391156</x:v>
      </x:c>
      <x:c r="D2098" s="84" t="n">
        <x:f>C2098^2-'Resumen'!$B$5^3/3</x:f>
        <x:v>-0.030499216511676364</x:v>
      </x:c>
      <x:c r="E2098" s="85" t="n">
        <x:f>D2098+'Resumen'!$B$5^3/3</x:f>
        <x:v>0.30283411682165695</x:v>
      </x:c>
    </x:row>
    <x:row r="2099">
      <x:c r="A2099" s="89" t="n">
        <x:v>2097</x:v>
      </x:c>
      <x:c r="B2099" s="80" t="n">
        <x:v>0.8811225145301438</x:v>
      </x:c>
      <x:c r="C2099" s="84" t="n">
        <x:f>SQRT('Resumen'!$B$5^3/3)*B2099</x:f>
        <x:v>0.5087163209530184</x:v>
      </x:c>
      <x:c r="D2099" s="84" t="n">
        <x:f>C2099^2-'Resumen'!$B$5^3/3</x:f>
        <x:v>-0.07454103812935886</x:v>
      </x:c>
      <x:c r="E2099" s="85" t="n">
        <x:f>D2099+'Resumen'!$B$5^3/3</x:f>
        <x:v>0.25879229520397445</x:v>
      </x:c>
    </x:row>
    <x:row r="2100">
      <x:c r="A2100" s="89" t="n">
        <x:v>2098</x:v>
      </x:c>
      <x:c r="B2100" s="80" t="n">
        <x:v>-0.41063353457539714</x:v>
      </x:c>
      <x:c r="C2100" s="84" t="n">
        <x:f>SQRT('Resumen'!$B$5^3/3)*B2100</x:f>
        <x:v>-0.23707938172539303</x:v>
      </x:c>
      <x:c r="D2100" s="84" t="n">
        <x:f>C2100^2-'Resumen'!$B$5^3/3</x:f>
        <x:v>-0.27712670009403867</x:v>
      </x:c>
      <x:c r="E2100" s="85" t="n">
        <x:f>D2100+'Resumen'!$B$5^3/3</x:f>
        <x:v>0.056206633239294645</x:v>
      </x:c>
    </x:row>
    <x:row r="2101">
      <x:c r="A2101" s="89" t="n">
        <x:v>2099</x:v>
      </x:c>
      <x:c r="B2101" s="80" t="n">
        <x:v>-0.7052384625040579</x:v>
      </x:c>
      <x:c r="C2101" s="84" t="n">
        <x:f>SQRT('Resumen'!$B$5^3/3)*B2101</x:f>
        <x:v>-0.40716961616959557</x:v>
      </x:c>
      <x:c r="D2101" s="84" t="n">
        <x:f>C2101^2-'Resumen'!$B$5^3/3</x:f>
        <x:v>-0.16754623700163754</x:v>
      </x:c>
      <x:c r="E2101" s="85" t="n">
        <x:f>D2101+'Resumen'!$B$5^3/3</x:f>
        <x:v>0.16578709633169578</x:v>
      </x:c>
    </x:row>
    <x:row r="2102">
      <x:c r="A2102" s="89" t="n">
        <x:v>2100</x:v>
      </x:c>
      <x:c r="B2102" s="80" t="n">
        <x:v>-0.5189181026356595</x:v>
      </x:c>
      <x:c r="C2102" s="84" t="n">
        <x:f>SQRT('Resumen'!$B$5^3/3)*B2102</x:f>
        <x:v>-0.29959750624406783</x:v>
      </x:c>
      <x:c r="D2102" s="84" t="n">
        <x:f>C2102^2-'Resumen'!$B$5^3/3</x:f>
        <x:v>-0.24357466758566904</x:v>
      </x:c>
      <x:c r="E2102" s="85" t="n">
        <x:f>D2102+'Resumen'!$B$5^3/3</x:f>
        <x:v>0.08975866574766428</x:v>
      </x:c>
    </x:row>
    <x:row r="2103">
      <x:c r="A2103" s="89" t="n">
        <x:v>2101</x:v>
      </x:c>
      <x:c r="B2103" s="80" t="n">
        <x:v>0.009487073364363397</x:v>
      </x:c>
      <x:c r="C2103" s="84" t="n">
        <x:f>SQRT('Resumen'!$B$5^3/3)*B2103</x:f>
        <x:v>0.005477364360736936</x:v>
      </x:c>
      <x:c r="D2103" s="84" t="n">
        <x:f>C2103^2-'Resumen'!$B$5^3/3</x:f>
        <x:v>-0.33330333181299304</x:v>
      </x:c>
      <x:c r="E2103" s="85" t="n">
        <x:f>D2103+'Resumen'!$B$5^3/3</x:f>
        <x:v>0.00003000152034027259</x:v>
      </x:c>
    </x:row>
    <x:row r="2104">
      <x:c r="A2104" s="89" t="n">
        <x:v>2102</x:v>
      </x:c>
      <x:c r="B2104" s="80" t="n">
        <x:v>1.040242010315468</x:v>
      </x:c>
      <x:c r="C2104" s="84" t="n">
        <x:f>SQRT('Resumen'!$B$5^3/3)*B2104</x:f>
        <x:v>0.6005840046779928</x:v>
      </x:c>
      <x:c r="D2104" s="84" t="n">
        <x:f>C2104^2-'Resumen'!$B$5^3/3</x:f>
        <x:v>0.027367813341721947</x:v>
      </x:c>
      <x:c r="E2104" s="85" t="n">
        <x:f>D2104+'Resumen'!$B$5^3/3</x:f>
        <x:v>0.36070114667505526</x:v>
      </x:c>
    </x:row>
    <x:row r="2105">
      <x:c r="A2105" s="89" t="n">
        <x:v>2103</x:v>
      </x:c>
      <x:c r="B2105" s="80" t="n">
        <x:v>0.7790790632240949</x:v>
      </x:c>
      <x:c r="C2105" s="84" t="n">
        <x:f>SQRT('Resumen'!$B$5^3/3)*B2105</x:f>
        <x:v>0.44980150687243264</x:v>
      </x:c>
      <x:c r="D2105" s="84" t="n">
        <x:f>C2105^2-'Resumen'!$B$5^3/3</x:f>
        <x:v>-0.13101193774862224</x:v>
      </x:c>
      <x:c r="E2105" s="85" t="n">
        <x:f>D2105+'Resumen'!$B$5^3/3</x:f>
        <x:v>0.20232139558471107</x:v>
      </x:c>
    </x:row>
    <x:row r="2106">
      <x:c r="A2106" s="89" t="n">
        <x:v>2104</x:v>
      </x:c>
      <x:c r="B2106" s="80" t="n">
        <x:v>0.41416046254936545</x:v>
      </x:c>
      <x:c r="C2106" s="84" t="n">
        <x:f>SQRT('Resumen'!$B$5^3/3)*B2106</x:f>
        <x:v>0.23911565454057604</x:v>
      </x:c>
      <x:c r="D2106" s="84" t="n">
        <x:f>C2106^2-'Resumen'!$B$5^3/3</x:f>
        <x:v>-0.2761570370869652</x:v>
      </x:c>
      <x:c r="E2106" s="85" t="n">
        <x:f>D2106+'Resumen'!$B$5^3/3</x:f>
        <x:v>0.05717629624636811</x:v>
      </x:c>
    </x:row>
    <x:row r="2107">
      <x:c r="A2107" s="89" t="n">
        <x:v>2105</x:v>
      </x:c>
      <x:c r="B2107" s="80" t="n">
        <x:v>-0.49636094612039783</x:v>
      </x:c>
      <x:c r="C2107" s="84" t="n">
        <x:f>SQRT('Resumen'!$B$5^3/3)*B2107</x:f>
        <x:v>-0.286574125857829</x:v>
      </x:c>
      <x:c r="D2107" s="84" t="n">
        <x:f>C2107^2-'Resumen'!$B$5^3/3</x:f>
        <x:v>-0.2512086037221545</x:v>
      </x:c>
      <x:c r="E2107" s="85" t="n">
        <x:f>D2107+'Resumen'!$B$5^3/3</x:f>
        <x:v>0.08212472961117884</x:v>
      </x:c>
    </x:row>
    <x:row r="2108">
      <x:c r="A2108" s="89" t="n">
        <x:v>2106</x:v>
      </x:c>
      <x:c r="B2108" s="80" t="n">
        <x:v>0.818631338363202</x:v>
      </x:c>
      <x:c r="C2108" s="84" t="n">
        <x:f>SQRT('Resumen'!$B$5^3/3)*B2108</x:f>
        <x:v>0.47263702357105825</x:v>
      </x:c>
      <x:c r="D2108" s="84" t="n">
        <x:f>C2108^2-'Resumen'!$B$5^3/3</x:f>
        <x:v>-0.10994757728322424</x:v>
      </x:c>
      <x:c r="E2108" s="85" t="n">
        <x:f>D2108+'Resumen'!$B$5^3/3</x:f>
        <x:v>0.22338575605010907</x:v>
      </x:c>
    </x:row>
    <x:row r="2109">
      <x:c r="A2109" s="89" t="n">
        <x:v>2107</x:v>
      </x:c>
      <x:c r="B2109" s="80" t="n">
        <x:v>-0.5053679008384164</x:v>
      </x:c>
      <x:c r="C2109" s="84" t="n">
        <x:f>SQRT('Resumen'!$B$5^3/3)*B2109</x:f>
        <x:v>-0.2917742935888558</x:v>
      </x:c>
      <x:c r="D2109" s="84" t="n">
        <x:f>C2109^2-'Resumen'!$B$5^3/3</x:f>
        <x:v>-0.24820109493405748</x:v>
      </x:c>
      <x:c r="E2109" s="85" t="n">
        <x:f>D2109+'Resumen'!$B$5^3/3</x:f>
        <x:v>0.08513223839927583</x:v>
      </x:c>
    </x:row>
    <x:row r="2110">
      <x:c r="A2110" s="89" t="n">
        <x:v>2108</x:v>
      </x:c>
      <x:c r="B2110" s="80" t="n">
        <x:v>1.3098565210543796</x:v>
      </x:c>
      <x:c r="C2110" s="84" t="n">
        <x:f>SQRT('Resumen'!$B$5^3/3)*B2110</x:f>
        <x:v>0.7562460150305327</x:v>
      </x:c>
      <x:c r="D2110" s="84" t="n">
        <x:f>C2110^2-'Resumen'!$B$5^3/3</x:f>
        <x:v>0.23857470191622737</x:v>
      </x:c>
      <x:c r="E2110" s="85" t="n">
        <x:f>D2110+'Resumen'!$B$5^3/3</x:f>
        <x:v>0.5719080352495607</x:v>
      </x:c>
    </x:row>
    <x:row r="2111">
      <x:c r="A2111" s="89" t="n">
        <x:v>2109</x:v>
      </x:c>
      <x:c r="B2111" s="80" t="n">
        <x:v>-0.655497340341389</x:v>
      </x:c>
      <x:c r="C2111" s="84" t="n">
        <x:f>SQRT('Resumen'!$B$5^3/3)*B2111</x:f>
        <x:v>-0.3784515658991846</x:v>
      </x:c>
      <x:c r="D2111" s="84" t="n">
        <x:f>C2111^2-'Resumen'!$B$5^3/3</x:f>
        <x:v>-0.19010774560178845</x:v>
      </x:c>
      <x:c r="E2111" s="85" t="n">
        <x:f>D2111+'Resumen'!$B$5^3/3</x:f>
        <x:v>0.14322558773154487</x:v>
      </x:c>
    </x:row>
    <x:row r="2112">
      <x:c r="A2112" s="89" t="n">
        <x:v>2110</x:v>
      </x:c>
      <x:c r="B2112" s="80" t="n">
        <x:v>-0.43394326944724976</x:v>
      </x:c>
      <x:c r="C2112" s="84" t="n">
        <x:f>SQRT('Resumen'!$B$5^3/3)*B2112</x:f>
        <x:v>-0.25053726342839594</x:v>
      </x:c>
      <x:c r="D2112" s="84" t="n">
        <x:f>C2112^2-'Resumen'!$B$5^3/3</x:f>
        <x:v>-0.27056441296714384</x:v>
      </x:c>
      <x:c r="E2112" s="85" t="n">
        <x:f>D2112+'Resumen'!$B$5^3/3</x:f>
        <x:v>0.06276892036618947</x:v>
      </x:c>
    </x:row>
    <x:row r="2113">
      <x:c r="A2113" s="89" t="n">
        <x:v>2111</x:v>
      </x:c>
      <x:c r="B2113" s="80" t="n">
        <x:v>1.1096465746137925</x:v>
      </x:c>
      <x:c r="C2113" s="84" t="n">
        <x:f>SQRT('Resumen'!$B$5^3/3)*B2113</x:f>
        <x:v>0.6406547485586191</x:v>
      </x:c>
      <x:c r="D2113" s="84" t="n">
        <x:f>C2113^2-'Resumen'!$B$5^3/3</x:f>
        <x:v>0.07710517351737423</x:v>
      </x:c>
      <x:c r="E2113" s="85" t="n">
        <x:f>D2113+'Resumen'!$B$5^3/3</x:f>
        <x:v>0.41043850685070754</x:v>
      </x:c>
    </x:row>
    <x:row r="2114">
      <x:c r="A2114" s="89" t="n">
        <x:v>2112</x:v>
      </x:c>
      <x:c r="B2114" s="80" t="n">
        <x:v>0.5051111066282181</x:v>
      </x:c>
      <x:c r="C2114" s="84" t="n">
        <x:f>SQRT('Resumen'!$B$5^3/3)*B2114</x:f>
        <x:v>0.29162603338247145</x:v>
      </x:c>
      <x:c r="D2114" s="84" t="n">
        <x:f>C2114^2-'Resumen'!$B$5^3/3</x:f>
        <x:v>-0.24828758998693895</x:v>
      </x:c>
      <x:c r="E2114" s="85" t="n">
        <x:f>D2114+'Resumen'!$B$5^3/3</x:f>
        <x:v>0.08504574334639436</x:v>
      </x:c>
    </x:row>
    <x:row r="2115">
      <x:c r="A2115" s="89" t="n">
        <x:v>2113</x:v>
      </x:c>
      <x:c r="B2115" s="80" t="n">
        <x:v>-0.628638973987506</x:v>
      </x:c>
      <x:c r="C2115" s="84" t="n">
        <x:f>SQRT('Resumen'!$B$5^3/3)*B2115</x:f>
        <x:v>-0.3629448808547767</x:v>
      </x:c>
      <x:c r="D2115" s="84" t="n">
        <x:f>C2115^2-'Resumen'!$B$5^3/3</x:f>
        <x:v>-0.20160434679464526</x:v>
      </x:c>
      <x:c r="E2115" s="85" t="n">
        <x:f>D2115+'Resumen'!$B$5^3/3</x:f>
        <x:v>0.13172898653868806</x:v>
      </x:c>
    </x:row>
    <x:row r="2116">
      <x:c r="A2116" s="89" t="n">
        <x:v>2114</x:v>
      </x:c>
      <x:c r="B2116" s="80" t="n">
        <x:v>-0.6042270683064317</x:v>
      </x:c>
      <x:c r="C2116" s="84" t="n">
        <x:f>SQRT('Resumen'!$B$5^3/3)*B2116</x:f>
        <x:v>-0.3488506605383767</x:v>
      </x:c>
      <x:c r="D2116" s="84" t="n">
        <x:f>C2116^2-'Resumen'!$B$5^3/3</x:f>
        <x:v>-0.2116365499752716</x:v>
      </x:c>
      <x:c r="E2116" s="85" t="n">
        <x:f>D2116+'Resumen'!$B$5^3/3</x:f>
        <x:v>0.12169678335806172</x:v>
      </x:c>
    </x:row>
    <x:row r="2117">
      <x:c r="A2117" s="89" t="n">
        <x:v>2115</x:v>
      </x:c>
      <x:c r="B2117" s="80" t="n">
        <x:v>-0.21788696449275127</x:v>
      </x:c>
      <x:c r="C2117" s="84" t="n">
        <x:f>SQRT('Resumen'!$B$5^3/3)*B2117</x:f>
        <x:v>-0.12579709760280036</x:v>
      </x:c>
      <x:c r="D2117" s="84" t="n">
        <x:f>C2117^2-'Resumen'!$B$5^3/3</x:f>
        <x:v>-0.3175084235680448</x:v>
      </x:c>
      <x:c r="E2117" s="85" t="n">
        <x:f>D2117+'Resumen'!$B$5^3/3</x:f>
        <x:v>0.015824909765288497</x:v>
      </x:c>
    </x:row>
    <x:row r="2118">
      <x:c r="A2118" s="89" t="n">
        <x:v>2116</x:v>
      </x:c>
      <x:c r="B2118" s="80" t="n">
        <x:v>1.3507901568014204</x:v>
      </x:c>
      <x:c r="C2118" s="84" t="n">
        <x:f>SQRT('Resumen'!$B$5^3/3)*B2118</x:f>
        <x:v>0.7798790606479968</x:v>
      </x:c>
      <x:c r="D2118" s="84" t="n">
        <x:f>C2118^2-'Resumen'!$B$5^3/3</x:f>
        <x:v>0.27487801590386857</x:v>
      </x:c>
      <x:c r="E2118" s="85" t="n">
        <x:f>D2118+'Resumen'!$B$5^3/3</x:f>
        <x:v>0.6082113492372019</x:v>
      </x:c>
    </x:row>
    <x:row r="2119">
      <x:c r="A2119" s="89" t="n">
        <x:v>2117</x:v>
      </x:c>
      <x:c r="B2119" s="80" t="n">
        <x:v>0.8733245664828605</x:v>
      </x:c>
      <x:c r="C2119" s="84" t="n">
        <x:f>SQRT('Resumen'!$B$5^3/3)*B2119</x:f>
        <x:v>0.5042141735487927</x:v>
      </x:c>
      <x:c r="D2119" s="84" t="n">
        <x:f>C2119^2-'Resumen'!$B$5^3/3</x:f>
        <x:v>-0.07910140052584125</x:v>
      </x:c>
      <x:c r="E2119" s="85" t="n">
        <x:f>D2119+'Resumen'!$B$5^3/3</x:f>
        <x:v>0.25423193280749207</x:v>
      </x:c>
    </x:row>
    <x:row r="2120">
      <x:c r="A2120" s="89" t="n">
        <x:v>2118</x:v>
      </x:c>
      <x:c r="B2120" s="80" t="n">
        <x:v>0.10596699546864632</x:v>
      </x:c>
      <x:c r="C2120" s="84" t="n">
        <x:f>SQRT('Resumen'!$B$5^3/3)*B2120</x:f>
        <x:v>0.06118007335903881</x:v>
      </x:c>
      <x:c r="D2120" s="84" t="n">
        <x:f>C2120^2-'Resumen'!$B$5^3/3</x:f>
        <x:v>-0.32959033195711596</x:v>
      </x:c>
      <x:c r="E2120" s="85" t="n">
        <x:f>D2120+'Resumen'!$B$5^3/3</x:f>
        <x:v>0.0037430013762173586</x:v>
      </x:c>
    </x:row>
    <x:row r="2121">
      <x:c r="A2121" s="89" t="n">
        <x:v>2119</x:v>
      </x:c>
      <x:c r="B2121" s="80" t="n">
        <x:v>1.4618080246479195</x:v>
      </x:c>
      <x:c r="C2121" s="84" t="n">
        <x:f>SQRT('Resumen'!$B$5^3/3)*B2121</x:f>
        <x:v>0.8439752565340314</x:v>
      </x:c>
      <x:c r="D2121" s="84" t="n">
        <x:f>C2121^2-'Resumen'!$B$5^3/3</x:f>
        <x:v>0.3789609003083508</x:v>
      </x:c>
      <x:c r="E2121" s="85" t="n">
        <x:f>D2121+'Resumen'!$B$5^3/3</x:f>
        <x:v>0.7122942336416841</x:v>
      </x:c>
    </x:row>
    <x:row r="2122">
      <x:c r="A2122" s="89" t="n">
        <x:v>2120</x:v>
      </x:c>
      <x:c r="B2122" s="80" t="n">
        <x:v>-1.0648585583681143</x:v>
      </x:c>
      <x:c r="C2122" s="84" t="n">
        <x:f>SQRT('Resumen'!$B$5^3/3)*B2122</x:f>
        <x:v>-0.6147963753227076</x:v>
      </x:c>
      <x:c r="D2122" s="84" t="n">
        <x:f>C2122^2-'Resumen'!$B$5^3/3</x:f>
        <x:v>0.04464124977660622</x:v>
      </x:c>
      <x:c r="E2122" s="85" t="n">
        <x:f>D2122+'Resumen'!$B$5^3/3</x:f>
        <x:v>0.37797458310993953</x:v>
      </x:c>
    </x:row>
    <x:row r="2123">
      <x:c r="A2123" s="89" t="n">
        <x:v>2121</x:v>
      </x:c>
      <x:c r="B2123" s="80" t="n">
        <x:v>-0.8258796766108635</x:v>
      </x:c>
      <x:c r="C2123" s="84" t="n">
        <x:f>SQRT('Resumen'!$B$5^3/3)*B2123</x:f>
        <x:v>-0.47682185360952306</x:v>
      </x:c>
      <x:c r="D2123" s="84" t="n">
        <x:f>C2123^2-'Resumen'!$B$5^3/3</x:f>
        <x:v>-0.10597425325371188</x:v>
      </x:c>
      <x:c r="E2123" s="85" t="n">
        <x:f>D2123+'Resumen'!$B$5^3/3</x:f>
        <x:v>0.22735908007962144</x:v>
      </x:c>
    </x:row>
    <x:row r="2124">
      <x:c r="A2124" s="89" t="n">
        <x:v>2122</x:v>
      </x:c>
      <x:c r="B2124" s="80" t="n">
        <x:v>0.15065540172408406</x:v>
      </x:c>
      <x:c r="C2124" s="84" t="n">
        <x:f>SQRT('Resumen'!$B$5^3/3)*B2124</x:f>
        <x:v>0.08698093674027114</x:v>
      </x:c>
      <x:c r="D2124" s="84" t="n">
        <x:f>C2124^2-'Resumen'!$B$5^3/3</x:f>
        <x:v>-0.32576764997711827</x:v>
      </x:c>
      <x:c r="E2124" s="85" t="n">
        <x:f>D2124+'Resumen'!$B$5^3/3</x:f>
        <x:v>0.007565683356215047</x:v>
      </x:c>
    </x:row>
    <x:row r="2125">
      <x:c r="A2125" s="89" t="n">
        <x:v>2123</x:v>
      </x:c>
      <x:c r="B2125" s="80" t="n">
        <x:v>-2.057017355652844</x:v>
      </x:c>
      <x:c r="C2125" s="84" t="n">
        <x:f>SQRT('Resumen'!$B$5^3/3)*B2125</x:f>
        <x:v>-1.1876195240139016</x:v>
      </x:c>
      <x:c r="D2125" s="84" t="n">
        <x:f>C2125^2-'Resumen'!$B$5^3/3</x:f>
        <x:v>1.077106800485673</x:v>
      </x:c>
      <x:c r="E2125" s="85" t="n">
        <x:f>D2125+'Resumen'!$B$5^3/3</x:f>
        <x:v>1.4104401338190062</x:v>
      </x:c>
    </x:row>
    <x:row r="2126">
      <x:c r="A2126" s="89" t="n">
        <x:v>2124</x:v>
      </x:c>
      <x:c r="B2126" s="80" t="n">
        <x:v>1.0568993309754064</x:v>
      </x:c>
      <x:c r="C2126" s="84" t="n">
        <x:f>SQRT('Resumen'!$B$5^3/3)*B2126</x:f>
        <x:v>0.6102011132449863</x:v>
      </x:c>
      <x:c r="D2126" s="84" t="n">
        <x:f>C2126^2-'Resumen'!$B$5^3/3</x:f>
        <x:v>0.039012065272087226</x:v>
      </x:c>
      <x:c r="E2126" s="85" t="n">
        <x:f>D2126+'Resumen'!$B$5^3/3</x:f>
        <x:v>0.37234539860542054</x:v>
      </x:c>
    </x:row>
    <x:row r="2127">
      <x:c r="A2127" s="89" t="n">
        <x:v>2125</x:v>
      </x:c>
      <x:c r="B2127" s="80" t="n">
        <x:v>-0.29831456793702094</x:v>
      </x:c>
      <x:c r="C2127" s="84" t="n">
        <x:f>SQRT('Resumen'!$B$5^3/3)*B2127</x:f>
        <x:v>-0.17223199610162593</x:v>
      </x:c>
      <x:c r="D2127" s="84" t="n">
        <x:f>C2127^2-'Resumen'!$B$5^3/3</x:f>
        <x:v>-0.3036694728521828</x:v>
      </x:c>
      <x:c r="E2127" s="85" t="n">
        <x:f>D2127+'Resumen'!$B$5^3/3</x:f>
        <x:v>0.029663860481150495</x:v>
      </x:c>
    </x:row>
    <x:row r="2128">
      <x:c r="A2128" s="89" t="n">
        <x:v>2126</x:v>
      </x:c>
      <x:c r="B2128" s="80" t="n">
        <x:v>0.0018388895552169898</x:v>
      </x:c>
      <x:c r="C2128" s="84" t="n">
        <x:f>SQRT('Resumen'!$B$5^3/3)*B2128</x:f>
        <x:v>0.0010616833797145201</x:v>
      </x:c>
      <x:c r="D2128" s="84" t="n">
        <x:f>C2128^2-'Resumen'!$B$5^3/3</x:f>
        <x:v>-0.33333220616173453</x:v>
      </x:c>
      <x:c r="E2128" s="85" t="n">
        <x:f>D2128+'Resumen'!$B$5^3/3</x:f>
        <x:v>0.0000011271715987803965</x:v>
      </x:c>
    </x:row>
    <x:row r="2129">
      <x:c r="A2129" s="89" t="n">
        <x:v>2127</x:v>
      </x:c>
      <x:c r="B2129" s="80" t="n">
        <x:v>-0.5460363105953888</x:v>
      </x:c>
      <x:c r="C2129" s="84" t="n">
        <x:f>SQRT('Resumen'!$B$5^3/3)*B2129</x:f>
        <x:v>-0.3152542109095578</x:v>
      </x:c>
      <x:c r="D2129" s="84" t="n">
        <x:f>C2129^2-'Resumen'!$B$5^3/3</x:f>
        <x:v>-0.23394811583712538</x:v>
      </x:c>
      <x:c r="E2129" s="85" t="n">
        <x:f>D2129+'Resumen'!$B$5^3/3</x:f>
        <x:v>0.09938521749620793</x:v>
      </x:c>
    </x:row>
    <x:row r="2130">
      <x:c r="A2130" s="89" t="n">
        <x:v>2128</x:v>
      </x:c>
      <x:c r="B2130" s="80" t="n">
        <x:v>-0.5581046178542555</x:v>
      </x:c>
      <x:c r="C2130" s="84" t="n">
        <x:f>SQRT('Resumen'!$B$5^3/3)*B2130</x:f>
        <x:v>-0.3222218513541276</x:v>
      </x:c>
      <x:c r="D2130" s="84" t="n">
        <x:f>C2130^2-'Resumen'!$B$5^3/3</x:f>
        <x:v>-0.2295064118432518</x:v>
      </x:c>
      <x:c r="E2130" s="85" t="n">
        <x:f>D2130+'Resumen'!$B$5^3/3</x:f>
        <x:v>0.10382692149008152</x:v>
      </x:c>
    </x:row>
    <x:row r="2131">
      <x:c r="A2131" s="89" t="n">
        <x:v>2129</x:v>
      </x:c>
      <x:c r="B2131" s="80" t="n">
        <x:v>0.6456661428150975</x:v>
      </x:c>
      <x:c r="C2131" s="84" t="n">
        <x:f>SQRT('Resumen'!$B$5^3/3)*B2131</x:f>
        <x:v>0.37277552136092384</x:v>
      </x:c>
      <x:c r="D2131" s="84" t="n">
        <x:f>C2131^2-'Resumen'!$B$5^3/3</x:f>
        <x:v>-0.1943717440074247</x:v>
      </x:c>
      <x:c r="E2131" s="85" t="n">
        <x:f>D2131+'Resumen'!$B$5^3/3</x:f>
        <x:v>0.1389615893259086</x:v>
      </x:c>
    </x:row>
    <x:row r="2132">
      <x:c r="A2132" s="89" t="n">
        <x:v>2130</x:v>
      </x:c>
      <x:c r="B2132" s="80" t="n">
        <x:v>0.6175772237098797</x:v>
      </x:c>
      <x:c r="C2132" s="84" t="n">
        <x:f>SQRT('Resumen'!$B$5^3/3)*B2132</x:f>
        <x:v>0.3565583763542807</x:v>
      </x:c>
      <x:c r="D2132" s="84" t="n">
        <x:f>C2132^2-'Resumen'!$B$5^3/3</x:f>
        <x:v>-0.2061994575849324</x:v>
      </x:c>
      <x:c r="E2132" s="85" t="n">
        <x:f>D2132+'Resumen'!$B$5^3/3</x:f>
        <x:v>0.1271338757484009</x:v>
      </x:c>
    </x:row>
    <x:row r="2133">
      <x:c r="A2133" s="89" t="n">
        <x:v>2131</x:v>
      </x:c>
      <x:c r="B2133" s="80" t="n">
        <x:v>-0.8262787869930701</x:v>
      </x:c>
      <x:c r="C2133" s="84" t="n">
        <x:f>SQRT('Resumen'!$B$5^3/3)*B2133</x:f>
        <x:v>-0.47705228009612644</x:v>
      </x:c>
      <x:c r="D2133" s="84" t="n">
        <x:f>C2133^2-'Resumen'!$B$5^3/3</x:f>
        <x:v>-0.10575445538842024</x:v>
      </x:c>
      <x:c r="E2133" s="85" t="n">
        <x:f>D2133+'Resumen'!$B$5^3/3</x:f>
        <x:v>0.22757887794491308</x:v>
      </x:c>
    </x:row>
    <x:row r="2134">
      <x:c r="A2134" s="89" t="n">
        <x:v>2132</x:v>
      </x:c>
      <x:c r="B2134" s="80" t="n">
        <x:v>0.987977556083728</x:v>
      </x:c>
      <x:c r="C2134" s="84" t="n">
        <x:f>SQRT('Resumen'!$B$5^3/3)*B2134</x:f>
        <x:v>0.5704091079582488</x:v>
      </x:c>
      <x:c r="D2134" s="84" t="n">
        <x:f>C2134^2-'Resumen'!$B$5^3/3</x:f>
        <x:v>-0.007966782891608126</x:v>
      </x:c>
      <x:c r="E2134" s="85" t="n">
        <x:f>D2134+'Resumen'!$B$5^3/3</x:f>
        <x:v>0.3253665504417252</x:v>
      </x:c>
    </x:row>
    <x:row r="2135">
      <x:c r="A2135" s="89" t="n">
        <x:v>2133</x:v>
      </x:c>
      <x:c r="B2135" s="80" t="n">
        <x:v>0.09436148471073252</x:v>
      </x:c>
      <x:c r="C2135" s="84" t="n">
        <x:f>SQRT('Resumen'!$B$5^3/3)*B2135</x:f>
        <x:v>0.054479628598874175</x:v>
      </x:c>
      <x:c r="D2135" s="84" t="n">
        <x:f>C2135^2-'Resumen'!$B$5^3/3</x:f>
        <x:v>-0.33036530340106207</x:v>
      </x:c>
      <x:c r="E2135" s="85" t="n">
        <x:f>D2135+'Resumen'!$B$5^3/3</x:f>
        <x:v>0.0029680299322712433</x:v>
      </x:c>
    </x:row>
    <x:row r="2136">
      <x:c r="A2136" s="89" t="n">
        <x:v>2134</x:v>
      </x:c>
      <x:c r="B2136" s="80" t="n">
        <x:v>0.4109712006388046</x:v>
      </x:c>
      <x:c r="C2136" s="84" t="n">
        <x:f>SQRT('Resumen'!$B$5^3/3)*B2136</x:f>
        <x:v>0.23727433331799752</x:v>
      </x:c>
      <x:c r="D2136" s="84" t="n">
        <x:f>C2136^2-'Resumen'!$B$5^3/3</x:f>
        <x:v>-0.27703422408183315</x:v>
      </x:c>
      <x:c r="E2136" s="85" t="n">
        <x:f>D2136+'Resumen'!$B$5^3/3</x:f>
        <x:v>0.05629910925150017</x:v>
      </x:c>
    </x:row>
    <x:row r="2137">
      <x:c r="A2137" s="89" t="n">
        <x:v>2135</x:v>
      </x:c>
      <x:c r="B2137" s="80" t="n">
        <x:v>-0.007541216255784949</x:v>
      </x:c>
      <x:c r="C2137" s="84" t="n">
        <x:f>SQRT('Resumen'!$B$5^3/3)*B2137</x:f>
        <x:v>-0.0043539232352946215</x:v>
      </x:c>
      <x:c r="D2137" s="84" t="n">
        <x:f>C2137^2-'Resumen'!$B$5^3/3</x:f>
        <x:v>-0.3333143766857945</x:v>
      </x:c>
      <x:c r="E2137" s="85" t="n">
        <x:f>D2137+'Resumen'!$B$5^3/3</x:f>
        <x:v>0.000018956647538814764</x:v>
      </x:c>
    </x:row>
    <x:row r="2138">
      <x:c r="A2138" s="89" t="n">
        <x:v>2136</x:v>
      </x:c>
      <x:c r="B2138" s="80" t="n">
        <x:v>-0.5326922891201179</x:v>
      </x:c>
      <x:c r="C2138" s="84" t="n">
        <x:f>SQRT('Resumen'!$B$5^3/3)*B2138</x:f>
        <x:v>-0.307550036518738</x:v>
      </x:c>
      <x:c r="D2138" s="84" t="n">
        <x:f>C2138^2-'Resumen'!$B$5^3/3</x:f>
        <x:v>-0.23874630837065622</x:v>
      </x:c>
      <x:c r="E2138" s="85" t="n">
        <x:f>D2138+'Resumen'!$B$5^3/3</x:f>
        <x:v>0.0945870249626771</x:v>
      </x:c>
    </x:row>
    <x:row r="2139">
      <x:c r="A2139" s="89" t="n">
        <x:v>2137</x:v>
      </x:c>
      <x:c r="B2139" s="80" t="n">
        <x:v>0.21426982704807657</x:v>
      </x:c>
      <x:c r="C2139" s="84" t="n">
        <x:f>SQRT('Resumen'!$B$5^3/3)*B2139</x:f>
        <x:v>0.12370874232542155</x:v>
      </x:c>
      <x:c r="D2139" s="84" t="n">
        <x:f>C2139^2-'Resumen'!$B$5^3/3</x:f>
        <x:v>-0.31802948040559575</x:v>
      </x:c>
      <x:c r="E2139" s="85" t="n">
        <x:f>D2139+'Resumen'!$B$5^3/3</x:f>
        <x:v>0.01530385292773756</x:v>
      </x:c>
    </x:row>
    <x:row r="2140">
      <x:c r="A2140" s="89" t="n">
        <x:v>2138</x:v>
      </x:c>
      <x:c r="B2140" s="80" t="n">
        <x:v>0.43574817878408156</x:v>
      </x:c>
      <x:c r="C2140" s="84" t="n">
        <x:f>SQRT('Resumen'!$B$5^3/3)*B2140</x:f>
        <x:v>0.25157932831987867</x:v>
      </x:c>
      <x:c r="D2140" s="84" t="n">
        <x:f>C2140^2-'Resumen'!$B$5^3/3</x:f>
        <x:v>-0.270041174895452</x:v>
      </x:c>
      <x:c r="E2140" s="85" t="n">
        <x:f>D2140+'Resumen'!$B$5^3/3</x:f>
        <x:v>0.06329215843788133</x:v>
      </x:c>
    </x:row>
    <x:row r="2141">
      <x:c r="A2141" s="89" t="n">
        <x:v>2139</x:v>
      </x:c>
      <x:c r="B2141" s="80" t="n">
        <x:v>-1.3939508845189426</x:v>
      </x:c>
      <x:c r="C2141" s="84" t="n">
        <x:f>SQRT('Resumen'!$B$5^3/3)*B2141</x:f>
        <x:v>-0.8047979184141284</x:v>
      </x:c>
      <x:c r="D2141" s="84" t="n">
        <x:f>C2141^2-'Resumen'!$B$5^3/3</x:f>
        <x:v>0.3143663561503807</x:v>
      </x:c>
      <x:c r="E2141" s="85" t="n">
        <x:f>D2141+'Resumen'!$B$5^3/3</x:f>
        <x:v>0.647699689483714</x:v>
      </x:c>
    </x:row>
    <x:row r="2142">
      <x:c r="A2142" s="89" t="n">
        <x:v>2140</x:v>
      </x:c>
      <x:c r="B2142" s="80" t="n">
        <x:v>-0.5975112272322771</x:v>
      </x:c>
      <x:c r="C2142" s="84" t="n">
        <x:f>SQRT('Resumen'!$B$5^3/3)*B2142</x:f>
        <x:v>-0.34497326788637883</x:v>
      </x:c>
      <x:c r="D2142" s="84" t="n">
        <x:f>C2142^2-'Resumen'!$B$5^3/3</x:f>
        <x:v>-0.21432677777712603</x:v>
      </x:c>
      <x:c r="E2142" s="85" t="n">
        <x:f>D2142+'Resumen'!$B$5^3/3</x:f>
        <x:v>0.11900655555620729</x:v>
      </x:c>
    </x:row>
    <x:row r="2143">
      <x:c r="A2143" s="89" t="n">
        <x:v>2141</x:v>
      </x:c>
      <x:c r="B2143" s="80" t="n">
        <x:v>0.5338275775129385</x:v>
      </x:c>
      <x:c r="C2143" s="84" t="n">
        <x:f>SQRT('Resumen'!$B$5^3/3)*B2143</x:f>
        <x:v>0.30820549557794086</x:v>
      </x:c>
      <x:c r="D2143" s="84" t="n">
        <x:f>C2143^2-'Resumen'!$B$5^3/3</x:f>
        <x:v>-0.2383427058288892</x:v>
      </x:c>
      <x:c r="E2143" s="85" t="n">
        <x:f>D2143+'Resumen'!$B$5^3/3</x:f>
        <x:v>0.09499062750444412</x:v>
      </x:c>
    </x:row>
    <x:row r="2144">
      <x:c r="A2144" s="89" t="n">
        <x:v>2142</x:v>
      </x:c>
      <x:c r="B2144" s="80" t="n">
        <x:v>0.21167697469916566</x:v>
      </x:c>
      <x:c r="C2144" s="84" t="n">
        <x:f>SQRT('Resumen'!$B$5^3/3)*B2144</x:f>
        <x:v>0.12221175832380889</x:v>
      </x:c>
      <x:c r="D2144" s="84" t="n">
        <x:f>C2144^2-'Resumen'!$B$5^3/3</x:f>
        <x:v>-0.31839761946073625</x:v>
      </x:c>
      <x:c r="E2144" s="85" t="n">
        <x:f>D2144+'Resumen'!$B$5^3/3</x:f>
        <x:v>0.014935713872597067</x:v>
      </x:c>
    </x:row>
    <x:row r="2145">
      <x:c r="A2145" s="89" t="n">
        <x:v>2143</x:v>
      </x:c>
      <x:c r="B2145" s="80" t="n">
        <x:v>-0.5294936357016425</x:v>
      </x:c>
      <x:c r="C2145" s="84" t="n">
        <x:f>SQRT('Resumen'!$B$5^3/3)*B2145</x:f>
        <x:v>-0.30570329310653693</x:v>
      </x:c>
      <x:c r="D2145" s="84" t="n">
        <x:f>C2145^2-'Resumen'!$B$5^3/3</x:f>
        <x:v>-0.2398788299171521</x:v>
      </x:c>
      <x:c r="E2145" s="85" t="n">
        <x:f>D2145+'Resumen'!$B$5^3/3</x:f>
        <x:v>0.09345450341618122</x:v>
      </x:c>
    </x:row>
    <x:row r="2146">
      <x:c r="A2146" s="89" t="n">
        <x:v>2144</x:v>
      </x:c>
      <x:c r="B2146" s="80" t="n">
        <x:v>-1.2903656119403788</x:v>
      </x:c>
      <x:c r="C2146" s="84" t="n">
        <x:f>SQRT('Resumen'!$B$5^3/3)*B2146</x:f>
        <x:v>-0.7449929334068138</x:v>
      </x:c>
      <x:c r="D2146" s="84" t="n">
        <x:f>C2146^2-'Resumen'!$B$5^3/3</x:f>
        <x:v>0.22168113749275603</x:v>
      </x:c>
      <x:c r="E2146" s="85" t="n">
        <x:f>D2146+'Resumen'!$B$5^3/3</x:f>
        <x:v>0.5550144708260893</x:v>
      </x:c>
    </x:row>
    <x:row r="2147">
      <x:c r="A2147" s="89" t="n">
        <x:v>2145</x:v>
      </x:c>
      <x:c r="B2147" s="80" t="n">
        <x:v>1.1020333818019616</x:v>
      </x:c>
      <x:c r="C2147" s="84" t="n">
        <x:f>SQRT('Resumen'!$B$5^3/3)*B2147</x:f>
        <x:v>0.6362592696393161</x:v>
      </x:c>
      <x:c r="D2147" s="84" t="n">
        <x:f>C2147^2-'Resumen'!$B$5^3/3</x:f>
        <x:v>0.07149252486862268</x:v>
      </x:c>
      <x:c r="E2147" s="85" t="n">
        <x:f>D2147+'Resumen'!$B$5^3/3</x:f>
        <x:v>0.404825858201956</x:v>
      </x:c>
    </x:row>
    <x:row r="2148">
      <x:c r="A2148" s="89" t="n">
        <x:v>2146</x:v>
      </x:c>
      <x:c r="B2148" s="80" t="n">
        <x:v>-0.39449673738032937</x:v>
      </x:c>
      <x:c r="C2148" s="84" t="n">
        <x:f>SQRT('Resumen'!$B$5^3/3)*B2148</x:f>
        <x:v>-0.22776279752096223</x:v>
      </x:c>
      <x:c r="D2148" s="84" t="n">
        <x:f>C2148^2-'Resumen'!$B$5^3/3</x:f>
        <x:v>-0.2814574413987585</x:v>
      </x:c>
      <x:c r="E2148" s="85" t="n">
        <x:f>D2148+'Resumen'!$B$5^3/3</x:f>
        <x:v>0.051875891934574814</x:v>
      </x:c>
    </x:row>
    <x:row r="2149">
      <x:c r="A2149" s="89" t="n">
        <x:v>2147</x:v>
      </x:c>
      <x:c r="B2149" s="80" t="n">
        <x:v>1.1126195929871292</x:v>
      </x:c>
      <x:c r="C2149" s="84" t="n">
        <x:f>SQRT('Resumen'!$B$5^3/3)*B2149</x:f>
        <x:v>0.6423712215167708</x:v>
      </x:c>
      <x:c r="D2149" s="84" t="n">
        <x:f>C2149^2-'Resumen'!$B$5^3/3</x:f>
        <x:v>0.07930745289961494</x:v>
      </x:c>
      <x:c r="E2149" s="85" t="n">
        <x:f>D2149+'Resumen'!$B$5^3/3</x:f>
        <x:v>0.41264078623294825</x:v>
      </x:c>
    </x:row>
    <x:row r="2150">
      <x:c r="A2150" s="89" t="n">
        <x:v>2148</x:v>
      </x:c>
      <x:c r="B2150" s="80" t="n">
        <x:v>0.45363027792219096</x:v>
      </x:c>
      <x:c r="C2150" s="84" t="n">
        <x:f>SQRT('Resumen'!$B$5^3/3)*B2150</x:f>
        <x:v>0.2619035630709417</x:v>
      </x:c>
      <x:c r="D2150" s="84" t="n">
        <x:f>C2150^2-'Resumen'!$B$5^3/3</x:f>
        <x:v>-0.2647398569840786</x:v>
      </x:c>
      <x:c r="E2150" s="85" t="n">
        <x:f>D2150+'Resumen'!$B$5^3/3</x:f>
        <x:v>0.06859347634925472</x:v>
      </x:c>
    </x:row>
    <x:row r="2151">
      <x:c r="A2151" s="89" t="n">
        <x:v>2149</x:v>
      </x:c>
      <x:c r="B2151" s="80" t="n">
        <x:v>1.3363844266316682</x:v>
      </x:c>
      <x:c r="C2151" s="84" t="n">
        <x:f>SQRT('Resumen'!$B$5^3/3)*B2151</x:f>
        <x:v>0.7715619084566173</x:v>
      </x:c>
      <x:c r="D2151" s="84" t="n">
        <x:f>C2151^2-'Resumen'!$B$5^3/3</x:f>
        <x:v>0.2619744452478842</x:v>
      </x:c>
      <x:c r="E2151" s="85" t="n">
        <x:f>D2151+'Resumen'!$B$5^3/3</x:f>
        <x:v>0.5953077785812175</x:v>
      </x:c>
    </x:row>
    <x:row r="2152">
      <x:c r="A2152" s="89" t="n">
        <x:v>2150</x:v>
      </x:c>
      <x:c r="B2152" s="80" t="n">
        <x:v>-1.1977669838404719</x:v>
      </x:c>
      <x:c r="C2152" s="84" t="n">
        <x:f>SQRT('Resumen'!$B$5^3/3)*B2152</x:f>
        <x:v>-0.6915310905467426</x:v>
      </x:c>
      <x:c r="D2152" s="84" t="n">
        <x:f>C2152^2-'Resumen'!$B$5^3/3</x:f>
        <x:v>0.14488191585943372</x:v>
      </x:c>
      <x:c r="E2152" s="85" t="n">
        <x:f>D2152+'Resumen'!$B$5^3/3</x:f>
        <x:v>0.47821524919276703</x:v>
      </x:c>
    </x:row>
    <x:row r="2153">
      <x:c r="A2153" s="89" t="n">
        <x:v>2151</x:v>
      </x:c>
      <x:c r="B2153" s="80" t="n">
        <x:v>-0.8814644702491944</x:v>
      </x:c>
      <x:c r="C2153" s="84" t="n">
        <x:f>SQRT('Resumen'!$B$5^3/3)*B2153</x:f>
        <x:v>-0.5089137491794632</x:v>
      </x:c>
      <x:c r="D2153" s="84" t="n">
        <x:f>C2153^2-'Resumen'!$B$5^3/3</x:f>
        <x:v>-0.07434012922943573</x:v>
      </x:c>
      <x:c r="E2153" s="85" t="n">
        <x:f>D2153+'Resumen'!$B$5^3/3</x:f>
        <x:v>0.2589932041038976</x:v>
      </x:c>
    </x:row>
    <x:row r="2154">
      <x:c r="A2154" s="89" t="n">
        <x:v>2152</x:v>
      </x:c>
      <x:c r="B2154" s="80" t="n">
        <x:v>-0.879524742811827</x:v>
      </x:c>
      <x:c r="C2154" s="84" t="n">
        <x:f>SQRT('Resumen'!$B$5^3/3)*B2154</x:f>
        <x:v>-0.5077938470213447</x:v>
      </x:c>
      <x:c r="D2154" s="84" t="n">
        <x:f>C2154^2-'Resumen'!$B$5^3/3</x:f>
        <x:v>-0.07547874226059653</x:v>
      </x:c>
      <x:c r="E2154" s="85" t="n">
        <x:f>D2154+'Resumen'!$B$5^3/3</x:f>
        <x:v>0.2578545910727368</x:v>
      </x:c>
    </x:row>
    <x:row r="2155">
      <x:c r="A2155" s="89" t="n">
        <x:v>2153</x:v>
      </x:c>
      <x:c r="B2155" s="80" t="n">
        <x:v>0.3160992518729671</x:v>
      </x:c>
      <x:c r="C2155" s="84" t="n">
        <x:f>SQRT('Resumen'!$B$5^3/3)*B2155</x:f>
        <x:v>0.18249998815949686</x:v>
      </x:c>
      <x:c r="D2155" s="84" t="n">
        <x:f>C2155^2-'Resumen'!$B$5^3/3</x:f>
        <x:v>-0.3000270876551168</x:v>
      </x:c>
      <x:c r="E2155" s="85" t="n">
        <x:f>D2155+'Resumen'!$B$5^3/3</x:f>
        <x:v>0.033306245678216495</x:v>
      </x:c>
    </x:row>
    <x:row r="2156">
      <x:c r="A2156" s="89" t="n">
        <x:v>2154</x:v>
      </x:c>
      <x:c r="B2156" s="80" t="n">
        <x:v>1.1354775551257081</x:v>
      </x:c>
      <x:c r="C2156" s="84" t="n">
        <x:f>SQRT('Resumen'!$B$5^3/3)*B2156</x:f>
        <x:v>0.6555682721106056</x:v>
      </x:c>
      <x:c r="D2156" s="84" t="n">
        <x:f>C2156^2-'Resumen'!$B$5^3/3</x:f>
        <x:v>0.09643642606475178</x:v>
      </x:c>
      <x:c r="E2156" s="85" t="n">
        <x:f>D2156+'Resumen'!$B$5^3/3</x:f>
        <x:v>0.4297697593980851</x:v>
      </x:c>
    </x:row>
    <x:row r="2157">
      <x:c r="A2157" s="89" t="n">
        <x:v>2155</x:v>
      </x:c>
      <x:c r="B2157" s="80" t="n">
        <x:v>0.12173248398913053</x:v>
      </x:c>
      <x:c r="C2157" s="84" t="n">
        <x:f>SQRT('Resumen'!$B$5^3/3)*B2157</x:f>
        <x:v>0.07028228240024631</x:v>
      </x:c>
      <x:c r="D2157" s="84" t="n">
        <x:f>C2157^2-'Resumen'!$B$5^3/3</x:f>
        <x:v>-0.32839373411394535</x:v>
      </x:c>
      <x:c r="E2157" s="85" t="n">
        <x:f>D2157+'Resumen'!$B$5^3/3</x:f>
        <x:v>0.004939599219387969</x:v>
      </x:c>
    </x:row>
    <x:row r="2158">
      <x:c r="A2158" s="89" t="n">
        <x:v>2156</x:v>
      </x:c>
      <x:c r="B2158" s="80" t="n">
        <x:v>-0.1374015545025224</x:v>
      </x:c>
      <x:c r="C2158" s="84" t="n">
        <x:f>SQRT('Resumen'!$B$5^3/3)*B2158</x:f>
        <x:v>-0.07932882447910433</x:v>
      </x:c>
      <x:c r="D2158" s="84" t="n">
        <x:f>C2158^2-'Resumen'!$B$5^3/3</x:f>
        <x:v>-0.3270402709400968</x:v>
      </x:c>
      <x:c r="E2158" s="85" t="n">
        <x:f>D2158+'Resumen'!$B$5^3/3</x:f>
        <x:v>0.006293062393236515</x:v>
      </x:c>
    </x:row>
    <x:row r="2159">
      <x:c r="A2159" s="89" t="n">
        <x:v>2157</x:v>
      </x:c>
      <x:c r="B2159" s="80" t="n">
        <x:v>-1.092942533822295</x:v>
      </x:c>
      <x:c r="C2159" s="84" t="n">
        <x:f>SQRT('Resumen'!$B$5^3/3)*B2159</x:f>
        <x:v>-0.6310106661110936</x:v>
      </x:c>
      <x:c r="D2159" s="84" t="n">
        <x:f>C2159^2-'Resumen'!$B$5^3/3</x:f>
        <x:v>0.0648411274126327</x:v>
      </x:c>
      <x:c r="E2159" s="85" t="n">
        <x:f>D2159+'Resumen'!$B$5^3/3</x:f>
        <x:v>0.398174460745966</x:v>
      </x:c>
    </x:row>
    <x:row r="2160">
      <x:c r="A2160" s="89" t="n">
        <x:v>2158</x:v>
      </x:c>
      <x:c r="B2160" s="80" t="n">
        <x:v>2.0775202523086884</x:v>
      </x:c>
      <x:c r="C2160" s="84" t="n">
        <x:f>SQRT('Resumen'!$B$5^3/3)*B2160</x:f>
        <x:v>1.1994568769173204</x:v>
      </x:c>
      <x:c r="D2160" s="84" t="n">
        <x:f>C2160^2-'Resumen'!$B$5^3/3</x:f>
        <x:v>1.1053634662509186</x:v>
      </x:c>
      <x:c r="E2160" s="85" t="n">
        <x:f>D2160+'Resumen'!$B$5^3/3</x:f>
        <x:v>1.438696799584252</x:v>
      </x:c>
    </x:row>
    <x:row r="2161">
      <x:c r="A2161" s="89" t="n">
        <x:v>2159</x:v>
      </x:c>
      <x:c r="B2161" s="80" t="n">
        <x:v>-1.1111102622676188</x:v>
      </x:c>
      <x:c r="C2161" s="84" t="n">
        <x:f>SQRT('Resumen'!$B$5^3/3)*B2161</x:f>
        <x:v>-0.6414998090195654</x:v>
      </x:c>
      <x:c r="D2161" s="84" t="n">
        <x:f>C2161^2-'Resumen'!$B$5^3/3</x:f>
        <x:v>0.07818867163880555</x:v>
      </x:c>
      <x:c r="E2161" s="85" t="n">
        <x:f>D2161+'Resumen'!$B$5^3/3</x:f>
        <x:v>0.41152200497213887</x:v>
      </x:c>
    </x:row>
    <x:row r="2162">
      <x:c r="A2162" s="89" t="n">
        <x:v>2160</x:v>
      </x:c>
      <x:c r="B2162" s="80" t="n">
        <x:v>0.10748532527917529</x:v>
      </x:c>
      <x:c r="C2162" s="84" t="n">
        <x:f>SQRT('Resumen'!$B$5^3/3)*B2162</x:f>
        <x:v>0.06205668148386634</x:v>
      </x:c>
      <x:c r="D2162" s="84" t="n">
        <x:f>C2162^2-'Resumen'!$B$5^3/3</x:f>
        <x:v>-0.3294823016165433</x:v>
      </x:c>
      <x:c r="E2162" s="85" t="n">
        <x:f>D2162+'Resumen'!$B$5^3/3</x:f>
        <x:v>0.003851031716790021</x:v>
      </x:c>
    </x:row>
    <x:row r="2163">
      <x:c r="A2163" s="89" t="n">
        <x:v>2161</x:v>
      </x:c>
      <x:c r="B2163" s="80" t="n">
        <x:v>0.9059540598791084</x:v>
      </x:c>
      <x:c r="C2163" s="84" t="n">
        <x:f>SQRT('Resumen'!$B$5^3/3)*B2163</x:f>
        <x:v>0.5230528203446375</x:v>
      </x:c>
      <x:c r="D2163" s="84" t="n">
        <x:f>C2163^2-'Resumen'!$B$5^3/3</x:f>
        <x:v>-0.059749080462853654</x:v>
      </x:c>
      <x:c r="E2163" s="85" t="n">
        <x:f>D2163+'Resumen'!$B$5^3/3</x:f>
        <x:v>0.27358425287047966</x:v>
      </x:c>
    </x:row>
    <x:row r="2164">
      <x:c r="A2164" s="89" t="n">
        <x:v>2162</x:v>
      </x:c>
      <x:c r="B2164" s="80" t="n">
        <x:v>0.08896229224359231</x:v>
      </x:c>
      <x:c r="C2164" s="84" t="n">
        <x:f>SQRT('Resumen'!$B$5^3/3)*B2164</x:f>
        <x:v>0.05136240337456417</x:v>
      </x:c>
      <x:c r="D2164" s="84" t="n">
        <x:f>C2164^2-'Resumen'!$B$5^3/3</x:f>
        <x:v>-0.33069523685292185</x:v>
      </x:c>
      <x:c r="E2164" s="85" t="n">
        <x:f>D2164+'Resumen'!$B$5^3/3</x:f>
        <x:v>0.002638096480411467</x:v>
      </x:c>
    </x:row>
    <x:row r="2165">
      <x:c r="A2165" s="89" t="n">
        <x:v>2163</x:v>
      </x:c>
      <x:c r="B2165" s="80" t="n">
        <x:v>-1.217412509566368</x:v>
      </x:c>
      <x:c r="C2165" s="84" t="n">
        <x:f>SQRT('Resumen'!$B$5^3/3)*B2165</x:f>
        <x:v>-0.7028734401129604</x:v>
      </x:c>
      <x:c r="D2165" s="84" t="n">
        <x:f>C2165^2-'Resumen'!$B$5^3/3</x:f>
        <x:v>0.160697739482894</x:v>
      </x:c>
      <x:c r="E2165" s="85" t="n">
        <x:f>D2165+'Resumen'!$B$5^3/3</x:f>
        <x:v>0.4940310728162273</x:v>
      </x:c>
    </x:row>
    <x:row r="2166">
      <x:c r="A2166" s="89" t="n">
        <x:v>2164</x:v>
      </x:c>
      <x:c r="B2166" s="80" t="n">
        <x:v>-1.861342948258149</x:v>
      </x:c>
      <x:c r="C2166" s="84" t="n">
        <x:f>SQRT('Resumen'!$B$5^3/3)*B2166</x:f>
        <x:v>-1.074646852231054</x:v>
      </x:c>
      <x:c r="D2166" s="84" t="n">
        <x:f>C2166^2-'Resumen'!$B$5^3/3</x:f>
        <x:v>0.8215325236767794</x:v>
      </x:c>
      <x:c r="E2166" s="85" t="n">
        <x:f>D2166+'Resumen'!$B$5^3/3</x:f>
        <x:v>1.1548658570101127</x:v>
      </x:c>
    </x:row>
    <x:row r="2167">
      <x:c r="A2167" s="89" t="n">
        <x:v>2165</x:v>
      </x:c>
      <x:c r="B2167" s="80" t="n">
        <x:v>-1.7038627354717375</x:v>
      </x:c>
      <x:c r="C2167" s="84" t="n">
        <x:f>SQRT('Resumen'!$B$5^3/3)*B2167</x:f>
        <x:v>-0.9837256089867797</x:v>
      </x:c>
      <x:c r="D2167" s="84" t="n">
        <x:f>C2167^2-'Resumen'!$B$5^3/3</x:f>
        <x:v>0.6343827404430773</x:v>
      </x:c>
      <x:c r="E2167" s="85" t="n">
        <x:f>D2167+'Resumen'!$B$5^3/3</x:f>
        <x:v>0.9677160737764106</x:v>
      </x:c>
    </x:row>
    <x:row r="2168">
      <x:c r="A2168" s="89" t="n">
        <x:v>2166</x:v>
      </x:c>
      <x:c r="B2168" s="80" t="n">
        <x:v>-0.15212588170038702</x:v>
      </x:c>
      <x:c r="C2168" s="84" t="n">
        <x:f>SQRT('Resumen'!$B$5^3/3)*B2168</x:f>
        <x:v>-0.0878299187504276</x:v>
      </x:c>
      <x:c r="D2168" s="84" t="n">
        <x:f>C2168^2-'Resumen'!$B$5^3/3</x:f>
        <x:v>-0.3256192387056266</x:v>
      </x:c>
      <x:c r="E2168" s="85" t="n">
        <x:f>D2168+'Resumen'!$B$5^3/3</x:f>
        <x:v>0.007714094627706725</x:v>
      </x:c>
    </x:row>
    <x:row r="2169">
      <x:c r="A2169" s="89" t="n">
        <x:v>2167</x:v>
      </x:c>
      <x:c r="B2169" s="80" t="n">
        <x:v>-1.1607822133467807</x:v>
      </x:c>
      <x:c r="C2169" s="84" t="n">
        <x:f>SQRT('Resumen'!$B$5^3/3)*B2169</x:f>
        <x:v>-0.6701779233462933</x:v>
      </x:c>
      <x:c r="D2169" s="84" t="n">
        <x:f>C2169^2-'Resumen'!$B$5^3/3</x:f>
        <x:v>0.11580511560741691</x:v>
      </x:c>
      <x:c r="E2169" s="85" t="n">
        <x:f>D2169+'Resumen'!$B$5^3/3</x:f>
        <x:v>0.4491384489407502</x:v>
      </x:c>
    </x:row>
    <x:row r="2170">
      <x:c r="A2170" s="89" t="n">
        <x:v>2168</x:v>
      </x:c>
      <x:c r="B2170" s="80" t="n">
        <x:v>0.48883169763147705</x:v>
      </x:c>
      <x:c r="C2170" s="84" t="n">
        <x:f>SQRT('Resumen'!$B$5^3/3)*B2170</x:f>
        <x:v>0.282227112215955</x:v>
      </x:c>
      <x:c r="D2170" s="84" t="n">
        <x:f>C2170^2-'Resumen'!$B$5^3/3</x:f>
        <x:v>-0.25368119046357607</x:v>
      </x:c>
      <x:c r="E2170" s="85" t="n">
        <x:f>D2170+'Resumen'!$B$5^3/3</x:f>
        <x:v>0.07965214286975725</x:v>
      </x:c>
    </x:row>
    <x:row r="2171">
      <x:c r="A2171" s="89" t="n">
        <x:v>2169</x:v>
      </x:c>
      <x:c r="B2171" s="80" t="n">
        <x:v>-0.31927223841914976</x:v>
      </x:c>
      <x:c r="C2171" s="84" t="n">
        <x:f>SQRT('Resumen'!$B$5^3/3)*B2171</x:f>
        <x:v>-0.18433191279607047</x:v>
      </x:c>
      <x:c r="D2171" s="84" t="n">
        <x:f>C2171^2-'Resumen'!$B$5^3/3</x:f>
        <x:v>-0.2993550792582752</x:v>
      </x:c>
      <x:c r="E2171" s="85" t="n">
        <x:f>D2171+'Resumen'!$B$5^3/3</x:f>
        <x:v>0.03397825407505811</x:v>
      </x:c>
    </x:row>
    <x:row r="2172">
      <x:c r="A2172" s="89" t="n">
        <x:v>2170</x:v>
      </x:c>
      <x:c r="B2172" s="80" t="n">
        <x:v>0.03321835031324013</x:v>
      </x:c>
      <x:c r="C2172" s="84" t="n">
        <x:f>SQRT('Resumen'!$B$5^3/3)*B2172</x:f>
        <x:v>0.019178623495384475</x:v>
      </x:c>
      <x:c r="D2172" s="84" t="n">
        <x:f>C2172^2-'Resumen'!$B$5^3/3</x:f>
        <x:v>-0.3329655137341556</x:v>
      </x:c>
      <x:c r="E2172" s="85" t="n">
        <x:f>D2172+'Resumen'!$B$5^3/3</x:f>
        <x:v>0.0003678195991776989</x:v>
      </x:c>
    </x:row>
    <x:row r="2173">
      <x:c r="A2173" s="89" t="n">
        <x:v>2171</x:v>
      </x:c>
      <x:c r="B2173" s="80" t="n">
        <x:v>1.3082214281325644</x:v>
      </x:c>
      <x:c r="C2173" s="84" t="n">
        <x:f>SQRT('Resumen'!$B$5^3/3)*B2173</x:f>
        <x:v>0.7553019936919726</x:v>
      </x:c>
      <x:c r="D2173" s="84" t="n">
        <x:f>C2173^2-'Resumen'!$B$5^3/3</x:f>
        <x:v>0.2371477683417353</x:v>
      </x:c>
      <x:c r="E2173" s="85" t="n">
        <x:f>D2173+'Resumen'!$B$5^3/3</x:f>
        <x:v>0.5704811016750686</x:v>
      </x:c>
    </x:row>
    <x:row r="2174">
      <x:c r="A2174" s="89" t="n">
        <x:v>2172</x:v>
      </x:c>
      <x:c r="B2174" s="80" t="n">
        <x:v>0.48940945314794715</x:v>
      </x:c>
      <x:c r="C2174" s="84" t="n">
        <x:f>SQRT('Resumen'!$B$5^3/3)*B2174</x:f>
        <x:v>0.2825606795189148</x:v>
      </x:c>
      <x:c r="D2174" s="84" t="n">
        <x:f>C2174^2-'Resumen'!$B$5^3/3</x:f>
        <x:v>-0.25349279572314243</x:v>
      </x:c>
      <x:c r="E2174" s="85" t="n">
        <x:f>D2174+'Resumen'!$B$5^3/3</x:f>
        <x:v>0.07984053761019089</x:v>
      </x:c>
    </x:row>
    <x:row r="2175">
      <x:c r="A2175" s="89" t="n">
        <x:v>2173</x:v>
      </x:c>
      <x:c r="B2175" s="80" t="n">
        <x:v>-0.2376732963484268</x:v>
      </x:c>
      <x:c r="C2175" s="84" t="n">
        <x:f>SQRT('Resumen'!$B$5^3/3)*B2175</x:f>
        <x:v>-0.1372207416259499</x:v>
      </x:c>
      <x:c r="D2175" s="84" t="n">
        <x:f>C2175^2-'Resumen'!$B$5^3/3</x:f>
        <x:v>-0.3145038014009576</x:v>
      </x:c>
      <x:c r="E2175" s="85" t="n">
        <x:f>D2175+'Resumen'!$B$5^3/3</x:f>
        <x:v>0.018829531932375687</x:v>
      </x:c>
    </x:row>
    <x:row r="2176">
      <x:c r="A2176" s="89" t="n">
        <x:v>2174</x:v>
      </x:c>
      <x:c r="B2176" s="80" t="n">
        <x:v>-0.7705915943036101</x:v>
      </x:c>
      <x:c r="C2176" s="84" t="n">
        <x:f>SQRT('Resumen'!$B$5^3/3)*B2176</x:f>
        <x:v>-0.44490126440645217</x:v>
      </x:c>
      <x:c r="D2176" s="84" t="n">
        <x:f>C2176^2-'Resumen'!$B$5^3/3</x:f>
        <x:v>-0.13539619826287344</x:v>
      </x:c>
      <x:c r="E2176" s="85" t="n">
        <x:f>D2176+'Resumen'!$B$5^3/3</x:f>
        <x:v>0.19793713507045987</x:v>
      </x:c>
    </x:row>
    <x:row r="2177">
      <x:c r="A2177" s="89" t="n">
        <x:v>2175</x:v>
      </x:c>
      <x:c r="B2177" s="80" t="n">
        <x:v>-1.4271800625321625</x:v>
      </x:c>
      <x:c r="C2177" s="84" t="n">
        <x:f>SQRT('Resumen'!$B$5^3/3)*B2177</x:f>
        <x:v>-0.8239827932850109</x:v>
      </x:c>
      <x:c r="D2177" s="84" t="n">
        <x:f>C2177^2-'Resumen'!$B$5^3/3</x:f>
        <x:v>0.3456143102964357</x:v>
      </x:c>
      <x:c r="E2177" s="85" t="n">
        <x:f>D2177+'Resumen'!$B$5^3/3</x:f>
        <x:v>0.678947643629769</x:v>
      </x:c>
    </x:row>
    <x:row r="2178">
      <x:c r="A2178" s="89" t="n">
        <x:v>2176</x:v>
      </x:c>
      <x:c r="B2178" s="80" t="n">
        <x:v>0.37041966361775197</x:v>
      </x:c>
      <x:c r="C2178" s="84" t="n">
        <x:f>SQRT('Resumen'!$B$5^3/3)*B2178</x:f>
        <x:v>0.2138618925028397</x:v>
      </x:c>
      <x:c r="D2178" s="84" t="n">
        <x:f>C2178^2-'Resumen'!$B$5^3/3</x:f>
        <x:v>-0.2875964242684371</x:v>
      </x:c>
      <x:c r="E2178" s="85" t="n">
        <x:f>D2178+'Resumen'!$B$5^3/3</x:f>
        <x:v>0.04573690906489619</x:v>
      </x:c>
    </x:row>
    <x:row r="2179">
      <x:c r="A2179" s="89" t="n">
        <x:v>2177</x:v>
      </x:c>
      <x:c r="B2179" s="80" t="n">
        <x:v>0.8482562450624554</x:v>
      </x:c>
      <x:c r="C2179" s="84" t="n">
        <x:f>SQRT('Resumen'!$B$5^3/3)*B2179</x:f>
        <x:v>0.4897409714285898</x:v>
      </x:c>
      <x:c r="D2179" s="84" t="n">
        <x:f>C2179^2-'Resumen'!$B$5^3/3</x:f>
        <x:v>-0.09348711423751452</x:v>
      </x:c>
      <x:c r="E2179" s="85" t="n">
        <x:f>D2179+'Resumen'!$B$5^3/3</x:f>
        <x:v>0.2398462190958188</x:v>
      </x:c>
    </x:row>
    <x:row r="2180">
      <x:c r="A2180" s="89" t="n">
        <x:v>2178</x:v>
      </x:c>
      <x:c r="B2180" s="80" t="n">
        <x:v>0.7942395295197497</x:v>
      </x:c>
      <x:c r="C2180" s="84" t="n">
        <x:f>SQRT('Resumen'!$B$5^3/3)*B2180</x:f>
        <x:v>0.4585544061692692</x:v>
      </x:c>
      <x:c r="D2180" s="84" t="n">
        <x:f>C2180^2-'Resumen'!$B$5^3/3</x:f>
        <x:v>-0.12306118991608223</x:v>
      </x:c>
      <x:c r="E2180" s="85" t="n">
        <x:f>D2180+'Resumen'!$B$5^3/3</x:f>
        <x:v>0.2102721434172511</x:v>
      </x:c>
    </x:row>
    <x:row r="2181">
      <x:c r="A2181" s="89" t="n">
        <x:v>2179</x:v>
      </x:c>
      <x:c r="B2181" s="80" t="n">
        <x:v>0.4589809446728144</x:v>
      </x:c>
      <x:c r="C2181" s="84" t="n">
        <x:f>SQRT('Resumen'!$B$5^3/3)*B2181</x:f>
        <x:v>0.2649927719597581</x:v>
      </x:c>
      <x:c r="D2181" s="84" t="n">
        <x:f>C2181^2-'Resumen'!$B$5^3/3</x:f>
        <x:v>-0.26311216414241695</x:v>
      </x:c>
      <x:c r="E2181" s="85" t="n">
        <x:f>D2181+'Resumen'!$B$5^3/3</x:f>
        <x:v>0.07022116919091637</x:v>
      </x:c>
    </x:row>
    <x:row r="2182">
      <x:c r="A2182" s="89" t="n">
        <x:v>2180</x:v>
      </x:c>
      <x:c r="B2182" s="80" t="n">
        <x:v>0.36958801211396675</x:v>
      </x:c>
      <x:c r="C2182" s="84" t="n">
        <x:f>SQRT('Resumen'!$B$5^3/3)*B2182</x:f>
        <x:v>0.21338173828325735</x:v>
      </x:c>
      <x:c r="D2182" s="84" t="n">
        <x:f>C2182^2-'Resumen'!$B$5^3/3</x:f>
        <x:v>-0.28780156710054877</x:v>
      </x:c>
      <x:c r="E2182" s="85" t="n">
        <x:f>D2182+'Resumen'!$B$5^3/3</x:f>
        <x:v>0.04553176623278454</x:v>
      </x:c>
    </x:row>
    <x:row r="2183">
      <x:c r="A2183" s="89" t="n">
        <x:v>2181</x:v>
      </x:c>
      <x:c r="B2183" s="80" t="n">
        <x:v>0.5887569230132685</x:v>
      </x:c>
      <x:c r="C2183" s="84" t="n">
        <x:f>SQRT('Resumen'!$B$5^3/3)*B2183</x:f>
        <x:v>0.33991896798896637</x:v>
      </x:c>
      <x:c r="D2183" s="84" t="n">
        <x:f>C2183^2-'Resumen'!$B$5^3/3</x:f>
        <x:v>-0.21778842853464936</x:v>
      </x:c>
      <x:c r="E2183" s="85" t="n">
        <x:f>D2183+'Resumen'!$B$5^3/3</x:f>
        <x:v>0.11554490479868396</x:v>
      </x:c>
    </x:row>
    <x:row r="2184">
      <x:c r="A2184" s="89" t="n">
        <x:v>2182</x:v>
      </x:c>
      <x:c r="B2184" s="80" t="n">
        <x:v>-1.5002666999979581</x:v>
      </x:c>
      <x:c r="C2184" s="84" t="n">
        <x:f>SQRT('Resumen'!$B$5^3/3)*B2184</x:f>
        <x:v>-0.8661793831000526</x:v>
      </x:c>
      <x:c r="D2184" s="84" t="n">
        <x:f>C2184^2-'Resumen'!$B$5^3/3</x:f>
        <x:v>0.4169333903742544</x:v>
      </x:c>
      <x:c r="E2184" s="85" t="n">
        <x:f>D2184+'Resumen'!$B$5^3/3</x:f>
        <x:v>0.7502667237075877</x:v>
      </x:c>
    </x:row>
    <x:row r="2185">
      <x:c r="A2185" s="89" t="n">
        <x:v>2183</x:v>
      </x:c>
      <x:c r="B2185" s="80" t="n">
        <x:v>-0.0448100520127351</x:v>
      </x:c>
      <x:c r="C2185" s="84" t="n">
        <x:f>SQRT('Resumen'!$B$5^3/3)*B2185</x:f>
        <x:v>-0.02587109559195374</x:v>
      </x:c>
      <x:c r="D2185" s="84" t="n">
        <x:f>C2185^2-'Resumen'!$B$5^3/3</x:f>
        <x:v>-0.3326640197462053</x:v>
      </x:c>
      <x:c r="E2185" s="85" t="n">
        <x:f>D2185+'Resumen'!$B$5^3/3</x:f>
        <x:v>0.0006693135871280176</x:v>
      </x:c>
    </x:row>
    <x:row r="2186">
      <x:c r="A2186" s="89" t="n">
        <x:v>2184</x:v>
      </x:c>
      <x:c r="B2186" s="80" t="n">
        <x:v>-0.31721293972986925</x:v>
      </x:c>
      <x:c r="C2186" s="84" t="n">
        <x:f>SQRT('Resumen'!$B$5^3/3)*B2186</x:f>
        <x:v>-0.18314297614347252</x:v>
      </x:c>
      <x:c r="D2186" s="84" t="n">
        <x:f>C2186^2-'Resumen'!$B$5^3/3</x:f>
        <x:v>-0.29979198362264475</x:v>
      </x:c>
      <x:c r="E2186" s="85" t="n">
        <x:f>D2186+'Resumen'!$B$5^3/3</x:f>
        <x:v>0.03354134971068856</x:v>
      </x:c>
    </x:row>
    <x:row r="2187">
      <x:c r="A2187" s="89" t="n">
        <x:v>2185</x:v>
      </x:c>
      <x:c r="B2187" s="80" t="n">
        <x:v>1.4467412442259242</x:v>
      </x:c>
      <x:c r="C2187" s="84" t="n">
        <x:f>SQRT('Resumen'!$B$5^3/3)*B2187</x:f>
        <x:v>0.8352764468015714</x:v>
      </x:c>
      <x:c r="D2187" s="84" t="n">
        <x:f>C2187^2-'Resumen'!$B$5^3/3</x:f>
        <x:v>0.36435340924812504</x:v>
      </x:c>
      <x:c r="E2187" s="85" t="n">
        <x:f>D2187+'Resumen'!$B$5^3/3</x:f>
        <x:v>0.6976867425814584</x:v>
      </x:c>
    </x:row>
    <x:row r="2188">
      <x:c r="A2188" s="89" t="n">
        <x:v>2186</x:v>
      </x:c>
      <x:c r="B2188" s="80" t="n">
        <x:v>0.8611863107911392</x:v>
      </x:c>
      <x:c r="C2188" s="84" t="n">
        <x:f>SQRT('Resumen'!$B$5^3/3)*B2188</x:f>
        <x:v>0.4972061483576849</x:v>
      </x:c>
      <x:c r="D2188" s="84" t="n">
        <x:f>C2188^2-'Resumen'!$B$5^3/3</x:f>
        <x:v>-0.08611937936864916</x:v>
      </x:c>
      <x:c r="E2188" s="85" t="n">
        <x:f>D2188+'Resumen'!$B$5^3/3</x:f>
        <x:v>0.24721395396468415</x:v>
      </x:c>
    </x:row>
    <x:row r="2189">
      <x:c r="A2189" s="89" t="n">
        <x:v>2187</x:v>
      </x:c>
      <x:c r="B2189" s="80" t="n">
        <x:v>0.4162897811539004</x:v>
      </x:c>
      <x:c r="C2189" s="84" t="n">
        <x:f>SQRT('Resumen'!$B$5^3/3)*B2189</x:f>
        <x:v>0.2403450172100948</x:v>
      </x:c>
      <x:c r="D2189" s="84" t="n">
        <x:f>C2189^2-'Resumen'!$B$5^3/3</x:f>
        <x:v>-0.27556760603561253</x:v>
      </x:c>
      <x:c r="E2189" s="85" t="n">
        <x:f>D2189+'Resumen'!$B$5^3/3</x:f>
        <x:v>0.05776572729772078</x:v>
      </x:c>
    </x:row>
    <x:row r="2190">
      <x:c r="A2190" s="89" t="n">
        <x:v>2188</x:v>
      </x:c>
      <x:c r="B2190" s="80" t="n">
        <x:v>0.017557195093282466</x:v>
      </x:c>
      <x:c r="C2190" s="84" t="n">
        <x:f>SQRT('Resumen'!$B$5^3/3)*B2190</x:f>
        <x:v>0.010136651313321409</x:v>
      </x:c>
      <x:c r="D2190" s="84" t="n">
        <x:f>C2190^2-'Resumen'!$B$5^3/3</x:f>
        <x:v>-0.33323058163348546</x:v>
      </x:c>
      <x:c r="E2190" s="85" t="n">
        <x:f>D2190+'Resumen'!$B$5^3/3</x:f>
        <x:v>0.00010275169984785837</x:v>
      </x:c>
    </x:row>
    <x:row r="2191">
      <x:c r="A2191" s="89" t="n">
        <x:v>2189</x:v>
      </x:c>
      <x:c r="B2191" s="80" t="n">
        <x:v>-0.5747022923871766</x:v>
      </x:c>
      <x:c r="C2191" s="84" t="n">
        <x:f>SQRT('Resumen'!$B$5^3/3)*B2191</x:f>
        <x:v>-0.3318045232136314</x:v>
      </x:c>
      <x:c r="D2191" s="84" t="n">
        <x:f>C2191^2-'Resumen'!$B$5^3/3</x:f>
        <x:v>-0.22323909170830805</x:v>
      </x:c>
      <x:c r="E2191" s="85" t="n">
        <x:f>D2191+'Resumen'!$B$5^3/3</x:f>
        <x:v>0.11009424162502526</x:v>
      </x:c>
    </x:row>
    <x:row r="2192">
      <x:c r="A2192" s="89" t="n">
        <x:v>2190</x:v>
      </x:c>
      <x:c r="B2192" s="80" t="n">
        <x:v>1.8052739082448972</x:v>
      </x:c>
      <x:c r="C2192" s="84" t="n">
        <x:f>SQRT('Resumen'!$B$5^3/3)*B2192</x:f>
        <x:v>1.0422753768861992</x:v>
      </x:c>
      <x:c r="D2192" s="84" t="n">
        <x:f>C2192^2-'Resumen'!$B$5^3/3</x:f>
        <x:v>0.7530046279299354</x:v>
      </x:c>
      <x:c r="E2192" s="85" t="n">
        <x:f>D2192+'Resumen'!$B$5^3/3</x:f>
        <x:v>1.0863379612632686</x:v>
      </x:c>
    </x:row>
    <x:row r="2193">
      <x:c r="A2193" s="89" t="n">
        <x:v>2191</x:v>
      </x:c>
      <x:c r="B2193" s="80" t="n">
        <x:v>-0.6665379943617551</x:v>
      </x:c>
      <x:c r="C2193" s="84" t="n">
        <x:f>SQRT('Resumen'!$B$5^3/3)*B2193</x:f>
        <x:v>-0.38482589046987253</x:v>
      </x:c>
      <x:c r="D2193" s="84" t="n">
        <x:f>C2193^2-'Resumen'!$B$5^3/3</x:f>
        <x:v>-0.185242367357403</x:v>
      </x:c>
      <x:c r="E2193" s="85" t="n">
        <x:f>D2193+'Resumen'!$B$5^3/3</x:f>
        <x:v>0.14809096597593033</x:v>
      </x:c>
    </x:row>
    <x:row r="2194">
      <x:c r="A2194" s="89" t="n">
        <x:v>2192</x:v>
      </x:c>
      <x:c r="B2194" s="80" t="n">
        <x:v>0.679455154740474</x:v>
      </x:c>
      <x:c r="C2194" s="84" t="n">
        <x:f>SQRT('Resumen'!$B$5^3/3)*B2194</x:f>
        <x:v>0.39228361649169147</x:v>
      </x:c>
      <x:c r="D2194" s="84" t="n">
        <x:f>C2194^2-'Resumen'!$B$5^3/3</x:f>
        <x:v>-0.17944689756553284</x:v>
      </x:c>
      <x:c r="E2194" s="85" t="n">
        <x:f>D2194+'Resumen'!$B$5^3/3</x:f>
        <x:v>0.15388643576780048</x:v>
      </x:c>
    </x:row>
    <x:row r="2195">
      <x:c r="A2195" s="89" t="n">
        <x:v>2193</x:v>
      </x:c>
      <x:c r="B2195" s="80" t="n">
        <x:v>-0.9744357703892733</x:v>
      </x:c>
      <x:c r="C2195" s="84" t="n">
        <x:f>SQRT('Resumen'!$B$5^3/3)*B2195</x:f>
        <x:v>-0.5625907543422473</x:v>
      </x:c>
      <x:c r="D2195" s="84" t="n">
        <x:f>C2195^2-'Resumen'!$B$5^3/3</x:f>
        <x:v>-0.01682497646195452</x:v>
      </x:c>
      <x:c r="E2195" s="85" t="n">
        <x:f>D2195+'Resumen'!$B$5^3/3</x:f>
        <x:v>0.3165083568713788</x:v>
      </x:c>
    </x:row>
    <x:row r="2196">
      <x:c r="A2196" s="89" t="n">
        <x:v>2194</x:v>
      </x:c>
      <x:c r="B2196" s="80" t="n">
        <x:v>2.3593717331982984</x:v>
      </x:c>
      <x:c r="C2196" s="84" t="n">
        <x:f>SQRT('Resumen'!$B$5^3/3)*B2196</x:f>
        <x:v>1.3621839052804314</x:v>
      </x:c>
      <x:c r="D2196" s="84" t="n">
        <x:f>C2196^2-'Resumen'!$B$5^3/3</x:f>
        <x:v>1.522211658471714</x:v>
      </x:c>
      <x:c r="E2196" s="85" t="n">
        <x:f>D2196+'Resumen'!$B$5^3/3</x:f>
        <x:v>1.8555449918050473</x:v>
      </x:c>
    </x:row>
    <x:row r="2197">
      <x:c r="A2197" s="89" t="n">
        <x:v>2195</x:v>
      </x:c>
      <x:c r="B2197" s="80" t="n">
        <x:v>-1.0154388528988276</x:v>
      </x:c>
      <x:c r="C2197" s="84" t="n">
        <x:f>SQRT('Resumen'!$B$5^3/3)*B2197</x:f>
        <x:v>-0.5862638950667429</x:v>
      </x:c>
      <x:c r="D2197" s="84" t="n">
        <x:f>C2197^2-'Resumen'!$B$5^3/3</x:f>
        <x:v>0.01037202132549564</x:v>
      </x:c>
      <x:c r="E2197" s="85" t="n">
        <x:f>D2197+'Resumen'!$B$5^3/3</x:f>
        <x:v>0.34370535465882895</x:v>
      </x:c>
    </x:row>
    <x:row r="2198">
      <x:c r="A2198" s="89" t="n">
        <x:v>2196</x:v>
      </x:c>
      <x:c r="B2198" s="80" t="n">
        <x:v>-0.4687777874813154</x:v>
      </x:c>
      <x:c r="C2198" s="84" t="n">
        <x:f>SQRT('Resumen'!$B$5^3/3)*B2198</x:f>
        <x:v>-0.2706489817924546</x:v>
      </x:c>
      <x:c r="D2198" s="84" t="n">
        <x:f>C2198^2-'Resumen'!$B$5^3/3</x:f>
        <x:v>-0.26008246198804086</x:v>
      </x:c>
      <x:c r="E2198" s="85" t="n">
        <x:f>D2198+'Resumen'!$B$5^3/3</x:f>
        <x:v>0.07325087134529246</x:v>
      </x:c>
    </x:row>
    <x:row r="2199">
      <x:c r="A2199" s="89" t="n">
        <x:v>2197</x:v>
      </x:c>
      <x:c r="B2199" s="80" t="n">
        <x:v>-0.5693073850447943</x:v>
      </x:c>
      <x:c r="C2199" s="84" t="n">
        <x:f>SQRT('Resumen'!$B$5^3/3)*B2199</x:f>
        <x:v>-0.32868977200725386</x:v>
      </x:c>
      <x:c r="D2199" s="84" t="n">
        <x:f>C2199^2-'Resumen'!$B$5^3/3</x:f>
        <x:v>-0.2252963671111528</x:v>
      </x:c>
      <x:c r="E2199" s="85" t="n">
        <x:f>D2199+'Resumen'!$B$5^3/3</x:f>
        <x:v>0.10803696622218051</x:v>
      </x:c>
    </x:row>
    <x:row r="2200">
      <x:c r="A2200" s="89" t="n">
        <x:v>2198</x:v>
      </x:c>
      <x:c r="B2200" s="80" t="n">
        <x:v>-0.3663651372958271</x:v>
      </x:c>
      <x:c r="C2200" s="84" t="n">
        <x:f>SQRT('Resumen'!$B$5^3/3)*B2200</x:f>
        <x:v>-0.21152101063943995</x:v>
      </x:c>
      <x:c r="D2200" s="84" t="n">
        <x:f>C2200^2-'Resumen'!$B$5^3/3</x:f>
        <x:v>-0.28859219539140324</x:v>
      </x:c>
      <x:c r="E2200" s="85" t="n">
        <x:f>D2200+'Resumen'!$B$5^3/3</x:f>
        <x:v>0.044741137941930076</x:v>
      </x:c>
    </x:row>
    <x:row r="2201">
      <x:c r="A2201" s="89" t="n">
        <x:v>2199</x:v>
      </x:c>
      <x:c r="B2201" s="80" t="n">
        <x:v>-0.3889226172902875</x:v>
      </x:c>
      <x:c r="C2201" s="84" t="n">
        <x:f>SQRT('Resumen'!$B$5^3/3)*B2201</x:f>
        <x:v>-0.22454457778648126</x:v>
      </x:c>
      <x:c r="D2201" s="84" t="n">
        <x:f>C2201^2-'Resumen'!$B$5^3/3</x:f>
        <x:v>-0.2829130659200242</x:v>
      </x:c>
      <x:c r="E2201" s="85" t="n">
        <x:f>D2201+'Resumen'!$B$5^3/3</x:f>
        <x:v>0.05042026741330913</x:v>
      </x:c>
    </x:row>
    <x:row r="2202">
      <x:c r="A2202" s="89" t="n">
        <x:v>2200</x:v>
      </x:c>
      <x:c r="B2202" s="80" t="n">
        <x:v>-0.6179610399923992</x:v>
      </x:c>
      <x:c r="C2202" s="84" t="n">
        <x:f>SQRT('Resumen'!$B$5^3/3)*B2202</x:f>
        <x:v>-0.35677997278831275</x:v>
      </x:c>
      <x:c r="D2202" s="84" t="n">
        <x:f>C2202^2-'Resumen'!$B$5^3/3</x:f>
        <x:v>-0.20604138435050412</x:v>
      </x:c>
      <x:c r="E2202" s="85" t="n">
        <x:f>D2202+'Resumen'!$B$5^3/3</x:f>
        <x:v>0.1272919489828292</x:v>
      </x:c>
    </x:row>
    <x:row r="2203">
      <x:c r="A2203" s="89" t="n">
        <x:v>2201</x:v>
      </x:c>
      <x:c r="B2203" s="80" t="n">
        <x:v>1.4680955446111987</x:v>
      </x:c>
      <x:c r="C2203" s="84" t="n">
        <x:f>SQRT('Resumen'!$B$5^3/3)*B2203</x:f>
        <x:v>0.8476053578773658</x:v>
      </x:c>
      <x:c r="D2203" s="84" t="n">
        <x:f>C2203^2-'Resumen'!$B$5^3/3</x:f>
        <x:v>0.385101509369084</x:v>
      </x:c>
      <x:c r="E2203" s="85" t="n">
        <x:f>D2203+'Resumen'!$B$5^3/3</x:f>
        <x:v>0.7184348427024173</x:v>
      </x:c>
    </x:row>
    <x:row r="2204">
      <x:c r="A2204" s="89" t="n">
        <x:v>2202</x:v>
      </x:c>
      <x:c r="B2204" s="80" t="n">
        <x:v>-0.18415270754222451</x:v>
      </x:c>
      <x:c r="C2204" s="84" t="n">
        <x:f>SQRT('Resumen'!$B$5^3/3)*B2204</x:f>
        <x:v>-0.10632061527150174</x:v>
      </x:c>
      <x:c r="D2204" s="84" t="n">
        <x:f>C2204^2-'Resumen'!$B$5^3/3</x:f>
        <x:v>-0.32202926010162264</x:v>
      </x:c>
      <x:c r="E2204" s="85" t="n">
        <x:f>D2204+'Resumen'!$B$5^3/3</x:f>
        <x:v>0.011304073231710676</x:v>
      </x:c>
    </x:row>
    <x:row r="2205">
      <x:c r="A2205" s="89" t="n">
        <x:v>2203</x:v>
      </x:c>
      <x:c r="B2205" s="80" t="n">
        <x:v>0.47951193322671637</x:v>
      </x:c>
      <x:c r="C2205" s="84" t="n">
        <x:f>SQRT('Resumen'!$B$5^3/3)*B2205</x:f>
        <x:v>0.27684634372808253</x:v>
      </x:c>
      <x:c r="D2205" s="84" t="n">
        <x:f>C2205^2-'Resumen'!$B$5^3/3</x:f>
        <x:v>-0.2566894352977257</x:v>
      </x:c>
      <x:c r="E2205" s="85" t="n">
        <x:f>D2205+'Resumen'!$B$5^3/3</x:f>
        <x:v>0.07664389803560762</x:v>
      </x:c>
    </x:row>
    <x:row r="2206">
      <x:c r="A2206" s="89" t="n">
        <x:v>2204</x:v>
      </x:c>
      <x:c r="B2206" s="80" t="n">
        <x:v>-1.037305656776221</x:v>
      </x:c>
      <x:c r="C2206" s="84" t="n">
        <x:f>SQRT('Resumen'!$B$5^3/3)*B2206</x:f>
        <x:v>-0.5988887001716727</x:v>
      </x:c>
      <x:c r="D2206" s="84" t="n">
        <x:f>C2206^2-'Resumen'!$B$5^3/3</x:f>
        <x:v>0.0253343418599824</x:v>
      </x:c>
      <x:c r="E2206" s="85" t="n">
        <x:f>D2206+'Resumen'!$B$5^3/3</x:f>
        <x:v>0.3586676751933157</x:v>
      </x:c>
    </x:row>
    <x:row r="2207">
      <x:c r="A2207" s="89" t="n">
        <x:v>2205</x:v>
      </x:c>
      <x:c r="B2207" s="80" t="n">
        <x:v>-0.270513618143331</x:v>
      </x:c>
      <x:c r="C2207" s="84" t="n">
        <x:f>SQRT('Resumen'!$B$5^3/3)*B2207</x:f>
        <x:v>-0.15618111025451178</x:v>
      </x:c>
      <x:c r="D2207" s="84" t="n">
        <x:f>C2207^2-'Resumen'!$B$5^3/3</x:f>
        <x:v>-0.30894079413300135</x:v>
      </x:c>
      <x:c r="E2207" s="85" t="n">
        <x:f>D2207+'Resumen'!$B$5^3/3</x:f>
        <x:v>0.024392539200331964</x:v>
      </x:c>
    </x:row>
    <x:row r="2208">
      <x:c r="A2208" s="89" t="n">
        <x:v>2206</x:v>
      </x:c>
      <x:c r="B2208" s="80" t="n">
        <x:v>1.0027744037513922</x:v>
      </x:c>
      <x:c r="C2208" s="84" t="n">
        <x:f>SQRT('Resumen'!$B$5^3/3)*B2208</x:f>
        <x:v>0.5789520719423327</x:v>
      </x:c>
      <x:c r="D2208" s="84" t="n">
        <x:f>C2208^2-'Resumen'!$B$5^3/3</x:f>
        <x:v>0.0018521682729866207</x:v>
      </x:c>
      <x:c r="E2208" s="85" t="n">
        <x:f>D2208+'Resumen'!$B$5^3/3</x:f>
        <x:v>0.33518550160631994</x:v>
      </x:c>
    </x:row>
    <x:row r="2209">
      <x:c r="A2209" s="89" t="n">
        <x:v>2207</x:v>
      </x:c>
      <x:c r="B2209" s="80" t="n">
        <x:v>-1.4348571654972087</x:v>
      </x:c>
      <x:c r="C2209" s="84" t="n">
        <x:f>SQRT('Resumen'!$B$5^3/3)*B2209</x:f>
        <x:v>-0.8284151707484768</x:v>
      </x:c>
      <x:c r="D2209" s="84" t="n">
        <x:f>C2209^2-'Resumen'!$B$5^3/3</x:f>
        <x:v>0.3529383617928947</x:v>
      </x:c>
      <x:c r="E2209" s="85" t="n">
        <x:f>D2209+'Resumen'!$B$5^3/3</x:f>
        <x:v>0.686271695126228</x:v>
      </x:c>
    </x:row>
    <x:row r="2210">
      <x:c r="A2210" s="89" t="n">
        <x:v>2208</x:v>
      </x:c>
      <x:c r="B2210" s="80" t="n">
        <x:v>-0.061376463102594626</x:v>
      </x:c>
      <x:c r="C2210" s="84" t="n">
        <x:f>SQRT('Resumen'!$B$5^3/3)*B2210</x:f>
        <x:v>-0.03543571749419014</x:v>
      </x:c>
      <x:c r="D2210" s="84" t="n">
        <x:f>C2210^2-'Resumen'!$B$5^3/3</x:f>
        <x:v>-0.33207764325900524</x:v>
      </x:c>
      <x:c r="E2210" s="85" t="n">
        <x:f>D2210+'Resumen'!$B$5^3/3</x:f>
        <x:v>0.0012556900743280752</x:v>
      </x:c>
    </x:row>
    <x:row r="2211">
      <x:c r="A2211" s="89" t="n">
        <x:v>2209</x:v>
      </x:c>
      <x:c r="B2211" s="80" t="n">
        <x:v>1.5261415930994766</x:v>
      </x:c>
      <x:c r="C2211" s="84" t="n">
        <x:f>SQRT('Resumen'!$B$5^3/3)*B2211</x:f>
        <x:v>0.881118259597467</x:v>
      </x:c>
      <x:c r="D2211" s="84" t="n">
        <x:f>C2211^2-'Resumen'!$B$5^3/3</x:f>
        <x:v>0.443036054062736</x:v>
      </x:c>
      <x:c r="E2211" s="85" t="n">
        <x:f>D2211+'Resumen'!$B$5^3/3</x:f>
        <x:v>0.7763693873960693</x:v>
      </x:c>
    </x:row>
    <x:row r="2212">
      <x:c r="A2212" s="89" t="n">
        <x:v>2210</x:v>
      </x:c>
      <x:c r="B2212" s="80" t="n">
        <x:v>-0.01644082004762889</x:v>
      </x:c>
      <x:c r="C2212" s="84" t="n">
        <x:f>SQRT('Resumen'!$B$5^3/3)*B2212</x:f>
        <x:v>-0.009492111880196734</x:v>
      </x:c>
      <x:c r="D2212" s="84" t="n">
        <x:f>C2212^2-'Resumen'!$B$5^3/3</x:f>
        <x:v>-0.3332432331453871</x:v>
      </x:c>
      <x:c r="E2212" s="85" t="n">
        <x:f>D2212+'Resumen'!$B$5^3/3</x:f>
        <x:v>0.00009010018794619601</x:v>
      </x:c>
    </x:row>
    <x:row r="2213">
      <x:c r="A2213" s="89" t="n">
        <x:v>2211</x:v>
      </x:c>
      <x:c r="B2213" s="80" t="n">
        <x:v>-0.5403017251971881</x:v>
      </x:c>
      <x:c r="C2213" s="84" t="n">
        <x:f>SQRT('Resumen'!$B$5^3/3)*B2213</x:f>
        <x:v>-0.31194334648621574</x:v>
      </x:c>
      <x:c r="D2213" s="84" t="n">
        <x:f>C2213^2-'Resumen'!$B$5^3/3</x:f>
        <x:v>-0.23602468191631407</x:v>
      </x:c>
      <x:c r="E2213" s="85" t="n">
        <x:f>D2213+'Resumen'!$B$5^3/3</x:f>
        <x:v>0.09730865141701925</x:v>
      </x:c>
    </x:row>
    <x:row r="2214">
      <x:c r="A2214" s="89" t="n">
        <x:v>2212</x:v>
      </x:c>
      <x:c r="B2214" s="80" t="n">
        <x:v>0.4355847509708567</x:v>
      </x:c>
      <x:c r="C2214" s="84" t="n">
        <x:f>SQRT('Resumen'!$B$5^3/3)*B2214</x:f>
        <x:v>0.2514849732279202</x:v>
      </x:c>
      <x:c r="D2214" s="84" t="n">
        <x:f>C2214^2-'Resumen'!$B$5^3/3</x:f>
        <x:v>-0.27008864157388557</x:v>
      </x:c>
      <x:c r="E2214" s="85" t="n">
        <x:f>D2214+'Resumen'!$B$5^3/3</x:f>
        <x:v>0.06324469175944775</x:v>
      </x:c>
    </x:row>
    <x:row r="2215">
      <x:c r="A2215" s="89" t="n">
        <x:v>2213</x:v>
      </x:c>
      <x:c r="B2215" s="80" t="n">
        <x:v>0.9432476659667133</x:v>
      </x:c>
      <x:c r="C2215" s="84" t="n">
        <x:f>SQRT('Resumen'!$B$5^3/3)*B2215</x:f>
        <x:v>0.544584293858368</x:v>
      </x:c>
      <x:c r="D2215" s="84" t="n">
        <x:f>C2215^2-'Resumen'!$B$5^3/3</x:f>
        <x:v>-0.036761280216115966</x:v>
      </x:c>
      <x:c r="E2215" s="85" t="n">
        <x:f>D2215+'Resumen'!$B$5^3/3</x:f>
        <x:v>0.29657205311721735</x:v>
      </x:c>
    </x:row>
    <x:row r="2216">
      <x:c r="A2216" s="89" t="n">
        <x:v>2214</x:v>
      </x:c>
      <x:c r="B2216" s="80" t="n">
        <x:v>-0.7362056512865639</x:v>
      </x:c>
      <x:c r="C2216" s="84" t="n">
        <x:f>SQRT('Resumen'!$B$5^3/3)*B2216</x:f>
        <x:v>-0.4250485309492214</x:v>
      </x:c>
      <x:c r="D2216" s="84" t="n">
        <x:f>C2216^2-'Resumen'!$B$5^3/3</x:f>
        <x:v>-0.1526670796712421</x:v>
      </x:c>
      <x:c r="E2216" s="85" t="n">
        <x:f>D2216+'Resumen'!$B$5^3/3</x:f>
        <x:v>0.18066625366209121</x:v>
      </x:c>
    </x:row>
    <x:row r="2217">
      <x:c r="A2217" s="89" t="n">
        <x:v>2215</x:v>
      </x:c>
      <x:c r="B2217" s="80" t="n">
        <x:v>-0.2669153978267797</x:v>
      </x:c>
      <x:c r="C2217" s="84" t="n">
        <x:f>SQRT('Resumen'!$B$5^3/3)*B2217</x:f>
        <x:v>-0.1541036767861473</x:v>
      </x:c>
      <x:c r="D2217" s="84" t="n">
        <x:f>C2217^2-'Resumen'!$B$5^3/3</x:f>
        <x:v>-0.30958539013432396</x:v>
      </x:c>
      <x:c r="E2217" s="85" t="n">
        <x:f>D2217+'Resumen'!$B$5^3/3</x:f>
        <x:v>0.023747943199009358</x:v>
      </x:c>
    </x:row>
    <x:row r="2218">
      <x:c r="A2218" s="89" t="n">
        <x:v>2216</x:v>
      </x:c>
      <x:c r="B2218" s="80" t="n">
        <x:v>0.9315133123402125</x:v>
      </x:c>
      <x:c r="C2218" s="84" t="n">
        <x:f>SQRT('Resumen'!$B$5^3/3)*B2218</x:f>
        <x:v>0.5378094616333416</x:v>
      </x:c>
      <x:c r="D2218" s="84" t="n">
        <x:f>C2218^2-'Resumen'!$B$5^3/3</x:f>
        <x:v>-0.044094316310988535</x:v>
      </x:c>
      <x:c r="E2218" s="85" t="n">
        <x:f>D2218+'Resumen'!$B$5^3/3</x:f>
        <x:v>0.2892390170223448</x:v>
      </x:c>
    </x:row>
    <x:row r="2219">
      <x:c r="A2219" s="89" t="n">
        <x:v>2217</x:v>
      </x:c>
      <x:c r="B2219" s="80" t="n">
        <x:v>1.2238324249625465</x:v>
      </x:c>
      <x:c r="C2219" s="84" t="n">
        <x:f>SQRT('Resumen'!$B$5^3/3)*B2219</x:f>
        <x:v>0.7065799799951187</x:v>
      </x:c>
      <x:c r="D2219" s="84" t="n">
        <x:f>C2219^2-'Resumen'!$B$5^3/3</x:f>
        <x:v>0.16592193479656897</x:v>
      </x:c>
      <x:c r="E2219" s="85" t="n">
        <x:f>D2219+'Resumen'!$B$5^3/3</x:f>
        <x:v>0.4992552681299023</x:v>
      </x:c>
    </x:row>
    <x:row r="2220">
      <x:c r="A2220" s="89" t="n">
        <x:v>2218</x:v>
      </x:c>
      <x:c r="B2220" s="80" t="n">
        <x:v>-0.3627846773796036</x:v>
      </x:c>
      <x:c r="C2220" s="84" t="n">
        <x:f>SQRT('Resumen'!$B$5^3/3)*B2220</x:f>
        <x:v>-0.20945383114298569</x:v>
      </x:c>
      <x:c r="D2220" s="84" t="n">
        <x:f>C2220^2-'Resumen'!$B$5^3/3</x:f>
        <x:v>-0.289462425952859</x:v>
      </x:c>
      <x:c r="E2220" s="85" t="n">
        <x:f>D2220+'Resumen'!$B$5^3/3</x:f>
        <x:v>0.04387090738047433</x:v>
      </x:c>
    </x:row>
    <x:row r="2221">
      <x:c r="A2221" s="89" t="n">
        <x:v>2219</x:v>
      </x:c>
      <x:c r="B2221" s="80" t="n">
        <x:v>1.6829150535237194</x:v>
      </x:c>
      <x:c r="C2221" s="84" t="n">
        <x:f>SQRT('Resumen'!$B$5^3/3)*B2221</x:f>
        <x:v>0.9716314591751928</x:v>
      </x:c>
      <x:c r="D2221" s="84" t="n">
        <x:f>C2221^2-'Resumen'!$B$5^3/3</x:f>
        <x:v>0.6107343591255809</x:v>
      </x:c>
      <x:c r="E2221" s="85" t="n">
        <x:f>D2221+'Resumen'!$B$5^3/3</x:f>
        <x:v>0.9440676924589142</x:v>
      </x:c>
    </x:row>
    <x:row r="2222">
      <x:c r="A2222" s="89" t="n">
        <x:v>2220</x:v>
      </x:c>
      <x:c r="B2222" s="80" t="n">
        <x:v>0.5963658861205035</x:v>
      </x:c>
      <x:c r="C2222" s="84" t="n">
        <x:f>SQRT('Resumen'!$B$5^3/3)*B2222</x:f>
        <x:v>0.34431200488718233</x:v>
      </x:c>
      <x:c r="D2222" s="84" t="n">
        <x:f>C2222^2-'Resumen'!$B$5^3/3</x:f>
        <x:v>-0.21478257662390224</x:v>
      </x:c>
      <x:c r="E2222" s="85" t="n">
        <x:f>D2222+'Resumen'!$B$5^3/3</x:f>
        <x:v>0.11855075670943108</x:v>
      </x:c>
    </x:row>
    <x:row r="2223">
      <x:c r="A2223" s="89" t="n">
        <x:v>2221</x:v>
      </x:c>
      <x:c r="B2223" s="80" t="n">
        <x:v>1.1577113833230699</x:v>
      </x:c>
      <x:c r="C2223" s="84" t="n">
        <x:f>SQRT('Resumen'!$B$5^3/3)*B2223</x:f>
        <x:v>0.6684049788054683</x:v>
      </x:c>
      <x:c r="D2223" s="84" t="n">
        <x:f>C2223^2-'Resumen'!$B$5^3/3</x:f>
        <x:v>0.11343188235860524</x:v>
      </x:c>
      <x:c r="E2223" s="85" t="n">
        <x:f>D2223+'Resumen'!$B$5^3/3</x:f>
        <x:v>0.44676521569193856</x:v>
      </x:c>
    </x:row>
    <x:row r="2224">
      <x:c r="A2224" s="89" t="n">
        <x:v>2222</x:v>
      </x:c>
      <x:c r="B2224" s="80" t="n">
        <x:v>1.4164028547801477</x:v>
      </x:c>
      <x:c r="C2224" s="84" t="n">
        <x:f>SQRT('Resumen'!$B$5^3/3)*B2224</x:f>
        <x:v>0.8177605694882727</x:v>
      </x:c>
      <x:c r="D2224" s="84" t="n">
        <x:f>C2224^2-'Resumen'!$B$5^3/3</x:f>
        <x:v>0.33539901567645075</x:v>
      </x:c>
      <x:c r="E2224" s="85" t="n">
        <x:f>D2224+'Resumen'!$B$5^3/3</x:f>
        <x:v>0.6687323490097841</x:v>
      </x:c>
    </x:row>
    <x:row r="2225">
      <x:c r="A2225" s="89" t="n">
        <x:v>2223</x:v>
      </x:c>
      <x:c r="B2225" s="80" t="n">
        <x:v>1.171830072537496</x:v>
      </x:c>
      <x:c r="C2225" s="84" t="n">
        <x:f>SQRT('Resumen'!$B$5^3/3)*B2225</x:f>
        <x:v>0.6765564078240219</x:v>
      </x:c>
      <x:c r="D2225" s="84" t="n">
        <x:f>C2225^2-'Resumen'!$B$5^3/3</x:f>
        <x:v>0.12439523963441096</x:v>
      </x:c>
      <x:c r="E2225" s="85" t="n">
        <x:f>D2225+'Resumen'!$B$5^3/3</x:f>
        <x:v>0.4577285729677443</x:v>
      </x:c>
    </x:row>
    <x:row r="2226">
      <x:c r="A2226" s="89" t="n">
        <x:v>2224</x:v>
      </x:c>
      <x:c r="B2226" s="80" t="n">
        <x:v>-0.2662038189030607</x:v>
      </x:c>
      <x:c r="C2226" s="84" t="n">
        <x:f>SQRT('Resumen'!$B$5^3/3)*B2226</x:f>
        <x:v>-0.15369284650298848</x:v>
      </x:c>
      <x:c r="D2226" s="84" t="n">
        <x:f>C2226^2-'Resumen'!$B$5^3/3</x:f>
        <x:v>-0.30971184226714216</x:v>
      </x:c>
      <x:c r="E2226" s="85" t="n">
        <x:f>D2226+'Resumen'!$B$5^3/3</x:f>
        <x:v>0.023621491066191158</x:v>
      </x:c>
    </x:row>
    <x:row r="2227">
      <x:c r="A2227" s="89" t="n">
        <x:v>2225</x:v>
      </x:c>
      <x:c r="B2227" s="80" t="n">
        <x:v>-1.8029156205948016</x:v>
      </x:c>
      <x:c r="C2227" s="84" t="n">
        <x:f>SQRT('Resumen'!$B$5^3/3)*B2227</x:f>
        <x:v>-1.0409138188765898</x:v>
      </x:c>
      <x:c r="D2227" s="84" t="n">
        <x:f>C2227^2-'Resumen'!$B$5^3/3</x:f>
        <x:v>0.7501682449949127</x:v>
      </x:c>
      <x:c r="E2227" s="85" t="n">
        <x:f>D2227+'Resumen'!$B$5^3/3</x:f>
        <x:v>1.083501578328246</x:v>
      </x:c>
    </x:row>
    <x:row r="2228">
      <x:c r="A2228" s="89" t="n">
        <x:v>2226</x:v>
      </x:c>
      <x:c r="B2228" s="80" t="n">
        <x:v>0.9912154093644485</x:v>
      </x:c>
      <x:c r="C2228" s="84" t="n">
        <x:f>SQRT('Resumen'!$B$5^3/3)*B2228</x:f>
        <x:v>0.5722784834214694</x:v>
      </x:c>
      <x:c r="D2228" s="84" t="n">
        <x:f>C2228^2-'Resumen'!$B$5^3/3</x:f>
        <x:v>-0.005830670746156341</x:v>
      </x:c>
      <x:c r="E2228" s="85" t="n">
        <x:f>D2228+'Resumen'!$B$5^3/3</x:f>
        <x:v>0.327502662587177</x:v>
      </x:c>
    </x:row>
    <x:row r="2229">
      <x:c r="A2229" s="89" t="n">
        <x:v>2227</x:v>
      </x:c>
      <x:c r="B2229" s="80" t="n">
        <x:v>-0.31569487323159784</x:v>
      </x:c>
      <x:c r="C2229" s="84" t="n">
        <x:f>SQRT('Resumen'!$B$5^3/3)*B2229</x:f>
        <x:v>-0.18226652004204777</x:v>
      </x:c>
      <x:c r="D2229" s="84" t="n">
        <x:f>C2229^2-'Resumen'!$B$5^3/3</x:f>
        <x:v>-0.30011224900509514</x:v>
      </x:c>
      <x:c r="E2229" s="85" t="n">
        <x:f>D2229+'Resumen'!$B$5^3/3</x:f>
        <x:v>0.03322108432823817</x:v>
      </x:c>
    </x:row>
    <x:row r="2230">
      <x:c r="A2230" s="89" t="n">
        <x:v>2228</x:v>
      </x:c>
      <x:c r="B2230" s="80" t="n">
        <x:v>-0.07187088679035344</x:v>
      </x:c>
      <x:c r="C2230" s="84" t="n">
        <x:f>SQRT('Resumen'!$B$5^3/3)*B2230</x:f>
        <x:v>-0.04149467583530768</x:v>
      </x:c>
      <x:c r="D2230" s="84" t="n">
        <x:f>C2230^2-'Resumen'!$B$5^3/3</x:f>
        <x:v>-0.33161152521065607</x:v>
      </x:c>
      <x:c r="E2230" s="85" t="n">
        <x:f>D2230+'Resumen'!$B$5^3/3</x:f>
        <x:v>0.0017218081226772486</x:v>
      </x:c>
    </x:row>
    <x:row r="2231">
      <x:c r="A2231" s="89" t="n">
        <x:v>2229</x:v>
      </x:c>
      <x:c r="B2231" s="80" t="n">
        <x:v>-0.4557611028007325</x:v>
      </x:c>
      <x:c r="C2231" s="84" t="n">
        <x:f>SQRT('Resumen'!$B$5^3/3)*B2231</x:f>
        <x:v>-0.2631337953881636</x:v>
      </x:c>
      <x:c r="D2231" s="84" t="n">
        <x:f>C2231^2-'Resumen'!$B$5^3/3</x:f>
        <x:v>-0.26409393905795336</x:v>
      </x:c>
      <x:c r="E2231" s="85" t="n">
        <x:f>D2231+'Resumen'!$B$5^3/3</x:f>
        <x:v>0.06923939427537995</x:v>
      </x:c>
    </x:row>
    <x:row r="2232">
      <x:c r="A2232" s="89" t="n">
        <x:v>2230</x:v>
      </x:c>
      <x:c r="B2232" s="80" t="n">
        <x:v>1.9525607719982858</x:v>
      </x:c>
      <x:c r="C2232" s="84" t="n">
        <x:f>SQRT('Resumen'!$B$5^3/3)*B2232</x:f>
        <x:v>1.1273114873223138</x:v>
      </x:c>
      <x:c r="D2232" s="84" t="n">
        <x:f>C2232^2-'Resumen'!$B$5^3/3</x:f>
        <x:v>0.9374978561155141</x:v>
      </x:c>
      <x:c r="E2232" s="85" t="n">
        <x:f>D2232+'Resumen'!$B$5^3/3</x:f>
        <x:v>1.2708311894488473</x:v>
      </x:c>
    </x:row>
    <x:row r="2233">
      <x:c r="A2233" s="89" t="n">
        <x:v>2231</x:v>
      </x:c>
      <x:c r="B2233" s="80" t="n">
        <x:v>0.7016662606383444</x:v>
      </x:c>
      <x:c r="C2233" s="84" t="n">
        <x:f>SQRT('Resumen'!$B$5^3/3)*B2233</x:f>
        <x:v>0.4051072044608262</x:v>
      </x:c>
      <x:c r="D2233" s="84" t="n">
        <x:f>C2233^2-'Resumen'!$B$5^3/3</x:f>
        <x:v>-0.16922148622726765</x:v>
      </x:c>
      <x:c r="E2233" s="85" t="n">
        <x:f>D2233+'Resumen'!$B$5^3/3</x:f>
        <x:v>0.16411184710606566</x:v>
      </x:c>
    </x:row>
    <x:row r="2234">
      <x:c r="A2234" s="89" t="n">
        <x:v>2232</x:v>
      </x:c>
      <x:c r="B2234" s="80" t="n">
        <x:v>0.4335057265321568</x:v>
      </x:c>
      <x:c r="C2234" s="84" t="n">
        <x:f>SQRT('Resumen'!$B$5^3/3)*B2234</x:f>
        <x:v>0.250284647908585</x:v>
      </x:c>
      <x:c r="D2234" s="84" t="n">
        <x:f>C2234^2-'Resumen'!$B$5^3/3</x:f>
        <x:v>-0.27069092835460895</x:v>
      </x:c>
      <x:c r="E2234" s="85" t="n">
        <x:f>D2234+'Resumen'!$B$5^3/3</x:f>
        <x:v>0.06264240497872436</x:v>
      </x:c>
    </x:row>
    <x:row r="2235">
      <x:c r="A2235" s="89" t="n">
        <x:v>2233</x:v>
      </x:c>
      <x:c r="B2235" s="80" t="n">
        <x:v>0.650294363245885</x:v>
      </x:c>
      <x:c r="C2235" s="84" t="n">
        <x:f>SQRT('Resumen'!$B$5^3/3)*B2235</x:f>
        <x:v>0.37544762567250795</x:v>
      </x:c>
      <x:c r="D2235" s="84" t="n">
        <x:f>C2235^2-'Resumen'!$B$5^3/3</x:f>
        <x:v>-0.19237241371020966</x:v>
      </x:c>
      <x:c r="E2235" s="85" t="n">
        <x:f>D2235+'Resumen'!$B$5^3/3</x:f>
        <x:v>0.14096091962312365</x:v>
      </x:c>
    </x:row>
    <x:row r="2236">
      <x:c r="A2236" s="89" t="n">
        <x:v>2234</x:v>
      </x:c>
      <x:c r="B2236" s="80" t="n">
        <x:v>0.8554233591318959</x:v>
      </x:c>
      <x:c r="C2236" s="84" t="n">
        <x:f>SQRT('Resumen'!$B$5^3/3)*B2236</x:f>
        <x:v>0.493878906665894</x:v>
      </x:c>
      <x:c r="D2236" s="84" t="n">
        <x:f>C2236^2-'Resumen'!$B$5^3/3</x:f>
        <x:v>-0.08941695888383447</x:v>
      </x:c>
      <x:c r="E2236" s="85" t="n">
        <x:f>D2236+'Resumen'!$B$5^3/3</x:f>
        <x:v>0.24391637444949885</x:v>
      </x:c>
    </x:row>
    <x:row r="2237">
      <x:c r="A2237" s="89" t="n">
        <x:v>2235</x:v>
      </x:c>
      <x:c r="B2237" s="80" t="n">
        <x:v>0.30575763254340416</x:v>
      </x:c>
      <x:c r="C2237" s="84" t="n">
        <x:f>SQRT('Resumen'!$B$5^3/3)*B2237</x:f>
        <x:v>0.17652925145571705</x:v>
      </x:c>
      <x:c r="D2237" s="84" t="n">
        <x:f>C2237^2-'Resumen'!$B$5^3/3</x:f>
        <x:v>-0.30217075671381755</x:v>
      </x:c>
      <x:c r="E2237" s="85" t="n">
        <x:f>D2237+'Resumen'!$B$5^3/3</x:f>
        <x:v>0.03116257661951577</x:v>
      </x:c>
    </x:row>
    <x:row r="2238">
      <x:c r="A2238" s="89" t="n">
        <x:v>2236</x:v>
      </x:c>
      <x:c r="B2238" s="80" t="n">
        <x:v>0.35597447740241694</x:v>
      </x:c>
      <x:c r="C2238" s="84" t="n">
        <x:f>SQRT('Resumen'!$B$5^3/3)*B2238</x:f>
        <x:v>0.20552196035292175</x:v>
      </x:c>
      <x:c r="D2238" s="84" t="n">
        <x:f>C2238^2-'Resumen'!$B$5^3/3</x:f>
        <x:v>-0.2910940571460254</x:v>
      </x:c>
      <x:c r="E2238" s="85" t="n">
        <x:f>D2238+'Resumen'!$B$5^3/3</x:f>
        <x:v>0.04223927618730794</x:v>
      </x:c>
    </x:row>
    <x:row r="2239">
      <x:c r="A2239" s="89" t="n">
        <x:v>2237</x:v>
      </x:c>
      <x:c r="B2239" s="80" t="n">
        <x:v>0.20672008508214837</x:v>
      </x:c>
      <x:c r="C2239" s="84" t="n">
        <x:f>SQRT('Resumen'!$B$5^3/3)*B2239</x:f>
        <x:v>0.1193498967690807</x:v>
      </x:c>
      <x:c r="D2239" s="84" t="n">
        <x:f>C2239^2-'Resumen'!$B$5^3/3</x:f>
        <x:v>-0.3190889354745431</x:v>
      </x:c>
      <x:c r="E2239" s="85" t="n">
        <x:f>D2239+'Resumen'!$B$5^3/3</x:f>
        <x:v>0.014244397858790225</x:v>
      </x:c>
    </x:row>
    <x:row r="2240">
      <x:c r="A2240" s="89" t="n">
        <x:v>2238</x:v>
      </x:c>
      <x:c r="B2240" s="80" t="n">
        <x:v>-0.9492967714153033</x:v>
      </x:c>
      <x:c r="C2240" s="84" t="n">
        <x:f>SQRT('Resumen'!$B$5^3/3)*B2240</x:f>
        <x:v>-0.548076746517468</x:v>
      </x:c>
      <x:c r="D2240" s="84" t="n">
        <x:f>C2240^2-'Resumen'!$B$5^3/3</x:f>
        <x:v>-0.03294521326016048</x:v>
      </x:c>
      <x:c r="E2240" s="85" t="n">
        <x:f>D2240+'Resumen'!$B$5^3/3</x:f>
        <x:v>0.30038812007317284</x:v>
      </x:c>
    </x:row>
    <x:row r="2241">
      <x:c r="A2241" s="89" t="n">
        <x:v>2239</x:v>
      </x:c>
      <x:c r="B2241" s="80" t="n">
        <x:v>0.5330429395329476</x:v>
      </x:c>
      <x:c r="C2241" s="84" t="n">
        <x:f>SQRT('Resumen'!$B$5^3/3)*B2241</x:f>
        <x:v>0.3077524846289767</x:v>
      </x:c>
      <x:c r="D2241" s="84" t="n">
        <x:f>C2241^2-'Resumen'!$B$5^3/3</x:f>
        <x:v>-0.2386217415380248</x:v>
      </x:c>
      <x:c r="E2241" s="85" t="n">
        <x:f>D2241+'Resumen'!$B$5^3/3</x:f>
        <x:v>0.09471159179530853</x:v>
      </x:c>
    </x:row>
    <x:row r="2242">
      <x:c r="A2242" s="89" t="n">
        <x:v>2240</x:v>
      </x:c>
      <x:c r="B2242" s="80" t="n">
        <x:v>0.11736007436694065</x:v>
      </x:c>
      <x:c r="C2242" s="84" t="n">
        <x:f>SQRT('Resumen'!$B$5^3/3)*B2242</x:f>
        <x:v>0.06775787052786768</x:v>
      </x:c>
      <x:c r="D2242" s="84" t="n">
        <x:f>C2242^2-'Resumen'!$B$5^3/3</x:f>
        <x:v>-0.328742204314862</x:v>
      </x:c>
      <x:c r="E2242" s="85" t="n">
        <x:f>D2242+'Resumen'!$B$5^3/3</x:f>
        <x:v>0.004591129018471307</x:v>
      </x:c>
    </x:row>
    <x:row r="2243">
      <x:c r="A2243" s="89" t="n">
        <x:v>2241</x:v>
      </x:c>
      <x:c r="B2243" s="80" t="n">
        <x:v>0.6469600617431909</x:v>
      </x:c>
      <x:c r="C2243" s="84" t="n">
        <x:f>SQRT('Resumen'!$B$5^3/3)*B2243</x:f>
        <x:v>0.37352256580236814</x:v>
      </x:c>
      <x:c r="D2243" s="84" t="n">
        <x:f>C2243^2-'Resumen'!$B$5^3/3</x:f>
        <x:v>-0.1938142261697489</x:v>
      </x:c>
      <x:c r="E2243" s="85" t="n">
        <x:f>D2243+'Resumen'!$B$5^3/3</x:f>
        <x:v>0.13951910716358443</x:v>
      </x:c>
    </x:row>
    <x:row r="2244">
      <x:c r="A2244" s="89" t="n">
        <x:v>2242</x:v>
      </x:c>
      <x:c r="B2244" s="80" t="n">
        <x:v>-0.6055240386390267</x:v>
      </x:c>
      <x:c r="C2244" s="84" t="n">
        <x:f>SQRT('Resumen'!$B$5^3/3)*B2244</x:f>
        <x:v>-0.3495994667090314</x:v>
      </x:c>
      <x:c r="D2244" s="84" t="n">
        <x:f>C2244^2-'Resumen'!$B$5^3/3</x:f>
        <x:v>-0.21111354621009415</x:v>
      </x:c>
      <x:c r="E2244" s="85" t="n">
        <x:f>D2244+'Resumen'!$B$5^3/3</x:f>
        <x:v>0.12221978712323917</x:v>
      </x:c>
    </x:row>
    <x:row r="2245">
      <x:c r="A2245" s="89" t="n">
        <x:v>2243</x:v>
      </x:c>
      <x:c r="B2245" s="80" t="n">
        <x:v>-1.522521116622019</x:v>
      </x:c>
      <x:c r="C2245" s="84" t="n">
        <x:f>SQRT('Resumen'!$B$5^3/3)*B2245</x:f>
        <x:v>-0.8790279765286122</x:v>
      </x:c>
      <x:c r="D2245" s="84" t="n">
        <x:f>C2245^2-'Resumen'!$B$5^3/3</x:f>
        <x:v>0.4393568501866531</x:v>
      </x:c>
      <x:c r="E2245" s="85" t="n">
        <x:f>D2245+'Resumen'!$B$5^3/3</x:f>
        <x:v>0.7726901835199864</x:v>
      </x:c>
    </x:row>
    <x:row r="2246">
      <x:c r="A2246" s="89" t="n">
        <x:v>2244</x:v>
      </x:c>
      <x:c r="B2246" s="80" t="n">
        <x:v>0.8566600876805611</x:v>
      </x:c>
      <x:c r="C2246" s="84" t="n">
        <x:f>SQRT('Resumen'!$B$5^3/3)*B2246</x:f>
        <x:v>0.49459293222638034</x:v>
      </x:c>
      <x:c r="D2246" s="84" t="n">
        <x:f>C2246^2-'Resumen'!$B$5^3/3</x:f>
        <x:v>-0.08871116472504445</x:v>
      </x:c>
      <x:c r="E2246" s="85" t="n">
        <x:f>D2246+'Resumen'!$B$5^3/3</x:f>
        <x:v>0.24462216860828886</x:v>
      </x:c>
    </x:row>
    <x:row r="2247">
      <x:c r="A2247" s="89" t="n">
        <x:v>2245</x:v>
      </x:c>
      <x:c r="B2247" s="80" t="n">
        <x:v>0.7111257787434743</x:v>
      </x:c>
      <x:c r="C2247" s="84" t="n">
        <x:f>SQRT('Resumen'!$B$5^3/3)*B2247</x:f>
        <x:v>0.4105686597852271</x:v>
      </x:c>
      <x:c r="D2247" s="84" t="n">
        <x:f>C2247^2-'Resumen'!$B$5^3/3</x:f>
        <x:v>-0.16476670893549575</x:v>
      </x:c>
      <x:c r="E2247" s="85" t="n">
        <x:f>D2247+'Resumen'!$B$5^3/3</x:f>
        <x:v>0.16856662439783757</x:v>
      </x:c>
    </x:row>
    <x:row r="2248">
      <x:c r="A2248" s="89" t="n">
        <x:v>2246</x:v>
      </x:c>
      <x:c r="B2248" s="80" t="n">
        <x:v>-1.1326396088671118</x:v>
      </x:c>
      <x:c r="C2248" s="84" t="n">
        <x:f>SQRT('Resumen'!$B$5^3/3)*B2248</x:f>
        <x:v>-0.6539297830742594</x:v>
      </x:c>
      <x:c r="D2248" s="84" t="n">
        <x:f>C2248^2-'Resumen'!$B$5^3/3</x:f>
        <x:v>0.09429082785821469</x:v>
      </x:c>
      <x:c r="E2248" s="85" t="n">
        <x:f>D2248+'Resumen'!$B$5^3/3</x:f>
        <x:v>0.427624161191548</x:v>
      </x:c>
    </x:row>
    <x:row r="2249">
      <x:c r="A2249" s="89" t="n">
        <x:v>2247</x:v>
      </x:c>
      <x:c r="B2249" s="80" t="n">
        <x:v>1.982524542829962</x:v>
      </x:c>
      <x:c r="C2249" s="84" t="n">
        <x:f>SQRT('Resumen'!$B$5^3/3)*B2249</x:f>
        <x:v>1.1446110784779182</x:v>
      </x:c>
      <x:c r="D2249" s="84" t="n">
        <x:f>C2249^2-'Resumen'!$B$5^3/3</x:f>
        <x:v>0.9768011876410498</x:v>
      </x:c>
      <x:c r="E2249" s="85" t="n">
        <x:f>D2249+'Resumen'!$B$5^3/3</x:f>
        <x:v>1.310134520974383</x:v>
      </x:c>
    </x:row>
    <x:row r="2250">
      <x:c r="A2250" s="89" t="n">
        <x:v>2248</x:v>
      </x:c>
      <x:c r="B2250" s="80" t="n">
        <x:v>-0.2216088400722217</x:v>
      </x:c>
      <x:c r="C2250" s="84" t="n">
        <x:f>SQRT('Resumen'!$B$5^3/3)*B2250</x:f>
        <x:v>-0.1279459234704979</x:v>
      </x:c>
      <x:c r="D2250" s="84" t="n">
        <x:f>C2250^2-'Resumen'!$B$5^3/3</x:f>
        <x:v>-0.3169631740006148</x:v>
      </x:c>
      <x:c r="E2250" s="85" t="n">
        <x:f>D2250+'Resumen'!$B$5^3/3</x:f>
        <x:v>0.016370159332718515</x:v>
      </x:c>
    </x:row>
    <x:row r="2251">
      <x:c r="A2251" s="89" t="n">
        <x:v>2249</x:v>
      </x:c>
      <x:c r="B2251" s="80" t="n">
        <x:v>0.3028434736974707</x:v>
      </x:c>
      <x:c r="C2251" s="84" t="n">
        <x:f>SQRT('Resumen'!$B$5^3/3)*B2251</x:f>
        <x:v>0.17484676106155606</x:v>
      </x:c>
      <x:c r="D2251" s="84" t="n">
        <x:f>C2251^2-'Resumen'!$B$5^3/3</x:f>
        <x:v>-0.30276194347961644</x:v>
      </x:c>
      <x:c r="E2251" s="85" t="n">
        <x:f>D2251+'Resumen'!$B$5^3/3</x:f>
        <x:v>0.03057138985371688</x:v>
      </x:c>
    </x:row>
    <x:row r="2252">
      <x:c r="A2252" s="89" t="n">
        <x:v>2250</x:v>
      </x:c>
      <x:c r="B2252" s="80" t="n">
        <x:v>0.626527518889744</x:v>
      </x:c>
      <x:c r="C2252" s="84" t="n">
        <x:f>SQRT('Resumen'!$B$5^3/3)*B2252</x:f>
        <x:v>0.36172583168570205</x:v>
      </x:c>
      <x:c r="D2252" s="84" t="n">
        <x:f>C2252^2-'Resumen'!$B$5^3/3</x:f>
        <x:v>-0.20248775602462046</x:v>
      </x:c>
      <x:c r="E2252" s="85" t="n">
        <x:f>D2252+'Resumen'!$B$5^3/3</x:f>
        <x:v>0.13084557730871285</x:v>
      </x:c>
    </x:row>
    <x:row r="2253">
      <x:c r="A2253" s="89" t="n">
        <x:v>2251</x:v>
      </x:c>
      <x:c r="B2253" s="80" t="n">
        <x:v>-0.0663849353453592</x:v>
      </x:c>
      <x:c r="C2253" s="84" t="n">
        <x:f>SQRT('Resumen'!$B$5^3/3)*B2253</x:f>
        <x:v>-0.038327360291779036</x:v>
      </x:c>
      <x:c r="D2253" s="84" t="n">
        <x:f>C2253^2-'Resumen'!$B$5^3/3</x:f>
        <x:v>-0.3318643467863975</x:v>
      </x:c>
      <x:c r="E2253" s="85" t="n">
        <x:f>D2253+'Resumen'!$B$5^3/3</x:f>
        <x:v>0.0014689865469358354</x:v>
      </x:c>
    </x:row>
    <x:row r="2254">
      <x:c r="A2254" s="89" t="n">
        <x:v>2252</x:v>
      </x:c>
      <x:c r="B2254" s="80" t="n">
        <x:v>0.37283008941474916</x:v>
      </x:c>
      <x:c r="C2254" s="84" t="n">
        <x:f>SQRT('Resumen'!$B$5^3/3)*B2254</x:f>
        <x:v>0.21525355248559766</x:v>
      </x:c>
      <x:c r="D2254" s="84" t="n">
        <x:f>C2254^2-'Resumen'!$B$5^3/3</x:f>
        <x:v>-0.28699924147566336</x:v>
      </x:c>
      <x:c r="E2254" s="85" t="n">
        <x:f>D2254+'Resumen'!$B$5^3/3</x:f>
        <x:v>0.04633409185766996</x:v>
      </x:c>
    </x:row>
    <x:row r="2255">
      <x:c r="A2255" s="89" t="n">
        <x:v>2253</x:v>
      </x:c>
      <x:c r="B2255" s="80" t="n">
        <x:v>0.1457402634581626</x:v>
      </x:c>
      <x:c r="C2255" s="84" t="n">
        <x:f>SQRT('Resumen'!$B$5^3/3)*B2255</x:f>
        <x:v>0.08414318033933715</x:v>
      </x:c>
      <x:c r="D2255" s="84" t="n">
        <x:f>C2255^2-'Resumen'!$B$5^3/3</x:f>
        <x:v>-0.3262532585357151</x:v>
      </x:c>
      <x:c r="E2255" s="85" t="n">
        <x:f>D2255+'Resumen'!$B$5^3/3</x:f>
        <x:v>0.007080074797618241</x:v>
      </x:c>
    </x:row>
    <x:row r="2256">
      <x:c r="A2256" s="89" t="n">
        <x:v>2254</x:v>
      </x:c>
      <x:c r="B2256" s="80" t="n">
        <x:v>0.011446564695173002</x:v>
      </x:c>
      <x:c r="C2256" s="84" t="n">
        <x:f>SQRT('Resumen'!$B$5^3/3)*B2256</x:f>
        <x:v>0.006608677208054599</x:v>
      </x:c>
      <x:c r="D2256" s="84" t="n">
        <x:f>C2256^2-'Resumen'!$B$5^3/3</x:f>
        <x:v>-0.33328965871889304</x:v>
      </x:c>
      <x:c r="E2256" s="85" t="n">
        <x:f>D2256+'Resumen'!$B$5^3/3</x:f>
        <x:v>0.00004367461444026999</x:v>
      </x:c>
    </x:row>
    <x:row r="2257">
      <x:c r="A2257" s="89" t="n">
        <x:v>2255</x:v>
      </x:c>
      <x:c r="B2257" s="80" t="n">
        <x:v>-0.539548686816048</x:v>
      </x:c>
      <x:c r="C2257" s="84" t="n">
        <x:f>SQRT('Resumen'!$B$5^3/3)*B2257</x:f>
        <x:v>-0.31150857957415434</x:v>
      </x:c>
      <x:c r="D2257" s="84" t="n">
        <x:f>C2257^2-'Resumen'!$B$5^3/3</x:f>
        <x:v>-0.23629573818502608</x:v>
      </x:c>
      <x:c r="E2257" s="85" t="n">
        <x:f>D2257+'Resumen'!$B$5^3/3</x:f>
        <x:v>0.09703759514830723</x:v>
      </x:c>
    </x:row>
    <x:row r="2258">
      <x:c r="A2258" s="89" t="n">
        <x:v>2256</x:v>
      </x:c>
      <x:c r="B2258" s="80" t="n">
        <x:v>-0.7653357570508692</x:v>
      </x:c>
      <x:c r="C2258" s="84" t="n">
        <x:f>SQRT('Resumen'!$B$5^3/3)*B2258</x:f>
        <x:v>-0.4418668053537653</x:v>
      </x:c>
      <x:c r="D2258" s="84" t="n">
        <x:f>C2258^2-'Resumen'!$B$5^3/3</x:f>
        <x:v>-0.13808705965979098</x:v>
      </x:c>
      <x:c r="E2258" s="85" t="n">
        <x:f>D2258+'Resumen'!$B$5^3/3</x:f>
        <x:v>0.19524627367354233</x:v>
      </x:c>
    </x:row>
    <x:row r="2259">
      <x:c r="A2259" s="89" t="n">
        <x:v>2257</x:v>
      </x:c>
      <x:c r="B2259" s="80" t="n">
        <x:v>0.620152938175956</x:v>
      </x:c>
      <x:c r="C2259" s="84" t="n">
        <x:f>SQRT('Resumen'!$B$5^3/3)*B2259</x:f>
        <x:v>0.3580454657946255</x:v>
      </x:c>
      <x:c r="D2259" s="84" t="n">
        <x:f>C2259^2-'Resumen'!$B$5^3/3</x:f>
        <x:v>-0.20513677775724298</x:v>
      </x:c>
      <x:c r="E2259" s="85" t="n">
        <x:f>D2259+'Resumen'!$B$5^3/3</x:f>
        <x:v>0.12819655557609033</x:v>
      </x:c>
    </x:row>
    <x:row r="2260">
      <x:c r="A2260" s="89" t="n">
        <x:v>2258</x:v>
      </x:c>
      <x:c r="B2260" s="80" t="n">
        <x:v>0.5260872156156275</x:v>
      </x:c>
      <x:c r="C2260" s="84" t="n">
        <x:f>SQRT('Resumen'!$B$5^3/3)*B2260</x:f>
        <x:v>0.3037365955529032</x:v>
      </x:c>
      <x:c r="D2260" s="84" t="n">
        <x:f>C2260^2-'Resumen'!$B$5^3/3</x:f>
        <x:v>-0.2410774138552654</x:v>
      </x:c>
      <x:c r="E2260" s="85" t="n">
        <x:f>D2260+'Resumen'!$B$5^3/3</x:f>
        <x:v>0.09225591947806791</x:v>
      </x:c>
    </x:row>
    <x:row r="2261">
      <x:c r="A2261" s="89" t="n">
        <x:v>2259</x:v>
      </x:c>
      <x:c r="B2261" s="80" t="n">
        <x:v>-1.3471526067726365</x:v>
      </x:c>
      <x:c r="C2261" s="84" t="n">
        <x:f>SQRT('Resumen'!$B$5^3/3)*B2261</x:f>
        <x:v>-0.7777789201596877</x:v>
      </x:c>
      <x:c r="D2261" s="84" t="n">
        <x:f>C2261^2-'Resumen'!$B$5^3/3</x:f>
        <x:v>0.2716067153114366</x:v>
      </x:c>
      <x:c r="E2261" s="85" t="n">
        <x:f>D2261+'Resumen'!$B$5^3/3</x:f>
        <x:v>0.6049400486447699</x:v>
      </x:c>
    </x:row>
    <x:row r="2262">
      <x:c r="A2262" s="89" t="n">
        <x:v>2260</x:v>
      </x:c>
      <x:c r="B2262" s="80" t="n">
        <x:v>-1.967369703623807</x:v>
      </x:c>
      <x:c r="C2262" s="84" t="n">
        <x:f>SQRT('Resumen'!$B$5^3/3)*B2262</x:f>
        <x:v>-1.135861427982719</x:v>
      </x:c>
      <x:c r="D2262" s="84" t="n">
        <x:f>C2262^2-'Resumen'!$B$5^3/3</x:f>
        <x:v>0.9568478502456084</x:v>
      </x:c>
      <x:c r="E2262" s="85" t="n">
        <x:f>D2262+'Resumen'!$B$5^3/3</x:f>
        <x:v>1.2901811835789416</x:v>
      </x:c>
    </x:row>
    <x:row r="2263">
      <x:c r="A2263" s="89" t="n">
        <x:v>2261</x:v>
      </x:c>
      <x:c r="B2263" s="80" t="n">
        <x:v>0.13844813268104122</x:v>
      </x:c>
      <x:c r="C2263" s="84" t="n">
        <x:f>SQRT('Resumen'!$B$5^3/3)*B2263</x:f>
        <x:v>0.07993306667220017</x:v>
      </x:c>
      <x:c r="D2263" s="84" t="n">
        <x:f>C2263^2-'Resumen'!$B$5^3/3</x:f>
        <x:v>-0.32694403818571094</x:v>
      </x:c>
      <x:c r="E2263" s="85" t="n">
        <x:f>D2263+'Resumen'!$B$5^3/3</x:f>
        <x:v>0.006389295147622376</x:v>
      </x:c>
    </x:row>
    <x:row r="2264">
      <x:c r="A2264" s="89" t="n">
        <x:v>2262</x:v>
      </x:c>
      <x:c r="B2264" s="80" t="n">
        <x:v>0.7336582054942994</x:v>
      </x:c>
      <x:c r="C2264" s="84" t="n">
        <x:f>SQRT('Resumen'!$B$5^3/3)*B2264</x:f>
        <x:v>0.4235777624353115</x:v>
      </x:c>
      <x:c r="D2264" s="84" t="n">
        <x:f>C2264^2-'Resumen'!$B$5^3/3</x:f>
        <x:v>-0.15391521250362813</x:v>
      </x:c>
      <x:c r="E2264" s="85" t="n">
        <x:f>D2264+'Resumen'!$B$5^3/3</x:f>
        <x:v>0.17941812082970518</x:v>
      </x:c>
    </x:row>
    <x:row r="2265">
      <x:c r="A2265" s="89" t="n">
        <x:v>2263</x:v>
      </x:c>
      <x:c r="B2265" s="80" t="n">
        <x:v>0.24121958365206186</x:v>
      </x:c>
      <x:c r="C2265" s="84" t="n">
        <x:f>SQRT('Resumen'!$B$5^3/3)*B2265</x:f>
        <x:v>0.13926819155532735</x:v>
      </x:c>
      <x:c r="D2265" s="84" t="n">
        <x:f>C2265^2-'Resumen'!$B$5^3/3</x:f>
        <x:v>-0.31393770415424194</x:v>
      </x:c>
      <x:c r="E2265" s="85" t="n">
        <x:f>D2265+'Resumen'!$B$5^3/3</x:f>
        <x:v>0.019395629179091378</x:v>
      </x:c>
    </x:row>
    <x:row r="2266">
      <x:c r="A2266" s="89" t="n">
        <x:v>2264</x:v>
      </x:c>
      <x:c r="B2266" s="80" t="n">
        <x:v>-0.34681618643944373</x:v>
      </x:c>
      <x:c r="C2266" s="84" t="n">
        <x:f>SQRT('Resumen'!$B$5^3/3)*B2266</x:f>
        <x:v>-0.20023441860013227</x:v>
      </x:c>
      <x:c r="D2266" s="84" t="n">
        <x:f>C2266^2-'Resumen'!$B$5^3/3</x:f>
        <x:v>-0.2932395109412003</x:v>
      </x:c>
      <x:c r="E2266" s="85" t="n">
        <x:f>D2266+'Resumen'!$B$5^3/3</x:f>
        <x:v>0.040093822392132994</x:v>
      </x:c>
    </x:row>
    <x:row r="2267">
      <x:c r="A2267" s="89" t="n">
        <x:v>2265</x:v>
      </x:c>
      <x:c r="B2267" s="80" t="n">
        <x:v>1.3292012695183784</x:v>
      </x:c>
      <x:c r="C2267" s="84" t="n">
        <x:f>SQRT('Resumen'!$B$5^3/3)*B2267</x:f>
        <x:v>0.767414710763628</x:v>
      </x:c>
      <x:c r="D2267" s="84" t="n">
        <x:f>C2267^2-'Resumen'!$B$5^3/3</x:f>
        <x:v>0.2555920049630895</x:v>
      </x:c>
      <x:c r="E2267" s="85" t="n">
        <x:f>D2267+'Resumen'!$B$5^3/3</x:f>
        <x:v>0.5889253382964228</x:v>
      </x:c>
    </x:row>
    <x:row r="2268">
      <x:c r="A2268" s="89" t="n">
        <x:v>2266</x:v>
      </x:c>
      <x:c r="B2268" s="80" t="n">
        <x:v>-0.10755929920764952</x:v>
      </x:c>
      <x:c r="C2268" s="84" t="n">
        <x:f>SQRT('Resumen'!$B$5^3/3)*B2268</x:f>
        <x:v>-0.06209939035138395</x:v>
      </x:c>
      <x:c r="D2268" s="84" t="n">
        <x:f>C2268^2-'Resumen'!$B$5^3/3</x:f>
        <x:v>-0.3294769990513198</x:v>
      </x:c>
      <x:c r="E2268" s="85" t="n">
        <x:f>D2268+'Resumen'!$B$5^3/3</x:f>
        <x:v>0.0038563342820135404</x:v>
      </x:c>
    </x:row>
    <x:row r="2269">
      <x:c r="A2269" s="89" t="n">
        <x:v>2267</x:v>
      </x:c>
      <x:c r="B2269" s="80" t="n">
        <x:v>0.581713315774365</x:v>
      </x:c>
      <x:c r="C2269" s="84" t="n">
        <x:f>SQRT('Resumen'!$B$5^3/3)*B2269</x:f>
        <x:v>0.3358523394535194</x:v>
      </x:c>
      <x:c r="D2269" s="84" t="n">
        <x:f>C2269^2-'Resumen'!$B$5^3/3</x:f>
        <x:v>-0.2205365394169313</x:v>
      </x:c>
      <x:c r="E2269" s="85" t="n">
        <x:f>D2269+'Resumen'!$B$5^3/3</x:f>
        <x:v>0.11279679391640202</x:v>
      </x:c>
    </x:row>
    <x:row r="2270">
      <x:c r="A2270" s="89" t="n">
        <x:v>2268</x:v>
      </x:c>
      <x:c r="B2270" s="80" t="n">
        <x:v>0.05705388561960537</x:v>
      </x:c>
      <x:c r="C2270" s="84" t="n">
        <x:f>SQRT('Resumen'!$B$5^3/3)*B2270</x:f>
        <x:v>0.03294007622079328</x:v>
      </x:c>
      <x:c r="D2270" s="84" t="n">
        <x:f>C2270^2-'Resumen'!$B$5^3/3</x:f>
        <x:v>-0.33224828471190165</x:v>
      </x:c>
      <x:c r="E2270" s="85" t="n">
        <x:f>D2270+'Resumen'!$B$5^3/3</x:f>
        <x:v>0.0010850486214316613</x:v>
      </x:c>
    </x:row>
    <x:row r="2271">
      <x:c r="A2271" s="89" t="n">
        <x:v>2269</x:v>
      </x:c>
      <x:c r="B2271" s="80" t="n">
        <x:v>0.34371303764588107</x:v>
      </x:c>
      <x:c r="C2271" s="84" t="n">
        <x:f>SQRT('Resumen'!$B$5^3/3)*B2271</x:f>
        <x:v>0.1984428148088334</x:v>
      </x:c>
      <x:c r="D2271" s="84" t="n">
        <x:f>C2271^2-'Resumen'!$B$5^3/3</x:f>
        <x:v>-0.29395378258408034</x:v>
      </x:c>
      <x:c r="E2271" s="85" t="n">
        <x:f>D2271+'Resumen'!$B$5^3/3</x:f>
        <x:v>0.03937955074925298</x:v>
      </x:c>
    </x:row>
    <x:row r="2272">
      <x:c r="A2272" s="89" t="n">
        <x:v>2270</x:v>
      </x:c>
      <x:c r="B2272" s="80" t="n">
        <x:v>-0.38831287322773445</x:v>
      </x:c>
      <x:c r="C2272" s="84" t="n">
        <x:f>SQRT('Resumen'!$B$5^3/3)*B2272</x:f>
        <x:v>-0.2241925418878295</x:v>
      </x:c>
      <x:c r="D2272" s="84" t="n">
        <x:f>C2272^2-'Resumen'!$B$5^3/3</x:f>
        <x:v>-0.2830710374952071</x:v>
      </x:c>
      <x:c r="E2272" s="85" t="n">
        <x:f>D2272+'Resumen'!$B$5^3/3</x:f>
        <x:v>0.05026229583812619</x:v>
      </x:c>
    </x:row>
    <x:row r="2273">
      <x:c r="A2273" s="89" t="n">
        <x:v>2271</x:v>
      </x:c>
      <x:c r="B2273" s="80" t="n">
        <x:v>0.9431286903481483</x:v>
      </x:c>
      <x:c r="C2273" s="84" t="n">
        <x:f>SQRT('Resumen'!$B$5^3/3)*B2273</x:f>
        <x:v>0.5445156032529626</x:v>
      </x:c>
      <x:c r="D2273" s="84" t="n">
        <x:f>C2273^2-'Resumen'!$B$5^3/3</x:f>
        <x:v>-0.03683609114739561</x:v>
      </x:c>
      <x:c r="E2273" s="85" t="n">
        <x:f>D2273+'Resumen'!$B$5^3/3</x:f>
        <x:v>0.2964972421859377</x:v>
      </x:c>
    </x:row>
    <x:row r="2274">
      <x:c r="A2274" s="89" t="n">
        <x:v>2272</x:v>
      </x:c>
      <x:c r="B2274" s="80" t="n">
        <x:v>0.5043205739746471</x:v>
      </x:c>
      <x:c r="C2274" s="84" t="n">
        <x:f>SQRT('Resumen'!$B$5^3/3)*B2274</x:f>
        <x:v>0.2911696191421291</x:v>
      </x:c>
      <x:c r="D2274" s="84" t="n">
        <x:f>C2274^2-'Resumen'!$B$5^3/3</x:f>
        <x:v>-0.24855358622196083</x:v>
      </x:c>
      <x:c r="E2274" s="85" t="n">
        <x:f>D2274+'Resumen'!$B$5^3/3</x:f>
        <x:v>0.08477974711137248</x:v>
      </x:c>
    </x:row>
    <x:row r="2275">
      <x:c r="A2275" s="89" t="n">
        <x:v>2273</x:v>
      </x:c>
      <x:c r="B2275" s="80" t="n">
        <x:v>-1.202441656067267</x:v>
      </x:c>
      <x:c r="C2275" s="84" t="n">
        <x:f>SQRT('Resumen'!$B$5^3/3)*B2275</x:f>
        <x:v>-0.694230013815256</x:v>
      </x:c>
      <x:c r="D2275" s="84" t="n">
        <x:f>C2275^2-'Resumen'!$B$5^3/3</x:f>
        <x:v>0.14862197874859717</x:v>
      </x:c>
      <x:c r="E2275" s="85" t="n">
        <x:f>D2275+'Resumen'!$B$5^3/3</x:f>
        <x:v>0.4819553120819305</x:v>
      </x:c>
    </x:row>
    <x:row r="2276">
      <x:c r="A2276" s="89" t="n">
        <x:v>2274</x:v>
      </x:c>
      <x:c r="B2276" s="80" t="n">
        <x:v>-1.9377985372509194</x:v>
      </x:c>
      <x:c r="C2276" s="84" t="n">
        <x:f>SQRT('Resumen'!$B$5^3/3)*B2276</x:f>
        <x:v>-1.1187885071170813</x:v>
      </x:c>
      <x:c r="D2276" s="84" t="n">
        <x:f>C2276^2-'Resumen'!$B$5^3/3</x:f>
        <x:v>0.9183543903239342</x:v>
      </x:c>
      <x:c r="E2276" s="85" t="n">
        <x:f>D2276+'Resumen'!$B$5^3/3</x:f>
        <x:v>1.2516877236572674</x:v>
      </x:c>
    </x:row>
    <x:row r="2277">
      <x:c r="A2277" s="89" t="n">
        <x:v>2275</x:v>
      </x:c>
      <x:c r="B2277" s="80" t="n">
        <x:v>0.06576899124547121</x:v>
      </x:c>
      <x:c r="C2277" s="84" t="n">
        <x:f>SQRT('Resumen'!$B$5^3/3)*B2277</x:f>
        <x:v>0.037971744799902944</x:v>
      </x:c>
      <x:c r="D2277" s="84" t="n">
        <x:f>C2277^2-'Resumen'!$B$5^3/3</x:f>
        <x:v>-0.33189147993018436</x:v>
      </x:c>
      <x:c r="E2277" s="85" t="n">
        <x:f>D2277+'Resumen'!$B$5^3/3</x:f>
        <x:v>0.0014418534031489516</x:v>
      </x:c>
    </x:row>
    <x:row r="2278">
      <x:c r="A2278" s="89" t="n">
        <x:v>2276</x:v>
      </x:c>
      <x:c r="B2278" s="80" t="n">
        <x:v>1.7305281761052047</x:v>
      </x:c>
      <x:c r="C2278" s="84" t="n">
        <x:f>SQRT('Resumen'!$B$5^3/3)*B2278</x:f>
        <x:v>0.999120908314572</x:v>
      </x:c>
      <x:c r="D2278" s="84" t="n">
        <x:f>C2278^2-'Resumen'!$B$5^3/3</x:f>
        <x:v>0.6649092560980021</x:v>
      </x:c>
      <x:c r="E2278" s="85" t="n">
        <x:f>D2278+'Resumen'!$B$5^3/3</x:f>
        <x:v>0.9982425894313354</x:v>
      </x:c>
    </x:row>
    <x:row r="2279">
      <x:c r="A2279" s="89" t="n">
        <x:v>2277</x:v>
      </x:c>
      <x:c r="B2279" s="80" t="n">
        <x:v>-0.28244685672199354</x:v>
      </x:c>
      <x:c r="C2279" s="84" t="n">
        <x:f>SQRT('Resumen'!$B$5^3/3)*B2279</x:f>
        <x:v>-0.16307076876020662</x:v>
      </x:c>
      <x:c r="D2279" s="84" t="n">
        <x:f>C2279^2-'Resumen'!$B$5^3/3</x:f>
        <x:v>-0.3067412577092885</x:v>
      </x:c>
      <x:c r="E2279" s="85" t="n">
        <x:f>D2279+'Resumen'!$B$5^3/3</x:f>
        <x:v>0.02659207562404481</x:v>
      </x:c>
    </x:row>
    <x:row r="2280">
      <x:c r="A2280" s="89" t="n">
        <x:v>2278</x:v>
      </x:c>
      <x:c r="B2280" s="80" t="n">
        <x:v>2.798563406304933</x:v>
      </x:c>
      <x:c r="C2280" s="84" t="n">
        <x:f>SQRT('Resumen'!$B$5^3/3)*B2280</x:f>
        <x:v>1.615751335974389</x:v>
      </x:c>
      <x:c r="D2280" s="84" t="n">
        <x:f>C2280^2-'Resumen'!$B$5^3/3</x:f>
        <x:v>2.2773190463696893</x:v>
      </x:c>
      <x:c r="E2280" s="85" t="n">
        <x:f>D2280+'Resumen'!$B$5^3/3</x:f>
        <x:v>2.6106523797030228</x:v>
      </x:c>
    </x:row>
    <x:row r="2281">
      <x:c r="A2281" s="89" t="n">
        <x:v>2279</x:v>
      </x:c>
      <x:c r="B2281" s="80" t="n">
        <x:v>0.5111713386941225</x:v>
      </x:c>
      <x:c r="C2281" s="84" t="n">
        <x:f>SQRT('Resumen'!$B$5^3/3)*B2281</x:f>
        <x:v>0.29512490999707297</x:v>
      </x:c>
      <x:c r="D2281" s="84" t="n">
        <x:f>C2281^2-'Resumen'!$B$5^3/3</x:f>
        <x:v>-0.24623462083255288</x:v>
      </x:c>
      <x:c r="E2281" s="85" t="n">
        <x:f>D2281+'Resumen'!$B$5^3/3</x:f>
        <x:v>0.08709871250078044</x:v>
      </x:c>
    </x:row>
    <x:row r="2282">
      <x:c r="A2282" s="89" t="n">
        <x:v>2280</x:v>
      </x:c>
      <x:c r="B2282" s="80" t="n">
        <x:v>0.14868231394384723</x:v>
      </x:c>
      <x:c r="C2282" s="84" t="n">
        <x:f>SQRT('Resumen'!$B$5^3/3)*B2282</x:f>
        <x:v>0.08584177397921665</x:v>
      </x:c>
      <x:c r="D2282" s="84" t="n">
        <x:f>C2282^2-'Resumen'!$B$5^3/3</x:f>
        <x:v>-0.3259645231734344</x:v>
      </x:c>
      <x:c r="E2282" s="85" t="n">
        <x:f>D2282+'Resumen'!$B$5^3/3</x:f>
        <x:v>0.007368810159898931</x:v>
      </x:c>
    </x:row>
    <x:row r="2283">
      <x:c r="A2283" s="89" t="n">
        <x:v>2281</x:v>
      </x:c>
      <x:c r="B2283" s="80" t="n">
        <x:v>0.36108218452881025</x:v>
      </x:c>
      <x:c r="C2283" s="84" t="n">
        <x:f>SQRT('Resumen'!$B$5^3/3)*B2283</x:f>
        <x:v>0.2084708964372867</x:v>
      </x:c>
      <x:c r="D2283" s="84" t="n">
        <x:f>C2283^2-'Resumen'!$B$5^3/3</x:f>
        <x:v>-0.2898732186719674</x:v>
      </x:c>
      <x:c r="E2283" s="85" t="n">
        <x:f>D2283+'Resumen'!$B$5^3/3</x:f>
        <x:v>0.0434601146613659</x:v>
      </x:c>
    </x:row>
    <x:row r="2284">
      <x:c r="A2284" s="89" t="n">
        <x:v>2282</x:v>
      </x:c>
      <x:c r="B2284" s="80" t="n">
        <x:v>-1.0936112699470586</x:v>
      </x:c>
      <x:c r="C2284" s="84" t="n">
        <x:f>SQRT('Resumen'!$B$5^3/3)*B2284</x:f>
        <x:v>-0.6313967610927428</x:v>
      </x:c>
      <x:c r="D2284" s="84" t="n">
        <x:f>C2284^2-'Resumen'!$B$5^3/3</x:f>
        <x:v>0.06532853658507282</x:v>
      </x:c>
      <x:c r="E2284" s="85" t="n">
        <x:f>D2284+'Resumen'!$B$5^3/3</x:f>
        <x:v>0.39866186991840613</x:v>
      </x:c>
    </x:row>
    <x:row r="2285">
      <x:c r="A2285" s="89" t="n">
        <x:v>2283</x:v>
      </x:c>
      <x:c r="B2285" s="80" t="n">
        <x:v>0.17573395635902284</x:v>
      </x:c>
      <x:c r="C2285" s="84" t="n">
        <x:f>SQRT('Resumen'!$B$5^3/3)*B2285</x:f>
        <x:v>0.10146004700963977</x:v>
      </x:c>
      <x:c r="D2285" s="84" t="n">
        <x:f>C2285^2-'Resumen'!$B$5^3/3</x:f>
        <x:v>-0.323039192194135</x:v>
      </x:c>
      <x:c r="E2285" s="85" t="n">
        <x:f>D2285+'Resumen'!$B$5^3/3</x:f>
        <x:v>0.010294141139198298</x:v>
      </x:c>
    </x:row>
    <x:row r="2286">
      <x:c r="A2286" s="89" t="n">
        <x:v>2284</x:v>
      </x:c>
      <x:c r="B2286" s="80" t="n">
        <x:v>0.25962342797766935</x:v>
      </x:c>
      <x:c r="C2286" s="84" t="n">
        <x:f>SQRT('Resumen'!$B$5^3/3)*B2286</x:f>
        <x:v>0.14989365603084082</x:v>
      </x:c>
      <x:c r="D2286" s="84" t="n">
        <x:f>C2286^2-'Resumen'!$B$5^3/3</x:f>
        <x:v>-0.3108652252150413</x:v>
      </x:c>
      <x:c r="E2286" s="85" t="n">
        <x:f>D2286+'Resumen'!$B$5^3/3</x:f>
        <x:v>0.02246810811829203</x:v>
      </x:c>
    </x:row>
    <x:row r="2287">
      <x:c r="A2287" s="89" t="n">
        <x:v>2285</x:v>
      </x:c>
      <x:c r="B2287" s="80" t="n">
        <x:v>0.45450830839617384</x:v>
      </x:c>
      <x:c r="C2287" s="84" t="n">
        <x:f>SQRT('Resumen'!$B$5^3/3)*B2287</x:f>
        <x:v>0.2624104942014524</x:v>
      </x:c>
      <x:c r="D2287" s="84" t="n">
        <x:f>C2287^2-'Resumen'!$B$5^3/3</x:f>
        <x:v>-0.26447406586628286</x:v>
      </x:c>
      <x:c r="E2287" s="85" t="n">
        <x:f>D2287+'Resumen'!$B$5^3/3</x:f>
        <x:v>0.06885926746705046</x:v>
      </x:c>
    </x:row>
    <x:row r="2288">
      <x:c r="A2288" s="89" t="n">
        <x:v>2286</x:v>
      </x:c>
      <x:c r="B2288" s="80" t="n">
        <x:v>0.9007385199368666</x:v>
      </x:c>
      <x:c r="C2288" s="84" t="n">
        <x:f>SQRT('Resumen'!$B$5^3/3)*B2288</x:f>
        <x:v>0.520041626955015</x:v>
      </x:c>
      <x:c r="D2288" s="84" t="n">
        <x:f>C2288^2-'Resumen'!$B$5^3/3</x:f>
        <x:v>-0.06289003956731432</x:v>
      </x:c>
      <x:c r="E2288" s="85" t="n">
        <x:f>D2288+'Resumen'!$B$5^3/3</x:f>
        <x:v>0.270443293766019</x:v>
      </x:c>
    </x:row>
    <x:row r="2289">
      <x:c r="A2289" s="89" t="n">
        <x:v>2287</x:v>
      </x:c>
      <x:c r="B2289" s="80" t="n">
        <x:v>0.9495869116251582</x:v>
      </x:c>
      <x:c r="C2289" s="84" t="n">
        <x:f>SQRT('Resumen'!$B$5^3/3)*B2289</x:f>
        <x:v>0.5482442590457304</x:v>
      </x:c>
      <x:c r="D2289" s="84" t="n">
        <x:f>C2289^2-'Resumen'!$B$5^3/3</x:f>
        <x:v>-0.03276156575673139</x:v>
      </x:c>
      <x:c r="E2289" s="85" t="n">
        <x:f>D2289+'Resumen'!$B$5^3/3</x:f>
        <x:v>0.3005717675766019</x:v>
      </x:c>
    </x:row>
    <x:row r="2290">
      <x:c r="A2290" s="89" t="n">
        <x:v>2288</x:v>
      </x:c>
      <x:c r="B2290" s="80" t="n">
        <x:v>0.38470454406300314</x:v>
      </x:c>
      <x:c r="C2290" s="84" t="n">
        <x:f>SQRT('Resumen'!$B$5^3/3)*B2290</x:f>
        <x:v>0.2221092720732471</x:v>
      </x:c>
      <x:c r="D2290" s="84" t="n">
        <x:f>C2290^2-'Resumen'!$B$5^3/3</x:f>
        <x:v>-0.2840008045924256</x:v>
      </x:c>
      <x:c r="E2290" s="85" t="n">
        <x:f>D2290+'Resumen'!$B$5^3/3</x:f>
        <x:v>0.04933252874090771</x:v>
      </x:c>
    </x:row>
    <x:row r="2291">
      <x:c r="A2291" s="89" t="n">
        <x:v>2289</x:v>
      </x:c>
      <x:c r="B2291" s="80" t="n">
        <x:v>1.2252802180716533</x:v>
      </x:c>
      <x:c r="C2291" s="84" t="n">
        <x:f>SQRT('Resumen'!$B$5^3/3)*B2291</x:f>
        <x:v>0.7074158637363923</x:v>
      </x:c>
      <x:c r="D2291" s="84" t="n">
        <x:f>C2291^2-'Resumen'!$B$5^3/3</x:f>
        <x:v>0.16710387093257267</x:v>
      </x:c>
      <x:c r="E2291" s="85" t="n">
        <x:f>D2291+'Resumen'!$B$5^3/3</x:f>
        <x:v>0.500437204265906</x:v>
      </x:c>
    </x:row>
    <x:row r="2292">
      <x:c r="A2292" s="89" t="n">
        <x:v>2290</x:v>
      </x:c>
      <x:c r="B2292" s="80" t="n">
        <x:v>-0.5207738985246025</x:v>
      </x:c>
      <x:c r="C2292" s="84" t="n">
        <x:f>SQRT('Resumen'!$B$5^3/3)*B2292</x:f>
        <x:v>-0.3006689505001101</x:v>
      </x:c>
      <x:c r="D2292" s="84" t="n">
        <x:f>C2292^2-'Resumen'!$B$5^3/3</x:f>
        <x:v>-0.24293151553849565</x:v>
      </x:c>
      <x:c r="E2292" s="85" t="n">
        <x:f>D2292+'Resumen'!$B$5^3/3</x:f>
        <x:v>0.09040181779483766</x:v>
      </x:c>
    </x:row>
    <x:row r="2293">
      <x:c r="A2293" s="89" t="n">
        <x:v>2291</x:v>
      </x:c>
      <x:c r="B2293" s="80" t="n">
        <x:v>1.2902951602807575</x:v>
      </x:c>
      <x:c r="C2293" s="84" t="n">
        <x:f>SQRT('Resumen'!$B$5^3/3)*B2293</x:f>
        <x:v>0.7449522581221666</x:v>
      </x:c>
      <x:c r="D2293" s="84" t="n">
        <x:f>C2293^2-'Resumen'!$B$5^3/3</x:f>
        <x:v>0.22162053354798178</x:v>
      </x:c>
      <x:c r="E2293" s="85" t="n">
        <x:f>D2293+'Resumen'!$B$5^3/3</x:f>
        <x:v>0.5549538668813151</x:v>
      </x:c>
    </x:row>
    <x:row r="2294">
      <x:c r="A2294" s="89" t="n">
        <x:v>2292</x:v>
      </x:c>
      <x:c r="B2294" s="80" t="n">
        <x:v>0.09226777048813191</x:v>
      </x:c>
      <x:c r="C2294" s="84" t="n">
        <x:f>SQRT('Resumen'!$B$5^3/3)*B2294</x:f>
        <x:v>0.053270822128849565</x:v>
      </x:c>
      <x:c r="D2294" s="84" t="n">
        <x:f>C2294^2-'Resumen'!$B$5^3/3</x:f>
        <x:v>-0.33049555284304977</x:v>
      </x:c>
      <x:c r="E2294" s="85" t="n">
        <x:f>D2294+'Resumen'!$B$5^3/3</x:f>
        <x:v>0.002837780490283548</x:v>
      </x:c>
    </x:row>
    <x:row r="2295">
      <x:c r="A2295" s="89" t="n">
        <x:v>2293</x:v>
      </x:c>
      <x:c r="B2295" s="80" t="n">
        <x:v>-0.28424311569171284</x:v>
      </x:c>
      <x:c r="C2295" s="84" t="n">
        <x:f>SQRT('Resumen'!$B$5^3/3)*B2295</x:f>
        <x:v>-0.16410783935990833</x:v>
      </x:c>
      <x:c r="D2295" s="84" t="n">
        <x:f>C2295^2-'Resumen'!$B$5^3/3</x:f>
        <x:v>-0.30640195039395585</x:v>
      </x:c>
      <x:c r="E2295" s="85" t="n">
        <x:f>D2295+'Resumen'!$B$5^3/3</x:f>
        <x:v>0.02693138293937747</x:v>
      </x:c>
    </x:row>
    <x:row r="2296">
      <x:c r="A2296" s="89" t="n">
        <x:v>2294</x:v>
      </x:c>
      <x:c r="B2296" s="80" t="n">
        <x:v>0.48310283236764395</x:v>
      </x:c>
      <x:c r="C2296" s="84" t="n">
        <x:f>SQRT('Resumen'!$B$5^3/3)*B2296</x:f>
        <x:v>0.2789195503137299</x:v>
      </x:c>
      <x:c r="D2296" s="84" t="n">
        <x:f>C2296^2-'Resumen'!$B$5^3/3</x:f>
        <x:v>-0.25553721778612004</x:v>
      </x:c>
      <x:c r="E2296" s="85" t="n">
        <x:f>D2296+'Resumen'!$B$5^3/3</x:f>
        <x:v>0.07779611554721327</x:v>
      </x:c>
    </x:row>
    <x:row r="2297">
      <x:c r="A2297" s="89" t="n">
        <x:v>2295</x:v>
      </x:c>
      <x:c r="B2297" s="80" t="n">
        <x:v>1.4805155122803513</x:v>
      </x:c>
      <x:c r="C2297" s="84" t="n">
        <x:f>SQRT('Resumen'!$B$5^3/3)*B2297</x:f>
        <x:v>0.8547760295544774</x:v>
      </x:c>
      <x:c r="D2297" s="84" t="n">
        <x:f>C2297^2-'Resumen'!$B$5^3/3</x:f>
        <x:v>0.39730872736758355</x:v>
      </x:c>
      <x:c r="E2297" s="85" t="n">
        <x:f>D2297+'Resumen'!$B$5^3/3</x:f>
        <x:v>0.7306420607009169</x:v>
      </x:c>
    </x:row>
    <x:row r="2298">
      <x:c r="A2298" s="89" t="n">
        <x:v>2296</x:v>
      </x:c>
      <x:c r="B2298" s="80" t="n">
        <x:v>0.05030526208441682</x:v>
      </x:c>
      <x:c r="C2298" s="84" t="n">
        <x:f>SQRT('Resumen'!$B$5^3/3)*B2298</x:f>
        <x:v>0.02904375660609272</x:v>
      </x:c>
      <x:c r="D2298" s="84" t="n">
        <x:f>C2298^2-'Resumen'!$B$5^3/3</x:f>
        <x:v>-0.33248979353553937</x:v>
      </x:c>
      <x:c r="E2298" s="85" t="n">
        <x:f>D2298+'Resumen'!$B$5^3/3</x:f>
        <x:v>0.0008435397977939463</x:v>
      </x:c>
    </x:row>
    <x:row r="2299">
      <x:c r="A2299" s="89" t="n">
        <x:v>2297</x:v>
      </x:c>
      <x:c r="B2299" s="80" t="n">
        <x:v>0.11546491780964564</x:v>
      </x:c>
      <x:c r="C2299" s="84" t="n">
        <x:f>SQRT('Resumen'!$B$5^3/3)*B2299</x:f>
        <x:v>0.06666370137935693</x:v>
      </x:c>
      <x:c r="D2299" s="84" t="n">
        <x:f>C2299^2-'Resumen'!$B$5^3/3</x:f>
        <x:v>-0.32888928425173725</x:v>
      </x:c>
      <x:c r="E2299" s="85" t="n">
        <x:f>D2299+'Resumen'!$B$5^3/3</x:f>
        <x:v>0.004444049081596069</x:v>
      </x:c>
    </x:row>
    <x:row r="2300">
      <x:c r="A2300" s="89" t="n">
        <x:v>2298</x:v>
      </x:c>
      <x:c r="B2300" s="80" t="n">
        <x:v>0.7979835576131433</x:v>
      </x:c>
      <x:c r="C2300" s="84" t="n">
        <x:f>SQRT('Resumen'!$B$5^3/3)*B2300</x:f>
        <x:v>0.4607160217968435</x:v>
      </x:c>
      <x:c r="D2300" s="84" t="n">
        <x:f>C2300^2-'Resumen'!$B$5^3/3</x:f>
        <x:v>-0.12107408059302374</x:v>
      </x:c>
      <x:c r="E2300" s="85" t="n">
        <x:f>D2300+'Resumen'!$B$5^3/3</x:f>
        <x:v>0.21225925274030957</x:v>
      </x:c>
    </x:row>
    <x:row r="2301">
      <x:c r="A2301" s="89" t="n">
        <x:v>2299</x:v>
      </x:c>
      <x:c r="B2301" s="80" t="n">
        <x:v>-0.34213218134932705</x:v>
      </x:c>
      <x:c r="C2301" s="84" t="n">
        <x:f>SQRT('Resumen'!$B$5^3/3)*B2301</x:f>
        <x:v>-0.19753010700046783</x:v>
      </x:c>
      <x:c r="D2301" s="84" t="n">
        <x:f>C2301^2-'Resumen'!$B$5^3/3</x:f>
        <x:v>-0.29431519016171703</x:v>
      </x:c>
      <x:c r="E2301" s="85" t="n">
        <x:f>D2301+'Resumen'!$B$5^3/3</x:f>
        <x:v>0.03901814317161628</x:v>
      </x:c>
    </x:row>
    <x:row r="2302">
      <x:c r="A2302" s="89" t="n">
        <x:v>2300</x:v>
      </x:c>
      <x:c r="B2302" s="80" t="n">
        <x:v>0.8894255655375257</x:v>
      </x:c>
      <x:c r="C2302" s="84" t="n">
        <x:f>SQRT('Resumen'!$B$5^3/3)*B2302</x:f>
        <x:v>0.5135100896872256</x:v>
      </x:c>
      <x:c r="D2302" s="84" t="n">
        <x:f>C2302^2-'Resumen'!$B$5^3/3</x:f>
        <x:v>-0.06964072112275088</x:v>
      </x:c>
      <x:c r="E2302" s="85" t="n">
        <x:f>D2302+'Resumen'!$B$5^3/3</x:f>
        <x:v>0.26369261221058243</x:v>
      </x:c>
    </x:row>
    <x:row r="2303">
      <x:c r="A2303" s="89" t="n">
        <x:v>2301</x:v>
      </x:c>
      <x:c r="B2303" s="80" t="n">
        <x:v>0.053596447541617</x:v>
      </x:c>
      <x:c r="C2303" s="84" t="n">
        <x:f>SQRT('Resumen'!$B$5^3/3)*B2303</x:f>
        <x:v>0.03094392341576023</x:v>
      </x:c>
      <x:c r="D2303" s="84" t="n">
        <x:f>C2303^2-'Resumen'!$B$5^3/3</x:f>
        <x:v>-0.3323758069369729</x:v>
      </x:c>
      <x:c r="E2303" s="85" t="n">
        <x:f>D2303+'Resumen'!$B$5^3/3</x:f>
        <x:v>0.0009575263963604308</x:v>
      </x:c>
    </x:row>
    <x:row r="2304">
      <x:c r="A2304" s="89" t="n">
        <x:v>2302</x:v>
      </x:c>
      <x:c r="B2304" s="80" t="n">
        <x:v>-1.3053448987757859</x:v>
      </x:c>
      <x:c r="C2304" s="84" t="n">
        <x:f>SQRT('Resumen'!$B$5^3/3)*B2304</x:f>
        <x:v>-0.7536412286935047</x:v>
      </x:c>
      <x:c r="D2304" s="84" t="n">
        <x:f>C2304^2-'Resumen'!$B$5^3/3</x:f>
        <x:v>0.2346417682533221</x:v>
      </x:c>
      <x:c r="E2304" s="85" t="n">
        <x:f>D2304+'Resumen'!$B$5^3/3</x:f>
        <x:v>0.5679751015866554</x:v>
      </x:c>
    </x:row>
    <x:row r="2305">
      <x:c r="A2305" s="89" t="n">
        <x:v>2303</x:v>
      </x:c>
      <x:c r="B2305" s="80" t="n">
        <x:v>-1.1980440482311754</x:v>
      </x:c>
      <x:c r="C2305" s="84" t="n">
        <x:f>SQRT('Resumen'!$B$5^3/3)*B2305</x:f>
        <x:v>-0.6916910537472981</x:v>
      </x:c>
      <x:c r="D2305" s="84" t="n">
        <x:f>C2305^2-'Resumen'!$B$5^3/3</x:f>
        <x:v>0.14510318050071436</x:v>
      </x:c>
      <x:c r="E2305" s="85" t="n">
        <x:f>D2305+'Resumen'!$B$5^3/3</x:f>
        <x:v>0.47843651383404767</x:v>
      </x:c>
    </x:row>
    <x:row r="2306">
      <x:c r="A2306" s="89" t="n">
        <x:v>2304</x:v>
      </x:c>
      <x:c r="B2306" s="80" t="n">
        <x:v>-0.12453190170267536</x:v>
      </x:c>
      <x:c r="C2306" s="84" t="n">
        <x:f>SQRT('Resumen'!$B$5^3/3)*B2306</x:f>
        <x:v>-0.07189852697073564</x:v>
      </x:c>
      <x:c r="D2306" s="84" t="n">
        <x:f>C2306^2-'Resumen'!$B$5^3/3</x:f>
        <x:v>-0.3281639351527717</x:v>
      </x:c>
      <x:c r="E2306" s="85" t="n">
        <x:f>D2306+'Resumen'!$B$5^3/3</x:f>
        <x:v>0.005169398180561613</x:v>
      </x:c>
    </x:row>
    <x:row r="2307">
      <x:c r="A2307" s="89" t="n">
        <x:v>2305</x:v>
      </x:c>
      <x:c r="B2307" s="80" t="n">
        <x:v>0.6042497524409223</x:v>
      </x:c>
      <x:c r="C2307" s="84" t="n">
        <x:f>SQRT('Resumen'!$B$5^3/3)*B2307</x:f>
        <x:v>0.34886375722953117</x:v>
      </x:c>
      <x:c r="D2307" s="84" t="n">
        <x:f>C2307^2-'Resumen'!$B$5^3/3</x:f>
        <x:v>-0.21162741222502807</x:v>
      </x:c>
      <x:c r="E2307" s="85" t="n">
        <x:f>D2307+'Resumen'!$B$5^3/3</x:f>
        <x:v>0.12170592110830525</x:v>
      </x:c>
    </x:row>
    <x:row r="2308">
      <x:c r="A2308" s="89" t="n">
        <x:v>2306</x:v>
      </x:c>
      <x:c r="B2308" s="80" t="n">
        <x:v>0.301814759286636</x:v>
      </x:c>
      <x:c r="C2308" s="84" t="n">
        <x:f>SQRT('Resumen'!$B$5^3/3)*B2308</x:f>
        <x:v>0.17425283251954138</x:v>
      </x:c>
      <x:c r="D2308" s="84" t="n">
        <x:f>C2308^2-'Resumen'!$B$5^3/3</x:f>
        <x:v>-0.30296928369224996</x:v>
      </x:c>
      <x:c r="E2308" s="85" t="n">
        <x:f>D2308+'Resumen'!$B$5^3/3</x:f>
        <x:v>0.030364049641083357</x:v>
      </x:c>
    </x:row>
    <x:row r="2309">
      <x:c r="A2309" s="89" t="n">
        <x:v>2307</x:v>
      </x:c>
      <x:c r="B2309" s="80" t="n">
        <x:v>-0.21589841714141633</x:v>
      </x:c>
      <x:c r="C2309" s="84" t="n">
        <x:f>SQRT('Resumen'!$B$5^3/3)*B2309</x:f>
        <x:v>-0.12464900925421082</x:v>
      </x:c>
      <x:c r="D2309" s="84" t="n">
        <x:f>C2309^2-'Resumen'!$B$5^3/3</x:f>
        <x:v>-0.317795957825277</x:v>
      </x:c>
      <x:c r="E2309" s="85" t="n">
        <x:f>D2309+'Resumen'!$B$5^3/3</x:f>
        <x:v>0.01553737550805634</x:v>
      </x:c>
    </x:row>
    <x:row r="2310">
      <x:c r="A2310" s="89" t="n">
        <x:v>2308</x:v>
      </x:c>
      <x:c r="B2310" s="80" t="n">
        <x:v>-0.6021487459372868</x:v>
      </x:c>
      <x:c r="C2310" s="84" t="n">
        <x:f>SQRT('Resumen'!$B$5^3/3)*B2310</x:f>
        <x:v>-0.3476507405590881</x:v>
      </x:c>
      <x:c r="D2310" s="84" t="n">
        <x:f>C2310^2-'Resumen'!$B$5^3/3</x:f>
        <x:v>-0.2124722959220509</x:v>
      </x:c>
      <x:c r="E2310" s="85" t="n">
        <x:f>D2310+'Resumen'!$B$5^3/3</x:f>
        <x:v>0.1208610374112824</x:v>
      </x:c>
    </x:row>
    <x:row r="2311">
      <x:c r="A2311" s="89" t="n">
        <x:v>2309</x:v>
      </x:c>
      <x:c r="B2311" s="80" t="n">
        <x:v>1.6450073334771138</x:v>
      </x:c>
      <x:c r="C2311" s="84" t="n">
        <x:f>SQRT('Resumen'!$B$5^3/3)*B2311</x:f>
        <x:v>0.9497454268019201</x:v>
      </x:c>
      <x:c r="D2311" s="84" t="n">
        <x:f>C2311^2-'Resumen'!$B$5^3/3</x:f>
        <x:v>0.568683042397828</x:v>
      </x:c>
      <x:c r="E2311" s="85" t="n">
        <x:f>D2311+'Resumen'!$B$5^3/3</x:f>
        <x:v>0.9020163757311612</x:v>
      </x:c>
    </x:row>
    <x:row r="2312">
      <x:c r="A2312" s="89" t="n">
        <x:v>2310</x:v>
      </x:c>
      <x:c r="B2312" s="80" t="n">
        <x:v>0.3047049195400247</x:v>
      </x:c>
      <x:c r="C2312" s="84" t="n">
        <x:f>SQRT('Resumen'!$B$5^3/3)*B2312</x:f>
        <x:v>0.17592146731983652</x:v>
      </x:c>
      <x:c r="D2312" s="84" t="n">
        <x:f>C2312^2-'Resumen'!$B$5^3/3</x:f>
        <x:v>-0.302384970669369</x:v>
      </x:c>
      <x:c r="E2312" s="85" t="n">
        <x:f>D2312+'Resumen'!$B$5^3/3</x:f>
        <x:v>0.030948362663964335</x:v>
      </x:c>
    </x:row>
    <x:row r="2313">
      <x:c r="A2313" s="89" t="n">
        <x:v>2311</x:v>
      </x:c>
      <x:c r="B2313" s="80" t="n">
        <x:v>0.6661315345935163</x:v>
      </x:c>
      <x:c r="C2313" s="84" t="n">
        <x:f>SQRT('Resumen'!$B$5^3/3)*B2313</x:f>
        <x:v>0.3845912208132651</x:v>
      </x:c>
      <x:c r="D2313" s="84" t="n">
        <x:f>C2313^2-'Resumen'!$B$5^3/3</x:f>
        <x:v>-0.1854229262066957</x:v>
      </x:c>
      <x:c r="E2313" s="85" t="n">
        <x:f>D2313+'Resumen'!$B$5^3/3</x:f>
        <x:v>0.1479104071266376</x:v>
      </x:c>
    </x:row>
    <x:row r="2314">
      <x:c r="A2314" s="89" t="n">
        <x:v>2312</x:v>
      </x:c>
      <x:c r="B2314" s="80" t="n">
        <x:v>-1.2005628855960229</x:v>
      </x:c>
      <x:c r="C2314" s="84" t="n">
        <x:f>SQRT('Resumen'!$B$5^3/3)*B2314</x:f>
        <x:v>-0.6931453051779376</x:v>
      </x:c>
      <x:c r="D2314" s="84" t="n">
        <x:f>C2314^2-'Resumen'!$B$5^3/3</x:f>
        <x:v>0.14711708075688296</x:v>
      </x:c>
      <x:c r="E2314" s="85" t="n">
        <x:f>D2314+'Resumen'!$B$5^3/3</x:f>
        <x:v>0.48045041409021627</x:v>
      </x:c>
    </x:row>
    <x:row r="2315">
      <x:c r="A2315" s="89" t="n">
        <x:v>2313</x:v>
      </x:c>
      <x:c r="B2315" s="80" t="n">
        <x:v>1.693296161875486</x:v>
      </x:c>
      <x:c r="C2315" s="84" t="n">
        <x:f>SQRT('Resumen'!$B$5^3/3)*B2315</x:f>
        <x:v>0.977624994876572</x:v>
      </x:c>
      <x:c r="D2315" s="84" t="n">
        <x:f>C2315^2-'Resumen'!$B$5^3/3</x:f>
        <x:v>0.622417297274084</x:v>
      </x:c>
      <x:c r="E2315" s="85" t="n">
        <x:f>D2315+'Resumen'!$B$5^3/3</x:f>
        <x:v>0.9557506306074173</x:v>
      </x:c>
    </x:row>
    <x:row r="2316">
      <x:c r="A2316" s="89" t="n">
        <x:v>2314</x:v>
      </x:c>
      <x:c r="B2316" s="80" t="n">
        <x:v>0.8338956759681319</x:v>
      </x:c>
      <x:c r="C2316" s="84" t="n">
        <x:f>SQRT('Resumen'!$B$5^3/3)*B2316</x:f>
        <x:v>0.48144989299626584</x:v>
      </x:c>
      <x:c r="D2316" s="84" t="n">
        <x:f>C2316^2-'Resumen'!$B$5^3/3</x:f>
        <x:v>-0.1015393338672175</x:v>
      </x:c>
      <x:c r="E2316" s="85" t="n">
        <x:f>D2316+'Resumen'!$B$5^3/3</x:f>
        <x:v>0.2317939994661158</x:v>
      </x:c>
    </x:row>
    <x:row r="2317">
      <x:c r="A2317" s="89" t="n">
        <x:v>2315</x:v>
      </x:c>
      <x:c r="B2317" s="80" t="n">
        <x:v>0.12713630236681792</x:v>
      </x:c>
      <x:c r="C2317" s="84" t="n">
        <x:f>SQRT('Resumen'!$B$5^3/3)*B2317</x:f>
        <x:v>0.07340217839525598</x:v>
      </x:c>
      <x:c r="D2317" s="84" t="n">
        <x:f>C2317^2-'Resumen'!$B$5^3/3</x:f>
        <x:v>-0.32794545354016436</x:v>
      </x:c>
      <x:c r="E2317" s="85" t="n">
        <x:f>D2317+'Resumen'!$B$5^3/3</x:f>
        <x:v>0.005387879793168959</x:v>
      </x:c>
    </x:row>
    <x:row r="2318">
      <x:c r="A2318" s="89" t="n">
        <x:v>2316</x:v>
      </x:c>
      <x:c r="B2318" s="80" t="n">
        <x:v>-0.11947202713208577</x:v>
      </x:c>
      <x:c r="C2318" s="84" t="n">
        <x:f>SQRT('Resumen'!$B$5^3/3)*B2318</x:f>
        <x:v>-0.06897720702533999</x:v>
      </x:c>
      <x:c r="D2318" s="84" t="n">
        <x:f>C2318^2-'Resumen'!$B$5^3/3</x:f>
        <x:v>-0.3285754782443167</x:v>
      </x:c>
      <x:c r="E2318" s="85" t="n">
        <x:f>D2318+'Resumen'!$B$5^3/3</x:f>
        <x:v>0.004757855089016605</x:v>
      </x:c>
    </x:row>
    <x:row r="2319">
      <x:c r="A2319" s="89" t="n">
        <x:v>2317</x:v>
      </x:c>
      <x:c r="B2319" s="80" t="n">
        <x:v>1.2343061591241578</x:v>
      </x:c>
      <x:c r="C2319" s="84" t="n">
        <x:f>SQRT('Resumen'!$B$5^3/3)*B2319</x:f>
        <x:v>0.7126269932327455</x:v>
      </x:c>
      <x:c r="D2319" s="84" t="n">
        <x:f>C2319^2-'Resumen'!$B$5^3/3</x:f>
        <x:v>0.17450389815061013</x:v>
      </x:c>
      <x:c r="E2319" s="85" t="n">
        <x:f>D2319+'Resumen'!$B$5^3/3</x:f>
        <x:v>0.5078372314839434</x:v>
      </x:c>
    </x:row>
    <x:row r="2320">
      <x:c r="A2320" s="89" t="n">
        <x:v>2318</x:v>
      </x:c>
      <x:c r="B2320" s="80" t="n">
        <x:v>-1.469649012907361</x:v>
      </x:c>
      <x:c r="C2320" s="84" t="n">
        <x:f>SQRT('Resumen'!$B$5^3/3)*B2320</x:f>
        <x:v>-0.8485022532163325</x:v>
      </x:c>
      <x:c r="D2320" s="84" t="n">
        <x:f>C2320^2-'Resumen'!$B$5^3/3</x:f>
        <x:v>0.38662274037986005</x:v>
      </x:c>
      <x:c r="E2320" s="85" t="n">
        <x:f>D2320+'Resumen'!$B$5^3/3</x:f>
        <x:v>0.7199560737131934</x:v>
      </x:c>
    </x:row>
    <x:row r="2321">
      <x:c r="A2321" s="89" t="n">
        <x:v>2319</x:v>
      </x:c>
      <x:c r="B2321" s="80" t="n">
        <x:v>-0.3503914075749956</x:v>
      </x:c>
      <x:c r="C2321" s="84" t="n">
        <x:f>SQRT('Resumen'!$B$5^3/3)*B2321</x:f>
        <x:v>-0.20229857348515556</x:v>
      </x:c>
      <x:c r="D2321" s="84" t="n">
        <x:f>C2321^2-'Resumen'!$B$5^3/3</x:f>
        <x:v>-0.2924086204992044</x:v>
      </x:c>
      <x:c r="E2321" s="85" t="n">
        <x:f>D2321+'Resumen'!$B$5^3/3</x:f>
        <x:v>0.04092471283412891</x:v>
      </x:c>
    </x:row>
    <x:row r="2322">
      <x:c r="A2322" s="89" t="n">
        <x:v>2320</x:v>
      </x:c>
      <x:c r="B2322" s="80" t="n">
        <x:v>-1.5456282186019525</x:v>
      </x:c>
      <x:c r="C2322" s="84" t="n">
        <x:f>SQRT('Resumen'!$B$5^3/3)*B2322</x:f>
        <x:v>-0.892368868076919</x:v>
      </x:c>
      <x:c r="D2322" s="84" t="n">
        <x:f>C2322^2-'Resumen'!$B$5^3/3</x:f>
        <x:v>0.4629888633795483</x:v>
      </x:c>
      <x:c r="E2322" s="85" t="n">
        <x:f>D2322+'Resumen'!$B$5^3/3</x:f>
        <x:v>0.7963221967128816</x:v>
      </x:c>
    </x:row>
    <x:row r="2323">
      <x:c r="A2323" s="89" t="n">
        <x:v>2321</x:v>
      </x:c>
      <x:c r="B2323" s="80" t="n">
        <x:v>-1.3682925694853751</x:v>
      </x:c>
      <x:c r="C2323" s="84" t="n">
        <x:f>SQRT('Resumen'!$B$5^3/3)*B2323</x:f>
        <x:v>-0.789984083322546</x:v>
      </x:c>
      <x:c r="D2323" s="84" t="n">
        <x:f>C2323^2-'Resumen'!$B$5^3/3</x:f>
        <x:v>0.29074151856963</x:v>
      </x:c>
      <x:c r="E2323" s="85" t="n">
        <x:f>D2323+'Resumen'!$B$5^3/3</x:f>
        <x:v>0.6240748519029633</x:v>
      </x:c>
    </x:row>
    <x:row r="2324">
      <x:c r="A2324" s="89" t="n">
        <x:v>2322</x:v>
      </x:c>
      <x:c r="B2324" s="80" t="n">
        <x:v>1.8055072126148242</x:v>
      </x:c>
      <x:c r="C2324" s="84" t="n">
        <x:f>SQRT('Resumen'!$B$5^3/3)*B2324</x:f>
        <x:v>1.0424100752269796</x:v>
      </x:c>
      <x:c r="D2324" s="84" t="n">
        <x:f>C2324^2-'Resumen'!$B$5^3/3</x:f>
        <x:v>0.753285431601384</x:v>
      </x:c>
      <x:c r="E2324" s="85" t="n">
        <x:f>D2324+'Resumen'!$B$5^3/3</x:f>
        <x:v>1.0866187649347172</x:v>
      </x:c>
    </x:row>
    <x:row r="2325">
      <x:c r="A2325" s="89" t="n">
        <x:v>2323</x:v>
      </x:c>
      <x:c r="B2325" s="80" t="n">
        <x:v>-1.3536658320734487</x:v>
      </x:c>
      <x:c r="C2325" s="84" t="n">
        <x:f>SQRT('Resumen'!$B$5^3/3)*B2325</x:f>
        <x:v>-0.7815393325404043</x:v>
      </x:c>
      <x:c r="D2325" s="84" t="n">
        <x:f>C2325^2-'Resumen'!$B$5^3/3</x:f>
        <x:v>0.2774703949743674</x:v>
      </x:c>
      <x:c r="E2325" s="85" t="n">
        <x:f>D2325+'Resumen'!$B$5^3/3</x:f>
        <x:v>0.6108037283077007</x:v>
      </x:c>
    </x:row>
    <x:row r="2326">
      <x:c r="A2326" s="89" t="n">
        <x:v>2324</x:v>
      </x:c>
      <x:c r="B2326" s="80" t="n">
        <x:v>-0.6324446447833127</x:v>
      </x:c>
      <x:c r="C2326" s="84" t="n">
        <x:f>SQRT('Resumen'!$B$5^3/3)*B2326</x:f>
        <x:v>-0.36514208591318287</x:v>
      </x:c>
      <x:c r="D2326" s="84" t="n">
        <x:f>C2326^2-'Resumen'!$B$5^3/3</x:f>
        <x:v>-0.2000045904283031</x:v>
      </x:c>
      <x:c r="E2326" s="85" t="n">
        <x:f>D2326+'Resumen'!$B$5^3/3</x:f>
        <x:v>0.13332874290503022</x:v>
      </x:c>
    </x:row>
    <x:row r="2327">
      <x:c r="A2327" s="89" t="n">
        <x:v>2325</x:v>
      </x:c>
      <x:c r="B2327" s="80" t="n">
        <x:v>-1.3911452956396488</x:v>
      </x:c>
      <x:c r="C2327" s="84" t="n">
        <x:f>SQRT('Resumen'!$B$5^3/3)*B2327</x:f>
        <x:v>-0.8031781109194327</x:v>
      </x:c>
      <x:c r="D2327" s="84" t="n">
        <x:f>C2327^2-'Resumen'!$B$5^3/3</x:f>
        <x:v>0.31176174452677524</x:v>
      </x:c>
      <x:c r="E2327" s="85" t="n">
        <x:f>D2327+'Resumen'!$B$5^3/3</x:f>
        <x:v>0.6450950778601086</x:v>
      </x:c>
    </x:row>
    <x:row r="2328">
      <x:c r="A2328" s="89" t="n">
        <x:v>2326</x:v>
      </x:c>
      <x:c r="B2328" s="80" t="n">
        <x:v>-0.6589266667699692</x:v>
      </x:c>
      <x:c r="C2328" s="84" t="n">
        <x:f>SQRT('Resumen'!$B$5^3/3)*B2328</x:f>
        <x:v>-0.38043148843586455</x:v>
      </x:c>
      <x:c r="D2328" s="84" t="n">
        <x:f>C2328^2-'Resumen'!$B$5^3/3</x:f>
        <x:v>-0.18860521593980598</x:v>
      </x:c>
      <x:c r="E2328" s="85" t="n">
        <x:f>D2328+'Resumen'!$B$5^3/3</x:f>
        <x:v>0.14472811739352734</x:v>
      </x:c>
    </x:row>
    <x:row r="2329">
      <x:c r="A2329" s="89" t="n">
        <x:v>2327</x:v>
      </x:c>
      <x:c r="B2329" s="80" t="n">
        <x:v>-0.4088599769047755</x:v>
      </x:c>
      <x:c r="C2329" s="84" t="n">
        <x:f>SQRT('Resumen'!$B$5^3/3)*B2329</x:f>
        <x:v>-0.23605541772683628</x:v>
      </x:c>
      <x:c r="D2329" s="84" t="n">
        <x:f>C2329^2-'Resumen'!$B$5^3/3</x:f>
        <x:v>-0.27761117309514216</x:v>
      </x:c>
      <x:c r="E2329" s="85" t="n">
        <x:f>D2329+'Resumen'!$B$5^3/3</x:f>
        <x:v>0.055722160238191154</x:v>
      </x:c>
    </x:row>
    <x:row r="2330">
      <x:c r="A2330" s="89" t="n">
        <x:v>2328</x:v>
      </x:c>
      <x:c r="B2330" s="80" t="n">
        <x:v>1.1453010381818347</x:v>
      </x:c>
      <x:c r="C2330" s="84" t="n">
        <x:f>SQRT('Resumen'!$B$5^3/3)*B2330</x:f>
        <x:v>0.6612398626974401</x:v>
      </x:c>
      <x:c r="D2330" s="84" t="n">
        <x:f>C2330^2-'Resumen'!$B$5^3/3</x:f>
        <x:v>0.10390482268679607</x:v>
      </x:c>
      <x:c r="E2330" s="85" t="n">
        <x:f>D2330+'Resumen'!$B$5^3/3</x:f>
        <x:v>0.4372381560201294</x:v>
      </x:c>
    </x:row>
    <x:row r="2331">
      <x:c r="A2331" s="89" t="n">
        <x:v>2329</x:v>
      </x:c>
      <x:c r="B2331" s="80" t="n">
        <x:v>-0.25442271890265195</x:v>
      </x:c>
      <x:c r="C2331" s="84" t="n">
        <x:f>SQRT('Resumen'!$B$5^3/3)*B2331</x:f>
        <x:v>-0.14689102524640257</x:v>
      </x:c>
      <x:c r="D2331" s="84" t="n">
        <x:f>C2331^2-'Resumen'!$B$5^3/3</x:f>
        <x:v>-0.31175636003539403</x:v>
      </x:c>
      <x:c r="E2331" s="85" t="n">
        <x:f>D2331+'Resumen'!$B$5^3/3</x:f>
        <x:v>0.021576973297939284</x:v>
      </x:c>
    </x:row>
    <x:row r="2332">
      <x:c r="A2332" s="89" t="n">
        <x:v>2330</x:v>
      </x:c>
      <x:c r="B2332" s="80" t="n">
        <x:v>0.8797901841223422</x:v>
      </x:c>
      <x:c r="C2332" s="84" t="n">
        <x:f>SQRT('Resumen'!$B$5^3/3)*B2332</x:f>
        <x:v>0.5079470996334247</x:v>
      </x:c>
      <x:c r="D2332" s="84" t="n">
        <x:f>C2332^2-'Resumen'!$B$5^3/3</x:f>
        <x:v>-0.07532307730732507</x:v>
      </x:c>
      <x:c r="E2332" s="85" t="n">
        <x:f>D2332+'Resumen'!$B$5^3/3</x:f>
        <x:v>0.25801025602600824</x:v>
      </x:c>
    </x:row>
    <x:row r="2333">
      <x:c r="A2333" s="89" t="n">
        <x:v>2331</x:v>
      </x:c>
      <x:c r="B2333" s="80" t="n">
        <x:v>1.1095902163378135</x:v>
      </x:c>
      <x:c r="C2333" s="84" t="n">
        <x:f>SQRT('Resumen'!$B$5^3/3)*B2333</x:f>
        <x:v>0.6406222100928117</x:v>
      </x:c>
      <x:c r="D2333" s="84" t="n">
        <x:f>C2333^2-'Resumen'!$B$5^3/3</x:f>
        <x:v>0.07706348273086527</x:v>
      </x:c>
      <x:c r="E2333" s="85" t="n">
        <x:f>D2333+'Resumen'!$B$5^3/3</x:f>
        <x:v>0.4103968160641986</x:v>
      </x:c>
    </x:row>
    <x:row r="2334">
      <x:c r="A2334" s="89" t="n">
        <x:v>2332</x:v>
      </x:c>
      <x:c r="B2334" s="80" t="n">
        <x:v>1.8205147081283384</x:v>
      </x:c>
      <x:c r="C2334" s="84" t="n">
        <x:f>SQRT('Resumen'!$B$5^3/3)*B2334</x:f>
        <x:v>1.051074656801569</x:v>
      </x:c>
      <x:c r="D2334" s="84" t="n">
        <x:f>C2334^2-'Resumen'!$B$5^3/3</x:f>
        <x:v>0.7714246008372028</x:v>
      </x:c>
      <x:c r="E2334" s="85" t="n">
        <x:f>D2334+'Resumen'!$B$5^3/3</x:f>
        <x:v>1.104757934170536</x:v>
      </x:c>
    </x:row>
    <x:row r="2335">
      <x:c r="A2335" s="89" t="n">
        <x:v>2333</x:v>
      </x:c>
      <x:c r="B2335" s="80" t="n">
        <x:v>-0.8335385132951769</x:v>
      </x:c>
      <x:c r="C2335" s="84" t="n">
        <x:f>SQRT('Resumen'!$B$5^3/3)*B2335</x:f>
        <x:v>-0.4812436850308908</x:v>
      </x:c>
      <x:c r="D2335" s="84" t="n">
        <x:f>C2335^2-'Resumen'!$B$5^3/3</x:f>
        <x:v>-0.10173784895122207</x:v>
      </x:c>
      <x:c r="E2335" s="85" t="n">
        <x:f>D2335+'Resumen'!$B$5^3/3</x:f>
        <x:v>0.23159548438211125</x:v>
      </x:c>
    </x:row>
    <x:row r="2336">
      <x:c r="A2336" s="89" t="n">
        <x:v>2334</x:v>
      </x:c>
      <x:c r="B2336" s="80" t="n">
        <x:v>0.11398787598053477</x:v>
      </x:c>
      <x:c r="C2336" s="84" t="n">
        <x:f>SQRT('Resumen'!$B$5^3/3)*B2336</x:f>
        <x:v>0.06581093088171543</x:v>
      </x:c>
      <x:c r="D2336" s="84" t="n">
        <x:f>C2336^2-'Resumen'!$B$5^3/3</x:f>
        <x:v>-0.32900225470981537</x:v>
      </x:c>
      <x:c r="E2336" s="85" t="n">
        <x:f>D2336+'Resumen'!$B$5^3/3</x:f>
        <x:v>0.004331078623517948</x:v>
      </x:c>
    </x:row>
    <x:row r="2337">
      <x:c r="A2337" s="89" t="n">
        <x:v>2335</x:v>
      </x:c>
      <x:c r="B2337" s="80" t="n">
        <x:v>1.2189266868130066</x:v>
      </x:c>
      <x:c r="C2337" s="84" t="n">
        <x:f>SQRT('Resumen'!$B$5^3/3)*B2337</x:f>
        <x:v>0.703747650753908</x:v>
      </x:c>
      <x:c r="D2337" s="84" t="n">
        <x:f>C2337^2-'Resumen'!$B$5^3/3</x:f>
        <x:v>0.16192742260831117</x:v>
      </x:c>
      <x:c r="E2337" s="85" t="n">
        <x:f>D2337+'Resumen'!$B$5^3/3</x:f>
        <x:v>0.4952607559416445</x:v>
      </x:c>
    </x:row>
    <x:row r="2338">
      <x:c r="A2338" s="89" t="n">
        <x:v>2336</x:v>
      </x:c>
      <x:c r="B2338" s="80" t="n">
        <x:v>-1.5489362399853221</x:v>
      </x:c>
      <x:c r="C2338" s="84" t="n">
        <x:f>SQRT('Resumen'!$B$5^3/3)*B2338</x:f>
        <x:v>-0.8942787551130925</x:v>
      </x:c>
      <x:c r="D2338" s="84" t="n">
        <x:f>C2338^2-'Resumen'!$B$5^3/3</x:f>
        <x:v>0.46640115851328917</x:v>
      </x:c>
      <x:c r="E2338" s="85" t="n">
        <x:f>D2338+'Resumen'!$B$5^3/3</x:f>
        <x:v>0.7997344918466225</x:v>
      </x:c>
    </x:row>
    <x:row r="2339">
      <x:c r="A2339" s="89" t="n">
        <x:v>2337</x:v>
      </x:c>
      <x:c r="B2339" s="80" t="n">
        <x:v>-0.8511956237045908</x:v>
      </x:c>
      <x:c r="C2339" s="84" t="n">
        <x:f>SQRT('Resumen'!$B$5^3/3)*B2339</x:f>
        <x:v>-0.49143802247887686</x:v>
      </x:c>
      <x:c r="D2339" s="84" t="n">
        <x:f>C2339^2-'Resumen'!$B$5^3/3</x:f>
        <x:v>-0.09182200339538424</x:v>
      </x:c>
      <x:c r="E2339" s="85" t="n">
        <x:f>D2339+'Resumen'!$B$5^3/3</x:f>
        <x:v>0.24151132993794908</x:v>
      </x:c>
    </x:row>
    <x:row r="2340">
      <x:c r="A2340" s="89" t="n">
        <x:v>2338</x:v>
      </x:c>
      <x:c r="B2340" s="80" t="n">
        <x:v>-0.9321598527399085</x:v>
      </x:c>
      <x:c r="C2340" s="84" t="n">
        <x:f>SQRT('Resumen'!$B$5^3/3)*B2340</x:f>
        <x:v>-0.5381827419071481</x:v>
      </x:c>
      <x:c r="D2340" s="84" t="n">
        <x:f>C2340^2-'Resumen'!$B$5^3/3</x:f>
        <x:v>-0.04369266964663732</x:v>
      </x:c>
      <x:c r="E2340" s="85" t="n">
        <x:f>D2340+'Resumen'!$B$5^3/3</x:f>
        <x:v>0.289640663686696</x:v>
      </x:c>
    </x:row>
    <x:row r="2341">
      <x:c r="A2341" s="89" t="n">
        <x:v>2339</x:v>
      </x:c>
      <x:c r="B2341" s="80" t="n">
        <x:v>0.01574714278162416</x:v>
      </x:c>
      <x:c r="C2341" s="84" t="n">
        <x:f>SQRT('Resumen'!$B$5^3/3)*B2341</x:f>
        <x:v>0.00909161712393818</x:v>
      </x:c>
      <x:c r="D2341" s="84" t="n">
        <x:f>C2341^2-'Resumen'!$B$5^3/3</x:f>
        <x:v>-0.33325067583140505</x:v>
      </x:c>
      <x:c r="E2341" s="85" t="n">
        <x:f>D2341+'Resumen'!$B$5^3/3</x:f>
        <x:v>0.00008265750192826271</x:v>
      </x:c>
    </x:row>
    <x:row r="2342">
      <x:c r="A2342" s="89" t="n">
        <x:v>2340</x:v>
      </x:c>
      <x:c r="B2342" s="80" t="n">
        <x:v>-0.1920345465425744</x:v>
      </x:c>
      <x:c r="C2342" s="84" t="n">
        <x:f>SQRT('Resumen'!$B$5^3/3)*B2342</x:f>
        <x:v>-0.11087119714006305</x:v>
      </x:c>
      <x:c r="D2342" s="84" t="n">
        <x:f>C2342^2-'Resumen'!$B$5^3/3</x:f>
        <x:v>-0.3210409109780626</x:v>
      </x:c>
      <x:c r="E2342" s="85" t="n">
        <x:f>D2342+'Resumen'!$B$5^3/3</x:f>
        <x:v>0.012292422355270727</x:v>
      </x:c>
    </x:row>
    <x:row r="2343">
      <x:c r="A2343" s="89" t="n">
        <x:v>2341</x:v>
      </x:c>
      <x:c r="B2343" s="80" t="n">
        <x:v>-0.7576987499354044</x:v>
      </x:c>
      <x:c r="C2343" s="84" t="n">
        <x:f>SQRT('Resumen'!$B$5^3/3)*B2343</x:f>
        <x:v>-0.4374575772398487</x:v>
      </x:c>
      <x:c r="D2343" s="84" t="n">
        <x:f>C2343^2-'Resumen'!$B$5^3/3</x:f>
        <x:v>-0.14196420144877514</x:v>
      </x:c>
      <x:c r="E2343" s="85" t="n">
        <x:f>D2343+'Resumen'!$B$5^3/3</x:f>
        <x:v>0.19136913188455817</x:v>
      </x:c>
    </x:row>
    <x:row r="2344">
      <x:c r="A2344" s="89" t="n">
        <x:v>2342</x:v>
      </x:c>
      <x:c r="B2344" s="80" t="n">
        <x:v>0.33916297979423116</x:v>
      </x:c>
      <x:c r="C2344" s="84" t="n">
        <x:f>SQRT('Resumen'!$B$5^3/3)*B2344</x:f>
        <x:v>0.19581583768335495</x:v>
      </x:c>
      <x:c r="D2344" s="84" t="n">
        <x:f>C2344^2-'Resumen'!$B$5^3/3</x:f>
        <x:v>-0.2949894910456993</x:v>
      </x:c>
      <x:c r="E2344" s="85" t="n">
        <x:f>D2344+'Resumen'!$B$5^3/3</x:f>
        <x:v>0.03834384228763399</x:v>
      </x:c>
    </x:row>
    <x:row r="2345">
      <x:c r="A2345" s="89" t="n">
        <x:v>2343</x:v>
      </x:c>
      <x:c r="B2345" s="80" t="n">
        <x:v>-0.5544602395460051</x:v>
      </x:c>
      <x:c r="C2345" s="84" t="n">
        <x:f>SQRT('Resumen'!$B$5^3/3)*B2345</x:f>
        <x:v>-0.3201177685568304</x:v>
      </x:c>
      <x:c r="D2345" s="84" t="n">
        <x:f>C2345^2-'Resumen'!$B$5^3/3</x:f>
        <x:v>-0.2308579475875289</x:v>
      </x:c>
      <x:c r="E2345" s="85" t="n">
        <x:f>D2345+'Resumen'!$B$5^3/3</x:f>
        <x:v>0.10247538574580442</x:v>
      </x:c>
    </x:row>
    <x:row r="2346">
      <x:c r="A2346" s="89" t="n">
        <x:v>2344</x:v>
      </x:c>
      <x:c r="B2346" s="80" t="n">
        <x:v>-1.2228935742306133</x:v>
      </x:c>
      <x:c r="C2346" s="84" t="n">
        <x:f>SQRT('Resumen'!$B$5^3/3)*B2346</x:f>
        <x:v>-0.7060379342723081</x:v>
      </x:c>
      <x:c r="D2346" s="84" t="n">
        <x:f>C2346^2-'Resumen'!$B$5^3/3</x:f>
        <x:v>0.16515623129817475</x:v>
      </x:c>
      <x:c r="E2346" s="85" t="n">
        <x:f>D2346+'Resumen'!$B$5^3/3</x:f>
        <x:v>0.49848956463150806</x:v>
      </x:c>
    </x:row>
    <x:row r="2347">
      <x:c r="A2347" s="89" t="n">
        <x:v>2345</x:v>
      </x:c>
      <x:c r="B2347" s="80" t="n">
        <x:v>-0.1608354604752676</x:v>
      </x:c>
      <x:c r="C2347" s="84" t="n">
        <x:f>SQRT('Resumen'!$B$5^3/3)*B2347</x:f>
        <x:v>-0.09285839640063315</x:v>
      </x:c>
      <x:c r="D2347" s="84" t="n">
        <x:f>C2347^2-'Resumen'!$B$5^3/3</x:f>
        <x:v>-0.3247106515512362</x:v>
      </x:c>
      <x:c r="E2347" s="85" t="n">
        <x:f>D2347+'Resumen'!$B$5^3/3</x:f>
        <x:v>0.00862268178209713</x:v>
      </x:c>
    </x:row>
    <x:row r="2348">
      <x:c r="A2348" s="89" t="n">
        <x:v>2346</x:v>
      </x:c>
      <x:c r="B2348" s="80" t="n">
        <x:v>-0.931932835863754</x:v>
      </x:c>
      <x:c r="C2348" s="84" t="n">
        <x:f>SQRT('Resumen'!$B$5^3/3)*B2348</x:f>
        <x:v>-0.5380516736525897</x:v>
      </x:c>
      <x:c r="D2348" s="84" t="n">
        <x:f>C2348^2-'Resumen'!$B$5^3/3</x:f>
        <x:v>-0.04383372981298045</x:v>
      </x:c>
      <x:c r="E2348" s="85" t="n">
        <x:f>D2348+'Resumen'!$B$5^3/3</x:f>
        <x:v>0.28949960352035287</x:v>
      </x:c>
    </x:row>
    <x:row r="2349">
      <x:c r="A2349" s="89" t="n">
        <x:v>2347</x:v>
      </x:c>
      <x:c r="B2349" s="80" t="n">
        <x:v>-0.9406886136466809</x:v>
      </x:c>
      <x:c r="C2349" s="84" t="n">
        <x:f>SQRT('Resumen'!$B$5^3/3)*B2349</x:f>
        <x:v>-0.543106824312527</x:v>
      </x:c>
      <x:c r="D2349" s="84" t="n">
        <x:f>C2349^2-'Resumen'!$B$5^3/3</x:f>
        <x:v>-0.03836831071849528</x:v>
      </x:c>
      <x:c r="E2349" s="85" t="n">
        <x:f>D2349+'Resumen'!$B$5^3/3</x:f>
        <x:v>0.29496502261483803</x:v>
      </x:c>
    </x:row>
    <x:row r="2350">
      <x:c r="A2350" s="89" t="n">
        <x:v>2348</x:v>
      </x:c>
      <x:c r="B2350" s="80" t="n">
        <x:v>-1.040006406779176</x:v>
      </x:c>
      <x:c r="C2350" s="84" t="n">
        <x:f>SQRT('Resumen'!$B$5^3/3)*B2350</x:f>
        <x:v>-0.6004479789128927</x:v>
      </x:c>
      <x:c r="D2350" s="84" t="n">
        <x:f>C2350^2-'Resumen'!$B$5^3/3</x:f>
        <x:v>0.027204442047244315</x:v>
      </x:c>
      <x:c r="E2350" s="85" t="n">
        <x:f>D2350+'Resumen'!$B$5^3/3</x:f>
        <x:v>0.36053777538057763</x:v>
      </x:c>
    </x:row>
    <x:row r="2351">
      <x:c r="A2351" s="89" t="n">
        <x:v>2349</x:v>
      </x:c>
      <x:c r="B2351" s="80" t="n">
        <x:v>-0.7669645720521138</x:v>
      </x:c>
      <x:c r="C2351" s="84" t="n">
        <x:f>SQRT('Resumen'!$B$5^3/3)*B2351</x:f>
        <x:v>-0.44280720213319397</x:v>
      </x:c>
      <x:c r="D2351" s="84" t="n">
        <x:f>C2351^2-'Resumen'!$B$5^3/3</x:f>
        <x:v>-0.137255115072306</x:v>
      </x:c>
      <x:c r="E2351" s="85" t="n">
        <x:f>D2351+'Resumen'!$B$5^3/3</x:f>
        <x:v>0.1960782182610273</x:v>
      </x:c>
    </x:row>
    <x:row r="2352">
      <x:c r="A2352" s="89" t="n">
        <x:v>2350</x:v>
      </x:c>
      <x:c r="B2352" s="80" t="n">
        <x:v>-1.9272327033103756</x:v>
      </x:c>
      <x:c r="C2352" s="84" t="n">
        <x:f>SQRT('Resumen'!$B$5^3/3)*B2352</x:f>
        <x:v>-1.1126883200472955</x:v>
      </x:c>
      <x:c r="D2352" s="84" t="n">
        <x:f>C2352^2-'Resumen'!$B$5^3/3</x:f>
        <x:v>0.9047419642363392</x:v>
      </x:c>
      <x:c r="E2352" s="85" t="n">
        <x:f>D2352+'Resumen'!$B$5^3/3</x:f>
        <x:v>1.2380752975696725</x:v>
      </x:c>
    </x:row>
    <x:row r="2353">
      <x:c r="A2353" s="89" t="n">
        <x:v>2351</x:v>
      </x:c>
      <x:c r="B2353" s="80" t="n">
        <x:v>0.3083779610776548</x:v>
      </x:c>
      <x:c r="C2353" s="84" t="n">
        <x:f>SQRT('Resumen'!$B$5^3/3)*B2353</x:f>
        <x:v>0.17804209884033192</x:v>
      </x:c>
      <x:c r="D2353" s="84" t="n">
        <x:f>C2353^2-'Resumen'!$B$5^3/3</x:f>
        <x:v>-0.3016343443738628</x:v>
      </x:c>
      <x:c r="E2353" s="85" t="n">
        <x:f>D2353+'Resumen'!$B$5^3/3</x:f>
        <x:v>0.03169898895947054</x:v>
      </x:c>
    </x:row>
    <x:row r="2354">
      <x:c r="A2354" s="89" t="n">
        <x:v>2352</x:v>
      </x:c>
      <x:c r="B2354" s="80" t="n">
        <x:v>0.8009425222298239</x:v>
      </x:c>
      <x:c r="C2354" s="84" t="n">
        <x:f>SQRT('Resumen'!$B$5^3/3)*B2354</x:f>
        <x:v>0.4624243808148066</x:v>
      </x:c>
      <x:c r="D2354" s="84" t="n">
        <x:f>C2354^2-'Resumen'!$B$5^3/3</x:f>
        <x:v>-0.11949702536137605</x:v>
      </x:c>
      <x:c r="E2354" s="85" t="n">
        <x:f>D2354+'Resumen'!$B$5^3/3</x:f>
        <x:v>0.21383630797195727</x:v>
      </x:c>
    </x:row>
    <x:row r="2355">
      <x:c r="A2355" s="89" t="n">
        <x:v>2353</x:v>
      </x:c>
      <x:c r="B2355" s="80" t="n">
        <x:v>0.0598898172924226</x:v>
      </x:c>
      <x:c r="C2355" s="84" t="n">
        <x:f>SQRT('Resumen'!$B$5^3/3)*B2355</x:f>
        <x:v>0.03457740213549769</x:v>
      </x:c>
      <x:c r="D2355" s="84" t="n">
        <x:f>C2355^2-'Resumen'!$B$5^3/3</x:f>
        <x:v>-0.3321377365948934</x:v>
      </x:c>
      <x:c r="E2355" s="85" t="n">
        <x:f>D2355+'Resumen'!$B$5^3/3</x:f>
        <x:v>0.0011955967384399413</x:v>
      </x:c>
    </x:row>
    <x:row r="2356">
      <x:c r="A2356" s="89" t="n">
        <x:v>2354</x:v>
      </x:c>
      <x:c r="B2356" s="80" t="n">
        <x:v>-0.8937174717639712</x:v>
      </x:c>
      <x:c r="C2356" s="84" t="n">
        <x:f>SQRT('Resumen'!$B$5^3/3)*B2356</x:f>
        <x:v>-0.5159880229024005</x:v>
      </x:c>
      <x:c r="D2356" s="84" t="n">
        <x:f>C2356^2-'Resumen'!$B$5^3/3</x:f>
        <x:v>-0.06708969355460509</x:v>
      </x:c>
      <x:c r="E2356" s="85" t="n">
        <x:f>D2356+'Resumen'!$B$5^3/3</x:f>
        <x:v>0.2662436397787282</x:v>
      </x:c>
    </x:row>
    <x:row r="2357">
      <x:c r="A2357" s="89" t="n">
        <x:v>2355</x:v>
      </x:c>
      <x:c r="B2357" s="80" t="n">
        <x:v>0.9600424326785952</x:v>
      </x:c>
      <x:c r="C2357" s="84" t="n">
        <x:f>SQRT('Resumen'!$B$5^3/3)*B2357</x:f>
        <x:v>0.5542807569404501</x:v>
      </x:c>
      <x:c r="D2357" s="84" t="n">
        <x:f>C2357^2-'Resumen'!$B$5^3/3</x:f>
        <x:v>-0.026106175818854993</x:v>
      </x:c>
      <x:c r="E2357" s="85" t="n">
        <x:f>D2357+'Resumen'!$B$5^3/3</x:f>
        <x:v>0.3072271575144783</x:v>
      </x:c>
    </x:row>
    <x:row r="2358">
      <x:c r="A2358" s="89" t="n">
        <x:v>2356</x:v>
      </x:c>
      <x:c r="B2358" s="80" t="n">
        <x:v>-0.6013448226291755</x:v>
      </x:c>
      <x:c r="C2358" s="84" t="n">
        <x:f>SQRT('Resumen'!$B$5^3/3)*B2358</x:f>
        <x:v>-0.34718659522074224</x:v>
      </x:c>
      <x:c r="D2358" s="84" t="n">
        <x:f>C2358^2-'Resumen'!$B$5^3/3</x:f>
        <x:v>-0.2127948014323618</x:v>
      </x:c>
      <x:c r="E2358" s="85" t="n">
        <x:f>D2358+'Resumen'!$B$5^3/3</x:f>
        <x:v>0.12053853190097152</x:v>
      </x:c>
    </x:row>
    <x:row r="2359">
      <x:c r="A2359" s="89" t="n">
        <x:v>2357</x:v>
      </x:c>
      <x:c r="B2359" s="80" t="n">
        <x:v>1.4463955447037693</x:v>
      </x:c>
      <x:c r="C2359" s="84" t="n">
        <x:f>SQRT('Resumen'!$B$5^3/3)*B2359</x:f>
        <x:v>0.8350768570893965</x:v>
      </x:c>
      <x:c r="D2359" s="84" t="n">
        <x:f>C2359^2-'Resumen'!$B$5^3/3</x:f>
        <x:v>0.364020023912971</x:v>
      </x:c>
      <x:c r="E2359" s="85" t="n">
        <x:f>D2359+'Resumen'!$B$5^3/3</x:f>
        <x:v>0.6973533572463043</x:v>
      </x:c>
    </x:row>
    <x:row r="2360">
      <x:c r="A2360" s="89" t="n">
        <x:v>2358</x:v>
      </x:c>
      <x:c r="B2360" s="80" t="n">
        <x:v>1.7612382789507366</x:v>
      </x:c>
      <x:c r="C2360" s="84" t="n">
        <x:f>SQRT('Resumen'!$B$5^3/3)*B2360</x:f>
        <x:v>1.016851394459281</x:v>
      </x:c>
      <x:c r="D2360" s="84" t="n">
        <x:f>C2360^2-'Resumen'!$B$5^3/3</x:f>
        <x:v>0.700653425080451</x:v>
      </x:c>
      <x:c r="E2360" s="85" t="n">
        <x:f>D2360+'Resumen'!$B$5^3/3</x:f>
        <x:v>1.0339867584137843</x:v>
      </x:c>
    </x:row>
    <x:row r="2361">
      <x:c r="A2361" s="89" t="n">
        <x:v>2359</x:v>
      </x:c>
      <x:c r="B2361" s="80" t="n">
        <x:v>-1.0505748120271865</x:v>
      </x:c>
      <x:c r="C2361" s="84" t="n">
        <x:f>SQRT('Resumen'!$B$5^3/3)*B2361</x:f>
        <x:v>-0.6065496505277366</x:v>
      </x:c>
      <x:c r="D2361" s="84" t="n">
        <x:f>C2361^2-'Resumen'!$B$5^3/3</x:f>
        <x:v>0.034569145221986064</x:v>
      </x:c>
      <x:c r="E2361" s="85" t="n">
        <x:f>D2361+'Resumen'!$B$5^3/3</x:f>
        <x:v>0.3679024785553194</x:v>
      </x:c>
    </x:row>
    <x:row r="2362">
      <x:c r="A2362" s="89" t="n">
        <x:v>2360</x:v>
      </x:c>
      <x:c r="B2362" s="80" t="n">
        <x:v>1.109813300768755</x:v>
      </x:c>
      <x:c r="C2362" s="84" t="n">
        <x:f>SQRT('Resumen'!$B$5^3/3)*B2362</x:f>
        <x:v>0.6407510079490677</x:v>
      </x:c>
      <x:c r="D2362" s="84" t="n">
        <x:f>C2362^2-'Resumen'!$B$5^3/3</x:f>
        <x:v>0.0772285208544129</x:v>
      </x:c>
      <x:c r="E2362" s="85" t="n">
        <x:f>D2362+'Resumen'!$B$5^3/3</x:f>
        <x:v>0.4105618541877462</x:v>
      </x:c>
    </x:row>
    <x:row r="2363">
      <x:c r="A2363" s="89" t="n">
        <x:v>2361</x:v>
      </x:c>
      <x:c r="B2363" s="80" t="n">
        <x:v>1.2608865805171634</x:v>
      </x:c>
      <x:c r="C2363" s="84" t="n">
        <x:f>SQRT('Resumen'!$B$5^3/3)*B2363</x:f>
        <x:v>0.727973206679171</x:v>
      </x:c>
      <x:c r="D2363" s="84" t="n">
        <x:f>C2363^2-'Resumen'!$B$5^3/3</x:f>
        <x:v>0.19661165630942162</x:v>
      </x:c>
      <x:c r="E2363" s="85" t="n">
        <x:f>D2363+'Resumen'!$B$5^3/3</x:f>
        <x:v>0.5299449896427549</x:v>
      </x:c>
    </x:row>
    <x:row r="2364">
      <x:c r="A2364" s="89" t="n">
        <x:v>2362</x:v>
      </x:c>
      <x:c r="B2364" s="80" t="n">
        <x:v>0.17536486926102285</x:v>
      </x:c>
      <x:c r="C2364" s="84" t="n">
        <x:f>SQRT('Resumen'!$B$5^3/3)*B2364</x:f>
        <x:v>0.10124695447425507</x:v>
      </x:c>
      <x:c r="D2364" s="84" t="n">
        <x:f>C2364^2-'Resumen'!$B$5^3/3</x:f>
        <x:v>-0.32308238754302143</x:v>
      </x:c>
      <x:c r="E2364" s="85" t="n">
        <x:f>D2364+'Resumen'!$B$5^3/3</x:f>
        <x:v>0.010250945790311883</x:v>
      </x:c>
    </x:row>
    <x:row r="2365">
      <x:c r="A2365" s="89" t="n">
        <x:v>2363</x:v>
      </x:c>
      <x:c r="B2365" s="80" t="n">
        <x:v>0.9867638505464419</x:v>
      </x:c>
      <x:c r="C2365" s="84" t="n">
        <x:f>SQRT('Resumen'!$B$5^3/3)*B2365</x:f>
        <x:v>0.5697083747395798</x:v>
      </x:c>
      <x:c r="D2365" s="84" t="n">
        <x:f>C2365^2-'Resumen'!$B$5^3/3</x:f>
        <x:v>-0.008765701084919808</x:v>
      </x:c>
      <x:c r="E2365" s="85" t="n">
        <x:f>D2365+'Resumen'!$B$5^3/3</x:f>
        <x:v>0.3245676322484135</x:v>
      </x:c>
    </x:row>
    <x:row r="2366">
      <x:c r="A2366" s="89" t="n">
        <x:v>2364</x:v>
      </x:c>
      <x:c r="B2366" s="80" t="n">
        <x:v>0.60517020955468</x:v>
      </x:c>
      <x:c r="C2366" s="84" t="n">
        <x:f>SQRT('Resumen'!$B$5^3/3)*B2366</x:f>
        <x:v>0.34939518339193676</x:v>
      </x:c>
      <x:c r="D2366" s="84" t="n">
        <x:f>C2366^2-'Resumen'!$B$5^3/3</x:f>
        <x:v>-0.21125633915584818</x:v>
      </x:c>
      <x:c r="E2366" s="85" t="n">
        <x:f>D2366+'Resumen'!$B$5^3/3</x:f>
        <x:v>0.12207699417748513</x:v>
      </x:c>
    </x:row>
    <x:row r="2367">
      <x:c r="A2367" s="89" t="n">
        <x:v>2365</x:v>
      </x:c>
      <x:c r="B2367" s="80" t="n">
        <x:v>0.0342383358081137</x:v>
      </x:c>
      <x:c r="C2367" s="84" t="n">
        <x:f>SQRT('Resumen'!$B$5^3/3)*B2367</x:f>
        <x:v>0.019767512395419247</x:v>
      </x:c>
      <x:c r="D2367" s="84" t="n">
        <x:f>C2367^2-'Resumen'!$B$5^3/3</x:f>
        <x:v>-0.33294257878703026</x:v>
      </x:c>
      <x:c r="E2367" s="85" t="n">
        <x:f>D2367+'Resumen'!$B$5^3/3</x:f>
        <x:v>0.0003907545463030515</x:v>
      </x:c>
    </x:row>
    <x:row r="2368">
      <x:c r="A2368" s="89" t="n">
        <x:v>2366</x:v>
      </x:c>
      <x:c r="B2368" s="80" t="n">
        <x:v>-1.815139735798643</x:v>
      </x:c>
      <x:c r="C2368" s="84" t="n">
        <x:f>SQRT('Resumen'!$B$5^3/3)*B2368</x:f>
        <x:v>-1.0479714150801327</x:v>
      </x:c>
      <x:c r="D2368" s="84" t="n">
        <x:f>C2368^2-'Resumen'!$B$5^3/3</x:f>
        <x:v>0.7649107534917226</x:v>
      </x:c>
      <x:c r="E2368" s="85" t="n">
        <x:f>D2368+'Resumen'!$B$5^3/3</x:f>
        <x:v>1.0982440868250558</x:v>
      </x:c>
    </x:row>
    <x:row r="2369">
      <x:c r="A2369" s="89" t="n">
        <x:v>2367</x:v>
      </x:c>
      <x:c r="B2369" s="80" t="n">
        <x:v>0.09791626880554509</x:v>
      </x:c>
      <x:c r="C2369" s="84" t="n">
        <x:f>SQRT('Resumen'!$B$5^3/3)*B2369</x:f>
        <x:v>0.05653198415292521</x:v>
      </x:c>
      <x:c r="D2369" s="84" t="n">
        <x:f>C2369^2-'Resumen'!$B$5^3/3</x:f>
        <x:v>-0.33013746810106676</x:v>
      </x:c>
      <x:c r="E2369" s="85" t="n">
        <x:f>D2369+'Resumen'!$B$5^3/3</x:f>
        <x:v>0.0031958652322665593</x:v>
      </x:c>
    </x:row>
    <x:row r="2370">
      <x:c r="A2370" s="89" t="n">
        <x:v>2368</x:v>
      </x:c>
      <x:c r="B2370" s="80" t="n">
        <x:v>-1.5111694205433424</x:v>
      </x:c>
      <x:c r="C2370" s="84" t="n">
        <x:f>SQRT('Resumen'!$B$5^3/3)*B2370</x:f>
        <x:v>-0.8724740717418294</x:v>
      </x:c>
      <x:c r="D2370" s="84" t="n">
        <x:f>C2370^2-'Resumen'!$B$5^3/3</x:f>
        <x:v>0.4278776725284336</x:v>
      </x:c>
      <x:c r="E2370" s="85" t="n">
        <x:f>D2370+'Resumen'!$B$5^3/3</x:f>
        <x:v>0.7612110058617669</x:v>
      </x:c>
    </x:row>
    <x:row r="2371">
      <x:c r="A2371" s="89" t="n">
        <x:v>2369</x:v>
      </x:c>
      <x:c r="B2371" s="80" t="n">
        <x:v>-1.006208767717874</x:v>
      </x:c>
      <x:c r="C2371" s="84" t="n">
        <x:f>SQRT('Resumen'!$B$5^3/3)*B2371</x:f>
        <x:v>-0.5809349029028761</x:v>
      </x:c>
      <x:c r="D2371" s="84" t="n">
        <x:f>C2371^2-'Resumen'!$B$5^3/3</x:f>
        <x:v>0.00415202807744075</x:v>
      </x:c>
      <x:c r="E2371" s="85" t="n">
        <x:f>D2371+'Resumen'!$B$5^3/3</x:f>
        <x:v>0.33748536141077407</x:v>
      </x:c>
    </x:row>
    <x:row r="2372">
      <x:c r="A2372" s="89" t="n">
        <x:v>2370</x:v>
      </x:c>
      <x:c r="B2372" s="80" t="n">
        <x:v>-1.3055879928562588</x:v>
      </x:c>
      <x:c r="C2372" s="84" t="n">
        <x:f>SQRT('Resumen'!$B$5^3/3)*B2372</x:f>
        <x:v>-0.7537815791263042</x:v>
      </x:c>
      <x:c r="D2372" s="84" t="n">
        <x:f>C2372^2-'Resumen'!$B$5^3/3</x:f>
        <x:v>0.23485333569681138</x:v>
      </x:c>
      <x:c r="E2372" s="85" t="n">
        <x:f>D2372+'Resumen'!$B$5^3/3</x:f>
        <x:v>0.5681866690301447</x:v>
      </x:c>
    </x:row>
    <x:row r="2373">
      <x:c r="A2373" s="89" t="n">
        <x:v>2371</x:v>
      </x:c>
      <x:c r="B2373" s="80" t="n">
        <x:v>0.8205159640245203</x:v>
      </x:c>
      <x:c r="C2373" s="84" t="n">
        <x:f>SQRT('Resumen'!$B$5^3/3)*B2373</x:f>
        <x:v>0.4737251127039421</x:v>
      </x:c>
      <x:c r="D2373" s="84" t="n">
        <x:f>C2373^2-'Resumen'!$B$5^3/3</x:f>
        <x:v>-0.1089178509269707</x:v>
      </x:c>
      <x:c r="E2373" s="85" t="n">
        <x:f>D2373+'Resumen'!$B$5^3/3</x:f>
        <x:v>0.2244154824063626</x:v>
      </x:c>
    </x:row>
    <x:row r="2374">
      <x:c r="A2374" s="89" t="n">
        <x:v>2372</x:v>
      </x:c>
      <x:c r="B2374" s="80" t="n">
        <x:v>-0.3402619467299213</x:v>
      </x:c>
      <x:c r="C2374" s="84" t="n">
        <x:f>SQRT('Resumen'!$B$5^3/3)*B2374</x:f>
        <x:v>-0.19645032653950617</x:v>
      </x:c>
      <x:c r="D2374" s="84" t="n">
        <x:f>C2374^2-'Resumen'!$B$5^3/3</x:f>
        <x:v>-0.2947406025358547</x:v>
      </x:c>
      <x:c r="E2374" s="85" t="n">
        <x:f>D2374+'Resumen'!$B$5^3/3</x:f>
        <x:v>0.0385927307974786</x:v>
      </x:c>
    </x:row>
    <x:row r="2375">
      <x:c r="A2375" s="89" t="n">
        <x:v>2373</x:v>
      </x:c>
      <x:c r="B2375" s="80" t="n">
        <x:v>0.003851039011266916</x:v>
      </x:c>
      <x:c r="C2375" s="84" t="n">
        <x:f>SQRT('Resumen'!$B$5^3/3)*B2375</x:f>
        <x:v>0.002223398409814704</x:v>
      </x:c>
      <x:c r="D2375" s="84" t="n">
        <x:f>C2375^2-'Resumen'!$B$5^3/3</x:f>
        <x:v>-0.3333283898328446</x:v>
      </x:c>
      <x:c r="E2375" s="85" t="n">
        <x:f>D2375+'Resumen'!$B$5^3/3</x:f>
        <x:v>0.000004943500488741037</x:v>
      </x:c>
    </x:row>
    <x:row r="2376">
      <x:c r="A2376" s="89" t="n">
        <x:v>2374</x:v>
      </x:c>
      <x:c r="B2376" s="80" t="n">
        <x:v>0.9676629858427391</x:v>
      </x:c>
      <x:c r="C2376" s="84" t="n">
        <x:f>SQRT('Resumen'!$B$5^3/3)*B2376</x:f>
        <x:v>0.5586804853611425</x:v>
      </x:c>
      <x:c r="D2376" s="84" t="n">
        <x:f>C2376^2-'Resumen'!$B$5^3/3</x:f>
        <x:v>-0.021209448609971593</x:v>
      </x:c>
      <x:c r="E2376" s="85" t="n">
        <x:f>D2376+'Resumen'!$B$5^3/3</x:f>
        <x:v>0.3121238847233617</x:v>
      </x:c>
    </x:row>
    <x:row r="2377">
      <x:c r="A2377" s="89" t="n">
        <x:v>2375</x:v>
      </x:c>
      <x:c r="B2377" s="80" t="n">
        <x:v>0.1303927190825197</x:v>
      </x:c>
      <x:c r="C2377" s="84" t="n">
        <x:f>SQRT('Resumen'!$B$5^3/3)*B2377</x:f>
        <x:v>0.07528227146266</x:v>
      </x:c>
      <x:c r="D2377" s="84" t="n">
        <x:f>C2377^2-'Resumen'!$B$5^3/3</x:f>
        <x:v>-0.3276659129367557</x:v>
      </x:c>
      <x:c r="E2377" s="85" t="n">
        <x:f>D2377+'Resumen'!$B$5^3/3</x:f>
        <x:v>0.005667420396577638</x:v>
      </x:c>
    </x:row>
    <x:row r="2378">
      <x:c r="A2378" s="89" t="n">
        <x:v>2376</x:v>
      </x:c>
      <x:c r="B2378" s="80" t="n">
        <x:v>0.029059673988045737</x:v>
      </x:c>
      <x:c r="C2378" s="84" t="n">
        <x:f>SQRT('Resumen'!$B$5^3/3)*B2378</x:f>
        <x:v>0.016777610599560972</x:v>
      </x:c>
      <x:c r="D2378" s="84" t="n">
        <x:f>C2378^2-'Resumen'!$B$5^3/3</x:f>
        <x:v>-0.3330518451159028</x:v>
      </x:c>
      <x:c r="E2378" s="85" t="n">
        <x:f>D2378+'Resumen'!$B$5^3/3</x:f>
        <x:v>0.00028148821743051444</x:v>
      </x:c>
    </x:row>
    <x:row r="2379">
      <x:c r="A2379" s="89" t="n">
        <x:v>2377</x:v>
      </x:c>
      <x:c r="B2379" s="80" t="n">
        <x:v>-0.6198613870284602</x:v>
      </x:c>
      <x:c r="C2379" s="84" t="n">
        <x:f>SQRT('Resumen'!$B$5^3/3)*B2379</x:f>
        <x:v>-0.35787713866113624</x:v>
      </x:c>
      <x:c r="D2379" s="84" t="n">
        <x:f>C2379^2-'Resumen'!$B$5^3/3</x:f>
        <x:v>-0.20525728695705117</x:v>
      </x:c>
      <x:c r="E2379" s="85" t="n">
        <x:f>D2379+'Resumen'!$B$5^3/3</x:f>
        <x:v>0.12807604637628214</x:v>
      </x:c>
    </x:row>
    <x:row r="2380">
      <x:c r="A2380" s="89" t="n">
        <x:v>2378</x:v>
      </x:c>
      <x:c r="B2380" s="80" t="n">
        <x:v>-0.5530441094423014</x:v>
      </x:c>
      <x:c r="C2380" s="84" t="n">
        <x:f>SQRT('Resumen'!$B$5^3/3)*B2380</x:f>
        <x:v>-0.3193001654602496</x:v>
      </x:c>
      <x:c r="D2380" s="84" t="n">
        <x:f>C2380^2-'Resumen'!$B$5^3/3</x:f>
        <x:v>-0.23138073767039055</x:v>
      </x:c>
      <x:c r="E2380" s="85" t="n">
        <x:f>D2380+'Resumen'!$B$5^3/3</x:f>
        <x:v>0.10195259566294276</x:v>
      </x:c>
    </x:row>
    <x:row r="2381">
      <x:c r="A2381" s="89" t="n">
        <x:v>2379</x:v>
      </x:c>
      <x:c r="B2381" s="80" t="n">
        <x:v>-0.43234843844414156</x:v>
      </x:c>
      <x:c r="C2381" s="84" t="n">
        <x:f>SQRT('Resumen'!$B$5^3/3)*B2381</x:f>
        <x:v>-0.24961648731943945</x:v>
      </x:c>
      <x:c r="D2381" s="84" t="n">
        <x:f>C2381^2-'Resumen'!$B$5^3/3</x:f>
        <x:v>-0.27102494259163745</x:v>
      </x:c>
      <x:c r="E2381" s="85" t="n">
        <x:f>D2381+'Resumen'!$B$5^3/3</x:f>
        <x:v>0.06230839074169586</x:v>
      </x:c>
    </x:row>
    <x:row r="2382">
      <x:c r="A2382" s="89" t="n">
        <x:v>2380</x:v>
      </x:c>
      <x:c r="B2382" s="80" t="n">
        <x:v>-0.06751240461274037</x:v>
      </x:c>
      <x:c r="C2382" s="84" t="n">
        <x:f>SQRT('Resumen'!$B$5^3/3)*B2382</x:f>
        <x:v>-0.03897830497680458</x:v>
      </x:c>
      <x:c r="D2382" s="84" t="n">
        <x:f>C2382^2-'Resumen'!$B$5^3/3</x:f>
        <x:v>-0.3318140250744685</x:v>
      </x:c>
      <x:c r="E2382" s="85" t="n">
        <x:f>D2382+'Resumen'!$B$5^3/3</x:f>
        <x:v>0.0015193082588648155</x:v>
      </x:c>
    </x:row>
    <x:row r="2383">
      <x:c r="A2383" s="89" t="n">
        <x:v>2381</x:v>
      </x:c>
      <x:c r="B2383" s="80" t="n">
        <x:v>-1.2582240213195837</x:v>
      </x:c>
      <x:c r="C2383" s="84" t="n">
        <x:f>SQRT('Resumen'!$B$5^3/3)*B2383</x:f>
        <x:v>-0.726435977409715</x:v>
      </x:c>
      <x:c r="D2383" s="84" t="n">
        <x:f>C2383^2-'Resumen'!$B$5^3/3</x:f>
        <x:v>0.1943758959418746</x:v>
      </x:c>
      <x:c r="E2383" s="85" t="n">
        <x:f>D2383+'Resumen'!$B$5^3/3</x:f>
        <x:v>0.5277092292752079</x:v>
      </x:c>
    </x:row>
    <x:row r="2384">
      <x:c r="A2384" s="89" t="n">
        <x:v>2382</x:v>
      </x:c>
      <x:c r="B2384" s="80" t="n">
        <x:v>0.8675815895683139</x:v>
      </x:c>
      <x:c r="C2384" s="84" t="n">
        <x:f>SQRT('Resumen'!$B$5^3/3)*B2384</x:f>
        <x:v>0.5008984642812294</x:v>
      </x:c>
      <x:c r="D2384" s="84" t="n">
        <x:f>C2384^2-'Resumen'!$B$5^3/3</x:f>
        <x:v>-0.08243406181403923</x:v>
      </x:c>
      <x:c r="E2384" s="85" t="n">
        <x:f>D2384+'Resumen'!$B$5^3/3</x:f>
        <x:v>0.2508992715192941</x:v>
      </x:c>
    </x:row>
    <x:row r="2385">
      <x:c r="A2385" s="89" t="n">
        <x:v>2383</x:v>
      </x:c>
      <x:c r="B2385" s="80" t="n">
        <x:v>0.7536053842438514</x:v>
      </x:c>
      <x:c r="C2385" s="84" t="n">
        <x:f>SQRT('Resumen'!$B$5^3/3)*B2385</x:f>
        <x:v>0.43509427145593893</x:v>
      </x:c>
      <x:c r="D2385" s="84" t="n">
        <x:f>C2385^2-'Resumen'!$B$5^3/3</x:f>
        <x:v>-0.14402630827955903</x:v>
      </x:c>
      <x:c r="E2385" s="85" t="n">
        <x:f>D2385+'Resumen'!$B$5^3/3</x:f>
        <x:v>0.18930702505377428</x:v>
      </x:c>
    </x:row>
    <x:row r="2386">
      <x:c r="A2386" s="89" t="n">
        <x:v>2384</x:v>
      </x:c>
      <x:c r="B2386" s="80" t="n">
        <x:v>-0.496473089063328</x:v>
      </x:c>
      <x:c r="C2386" s="84" t="n">
        <x:f>SQRT('Resumen'!$B$5^3/3)*B2386</x:f>
        <x:v>-0.28663887161611745</x:v>
      </x:c>
      <x:c r="D2386" s="84" t="n">
        <x:f>C2386^2-'Resumen'!$B$5^3/3</x:f>
        <x:v>-0.25117149061197225</x:v>
      </x:c>
      <x:c r="E2386" s="85" t="n">
        <x:f>D2386+'Resumen'!$B$5^3/3</x:f>
        <x:v>0.08216184272136107</x:v>
      </x:c>
    </x:row>
    <x:row r="2387">
      <x:c r="A2387" s="89" t="n">
        <x:v>2385</x:v>
      </x:c>
      <x:c r="B2387" s="80" t="n">
        <x:v>-0.9045050378829305</x:v>
      </x:c>
      <x:c r="C2387" s="84" t="n">
        <x:f>SQRT('Resumen'!$B$5^3/3)*B2387</x:f>
        <x:v>-0.5222162271050825</x:v>
      </x:c>
      <x:c r="D2387" s="84" t="n">
        <x:f>C2387^2-'Resumen'!$B$5^3/3</x:f>
        <x:v>-0.0606235454814662</x:v>
      </x:c>
      <x:c r="E2387" s="85" t="n">
        <x:f>D2387+'Resumen'!$B$5^3/3</x:f>
        <x:v>0.2727097878518671</x:v>
      </x:c>
    </x:row>
    <x:row r="2388">
      <x:c r="A2388" s="89" t="n">
        <x:v>2386</x:v>
      </x:c>
      <x:c r="B2388" s="80" t="n">
        <x:v>-0.06856507474609791</x:v>
      </x:c>
      <x:c r="C2388" s="84" t="n">
        <x:f>SQRT('Resumen'!$B$5^3/3)*B2388</x:f>
        <x:v>-0.03958606436166644</x:v>
      </x:c>
      <x:c r="D2388" s="84" t="n">
        <x:f>C2388^2-'Resumen'!$B$5^3/3</x:f>
        <x:v>-0.3317662768416873</x:v>
      </x:c>
      <x:c r="E2388" s="85" t="n">
        <x:f>D2388+'Resumen'!$B$5^3/3</x:f>
        <x:v>0.0015670564916460128</x:v>
      </x:c>
    </x:row>
    <x:row r="2389">
      <x:c r="A2389" s="89" t="n">
        <x:v>2387</x:v>
      </x:c>
      <x:c r="B2389" s="80" t="n">
        <x:v>0.8831977564924796</x:v>
      </x:c>
      <x:c r="C2389" s="84" t="n">
        <x:f>SQRT('Resumen'!$B$5^3/3)*B2389</x:f>
        <x:v>0.5099144624586066</x:v>
      </x:c>
      <x:c r="D2389" s="84" t="n">
        <x:f>C2389^2-'Resumen'!$B$5^3/3</x:f>
        <x:v>-0.07332057430888361</x:v>
      </x:c>
      <x:c r="E2389" s="85" t="n">
        <x:f>D2389+'Resumen'!$B$5^3/3</x:f>
        <x:v>0.2600127590244497</x:v>
      </x:c>
    </x:row>
    <x:row r="2390">
      <x:c r="A2390" s="89" t="n">
        <x:v>2388</x:v>
      </x:c>
      <x:c r="B2390" s="80" t="n">
        <x:v>-0.6893227565079171</x:v>
      </x:c>
      <x:c r="C2390" s="84" t="n">
        <x:f>SQRT('Resumen'!$B$5^3/3)*B2390</x:f>
        <x:v>-0.39798067902838075</x:v>
      </x:c>
      <x:c r="D2390" s="84" t="n">
        <x:f>C2390^2-'Resumen'!$B$5^3/3</x:f>
        <x:v>-0.17494471245344229</x:v>
      </x:c>
      <x:c r="E2390" s="85" t="n">
        <x:f>D2390+'Resumen'!$B$5^3/3</x:f>
        <x:v>0.15838862087989103</x:v>
      </x:c>
    </x:row>
    <x:row r="2391">
      <x:c r="A2391" s="89" t="n">
        <x:v>2389</x:v>
      </x:c>
      <x:c r="B2391" s="80" t="n">
        <x:v>-0.6318894731193649</x:v>
      </x:c>
      <x:c r="C2391" s="84" t="n">
        <x:f>SQRT('Resumen'!$B$5^3/3)*B2391</x:f>
        <x:v>-0.3648215574035561</x:v>
      </x:c>
      <x:c r="D2391" s="84" t="n">
        <x:f>C2391^2-'Resumen'!$B$5^3/3</x:f>
        <x:v>-0.20023856458697714</x:v>
      </x:c>
      <x:c r="E2391" s="85" t="n">
        <x:f>D2391+'Resumen'!$B$5^3/3</x:f>
        <x:v>0.13309476874635617</x:v>
      </x:c>
    </x:row>
    <x:row r="2392">
      <x:c r="A2392" s="89" t="n">
        <x:v>2390</x:v>
      </x:c>
      <x:c r="B2392" s="80" t="n">
        <x:v>1.0211552463535347</x:v>
      </x:c>
      <x:c r="C2392" s="84" t="n">
        <x:f>SQRT('Resumen'!$B$5^3/3)*B2392</x:f>
        <x:v>0.5895642563666118</x:v>
      </x:c>
      <x:c r="D2392" s="84" t="n">
        <x:f>C2392^2-'Resumen'!$B$5^3/3</x:f>
        <x:v>0.01425267905178268</x:v>
      </x:c>
      <x:c r="E2392" s="85" t="n">
        <x:f>D2392+'Resumen'!$B$5^3/3</x:f>
        <x:v>0.347586012385116</x:v>
      </x:c>
    </x:row>
    <x:row r="2393">
      <x:c r="A2393" s="89" t="n">
        <x:v>2391</x:v>
      </x:c>
      <x:c r="B2393" s="80" t="n">
        <x:v>-0.29090271020906083</x:v>
      </x:c>
      <x:c r="C2393" s="84" t="n">
        <x:f>SQRT('Resumen'!$B$5^3/3)*B2393</x:f>
        <x:v>-0.16795275804719295</x:v>
      </x:c>
      <x:c r="D2393" s="84" t="n">
        <x:f>C2393^2-'Resumen'!$B$5^3/3</x:f>
        <x:v>-0.3051252043976744</x:v>
      </x:c>
      <x:c r="E2393" s="85" t="n">
        <x:f>D2393+'Resumen'!$B$5^3/3</x:f>
        <x:v>0.028208128935658938</x:v>
      </x:c>
    </x:row>
    <x:row r="2394">
      <x:c r="A2394" s="89" t="n">
        <x:v>2392</x:v>
      </x:c>
      <x:c r="B2394" s="80" t="n">
        <x:v>1.0737787630627962</x:v>
      </x:c>
      <x:c r="C2394" s="84" t="n">
        <x:f>SQRT('Resumen'!$B$5^3/3)*B2394</x:f>
        <x:v>0.6199464579044087</x:v>
      </x:c>
      <x:c r="D2394" s="84" t="n">
        <x:f>C2394^2-'Resumen'!$B$5^3/3</x:f>
        <x:v>0.05100027733488949</x:v>
      </x:c>
      <x:c r="E2394" s="85" t="n">
        <x:f>D2394+'Resumen'!$B$5^3/3</x:f>
        <x:v>0.3843336106682228</x:v>
      </x:c>
    </x:row>
    <x:row r="2395">
      <x:c r="A2395" s="89" t="n">
        <x:v>2393</x:v>
      </x:c>
      <x:c r="B2395" s="80" t="n">
        <x:v>1.1404098564359262</x:v>
      </x:c>
      <x:c r="C2395" s="84" t="n">
        <x:f>SQRT('Resumen'!$B$5^3/3)*B2395</x:f>
        <x:v>0.6584159375997845</x:v>
      </x:c>
      <x:c r="D2395" s="84" t="n">
        <x:f>C2395^2-'Resumen'!$B$5^3/3</x:f>
        <x:v>0.10017821355206996</x:v>
      </x:c>
      <x:c r="E2395" s="85" t="n">
        <x:f>D2395+'Resumen'!$B$5^3/3</x:f>
        <x:v>0.4335115468854033</x:v>
      </x:c>
    </x:row>
    <x:row r="2396">
      <x:c r="A2396" s="89" t="n">
        <x:v>2394</x:v>
      </x:c>
      <x:c r="B2396" s="80" t="n">
        <x:v>-1.0499387495822747</x:v>
      </x:c>
      <x:c r="C2396" s="84" t="n">
        <x:f>SQRT('Resumen'!$B$5^3/3)*B2396</x:f>
        <x:v>-0.6061824197039454</x:v>
      </x:c>
      <x:c r="D2396" s="84" t="n">
        <x:f>C2396^2-'Resumen'!$B$5^3/3</x:f>
        <x:v>0.03412379262479687</x:v>
      </x:c>
      <x:c r="E2396" s="85" t="n">
        <x:f>D2396+'Resumen'!$B$5^3/3</x:f>
        <x:v>0.3674571259581302</x:v>
      </x:c>
    </x:row>
    <x:row r="2397">
      <x:c r="A2397" s="89" t="n">
        <x:v>2395</x:v>
      </x:c>
      <x:c r="B2397" s="80" t="n">
        <x:v>1.0540852641718153</x:v>
      </x:c>
      <x:c r="C2397" s="84" t="n">
        <x:f>SQRT('Resumen'!$B$5^3/3)*B2397</x:f>
        <x:v>0.6085764110184153</x:v>
      </x:c>
      <x:c r="D2397" s="84" t="n">
        <x:f>C2397^2-'Resumen'!$B$5^3/3</x:f>
        <x:v>0.037031914714721836</x:v>
      </x:c>
      <x:c r="E2397" s="85" t="n">
        <x:f>D2397+'Resumen'!$B$5^3/3</x:f>
        <x:v>0.37036524804805515</x:v>
      </x:c>
    </x:row>
    <x:row r="2398">
      <x:c r="A2398" s="89" t="n">
        <x:v>2396</x:v>
      </x:c>
      <x:c r="B2398" s="80" t="n">
        <x:v>0.06540120271407737</x:v>
      </x:c>
      <x:c r="C2398" s="84" t="n">
        <x:f>SQRT('Resumen'!$B$5^3/3)*B2398</x:f>
        <x:v>0.03775940199229785</x:v>
      </x:c>
      <x:c r="D2398" s="84" t="n">
        <x:f>C2398^2-'Resumen'!$B$5^3/3</x:f>
        <x:v>-0.3319075608945174</x:v>
      </x:c>
      <x:c r="E2398" s="85" t="n">
        <x:f>D2398+'Resumen'!$B$5^3/3</x:f>
        <x:v>0.0014257724388159199</x:v>
      </x:c>
    </x:row>
    <x:row r="2399">
      <x:c r="A2399" s="89" t="n">
        <x:v>2397</x:v>
      </x:c>
      <x:c r="B2399" s="80" t="n">
        <x:v>0.9017600898091526</x:v>
      </x:c>
      <x:c r="C2399" s="84" t="n">
        <x:f>SQRT('Resumen'!$B$5^3/3)*B2399</x:f>
        <x:v>0.5206314305957753</x:v>
      </x:c>
      <x:c r="D2399" s="84" t="n">
        <x:f>C2399^2-'Resumen'!$B$5^3/3</x:f>
        <x:v>-0.06227624680912969</x:v>
      </x:c>
      <x:c r="E2399" s="85" t="n">
        <x:f>D2399+'Resumen'!$B$5^3/3</x:f>
        <x:v>0.2710570865242036</x:v>
      </x:c>
    </x:row>
    <x:row r="2400">
      <x:c r="A2400" s="89" t="n">
        <x:v>2398</x:v>
      </x:c>
      <x:c r="B2400" s="80" t="n">
        <x:v>-0.41571964105384573</x:v>
      </x:c>
      <x:c r="C2400" s="84" t="n">
        <x:f>SQRT('Resumen'!$B$5^3/3)*B2400</x:f>
        <x:v>-0.24001584666985243</x:v>
      </x:c>
      <x:c r="D2400" s="84" t="n">
        <x:f>C2400^2-'Resumen'!$B$5^3/3</x:f>
        <x:v>-0.2757257266806872</x:v>
      </x:c>
      <x:c r="E2400" s="85" t="n">
        <x:f>D2400+'Resumen'!$B$5^3/3</x:f>
        <x:v>0.05760760665264614</x:v>
      </x:c>
    </x:row>
    <x:row r="2401">
      <x:c r="A2401" s="89" t="n">
        <x:v>2399</x:v>
      </x:c>
      <x:c r="B2401" s="80" t="n">
        <x:v>-0.11894759958976564</x:v>
      </x:c>
      <x:c r="C2401" s="84" t="n">
        <x:f>SQRT('Resumen'!$B$5^3/3)*B2401</x:f>
        <x:v>-0.068674428642611</x:v>
      </x:c>
      <x:c r="D2401" s="84" t="n">
        <x:f>C2401^2-'Resumen'!$B$5^3/3</x:f>
        <x:v>-0.32861715618394427</x:v>
      </x:c>
      <x:c r="E2401" s="85" t="n">
        <x:f>D2401+'Resumen'!$B$5^3/3</x:f>
        <x:v>0.004716177149389045</x:v>
      </x:c>
    </x:row>
    <x:row r="2402">
      <x:c r="A2402" s="89" t="n">
        <x:v>2400</x:v>
      </x:c>
      <x:c r="B2402" s="80" t="n">
        <x:v>1.2720181420535304</x:v>
      </x:c>
      <x:c r="C2402" s="84" t="n">
        <x:f>SQRT('Resumen'!$B$5^3/3)*B2402</x:f>
        <x:v>0.7344000167286934</x:v>
      </x:c>
      <x:c r="D2402" s="84" t="n">
        <x:f>C2402^2-'Resumen'!$B$5^3/3</x:f>
        <x:v>0.20601005123777177</x:v>
      </x:c>
      <x:c r="E2402" s="85" t="n">
        <x:f>D2402+'Resumen'!$B$5^3/3</x:f>
        <x:v>0.5393433845711051</x:v>
      </x:c>
    </x:row>
    <x:row r="2403">
      <x:c r="A2403" s="89" t="n">
        <x:v>2401</x:v>
      </x:c>
      <x:c r="B2403" s="80" t="n">
        <x:v>-0.7153266306988502</x:v>
      </x:c>
      <x:c r="C2403" s="84" t="n">
        <x:f>SQRT('Resumen'!$B$5^3/3)*B2403</x:f>
        <x:v>-0.41299402279248915</x:v>
      </x:c>
      <x:c r="D2403" s="84" t="n">
        <x:f>C2403^2-'Resumen'!$B$5^3/3</x:f>
        <x:v>-0.16276927047101028</x:v>
      </x:c>
      <x:c r="E2403" s="85" t="n">
        <x:f>D2403+'Resumen'!$B$5^3/3</x:f>
        <x:v>0.17056406286232303</x:v>
      </x:c>
    </x:row>
    <x:row r="2404">
      <x:c r="A2404" s="89" t="n">
        <x:v>2402</x:v>
      </x:c>
      <x:c r="B2404" s="80" t="n">
        <x:v>-0.5559529040153572</x:v>
      </x:c>
      <x:c r="C2404" s="84" t="n">
        <x:f>SQRT('Resumen'!$B$5^3/3)*B2404</x:f>
        <x:v>-0.32097955879002066</x:v>
      </x:c>
      <x:c r="D2404" s="84" t="n">
        <x:f>C2404^2-'Resumen'!$B$5^3/3</x:f>
        <x:v>-0.23030545617229697</x:v>
      </x:c>
      <x:c r="E2404" s="85" t="n">
        <x:f>D2404+'Resumen'!$B$5^3/3</x:f>
        <x:v>0.10302787716103634</x:v>
      </x:c>
    </x:row>
    <x:row r="2405">
      <x:c r="A2405" s="89" t="n">
        <x:v>2403</x:v>
      </x:c>
      <x:c r="B2405" s="80" t="n">
        <x:v>1.2254269363037007</x:v>
      </x:c>
      <x:c r="C2405" s="84" t="n">
        <x:f>SQRT('Resumen'!$B$5^3/3)*B2405</x:f>
        <x:v>0.70750057154716</x:v>
      </x:c>
      <x:c r="D2405" s="84" t="n">
        <x:f>C2405^2-'Resumen'!$B$5^3/3</x:f>
        <x:v>0.1672237254062247</x:v>
      </x:c>
      <x:c r="E2405" s="85" t="n">
        <x:f>D2405+'Resumen'!$B$5^3/3</x:f>
        <x:v>0.500557058739558</x:v>
      </x:c>
    </x:row>
    <x:row r="2406">
      <x:c r="A2406" s="89" t="n">
        <x:v>2404</x:v>
      </x:c>
      <x:c r="B2406" s="80" t="n">
        <x:v>-3.3390469825714773</x:v>
      </x:c>
      <x:c r="C2406" s="84" t="n">
        <x:f>SQRT('Resumen'!$B$5^3/3)*B2406</x:f>
        <x:v>-1.9277996742244499</x:v>
      </x:c>
      <x:c r="D2406" s="84" t="n">
        <x:f>C2406^2-'Resumen'!$B$5^3/3</x:f>
        <x:v>3.3830782506065615</x:v>
      </x:c>
      <x:c r="E2406" s="85" t="n">
        <x:f>D2406+'Resumen'!$B$5^3/3</x:f>
        <x:v>3.716411583939895</x:v>
      </x:c>
    </x:row>
    <x:row r="2407">
      <x:c r="A2407" s="89" t="n">
        <x:v>2405</x:v>
      </x:c>
      <x:c r="B2407" s="80" t="n">
        <x:v>1.509789071022818</x:v>
      </x:c>
      <x:c r="C2407" s="84" t="n">
        <x:f>SQRT('Resumen'!$B$5^3/3)*B2407</x:f>
        <x:v>0.8716771265745789</x:v>
      </x:c>
      <x:c r="D2407" s="84" t="n">
        <x:f>C2407^2-'Resumen'!$B$5^3/3</x:f>
        <x:v>0.4264876796599811</x:v>
      </x:c>
      <x:c r="E2407" s="85" t="n">
        <x:f>D2407+'Resumen'!$B$5^3/3</x:f>
        <x:v>0.7598210129933144</x:v>
      </x:c>
    </x:row>
    <x:row r="2408">
      <x:c r="A2408" s="89" t="n">
        <x:v>2406</x:v>
      </x:c>
      <x:c r="B2408" s="80" t="n">
        <x:v>0.6832709445662273</x:v>
      </x:c>
      <x:c r="C2408" s="84" t="n">
        <x:f>SQRT('Resumen'!$B$5^3/3)*B2408</x:f>
        <x:v>0.39448666377476116</x:v>
      </x:c>
      <x:c r="D2408" s="84" t="n">
        <x:f>C2408^2-'Resumen'!$B$5^3/3</x:f>
        <x:v>-0.17771360543719186</x:v>
      </x:c>
      <x:c r="E2408" s="85" t="n">
        <x:f>D2408+'Resumen'!$B$5^3/3</x:f>
        <x:v>0.15561972789614145</x:v>
      </x:c>
    </x:row>
    <x:row r="2409">
      <x:c r="A2409" s="89" t="n">
        <x:v>2407</x:v>
      </x:c>
      <x:c r="B2409" s="80" t="n">
        <x:v>-0.5055110001099998</x:v>
      </x:c>
      <x:c r="C2409" s="84" t="n">
        <x:f>SQRT('Resumen'!$B$5^3/3)*B2409</x:f>
        <x:v>-0.29185691199182534</x:v>
      </x:c>
      <x:c r="D2409" s="84" t="n">
        <x:f>C2409^2-'Resumen'!$B$5^3/3</x:f>
        <x:v>-0.24815287625592924</x:v>
      </x:c>
      <x:c r="E2409" s="85" t="n">
        <x:f>D2409+'Resumen'!$B$5^3/3</x:f>
        <x:v>0.08518045707740407</x:v>
      </x:c>
    </x:row>
    <x:row r="2410">
      <x:c r="A2410" s="89" t="n">
        <x:v>2408</x:v>
      </x:c>
      <x:c r="B2410" s="80" t="n">
        <x:v>2.1477929057460425</x:v>
      </x:c>
      <x:c r="C2410" s="84" t="n">
        <x:f>SQRT('Resumen'!$B$5^3/3)*B2410</x:f>
        <x:v>1.2400288122960461</x:v>
      </x:c>
      <x:c r="D2410" s="84" t="n">
        <x:f>C2410^2-'Resumen'!$B$5^3/3</x:f>
        <x:v>1.2043381219910094</x:v>
      </x:c>
      <x:c r="E2410" s="85" t="n">
        <x:f>D2410+'Resumen'!$B$5^3/3</x:f>
        <x:v>1.5376714553243427</x:v>
      </x:c>
    </x:row>
    <x:row r="2411">
      <x:c r="A2411" s="89" t="n">
        <x:v>2409</x:v>
      </x:c>
      <x:c r="B2411" s="80" t="n">
        <x:v>-0.5300083803913218</x:v>
      </x:c>
      <x:c r="C2411" s="84" t="n">
        <x:f>SQRT('Resumen'!$B$5^3/3)*B2411</x:f>
        <x:v>-0.3060004810916872</x:v>
      </x:c>
      <x:c r="D2411" s="84" t="n">
        <x:f>C2411^2-'Resumen'!$B$5^3/3</x:f>
        <x:v>-0.23969703890498928</x:v>
      </x:c>
      <x:c r="E2411" s="85" t="n">
        <x:f>D2411+'Resumen'!$B$5^3/3</x:f>
        <x:v>0.09363629442834404</x:v>
      </x:c>
    </x:row>
    <x:row r="2412">
      <x:c r="A2412" s="89" t="n">
        <x:v>2410</x:v>
      </x:c>
      <x:c r="B2412" s="80" t="n">
        <x:v>2.6526277089743364</x:v>
      </x:c>
      <x:c r="C2412" s="84" t="n">
        <x:f>SQRT('Resumen'!$B$5^3/3)*B2412</x:f>
        <x:v>1.5314953218361933</x:v>
      </x:c>
      <x:c r="D2412" s="84" t="n">
        <x:f>C2412^2-'Resumen'!$B$5^3/3</x:f>
        <x:v>2.012144587472812</x:v>
      </x:c>
      <x:c r="E2412" s="85" t="n">
        <x:f>D2412+'Resumen'!$B$5^3/3</x:f>
        <x:v>2.3454779208061454</x:v>
      </x:c>
    </x:row>
    <x:row r="2413">
      <x:c r="A2413" s="89" t="n">
        <x:v>2411</x:v>
      </x:c>
      <x:c r="B2413" s="80" t="n">
        <x:v>-0.44114326562952383</x:v>
      </x:c>
      <x:c r="C2413" s="84" t="n">
        <x:f>SQRT('Resumen'!$B$5^3/3)*B2413</x:f>
        <x:v>-0.25469418316239617</x:v>
      </x:c>
      <x:c r="D2413" s="84" t="n">
        <x:f>C2413^2-'Resumen'!$B$5^3/3</x:f>
        <x:v>-0.2684642063965731</x:v>
      </x:c>
      <x:c r="E2413" s="85" t="n">
        <x:f>D2413+'Resumen'!$B$5^3/3</x:f>
        <x:v>0.06486912693676022</x:v>
      </x:c>
    </x:row>
    <x:row r="2414">
      <x:c r="A2414" s="89" t="n">
        <x:v>2412</x:v>
      </x:c>
      <x:c r="B2414" s="80" t="n">
        <x:v>0.2501103889713306</x:v>
      </x:c>
      <x:c r="C2414" s="84" t="n">
        <x:f>SQRT('Resumen'!$B$5^3/3)*B2414</x:f>
        <x:v>0.1444013003997197</x:v>
      </x:c>
      <x:c r="D2414" s="84" t="n">
        <x:f>C2414^2-'Resumen'!$B$5^3/3</x:f>
        <x:v>-0.3124815977762032</x:v>
      </x:c>
      <x:c r="E2414" s="85" t="n">
        <x:f>D2414+'Resumen'!$B$5^3/3</x:f>
        <x:v>0.020851735557130102</x:v>
      </x:c>
    </x:row>
    <x:row r="2415">
      <x:c r="A2415" s="89" t="n">
        <x:v>2413</x:v>
      </x:c>
      <x:c r="B2415" s="80" t="n">
        <x:v>-0.05930196859878295</x:v>
      </x:c>
      <x:c r="C2415" s="84" t="n">
        <x:f>SQRT('Resumen'!$B$5^3/3)*B2415</x:f>
        <x:v>-0.03423800753398207</x:v>
      </x:c>
      <x:c r="D2415" s="84" t="n">
        <x:f>C2415^2-'Resumen'!$B$5^3/3</x:f>
        <x:v>-0.3321610921734363</x:v>
      </x:c>
      <x:c r="E2415" s="85" t="n">
        <x:f>D2415+'Resumen'!$B$5^3/3</x:f>
        <x:v>0.0011722411598970028</x:v>
      </x:c>
    </x:row>
    <x:row r="2416">
      <x:c r="A2416" s="89" t="n">
        <x:v>2414</x:v>
      </x:c>
      <x:c r="B2416" s="80" t="n">
        <x:v>-0.03531916062156116</x:v>
      </x:c>
      <x:c r="C2416" s="84" t="n">
        <x:f>SQRT('Resumen'!$B$5^3/3)*B2416</x:f>
        <x:v>-0.020391526892409965</x:v>
      </x:c>
      <x:c r="D2416" s="84" t="n">
        <x:f>C2416^2-'Resumen'!$B$5^3/3</x:f>
        <x:v>-0.3329175189643294</x:v>
      </x:c>
      <x:c r="E2416" s="85" t="n">
        <x:f>D2416+'Resumen'!$B$5^3/3</x:f>
        <x:v>0.00041581436900389734</x:v>
      </x:c>
    </x:row>
    <x:row r="2417">
      <x:c r="A2417" s="89" t="n">
        <x:v>2415</x:v>
      </x:c>
      <x:c r="B2417" s="80" t="n">
        <x:v>0.3311625474056187</x:v>
      </x:c>
      <x:c r="C2417" s="84" t="n">
        <x:f>SQRT('Resumen'!$B$5^3/3)*B2417</x:f>
        <x:v>0.19119678589015612</x:v>
      </x:c>
      <x:c r="D2417" s="84" t="n">
        <x:f>C2417^2-'Resumen'!$B$5^3/3</x:f>
        <x:v>-0.2967771223986071</x:v>
      </x:c>
      <x:c r="E2417" s="85" t="n">
        <x:f>D2417+'Resumen'!$B$5^3/3</x:f>
        <x:v>0.03655621093472622</x:v>
      </x:c>
    </x:row>
    <x:row r="2418">
      <x:c r="A2418" s="89" t="n">
        <x:v>2416</x:v>
      </x:c>
      <x:c r="B2418" s="80" t="n">
        <x:v>0.6857354792707948</x:v>
      </x:c>
      <x:c r="C2418" s="84" t="n">
        <x:f>SQRT('Resumen'!$B$5^3/3)*B2418</x:f>
        <x:v>0.3959095635498704</x:v>
      </x:c>
      <x:c r="D2418" s="84" t="n">
        <x:f>C2418^2-'Resumen'!$B$5^3/3</x:f>
        <x:v>-0.17658895082308446</x:v>
      </x:c>
      <x:c r="E2418" s="85" t="n">
        <x:f>D2418+'Resumen'!$B$5^3/3</x:f>
        <x:v>0.15674438251024886</x:v>
      </x:c>
    </x:row>
    <x:row r="2419">
      <x:c r="A2419" s="89" t="n">
        <x:v>2417</x:v>
      </x:c>
      <x:c r="B2419" s="80" t="n">
        <x:v>0.41172651590614173</x:v>
      </x:c>
      <x:c r="C2419" s="84" t="n">
        <x:f>SQRT('Resumen'!$B$5^3/3)*B2419</x:f>
        <x:v>0.23771041479091765</x:v>
      </x:c>
      <x:c r="D2419" s="84" t="n">
        <x:f>C2419^2-'Resumen'!$B$5^3/3</x:f>
        <x:v>-0.27682709203326317</x:v>
      </x:c>
      <x:c r="E2419" s="85" t="n">
        <x:f>D2419+'Resumen'!$B$5^3/3</x:f>
        <x:v>0.05650624130007015</x:v>
      </x:c>
    </x:row>
    <x:row r="2420">
      <x:c r="A2420" s="89" t="n">
        <x:v>2418</x:v>
      </x:c>
      <x:c r="B2420" s="80" t="n">
        <x:v>0.0911098535833632</x:v>
      </x:c>
      <x:c r="C2420" s="84" t="n">
        <x:f>SQRT('Resumen'!$B$5^3/3)*B2420</x:f>
        <x:v>0.05260229849218213</x:v>
      </x:c>
      <x:c r="D2420" s="84" t="n">
        <x:f>C2420^2-'Resumen'!$B$5^3/3</x:f>
        <x:v>-0.3305663315266727</x:v>
      </x:c>
      <x:c r="E2420" s="85" t="n">
        <x:f>D2420+'Resumen'!$B$5^3/3</x:f>
        <x:v>0.0027670018066606183</x:v>
      </x:c>
    </x:row>
    <x:row r="2421">
      <x:c r="A2421" s="89" t="n">
        <x:v>2419</x:v>
      </x:c>
      <x:c r="B2421" s="80" t="n">
        <x:v>-1.0903965439897703</x:v>
      </x:c>
      <x:c r="C2421" s="84" t="n">
        <x:f>SQRT('Resumen'!$B$5^3/3)*B2421</x:f>
        <x:v>-0.6295407381959315</x:v>
      </x:c>
      <x:c r="D2421" s="84" t="n">
        <x:f>C2421^2-'Resumen'!$B$5^3/3</x:f>
        <x:v>0.06298820771494501</x:v>
      </x:c>
      <x:c r="E2421" s="85" t="n">
        <x:f>D2421+'Resumen'!$B$5^3/3</x:f>
        <x:v>0.3963215410482783</x:v>
      </x:c>
    </x:row>
    <x:row r="2422">
      <x:c r="A2422" s="89" t="n">
        <x:v>2420</x:v>
      </x:c>
      <x:c r="B2422" s="80" t="n">
        <x:v>0.8199317168757839</x:v>
      </x:c>
      <x:c r="C2422" s="84" t="n">
        <x:f>SQRT('Resumen'!$B$5^3/3)*B2422</x:f>
        <x:v>0.4733877974553458</x:v>
      </x:c>
      <x:c r="D2422" s="84" t="n">
        <x:f>C2422^2-'Resumen'!$B$5^3/3</x:f>
        <x:v>-0.1092373265537098</x:v>
      </x:c>
      <x:c r="E2422" s="85" t="n">
        <x:f>D2422+'Resumen'!$B$5^3/3</x:f>
        <x:v>0.22409600677962352</x:v>
      </x:c>
    </x:row>
    <x:row r="2423">
      <x:c r="A2423" s="89" t="n">
        <x:v>2421</x:v>
      </x:c>
      <x:c r="B2423" s="80" t="n">
        <x:v>-0.21830387476532806</x:v>
      </x:c>
      <x:c r="C2423" s="84" t="n">
        <x:f>SQRT('Resumen'!$B$5^3/3)*B2423</x:f>
        <x:v>-0.1260378008609005</x:v>
      </x:c>
      <x:c r="D2423" s="84" t="n">
        <x:f>C2423^2-'Resumen'!$B$5^3/3</x:f>
        <x:v>-0.3174478060874813</x:v>
      </x:c>
      <x:c r="E2423" s="85" t="n">
        <x:f>D2423+'Resumen'!$B$5^3/3</x:f>
        <x:v>0.015885527245852016</x:v>
      </x:c>
    </x:row>
    <x:row r="2424">
      <x:c r="A2424" s="89" t="n">
        <x:v>2422</x:v>
      </x:c>
      <x:c r="B2424" s="80" t="n">
        <x:v>1.0353896404228078</x:v>
      </x:c>
      <x:c r="C2424" s="84" t="n">
        <x:f>SQRT('Resumen'!$B$5^3/3)*B2424</x:f>
        <x:v>0.5977824876142579</x:v>
      </x:c>
      <x:c r="D2424" s="84" t="n">
        <x:f>C2424^2-'Resumen'!$B$5^3/3</x:f>
        <x:v>0.024010569164957085</x:v>
      </x:c>
      <x:c r="E2424" s="85" t="n">
        <x:f>D2424+'Resumen'!$B$5^3/3</x:f>
        <x:v>0.3573439024982904</x:v>
      </x:c>
    </x:row>
    <x:row r="2425">
      <x:c r="A2425" s="89" t="n">
        <x:v>2423</x:v>
      </x:c>
      <x:c r="B2425" s="80" t="n">
        <x:v>0.13346745826671627</x:v>
      </x:c>
      <x:c r="C2425" s="84" t="n">
        <x:f>SQRT('Resumen'!$B$5^3/3)*B2425</x:f>
        <x:v>0.07705747295834378</x:v>
      </x:c>
      <x:c r="D2425" s="84" t="n">
        <x:f>C2425^2-'Resumen'!$B$5^3/3</x:f>
        <x:v>-0.32739547919460743</x:v>
      </x:c>
      <x:c r="E2425" s="85" t="n">
        <x:f>D2425+'Resumen'!$B$5^3/3</x:f>
        <x:v>0.005937854138725884</x:v>
      </x:c>
    </x:row>
    <x:row r="2426">
      <x:c r="A2426" s="89" t="n">
        <x:v>2424</x:v>
      </x:c>
      <x:c r="B2426" s="80" t="n">
        <x:v>0.15269147743412032</x:v>
      </x:c>
      <x:c r="C2426" s="84" t="n">
        <x:f>SQRT('Resumen'!$B$5^3/3)*B2426</x:f>
        <x:v>0.08815646559955102</x:v>
      </x:c>
      <x:c r="D2426" s="84" t="n">
        <x:f>C2426^2-'Resumen'!$B$5^3/3</x:f>
        <x:v>-0.3255617709063285</x:v>
      </x:c>
      <x:c r="E2426" s="85" t="n">
        <x:f>D2426+'Resumen'!$B$5^3/3</x:f>
        <x:v>0.00777156242700483</x:v>
      </x:c>
    </x:row>
    <x:row r="2427">
      <x:c r="A2427" s="89" t="n">
        <x:v>2425</x:v>
      </x:c>
      <x:c r="B2427" s="80" t="n">
        <x:v>-0.13626820206078857</x:v>
      </x:c>
      <x:c r="C2427" s="84" t="n">
        <x:f>SQRT('Resumen'!$B$5^3/3)*B2427</x:f>
        <x:v>-0.07867448314178259</x:v>
      </x:c>
      <x:c r="D2427" s="84" t="n">
        <x:f>C2427^2-'Resumen'!$B$5^3/3</x:f>
        <x:v>-0.3271436590357067</x:v>
      </x:c>
      <x:c r="E2427" s="85" t="n">
        <x:f>D2427+'Resumen'!$B$5^3/3</x:f>
        <x:v>0.006189674297626624</x:v>
      </x:c>
    </x:row>
    <x:row r="2428">
      <x:c r="A2428" s="89" t="n">
        <x:v>2426</x:v>
      </x:c>
      <x:c r="B2428" s="80" t="n">
        <x:v>1.0994490527449055</x:v>
      </x:c>
      <x:c r="C2428" s="84" t="n">
        <x:f>SQRT('Resumen'!$B$5^3/3)*B2428</x:f>
        <x:v>0.6347672065625501</x:v>
      </x:c>
      <x:c r="D2428" s="84" t="n">
        <x:f>C2428^2-'Resumen'!$B$5^3/3</x:f>
        <x:v>0.06959607319388988</x:v>
      </x:c>
      <x:c r="E2428" s="85" t="n">
        <x:f>D2428+'Resumen'!$B$5^3/3</x:f>
        <x:v>0.4029294065272232</x:v>
      </x:c>
    </x:row>
    <x:row r="2429">
      <x:c r="A2429" s="89" t="n">
        <x:v>2427</x:v>
      </x:c>
      <x:c r="B2429" s="80" t="n">
        <x:v>1.5451633731518843</x:v>
      </x:c>
      <x:c r="C2429" s="84" t="n">
        <x:f>SQRT('Resumen'!$B$5^3/3)*B2429</x:f>
        <x:v>0.8921004894311906</x:v>
      </x:c>
      <x:c r="D2429" s="84" t="n">
        <x:f>C2429^2-'Resumen'!$B$5^3/3</x:f>
        <x:v>0.4625099499100364</x:v>
      </x:c>
      <x:c r="E2429" s="85" t="n">
        <x:f>D2429+'Resumen'!$B$5^3/3</x:f>
        <x:v>0.7958432832433697</x:v>
      </x:c>
    </x:row>
    <x:row r="2430">
      <x:c r="A2430" s="89" t="n">
        <x:v>2428</x:v>
      </x:c>
      <x:c r="B2430" s="80" t="n">
        <x:v>1.953909322456998</x:v>
      </x:c>
      <x:c r="C2430" s="84" t="n">
        <x:f>SQRT('Resumen'!$B$5^3/3)*B2430</x:f>
        <x:v>1.128090073292667</x:v>
      </x:c>
      <x:c r="D2430" s="84" t="n">
        <x:f>C2430^2-'Resumen'!$B$5^3/3</x:f>
        <x:v>0.9392538801281218</x:v>
      </x:c>
      <x:c r="E2430" s="85" t="n">
        <x:f>D2430+'Resumen'!$B$5^3/3</x:f>
        <x:v>1.272587213461455</x:v>
      </x:c>
    </x:row>
    <x:row r="2431">
      <x:c r="A2431" s="89" t="n">
        <x:v>2429</x:v>
      </x:c>
      <x:c r="B2431" s="80" t="n">
        <x:v>0.7770469835507324</x:v>
      </x:c>
      <x:c r="C2431" s="84" t="n">
        <x:f>SQRT('Resumen'!$B$5^3/3)*B2431</x:f>
        <x:v>0.44862828512600206</x:v>
      </x:c>
      <x:c r="D2431" s="84" t="n">
        <x:f>C2431^2-'Resumen'!$B$5^3/3</x:f>
        <x:v>-0.1320659951182359</x:v>
      </x:c>
      <x:c r="E2431" s="85" t="n">
        <x:f>D2431+'Resumen'!$B$5^3/3</x:f>
        <x:v>0.2012673382150974</x:v>
      </x:c>
    </x:row>
    <x:row r="2432">
      <x:c r="A2432" s="89" t="n">
        <x:v>2430</x:v>
      </x:c>
      <x:c r="B2432" s="80" t="n">
        <x:v>-0.8200663053548508</x:v>
      </x:c>
      <x:c r="C2432" s="84" t="n">
        <x:f>SQRT('Resumen'!$B$5^3/3)*B2432</x:f>
        <x:v>-0.4734655021499649</x:v>
      </x:c>
      <x:c r="D2432" s="84" t="n">
        <x:f>C2432^2-'Resumen'!$B$5^3/3</x:f>
        <x:v>-0.10916375160721489</x:v>
      </x:c>
      <x:c r="E2432" s="85" t="n">
        <x:f>D2432+'Resumen'!$B$5^3/3</x:f>
        <x:v>0.22416958172611842</x:v>
      </x:c>
    </x:row>
    <x:row r="2433">
      <x:c r="A2433" s="89" t="n">
        <x:v>2431</x:v>
      </x:c>
      <x:c r="B2433" s="80" t="n">
        <x:v>1.27825686198855</x:v>
      </x:c>
      <x:c r="C2433" s="84" t="n">
        <x:f>SQRT('Resumen'!$B$5^3/3)*B2433</x:f>
        <x:v>0.7380019433625755</x:v>
      </x:c>
      <x:c r="D2433" s="84" t="n">
        <x:f>C2433^2-'Resumen'!$B$5^3/3</x:f>
        <x:v>0.21131353507360479</x:v>
      </x:c>
      <x:c r="E2433" s="85" t="n">
        <x:f>D2433+'Resumen'!$B$5^3/3</x:f>
        <x:v>0.5446468684069381</x:v>
      </x:c>
    </x:row>
    <x:row r="2434">
      <x:c r="A2434" s="89" t="n">
        <x:v>2432</x:v>
      </x:c>
      <x:c r="B2434" s="80" t="n">
        <x:v>0.5296857154440088</x:v>
      </x:c>
      <x:c r="C2434" s="84" t="n">
        <x:f>SQRT('Resumen'!$B$5^3/3)*B2434</x:f>
        <x:v>0.30581419039749796</x:v>
      </x:c>
      <x:c r="D2434" s="84" t="n">
        <x:f>C2434^2-'Resumen'!$B$5^3/3</x:f>
        <x:v>-0.23981101428485618</x:v>
      </x:c>
      <x:c r="E2434" s="85" t="n">
        <x:f>D2434+'Resumen'!$B$5^3/3</x:f>
        <x:v>0.09352231904847713</x:v>
      </x:c>
    </x:row>
    <x:row r="2435">
      <x:c r="A2435" s="89" t="n">
        <x:v>2433</x:v>
      </x:c>
      <x:c r="B2435" s="80" t="n">
        <x:v>-0.3074141399371189</x:v>
      </x:c>
      <x:c r="C2435" s="84" t="n">
        <x:f>SQRT('Resumen'!$B$5^3/3)*B2435</x:f>
        <x:v>-0.1774856364453929</x:v>
      </x:c>
      <x:c r="D2435" s="84" t="n">
        <x:f>C2435^2-'Resumen'!$B$5^3/3</x:f>
        <x:v>-0.3018321821889071</x:v>
      </x:c>
      <x:c r="E2435" s="85" t="n">
        <x:f>D2435+'Resumen'!$B$5^3/3</x:f>
        <x:v>0.0315011511444262</x:v>
      </x:c>
    </x:row>
    <x:row r="2436">
      <x:c r="A2436" s="89" t="n">
        <x:v>2434</x:v>
      </x:c>
      <x:c r="B2436" s="80" t="n">
        <x:v>-1.016103384805374</x:v>
      </x:c>
      <x:c r="C2436" s="84" t="n">
        <x:f>SQRT('Resumen'!$B$5^3/3)*B2436</x:f>
        <x:v>-0.5866475627418726</x:v>
      </x:c>
      <x:c r="D2436" s="84" t="n">
        <x:f>C2436^2-'Resumen'!$B$5^3/3</x:f>
        <x:v>0.010822029537645994</x:v>
      </x:c>
      <x:c r="E2436" s="85" t="n">
        <x:f>D2436+'Resumen'!$B$5^3/3</x:f>
        <x:v>0.3441553628709793</x:v>
      </x:c>
    </x:row>
    <x:row r="2437">
      <x:c r="A2437" s="89" t="n">
        <x:v>2435</x:v>
      </x:c>
      <x:c r="B2437" s="80" t="n">
        <x:v>0.7704245789526261</x:v>
      </x:c>
      <x:c r="C2437" s="84" t="n">
        <x:f>SQRT('Resumen'!$B$5^3/3)*B2437</x:f>
        <x:v>0.4448048380486027</x:v>
      </x:c>
      <x:c r="D2437" s="84" t="n">
        <x:f>C2437^2-'Resumen'!$B$5^3/3</x:f>
        <x:v>-0.13548198938188963</x:v>
      </x:c>
      <x:c r="E2437" s="85" t="n">
        <x:f>D2437+'Resumen'!$B$5^3/3</x:f>
        <x:v>0.1978513439514437</x:v>
      </x:c>
    </x:row>
    <x:row r="2438">
      <x:c r="A2438" s="89" t="n">
        <x:v>2436</x:v>
      </x:c>
      <x:c r="B2438" s="80" t="n">
        <x:v>-0.763969296706859</x:v>
      </x:c>
      <x:c r="C2438" s="84" t="n">
        <x:f>SQRT('Resumen'!$B$5^3/3)*B2438</x:f>
        <x:v>-0.4410778791063141</x:v>
      </x:c>
      <x:c r="D2438" s="84" t="n">
        <x:f>C2438^2-'Resumen'!$B$5^3/3</x:f>
        <x:v>-0.1387836378964091</x:v>
      </x:c>
      <x:c r="E2438" s="85" t="n">
        <x:f>D2438+'Resumen'!$B$5^3/3</x:f>
        <x:v>0.1945496954369242</x:v>
      </x:c>
    </x:row>
    <x:row r="2439">
      <x:c r="A2439" s="89" t="n">
        <x:v>2437</x:v>
      </x:c>
      <x:c r="B2439" s="80" t="n">
        <x:v>0.5302970064107505</x:v>
      </x:c>
      <x:c r="C2439" s="84" t="n">
        <x:f>SQRT('Resumen'!$B$5^3/3)*B2439</x:f>
        <x:v>0.3061671194016995</x:v>
      </x:c>
      <x:c r="D2439" s="84" t="n">
        <x:f>C2439^2-'Resumen'!$B$5^3/3</x:f>
        <x:v>-0.2395950283305988</x:v>
      </x:c>
      <x:c r="E2439" s="85" t="n">
        <x:f>D2439+'Resumen'!$B$5^3/3</x:f>
        <x:v>0.0937383050027345</x:v>
      </x:c>
    </x:row>
    <x:row r="2440">
      <x:c r="A2440" s="89" t="n">
        <x:v>2438</x:v>
      </x:c>
      <x:c r="B2440" s="80" t="n">
        <x:v>-0.7325807904653254</x:v>
      </x:c>
      <x:c r="C2440" s="84" t="n">
        <x:f>SQRT('Resumen'!$B$5^3/3)*B2440</x:f>
        <x:v>-0.42295571657830444</x:v>
      </x:c>
      <x:c r="D2440" s="84" t="n">
        <x:f>C2440^2-'Resumen'!$B$5^3/3</x:f>
        <x:v>-0.15444179514706632</x:v>
      </x:c>
      <x:c r="E2440" s="85" t="n">
        <x:f>D2440+'Resumen'!$B$5^3/3</x:f>
        <x:v>0.178891538186267</x:v>
      </x:c>
    </x:row>
    <x:row r="2441">
      <x:c r="A2441" s="89" t="n">
        <x:v>2439</x:v>
      </x:c>
      <x:c r="B2441" s="80" t="n">
        <x:v>-0.2186050359615212</x:v>
      </x:c>
      <x:c r="C2441" s="84" t="n">
        <x:f>SQRT('Resumen'!$B$5^3/3)*B2441</x:f>
        <x:v>-0.12621167635859207</x:v>
      </x:c>
      <x:c r="D2441" s="84" t="n">
        <x:f>C2441^2-'Resumen'!$B$5^3/3</x:f>
        <x:v>-0.31740394608408734</x:v>
      </x:c>
      <x:c r="E2441" s="85" t="n">
        <x:f>D2441+'Resumen'!$B$5^3/3</x:f>
        <x:v>0.015929387249245974</x:v>
      </x:c>
    </x:row>
    <x:row r="2442">
      <x:c r="A2442" s="89" t="n">
        <x:v>2440</x:v>
      </x:c>
      <x:c r="B2442" s="80" t="n">
        <x:v>-0.015793208649597715</x:v>
      </x:c>
      <x:c r="C2442" s="84" t="n">
        <x:f>SQRT('Resumen'!$B$5^3/3)*B2442</x:f>
        <x:v>-0.009118213265213166</x:v>
      </x:c>
      <x:c r="D2442" s="84" t="n">
        <x:f>C2442^2-'Resumen'!$B$5^3/3</x:f>
        <x:v>-0.3332501915201834</x:v>
      </x:c>
      <x:c r="E2442" s="85" t="n">
        <x:f>D2442+'Resumen'!$B$5^3/3</x:f>
        <x:v>0.00008314181314988955</x:v>
      </x:c>
    </x:row>
    <x:row r="2443">
      <x:c r="A2443" s="89" t="n">
        <x:v>2441</x:v>
      </x:c>
      <x:c r="B2443" s="80" t="n">
        <x:v>-0.7568540822768826</x:v>
      </x:c>
      <x:c r="C2443" s="84" t="n">
        <x:f>SQRT('Resumen'!$B$5^3/3)*B2443</x:f>
        <x:v>-0.4369699081398253</x:v>
      </x:c>
      <x:c r="D2443" s="84" t="n">
        <x:f>C2443^2-'Resumen'!$B$5^3/3</x:f>
        <x:v>-0.14239063271360597</x:v>
      </x:c>
      <x:c r="E2443" s="85" t="n">
        <x:f>D2443+'Resumen'!$B$5^3/3</x:f>
        <x:v>0.19094270061972735</x:v>
      </x:c>
    </x:row>
    <x:row r="2444">
      <x:c r="A2444" s="89" t="n">
        <x:v>2442</x:v>
      </x:c>
      <x:c r="B2444" s="80" t="n">
        <x:v>0.9291492129736812</x:v>
      </x:c>
      <x:c r="C2444" s="84" t="n">
        <x:f>SQRT('Resumen'!$B$5^3/3)*B2444</x:f>
        <x:v>0.5364445482276837</x:v>
      </x:c>
      <x:c r="D2444" s="84" t="n">
        <x:f>C2444^2-'Resumen'!$B$5^3/3</x:f>
        <x:v>-0.04556058001012964</x:v>
      </x:c>
      <x:c r="E2444" s="85" t="n">
        <x:f>D2444+'Resumen'!$B$5^3/3</x:f>
        <x:v>0.2877727533232037</x:v>
      </x:c>
    </x:row>
    <x:row r="2445">
      <x:c r="A2445" s="89" t="n">
        <x:v>2443</x:v>
      </x:c>
      <x:c r="B2445" s="80" t="n">
        <x:v>-0.5048532593222061</x:v>
      </x:c>
      <x:c r="C2445" s="84" t="n">
        <x:f>SQRT('Resumen'!$B$5^3/3)*B2445</x:f>
        <x:v>-0.29147716517093564</x:v>
      </x:c>
      <x:c r="D2445" s="84" t="n">
        <x:f>C2445^2-'Resumen'!$B$5^3/3</x:f>
        <x:v>-0.24837439551724844</x:v>
      </x:c>
      <x:c r="E2445" s="85" t="n">
        <x:f>D2445+'Resumen'!$B$5^3/3</x:f>
        <x:v>0.08495893781608488</x:v>
      </x:c>
    </x:row>
    <x:row r="2446">
      <x:c r="A2446" s="89" t="n">
        <x:v>2444</x:v>
      </x:c>
      <x:c r="B2446" s="80" t="n">
        <x:v>0.1377379474500671</x:v>
      </x:c>
      <x:c r="C2446" s="84" t="n">
        <x:f>SQRT('Resumen'!$B$5^3/3)*B2446</x:f>
        <x:v>0.07952304103792276</x:v>
      </x:c>
      <x:c r="D2446" s="84" t="n">
        <x:f>C2446^2-'Resumen'!$B$5^3/3</x:f>
        <x:v>-0.32700941927741417</x:v>
      </x:c>
      <x:c r="E2446" s="85" t="n">
        <x:f>D2446+'Resumen'!$B$5^3/3</x:f>
        <x:v>0.006323914055919144</x:v>
      </x:c>
    </x:row>
    <x:row r="2447">
      <x:c r="A2447" s="89" t="n">
        <x:v>2445</x:v>
      </x:c>
      <x:c r="B2447" s="80" t="n">
        <x:v>0.3489394582376114</x:v>
      </x:c>
      <x:c r="C2447" s="84" t="n">
        <x:f>SQRT('Resumen'!$B$5^3/3)*B2447</x:f>
        <x:v>0.20146029014436712</x:v>
      </x:c>
      <x:c r="D2447" s="84" t="n">
        <x:f>C2447^2-'Resumen'!$B$5^3/3</x:f>
        <x:v>-0.2927470848282807</x:v>
      </x:c>
      <x:c r="E2447" s="85" t="n">
        <x:f>D2447+'Resumen'!$B$5^3/3</x:f>
        <x:v>0.0405862485050526</x:v>
      </x:c>
    </x:row>
    <x:row r="2448">
      <x:c r="A2448" s="89" t="n">
        <x:v>2446</x:v>
      </x:c>
      <x:c r="B2448" s="80" t="n">
        <x:v>1.821490256576293</x:v>
      </x:c>
      <x:c r="C2448" s="84" t="n">
        <x:f>SQRT('Resumen'!$B$5^3/3)*B2448</x:f>
        <x:v>1.0516378899606031</x:v>
      </x:c>
      <x:c r="D2448" s="84" t="n">
        <x:f>C2448^2-'Resumen'!$B$5^3/3</x:f>
        <x:v>0.7726089182674565</x:v>
      </x:c>
      <x:c r="E2448" s="85" t="n">
        <x:f>D2448+'Resumen'!$B$5^3/3</x:f>
        <x:v>1.1059422516007897</x:v>
      </x:c>
    </x:row>
    <x:row r="2449">
      <x:c r="A2449" s="89" t="n">
        <x:v>2447</x:v>
      </x:c>
      <x:c r="B2449" s="80" t="n">
        <x:v>-0.4401867666242101</x:v>
      </x:c>
      <x:c r="C2449" s="84" t="n">
        <x:f>SQRT('Resumen'!$B$5^3/3)*B2449</x:f>
        <x:v>-0.25414194820419866</x:v>
      </x:c>
      <x:c r="D2449" s="84" t="n">
        <x:f>C2449^2-'Resumen'!$B$5^3/3</x:f>
        <x:v>-0.2687452034963077</x:v>
      </x:c>
      <x:c r="E2449" s="85" t="n">
        <x:f>D2449+'Resumen'!$B$5^3/3</x:f>
        <x:v>0.06458812983702561</x:v>
      </x:c>
    </x:row>
    <x:row r="2450">
      <x:c r="A2450" s="89" t="n">
        <x:v>2448</x:v>
      </x:c>
      <x:c r="B2450" s="80" t="n">
        <x:v>0.0789691555183971</x:v>
      </x:c>
      <x:c r="C2450" s="84" t="n">
        <x:f>SQRT('Resumen'!$B$5^3/3)*B2450</x:f>
        <x:v>0.045592863196223986</x:v>
      </x:c>
      <x:c r="D2450" s="84" t="n">
        <x:f>C2450^2-'Resumen'!$B$5^3/3</x:f>
        <x:v>-0.3312546241589037</x:v>
      </x:c>
      <x:c r="E2450" s="85" t="n">
        <x:f>D2450+'Resumen'!$B$5^3/3</x:f>
        <x:v>0.002078709174429594</x:v>
      </x:c>
    </x:row>
    <x:row r="2451">
      <x:c r="A2451" s="89" t="n">
        <x:v>2449</x:v>
      </x:c>
      <x:c r="B2451" s="80" t="n">
        <x:v>-0.9843240397377712</x:v>
      </x:c>
      <x:c r="C2451" s="84" t="n">
        <x:f>SQRT('Resumen'!$B$5^3/3)*B2451</x:f>
        <x:v>-0.568299749312422</x:v>
      </x:c>
      <x:c r="D2451" s="84" t="n">
        <x:f>C2451^2-'Resumen'!$B$5^3/3</x:f>
        <x:v>-0.010368728264771643</x:v>
      </x:c>
      <x:c r="E2451" s="85" t="n">
        <x:f>D2451+'Resumen'!$B$5^3/3</x:f>
        <x:v>0.32296460506856167</x:v>
      </x:c>
    </x:row>
    <x:row r="2452">
      <x:c r="A2452" s="89" t="n">
        <x:v>2450</x:v>
      </x:c>
      <x:c r="B2452" s="80" t="n">
        <x:v>-0.894855972037555</x:v>
      </x:c>
      <x:c r="C2452" s="84" t="n">
        <x:f>SQRT('Resumen'!$B$5^3/3)*B2452</x:f>
        <x:v>-0.5166453363418265</x:v>
      </x:c>
      <x:c r="D2452" s="84" t="n">
        <x:f>C2452^2-'Resumen'!$B$5^3/3</x:f>
        <x:v>-0.06641092976957425</x:v>
      </x:c>
      <x:c r="E2452" s="85" t="n">
        <x:f>D2452+'Resumen'!$B$5^3/3</x:f>
        <x:v>0.26692240356375907</x:v>
      </x:c>
    </x:row>
    <x:row r="2453">
      <x:c r="A2453" s="89" t="n">
        <x:v>2451</x:v>
      </x:c>
      <x:c r="B2453" s="80" t="n">
        <x:v>0.016014477758112725</x:v>
      </x:c>
      <x:c r="C2453" s="84" t="n">
        <x:f>SQRT('Resumen'!$B$5^3/3)*B2453</x:f>
        <x:v>0.009245963044577655</x:v>
      </x:c>
      <x:c r="D2453" s="84" t="n">
        <x:f>C2453^2-'Resumen'!$B$5^3/3</x:f>
        <x:v>-0.3332478455007116</x:v>
      </x:c>
      <x:c r="E2453" s="85" t="n">
        <x:f>D2453+'Resumen'!$B$5^3/3</x:f>
        <x:v>0.00008548783262168902</x:v>
      </x:c>
    </x:row>
    <x:row r="2454">
      <x:c r="A2454" s="89" t="n">
        <x:v>2452</x:v>
      </x:c>
      <x:c r="B2454" s="80" t="n">
        <x:v>-2.1222487600373685</x:v>
      </x:c>
      <x:c r="C2454" s="84" t="n">
        <x:f>SQRT('Resumen'!$B$5^3/3)*B2454</x:f>
        <x:v>-1.2252808928949241</x:v>
      </x:c>
      <x:c r="D2454" s="84" t="n">
        <x:f>C2454^2-'Resumen'!$B$5^3/3</x:f>
        <x:v>1.1679799331600493</x:v>
      </x:c>
      <x:c r="E2454" s="85" t="n">
        <x:f>D2454+'Resumen'!$B$5^3/3</x:f>
        <x:v>1.5013132664933826</x:v>
      </x:c>
    </x:row>
    <x:row r="2455">
      <x:c r="A2455" s="89" t="n">
        <x:v>2453</x:v>
      </x:c>
      <x:c r="B2455" s="80" t="n">
        <x:v>1.7870327486724604</x:v>
      </x:c>
      <x:c r="C2455" s="84" t="n">
        <x:f>SQRT('Resumen'!$B$5^3/3)*B2455</x:f>
        <x:v>1.031743838496722</x:v>
      </x:c>
      <x:c r="D2455" s="84" t="n">
        <x:f>C2455^2-'Resumen'!$B$5^3/3</x:f>
        <x:v>0.7311620149426166</x:v>
      </x:c>
      <x:c r="E2455" s="85" t="n">
        <x:f>D2455+'Resumen'!$B$5^3/3</x:f>
        <x:v>1.0644953482759498</x:v>
      </x:c>
    </x:row>
    <x:row r="2456">
      <x:c r="A2456" s="89" t="n">
        <x:v>2454</x:v>
      </x:c>
      <x:c r="B2456" s="80" t="n">
        <x:v>0.3963139263824423</x:v>
      </x:c>
      <x:c r="C2456" s="84" t="n">
        <x:f>SQRT('Resumen'!$B$5^3/3)*B2456</x:f>
        <x:v>0.22881195208050056</x:v>
      </x:c>
      <x:c r="D2456" s="84" t="n">
        <x:f>C2456^2-'Resumen'!$B$5^3/3</x:f>
        <x:v>-0.280978423918444</x:v>
      </x:c>
      <x:c r="E2456" s="85" t="n">
        <x:f>D2456+'Resumen'!$B$5^3/3</x:f>
        <x:v>0.052354909414889295</x:v>
      </x:c>
    </x:row>
    <x:row r="2457">
      <x:c r="A2457" s="89" t="n">
        <x:v>2455</x:v>
      </x:c>
      <x:c r="B2457" s="80" t="n">
        <x:v>1.7229406155536584</x:v>
      </x:c>
      <x:c r="C2457" s="84" t="n">
        <x:f>SQRT('Resumen'!$B$5^3/3)*B2457</x:f>
        <x:v>0.9947402281876442</x:v>
      </x:c>
      <x:c r="D2457" s="84" t="n">
        <x:f>C2457^2-'Resumen'!$B$5^3/3</x:f>
        <x:v>0.656174788241473</x:v>
      </x:c>
      <x:c r="E2457" s="85" t="n">
        <x:f>D2457+'Resumen'!$B$5^3/3</x:f>
        <x:v>0.9895081215748063</x:v>
      </x:c>
    </x:row>
    <x:row r="2458">
      <x:c r="A2458" s="89" t="n">
        <x:v>2456</x:v>
      </x:c>
      <x:c r="B2458" s="80" t="n">
        <x:v>-1.3428415552151252</x:v>
      </x:c>
      <x:c r="C2458" s="84" t="n">
        <x:f>SQRT('Resumen'!$B$5^3/3)*B2458</x:f>
        <x:v>-0.7752899333824682</x:v>
      </x:c>
      <x:c r="D2458" s="84" t="n">
        <x:f>C2458^2-'Resumen'!$B$5^3/3</x:f>
        <x:v>0.2677411474708587</x:v>
      </x:c>
      <x:c r="E2458" s="85" t="n">
        <x:f>D2458+'Resumen'!$B$5^3/3</x:f>
        <x:v>0.601074480804192</x:v>
      </x:c>
    </x:row>
    <x:row r="2459">
      <x:c r="A2459" s="89" t="n">
        <x:v>2457</x:v>
      </x:c>
      <x:c r="B2459" s="80" t="n">
        <x:v>-0.9706304468607806</x:v>
      </x:c>
      <x:c r="C2459" s="84" t="n">
        <x:f>SQRT('Resumen'!$B$5^3/3)*B2459</x:f>
        <x:v>-0.5603937497787184</x:v>
      </x:c>
      <x:c r="D2459" s="84" t="n">
        <x:f>C2459^2-'Resumen'!$B$5^3/3</x:f>
        <x:v>-0.01929217854228049</x:v>
      </x:c>
      <x:c r="E2459" s="85" t="n">
        <x:f>D2459+'Resumen'!$B$5^3/3</x:f>
        <x:v>0.3140411547910528</x:v>
      </x:c>
    </x:row>
    <x:row r="2460">
      <x:c r="A2460" s="89" t="n">
        <x:v>2458</x:v>
      </x:c>
      <x:c r="B2460" s="80" t="n">
        <x:v>-0.6830240061958872</x:v>
      </x:c>
      <x:c r="C2460" s="84" t="n">
        <x:f>SQRT('Resumen'!$B$5^3/3)*B2460</x:f>
        <x:v>-0.39434409384017205</x:v>
      </x:c>
      <x:c r="D2460" s="84" t="n">
        <x:f>C2460^2-'Resumen'!$B$5^3/3</x:f>
        <x:v>-0.1778260689867069</x:v>
      </x:c>
      <x:c r="E2460" s="85" t="n">
        <x:f>D2460+'Resumen'!$B$5^3/3</x:f>
        <x:v>0.15550726434662643</x:v>
      </x:c>
    </x:row>
    <x:row r="2461">
      <x:c r="A2461" s="89" t="n">
        <x:v>2459</x:v>
      </x:c>
      <x:c r="B2461" s="80" t="n">
        <x:v>-0.14437862081003497</x:v>
      </x:c>
      <x:c r="C2461" s="84" t="n">
        <x:f>SQRT('Resumen'!$B$5^3/3)*B2461</x:f>
        <x:v>-0.08335703558990058</x:v>
      </x:c>
      <x:c r="D2461" s="84" t="n">
        <x:f>C2461^2-'Resumen'!$B$5^3/3</x:f>
        <x:v>-0.3263849379509974</x:v>
      </x:c>
      <x:c r="E2461" s="85" t="n">
        <x:f>D2461+'Resumen'!$B$5^3/3</x:f>
        <x:v>0.006948395382335937</x:v>
      </x:c>
    </x:row>
    <x:row r="2462">
      <x:c r="A2462" s="89" t="n">
        <x:v>2460</x:v>
      </x:c>
      <x:c r="B2462" s="80" t="n">
        <x:v>-0.9081904227028896</x:v>
      </x:c>
      <x:c r="C2462" s="84" t="n">
        <x:f>SQRT('Resumen'!$B$5^3/3)*B2462</x:f>
        <x:v>-0.5243439850229533</x:v>
      </x:c>
      <x:c r="D2462" s="84" t="n">
        <x:f>C2462^2-'Resumen'!$B$5^3/3</x:f>
        <x:v>-0.05839671870358221</x:v>
      </x:c>
      <x:c r="E2462" s="85" t="n">
        <x:f>D2462+'Resumen'!$B$5^3/3</x:f>
        <x:v>0.2749366146297511</x:v>
      </x:c>
    </x:row>
    <x:row r="2463">
      <x:c r="A2463" s="89" t="n">
        <x:v>2461</x:v>
      </x:c>
      <x:c r="B2463" s="80" t="n">
        <x:v>-0.251343081541914</x:v>
      </x:c>
      <x:c r="C2463" s="84" t="n">
        <x:f>SQRT('Resumen'!$B$5^3/3)*B2463</x:f>
        <x:v>-0.1451129957871741</x:v>
      </x:c>
      <x:c r="D2463" s="84" t="n">
        <x:f>C2463^2-'Resumen'!$B$5^3/3</x:f>
        <x:v>-0.3122755517870049</x:v>
      </x:c>
      <x:c r="E2463" s="85" t="n">
        <x:f>D2463+'Resumen'!$B$5^3/3</x:f>
        <x:v>0.021057781546328425</x:v>
      </x:c>
    </x:row>
    <x:row r="2464">
      <x:c r="A2464" s="89" t="n">
        <x:v>2462</x:v>
      </x:c>
      <x:c r="B2464" s="80" t="n">
        <x:v>-0.28825669631375817</x:v>
      </x:c>
      <x:c r="C2464" s="84" t="n">
        <x:f>SQRT('Resumen'!$B$5^3/3)*B2464</x:f>
        <x:v>-0.16642508121246047</x:v>
      </x:c>
      <x:c r="D2464" s="84" t="n">
        <x:f>C2464^2-'Resumen'!$B$5^3/3</x:f>
        <x:v>-0.30563602567675924</x:v>
      </x:c>
      <x:c r="E2464" s="85" t="n">
        <x:f>D2464+'Resumen'!$B$5^3/3</x:f>
        <x:v>0.027697307656574077</x:v>
      </x:c>
    </x:row>
    <x:row r="2465">
      <x:c r="A2465" s="89" t="n">
        <x:v>2463</x:v>
      </x:c>
      <x:c r="B2465" s="80" t="n">
        <x:v>0.10195802239886241</x:v>
      </x:c>
      <x:c r="C2465" s="84" t="n">
        <x:f>SQRT('Resumen'!$B$5^3/3)*B2465</x:f>
        <x:v>0.0588654916780251</x:v>
      </x:c>
      <x:c r="D2465" s="84" t="n">
        <x:f>C2465^2-'Resumen'!$B$5^3/3</x:f>
        <x:v>-0.32986818722283767</x:v>
      </x:c>
      <x:c r="E2465" s="85" t="n">
        <x:f>D2465+'Resumen'!$B$5^3/3</x:f>
        <x:v>0.0034651461104956427</x:v>
      </x:c>
    </x:row>
    <x:row r="2466">
      <x:c r="A2466" s="89" t="n">
        <x:v>2464</x:v>
      </x:c>
      <x:c r="B2466" s="80" t="n">
        <x:v>-0.3756387398386051</x:v>
      </x:c>
      <x:c r="C2466" s="84" t="n">
        <x:f>SQRT('Resumen'!$B$5^3/3)*B2466</x:f>
        <x:v>-0.21687512756387042</x:v>
      </x:c>
      <x:c r="D2466" s="84" t="n">
        <x:f>C2466^2-'Resumen'!$B$5^3/3</x:f>
        <x:v>-0.28629851237748827</x:v>
      </x:c>
      <x:c r="E2466" s="85" t="n">
        <x:f>D2466+'Resumen'!$B$5^3/3</x:f>
        <x:v>0.04703482095584505</x:v>
      </x:c>
    </x:row>
    <x:row r="2467">
      <x:c r="A2467" s="89" t="n">
        <x:v>2465</x:v>
      </x:c>
      <x:c r="B2467" s="80" t="n">
        <x:v>0.6049468281023462</x:v>
      </x:c>
      <x:c r="C2467" s="84" t="n">
        <x:f>SQRT('Resumen'!$B$5^3/3)*B2467</x:f>
        <x:v>0.34926621405029984</x:v>
      </x:c>
      <x:c r="D2467" s="84" t="n">
        <x:f>C2467^2-'Resumen'!$B$5^3/3</x:f>
        <x:v>-0.21134644505630346</x:v>
      </x:c>
      <x:c r="E2467" s="85" t="n">
        <x:f>D2467+'Resumen'!$B$5^3/3</x:f>
        <x:v>0.12198688827702986</x:v>
      </x:c>
    </x:row>
    <x:row r="2468">
      <x:c r="A2468" s="89" t="n">
        <x:v>2466</x:v>
      </x:c>
      <x:c r="B2468" s="80" t="n">
        <x:v>-0.4735429270349927</x:v>
      </x:c>
      <x:c r="C2468" s="84" t="n">
        <x:f>SQRT('Resumen'!$B$5^3/3)*B2468</x:f>
        <x:v>-0.2734001363964963</x:v>
      </x:c>
      <x:c r="D2468" s="84" t="n">
        <x:f>C2468^2-'Resumen'!$B$5^3/3</x:f>
        <x:v>-0.25858569875171056</x:v>
      </x:c>
      <x:c r="E2468" s="85" t="n">
        <x:f>D2468+'Resumen'!$B$5^3/3</x:f>
        <x:v>0.07474763458162276</x:v>
      </x:c>
    </x:row>
    <x:row r="2469">
      <x:c r="A2469" s="89" t="n">
        <x:v>2467</x:v>
      </x:c>
      <x:c r="B2469" s="80" t="n">
        <x:v>-0.1622770020883562</x:v>
      </x:c>
      <x:c r="C2469" s="84" t="n">
        <x:f>SQRT('Resumen'!$B$5^3/3)*B2469</x:f>
        <x:v>-0.0936906708389979</x:v>
      </x:c>
      <x:c r="D2469" s="84" t="n">
        <x:f>C2469^2-'Resumen'!$B$5^3/3</x:f>
        <x:v>-0.3245553915310719</x:v>
      </x:c>
      <x:c r="E2469" s="85" t="n">
        <x:f>D2469+'Resumen'!$B$5^3/3</x:f>
        <x:v>0.008777941802261435</x:v>
      </x:c>
    </x:row>
    <x:row r="2470">
      <x:c r="A2470" s="89" t="n">
        <x:v>2468</x:v>
      </x:c>
      <x:c r="B2470" s="80" t="n">
        <x:v>1.7166091472722742</x:v>
      </x:c>
      <x:c r="C2470" s="84" t="n">
        <x:f>SQRT('Resumen'!$B$5^3/3)*B2470</x:f>
        <x:v>0.9910847532710214</x:v>
      </x:c>
      <x:c r="D2470" s="84" t="n">
        <x:f>C2470^2-'Resumen'!$B$5^3/3</x:f>
        <x:v>0.648915654832948</x:v>
      </x:c>
      <x:c r="E2470" s="85" t="n">
        <x:f>D2470+'Resumen'!$B$5^3/3</x:f>
        <x:v>0.9822489881662813</x:v>
      </x:c>
    </x:row>
    <x:row r="2471">
      <x:c r="A2471" s="89" t="n">
        <x:v>2469</x:v>
      </x:c>
      <x:c r="B2471" s="80" t="n">
        <x:v>0.7557995229145106</x:v>
      </x:c>
      <x:c r="C2471" s="84" t="n">
        <x:f>SQRT('Resumen'!$B$5^3/3)*B2471</x:f>
        <x:v>0.4363610580080834</x:v>
      </x:c>
      <x:c r="D2471" s="84" t="n">
        <x:f>C2471^2-'Resumen'!$B$5^3/3</x:f>
        <x:v>-0.1429223603873994</x:v>
      </x:c>
      <x:c r="E2471" s="85" t="n">
        <x:f>D2471+'Resumen'!$B$5^3/3</x:f>
        <x:v>0.19041097294593393</x:v>
      </x:c>
    </x:row>
    <x:row r="2472">
      <x:c r="A2472" s="89" t="n">
        <x:v>2470</x:v>
      </x:c>
      <x:c r="B2472" s="80" t="n">
        <x:v>1.9279742177904793</x:v>
      </x:c>
      <x:c r="C2472" s="84" t="n">
        <x:f>SQRT('Resumen'!$B$5^3/3)*B2472</x:f>
        <x:v>1.1131164336319914</x:v>
      </x:c>
      <x:c r="D2472" s="84" t="n">
        <x:f>C2472^2-'Resumen'!$B$5^3/3</x:f>
        <x:v>0.9056948614882703</x:v>
      </x:c>
      <x:c r="E2472" s="85" t="n">
        <x:f>D2472+'Resumen'!$B$5^3/3</x:f>
        <x:v>1.2390281948216035</x:v>
      </x:c>
    </x:row>
    <x:row r="2473">
      <x:c r="A2473" s="89" t="n">
        <x:v>2471</x:v>
      </x:c>
      <x:c r="B2473" s="80" t="n">
        <x:v>-1.2124121192131667</x:v>
      </x:c>
      <x:c r="C2473" s="84" t="n">
        <x:f>SQRT('Resumen'!$B$5^3/3)*B2473</x:f>
        <x:v>-0.6999864633964864</x:v>
      </x:c>
      <x:c r="D2473" s="84" t="n">
        <x:f>C2473^2-'Resumen'!$B$5^3/3</x:f>
        <x:v>0.1566477156049873</x:v>
      </x:c>
      <x:c r="E2473" s="85" t="n">
        <x:f>D2473+'Resumen'!$B$5^3/3</x:f>
        <x:v>0.4899810489383206</x:v>
      </x:c>
    </x:row>
    <x:row r="2474">
      <x:c r="A2474" s="89" t="n">
        <x:v>2472</x:v>
      </x:c>
      <x:c r="B2474" s="80" t="n">
        <x:v>-0.4361667025819176</x:v>
      </x:c>
      <x:c r="C2474" s="84" t="n">
        <x:f>SQRT('Resumen'!$B$5^3/3)*B2474</x:f>
        <x:v>-0.2518209631472215</x:v>
      </x:c>
      <x:c r="D2474" s="84" t="n">
        <x:f>C2474^2-'Resumen'!$B$5^3/3</x:f>
        <x:v>-0.26991953585293904</x:v>
      </x:c>
      <x:c r="E2474" s="85" t="n">
        <x:f>D2474+'Resumen'!$B$5^3/3</x:f>
        <x:v>0.06341379748039427</x:v>
      </x:c>
    </x:row>
    <x:row r="2475">
      <x:c r="A2475" s="89" t="n">
        <x:v>2473</x:v>
      </x:c>
      <x:c r="B2475" s="80" t="n">
        <x:v>-1.9971978948295457</x:v>
      </x:c>
      <x:c r="C2475" s="84" t="n">
        <x:f>SQRT('Resumen'!$B$5^3/3)*B2475</x:f>
        <x:v>-1.153082742204792</x:v>
      </x:c>
      <x:c r="D2475" s="84" t="n">
        <x:f>C2475^2-'Resumen'!$B$5^3/3</x:f>
        <x:v>0.9962664770371896</x:v>
      </x:c>
      <x:c r="E2475" s="85" t="n">
        <x:f>D2475+'Resumen'!$B$5^3/3</x:f>
        <x:v>1.3295998103705229</x:v>
      </x:c>
    </x:row>
    <x:row r="2476">
      <x:c r="A2476" s="89" t="n">
        <x:v>2474</x:v>
      </x:c>
      <x:c r="B2476" s="80" t="n">
        <x:v>-0.9673911947098693</x:v>
      </x:c>
      <x:c r="C2476" s="84" t="n">
        <x:f>SQRT('Resumen'!$B$5^3/3)*B2476</x:f>
        <x:v>-0.5585235666774166</x:v>
      </x:c>
      <x:c r="D2476" s="84" t="n">
        <x:f>C2476^2-'Resumen'!$B$5^3/3</x:f>
        <x:v>-0.021384758799270653</x:v>
      </x:c>
      <x:c r="E2476" s="85" t="n">
        <x:f>D2476+'Resumen'!$B$5^3/3</x:f>
        <x:v>0.31194857453406266</x:v>
      </x:c>
    </x:row>
    <x:row r="2477">
      <x:c r="A2477" s="89" t="n">
        <x:v>2475</x:v>
      </x:c>
      <x:c r="B2477" s="80" t="n">
        <x:v>-0.4479073373234487</x:v>
      </x:c>
      <x:c r="C2477" s="84" t="n">
        <x:f>SQRT('Resumen'!$B$5^3/3)*B2477</x:f>
        <x:v>-0.2585994217757016</x:v>
      </x:c>
      <x:c r="D2477" s="84" t="n">
        <x:f>C2477^2-'Resumen'!$B$5^3/3</x:f>
        <x:v>-0.2664596723906061</x:v>
      </x:c>
      <x:c r="E2477" s="85" t="n">
        <x:f>D2477+'Resumen'!$B$5^3/3</x:f>
        <x:v>0.06687366094272723</x:v>
      </x:c>
    </x:row>
    <x:row r="2478">
      <x:c r="A2478" s="89" t="n">
        <x:v>2476</x:v>
      </x:c>
      <x:c r="B2478" s="80" t="n">
        <x:v>1.5105420842898456</x:v>
      </x:c>
      <x:c r="C2478" s="84" t="n">
        <x:f>SQRT('Resumen'!$B$5^3/3)*B2478</x:f>
        <x:v>0.8721118789870007</x:v>
      </x:c>
      <x:c r="D2478" s="84" t="n">
        <x:f>C2478^2-'Resumen'!$B$5^3/3</x:f>
        <x:v>0.42724579613690367</x:v>
      </x:c>
      <x:c r="E2478" s="85" t="n">
        <x:f>D2478+'Resumen'!$B$5^3/3</x:f>
        <x:v>0.760579129470237</x:v>
      </x:c>
    </x:row>
    <x:row r="2479">
      <x:c r="A2479" s="89" t="n">
        <x:v>2477</x:v>
      </x:c>
      <x:c r="B2479" s="80" t="n">
        <x:v>-0.4646257804525302</x:v>
      </x:c>
      <x:c r="C2479" s="84" t="n">
        <x:f>SQRT('Resumen'!$B$5^3/3)*B2479</x:f>
        <x:v>-0.2682518194167083</x:v>
      </x:c>
      <x:c r="D2479" s="84" t="n">
        <x:f>C2479^2-'Resumen'!$B$5^3/3</x:f>
        <x:v>-0.26137429471295903</x:v>
      </x:c>
      <x:c r="E2479" s="85" t="n">
        <x:f>D2479+'Resumen'!$B$5^3/3</x:f>
        <x:v>0.07195903862037428</x:v>
      </x:c>
    </x:row>
    <x:row r="2480">
      <x:c r="A2480" s="89" t="n">
        <x:v>2478</x:v>
      </x:c>
      <x:c r="B2480" s="80" t="n">
        <x:v>0.48467513436004867</x:v>
      </x:c>
      <x:c r="C2480" s="84" t="n">
        <x:f>SQRT('Resumen'!$B$5^3/3)*B2480</x:f>
        <x:v>0.2798273192922921</x:v>
      </x:c>
      <x:c r="D2480" s="84" t="n">
        <x:f>C2480^2-'Resumen'!$B$5^3/3</x:f>
        <x:v>-0.25503000471102294</x:v>
      </x:c>
      <x:c r="E2480" s="85" t="n">
        <x:f>D2480+'Resumen'!$B$5^3/3</x:f>
        <x:v>0.07830332862231038</x:v>
      </x:c>
    </x:row>
    <x:row r="2481">
      <x:c r="A2481" s="89" t="n">
        <x:v>2479</x:v>
      </x:c>
      <x:c r="B2481" s="80" t="n">
        <x:v>-0.03336955918071612</x:v>
      </x:c>
      <x:c r="C2481" s="84" t="n">
        <x:f>SQRT('Resumen'!$B$5^3/3)*B2481</x:f>
        <x:v>-0.019265923975725602</x:v>
      </x:c>
      <x:c r="D2481" s="84" t="n">
        <x:f>C2481^2-'Resumen'!$B$5^3/3</x:f>
        <x:v>-0.3329621575066949</x:v>
      </x:c>
      <x:c r="E2481" s="85" t="n">
        <x:f>D2481+'Resumen'!$B$5^3/3</x:f>
        <x:v>0.00037117582663842574</x:v>
      </x:c>
    </x:row>
    <x:row r="2482">
      <x:c r="A2482" s="89" t="n">
        <x:v>2480</x:v>
      </x:c>
      <x:c r="B2482" s="80" t="n">
        <x:v>2.7437106802614797</x:v>
      </x:c>
      <x:c r="C2482" s="84" t="n">
        <x:f>SQRT('Resumen'!$B$5^3/3)*B2482</x:f>
        <x:v>1.5840820998274163</x:v>
      </x:c>
      <x:c r="D2482" s="84" t="n">
        <x:f>C2482^2-'Resumen'!$B$5^3/3</x:f>
        <x:v>2.175982765660303</x:v>
      </x:c>
      <x:c r="E2482" s="85" t="n">
        <x:f>D2482+'Resumen'!$B$5^3/3</x:f>
        <x:v>2.5093160989936365</x:v>
      </x:c>
    </x:row>
    <x:row r="2483">
      <x:c r="A2483" s="89" t="n">
        <x:v>2481</x:v>
      </x:c>
      <x:c r="B2483" s="80" t="n">
        <x:v>-0.8427352627939246</x:v>
      </x:c>
      <x:c r="C2483" s="84" t="n">
        <x:f>SQRT('Resumen'!$B$5^3/3)*B2483</x:f>
        <x:v>-0.48655343082966235</x:v>
      </x:c>
      <x:c r="D2483" s="84" t="n">
        <x:f>C2483^2-'Resumen'!$B$5^3/3</x:f>
        <x:v>-0.0965990922812183</x:v>
      </x:c>
      <x:c r="E2483" s="85" t="n">
        <x:f>D2483+'Resumen'!$B$5^3/3</x:f>
        <x:v>0.23673424105211502</x:v>
      </x:c>
    </x:row>
    <x:row r="2484">
      <x:c r="A2484" s="89" t="n">
        <x:v>2482</x:v>
      </x:c>
      <x:c r="B2484" s="80" t="n">
        <x:v>-0.21554240301788227</x:v>
      </x:c>
      <x:c r="C2484" s="84" t="n">
        <x:f>SQRT('Resumen'!$B$5^3/3)*B2484</x:f>
        <x:v>-0.12444346440415313</x:v>
      </x:c>
      <x:c r="D2484" s="84" t="n">
        <x:f>C2484^2-'Resumen'!$B$5^3/3</x:f>
        <x:v>-0.3178471575004256</x:v>
      </x:c>
      <x:c r="E2484" s="85" t="n">
        <x:f>D2484+'Resumen'!$B$5^3/3</x:f>
        <x:v>0.015486175832907734</x:v>
      </x:c>
    </x:row>
    <x:row r="2485">
      <x:c r="A2485" s="89" t="n">
        <x:v>2483</x:v>
      </x:c>
      <x:c r="B2485" s="80" t="n">
        <x:v>-1.3418284633688335</x:v>
      </x:c>
      <x:c r="C2485" s="84" t="n">
        <x:f>SQRT('Resumen'!$B$5^3/3)*B2485</x:f>
        <x:v>-0.774705024532298</x:v>
      </x:c>
      <x:c r="D2485" s="84" t="n">
        <x:f>C2485^2-'Resumen'!$B$5^3/3</x:f>
        <x:v>0.266834541702255</x:v>
      </x:c>
      <x:c r="E2485" s="85" t="n">
        <x:f>D2485+'Resumen'!$B$5^3/3</x:f>
        <x:v>0.6001678750355883</x:v>
      </x:c>
    </x:row>
    <x:row r="2486">
      <x:c r="A2486" s="89" t="n">
        <x:v>2484</x:v>
      </x:c>
      <x:c r="B2486" s="80" t="n">
        <x:v>-1.8261789732289526</x:v>
      </x:c>
      <x:c r="C2486" s="84" t="n">
        <x:f>SQRT('Resumen'!$B$5^3/3)*B2486</x:f>
        <x:v>-1.05434492178217</x:v>
      </x:c>
      <x:c r="D2486" s="84" t="n">
        <x:f>C2486^2-'Resumen'!$B$5^3/3</x:f>
        <x:v>0.778309880754517</x:v>
      </x:c>
      <x:c r="E2486" s="85" t="n">
        <x:f>D2486+'Resumen'!$B$5^3/3</x:f>
        <x:v>1.1116432140878503</x:v>
      </x:c>
    </x:row>
    <x:row r="2487">
      <x:c r="A2487" s="89" t="n">
        <x:v>2485</x:v>
      </x:c>
      <x:c r="B2487" s="80" t="n">
        <x:v>-0.20780700944727615</x:v>
      </x:c>
      <x:c r="C2487" s="84" t="n">
        <x:f>SQRT('Resumen'!$B$5^3/3)*B2487</x:f>
        <x:v>-0.11997743284387598</x:v>
      </x:c>
      <x:c r="D2487" s="84" t="n">
        <x:f>C2487^2-'Resumen'!$B$5^3/3</x:f>
        <x:v>-0.3189387489415265</x:v>
      </x:c>
      <x:c r="E2487" s="85" t="n">
        <x:f>D2487+'Resumen'!$B$5^3/3</x:f>
        <x:v>0.014394584391806797</x:v>
      </x:c>
    </x:row>
    <x:row r="2488">
      <x:c r="A2488" s="89" t="n">
        <x:v>2486</x:v>
      </x:c>
      <x:c r="B2488" s="80" t="n">
        <x:v>-1.5721048602111343</x:v>
      </x:c>
      <x:c r="C2488" s="84" t="n">
        <x:f>SQRT('Resumen'!$B$5^3/3)*B2488</x:f>
        <x:v>-0.9076551642372173</x:v>
      </x:c>
      <x:c r="D2488" s="84" t="n">
        <x:f>C2488^2-'Resumen'!$B$5^3/3</x:f>
        <x:v>0.4905045638331565</x:v>
      </x:c>
      <x:c r="E2488" s="85" t="n">
        <x:f>D2488+'Resumen'!$B$5^3/3</x:f>
        <x:v>0.8238378971664898</x:v>
      </x:c>
    </x:row>
    <x:row r="2489">
      <x:c r="A2489" s="89" t="n">
        <x:v>2487</x:v>
      </x:c>
      <x:c r="B2489" s="80" t="n">
        <x:v>-0.6888313160939612</x:v>
      </x:c>
      <x:c r="C2489" s="84" t="n">
        <x:f>SQRT('Resumen'!$B$5^3/3)*B2489</x:f>
        <x:v>-0.39769694577309267</x:v>
      </x:c>
      <x:c r="D2489" s="84" t="n">
        <x:f>C2489^2-'Resumen'!$B$5^3/3</x:f>
        <x:v>-0.1751704726560871</x:v>
      </x:c>
      <x:c r="E2489" s="85" t="n">
        <x:f>D2489+'Resumen'!$B$5^3/3</x:f>
        <x:v>0.15816286067724622</x:v>
      </x:c>
    </x:row>
    <x:row r="2490">
      <x:c r="A2490" s="89" t="n">
        <x:v>2488</x:v>
      </x:c>
      <x:c r="B2490" s="80" t="n">
        <x:v>1.5949041356944007</x:v>
      </x:c>
      <x:c r="C2490" s="84" t="n">
        <x:f>SQRT('Resumen'!$B$5^3/3)*B2490</x:f>
        <x:v>0.9208183320748096</x:v>
      </x:c>
      <x:c r="D2490" s="84" t="n">
        <x:f>C2490^2-'Resumen'!$B$5^3/3</x:f>
        <x:v>0.514573067351701</x:v>
      </x:c>
      <x:c r="E2490" s="85" t="n">
        <x:f>D2490+'Resumen'!$B$5^3/3</x:f>
        <x:v>0.8479064006850343</x:v>
      </x:c>
    </x:row>
    <x:row r="2491">
      <x:c r="A2491" s="89" t="n">
        <x:v>2489</x:v>
      </x:c>
      <x:c r="B2491" s="80" t="n">
        <x:v>-1.9933790484788856</x:v>
      </x:c>
      <x:c r="C2491" s="84" t="n">
        <x:f>SQRT('Resumen'!$B$5^3/3)*B2491</x:f>
        <x:v>-1.1508779302362446</x:v>
      </x:c>
      <x:c r="D2491" s="84" t="n">
        <x:f>C2491^2-'Resumen'!$B$5^3/3</x:f>
        <x:v>0.9911866769715292</x:v>
      </x:c>
      <x:c r="E2491" s="85" t="n">
        <x:f>D2491+'Resumen'!$B$5^3/3</x:f>
        <x:v>1.3245200103048624</x:v>
      </x:c>
    </x:row>
    <x:row r="2492">
      <x:c r="A2492" s="89" t="n">
        <x:v>2490</x:v>
      </x:c>
      <x:c r="B2492" s="80" t="n">
        <x:v>0.7138279726407756</x:v>
      </x:c>
      <x:c r="C2492" s="84" t="n">
        <x:f>SQRT('Resumen'!$B$5^3/3)*B2492</x:f>
        <x:v>0.41212877215923654</x:v>
      </x:c>
      <x:c r="D2492" s="84" t="n">
        <x:f>C2492^2-'Resumen'!$B$5^3/3</x:f>
        <x:v>-0.1634832084918534</x:v>
      </x:c>
      <x:c r="E2492" s="85" t="n">
        <x:f>D2492+'Resumen'!$B$5^3/3</x:f>
        <x:v>0.1698501248414799</x:v>
      </x:c>
    </x:row>
    <x:row r="2493">
      <x:c r="A2493" s="89" t="n">
        <x:v>2491</x:v>
      </x:c>
      <x:c r="B2493" s="80" t="n">
        <x:v>0.5585052117818455</x:v>
      </x:c>
      <x:c r="C2493" s="84" t="n">
        <x:f>SQRT('Resumen'!$B$5^3/3)*B2493</x:f>
        <x:v>0.32245313436605744</x:v>
      </x:c>
      <x:c r="D2493" s="84" t="n">
        <x:f>C2493^2-'Resumen'!$B$5^3/3</x:f>
        <x:v>-0.22935730947083863</x:v>
      </x:c>
      <x:c r="E2493" s="85" t="n">
        <x:f>D2493+'Resumen'!$B$5^3/3</x:f>
        <x:v>0.10397602386249469</x:v>
      </x:c>
    </x:row>
    <x:row r="2494">
      <x:c r="A2494" s="89" t="n">
        <x:v>2492</x:v>
      </x:c>
      <x:c r="B2494" s="80" t="n">
        <x:v>-0.6855881860314375</x:v>
      </x:c>
      <x:c r="C2494" s="84" t="n">
        <x:f>SQRT('Resumen'!$B$5^3/3)*B2494</x:f>
        <x:v>-0.3958245237584776</x:v>
      </x:c>
      <x:c r="D2494" s="84" t="n">
        <x:f>C2494^2-'Resumen'!$B$5^3/3</x:f>
        <x:v>-0.1766562797247077</x:v>
      </x:c>
      <x:c r="E2494" s="85" t="n">
        <x:f>D2494+'Resumen'!$B$5^3/3</x:f>
        <x:v>0.1566770536086256</x:v>
      </x:c>
    </x:row>
    <x:row r="2495">
      <x:c r="A2495" s="89" t="n">
        <x:v>2493</x:v>
      </x:c>
      <x:c r="B2495" s="80" t="n">
        <x:v>0.4856799585048541</x:v>
      </x:c>
      <x:c r="C2495" s="84" t="n">
        <x:f>SQRT('Resumen'!$B$5^3/3)*B2495</x:f>
        <x:v>0.2804074547827838</x:v>
      </x:c>
      <x:c r="D2495" s="84" t="n">
        <x:f>C2495^2-'Resumen'!$B$5^3/3</x:f>
        <x:v>-0.2547049926355744</x:v>
      </x:c>
      <x:c r="E2495" s="85" t="n">
        <x:f>D2495+'Resumen'!$B$5^3/3</x:f>
        <x:v>0.07862834069775892</x:v>
      </x:c>
    </x:row>
    <x:row r="2496">
      <x:c r="A2496" s="89" t="n">
        <x:v>2494</x:v>
      </x:c>
      <x:c r="B2496" s="80" t="n">
        <x:v>1.1355950435729278</x:v>
      </x:c>
      <x:c r="C2496" s="84" t="n">
        <x:f>SQRT('Resumen'!$B$5^3/3)*B2496</x:f>
        <x:v>0.6556361040972346</x:v>
      </x:c>
      <x:c r="D2496" s="84" t="n">
        <x:f>C2496^2-'Resumen'!$B$5^3/3</x:f>
        <x:v>0.09652536766246655</x:v>
      </x:c>
      <x:c r="E2496" s="85" t="n">
        <x:f>D2496+'Resumen'!$B$5^3/3</x:f>
        <x:v>0.42985870099579987</x:v>
      </x:c>
    </x:row>
    <x:row r="2497">
      <x:c r="A2497" s="89" t="n">
        <x:v>2495</x:v>
      </x:c>
      <x:c r="B2497" s="80" t="n">
        <x:v>0.9871614140848359</x:v>
      </x:c>
      <x:c r="C2497" s="84" t="n">
        <x:f>SQRT('Resumen'!$B$5^3/3)*B2497</x:f>
        <x:v>0.5699379081554916</x:v>
      </x:c>
      <x:c r="D2497" s="84" t="n">
        <x:f>C2497^2-'Resumen'!$B$5^3/3</x:f>
        <x:v>-0.008504114180675704</x:v>
      </x:c>
      <x:c r="E2497" s="85" t="n">
        <x:f>D2497+'Resumen'!$B$5^3/3</x:f>
        <x:v>0.3248292191526576</x:v>
      </x:c>
    </x:row>
    <x:row r="2498">
      <x:c r="A2498" s="89" t="n">
        <x:v>2496</x:v>
      </x:c>
      <x:c r="B2498" s="80" t="n">
        <x:v>-0.5783744781590173</x:v>
      </x:c>
      <x:c r="C2498" s="84" t="n">
        <x:f>SQRT('Resumen'!$B$5^3/3)*B2498</x:f>
        <x:v>-0.33392466065751797</x:v>
      </x:c>
      <x:c r="D2498" s="84" t="n">
        <x:f>C2498^2-'Resumen'!$B$5^3/3</x:f>
        <x:v>-0.2218276543380948</x:v>
      </x:c>
      <x:c r="E2498" s="85" t="n">
        <x:f>D2498+'Resumen'!$B$5^3/3</x:f>
        <x:v>0.11150567899523853</x:v>
      </x:c>
    </x:row>
    <x:row r="2499">
      <x:c r="A2499" s="89" t="n">
        <x:v>2497</x:v>
      </x:c>
      <x:c r="B2499" s="80" t="n">
        <x:v>0.19518902831773588</x:v>
      </x:c>
      <x:c r="C2499" s="84" t="n">
        <x:f>SQRT('Resumen'!$B$5^3/3)*B2499</x:f>
        <x:v>0.1126924380421063</x:v>
      </x:c>
      <x:c r="D2499" s="84" t="n">
        <x:f>C2499^2-'Resumen'!$B$5^3/3</x:f>
        <x:v>-0.32063374774145936</x:v>
      </x:c>
      <x:c r="E2499" s="85" t="n">
        <x:f>D2499+'Resumen'!$B$5^3/3</x:f>
        <x:v>0.012699585591873952</x:v>
      </x:c>
    </x:row>
    <x:row r="2500">
      <x:c r="A2500" s="89" t="n">
        <x:v>2498</x:v>
      </x:c>
      <x:c r="B2500" s="80" t="n">
        <x:v>-0.6158295228270109</x:v>
      </x:c>
      <x:c r="C2500" s="84" t="n">
        <x:f>SQRT('Resumen'!$B$5^3/3)*B2500</x:f>
        <x:v>-0.3555493407790935</x:v>
      </x:c>
      <x:c r="D2500" s="84" t="n">
        <x:f>C2500^2-'Resumen'!$B$5^3/3</x:f>
        <x:v>-0.20691799960488536</x:v>
      </x:c>
      <x:c r="E2500" s="85" t="n">
        <x:f>D2500+'Resumen'!$B$5^3/3</x:f>
        <x:v>0.12641533372844796</x:v>
      </x:c>
    </x:row>
    <x:row r="2501">
      <x:c r="A2501" s="89" t="n">
        <x:v>2499</x:v>
      </x:c>
      <x:c r="B2501" s="80" t="n">
        <x:v>-0.7046548500864956</x:v>
      </x:c>
      <x:c r="C2501" s="84" t="n">
        <x:f>SQRT('Resumen'!$B$5^3/3)*B2501</x:f>
        <x:v>-0.4068326673832136</x:v>
      </x:c>
      <x:c r="D2501" s="84" t="n">
        <x:f>C2501^2-'Resumen'!$B$5^3/3</x:f>
        <x:v>-0.1678205140831928</x:v>
      </x:c>
      <x:c r="E2501" s="85" t="n">
        <x:f>D2501+'Resumen'!$B$5^3/3</x:f>
        <x:v>0.16551281925014052</x:v>
      </x:c>
    </x:row>
    <x:row r="2502">
      <x:c r="A2502" s="89" t="n">
        <x:v>2500</x:v>
      </x:c>
      <x:c r="B2502" s="80" t="n">
        <x:v>-2.2571429209075724</x:v>
      </x:c>
      <x:c r="C2502" s="84" t="n">
        <x:f>SQRT('Resumen'!$B$5^3/3)*B2502</x:f>
        <x:v>-1.303162072985445</x:v>
      </x:c>
      <x:c r="D2502" s="84" t="n">
        <x:f>C2502^2-'Resumen'!$B$5^3/3</x:f>
        <x:v>1.364898055134389</x:v>
      </x:c>
      <x:c r="E2502" s="85" t="n">
        <x:f>D2502+'Resumen'!$B$5^3/3</x:f>
        <x:v>1.6982313884677223</x:v>
      </x:c>
    </x:row>
    <x:row r="2503">
      <x:c r="A2503" s="89" t="n">
        <x:v>2501</x:v>
      </x:c>
      <x:c r="B2503" s="80" t="n">
        <x:v>-1.71520560703019</x:v>
      </x:c>
      <x:c r="C2503" s="84" t="n">
        <x:f>SQRT('Resumen'!$B$5^3/3)*B2503</x:f>
        <x:v>-0.9902744189344356</x:v>
      </x:c>
      <x:c r="D2503" s="84" t="n">
        <x:f>C2503^2-'Resumen'!$B$5^3/3</x:f>
        <x:v>0.6473100914626007</x:v>
      </x:c>
      <x:c r="E2503" s="85" t="n">
        <x:f>D2503+'Resumen'!$B$5^3/3</x:f>
        <x:v>0.9806434247959339</x:v>
      </x:c>
    </x:row>
    <x:row r="2504">
      <x:c r="A2504" s="89" t="n">
        <x:v>2502</x:v>
      </x:c>
      <x:c r="B2504" s="80" t="n">
        <x:v>-0.630088780760406</x:v>
      </x:c>
      <x:c r="C2504" s="84" t="n">
        <x:f>SQRT('Resumen'!$B$5^3/3)*B2504</x:f>
        <x:v>-0.36378192718538344</x:v>
      </x:c>
      <x:c r="D2504" s="84" t="n">
        <x:f>C2504^2-'Resumen'!$B$5^3/3</x:f>
        <x:v>-0.2009960427866217</x:v>
      </x:c>
      <x:c r="E2504" s="85" t="n">
        <x:f>D2504+'Resumen'!$B$5^3/3</x:f>
        <x:v>0.13233729054671162</x:v>
      </x:c>
    </x:row>
    <x:row r="2505">
      <x:c r="A2505" s="89" t="n">
        <x:v>2503</x:v>
      </x:c>
      <x:c r="B2505" s="80" t="n">
        <x:v>-0.12291664461788128</x:v>
      </x:c>
      <x:c r="C2505" s="84" t="n">
        <x:f>SQRT('Resumen'!$B$5^3/3)*B2505</x:f>
        <x:v>-0.07096595785801932</x:v>
      </x:c>
      <x:c r="D2505" s="84" t="n">
        <x:f>C2505^2-'Resumen'!$B$5^3/3</x:f>
        <x:v>-0.32829716615862714</x:v>
      </x:c>
      <x:c r="E2505" s="85" t="n">
        <x:f>D2505+'Resumen'!$B$5^3/3</x:f>
        <x:v>0.005036167174706174</x:v>
      </x:c>
    </x:row>
    <x:row r="2506">
      <x:c r="A2506" s="89" t="n">
        <x:v>2504</x:v>
      </x:c>
      <x:c r="B2506" s="80" t="n">
        <x:v>-0.36724040316015794</x:v>
      </x:c>
      <x:c r="C2506" s="84" t="n">
        <x:f>SQRT('Resumen'!$B$5^3/3)*B2506</x:f>
        <x:v>-0.21202634562182388</x:v>
      </x:c>
      <x:c r="D2506" s="84" t="n">
        <x:f>C2506^2-'Resumen'!$B$5^3/3</x:f>
        <x:v>-0.2883781620955882</x:v>
      </x:c>
      <x:c r="E2506" s="85" t="n">
        <x:f>D2506+'Resumen'!$B$5^3/3</x:f>
        <x:v>0.04495517123774512</x:v>
      </x:c>
    </x:row>
    <x:row r="2507">
      <x:c r="A2507" s="89" t="n">
        <x:v>2505</x:v>
      </x:c>
      <x:c r="B2507" s="80" t="n">
        <x:v>-0.33147223123794</x:v>
      </x:c>
      <x:c r="C2507" s="84" t="n">
        <x:f>SQRT('Resumen'!$B$5^3/3)*B2507</x:f>
        <x:v>-0.19137558193411053</x:v>
      </x:c>
      <x:c r="D2507" s="84" t="n">
        <x:f>C2507^2-'Resumen'!$B$5^3/3</x:f>
        <x:v>-0.29670871997271386</x:v>
      </x:c>
      <x:c r="E2507" s="85" t="n">
        <x:f>D2507+'Resumen'!$B$5^3/3</x:f>
        <x:v>0.03662461336061945</x:v>
      </x:c>
    </x:row>
    <x:row r="2508">
      <x:c r="A2508" s="89" t="n">
        <x:v>2506</x:v>
      </x:c>
      <x:c r="B2508" s="80" t="n">
        <x:v>-0.7838104024085889</x:v>
      </x:c>
      <x:c r="C2508" s="84" t="n">
        <x:f>SQRT('Resumen'!$B$5^3/3)*B2508</x:f>
        <x:v>-0.4525331468242277</x:v>
      </x:c>
      <x:c r="D2508" s="84" t="n">
        <x:f>C2508^2-'Resumen'!$B$5^3/3</x:f>
        <x:v>-0.1285470843586953</x:v>
      </x:c>
      <x:c r="E2508" s="85" t="n">
        <x:f>D2508+'Resumen'!$B$5^3/3</x:f>
        <x:v>0.204786248974638</x:v>
      </x:c>
    </x:row>
    <x:row r="2509">
      <x:c r="A2509" s="89" t="n">
        <x:v>2507</x:v>
      </x:c>
      <x:c r="B2509" s="80" t="n">
        <x:v>-1.3645825389851467</x:v>
      </x:c>
      <x:c r="C2509" s="84" t="n">
        <x:f>SQRT('Resumen'!$B$5^3/3)*B2509</x:f>
        <x:v>-0.7878420962145374</x:v>
      </x:c>
      <x:c r="D2509" s="84" t="n">
        <x:f>C2509^2-'Resumen'!$B$5^3/3</x:f>
        <x:v>0.287361835234383</x:v>
      </x:c>
      <x:c r="E2509" s="85" t="n">
        <x:f>D2509+'Resumen'!$B$5^3/3</x:f>
        <x:v>0.6206951685677163</x:v>
      </x:c>
    </x:row>
    <x:row r="2510">
      <x:c r="A2510" s="89" t="n">
        <x:v>2508</x:v>
      </x:c>
      <x:c r="B2510" s="80" t="n">
        <x:v>0.621279124083273</x:v>
      </x:c>
      <x:c r="C2510" s="84" t="n">
        <x:f>SQRT('Resumen'!$B$5^3/3)*B2510</x:f>
        <x:v>0.35869566953137255</x:v>
      </x:c>
      <x:c r="D2510" s="84" t="n">
        <x:f>C2510^2-'Resumen'!$B$5^3/3</x:f>
        <x:v>-0.20467074999277368</x:v>
      </x:c>
      <x:c r="E2510" s="85" t="n">
        <x:f>D2510+'Resumen'!$B$5^3/3</x:f>
        <x:v>0.12866258334055963</x:v>
      </x:c>
    </x:row>
    <x:row r="2511">
      <x:c r="A2511" s="89" t="n">
        <x:v>2509</x:v>
      </x:c>
      <x:c r="B2511" s="80" t="n">
        <x:v>-1.2724186565746152</x:v>
      </x:c>
      <x:c r="C2511" s="84" t="n">
        <x:f>SQRT('Resumen'!$B$5^3/3)*B2511</x:f>
        <x:v>-0.734631253895256</x:v>
      </x:c>
      <x:c r="D2511" s="84" t="n">
        <x:f>C2511^2-'Resumen'!$B$5^3/3</x:f>
        <x:v>0.20634974586638272</x:v>
      </x:c>
      <x:c r="E2511" s="85" t="n">
        <x:f>D2511+'Resumen'!$B$5^3/3</x:f>
        <x:v>0.539683079199716</x:v>
      </x:c>
    </x:row>
    <x:row r="2512">
      <x:c r="A2512" s="89" t="n">
        <x:v>2510</x:v>
      </x:c>
      <x:c r="B2512" s="80" t="n">
        <x:v>-1.5944763389793382</x:v>
      </x:c>
      <x:c r="C2512" s="84" t="n">
        <x:f>SQRT('Resumen'!$B$5^3/3)*B2512</x:f>
        <x:v>-0.9205713435262098</x:v>
      </x:c>
      <x:c r="D2512" s="84" t="n">
        <x:f>C2512^2-'Resumen'!$B$5^3/3</x:f>
        <x:v>0.5141182651883178</x:v>
      </x:c>
      <x:c r="E2512" s="85" t="n">
        <x:f>D2512+'Resumen'!$B$5^3/3</x:f>
        <x:v>0.8474515985216511</x:v>
      </x:c>
    </x:row>
    <x:row r="2513">
      <x:c r="A2513" s="89" t="n">
        <x:v>2511</x:v>
      </x:c>
      <x:c r="B2513" s="80" t="n">
        <x:v>-0.7809349477575874</x:v>
      </x:c>
      <x:c r="C2513" s="84" t="n">
        <x:f>SQRT('Resumen'!$B$5^3/3)*B2513</x:f>
        <x:v>-0.4508730023074294</x:v>
      </x:c>
      <x:c r="D2513" s="84" t="n">
        <x:f>C2513^2-'Resumen'!$B$5^3/3</x:f>
        <x:v>-0.1300468691236181</x:v>
      </x:c>
      <x:c r="E2513" s="85" t="n">
        <x:f>D2513+'Resumen'!$B$5^3/3</x:f>
        <x:v>0.20328646420971522</x:v>
      </x:c>
    </x:row>
    <x:row r="2514">
      <x:c r="A2514" s="89" t="n">
        <x:v>2512</x:v>
      </x:c>
      <x:c r="B2514" s="80" t="n">
        <x:v>0.5314868739609374</x:v>
      </x:c>
      <x:c r="C2514" s="84" t="n">
        <x:f>SQRT('Resumen'!$B$5^3/3)*B2514</x:f>
        <x:v>0.3068540897520999</x:v>
      </x:c>
      <x:c r="D2514" s="84" t="n">
        <x:f>C2514^2-'Resumen'!$B$5^3/3</x:f>
        <x:v>-0.23917390093574353</x:v>
      </x:c>
      <x:c r="E2514" s="85" t="n">
        <x:f>D2514+'Resumen'!$B$5^3/3</x:f>
        <x:v>0.09415943239758978</x:v>
      </x:c>
    </x:row>
    <x:row r="2515">
      <x:c r="A2515" s="89" t="n">
        <x:v>2513</x:v>
      </x:c>
      <x:c r="B2515" s="80" t="n">
        <x:v>-1.2031284919380978</x:v>
      </x:c>
      <x:c r="C2515" s="84" t="n">
        <x:f>SQRT('Resumen'!$B$5^3/3)*B2515</x:f>
        <x:v>-0.6946265586901692</x:v>
      </x:c>
      <x:c r="D2515" s="84" t="n">
        <x:f>C2515^2-'Resumen'!$B$5^3/3</x:f>
        <x:v>0.14917272270441378</x:v>
      </x:c>
      <x:c r="E2515" s="85" t="n">
        <x:f>D2515+'Resumen'!$B$5^3/3</x:f>
        <x:v>0.4825060560377471</x:v>
      </x:c>
    </x:row>
    <x:row r="2516">
      <x:c r="A2516" s="89" t="n">
        <x:v>2514</x:v>
      </x:c>
      <x:c r="B2516" s="80" t="n">
        <x:v>-1.9544960527030248</x:v>
      </x:c>
      <x:c r="C2516" s="84" t="n">
        <x:f>SQRT('Resumen'!$B$5^3/3)*B2516</x:f>
        <x:v>-1.1284288221581522</x:v>
      </x:c>
      <x:c r="D2516" s="84" t="n">
        <x:f>C2516^2-'Resumen'!$B$5^3/3</x:f>
        <x:v>0.9400182733439015</x:v>
      </x:c>
      <x:c r="E2516" s="85" t="n">
        <x:f>D2516+'Resumen'!$B$5^3/3</x:f>
        <x:v>1.2733516066772348</x:v>
      </x:c>
    </x:row>
    <x:row r="2517">
      <x:c r="A2517" s="89" t="n">
        <x:v>2515</x:v>
      </x:c>
      <x:c r="B2517" s="80" t="n">
        <x:v>-0.016384324074615927</x:v>
      </x:c>
      <x:c r="C2517" s="84" t="n">
        <x:f>SQRT('Resumen'!$B$5^3/3)*B2517</x:f>
        <x:v>-0.00945949391496957</x:v>
      </x:c>
      <x:c r="D2517" s="84" t="n">
        <x:f>C2517^2-'Resumen'!$B$5^3/3</x:f>
        <x:v>-0.333243851308206</x:v>
      </x:c>
      <x:c r="E2517" s="85" t="n">
        <x:f>D2517+'Resumen'!$B$5^3/3</x:f>
        <x:v>0.00008948202512731873</x:v>
      </x:c>
    </x:row>
    <x:row r="2518">
      <x:c r="A2518" s="89" t="n">
        <x:v>2516</x:v>
      </x:c>
      <x:c r="B2518" s="80" t="n">
        <x:v>0.1327796747046932</x:v>
      </x:c>
      <x:c r="C2518" s="84" t="n">
        <x:f>SQRT('Resumen'!$B$5^3/3)*B2518</x:f>
        <x:v>0.07666038093366556</x:v>
      </x:c>
      <x:c r="D2518" s="84" t="n">
        <x:f>C2518^2-'Resumen'!$B$5^3/3</x:f>
        <x:v>-0.3274565193284386</x:v>
      </x:c>
      <x:c r="E2518" s="85" t="n">
        <x:f>D2518+'Resumen'!$B$5^3/3</x:f>
        <x:v>0.005876814004894704</x:v>
      </x:c>
    </x:row>
    <x:row r="2519">
      <x:c r="A2519" s="89" t="n">
        <x:v>2517</x:v>
      </x:c>
      <x:c r="B2519" s="80" t="n">
        <x:v>-0.3110604585244675</x:v>
      </x:c>
      <x:c r="C2519" s="84" t="n">
        <x:f>SQRT('Resumen'!$B$5^3/3)*B2519</x:f>
        <x:v>-0.17959083946334972</x:v>
      </x:c>
      <x:c r="D2519" s="84" t="n">
        <x:f>C2519^2-'Resumen'!$B$5^3/3</x:f>
        <x:v>-0.3010804637141827</x:v>
      </x:c>
      <x:c r="E2519" s="85" t="n">
        <x:f>D2519+'Resumen'!$B$5^3/3</x:f>
        <x:v>0.03225286961915064</x:v>
      </x:c>
    </x:row>
    <x:row r="2520">
      <x:c r="A2520" s="89" t="n">
        <x:v>2518</x:v>
      </x:c>
      <x:c r="B2520" s="80" t="n">
        <x:v>-0.2946691911798395</x:v>
      </x:c>
      <x:c r="C2520" s="84" t="n">
        <x:f>SQRT('Resumen'!$B$5^3/3)*B2520</x:f>
        <x:v>-0.1701273368495696</x:v>
      </x:c>
      <x:c r="D2520" s="84" t="n">
        <x:f>C2520^2-'Resumen'!$B$5^3/3</x:f>
        <x:v>-0.3043900225898064</x:v>
      </x:c>
      <x:c r="E2520" s="85" t="n">
        <x:f>D2520+'Resumen'!$B$5^3/3</x:f>
        <x:v>0.028943310743526907</x:v>
      </x:c>
    </x:row>
    <x:row r="2521">
      <x:c r="A2521" s="89" t="n">
        <x:v>2519</x:v>
      </x:c>
      <x:c r="B2521" s="80" t="n">
        <x:v>0.7544399238009731</x:v>
      </x:c>
      <x:c r="C2521" s="84" t="n">
        <x:f>SQRT('Resumen'!$B$5^3/3)*B2521</x:f>
        <x:v>0.43557609309389256</x:v>
      </x:c>
      <x:c r="D2521" s="84" t="n">
        <x:f>C2521^2-'Resumen'!$B$5^3/3</x:f>
        <x:v>-0.14360680045839397</x:v>
      </x:c>
      <x:c r="E2521" s="85" t="n">
        <x:f>D2521+'Resumen'!$B$5^3/3</x:f>
        <x:v>0.18972653287493935</x:v>
      </x:c>
    </x:row>
    <x:row r="2522">
      <x:c r="A2522" s="89" t="n">
        <x:v>2520</x:v>
      </x:c>
      <x:c r="B2522" s="80" t="n">
        <x:v>1.3766459472212702</x:v>
      </x:c>
      <x:c r="C2522" s="84" t="n">
        <x:f>SQRT('Resumen'!$B$5^3/3)*B2522</x:f>
        <x:v>0.7948069082070076</x:v>
      </x:c>
      <x:c r="D2522" s="84" t="n">
        <x:f>C2522^2-'Resumen'!$B$5^3/3</x:f>
        <x:v>0.29838468800024925</x:v>
      </x:c>
      <x:c r="E2522" s="85" t="n">
        <x:f>D2522+'Resumen'!$B$5^3/3</x:f>
        <x:v>0.6317180213335826</x:v>
      </x:c>
    </x:row>
    <x:row r="2523">
      <x:c r="A2523" s="89" t="n">
        <x:v>2521</x:v>
      </x:c>
      <x:c r="B2523" s="80" t="n">
        <x:v>1.8895976229258367</x:v>
      </x:c>
      <x:c r="C2523" s="84" t="n">
        <x:f>SQRT('Resumen'!$B$5^3/3)*B2523</x:f>
        <x:v>1.0909596962563086</x:v>
      </x:c>
      <x:c r="D2523" s="84" t="n">
        <x:f>C2523^2-'Resumen'!$B$5^3/3</x:f>
        <x:v>0.8568597255223238</x:v>
      </x:c>
      <x:c r="E2523" s="85" t="n">
        <x:f>D2523+'Resumen'!$B$5^3/3</x:f>
        <x:v>1.190193058855657</x:v>
      </x:c>
    </x:row>
    <x:row r="2524">
      <x:c r="A2524" s="89" t="n">
        <x:v>2522</x:v>
      </x:c>
      <x:c r="B2524" s="80" t="n">
        <x:v>-0.7797822545471624</x:v>
      </x:c>
      <x:c r="C2524" s="84" t="n">
        <x:f>SQRT('Resumen'!$B$5^3/3)*B2524</x:f>
        <x:v>-0.45020749457209747</x:v>
      </x:c>
      <x:c r="D2524" s="84" t="n">
        <x:f>C2524^2-'Resumen'!$B$5^3/3</x:f>
        <x:v>-0.13064654516444815</x:v>
      </x:c>
      <x:c r="E2524" s="85" t="n">
        <x:f>D2524+'Resumen'!$B$5^3/3</x:f>
        <x:v>0.20268678816888516</x:v>
      </x:c>
    </x:row>
    <x:row r="2525">
      <x:c r="A2525" s="89" t="n">
        <x:v>2523</x:v>
      </x:c>
      <x:c r="B2525" s="80" t="n">
        <x:v>2.3159763399261615</x:v>
      </x:c>
      <x:c r="C2525" s="84" t="n">
        <x:f>SQRT('Resumen'!$B$5^3/3)*B2525</x:f>
        <x:v>1.3371295632931735</x:v>
      </x:c>
      <x:c r="D2525" s="84" t="n">
        <x:f>C2525^2-'Resumen'!$B$5^3/3</x:f>
        <x:v>1.4545821356992594</x:v>
      </x:c>
      <x:c r="E2525" s="85" t="n">
        <x:f>D2525+'Resumen'!$B$5^3/3</x:f>
        <x:v>1.7879154690325927</x:v>
      </x:c>
    </x:row>
    <x:row r="2526">
      <x:c r="A2526" s="89" t="n">
        <x:v>2524</x:v>
      </x:c>
      <x:c r="B2526" s="80" t="n">
        <x:v>-0.8540328619264883</x:v>
      </x:c>
      <x:c r="C2526" s="84" t="n">
        <x:f>SQRT('Resumen'!$B$5^3/3)*B2526</x:f>
        <x:v>-0.4930761027300445</x:v>
      </x:c>
      <x:c r="D2526" s="84" t="n">
        <x:f>C2526^2-'Resumen'!$B$5^3/3</x:f>
        <x:v>-0.09020929024988394</x:v>
      </x:c>
      <x:c r="E2526" s="85" t="n">
        <x:f>D2526+'Resumen'!$B$5^3/3</x:f>
        <x:v>0.24312404308344937</x:v>
      </x:c>
    </x:row>
    <x:row r="2527">
      <x:c r="A2527" s="89" t="n">
        <x:v>2525</x:v>
      </x:c>
      <x:c r="B2527" s="80" t="n">
        <x:v>1.3893576070424432</x:v>
      </x:c>
      <x:c r="C2527" s="84" t="n">
        <x:f>SQRT('Resumen'!$B$5^3/3)*B2527</x:f>
        <x:v>0.8021459884266088</x:v>
      </x:c>
      <x:c r="D2527" s="84" t="n">
        <x:f>C2527^2-'Resumen'!$B$5^3/3</x:f>
        <x:v>0.31010485341556787</x:v>
      </x:c>
      <x:c r="E2527" s="85" t="n">
        <x:f>D2527+'Resumen'!$B$5^3/3</x:f>
        <x:v>0.6434381867489012</x:v>
      </x:c>
    </x:row>
    <x:row r="2528">
      <x:c r="A2528" s="89" t="n">
        <x:v>2526</x:v>
      </x:c>
      <x:c r="B2528" s="80" t="n">
        <x:v>1.5635647171100542</x:v>
      </x:c>
      <x:c r="C2528" s="84" t="n">
        <x:f>SQRT('Resumen'!$B$5^3/3)*B2528</x:f>
        <x:v>0.9027245103188908</x:v>
      </x:c>
      <x:c r="D2528" s="84" t="n">
        <x:f>C2528^2-'Resumen'!$B$5^3/3</x:f>
        <x:v>0.48157820819714786</x:v>
      </x:c>
      <x:c r="E2528" s="85" t="n">
        <x:f>D2528+'Resumen'!$B$5^3/3</x:f>
        <x:v>0.8149115415304812</x:v>
      </x:c>
    </x:row>
    <x:row r="2529">
      <x:c r="A2529" s="89" t="n">
        <x:v>2527</x:v>
      </x:c>
      <x:c r="B2529" s="80" t="n">
        <x:v>0.29183277543531877</x:v>
      </x:c>
      <x:c r="C2529" s="84" t="n">
        <x:f>SQRT('Resumen'!$B$5^3/3)*B2529</x:f>
        <x:v>0.16848973145593688</x:v>
      </x:c>
      <x:c r="D2529" s="84" t="n">
        <x:f>C2529^2-'Resumen'!$B$5^3/3</x:f>
        <x:v>-0.3049445437272396</x:v>
      </x:c>
      <x:c r="E2529" s="85" t="n">
        <x:f>D2529+'Resumen'!$B$5^3/3</x:f>
        <x:v>0.0283887896060937</x:v>
      </x:c>
    </x:row>
    <x:row r="2530">
      <x:c r="A2530" s="89" t="n">
        <x:v>2528</x:v>
      </x:c>
      <x:c r="B2530" s="80" t="n">
        <x:v>-2.381172437292392</x:v>
      </x:c>
      <x:c r="C2530" s="84" t="n">
        <x:f>SQRT('Resumen'!$B$5^3/3)*B2530</x:f>
        <x:v>-1.3747705476576797</x:v>
      </x:c>
      <x:c r="D2530" s="84" t="n">
        <x:f>C2530^2-'Resumen'!$B$5^3/3</x:f>
        <x:v>1.5566607253736633</x:v>
      </x:c>
      <x:c r="E2530" s="85" t="n">
        <x:f>D2530+'Resumen'!$B$5^3/3</x:f>
        <x:v>1.8899940587069965</x:v>
      </x:c>
    </x:row>
    <x:row r="2531">
      <x:c r="A2531" s="89" t="n">
        <x:v>2529</x:v>
      </x:c>
      <x:c r="B2531" s="80" t="n">
        <x:v>-1.5707045654756902</x:v>
      </x:c>
      <x:c r="C2531" s="84" t="n">
        <x:f>SQRT('Resumen'!$B$5^3/3)*B2531</x:f>
        <x:v>-0.9068467036947638</x:v>
      </x:c>
      <x:c r="D2531" s="84" t="n">
        <x:f>C2531^2-'Resumen'!$B$5^3/3</x:f>
        <x:v>0.4890376106687255</x:v>
      </x:c>
      <x:c r="E2531" s="85" t="n">
        <x:f>D2531+'Resumen'!$B$5^3/3</x:f>
        <x:v>0.8223709440020588</x:v>
      </x:c>
    </x:row>
    <x:row r="2532">
      <x:c r="A2532" s="89" t="n">
        <x:v>2530</x:v>
      </x:c>
      <x:c r="B2532" s="80" t="n">
        <x:v>-0.5401644317522317</x:v>
      </x:c>
      <x:c r="C2532" s="84" t="n">
        <x:f>SQRT('Resumen'!$B$5^3/3)*B2532</x:f>
        <x:v>-0.3118640800788122</x:v>
      </x:c>
      <x:c r="D2532" s="84" t="n">
        <x:f>C2532^2-'Resumen'!$B$5^3/3</x:f>
        <x:v>-0.2360741288899295</x:v>
      </x:c>
      <x:c r="E2532" s="85" t="n">
        <x:f>D2532+'Resumen'!$B$5^3/3</x:f>
        <x:v>0.0972592044434038</x:v>
      </x:c>
    </x:row>
    <x:row r="2533">
      <x:c r="A2533" s="89" t="n">
        <x:v>2531</x:v>
      </x:c>
      <x:c r="B2533" s="80" t="n">
        <x:v>-2.7562936532058564</x:v>
      </x:c>
      <x:c r="C2533" s="84" t="n">
        <x:f>SQRT('Resumen'!$B$5^3/3)*B2533</x:f>
        <x:v>-1.591346882644058</x:v>
      </x:c>
      <x:c r="D2533" s="84" t="n">
        <x:f>C2533^2-'Resumen'!$B$5^3/3</x:f>
        <x:v>2.199051567567628</x:v>
      </x:c>
      <x:c r="E2533" s="85" t="n">
        <x:f>D2533+'Resumen'!$B$5^3/3</x:f>
        <x:v>2.5323849009009614</x:v>
      </x:c>
    </x:row>
    <x:row r="2534">
      <x:c r="A2534" s="89" t="n">
        <x:v>2532</x:v>
      </x:c>
      <x:c r="B2534" s="80" t="n">
        <x:v>-1.046735234408916</x:v>
      </x:c>
      <x:c r="C2534" s="84" t="n">
        <x:f>SQRT('Resumen'!$B$5^3/3)*B2534</x:f>
        <x:v>-0.6043328693562536</x:v>
      </x:c>
      <x:c r="D2534" s="84" t="n">
        <x:f>C2534^2-'Resumen'!$B$5^3/3</x:f>
        <x:v>0.03188488365102943</x:v>
      </x:c>
      <x:c r="E2534" s="85" t="n">
        <x:f>D2534+'Resumen'!$B$5^3/3</x:f>
        <x:v>0.36521821698436274</x:v>
      </x:c>
    </x:row>
    <x:row r="2535">
      <x:c r="A2535" s="89" t="n">
        <x:v>2533</x:v>
      </x:c>
      <x:c r="B2535" s="80" t="n">
        <x:v>-0.5660631103559303</x:v>
      </x:c>
      <x:c r="C2535" s="84" t="n">
        <x:f>SQRT('Resumen'!$B$5^3/3)*B2535</x:f>
        <x:v>-0.32681668914231315</x:v>
      </x:c>
      <x:c r="D2535" s="84" t="n">
        <x:f>C2535^2-'Resumen'!$B$5^3/3</x:f>
        <x:v>-0.22652418503138996</x:v>
      </x:c>
      <x:c r="E2535" s="85" t="n">
        <x:f>D2535+'Resumen'!$B$5^3/3</x:f>
        <x:v>0.10680914830194335</x:v>
      </x:c>
    </x:row>
    <x:row r="2536">
      <x:c r="A2536" s="89" t="n">
        <x:v>2534</x:v>
      </x:c>
      <x:c r="B2536" s="80" t="n">
        <x:v>-0.31433307511127334</x:v>
      </x:c>
      <x:c r="C2536" s="84" t="n">
        <x:f>SQRT('Resumen'!$B$5^3/3)*B2536</x:f>
        <x:v>-0.1814802855306965</x:v>
      </x:c>
      <x:c r="D2536" s="84" t="n">
        <x:f>C2536^2-'Resumen'!$B$5^3/3</x:f>
        <x:v>-0.3003982392970302</x:v>
      </x:c>
      <x:c r="E2536" s="85" t="n">
        <x:f>D2536+'Resumen'!$B$5^3/3</x:f>
        <x:v>0.032935094036303125</x:v>
      </x:c>
    </x:row>
    <x:row r="2537">
      <x:c r="A2537" s="89" t="n">
        <x:v>2535</x:v>
      </x:c>
      <x:c r="B2537" s="80" t="n">
        <x:v>-0.06797807875015767</x:v>
      </x:c>
      <x:c r="C2537" s="84" t="n">
        <x:f>SQRT('Resumen'!$B$5^3/3)*B2537</x:f>
        <x:v>-0.039247162065397107</x:v>
      </x:c>
      <x:c r="D2537" s="84" t="n">
        <x:f>C2537^2-'Resumen'!$B$5^3/3</x:f>
        <x:v>-0.3317929936031458</x:v>
      </x:c>
      <x:c r="E2537" s="85" t="n">
        <x:f>D2537+'Resumen'!$B$5^3/3</x:f>
        <x:v>0.0015403397301875232</x:v>
      </x:c>
    </x:row>
    <x:row r="2538">
      <x:c r="A2538" s="89" t="n">
        <x:v>2536</x:v>
      </x:c>
      <x:c r="B2538" s="80" t="n">
        <x:v>0.11530437640264415</x:v>
      </x:c>
      <x:c r="C2538" s="84" t="n">
        <x:f>SQRT('Resumen'!$B$5^3/3)*B2538</x:f>
        <x:v>0.06657101275480853</x:v>
      </x:c>
      <x:c r="D2538" s="84" t="n">
        <x:f>C2538^2-'Resumen'!$B$5^3/3</x:f>
        <x:v>-0.32890163359413244</x:v>
      </x:c>
      <x:c r="E2538" s="85" t="n">
        <x:f>D2538+'Resumen'!$B$5^3/3</x:f>
        <x:v>0.004431699739200878</x:v>
      </x:c>
    </x:row>
    <x:row r="2539">
      <x:c r="A2539" s="89" t="n">
        <x:v>2537</x:v>
      </x:c>
      <x:c r="B2539" s="80" t="n">
        <x:v>0.19532827847787035</x:v>
      </x:c>
      <x:c r="C2539" s="84" t="n">
        <x:f>SQRT('Resumen'!$B$5^3/3)*B2539</x:f>
        <x:v>0.11277283415954463</x:v>
      </x:c>
      <x:c r="D2539" s="84" t="n">
        <x:f>C2539^2-'Resumen'!$B$5^3/3</x:f>
        <x:v>-0.32061562120895715</x:v>
      </x:c>
      <x:c r="E2539" s="85" t="n">
        <x:f>D2539+'Resumen'!$B$5^3/3</x:f>
        <x:v>0.012717712124376168</x:v>
      </x:c>
    </x:row>
    <x:row r="2540">
      <x:c r="A2540" s="89" t="n">
        <x:v>2538</x:v>
      </x:c>
      <x:c r="B2540" s="80" t="n">
        <x:v>-0.5060408481918497</x:v>
      </x:c>
      <x:c r="C2540" s="84" t="n">
        <x:f>SQRT('Resumen'!$B$5^3/3)*B2540</x:f>
        <x:v>-0.29216281992451093</x:v>
      </x:c>
      <x:c r="D2540" s="84" t="n">
        <x:f>C2540^2-'Resumen'!$B$5^3/3</x:f>
        <x:v>-0.24797421998709113</x:v>
      </x:c>
      <x:c r="E2540" s="85" t="n">
        <x:f>D2540+'Resumen'!$B$5^3/3</x:f>
        <x:v>0.08535911334624219</x:v>
      </x:c>
    </x:row>
    <x:row r="2541">
      <x:c r="A2541" s="89" t="n">
        <x:v>2539</x:v>
      </x:c>
      <x:c r="B2541" s="80" t="n">
        <x:v>-0.5593881790230302</x:v>
      </x:c>
      <x:c r="C2541" s="84" t="n">
        <x:f>SQRT('Resumen'!$B$5^3/3)*B2541</x:f>
        <x:v>-0.322962915740441</x:v>
      </x:c>
      <x:c r="D2541" s="84" t="n">
        <x:f>C2541^2-'Resumen'!$B$5^3/3</x:f>
        <x:v>-0.22902828838976613</x:v>
      </x:c>
      <x:c r="E2541" s="85" t="n">
        <x:f>D2541+'Resumen'!$B$5^3/3</x:f>
        <x:v>0.10430504494356718</x:v>
      </x:c>
    </x:row>
    <x:row r="2542">
      <x:c r="A2542" s="89" t="n">
        <x:v>2540</x:v>
      </x:c>
      <x:c r="B2542" s="80" t="n">
        <x:v>-0.5187322789235731</x:v>
      </x:c>
      <x:c r="C2542" s="84" t="n">
        <x:f>SQRT('Resumen'!$B$5^3/3)*B2542</x:f>
        <x:v>-0.29949022087387295</x:v>
      </x:c>
      <x:c r="D2542" s="84" t="n">
        <x:f>C2542^2-'Resumen'!$B$5^3/3</x:f>
        <x:v>-0.2436389409342521</x:v>
      </x:c>
      <x:c r="E2542" s="85" t="n">
        <x:f>D2542+'Resumen'!$B$5^3/3</x:f>
        <x:v>0.08969439239908122</x:v>
      </x:c>
    </x:row>
    <x:row r="2543">
      <x:c r="A2543" s="89" t="n">
        <x:v>2541</x:v>
      </x:c>
      <x:c r="B2543" s="80" t="n">
        <x:v>0.38029598483141475</x:v>
      </x:c>
      <x:c r="C2543" s="84" t="n">
        <x:f>SQRT('Resumen'!$B$5^3/3)*B2543</x:f>
        <x:v>0.21956398921415113</x:v>
      </x:c>
      <x:c r="D2543" s="84" t="n">
        <x:f>C2543^2-'Resumen'!$B$5^3/3</x:f>
        <x:v>-0.28512498797370145</x:v>
      </x:c>
      <x:c r="E2543" s="85" t="n">
        <x:f>D2543+'Resumen'!$B$5^3/3</x:f>
        <x:v>0.048208345359631866</x:v>
      </x:c>
    </x:row>
    <x:row r="2544">
      <x:c r="A2544" s="89" t="n">
        <x:v>2542</x:v>
      </x:c>
      <x:c r="B2544" s="80" t="n">
        <x:v>-2.0629345633145255</x:v>
      </x:c>
      <x:c r="C2544" s="84" t="n">
        <x:f>SQRT('Resumen'!$B$5^3/3)*B2544</x:f>
        <x:v>-1.1910358254502242</x:v>
      </x:c>
      <x:c r="D2544" s="84" t="n">
        <x:f>C2544^2-'Resumen'!$B$5^3/3</x:f>
        <x:v>1.0852330041725637</x:v>
      </x:c>
      <x:c r="E2544" s="85" t="n">
        <x:f>D2544+'Resumen'!$B$5^3/3</x:f>
        <x:v>1.418566337505897</x:v>
      </x:c>
    </x:row>
    <x:row r="2545">
      <x:c r="A2545" s="89" t="n">
        <x:v>2543</x:v>
      </x:c>
      <x:c r="B2545" s="80" t="n">
        <x:v>0.18167289028362596</x:v>
      </x:c>
      <x:c r="C2545" s="84" t="n">
        <x:f>SQRT('Resumen'!$B$5^3/3)*B2545</x:f>
        <x:v>0.1048888921097088</x:v>
      </x:c>
      <x:c r="D2545" s="84" t="n">
        <x:f>C2545^2-'Resumen'!$B$5^3/3</x:f>
        <x:v>-0.3223316536453312</x:v>
      </x:c>
      <x:c r="E2545" s="85" t="n">
        <x:f>D2545+'Resumen'!$B$5^3/3</x:f>
        <x:v>0.011001679688002142</x:v>
      </x:c>
    </x:row>
    <x:row r="2546">
      <x:c r="A2546" s="89" t="n">
        <x:v>2544</x:v>
      </x:c>
      <x:c r="B2546" s="80" t="n">
        <x:v>-1.6679224741187297</x:v>
      </x:c>
      <x:c r="C2546" s="84" t="n">
        <x:f>SQRT('Resumen'!$B$5^3/3)*B2546</x:f>
        <x:v>-0.9629754894198752</x:v>
      </x:c>
      <x:c r="D2546" s="84" t="n">
        <x:f>C2546^2-'Resumen'!$B$5^3/3</x:f>
        <x:v>0.5939884598901148</x:v>
      </x:c>
      <x:c r="E2546" s="85" t="n">
        <x:f>D2546+'Resumen'!$B$5^3/3</x:f>
        <x:v>0.9273217932234481</x:v>
      </x:c>
    </x:row>
    <x:row r="2547">
      <x:c r="A2547" s="89" t="n">
        <x:v>2545</x:v>
      </x:c>
      <x:c r="B2547" s="80" t="n">
        <x:v>1.3705607730954785</x:v>
      </x:c>
      <x:c r="C2547" s="84" t="n">
        <x:f>SQRT('Resumen'!$B$5^3/3)*B2547</x:f>
        <x:v>0.791293631287416</x:v>
      </x:c>
      <x:c r="D2547" s="84" t="n">
        <x:f>C2547^2-'Resumen'!$B$5^3/3</x:f>
        <x:v>0.29281227758269185</x:v>
      </x:c>
      <x:c r="E2547" s="85" t="n">
        <x:f>D2547+'Resumen'!$B$5^3/3</x:f>
        <x:v>0.6261456109160252</x:v>
      </x:c>
    </x:row>
    <x:row r="2548">
      <x:c r="A2548" s="89" t="n">
        <x:v>2546</x:v>
      </x:c>
      <x:c r="B2548" s="80" t="n">
        <x:v>-0.2384864774768359</x:v>
      </x:c>
      <x:c r="C2548" s="84" t="n">
        <x:f>SQRT('Resumen'!$B$5^3/3)*B2548</x:f>
        <x:v>-0.13769023196933683</x:v>
      </x:c>
      <x:c r="D2548" s="84" t="n">
        <x:f>C2548^2-'Resumen'!$B$5^3/3</x:f>
        <x:v>-0.31437473335356353</x:v>
      </x:c>
      <x:c r="E2548" s="85" t="n">
        <x:f>D2548+'Resumen'!$B$5^3/3</x:f>
        <x:v>0.018958599979769786</x:v>
      </x:c>
    </x:row>
    <x:row r="2549">
      <x:c r="A2549" s="89" t="n">
        <x:v>2547</x:v>
      </x:c>
      <x:c r="B2549" s="80" t="n">
        <x:v>1.179382352031753</x:v>
      </x:c>
      <x:c r="C2549" s="84" t="n">
        <x:f>SQRT('Resumen'!$B$5^3/3)*B2549</x:f>
        <x:v>0.6809167184230266</x:v>
      </x:c>
      <x:c r="D2549" s="84" t="n">
        <x:f>C2549^2-'Resumen'!$B$5^3/3</x:f>
        <x:v>0.13031424409464998</x:v>
      </x:c>
      <x:c r="E2549" s="85" t="n">
        <x:f>D2549+'Resumen'!$B$5^3/3</x:f>
        <x:v>0.4636475774279833</x:v>
      </x:c>
    </x:row>
    <x:row r="2550">
      <x:c r="A2550" s="89" t="n">
        <x:v>2548</x:v>
      </x:c>
      <x:c r="B2550" s="80" t="n">
        <x:v>1.1713703658245576</x:v>
      </x:c>
      <x:c r="C2550" s="84" t="n">
        <x:f>SQRT('Resumen'!$B$5^3/3)*B2550</x:f>
        <x:v>0.6762909960295587</x:v>
      </x:c>
      <x:c r="D2550" s="84" t="n">
        <x:f>C2550^2-'Resumen'!$B$5^3/3</x:f>
        <x:v>0.1240361779773192</x:v>
      </x:c>
      <x:c r="E2550" s="85" t="n">
        <x:f>D2550+'Resumen'!$B$5^3/3</x:f>
        <x:v>0.4573695113106525</x:v>
      </x:c>
    </x:row>
    <x:row r="2551">
      <x:c r="A2551" s="89" t="n">
        <x:v>2549</x:v>
      </x:c>
      <x:c r="B2551" s="80" t="n">
        <x:v>-1.0512348288721367</x:v>
      </x:c>
      <x:c r="C2551" s="84" t="n">
        <x:f>SQRT('Resumen'!$B$5^3/3)*B2551</x:f>
        <x:v>-0.6069307114308383</x:v>
      </x:c>
      <x:c r="D2551" s="84" t="n">
        <x:f>C2551^2-'Resumen'!$B$5^3/3</x:f>
        <x:v>0.035031555144610205</x:v>
      </x:c>
      <x:c r="E2551" s="85" t="n">
        <x:f>D2551+'Resumen'!$B$5^3/3</x:f>
        <x:v>0.3683648884779435</x:v>
      </x:c>
    </x:row>
    <x:row r="2552">
      <x:c r="A2552" s="89" t="n">
        <x:v>2550</x:v>
      </x:c>
      <x:c r="B2552" s="80" t="n">
        <x:v>-0.27998033974162617</x:v>
      </x:c>
      <x:c r="C2552" s="84" t="n">
        <x:f>SQRT('Resumen'!$B$5^3/3)*B2552</x:f>
        <x:v>-0.16164672451763074</x:v>
      </x:c>
      <x:c r="D2552" s="84" t="n">
        <x:f>C2552^2-'Resumen'!$B$5^3/3</x:f>
        <x:v>-0.3072036697860545</x:v>
      </x:c>
      <x:c r="E2552" s="85" t="n">
        <x:f>D2552+'Resumen'!$B$5^3/3</x:f>
        <x:v>0.026129663547278803</x:v>
      </x:c>
    </x:row>
    <x:row r="2553">
      <x:c r="A2553" s="89" t="n">
        <x:v>2551</x:v>
      </x:c>
      <x:c r="B2553" s="80" t="n">
        <x:v>-2.3962232521978537</x:v>
      </x:c>
      <x:c r="C2553" s="84" t="n">
        <x:f>SQRT('Resumen'!$B$5^3/3)*B2553</x:f>
        <x:v>-1.3834601396948714</x:v>
      </x:c>
      <x:c r="D2553" s="84" t="n">
        <x:f>C2553^2-'Resumen'!$B$5^3/3</x:f>
        <x:v>1.5806286247912198</x:v>
      </x:c>
      <x:c r="E2553" s="85" t="n">
        <x:f>D2553+'Resumen'!$B$5^3/3</x:f>
        <x:v>1.913961958124553</x:v>
      </x:c>
    </x:row>
    <x:row r="2554">
      <x:c r="A2554" s="89" t="n">
        <x:v>2552</x:v>
      </x:c>
      <x:c r="B2554" s="80" t="n">
        <x:v>1.4345930851395952</x:v>
      </x:c>
      <x:c r="C2554" s="84" t="n">
        <x:f>SQRT('Resumen'!$B$5^3/3)*B2554</x:f>
        <x:v>0.8282627038829209</x:v>
      </x:c>
      <x:c r="D2554" s="84" t="n">
        <x:f>C2554^2-'Resumen'!$B$5^3/3</x:f>
        <x:v>0.3526857733101138</x:v>
      </x:c>
      <x:c r="E2554" s="85" t="n">
        <x:f>D2554+'Resumen'!$B$5^3/3</x:f>
        <x:v>0.6860191066434471</x:v>
      </x:c>
    </x:row>
    <x:row r="2555">
      <x:c r="A2555" s="89" t="n">
        <x:v>2553</x:v>
      </x:c>
      <x:c r="B2555" s="80" t="n">
        <x:v>-0.12008781284312707</x:v>
      </x:c>
      <x:c r="C2555" s="84" t="n">
        <x:f>SQRT('Resumen'!$B$5^3/3)*B2555</x:f>
        <x:v>-0.0693327310713728</x:v>
      </x:c>
      <x:c r="D2555" s="84" t="n">
        <x:f>C2555^2-'Resumen'!$B$5^3/3</x:f>
        <x:v>-0.328526305735518</x:v>
      </x:c>
      <x:c r="E2555" s="85" t="n">
        <x:f>D2555+'Resumen'!$B$5^3/3</x:f>
        <x:v>0.0048070275978153165</x:v>
      </x:c>
    </x:row>
    <x:row r="2556">
      <x:c r="A2556" s="89" t="n">
        <x:v>2554</x:v>
      </x:c>
      <x:c r="B2556" s="80" t="n">
        <x:v>-0.8954952419060037</x:v>
      </x:c>
      <x:c r="C2556" s="84" t="n">
        <x:f>SQRT('Resumen'!$B$5^3/3)*B2556</x:f>
        <x:v>-0.5170144189724603</x:v>
      </x:c>
      <x:c r="D2556" s="84" t="n">
        <x:f>C2556^2-'Resumen'!$B$5^3/3</x:f>
        <x:v>-0.06602942390790262</x:v>
      </x:c>
      <x:c r="E2556" s="85" t="n">
        <x:f>D2556+'Resumen'!$B$5^3/3</x:f>
        <x:v>0.2673039094254307</x:v>
      </x:c>
    </x:row>
    <x:row r="2557">
      <x:c r="A2557" s="89" t="n">
        <x:v>2555</x:v>
      </x:c>
      <x:c r="B2557" s="80" t="n">
        <x:v>0.9496914601623655</x:v>
      </x:c>
      <x:c r="C2557" s="84" t="n">
        <x:f>SQRT('Resumen'!$B$5^3/3)*B2557</x:f>
        <x:v>0.5483046201718305</x:v>
      </x:c>
      <x:c r="D2557" s="84" t="n">
        <x:f>C2557^2-'Resumen'!$B$5^3/3</x:f>
        <x:v>-0.03269537683155804</x:v>
      </x:c>
      <x:c r="E2557" s="85" t="n">
        <x:f>D2557+'Resumen'!$B$5^3/3</x:f>
        <x:v>0.30063795650177527</x:v>
      </x:c>
    </x:row>
    <x:row r="2558">
      <x:c r="A2558" s="89" t="n">
        <x:v>2556</x:v>
      </x:c>
      <x:c r="B2558" s="80" t="n">
        <x:v>-0.17531803953477448</x:v>
      </x:c>
      <x:c r="C2558" s="84" t="n">
        <x:f>SQRT('Resumen'!$B$5^3/3)*B2558</x:f>
        <x:v>-0.10121991731919949</x:v>
      </x:c>
      <x:c r="D2558" s="84" t="n">
        <x:f>C2558^2-'Resumen'!$B$5^3/3</x:f>
        <x:v>-0.3230878616712277</x:v>
      </x:c>
      <x:c r="E2558" s="85" t="n">
        <x:f>D2558+'Resumen'!$B$5^3/3</x:f>
        <x:v>0.010245471662105599</x:v>
      </x:c>
    </x:row>
    <x:row r="2559">
      <x:c r="A2559" s="89" t="n">
        <x:v>2557</x:v>
      </x:c>
      <x:c r="B2559" s="80" t="n">
        <x:v>-0.8240604831764496</x:v>
      </x:c>
      <x:c r="C2559" s="84" t="n">
        <x:f>SQRT('Resumen'!$B$5^3/3)*B2559</x:f>
        <x:v>-0.4757715417904562</x:v>
      </x:c>
      <x:c r="D2559" s="84" t="n">
        <x:f>C2559^2-'Resumen'!$B$5^3/3</x:f>
        <x:v>-0.10697477335566549</x:v>
      </x:c>
      <x:c r="E2559" s="85" t="n">
        <x:f>D2559+'Resumen'!$B$5^3/3</x:f>
        <x:v>0.22635855997766782</x:v>
      </x:c>
    </x:row>
    <x:row r="2560">
      <x:c r="A2560" s="89" t="n">
        <x:v>2558</x:v>
      </x:c>
      <x:c r="B2560" s="80" t="n">
        <x:v>1.2390819197252136</x:v>
      </x:c>
      <x:c r="C2560" s="84" t="n">
        <x:f>SQRT('Resumen'!$B$5^3/3)*B2560</x:f>
        <x:v>0.7153842799013503</x:v>
      </x:c>
      <x:c r="D2560" s="84" t="n">
        <x:f>C2560^2-'Resumen'!$B$5^3/3</x:f>
        <x:v>0.1784413345966403</x:v>
      </x:c>
      <x:c r="E2560" s="85" t="n">
        <x:f>D2560+'Resumen'!$B$5^3/3</x:f>
        <x:v>0.5117746679299736</x:v>
      </x:c>
    </x:row>
    <x:row r="2561">
      <x:c r="A2561" s="89" t="n">
        <x:v>2559</x:v>
      </x:c>
      <x:c r="B2561" s="80" t="n">
        <x:v>0.36061928721314207</x:v>
      </x:c>
      <x:c r="C2561" s="84" t="n">
        <x:f>SQRT('Resumen'!$B$5^3/3)*B2561</x:f>
        <x:v>0.20820364254747853</x:v>
      </x:c>
      <x:c r="D2561" s="84" t="n">
        <x:f>C2561^2-'Resumen'!$B$5^3/3</x:f>
        <x:v>-0.2899845765632951</x:v>
      </x:c>
      <x:c r="E2561" s="85" t="n">
        <x:f>D2561+'Resumen'!$B$5^3/3</x:f>
        <x:v>0.04334875677003819</x:v>
      </x:c>
    </x:row>
    <x:row r="2562">
      <x:c r="A2562" s="89" t="n">
        <x:v>2560</x:v>
      </x:c>
      <x:c r="B2562" s="80" t="n">
        <x:v>-0.37283044794155684</x:v>
      </x:c>
      <x:c r="C2562" s="84" t="n">
        <x:f>SQRT('Resumen'!$B$5^3/3)*B2562</x:f>
        <x:v>-0.21525375948114658</x:v>
      </x:c>
      <x:c r="D2562" s="84" t="n">
        <x:f>C2562^2-'Resumen'!$B$5^3/3</x:f>
        <x:v>-0.286999152362566</x:v>
      </x:c>
      <x:c r="E2562" s="85" t="n">
        <x:f>D2562+'Resumen'!$B$5^3/3</x:f>
        <x:v>0.0463341809707673</x:v>
      </x:c>
    </x:row>
    <x:row r="2563">
      <x:c r="A2563" s="89" t="n">
        <x:v>2561</x:v>
      </x:c>
      <x:c r="B2563" s="80" t="n">
        <x:v>-0.12376610741766966</x:v>
      </x:c>
      <x:c r="C2563" s="84" t="n">
        <x:f>SQRT('Resumen'!$B$5^3/3)*B2563</x:f>
        <x:v>-0.07145639543414371</x:v>
      </x:c>
      <x:c r="D2563" s="84" t="n">
        <x:f>C2563^2-'Resumen'!$B$5^3/3</x:f>
        <x:v>-0.3282273168848926</x:v>
      </x:c>
      <x:c r="E2563" s="85" t="n">
        <x:f>D2563+'Resumen'!$B$5^3/3</x:f>
        <x:v>0.00510601644844072</x:v>
      </x:c>
    </x:row>
    <x:row r="2564">
      <x:c r="A2564" s="89" t="n">
        <x:v>2562</x:v>
      </x:c>
      <x:c r="B2564" s="80" t="n">
        <x:v>-0.527565572375358</x:v>
      </x:c>
      <x:c r="C2564" s="84" t="n">
        <x:f>SQRT('Resumen'!$B$5^3/3)*B2564</x:f>
        <x:v>-0.3045901252260919</x:v>
      </x:c>
      <x:c r="D2564" s="84" t="n">
        <x:f>C2564^2-'Resumen'!$B$5^3/3</x:f>
        <x:v>-0.24055818894808695</x:v>
      </x:c>
      <x:c r="E2564" s="85" t="n">
        <x:f>D2564+'Resumen'!$B$5^3/3</x:f>
        <x:v>0.09277514438524637</x:v>
      </x:c>
    </x:row>
    <x:row r="2565">
      <x:c r="A2565" s="89" t="n">
        <x:v>2563</x:v>
      </x:c>
      <x:c r="B2565" s="80" t="n">
        <x:v>1.1828873630017098</x:v>
      </x:c>
      <x:c r="C2565" s="84" t="n">
        <x:f>SQRT('Resumen'!$B$5^3/3)*B2565</x:f>
        <x:v>0.6829403374500437</x:v>
      </x:c>
      <x:c r="D2565" s="84" t="n">
        <x:f>C2565^2-'Resumen'!$B$5^3/3</x:f>
        <x:v>0.1330741711830462</x:v>
      </x:c>
      <x:c r="E2565" s="85" t="n">
        <x:f>D2565+'Resumen'!$B$5^3/3</x:f>
        <x:v>0.4664075045163795</x:v>
      </x:c>
    </x:row>
    <x:row r="2566">
      <x:c r="A2566" s="89" t="n">
        <x:v>2564</x:v>
      </x:c>
      <x:c r="B2566" s="80" t="n">
        <x:v>0.5873634554539727</x:v>
      </x:c>
      <x:c r="C2566" s="84" t="n">
        <x:f>SQRT('Resumen'!$B$5^3/3)*B2566</x:f>
        <x:v>0.3391144491184999</x:v>
      </x:c>
      <x:c r="D2566" s="84" t="n">
        <x:f>C2566^2-'Resumen'!$B$5^3/3</x:f>
        <x:v>-0.21833472373238966</x:v>
      </x:c>
      <x:c r="E2566" s="85" t="n">
        <x:f>D2566+'Resumen'!$B$5^3/3</x:f>
        <x:v>0.11499860960094366</x:v>
      </x:c>
    </x:row>
    <x:row r="2567">
      <x:c r="A2567" s="89" t="n">
        <x:v>2565</x:v>
      </x:c>
      <x:c r="B2567" s="80" t="n">
        <x:v>0.25592926281335393</x:v>
      </x:c>
      <x:c r="C2567" s="84" t="n">
        <x:f>SQRT('Resumen'!$B$5^3/3)*B2567</x:f>
        <x:v>0.14776082877879237</x:v>
      </x:c>
      <x:c r="D2567" s="84" t="n">
        <x:f>C2567^2-'Resumen'!$B$5^3/3</x:f>
        <x:v>-0.3115000708119377</x:v>
      </x:c>
      <x:c r="E2567" s="85" t="n">
        <x:f>D2567+'Resumen'!$B$5^3/3</x:f>
        <x:v>0.021833262521395613</x:v>
      </x:c>
    </x:row>
    <x:row r="2568">
      <x:c r="A2568" s="89" t="n">
        <x:v>2566</x:v>
      </x:c>
      <x:c r="B2568" s="80" t="n">
        <x:v>-0.794471435659031</x:v>
      </x:c>
      <x:c r="C2568" s="84" t="n">
        <x:f>SQRT('Resumen'!$B$5^3/3)*B2568</x:f>
        <x:v>-0.45868829724120996</x:v>
      </x:c>
      <x:c r="D2568" s="84" t="n">
        <x:f>C2568^2-'Resumen'!$B$5^3/3</x:f>
        <x:v>-0.12293837930729273</x:v>
      </x:c>
      <x:c r="E2568" s="85" t="n">
        <x:f>D2568+'Resumen'!$B$5^3/3</x:f>
        <x:v>0.21039495402604058</x:v>
      </x:c>
    </x:row>
    <x:row r="2569">
      <x:c r="A2569" s="89" t="n">
        <x:v>2567</x:v>
      </x:c>
      <x:c r="B2569" s="80" t="n">
        <x:v>0.6557223550941995</x:v>
      </x:c>
      <x:c r="C2569" s="84" t="n">
        <x:f>SQRT('Resumen'!$B$5^3/3)*B2569</x:f>
        <x:v>0.37858147822729143</x:v>
      </x:c>
      <x:c r="D2569" s="84" t="n">
        <x:f>C2569^2-'Resumen'!$B$5^3/3</x:f>
        <x:v>-0.19000939767657218</x:v>
      </x:c>
      <x:c r="E2569" s="85" t="n">
        <x:f>D2569+'Resumen'!$B$5^3/3</x:f>
        <x:v>0.14332393565676113</x:v>
      </x:c>
    </x:row>
    <x:row r="2570">
      <x:c r="A2570" s="89" t="n">
        <x:v>2568</x:v>
      </x:c>
      <x:c r="B2570" s="80" t="n">
        <x:v>0.04494598036744343</x:v>
      </x:c>
      <x:c r="C2570" s="84" t="n">
        <x:f>SQRT('Resumen'!$B$5^3/3)*B2570</x:f>
        <x:v>0.0259495738641351</x:v>
      </x:c>
      <x:c r="D2570" s="84" t="n">
        <x:f>C2570^2-'Resumen'!$B$5^3/3</x:f>
        <x:v>-0.3326599529496031</x:v>
      </x:c>
      <x:c r="E2570" s="85" t="n">
        <x:f>D2570+'Resumen'!$B$5^3/3</x:f>
        <x:v>0.0006733803837302155</x:v>
      </x:c>
    </x:row>
    <x:row r="2571">
      <x:c r="A2571" s="89" t="n">
        <x:v>2569</x:v>
      </x:c>
      <x:c r="B2571" s="80" t="n">
        <x:v>-0.09453194229464766</x:v>
      </x:c>
      <x:c r="C2571" s="84" t="n">
        <x:f>SQRT('Resumen'!$B$5^3/3)*B2571</x:f>
        <x:v>-0.05457804233083299</x:v>
      </x:c>
      <x:c r="D2571" s="84" t="n">
        <x:f>C2571^2-'Resumen'!$B$5^3/3</x:f>
        <x:v>-0.33035457062866713</x:v>
      </x:c>
      <x:c r="E2571" s="85" t="n">
        <x:f>D2571+'Resumen'!$B$5^3/3</x:f>
        <x:v>0.0029787627046661824</x:v>
      </x:c>
    </x:row>
    <x:row r="2572">
      <x:c r="A2572" s="89" t="n">
        <x:v>2570</x:v>
      </x:c>
      <x:c r="B2572" s="80" t="n">
        <x:v>2.291886501303772</x:v>
      </x:c>
      <x:c r="C2572" s="84" t="n">
        <x:f>SQRT('Resumen'!$B$5^3/3)*B2572</x:f>
        <x:v>1.3232212884798022</x:v>
      </x:c>
      <x:c r="D2572" s="84" t="n">
        <x:f>C2572^2-'Resumen'!$B$5^3/3</x:f>
        <x:v>1.4175812449528147</x:v>
      </x:c>
      <x:c r="E2572" s="85" t="n">
        <x:f>D2572+'Resumen'!$B$5^3/3</x:f>
        <x:v>1.750914578286148</x:v>
      </x:c>
    </x:row>
    <x:row r="2573">
      <x:c r="A2573" s="89" t="n">
        <x:v>2571</x:v>
      </x:c>
      <x:c r="B2573" s="80" t="n">
        <x:v>-0.15503895814916266</x:v>
      </x:c>
      <x:c r="C2573" s="84" t="n">
        <x:f>SQRT('Resumen'!$B$5^3/3)*B2573</x:f>
        <x:v>-0.08951178422229818</x:v>
      </x:c>
      <x:c r="D2573" s="84" t="n">
        <x:f>C2573^2-'Resumen'!$B$5^3/3</x:f>
        <x:v>-0.32532097381867403</x:v>
      </x:c>
      <x:c r="E2573" s="85" t="n">
        <x:f>D2573+'Resumen'!$B$5^3/3</x:f>
        <x:v>0.008012359514659284</x:v>
      </x:c>
    </x:row>
    <x:row r="2574">
      <x:c r="A2574" s="89" t="n">
        <x:v>2572</x:v>
      </x:c>
      <x:c r="B2574" s="80" t="n">
        <x:v>-1.775423280814507</x:v>
      </x:c>
      <x:c r="C2574" s="84" t="n">
        <x:f>SQRT('Resumen'!$B$5^3/3)*B2574</x:f>
        <x:v>-1.025041109103784</x:v>
      </x:c>
      <x:c r="D2574" s="84" t="n">
        <x:f>C2574^2-'Resumen'!$B$5^3/3</x:f>
        <x:v>0.7173759420193826</x:v>
      </x:c>
      <x:c r="E2574" s="85" t="n">
        <x:f>D2574+'Resumen'!$B$5^3/3</x:f>
        <x:v>1.0507092753527159</x:v>
      </x:c>
    </x:row>
    <x:row r="2575">
      <x:c r="A2575" s="89" t="n">
        <x:v>2573</x:v>
      </x:c>
      <x:c r="B2575" s="80" t="n">
        <x:v>1.09743942063385</x:v>
      </x:c>
      <x:c r="C2575" s="84" t="n">
        <x:f>SQRT('Resumen'!$B$5^3/3)*B2575</x:f>
        <x:v>0.6336069449222602</x:v>
      </x:c>
      <x:c r="D2575" s="84" t="n">
        <x:f>C2575^2-'Resumen'!$B$5^3/3</x:f>
        <x:v>0.06812442732038676</x:v>
      </x:c>
      <x:c r="E2575" s="85" t="n">
        <x:f>D2575+'Resumen'!$B$5^3/3</x:f>
        <x:v>0.4014577606537201</x:v>
      </x:c>
    </x:row>
    <x:row r="2576">
      <x:c r="A2576" s="89" t="n">
        <x:v>2574</x:v>
      </x:c>
      <x:c r="B2576" s="80" t="n">
        <x:v>0.6568837652787255</x:v>
      </x:c>
      <x:c r="C2576" s="84" t="n">
        <x:f>SQRT('Resumen'!$B$5^3/3)*B2576</x:f>
        <x:v>0.3792520187099671</x:v>
      </x:c>
      <x:c r="D2576" s="84" t="n">
        <x:f>C2576^2-'Resumen'!$B$5^3/3</x:f>
        <x:v>-0.18950123963774806</x:v>
      </x:c>
      <x:c r="E2576" s="85" t="n">
        <x:f>D2576+'Resumen'!$B$5^3/3</x:f>
        <x:v>0.14383209369558525</x:v>
      </x:c>
    </x:row>
    <x:row r="2577">
      <x:c r="A2577" s="89" t="n">
        <x:v>2575</x:v>
      </x:c>
      <x:c r="B2577" s="80" t="n">
        <x:v>1.1096567735023293</x:v>
      </x:c>
      <x:c r="C2577" s="84" t="n">
        <x:f>SQRT('Resumen'!$B$5^3/3)*B2577</x:f>
        <x:v>0.6406606368896614</x:v>
      </x:c>
      <x:c r="D2577" s="84" t="n">
        <x:f>C2577^2-'Resumen'!$B$5^3/3</x:f>
        <x:v>0.07711271832653321</x:v>
      </x:c>
      <x:c r="E2577" s="85" t="n">
        <x:f>D2577+'Resumen'!$B$5^3/3</x:f>
        <x:v>0.41044605165986653</x:v>
      </x:c>
    </x:row>
    <x:row r="2578">
      <x:c r="A2578" s="89" t="n">
        <x:v>2576</x:v>
      </x:c>
      <x:c r="B2578" s="80" t="n">
        <x:v>1.2369601468149434</x:v>
      </x:c>
      <x:c r="C2578" s="84" t="n">
        <x:f>SQRT('Resumen'!$B$5^3/3)*B2578</x:f>
        <x:v>0.7141592737404465</x:v>
      </x:c>
      <x:c r="D2578" s="84" t="n">
        <x:f>C2578^2-'Resumen'!$B$5^3/3</x:f>
        <x:v>0.17669013493614866</x:v>
      </x:c>
      <x:c r="E2578" s="85" t="n">
        <x:f>D2578+'Resumen'!$B$5^3/3</x:f>
        <x:v>0.510023468269482</x:v>
      </x:c>
    </x:row>
    <x:row r="2579">
      <x:c r="A2579" s="89" t="n">
        <x:v>2577</x:v>
      </x:c>
      <x:c r="B2579" s="80" t="n">
        <x:v>0.5788195151223867</x:v>
      </x:c>
      <x:c r="C2579" s="84" t="n">
        <x:f>SQRT('Resumen'!$B$5^3/3)*B2579</x:f>
        <x:v>0.3341816028681186</x:v>
      </x:c>
      <x:c r="D2579" s="84" t="n">
        <x:f>C2579^2-'Resumen'!$B$5^3/3</x:f>
        <x:v>-0.2216559896378284</x:v>
      </x:c>
      <x:c r="E2579" s="85" t="n">
        <x:f>D2579+'Resumen'!$B$5^3/3</x:f>
        <x:v>0.11167734369550492</x:v>
      </x:c>
    </x:row>
    <x:row r="2580">
      <x:c r="A2580" s="89" t="n">
        <x:v>2578</x:v>
      </x:c>
      <x:c r="B2580" s="80" t="n">
        <x:v>1.1573047901084639</x:v>
      </x:c>
      <x:c r="C2580" s="84" t="n">
        <x:f>SQRT('Resumen'!$B$5^3/3)*B2580</x:f>
        <x:v>0.668170232103565</x:v>
      </x:c>
      <x:c r="D2580" s="84" t="n">
        <x:f>C2580^2-'Resumen'!$B$5^3/3</x:f>
        <x:v>0.11311812573599855</x:v>
      </x:c>
      <x:c r="E2580" s="85" t="n">
        <x:f>D2580+'Resumen'!$B$5^3/3</x:f>
        <x:v>0.44645145906933187</x:v>
      </x:c>
    </x:row>
    <x:row r="2581">
      <x:c r="A2581" s="89" t="n">
        <x:v>2579</x:v>
      </x:c>
      <x:c r="B2581" s="80" t="n">
        <x:v>1.3855229600547787</x:v>
      </x:c>
      <x:c r="C2581" s="84" t="n">
        <x:f>SQRT('Resumen'!$B$5^3/3)*B2581</x:f>
        <x:v>0.7999320539560335</x:v>
      </x:c>
      <x:c r="D2581" s="84" t="n">
        <x:f>C2581^2-'Resumen'!$B$5^3/3</x:f>
        <x:v>0.30655795761298515</x:v>
      </x:c>
      <x:c r="E2581" s="85" t="n">
        <x:f>D2581+'Resumen'!$B$5^3/3</x:f>
        <x:v>0.6398912909463185</x:v>
      </x:c>
    </x:row>
    <x:row r="2582">
      <x:c r="A2582" s="89" t="n">
        <x:v>2580</x:v>
      </x:c>
      <x:c r="B2582" s="80" t="n">
        <x:v>-1.1645695286602284</x:v>
      </x:c>
      <x:c r="C2582" s="84" t="n">
        <x:f>SQRT('Resumen'!$B$5^3/3)*B2582</x:f>
        <x:v>-0.6723645308620184</x:v>
      </x:c>
      <x:c r="D2582" s="84" t="n">
        <x:f>C2582^2-'Resumen'!$B$5^3/3</x:f>
        <x:v>0.11874072902796878</x:v>
      </x:c>
      <x:c r="E2582" s="85" t="n">
        <x:f>D2582+'Resumen'!$B$5^3/3</x:f>
        <x:v>0.4520740623613021</x:v>
      </x:c>
    </x:row>
    <x:row r="2583">
      <x:c r="A2583" s="89" t="n">
        <x:v>2581</x:v>
      </x:c>
      <x:c r="B2583" s="80" t="n">
        <x:v>0.8349052417647084</x:v>
      </x:c>
      <x:c r="C2583" s="84" t="n">
        <x:f>SQRT('Resumen'!$B$5^3/3)*B2583</x:f>
        <x:v>0.4820327660806839</x:v>
      </x:c>
      <x:c r="D2583" s="84" t="n">
        <x:f>C2583^2-'Resumen'!$B$5^3/3</x:f>
        <x:v>-0.100977745757938</x:v>
      </x:c>
      <x:c r="E2583" s="85" t="n">
        <x:f>D2583+'Resumen'!$B$5^3/3</x:f>
        <x:v>0.23235558757539532</x:v>
      </x:c>
    </x:row>
    <x:row r="2584">
      <x:c r="A2584" s="89" t="n">
        <x:v>2582</x:v>
      </x:c>
      <x:c r="B2584" s="80" t="n">
        <x:v>0.6793928921958373</x:v>
      </x:c>
      <x:c r="C2584" s="84" t="n">
        <x:f>SQRT('Resumen'!$B$5^3/3)*B2584</x:f>
        <x:v>0.39224766919478504</x:v>
      </x:c>
      <x:c r="D2584" s="84" t="n">
        <x:f>C2584^2-'Resumen'!$B$5^3/3</x:f>
        <x:v>-0.1794750993445918</x:v>
      </x:c>
      <x:c r="E2584" s="85" t="n">
        <x:f>D2584+'Resumen'!$B$5^3/3</x:f>
        <x:v>0.15385823398874152</x:v>
      </x:c>
    </x:row>
    <x:row r="2585">
      <x:c r="A2585" s="89" t="n">
        <x:v>2583</x:v>
      </x:c>
      <x:c r="B2585" s="80" t="n">
        <x:v>1.6350735126128355</x:v>
      </x:c>
      <x:c r="C2585" s="84" t="n">
        <x:f>SQRT('Resumen'!$B$5^3/3)*B2585</x:f>
        <x:v>0.9440101326518475</x:v>
      </x:c>
      <x:c r="D2585" s="84" t="n">
        <x:f>C2585^2-'Resumen'!$B$5^3/3</x:f>
        <x:v>0.5578217972160255</x:v>
      </x:c>
      <x:c r="E2585" s="85" t="n">
        <x:f>D2585+'Resumen'!$B$5^3/3</x:f>
        <x:v>0.8911551305493588</x:v>
      </x:c>
    </x:row>
    <x:row r="2586">
      <x:c r="A2586" s="89" t="n">
        <x:v>2584</x:v>
      </x:c>
      <x:c r="B2586" s="80" t="n">
        <x:v>0.2671007976503309</x:v>
      </x:c>
      <x:c r="C2586" s="84" t="n">
        <x:f>SQRT('Resumen'!$B$5^3/3)*B2586</x:f>
        <x:v>0.1542107174241823</x:v>
      </x:c>
      <x:c r="D2586" s="84" t="n">
        <x:f>C2586^2-'Resumen'!$B$5^3/3</x:f>
        <x:v>-0.3095523879648523</x:v>
      </x:c>
      <x:c r="E2586" s="85" t="n">
        <x:f>D2586+'Resumen'!$B$5^3/3</x:f>
        <x:v>0.02378094536848102</x:v>
      </x:c>
    </x:row>
    <x:row r="2587">
      <x:c r="A2587" s="89" t="n">
        <x:v>2585</x:v>
      </x:c>
      <x:c r="B2587" s="80" t="n">
        <x:v>-1.077703177358197</x:v>
      </x:c>
      <x:c r="C2587" s="84" t="n">
        <x:f>SQRT('Resumen'!$B$5^3/3)*B2587</x:f>
        <x:v>-0.6222122195542701</x:v>
      </x:c>
      <x:c r="D2587" s="84" t="n">
        <x:f>C2587^2-'Resumen'!$B$5^3/3</x:f>
        <x:v>0.05381471282931788</x:v>
      </x:c>
      <x:c r="E2587" s="85" t="n">
        <x:f>D2587+'Resumen'!$B$5^3/3</x:f>
        <x:v>0.3871480461626512</x:v>
      </x:c>
    </x:row>
    <x:row r="2588">
      <x:c r="A2588" s="89" t="n">
        <x:v>2586</x:v>
      </x:c>
      <x:c r="B2588" s="80" t="n">
        <x:v>1.422788725093991</x:v>
      </x:c>
      <x:c r="C2588" s="84" t="n">
        <x:f>SQRT('Resumen'!$B$5^3/3)*B2588</x:f>
        <x:v>0.8214474534329801</x:v>
      </x:c>
      <x:c r="D2588" s="84" t="n">
        <x:f>C2588^2-'Resumen'!$B$5^3/3</x:f>
        <x:v>0.34144258541819467</x:v>
      </x:c>
      <x:c r="E2588" s="85" t="n">
        <x:f>D2588+'Resumen'!$B$5^3/3</x:f>
        <x:v>0.674775918751528</x:v>
      </x:c>
    </x:row>
    <x:row r="2589">
      <x:c r="A2589" s="89" t="n">
        <x:v>2587</x:v>
      </x:c>
      <x:c r="B2589" s="80" t="n">
        <x:v>0.1047876279852622</x:v>
      </x:c>
      <x:c r="C2589" s="84" t="n">
        <x:f>SQRT('Resumen'!$B$5^3/3)*B2589</x:f>
        <x:v>0.06049916522503349</x:v>
      </x:c>
      <x:c r="D2589" s="84" t="n">
        <x:f>C2589^2-'Resumen'!$B$5^3/3</x:f>
        <x:v>-0.32967318434040743</x:v>
      </x:c>
      <x:c r="E2589" s="85" t="n">
        <x:f>D2589+'Resumen'!$B$5^3/3</x:f>
        <x:v>0.0036601489929258824</x:v>
      </x:c>
    </x:row>
    <x:row r="2590">
      <x:c r="A2590" s="89" t="n">
        <x:v>2588</x:v>
      </x:c>
      <x:c r="B2590" s="80" t="n">
        <x:v>0.21828876535945263</x:v>
      </x:c>
      <x:c r="C2590" s="84" t="n">
        <x:f>SQRT('Resumen'!$B$5^3/3)*B2590</x:f>
        <x:v>0.12602907744135103</x:v>
      </x:c>
      <x:c r="D2590" s="84" t="n">
        <x:f>C2590^2-'Resumen'!$B$5^3/3</x:f>
        <x:v>-0.3174500049726153</x:v>
      </x:c>
      <x:c r="E2590" s="85" t="n">
        <x:f>D2590+'Resumen'!$B$5^3/3</x:f>
        <x:v>0.01588332836071804</x:v>
      </x:c>
    </x:row>
    <x:row r="2591">
      <x:c r="A2591" s="89" t="n">
        <x:v>2589</x:v>
      </x:c>
      <x:c r="B2591" s="80" t="n">
        <x:v>-1.073486653526324</x:v>
      </x:c>
      <x:c r="C2591" s="84" t="n">
        <x:f>SQRT('Resumen'!$B$5^3/3)*B2591</x:f>
        <x:v>-0.6197778083848937</x:v>
      </x:c>
      <x:c r="D2591" s="84" t="n">
        <x:f>C2591^2-'Resumen'!$B$5^3/3</x:f>
        <x:v>0.05079119843304869</x:v>
      </x:c>
      <x:c r="E2591" s="85" t="n">
        <x:f>D2591+'Resumen'!$B$5^3/3</x:f>
        <x:v>0.384124531766382</x:v>
      </x:c>
    </x:row>
    <x:row r="2592">
      <x:c r="A2592" s="89" t="n">
        <x:v>2590</x:v>
      </x:c>
      <x:c r="B2592" s="80" t="n">
        <x:v>1.1487948548756173</x:v>
      </x:c>
      <x:c r="C2592" s="84" t="n">
        <x:f>SQRT('Resumen'!$B$5^3/3)*B2592</x:f>
        <x:v>0.6632570187060947</x:v>
      </x:c>
      <x:c r="D2592" s="84" t="n">
        <x:f>C2592^2-'Resumen'!$B$5^3/3</x:f>
        <x:v>0.10657653952956347</x:v>
      </x:c>
      <x:c r="E2592" s="85" t="n">
        <x:f>D2592+'Resumen'!$B$5^3/3</x:f>
        <x:v>0.4399098728628968</x:v>
      </x:c>
    </x:row>
    <x:row r="2593">
      <x:c r="A2593" s="89" t="n">
        <x:v>2591</x:v>
      </x:c>
      <x:c r="B2593" s="80" t="n">
        <x:v>0.9657643763749434</x:v>
      </x:c>
      <x:c r="C2593" s="84" t="n">
        <x:f>SQRT('Resumen'!$B$5^3/3)*B2593</x:f>
        <x:v>0.5575843226738246</x:v>
      </x:c>
      <x:c r="D2593" s="84" t="n">
        <x:f>C2593^2-'Resumen'!$B$5^3/3</x:f>
        <x:v>-0.022433056441705512</x:v>
      </x:c>
      <x:c r="E2593" s="85" t="n">
        <x:f>D2593+'Resumen'!$B$5^3/3</x:f>
        <x:v>0.3109002768916278</x:v>
      </x:c>
    </x:row>
    <x:row r="2594">
      <x:c r="A2594" s="89" t="n">
        <x:v>2592</x:v>
      </x:c>
      <x:c r="B2594" s="80" t="n">
        <x:v>-1.4575366394389329</x:v>
      </x:c>
      <x:c r="C2594" s="84" t="n">
        <x:f>SQRT('Resumen'!$B$5^3/3)*B2594</x:f>
        <x:v>-0.8415091711338103</x:v>
      </x:c>
      <x:c r="D2594" s="84" t="n">
        <x:f>C2594^2-'Resumen'!$B$5^3/3</x:f>
        <x:v>0.37480435176897914</x:v>
      </x:c>
      <x:c r="E2594" s="85" t="n">
        <x:f>D2594+'Resumen'!$B$5^3/3</x:f>
        <x:v>0.7081376851023125</x:v>
      </x:c>
    </x:row>
    <x:row r="2595">
      <x:c r="A2595" s="89" t="n">
        <x:v>2593</x:v>
      </x:c>
      <x:c r="B2595" s="80" t="n">
        <x:v>0.8265686896100564</x:v>
      </x:c>
      <x:c r="C2595" s="84" t="n">
        <x:f>SQRT('Resumen'!$B$5^3/3)*B2595</x:f>
        <x:v>0.4772196554500822</x:v>
      </x:c>
      <x:c r="D2595" s="84" t="n">
        <x:f>C2595^2-'Resumen'!$B$5^3/3</x:f>
        <x:v>-0.10559473378543813</x:v>
      </x:c>
      <x:c r="E2595" s="85" t="n">
        <x:f>D2595+'Resumen'!$B$5^3/3</x:f>
        <x:v>0.2277385995478952</x:v>
      </x:c>
    </x:row>
    <x:row r="2596">
      <x:c r="A2596" s="89" t="n">
        <x:v>2594</x:v>
      </x:c>
      <x:c r="B2596" s="80" t="n">
        <x:v>0.13427034113735153</x:v>
      </x:c>
      <x:c r="C2596" s="84" t="n">
        <x:f>SQRT('Resumen'!$B$5^3/3)*B2596</x:f>
        <x:v>0.07752101759983279</x:v>
      </x:c>
      <x:c r="D2596" s="84" t="n">
        <x:f>C2596^2-'Resumen'!$B$5^3/3</x:f>
        <x:v>-0.32732382516361974</x:v>
      </x:c>
      <x:c r="E2596" s="85" t="n">
        <x:f>D2596+'Resumen'!$B$5^3/3</x:f>
        <x:v>0.006009508169713573</x:v>
      </x:c>
    </x:row>
    <x:row r="2597">
      <x:c r="A2597" s="89" t="n">
        <x:v>2595</x:v>
      </x:c>
      <x:c r="B2597" s="80" t="n">
        <x:v>-0.43806888274178685</x:v>
      </x:c>
      <x:c r="C2597" s="84" t="n">
        <x:f>SQRT('Resumen'!$B$5^3/3)*B2597</x:f>
        <x:v>-0.2529191873745692</x:v>
      </x:c>
      <x:c r="D2597" s="84" t="n">
        <x:f>C2597^2-'Resumen'!$B$5^3/3</x:f>
        <x:v>-0.2693652179911209</x:v>
      </x:c>
      <x:c r="E2597" s="85" t="n">
        <x:f>D2597+'Resumen'!$B$5^3/3</x:f>
        <x:v>0.06396811534221242</x:v>
      </x:c>
    </x:row>
    <x:row r="2598">
      <x:c r="A2598" s="89" t="n">
        <x:v>2596</x:v>
      </x:c>
      <x:c r="B2598" s="80" t="n">
        <x:v>-0.6107818167770046</x:v>
      </x:c>
      <x:c r="C2598" s="84" t="n">
        <x:f>SQRT('Resumen'!$B$5^3/3)*B2598</x:f>
        <x:v>-0.3526350463323323</x:v>
      </x:c>
      <x:c r="D2598" s="84" t="n">
        <x:f>C2598^2-'Resumen'!$B$5^3/3</x:f>
        <x:v>-0.2089818574315272</x:v>
      </x:c>
      <x:c r="E2598" s="85" t="n">
        <x:f>D2598+'Resumen'!$B$5^3/3</x:f>
        <x:v>0.12435147590180612</x:v>
      </x:c>
    </x:row>
    <x:row r="2599">
      <x:c r="A2599" s="89" t="n">
        <x:v>2597</x:v>
      </x:c>
      <x:c r="B2599" s="80" t="n">
        <x:v>-0.6349652076948834</x:v>
      </x:c>
      <x:c r="C2599" s="84" t="n">
        <x:f>SQRT('Resumen'!$B$5^3/3)*B2599</x:f>
        <x:v>-0.36659733358868757</x:v>
      </x:c>
      <x:c r="D2599" s="84" t="n">
        <x:f>C2599^2-'Resumen'!$B$5^3/3</x:f>
        <x:v>-0.19893972833899784</x:v>
      </x:c>
      <x:c r="E2599" s="85" t="n">
        <x:f>D2599+'Resumen'!$B$5^3/3</x:f>
        <x:v>0.13439360499433547</x:v>
      </x:c>
    </x:row>
    <x:row r="2600">
      <x:c r="A2600" s="89" t="n">
        <x:v>2598</x:v>
      </x:c>
      <x:c r="B2600" s="80" t="n">
        <x:v>0.8619965733173051</x:v>
      </x:c>
      <x:c r="C2600" s="84" t="n">
        <x:f>SQRT('Resumen'!$B$5^3/3)*B2600</x:f>
        <x:v>0.49767395364528105</x:v>
      </x:c>
      <x:c r="D2600" s="84" t="n">
        <x:f>C2600^2-'Resumen'!$B$5^3/3</x:f>
        <x:v>-0.08565396919640797</x:v>
      </x:c>
      <x:c r="E2600" s="85" t="n">
        <x:f>D2600+'Resumen'!$B$5^3/3</x:f>
        <x:v>0.24767936413692535</x:v>
      </x:c>
    </x:row>
    <x:row r="2601">
      <x:c r="A2601" s="89" t="n">
        <x:v>2599</x:v>
      </x:c>
      <x:c r="B2601" s="80" t="n">
        <x:v>0.16507443534163288</x:v>
      </x:c>
      <x:c r="C2601" s="84" t="n">
        <x:f>SQRT('Resumen'!$B$5^3/3)*B2601</x:f>
        <x:v>0.0953057696808172</x:v>
      </x:c>
      <x:c r="D2601" s="84" t="n">
        <x:f>C2601^2-'Resumen'!$B$5^3/3</x:f>
        <x:v>-0.3242501435988803</x:v>
      </x:c>
      <x:c r="E2601" s="85" t="n">
        <x:f>D2601+'Resumen'!$B$5^3/3</x:f>
        <x:v>0.00908318973445299</x:v>
      </x:c>
    </x:row>
    <x:row r="2602">
      <x:c r="A2602" s="89" t="n">
        <x:v>2600</x:v>
      </x:c>
      <x:c r="B2602" s="80" t="n">
        <x:v>1.9536066019517355</x:v>
      </x:c>
      <x:c r="C2602" s="84" t="n">
        <x:f>SQRT('Resumen'!$B$5^3/3)*B2602</x:f>
        <x:v>1.1279152975274644</x:v>
      </x:c>
      <x:c r="D2602" s="84" t="n">
        <x:f>C2602^2-'Resumen'!$B$5^3/3</x:f>
        <x:v>0.9388595850631354</x:v>
      </x:c>
      <x:c r="E2602" s="85" t="n">
        <x:f>D2602+'Resumen'!$B$5^3/3</x:f>
        <x:v>1.2721929183964686</x:v>
      </x:c>
    </x:row>
    <x:row r="2603">
      <x:c r="A2603" s="89" t="n">
        <x:v>2601</x:v>
      </x:c>
      <x:c r="B2603" s="80" t="n">
        <x:v>0.5656137867773774</x:v>
      </x:c>
      <x:c r="C2603" s="84" t="n">
        <x:f>SQRT('Resumen'!$B$5^3/3)*B2603</x:f>
        <x:v>0.3265572720532824</x:v>
      </x:c>
      <x:c r="D2603" s="84" t="n">
        <x:f>C2603^2-'Resumen'!$B$5^3/3</x:f>
        <x:v>-0.22669368140245183</x:v>
      </x:c>
      <x:c r="E2603" s="85" t="n">
        <x:f>D2603+'Resumen'!$B$5^3/3</x:f>
        <x:v>0.10663965193088148</x:v>
      </x:c>
    </x:row>
    <x:row r="2604">
      <x:c r="A2604" s="89" t="n">
        <x:v>2602</x:v>
      </x:c>
      <x:c r="B2604" s="80" t="n">
        <x:v>1.6993341359298468</x:v>
      </x:c>
      <x:c r="C2604" s="84" t="n">
        <x:f>SQRT('Resumen'!$B$5^3/3)*B2604</x:f>
        <x:v>0.9811110208222171</x:v>
      </x:c>
      <x:c r="D2604" s="84" t="n">
        <x:f>C2604^2-'Resumen'!$B$5^3/3</x:f>
        <x:v>0.6292455018454797</x:v>
      </x:c>
      <x:c r="E2604" s="85" t="n">
        <x:f>D2604+'Resumen'!$B$5^3/3</x:f>
        <x:v>0.9625788351788129</x:v>
      </x:c>
    </x:row>
    <x:row r="2605">
      <x:c r="A2605" s="89" t="n">
        <x:v>2603</x:v>
      </x:c>
      <x:c r="B2605" s="80" t="n">
        <x:v>-0.4010030385328753</x:v>
      </x:c>
      <x:c r="C2605" s="84" t="n">
        <x:f>SQRT('Resumen'!$B$5^3/3)*B2605</x:f>
        <x:v>-0.2315192122428134</x:v>
      </x:c>
      <x:c r="D2605" s="84" t="n">
        <x:f>C2605^2-'Resumen'!$B$5^3/3</x:f>
        <x:v>-0.27973218769580044</x:v>
      </x:c>
      <x:c r="E2605" s="85" t="n">
        <x:f>D2605+'Resumen'!$B$5^3/3</x:f>
        <x:v>0.05360114563753288</x:v>
      </x:c>
    </x:row>
    <x:row r="2606">
      <x:c r="A2606" s="89" t="n">
        <x:v>2604</x:v>
      </x:c>
      <x:c r="B2606" s="80" t="n">
        <x:v>-0.537135046167979</x:v>
      </x:c>
      <x:c r="C2606" s="84" t="n">
        <x:f>SQRT('Resumen'!$B$5^3/3)*B2606</x:f>
        <x:v>-0.3101150634962647</x:v>
      </x:c>
      <x:c r="D2606" s="84" t="n">
        <x:f>C2606^2-'Resumen'!$B$5^3/3</x:f>
        <x:v>-0.237161980726041</x:v>
      </x:c>
      <x:c r="E2606" s="85" t="n">
        <x:f>D2606+'Resumen'!$B$5^3/3</x:f>
        <x:v>0.09617135260729232</x:v>
      </x:c>
    </x:row>
    <x:row r="2607">
      <x:c r="A2607" s="89" t="n">
        <x:v>2605</x:v>
      </x:c>
      <x:c r="B2607" s="80" t="n">
        <x:v>-0.1589699735524636</x:v>
      </x:c>
      <x:c r="C2607" s="84" t="n">
        <x:f>SQRT('Resumen'!$B$5^3/3)*B2607</x:f>
        <x:v>-0.09178135702358253</x:v>
      </x:c>
      <x:c r="D2607" s="84" t="n">
        <x:f>C2607^2-'Resumen'!$B$5^3/3</x:f>
        <x:v>-0.324909515836243</x:v>
      </x:c>
      <x:c r="E2607" s="85" t="n">
        <x:f>D2607+'Resumen'!$B$5^3/3</x:f>
        <x:v>0.008423817497090313</x:v>
      </x:c>
    </x:row>
    <x:row r="2608">
      <x:c r="A2608" s="89" t="n">
        <x:v>2606</x:v>
      </x:c>
      <x:c r="B2608" s="80" t="n">
        <x:v>-0.77524696246624</x:v>
      </x:c>
      <x:c r="C2608" s="84" t="n">
        <x:f>SQRT('Resumen'!$B$5^3/3)*B2608</x:f>
        <x:v>-0.4475890424683234</x:v>
      </x:c>
      <x:c r="D2608" s="84" t="n">
        <x:f>C2608^2-'Resumen'!$B$5^3/3</x:f>
        <x:v>-0.13299738239562273</x:v>
      </x:c>
      <x:c r="E2608" s="85" t="n">
        <x:f>D2608+'Resumen'!$B$5^3/3</x:f>
        <x:v>0.2003359509377106</x:v>
      </x:c>
    </x:row>
    <x:row r="2609">
      <x:c r="A2609" s="89" t="n">
        <x:v>2607</x:v>
      </x:c>
      <x:c r="B2609" s="80" t="n">
        <x:v>-2.304591831426169</x:v>
      </x:c>
      <x:c r="C2609" s="84" t="n">
        <x:f>SQRT('Resumen'!$B$5^3/3)*B2609</x:f>
        <x:v>-1.3305567142461112</x:v>
      </x:c>
      <x:c r="D2609" s="84" t="n">
        <x:f>C2609^2-'Resumen'!$B$5^3/3</x:f>
        <x:v>1.4370478364920745</x:v>
      </x:c>
      <x:c r="E2609" s="85" t="n">
        <x:f>D2609+'Resumen'!$B$5^3/3</x:f>
        <x:v>1.7703811698254077</x:v>
      </x:c>
    </x:row>
    <x:row r="2610">
      <x:c r="A2610" s="89" t="n">
        <x:v>2608</x:v>
      </x:c>
      <x:c r="B2610" s="80" t="n">
        <x:v>0.4294700360055528</x:v>
      </x:c>
      <x:c r="C2610" s="84" t="n">
        <x:f>SQRT('Resumen'!$B$5^3/3)*B2610</x:f>
        <x:v>0.24795464089668415</x:v>
      </x:c>
      <x:c r="D2610" s="84" t="n">
        <x:f>C2610^2-'Resumen'!$B$5^3/3</x:f>
        <x:v>-0.27185182939112973</x:v>
      </x:c>
      <x:c r="E2610" s="85" t="n">
        <x:f>D2610+'Resumen'!$B$5^3/3</x:f>
        <x:v>0.061481503942203586</x:v>
      </x:c>
    </x:row>
    <x:row r="2611">
      <x:c r="A2611" s="89" t="n">
        <x:v>2609</x:v>
      </x:c>
      <x:c r="B2611" s="80" t="n">
        <x:v>0.17970748941692555</x:v>
      </x:c>
      <x:c r="C2611" s="84" t="n">
        <x:f>SQRT('Resumen'!$B$5^3/3)*B2611</x:f>
        <x:v>0.10375416739025378</x:v>
      </x:c>
      <x:c r="D2611" s="84" t="n">
        <x:f>C2611^2-'Resumen'!$B$5^3/3</x:f>
        <x:v>-0.3225684060824885</x:v>
      </x:c>
      <x:c r="E2611" s="85" t="n">
        <x:f>D2611+'Resumen'!$B$5^3/3</x:f>
        <x:v>0.010764927250844825</x:v>
      </x:c>
    </x:row>
    <x:row r="2612">
      <x:c r="A2612" s="89" t="n">
        <x:v>2610</x:v>
      </x:c>
      <x:c r="B2612" s="80" t="n">
        <x:v>-0.4064105278458137</x:v>
      </x:c>
      <x:c r="C2612" s="84" t="n">
        <x:f>SQRT('Resumen'!$B$5^3/3)*B2612</x:f>
        <x:v>-0.23464122765327844</x:v>
      </x:c>
      <x:c r="D2612" s="84" t="n">
        <x:f>C2612^2-'Resumen'!$B$5^3/3</x:f>
        <x:v>-0.27827682761869565</x:v>
      </x:c>
      <x:c r="E2612" s="85" t="n">
        <x:f>D2612+'Resumen'!$B$5^3/3</x:f>
        <x:v>0.05505650571463766</x:v>
      </x:c>
    </x:row>
    <x:row r="2613">
      <x:c r="A2613" s="89" t="n">
        <x:v>2611</x:v>
      </x:c>
      <x:c r="B2613" s="80" t="n">
        <x:v>-0.25968875271549335</x:v>
      </x:c>
      <x:c r="C2613" s="84" t="n">
        <x:f>SQRT('Resumen'!$B$5^3/3)*B2613</x:f>
        <x:v>-0.14993137128580825</x:v>
      </x:c>
      <x:c r="D2613" s="84" t="n">
        <x:f>C2613^2-'Resumen'!$B$5^3/3</x:f>
        <x:v>-0.3108539172376904</x:v>
      </x:c>
      <x:c r="E2613" s="85" t="n">
        <x:f>D2613+'Resumen'!$B$5^3/3</x:f>
        <x:v>0.022479416095642912</x:v>
      </x:c>
    </x:row>
    <x:row r="2614">
      <x:c r="A2614" s="89" t="n">
        <x:v>2612</x:v>
      </x:c>
      <x:c r="B2614" s="80" t="n">
        <x:v>-2.539690217447023</x:v>
      </x:c>
      <x:c r="C2614" s="84" t="n">
        <x:f>SQRT('Resumen'!$B$5^3/3)*B2614</x:f>
        <x:v>-1.4662908307012978</x:v>
      </x:c>
      <x:c r="D2614" s="84" t="n">
        <x:f>C2614^2-'Resumen'!$B$5^3/3</x:f>
        <x:v>1.8166754668653688</x:v>
      </x:c>
      <x:c r="E2614" s="85" t="n">
        <x:f>D2614+'Resumen'!$B$5^3/3</x:f>
        <x:v>2.150008800198702</x:v>
      </x:c>
    </x:row>
    <x:row r="2615">
      <x:c r="A2615" s="89" t="n">
        <x:v>2613</x:v>
      </x:c>
      <x:c r="B2615" s="80" t="n">
        <x:v>-0.35603962312242715</x:v>
      </x:c>
      <x:c r="C2615" s="84" t="n">
        <x:f>SQRT('Resumen'!$B$5^3/3)*B2615</x:f>
        <x:v>-0.20555957225190621</x:v>
      </x:c>
      <x:c r="D2615" s="84" t="n">
        <x:f>C2615^2-'Resumen'!$B$5^3/3</x:f>
        <x:v>-0.29107859558894666</x:v>
      </x:c>
      <x:c r="E2615" s="85" t="n">
        <x:f>D2615+'Resumen'!$B$5^3/3</x:f>
        <x:v>0.04225473774438665</x:v>
      </x:c>
    </x:row>
    <x:row r="2616">
      <x:c r="A2616" s="89" t="n">
        <x:v>2614</x:v>
      </x:c>
      <x:c r="B2616" s="80" t="n">
        <x:v>-0.5116249544880291</x:v>
      </x:c>
      <x:c r="C2616" s="84" t="n">
        <x:f>SQRT('Resumen'!$B$5^3/3)*B2616</x:f>
        <x:v>-0.29538680519779364</x:v>
      </x:c>
      <x:c r="D2616" s="84" t="n">
        <x:f>C2616^2-'Resumen'!$B$5^3/3</x:f>
        <x:v>-0.246079968648374</x:v>
      </x:c>
      <x:c r="E2616" s="85" t="n">
        <x:f>D2616+'Resumen'!$B$5^3/3</x:f>
        <x:v>0.08725336468495931</x:v>
      </x:c>
    </x:row>
    <x:row r="2617">
      <x:c r="A2617" s="89" t="n">
        <x:v>2615</x:v>
      </x:c>
      <x:c r="B2617" s="80" t="n">
        <x:v>2.4181473736027645</x:v>
      </x:c>
      <x:c r="C2617" s="84" t="n">
        <x:f>SQRT('Resumen'!$B$5^3/3)*B2617</x:f>
        <x:v>1.3961180370897426</x:v>
      </x:c>
      <x:c r="D2617" s="84" t="n">
        <x:f>C2617^2-'Resumen'!$B$5^3/3</x:f>
        <x:v>1.6158122401539825</x:v>
      </x:c>
      <x:c r="E2617" s="85" t="n">
        <x:f>D2617+'Resumen'!$B$5^3/3</x:f>
        <x:v>1.9491455734873158</x:v>
      </x:c>
    </x:row>
    <x:row r="2618">
      <x:c r="A2618" s="89" t="n">
        <x:v>2616</x:v>
      </x:c>
      <x:c r="B2618" s="80" t="n">
        <x:v>2.2483793198897173</x:v>
      </x:c>
      <x:c r="C2618" s="84" t="n">
        <x:f>SQRT('Resumen'!$B$5^3/3)*B2618</x:f>
        <x:v>1.2981024055787158</x:v>
      </x:c>
      <x:c r="D2618" s="84" t="n">
        <x:f>C2618^2-'Resumen'!$B$5^3/3</x:f>
        <x:v>1.3517365220359154</x:v>
      </x:c>
      <x:c r="E2618" s="85" t="n">
        <x:f>D2618+'Resumen'!$B$5^3/3</x:f>
        <x:v>1.6850698553692487</x:v>
      </x:c>
    </x:row>
    <x:row r="2619">
      <x:c r="A2619" s="89" t="n">
        <x:v>2617</x:v>
      </x:c>
      <x:c r="B2619" s="80" t="n">
        <x:v>1.3302644806260566</x:v>
      </x:c>
      <x:c r="C2619" s="84" t="n">
        <x:f>SQRT('Resumen'!$B$5^3/3)*B2619</x:f>
        <x:v>0.7680285559828515</x:v>
      </x:c>
      <x:c r="D2619" s="84" t="n">
        <x:f>C2619^2-'Resumen'!$B$5^3/3</x:f>
        <x:v>0.25653452947177074</x:v>
      </x:c>
      <x:c r="E2619" s="85" t="n">
        <x:f>D2619+'Resumen'!$B$5^3/3</x:f>
        <x:v>0.5898678628051041</x:v>
      </x:c>
    </x:row>
    <x:row r="2620">
      <x:c r="A2620" s="89" t="n">
        <x:v>2618</x:v>
      </x:c>
      <x:c r="B2620" s="80" t="n">
        <x:v>-1.124531901397412</x:v>
      </x:c>
      <x:c r="C2620" s="84" t="n">
        <x:f>SQRT('Resumen'!$B$5^3/3)*B2620</x:f>
        <x:v>-0.6492487959841174</x:v>
      </x:c>
      <x:c r="D2620" s="84" t="n">
        <x:f>C2620^2-'Resumen'!$B$5^3/3</x:f>
        <x:v>0.08819066575349283</x:v>
      </x:c>
      <x:c r="E2620" s="85" t="n">
        <x:f>D2620+'Resumen'!$B$5^3/3</x:f>
        <x:v>0.42152399908682614</x:v>
      </x:c>
    </x:row>
    <x:row r="2621">
      <x:c r="A2621" s="89" t="n">
        <x:v>2619</x:v>
      </x:c>
      <x:c r="B2621" s="80" t="n">
        <x:v>0.26642376007541757</x:v>
      </x:c>
      <x:c r="C2621" s="84" t="n">
        <x:f>SQRT('Resumen'!$B$5^3/3)*B2621</x:f>
        <x:v>0.1538198295980546</x:v>
      </x:c>
      <x:c r="D2621" s="84" t="n">
        <x:f>C2621^2-'Resumen'!$B$5^3/3</x:f>
        <x:v>-0.30967279335575876</x:v>
      </x:c>
      <x:c r="E2621" s="85" t="n">
        <x:f>D2621+'Resumen'!$B$5^3/3</x:f>
        <x:v>0.023660539977574557</x:v>
      </x:c>
    </x:row>
    <x:row r="2622">
      <x:c r="A2622" s="89" t="n">
        <x:v>2620</x:v>
      </x:c>
      <x:c r="B2622" s="80" t="n">
        <x:v>-2.059803319112638</x:v>
      </x:c>
      <x:c r="C2622" s="84" t="n">
        <x:f>SQRT('Resumen'!$B$5^3/3)*B2622</x:f>
        <x:v>-1.1892280007673661</x:v>
      </x:c>
      <x:c r="D2622" s="84" t="n">
        <x:f>C2622^2-'Resumen'!$B$5^3/3</x:f>
        <x:v>1.0809299044758134</x:v>
      </x:c>
      <x:c r="E2622" s="85" t="n">
        <x:f>D2622+'Resumen'!$B$5^3/3</x:f>
        <x:v>1.4142632378091466</x:v>
      </x:c>
    </x:row>
    <x:row r="2623">
      <x:c r="A2623" s="89" t="n">
        <x:v>2621</x:v>
      </x:c>
      <x:c r="B2623" s="80" t="n">
        <x:v>1.3961119051841184</x:v>
      </x:c>
      <x:c r="C2623" s="84" t="n">
        <x:f>SQRT('Resumen'!$B$5^3/3)*B2623</x:f>
        <x:v>0.806045584276892</x:v>
      </x:c>
      <x:c r="D2623" s="84" t="n">
        <x:f>C2623^2-'Resumen'!$B$5^3/3</x:f>
        <x:v>0.3163761505989429</x:v>
      </x:c>
      <x:c r="E2623" s="85" t="n">
        <x:f>D2623+'Resumen'!$B$5^3/3</x:f>
        <x:v>0.6497094839322762</x:v>
      </x:c>
    </x:row>
    <x:row r="2624">
      <x:c r="A2624" s="89" t="n">
        <x:v>2622</x:v>
      </x:c>
      <x:c r="B2624" s="80" t="n">
        <x:v>-0.22143767622048682</x:v>
      </x:c>
      <x:c r="C2624" s="84" t="n">
        <x:f>SQRT('Resumen'!$B$5^3/3)*B2624</x:f>
        <x:v>-0.12784710197462326</x:v>
      </x:c>
      <x:c r="D2624" s="84" t="n">
        <x:f>C2624^2-'Resumen'!$B$5^3/3</x:f>
        <x:v>-0.3169884518500236</x:v>
      </x:c>
      <x:c r="E2624" s="85" t="n">
        <x:f>D2624+'Resumen'!$B$5^3/3</x:f>
        <x:v>0.016344881483309703</x:v>
      </x:c>
    </x:row>
    <x:row r="2625">
      <x:c r="A2625" s="89" t="n">
        <x:v>2623</x:v>
      </x:c>
      <x:c r="B2625" s="80" t="n">
        <x:v>1.3068840386644691</x:v>
      </x:c>
      <x:c r="C2625" s="84" t="n">
        <x:f>SQRT('Resumen'!$B$5^3/3)*B2625</x:f>
        <x:v>0.7545298515225565</x:v>
      </x:c>
      <x:c r="D2625" s="84" t="n">
        <x:f>C2625^2-'Resumen'!$B$5^3/3</x:f>
        <x:v>0.2359819635053178</x:v>
      </x:c>
      <x:c r="E2625" s="85" t="n">
        <x:f>D2625+'Resumen'!$B$5^3/3</x:f>
        <x:v>0.5693152968386511</x:v>
      </x:c>
    </x:row>
    <x:row r="2626">
      <x:c r="A2626" s="89" t="n">
        <x:v>2624</x:v>
      </x:c>
      <x:c r="B2626" s="80" t="n">
        <x:v>-0.7183808666549822</x:v>
      </x:c>
      <x:c r="C2626" s="84" t="n">
        <x:f>SQRT('Resumen'!$B$5^3/3)*B2626</x:f>
        <x:v>-0.41475738674393064</x:v>
      </x:c>
      <x:c r="D2626" s="84" t="n">
        <x:f>C2626^2-'Resumen'!$B$5^3/3</x:f>
        <x:v>-0.16130964347467885</x:v>
      </x:c>
      <x:c r="E2626" s="85" t="n">
        <x:f>D2626+'Resumen'!$B$5^3/3</x:f>
        <x:v>0.17202368985865446</x:v>
      </x:c>
    </x:row>
    <x:row r="2627">
      <x:c r="A2627" s="89" t="n">
        <x:v>2625</x:v>
      </x:c>
      <x:c r="B2627" s="80" t="n">
        <x:v>-0.818374110853884</x:v>
      </x:c>
      <x:c r="C2627" s="84" t="n">
        <x:f>SQRT('Resumen'!$B$5^3/3)*B2627</x:f>
        <x:v>-0.47248851319931057</x:v>
      </x:c>
      <x:c r="D2627" s="84" t="n">
        <x:f>C2627^2-'Resumen'!$B$5^3/3</x:f>
        <x:v>-0.11008793822803825</x:v>
      </x:c>
      <x:c r="E2627" s="85" t="n">
        <x:f>D2627+'Resumen'!$B$5^3/3</x:f>
        <x:v>0.22324539510529506</x:v>
      </x:c>
    </x:row>
    <x:row r="2628">
      <x:c r="A2628" s="89" t="n">
        <x:v>2626</x:v>
      </x:c>
      <x:c r="B2628" s="80" t="n">
        <x:v>-0.738216715995146</x:v>
      </x:c>
      <x:c r="C2628" s="84" t="n">
        <x:f>SQRT('Resumen'!$B$5^3/3)*B2628</x:f>
        <x:v>-0.42620961970007903</x:v>
      </x:c>
      <x:c r="D2628" s="84" t="n">
        <x:f>C2628^2-'Resumen'!$B$5^3/3</x:f>
        <x:v>-0.1516786934084473</x:v>
      </x:c>
      <x:c r="E2628" s="85" t="n">
        <x:f>D2628+'Resumen'!$B$5^3/3</x:f>
        <x:v>0.181654639924886</x:v>
      </x:c>
    </x:row>
    <x:row r="2629">
      <x:c r="A2629" s="89" t="n">
        <x:v>2627</x:v>
      </x:c>
      <x:c r="B2629" s="80" t="n">
        <x:v>-2.081673325790542</x:v>
      </x:c>
      <x:c r="C2629" s="84" t="n">
        <x:f>SQRT('Resumen'!$B$5^3/3)*B2629</x:f>
        <x:v>-1.2018546550100329</x:v>
      </x:c>
      <x:c r="D2629" s="84" t="n">
        <x:f>C2629^2-'Resumen'!$B$5^3/3</x:f>
        <x:v>1.1111212784359519</x:v>
      </x:c>
      <x:c r="E2629" s="85" t="n">
        <x:f>D2629+'Resumen'!$B$5^3/3</x:f>
        <x:v>1.4444546117692851</x:v>
      </x:c>
    </x:row>
    <x:row r="2630">
      <x:c r="A2630" s="89" t="n">
        <x:v>2628</x:v>
      </x:c>
      <x:c r="B2630" s="80" t="n">
        <x:v>0.2485156228008651</x:v>
      </x:c>
      <x:c r="C2630" s="84" t="n">
        <x:f>SQRT('Resumen'!$B$5^3/3)*B2630</x:f>
        <x:v>0.14348056172190696</x:v>
      </x:c>
      <x:c r="D2630" s="84" t="n">
        <x:f>C2630^2-'Resumen'!$B$5^3/3</x:f>
        <x:v>-0.3127466617412994</x:v>
      </x:c>
      <x:c r="E2630" s="85" t="n">
        <x:f>D2630+'Resumen'!$B$5^3/3</x:f>
        <x:v>0.020586671592033923</x:v>
      </x:c>
    </x:row>
    <x:row r="2631">
      <x:c r="A2631" s="89" t="n">
        <x:v>2629</x:v>
      </x:c>
      <x:c r="B2631" s="80" t="n">
        <x:v>-1.3169454644461944</x:v>
      </x:c>
      <x:c r="C2631" s="84" t="n">
        <x:f>SQRT('Resumen'!$B$5^3/3)*B2631</x:f>
        <x:v>-0.760338818406067</x:v>
      </x:c>
      <x:c r="D2631" s="84" t="n">
        <x:f>C2631^2-'Resumen'!$B$5^3/3</x:f>
        <x:v>0.2447817854418008</x:v>
      </x:c>
      <x:c r="E2631" s="85" t="n">
        <x:f>D2631+'Resumen'!$B$5^3/3</x:f>
        <x:v>0.5781151187751341</x:v>
      </x:c>
    </x:row>
    <x:row r="2632">
      <x:c r="A2632" s="89" t="n">
        <x:v>2630</x:v>
      </x:c>
      <x:c r="B2632" s="80" t="n">
        <x:v>-0.6137290510436259</x:v>
      </x:c>
      <x:c r="C2632" s="84" t="n">
        <x:f>SQRT('Resumen'!$B$5^3/3)*B2632</x:f>
        <x:v>-0.35433663282953093</x:v>
      </x:c>
      <x:c r="D2632" s="84" t="n">
        <x:f>C2632^2-'Resumen'!$B$5^3/3</x:f>
        <x:v>-0.2077788839683635</x:v>
      </x:c>
      <x:c r="E2632" s="85" t="n">
        <x:f>D2632+'Resumen'!$B$5^3/3</x:f>
        <x:v>0.12555444936496982</x:v>
      </x:c>
    </x:row>
    <x:row r="2633">
      <x:c r="A2633" s="89" t="n">
        <x:v>2631</x:v>
      </x:c>
      <x:c r="B2633" s="80" t="n">
        <x:v>0.8524652609525498</x:v>
      </x:c>
      <x:c r="C2633" s="84" t="n">
        <x:f>SQRT('Resumen'!$B$5^3/3)*B2633</x:f>
        <x:v>0.49217104788575916</x:v>
      </x:c>
      <x:c r="D2633" s="84" t="n">
        <x:f>C2633^2-'Resumen'!$B$5^3/3</x:f>
        <x:v>-0.09110099295636709</x:v>
      </x:c>
      <x:c r="E2633" s="85" t="n">
        <x:f>D2633+'Resumen'!$B$5^3/3</x:f>
        <x:v>0.24223234037696623</x:v>
      </x:c>
    </x:row>
    <x:row r="2634">
      <x:c r="A2634" s="89" t="n">
        <x:v>2632</x:v>
      </x:c>
      <x:c r="B2634" s="80" t="n">
        <x:v>1.0484918400586571</x:v>
      </x:c>
      <x:c r="C2634" s="84" t="n">
        <x:f>SQRT('Resumen'!$B$5^3/3)*B2634</x:f>
        <x:v>0.6053470461009917</x:v>
      </x:c>
      <x:c r="D2634" s="84" t="n">
        <x:f>C2634^2-'Resumen'!$B$5^3/3</x:f>
        <x:v>0.03311171288986281</x:v>
      </x:c>
      <x:c r="E2634" s="85" t="n">
        <x:f>D2634+'Resumen'!$B$5^3/3</x:f>
        <x:v>0.3664450462231961</x:v>
      </x:c>
    </x:row>
    <x:row r="2635">
      <x:c r="A2635" s="89" t="n">
        <x:v>2633</x:v>
      </x:c>
      <x:c r="B2635" s="80" t="n">
        <x:v>1.9808230125935917</x:v>
      </x:c>
      <x:c r="C2635" s="84" t="n">
        <x:f>SQRT('Resumen'!$B$5^3/3)*B2635</x:f>
        <x:v>1.1436286995379157</x:v>
      </x:c>
      <x:c r="D2635" s="84" t="n">
        <x:f>C2635^2-'Resumen'!$B$5^3/3</x:f>
        <x:v>0.9745532690734509</x:v>
      </x:c>
      <x:c r="E2635" s="85" t="n">
        <x:f>D2635+'Resumen'!$B$5^3/3</x:f>
        <x:v>1.3078866024067841</x:v>
      </x:c>
    </x:row>
    <x:row r="2636">
      <x:c r="A2636" s="89" t="n">
        <x:v>2634</x:v>
      </x:c>
      <x:c r="B2636" s="80" t="n">
        <x:v>0.6813462062726288</x:v>
      </x:c>
      <x:c r="C2636" s="84" t="n">
        <x:f>SQRT('Resumen'!$B$5^3/3)*B2636</x:f>
        <x:v>0.39337541560283246</x:v>
      </x:c>
      <x:c r="D2636" s="84" t="n">
        <x:f>C2636^2-'Resumen'!$B$5^3/3</x:f>
        <x:v>-0.17858911573263214</x:v>
      </x:c>
      <x:c r="E2636" s="85" t="n">
        <x:f>D2636+'Resumen'!$B$5^3/3</x:f>
        <x:v>0.15474421760070117</x:v>
      </x:c>
    </x:row>
    <x:row r="2637">
      <x:c r="A2637" s="89" t="n">
        <x:v>2635</x:v>
      </x:c>
      <x:c r="B2637" s="80" t="n">
        <x:v>0.06064144670332605</x:v>
      </x:c>
      <x:c r="C2637" s="84" t="n">
        <x:f>SQRT('Resumen'!$B$5^3/3)*B2637</x:f>
        <x:v>0.03501135557821364</x:v>
      </x:c>
      <x:c r="D2637" s="84" t="n">
        <x:f>C2637^2-'Resumen'!$B$5^3/3</x:f>
        <x:v>-0.3321075383139092</x:v>
      </x:c>
      <x:c r="E2637" s="85" t="n">
        <x:f>D2637+'Resumen'!$B$5^3/3</x:f>
        <x:v>0.001225795019424103</x:v>
      </x:c>
    </x:row>
    <x:row r="2638">
      <x:c r="A2638" s="89" t="n">
        <x:v>2636</x:v>
      </x:c>
      <x:c r="B2638" s="80" t="n">
        <x:v>1.067148473443598</x:v>
      </x:c>
      <x:c r="C2638" s="84" t="n">
        <x:f>SQRT('Resumen'!$B$5^3/3)*B2638</x:f>
        <x:v>0.6161184584079595</x:v>
      </x:c>
      <x:c r="D2638" s="84" t="n">
        <x:f>C2638^2-'Resumen'!$B$5^3/3</x:f>
        <x:v>0.04626862145766725</x:v>
      </x:c>
      <x:c r="E2638" s="85" t="n">
        <x:f>D2638+'Resumen'!$B$5^3/3</x:f>
        <x:v>0.37960195479100056</x:v>
      </x:c>
    </x:row>
    <x:row r="2639">
      <x:c r="A2639" s="89" t="n">
        <x:v>2637</x:v>
      </x:c>
      <x:c r="B2639" s="80" t="n">
        <x:v>0.7871406009418261</x:v>
      </x:c>
      <x:c r="C2639" s="84" t="n">
        <x:f>SQRT('Resumen'!$B$5^3/3)*B2639</x:f>
        <x:v>0.4544558378438471</x:v>
      </x:c>
      <x:c r="D2639" s="84" t="n">
        <x:f>C2639^2-'Resumen'!$B$5^3/3</x:f>
        <x:v>-0.12680322478298028</x:v>
      </x:c>
      <x:c r="E2639" s="85" t="n">
        <x:f>D2639+'Resumen'!$B$5^3/3</x:f>
        <x:v>0.20653010855035303</x:v>
      </x:c>
    </x:row>
    <x:row r="2640">
      <x:c r="A2640" s="89" t="n">
        <x:v>2638</x:v>
      </x:c>
      <x:c r="B2640" s="80" t="n">
        <x:v>0.09487543051106886</x:v>
      </x:c>
      <x:c r="C2640" s="84" t="n">
        <x:f>SQRT('Resumen'!$B$5^3/3)*B2640</x:f>
        <x:v>0.05477635534504724</x:v>
      </x:c>
      <x:c r="D2640" s="84" t="n">
        <x:f>C2640^2-'Resumen'!$B$5^3/3</x:f>
        <x:v>-0.3303328842284464</x:v>
      </x:c>
      <x:c r="E2640" s="85" t="n">
        <x:f>D2640+'Resumen'!$B$5^3/3</x:f>
        <x:v>0.003000449104886893</x:v>
      </x:c>
    </x:row>
    <x:row r="2641">
      <x:c r="A2641" s="89" t="n">
        <x:v>2639</x:v>
      </x:c>
      <x:c r="B2641" s="80" t="n">
        <x:v>-0.2673602477500487</x:v>
      </x:c>
      <x:c r="C2641" s="84" t="n">
        <x:f>SQRT('Resumen'!$B$5^3/3)*B2641</x:f>
        <x:v>-0.15436051100909565</x:v>
      </x:c>
      <x:c r="D2641" s="84" t="n">
        <x:f>C2641^2-'Resumen'!$B$5^3/3</x:f>
        <x:v>-0.30950616597434416</x:v>
      </x:c>
      <x:c r="E2641" s="85" t="n">
        <x:f>D2641+'Resumen'!$B$5^3/3</x:f>
        <x:v>0.023827167358989154</x:v>
      </x:c>
    </x:row>
    <x:row r="2642">
      <x:c r="A2642" s="89" t="n">
        <x:v>2640</x:v>
      </x:c>
      <x:c r="B2642" s="80" t="n">
        <x:v>1.2293394572982763</x:v>
      </x:c>
      <x:c r="C2642" s="84" t="n">
        <x:f>SQRT('Resumen'!$B$5^3/3)*B2642</x:f>
        <x:v>0.7097594665965883</x:v>
      </x:c>
      <x:c r="D2642" s="84" t="n">
        <x:f>C2642^2-'Resumen'!$B$5^3/3</x:f>
        <x:v>0.17042516709014016</x:v>
      </x:c>
      <x:c r="E2642" s="85" t="n">
        <x:f>D2642+'Resumen'!$B$5^3/3</x:f>
        <x:v>0.5037585004234735</x:v>
      </x:c>
    </x:row>
    <x:row r="2643">
      <x:c r="A2643" s="89" t="n">
        <x:v>2641</x:v>
      </x:c>
      <x:c r="B2643" s="80" t="n">
        <x:v>-0.043392732913496795</x:v>
      </x:c>
      <x:c r="C2643" s="84" t="n">
        <x:f>SQRT('Resumen'!$B$5^3/3)*B2643</x:f>
        <x:v>-0.02505280602848091</x:v>
      </x:c>
      <x:c r="D2643" s="84" t="n">
        <x:f>C2643^2-'Resumen'!$B$5^3/3</x:f>
        <x:v>-0.3327056902434326</x:v>
      </x:c>
      <x:c r="E2643" s="85" t="n">
        <x:f>D2643+'Resumen'!$B$5^3/3</x:f>
        <x:v>0.000627643089900709</x:v>
      </x:c>
    </x:row>
    <x:row r="2644">
      <x:c r="A2644" s="89" t="n">
        <x:v>2642</x:v>
      </x:c>
      <x:c r="B2644" s="80" t="n">
        <x:v>-0.11240220760807627</x:v>
      </x:c>
      <x:c r="C2644" s="84" t="n">
        <x:f>SQRT('Resumen'!$B$5^3/3)*B2644</x:f>
        <x:v>-0.06489544482003104</x:v>
      </x:c>
      <x:c r="D2644" s="84" t="n">
        <x:f>C2644^2-'Resumen'!$B$5^3/3</x:f>
        <x:v>-0.3291219145749436</x:v>
      </x:c>
      <x:c r="E2644" s="85" t="n">
        <x:f>D2644+'Resumen'!$B$5^3/3</x:f>
        <x:v>0.004211418758389707</x:v>
      </x:c>
    </x:row>
    <x:row r="2645">
      <x:c r="A2645" s="89" t="n">
        <x:v>2643</x:v>
      </x:c>
      <x:c r="B2645" s="80" t="n">
        <x:v>0.4673734416460151</x:v>
      </x:c>
      <x:c r="C2645" s="84" t="n">
        <x:f>SQRT('Resumen'!$B$5^3/3)*B2645</x:f>
        <x:v>0.26983818234640866</x:v>
      </x:c>
      <x:c r="D2645" s="84" t="n">
        <x:f>C2645^2-'Resumen'!$B$5^3/3</x:f>
        <x:v>-0.2605206886813196</x:v>
      </x:c>
      <x:c r="E2645" s="85" t="n">
        <x:f>D2645+'Resumen'!$B$5^3/3</x:f>
        <x:v>0.0728126446520137</x:v>
      </x:c>
    </x:row>
    <x:row r="2646">
      <x:c r="A2646" s="89" t="n">
        <x:v>2644</x:v>
      </x:c>
      <x:c r="B2646" s="80" t="n">
        <x:v>1.113678488127403</x:v>
      </x:c>
      <x:c r="C2646" s="84" t="n">
        <x:f>SQRT('Resumen'!$B$5^3/3)*B2646</x:f>
        <x:v>0.6429825749110516</x:v>
      </x:c>
      <x:c r="D2646" s="84" t="n">
        <x:f>C2646^2-'Resumen'!$B$5^3/3</x:f>
        <x:v>0.08009325830591274</x:v>
      </x:c>
      <x:c r="E2646" s="85" t="n">
        <x:f>D2646+'Resumen'!$B$5^3/3</x:f>
        <x:v>0.41342659163924605</x:v>
      </x:c>
    </x:row>
    <x:row r="2647">
      <x:c r="A2647" s="89" t="n">
        <x:v>2645</x:v>
      </x:c>
      <x:c r="B2647" s="80" t="n">
        <x:v>-0.7893925536140949</x:v>
      </x:c>
      <x:c r="C2647" s="84" t="n">
        <x:f>SQRT('Resumen'!$B$5^3/3)*B2647</x:f>
        <x:v>-0.45575600332538374</x:v>
      </x:c>
      <x:c r="D2647" s="84" t="n">
        <x:f>C2647^2-'Resumen'!$B$5^3/3</x:f>
        <x:v>-0.12561979876620613</x:v>
      </x:c>
      <x:c r="E2647" s="85" t="n">
        <x:f>D2647+'Resumen'!$B$5^3/3</x:f>
        <x:v>0.20771353456712718</x:v>
      </x:c>
    </x:row>
    <x:row r="2648">
      <x:c r="A2648" s="89" t="n">
        <x:v>2646</x:v>
      </x:c>
      <x:c r="B2648" s="80" t="n">
        <x:v>-1.0501489598183569</x:v>
      </x:c>
      <x:c r="C2648" s="84" t="n">
        <x:f>SQRT('Resumen'!$B$5^3/3)*B2648</x:f>
        <x:v>-0.6063037846403337</x:v>
      </x:c>
      <x:c r="D2648" s="84" t="n">
        <x:f>C2648^2-'Resumen'!$B$5^3/3</x:f>
        <x:v>0.03427094593585889</x:v>
      </x:c>
      <x:c r="E2648" s="85" t="n">
        <x:f>D2648+'Resumen'!$B$5^3/3</x:f>
        <x:v>0.3676042792691922</x:v>
      </x:c>
    </x:row>
    <x:row r="2649">
      <x:c r="A2649" s="89" t="n">
        <x:v>2647</x:v>
      </x:c>
      <x:c r="B2649" s="80" t="n">
        <x:v>1.1331101571108735</x:v>
      </x:c>
      <x:c r="C2649" s="84" t="n">
        <x:f>SQRT('Resumen'!$B$5^3/3)*B2649</x:f>
        <x:v>0.654201454229462</x:v>
      </x:c>
      <x:c r="D2649" s="84" t="n">
        <x:f>C2649^2-'Resumen'!$B$5^3/3</x:f>
        <x:v>0.09464620938260948</x:v>
      </x:c>
      <x:c r="E2649" s="85" t="n">
        <x:f>D2649+'Resumen'!$B$5^3/3</x:f>
        <x:v>0.4279795427159428</x:v>
      </x:c>
    </x:row>
    <x:row r="2650">
      <x:c r="A2650" s="89" t="n">
        <x:v>2648</x:v>
      </x:c>
      <x:c r="B2650" s="80" t="n">
        <x:v>-0.8297350665533668</x:v>
      </x:c>
      <x:c r="C2650" s="84" t="n">
        <x:f>SQRT('Resumen'!$B$5^3/3)*B2650</x:f>
        <x:v>-0.47904776403065835</x:v>
      </x:c>
      <x:c r="D2650" s="84" t="n">
        <x:f>C2650^2-'Resumen'!$B$5^3/3</x:f>
        <x:v>-0.10384657311055998</x:v>
      </x:c>
      <x:c r="E2650" s="85" t="n">
        <x:f>D2650+'Resumen'!$B$5^3/3</x:f>
        <x:v>0.22948676022277334</x:v>
      </x:c>
    </x:row>
    <x:row r="2651">
      <x:c r="A2651" s="89" t="n">
        <x:v>2649</x:v>
      </x:c>
      <x:c r="B2651" s="80" t="n">
        <x:v>-0.5386130894096214</x:v>
      </x:c>
      <x:c r="C2651" s="84" t="n">
        <x:f>SQRT('Resumen'!$B$5^3/3)*B2651</x:f>
        <x:v>-0.31096841215970084</x:v>
      </x:c>
      <x:c r="D2651" s="84" t="n">
        <x:f>C2651^2-'Resumen'!$B$5^3/3</x:f>
        <x:v>-0.23663197997220775</x:v>
      </x:c>
      <x:c r="E2651" s="85" t="n">
        <x:f>D2651+'Resumen'!$B$5^3/3</x:f>
        <x:v>0.09670135336112556</x:v>
      </x:c>
    </x:row>
    <x:row r="2652">
      <x:c r="A2652" s="89" t="n">
        <x:v>2650</x:v>
      </x:c>
      <x:c r="B2652" s="80" t="n">
        <x:v>0.18673415527075135</x:v>
      </x:c>
      <x:c r="C2652" s="84" t="n">
        <x:f>SQRT('Resumen'!$B$5^3/3)*B2652</x:f>
        <x:v>0.10781101481246566</x:v>
      </x:c>
      <x:c r="D2652" s="84" t="n">
        <x:f>C2652^2-'Resumen'!$B$5^3/3</x:f>
        <x:v>-0.3217101184184396</x:v>
      </x:c>
      <x:c r="E2652" s="85" t="n">
        <x:f>D2652+'Resumen'!$B$5^3/3</x:f>
        <x:v>0.01162321491489371</x:v>
      </x:c>
    </x:row>
    <x:row r="2653">
      <x:c r="A2653" s="89" t="n">
        <x:v>2651</x:v>
      </x:c>
      <x:c r="B2653" s="80" t="n">
        <x:v>1.1913317390952436</x:v>
      </x:c>
      <x:c r="C2653" s="84" t="n">
        <x:f>SQRT('Resumen'!$B$5^3/3)*B2653</x:f>
        <x:v>0.6878157002607839</x:v>
      </x:c>
      <x:c r="D2653" s="84" t="n">
        <x:f>C2653^2-'Resumen'!$B$5^3/3</x:f>
        <x:v>0.13975710419189918</x:v>
      </x:c>
      <x:c r="E2653" s="85" t="n">
        <x:f>D2653+'Resumen'!$B$5^3/3</x:f>
        <x:v>0.4730904375252325</x:v>
      </x:c>
    </x:row>
    <x:row r="2654">
      <x:c r="A2654" s="89" t="n">
        <x:v>2652</x:v>
      </x:c>
      <x:c r="B2654" s="80" t="n">
        <x:v>-0.9601075182260789</x:v>
      </x:c>
      <x:c r="C2654" s="84" t="n">
        <x:f>SQRT('Resumen'!$B$5^3/3)*B2654</x:f>
        <x:v>-0.5543183340988102</x:v>
      </x:c>
      <x:c r="D2654" s="84" t="n">
        <x:f>C2654^2-'Resumen'!$B$5^3/3</x:f>
        <x:v>-0.026064517815253208</x:v>
      </x:c>
      <x:c r="E2654" s="85" t="n">
        <x:f>D2654+'Resumen'!$B$5^3/3</x:f>
        <x:v>0.3072688155180801</x:v>
      </x:c>
    </x:row>
    <x:row r="2655">
      <x:c r="A2655" s="89" t="n">
        <x:v>2653</x:v>
      </x:c>
      <x:c r="B2655" s="80" t="n">
        <x:v>-1.0522352731333056</x:v>
      </x:c>
      <x:c r="C2655" s="84" t="n">
        <x:f>SQRT('Resumen'!$B$5^3/3)*B2655</x:f>
        <x:v>-0.6075083181943334</x:v>
      </x:c>
      <x:c r="D2655" s="84" t="n">
        <x:f>C2655^2-'Resumen'!$B$5^3/3</x:f>
        <x:v>0.03573302334197409</x:v>
      </x:c>
      <x:c r="E2655" s="85" t="n">
        <x:f>D2655+'Resumen'!$B$5^3/3</x:f>
        <x:v>0.3690663566753074</x:v>
      </x:c>
    </x:row>
    <x:row r="2656">
      <x:c r="A2656" s="89" t="n">
        <x:v>2654</x:v>
      </x:c>
      <x:c r="B2656" s="80" t="n">
        <x:v>-0.22181345676018716</x:v>
      </x:c>
      <x:c r="C2656" s="84" t="n">
        <x:f>SQRT('Resumen'!$B$5^3/3)*B2656</x:f>
        <x:v>-0.12806405897037546</x:v>
      </x:c>
      <x:c r="D2656" s="84" t="n">
        <x:f>C2656^2-'Resumen'!$B$5^3/3</x:f>
        <x:v>-0.3169329301333655</x:v>
      </x:c>
      <x:c r="E2656" s="85" t="n">
        <x:f>D2656+'Resumen'!$B$5^3/3</x:f>
        <x:v>0.016400403199967828</x:v>
      </x:c>
    </x:row>
    <x:row r="2657">
      <x:c r="A2657" s="89" t="n">
        <x:v>2655</x:v>
      </x:c>
      <x:c r="B2657" s="80" t="n">
        <x:v>-1.6859444270938468</x:v>
      </x:c>
      <x:c r="C2657" s="84" t="n">
        <x:f>SQRT('Resumen'!$B$5^3/3)*B2657</x:f>
        <x:v>-0.9733804688213819</x:v>
      </x:c>
      <x:c r="D2657" s="84" t="n">
        <x:f>C2657^2-'Resumen'!$B$5^3/3</x:f>
        <x:v>0.6141362037495999</x:v>
      </x:c>
      <x:c r="E2657" s="85" t="n">
        <x:f>D2657+'Resumen'!$B$5^3/3</x:f>
        <x:v>0.9474695370829331</x:v>
      </x:c>
    </x:row>
    <x:row r="2658">
      <x:c r="A2658" s="89" t="n">
        <x:v>2656</x:v>
      </x:c>
      <x:c r="B2658" s="80" t="n">
        <x:v>-0.26761775655666764</x:v>
      </x:c>
      <x:c r="C2658" s="84" t="n">
        <x:f>SQRT('Resumen'!$B$5^3/3)*B2658</x:f>
        <x:v>-0.15450918378791578</x:v>
      </x:c>
      <x:c r="D2658" s="84" t="n">
        <x:f>C2658^2-'Resumen'!$B$5^3/3</x:f>
        <x:v>-0.30946024545852535</x:v>
      </x:c>
      <x:c r="E2658" s="85" t="n">
        <x:f>D2658+'Resumen'!$B$5^3/3</x:f>
        <x:v>0.023873087874807963</x:v>
      </x:c>
    </x:row>
    <x:row r="2659">
      <x:c r="A2659" s="89" t="n">
        <x:v>2657</x:v>
      </x:c>
      <x:c r="B2659" s="80" t="n">
        <x:v>0.28262419497626523</x:v>
      </x:c>
      <x:c r="C2659" s="84" t="n">
        <x:f>SQRT('Resumen'!$B$5^3/3)*B2659</x:f>
        <x:v>0.163173155049048</x:v>
      </x:c>
      <x:c r="D2659" s="84" t="n">
        <x:f>C2659^2-'Resumen'!$B$5^3/3</x:f>
        <x:v>-0.30670785480467266</x:v>
      </x:c>
      <x:c r="E2659" s="85" t="n">
        <x:f>D2659+'Resumen'!$B$5^3/3</x:f>
        <x:v>0.02662547852866065</x:v>
      </x:c>
    </x:row>
    <x:row r="2660">
      <x:c r="A2660" s="89" t="n">
        <x:v>2658</x:v>
      </x:c>
      <x:c r="B2660" s="80" t="n">
        <x:v>-0.3189661423109068</x:v>
      </x:c>
      <x:c r="C2660" s="84" t="n">
        <x:f>SQRT('Resumen'!$B$5^3/3)*B2660</x:f>
        <x:v>-0.18415518812557852</x:v>
      </x:c>
      <x:c r="D2660" s="84" t="n">
        <x:f>C2660^2-'Resumen'!$B$5^3/3</x:f>
        <x:v>-0.2994202000197661</x:v>
      </x:c>
      <x:c r="E2660" s="85" t="n">
        <x:f>D2660+'Resumen'!$B$5^3/3</x:f>
        <x:v>0.03391313331356721</x:v>
      </x:c>
    </x:row>
    <x:row r="2661">
      <x:c r="A2661" s="89" t="n">
        <x:v>2659</x:v>
      </x:c>
      <x:c r="B2661" s="80" t="n">
        <x:v>1.9480031522228496</x:v>
      </x:c>
      <x:c r="C2661" s="84" t="n">
        <x:f>SQRT('Resumen'!$B$5^3/3)*B2661</x:f>
        <x:v>1.1246801443181016</x:v>
      </x:c>
      <x:c r="D2661" s="84" t="n">
        <x:f>C2661^2-'Resumen'!$B$5^3/3</x:f>
        <x:v>0.9315720936900527</x:v>
      </x:c>
      <x:c r="E2661" s="85" t="n">
        <x:f>D2661+'Resumen'!$B$5^3/3</x:f>
        <x:v>1.264905427023386</x:v>
      </x:c>
    </x:row>
    <x:row r="2662">
      <x:c r="A2662" s="89" t="n">
        <x:v>2660</x:v>
      </x:c>
      <x:c r="B2662" s="80" t="n">
        <x:v>-0.16078165656402296</x:v>
      </x:c>
      <x:c r="C2662" s="84" t="n">
        <x:f>SQRT('Resumen'!$B$5^3/3)*B2662</x:f>
        <x:v>-0.0928273326979926</x:v>
      </x:c>
      <x:c r="D2662" s="84" t="n">
        <x:f>C2662^2-'Resumen'!$B$5^3/3</x:f>
        <x:v>-0.3247164196375095</x:v>
      </x:c>
      <x:c r="E2662" s="85" t="n">
        <x:f>D2662+'Resumen'!$B$5^3/3</x:f>
        <x:v>0.008616913695823791</x:v>
      </x:c>
    </x:row>
    <x:row r="2663">
      <x:c r="A2663" s="89" t="n">
        <x:v>2661</x:v>
      </x:c>
      <x:c r="B2663" s="80" t="n">
        <x:v>0.9682467309912363</x:v>
      </x:c>
      <x:c r="C2663" s="84" t="n">
        <x:f>SQRT('Resumen'!$B$5^3/3)*B2663</x:f>
        <x:v>0.5590175107797654</x:v>
      </x:c>
      <x:c r="D2663" s="84" t="n">
        <x:f>C2663^2-'Resumen'!$B$5^3/3</x:f>
        <x:v>-0.02083275597492823</x:v>
      </x:c>
      <x:c r="E2663" s="85" t="n">
        <x:f>D2663+'Resumen'!$B$5^3/3</x:f>
        <x:v>0.3125005773584051</x:v>
      </x:c>
    </x:row>
    <x:row r="2664">
      <x:c r="A2664" s="89" t="n">
        <x:v>2662</x:v>
      </x:c>
      <x:c r="B2664" s="80" t="n">
        <x:v>0.5511832989297223</x:v>
      </x:c>
      <x:c r="C2664" s="84" t="n">
        <x:f>SQRT('Resumen'!$B$5^3/3)*B2664</x:f>
        <x:v>0.3182258260099011</x:v>
      </x:c>
      <x:c r="D2664" s="84" t="n">
        <x:f>C2664^2-'Resumen'!$B$5^3/3</x:f>
        <x:v>-0.23206565699364945</x:v>
      </x:c>
      <x:c r="E2664" s="85" t="n">
        <x:f>D2664+'Resumen'!$B$5^3/3</x:f>
        <x:v>0.10126767633968387</x:v>
      </x:c>
    </x:row>
    <x:row r="2665">
      <x:c r="A2665" s="89" t="n">
        <x:v>2663</x:v>
      </x:c>
      <x:c r="B2665" s="80" t="n">
        <x:v>0.03301714864033638</x:v>
      </x:c>
      <x:c r="C2665" s="84" t="n">
        <x:f>SQRT('Resumen'!$B$5^3/3)*B2665</x:f>
        <x:v>0.019062459655372094</x:v>
      </x:c>
      <x:c r="D2665" s="84" t="n">
        <x:f>C2665^2-'Resumen'!$B$5^3/3</x:f>
        <x:v>-0.3329699559652206</x:v>
      </x:c>
      <x:c r="E2665" s="85" t="n">
        <x:f>D2665+'Resumen'!$B$5^3/3</x:f>
        <x:v>0.00036337736811270505</x:v>
      </x:c>
    </x:row>
    <x:row r="2666">
      <x:c r="A2666" s="89" t="n">
        <x:v>2664</x:v>
      </x:c>
      <x:c r="B2666" s="80" t="n">
        <x:v>0.31994478166645585</x:v>
      </x:c>
      <x:c r="C2666" s="84" t="n">
        <x:f>SQRT('Resumen'!$B$5^3/3)*B2666</x:f>
        <x:v>0.1847202058209443</x:v>
      </x:c>
      <x:c r="D2666" s="84" t="n">
        <x:f>C2666^2-'Resumen'!$B$5^3/3</x:f>
        <x:v>-0.2992117788948013</x:v>
      </x:c>
      <x:c r="E2666" s="85" t="n">
        <x:f>D2666+'Resumen'!$B$5^3/3</x:f>
        <x:v>0.03412155443853204</x:v>
      </x:c>
    </x:row>
    <x:row r="2667">
      <x:c r="A2667" s="89" t="n">
        <x:v>2665</x:v>
      </x:c>
      <x:c r="B2667" s="80" t="n">
        <x:v>0.05927292792871301</x:v>
      </x:c>
      <x:c r="C2667" s="84" t="n">
        <x:f>SQRT('Resumen'!$B$5^3/3)*B2667</x:f>
        <x:v>0.034221240895299744</x:v>
      </x:c>
      <x:c r="D2667" s="84" t="n">
        <x:f>C2667^2-'Resumen'!$B$5^3/3</x:f>
        <x:v>-0.3321622400049192</x:v>
      </x:c>
      <x:c r="E2667" s="85" t="n">
        <x:f>D2667+'Resumen'!$B$5^3/3</x:f>
        <x:v>0.0011710933284141412</x:v>
      </x:c>
    </x:row>
    <x:row r="2668">
      <x:c r="A2668" s="89" t="n">
        <x:v>2666</x:v>
      </x:c>
      <x:c r="B2668" s="80" t="n">
        <x:v>-0.11194946138769249</x:v>
      </x:c>
      <x:c r="C2668" s="84" t="n">
        <x:f>SQRT('Resumen'!$B$5^3/3)*B2668</x:f>
        <x:v>-0.06463405166781787</x:v>
      </x:c>
      <x:c r="D2668" s="84" t="n">
        <x:f>C2668^2-'Resumen'!$B$5^3/3</x:f>
        <x:v>-0.3291557726983352</x:v>
      </x:c>
      <x:c r="E2668" s="85" t="n">
        <x:f>D2668+'Resumen'!$B$5^3/3</x:f>
        <x:v>0.004177560634998134</x:v>
      </x:c>
    </x:row>
    <x:row r="2669">
      <x:c r="A2669" s="89" t="n">
        <x:v>2667</x:v>
      </x:c>
      <x:c r="B2669" s="80" t="n">
        <x:v>0.8562141217026502</x:v>
      </x:c>
      <x:c r="C2669" s="84" t="n">
        <x:f>SQRT('Resumen'!$B$5^3/3)*B2669</x:f>
        <x:v>0.49433545364898407</x:v>
      </x:c>
      <x:c r="D2669" s="84" t="n">
        <x:f>C2669^2-'Resumen'!$B$5^3/3</x:f>
        <x:v>-0.08896579259898643</x:v>
      </x:c>
      <x:c r="E2669" s="85" t="n">
        <x:f>D2669+'Resumen'!$B$5^3/3</x:f>
        <x:v>0.24436754073434688</x:v>
      </x:c>
    </x:row>
    <x:row r="2670">
      <x:c r="A2670" s="89" t="n">
        <x:v>2668</x:v>
      </x:c>
      <x:c r="B2670" s="80" t="n">
        <x:v>0.3817001032113924</x:v>
      </x:c>
      <x:c r="C2670" s="84" t="n">
        <x:f>SQRT('Resumen'!$B$5^3/3)*B2670</x:f>
        <x:v>0.22037465733880535</x:v>
      </x:c>
      <x:c r="D2670" s="84" t="n">
        <x:f>C2670^2-'Resumen'!$B$5^3/3</x:f>
        <x:v>-0.28476834373613746</x:v>
      </x:c>
      <x:c r="E2670" s="85" t="n">
        <x:f>D2670+'Resumen'!$B$5^3/3</x:f>
        <x:v>0.04856498959719585</x:v>
      </x:c>
    </x:row>
    <x:row r="2671">
      <x:c r="A2671" s="89" t="n">
        <x:v>2669</x:v>
      </x:c>
      <x:c r="B2671" s="80" t="n">
        <x:v>2.161287142876419</x:v>
      </x:c>
      <x:c r="C2671" s="84" t="n">
        <x:f>SQRT('Resumen'!$B$5^3/3)*B2671</x:f>
        <x:v>1.2478197137357776</x:v>
      </x:c>
      <x:c r="D2671" s="84" t="n">
        <x:f>C2671^2-'Resumen'!$B$5^3/3</x:f>
        <x:v>1.2237207046543046</x:v>
      </x:c>
      <x:c r="E2671" s="85" t="n">
        <x:f>D2671+'Resumen'!$B$5^3/3</x:f>
        <x:v>1.5570540379876379</x:v>
      </x:c>
    </x:row>
    <x:row r="2672">
      <x:c r="A2672" s="89" t="n">
        <x:v>2670</x:v>
      </x:c>
      <x:c r="B2672" s="80" t="n">
        <x:v>-2.0376078687464894</x:v>
      </x:c>
      <x:c r="C2672" s="84" t="n">
        <x:f>SQRT('Resumen'!$B$5^3/3)*B2672</x:f>
        <x:v>-1.1764134515236853</x:v>
      </x:c>
      <x:c r="D2672" s="84" t="n">
        <x:f>C2672^2-'Resumen'!$B$5^3/3</x:f>
        <x:v>1.0506152755925369</x:v>
      </x:c>
      <x:c r="E2672" s="85" t="n">
        <x:f>D2672+'Resumen'!$B$5^3/3</x:f>
        <x:v>1.3839486089258701</x:v>
      </x:c>
    </x:row>
    <x:row r="2673">
      <x:c r="A2673" s="89" t="n">
        <x:v>2671</x:v>
      </x:c>
      <x:c r="B2673" s="80" t="n">
        <x:v>-1.092403407636951</x:v>
      </x:c>
      <x:c r="C2673" s="84" t="n">
        <x:f>SQRT('Resumen'!$B$5^3/3)*B2673</x:f>
        <x:v>-0.6306994014628582</x:v>
      </x:c>
      <x:c r="D2673" s="84" t="n">
        <x:f>C2673^2-'Resumen'!$B$5^3/3</x:f>
        <x:v>0.06444840167227422</x:v>
      </x:c>
      <x:c r="E2673" s="85" t="n">
        <x:f>D2673+'Resumen'!$B$5^3/3</x:f>
        <x:v>0.39778173500560754</x:v>
      </x:c>
    </x:row>
    <x:row r="2674">
      <x:c r="A2674" s="89" t="n">
        <x:v>2672</x:v>
      </x:c>
      <x:c r="B2674" s="80" t="n">
        <x:v>0.17730898079598995</x:v>
      </x:c>
      <x:c r="C2674" s="84" t="n">
        <x:f>SQRT('Resumen'!$B$5^3/3)*B2674</x:f>
        <x:v>0.10236938779230298</x:v>
      </x:c>
      <x:c r="D2674" s="84" t="n">
        <x:f>C2674^2-'Resumen'!$B$5^3/3</x:f>
        <x:v>-0.3228538417763624</x:v>
      </x:c>
      <x:c r="E2674" s="85" t="n">
        <x:f>D2674+'Resumen'!$B$5^3/3</x:f>
        <x:v>0.010479491556970921</x:v>
      </x:c>
    </x:row>
    <x:row r="2675">
      <x:c r="A2675" s="89" t="n">
        <x:v>2673</x:v>
      </x:c>
      <x:c r="B2675" s="80" t="n">
        <x:v>-0.36461447407865627</x:v>
      </x:c>
      <x:c r="C2675" s="84" t="n">
        <x:f>SQRT('Resumen'!$B$5^3/3)*B2675</x:f>
        <x:v>-0.21051026475974602</x:v>
      </x:c>
      <x:c r="D2675" s="84" t="n">
        <x:f>C2675^2-'Resumen'!$B$5^3/3</x:f>
        <x:v>-0.28901876176411495</x:v>
      </x:c>
      <x:c r="E2675" s="85" t="n">
        <x:f>D2675+'Resumen'!$B$5^3/3</x:f>
        <x:v>0.044314571569218364</x:v>
      </x:c>
    </x:row>
    <x:row r="2676">
      <x:c r="A2676" s="89" t="n">
        <x:v>2674</x:v>
      </x:c>
      <x:c r="B2676" s="80" t="n">
        <x:v>-1.8696296635308476</x:v>
      </x:c>
      <x:c r="C2676" s="84" t="n">
        <x:f>SQRT('Resumen'!$B$5^3/3)*B2676</x:f>
        <x:v>-1.0794311895244442</x:v>
      </x:c>
      <x:c r="D2676" s="84" t="n">
        <x:f>C2676^2-'Resumen'!$B$5^3/3</x:f>
        <x:v>0.8318383595848233</x:v>
      </x:c>
      <x:c r="E2676" s="85" t="n">
        <x:f>D2676+'Resumen'!$B$5^3/3</x:f>
        <x:v>1.1651716929181566</x:v>
      </x:c>
    </x:row>
    <x:row r="2677">
      <x:c r="A2677" s="89" t="n">
        <x:v>2675</x:v>
      </x:c>
      <x:c r="B2677" s="80" t="n">
        <x:v>-1.2483647851943698</x:v>
      </x:c>
      <x:c r="C2677" s="84" t="n">
        <x:f>SQRT('Resumen'!$B$5^3/3)*B2677</x:f>
        <x:v>-0.7207437447788186</x:v>
      </x:c>
      <x:c r="D2677" s="84" t="n">
        <x:f>C2677^2-'Resumen'!$B$5^3/3</x:f>
        <x:v>0.18613821230446154</x:v>
      </x:c>
      <x:c r="E2677" s="85" t="n">
        <x:f>D2677+'Resumen'!$B$5^3/3</x:f>
        <x:v>0.5194715456377949</x:v>
      </x:c>
    </x:row>
    <x:row r="2678">
      <x:c r="A2678" s="89" t="n">
        <x:v>2676</x:v>
      </x:c>
      <x:c r="B2678" s="80" t="n">
        <x:v>0.4450453412850645</x:v>
      </x:c>
      <x:c r="C2678" s="84" t="n">
        <x:f>SQRT('Resumen'!$B$5^3/3)*B2678</x:f>
        <x:v>0.25694704759252085</x:v>
      </x:c>
      <x:c r="D2678" s="84" t="n">
        <x:f>C2678^2-'Resumen'!$B$5^3/3</x:f>
        <x:v>-0.2673115480668201</x:v>
      </x:c>
      <x:c r="E2678" s="85" t="n">
        <x:f>D2678+'Resumen'!$B$5^3/3</x:f>
        <x:v>0.0660217852665132</x:v>
      </x:c>
    </x:row>
    <x:row r="2679">
      <x:c r="A2679" s="89" t="n">
        <x:v>2677</x:v>
      </x:c>
      <x:c r="B2679" s="80" t="n">
        <x:v>0.6644688946103628</x:v>
      </x:c>
      <x:c r="C2679" s="84" t="n">
        <x:f>SQRT('Resumen'!$B$5^3/3)*B2679</x:f>
        <x:v>0.383631295171426</x:v>
      </x:c>
      <x:c r="D2679" s="84" t="n">
        <x:f>C2679^2-'Resumen'!$B$5^3/3</x:f>
        <x:v>-0.1861603626984275</x:v>
      </x:c>
      <x:c r="E2679" s="85" t="n">
        <x:f>D2679+'Resumen'!$B$5^3/3</x:f>
        <x:v>0.1471729706349058</x:v>
      </x:c>
    </x:row>
    <x:row r="2680">
      <x:c r="A2680" s="89" t="n">
        <x:v>2678</x:v>
      </x:c>
      <x:c r="B2680" s="80" t="n">
        <x:v>0.6003743523579754</x:v>
      </x:c>
      <x:c r="C2680" s="84" t="n">
        <x:f>SQRT('Resumen'!$B$5^3/3)*B2680</x:f>
        <x:v>0.3466262939484243</x:v>
      </x:c>
      <x:c r="D2680" s="84" t="n">
        <x:f>C2680^2-'Resumen'!$B$5^3/3</x:f>
        <x:v>-0.21318354567691386</x:v>
      </x:c>
      <x:c r="E2680" s="85" t="n">
        <x:f>D2680+'Resumen'!$B$5^3/3</x:f>
        <x:v>0.12014978765641945</x:v>
      </x:c>
    </x:row>
    <x:row r="2681">
      <x:c r="A2681" s="89" t="n">
        <x:v>2679</x:v>
      </x:c>
      <x:c r="B2681" s="80" t="n">
        <x:v>-0.5143348685994393</x:v>
      </x:c>
      <x:c r="C2681" s="84" t="n">
        <x:f>SQRT('Resumen'!$B$5^3/3)*B2681</x:f>
        <x:v>-0.2969513748394971</x:v>
      </x:c>
      <x:c r="D2681" s="84" t="n">
        <x:f>C2681^2-'Resumen'!$B$5^3/3</x:f>
        <x:v>-0.24515321431426582</x:v>
      </x:c>
      <x:c r="E2681" s="85" t="n">
        <x:f>D2681+'Resumen'!$B$5^3/3</x:f>
        <x:v>0.0881801190190675</x:v>
      </x:c>
    </x:row>
    <x:row r="2682">
      <x:c r="A2682" s="89" t="n">
        <x:v>2680</x:v>
      </x:c>
      <x:c r="B2682" s="80" t="n">
        <x:v>-1.1957919095416656</x:v>
      </x:c>
      <x:c r="C2682" s="84" t="n">
        <x:f>SQRT('Resumen'!$B$5^3/3)*B2682</x:f>
        <x:v>-0.6903907808686572</x:v>
      </x:c>
      <x:c r="D2682" s="84" t="n">
        <x:f>C2682^2-'Resumen'!$B$5^3/3</x:f>
        <x:v>0.143306096975101</x:v>
      </x:c>
      <x:c r="E2682" s="85" t="n">
        <x:f>D2682+'Resumen'!$B$5^3/3</x:f>
        <x:v>0.4766394303084343</x:v>
      </x:c>
    </x:row>
    <x:row r="2683">
      <x:c r="A2683" s="89" t="n">
        <x:v>2681</x:v>
      </x:c>
      <x:c r="B2683" s="80" t="n">
        <x:v>1.3380041599920531</x:v>
      </x:c>
      <x:c r="C2683" s="84" t="n">
        <x:f>SQRT('Resumen'!$B$5^3/3)*B2683</x:f>
        <x:v>0.772497061948251</x:v>
      </x:c>
      <x:c r="D2683" s="84" t="n">
        <x:f>C2683^2-'Resumen'!$B$5^3/3</x:f>
        <x:v>0.2634183773853466</x:v>
      </x:c>
      <x:c r="E2683" s="85" t="n">
        <x:f>D2683+'Resumen'!$B$5^3/3</x:f>
        <x:v>0.5967517107186799</x:v>
      </x:c>
    </x:row>
    <x:row r="2684">
      <x:c r="A2684" s="89" t="n">
        <x:v>2682</x:v>
      </x:c>
      <x:c r="B2684" s="80" t="n">
        <x:v>0.4877366561818115</x:v>
      </x:c>
      <x:c r="C2684" s="84" t="n">
        <x:f>SQRT('Resumen'!$B$5^3/3)*B2684</x:f>
        <x:v>0.2815948897402168</x:v>
      </x:c>
      <x:c r="D2684" s="84" t="n">
        <x:f>C2684^2-'Resumen'!$B$5^3/3</x:f>
        <x:v>-0.2540376514055285</x:v>
      </x:c>
      <x:c r="E2684" s="85" t="n">
        <x:f>D2684+'Resumen'!$B$5^3/3</x:f>
        <x:v>0.07929568192780484</x:v>
      </x:c>
    </x:row>
    <x:row r="2685">
      <x:c r="A2685" s="89" t="n">
        <x:v>2683</x:v>
      </x:c>
      <x:c r="B2685" s="80" t="n">
        <x:v>-1.18385779897521</x:v>
      </x:c>
      <x:c r="C2685" s="84" t="n">
        <x:f>SQRT('Resumen'!$B$5^3/3)*B2685</x:f>
        <x:v>-0.6835006189205752</x:v>
      </x:c>
      <x:c r="D2685" s="84" t="n">
        <x:f>C2685^2-'Resumen'!$B$5^3/3</x:f>
        <x:v>0.13383976273147608</x:v>
      </x:c>
      <x:c r="E2685" s="85" t="n">
        <x:f>D2685+'Resumen'!$B$5^3/3</x:f>
        <x:v>0.4671730960648094</x:v>
      </x:c>
    </x:row>
    <x:row r="2686">
      <x:c r="A2686" s="89" t="n">
        <x:v>2684</x:v>
      </x:c>
      <x:c r="B2686" s="80" t="n">
        <x:v>-0.9701399102653302</x:v>
      </x:c>
      <x:c r="C2686" s="84" t="n">
        <x:f>SQRT('Resumen'!$B$5^3/3)*B2686</x:f>
        <x:v>-0.5601105383432877</x:v>
      </x:c>
      <x:c r="D2686" s="84" t="n">
        <x:f>C2686^2-'Resumen'!$B$5^3/3</x:f>
        <x:v>-0.01960951817012574</x:v>
      </x:c>
      <x:c r="E2686" s="85" t="n">
        <x:f>D2686+'Resumen'!$B$5^3/3</x:f>
        <x:v>0.3137238151632076</x:v>
      </x:c>
    </x:row>
    <x:row r="2687">
      <x:c r="A2687" s="89" t="n">
        <x:v>2685</x:v>
      </x:c>
      <x:c r="B2687" s="80" t="n">
        <x:v>-1.5274029744957491</x:v>
      </x:c>
      <x:c r="C2687" s="84" t="n">
        <x:f>SQRT('Resumen'!$B$5^3/3)*B2687</x:f>
        <x:v>-0.8818465184861558</x:v>
      </x:c>
      <x:c r="D2687" s="84" t="n">
        <x:f>C2687^2-'Resumen'!$B$5^3/3</x:f>
        <x:v>0.4443199488328206</x:v>
      </x:c>
      <x:c r="E2687" s="85" t="n">
        <x:f>D2687+'Resumen'!$B$5^3/3</x:f>
        <x:v>0.7776532821661539</x:v>
      </x:c>
    </x:row>
    <x:row r="2688">
      <x:c r="A2688" s="89" t="n">
        <x:v>2686</x:v>
      </x:c>
      <x:c r="B2688" s="80" t="n">
        <x:v>0.9174814412016206</x:v>
      </x:c>
      <x:c r="C2688" s="84" t="n">
        <x:f>SQRT('Resumen'!$B$5^3/3)*B2688</x:f>
        <x:v>0.5297081570542415</x:v>
      </x:c>
      <x:c r="D2688" s="84" t="n">
        <x:f>C2688^2-'Resumen'!$B$5^3/3</x:f>
        <x:v>-0.0527426016835324</x:v>
      </x:c>
      <x:c r="E2688" s="85" t="n">
        <x:f>D2688+'Resumen'!$B$5^3/3</x:f>
        <x:v>0.2805907316498009</x:v>
      </x:c>
    </x:row>
    <x:row r="2689">
      <x:c r="A2689" s="89" t="n">
        <x:v>2687</x:v>
      </x:c>
      <x:c r="B2689" s="80" t="n">
        <x:v>-0.9861560179882009</x:v>
      </x:c>
      <x:c r="C2689" s="84" t="n">
        <x:f>SQRT('Resumen'!$B$5^3/3)*B2689</x:f>
        <x:v>-0.5693574424484572</x:v>
      </x:c>
      <x:c r="D2689" s="84" t="n">
        <x:f>C2689^2-'Resumen'!$B$5^3/3</x:f>
        <x:v>-0.00916543606188508</x:v>
      </x:c>
      <x:c r="E2689" s="85" t="n">
        <x:f>D2689+'Resumen'!$B$5^3/3</x:f>
        <x:v>0.32416789727144824</x:v>
      </x:c>
    </x:row>
    <x:row r="2690">
      <x:c r="A2690" s="89" t="n">
        <x:v>2688</x:v>
      </x:c>
      <x:c r="B2690" s="80" t="n">
        <x:v>-0.15836194770907344</x:v>
      </x:c>
      <x:c r="C2690" s="84" t="n">
        <x:f>SQRT('Resumen'!$B$5^3/3)*B2690</x:f>
        <x:v>-0.09143031313922699</x:v>
      </x:c>
      <x:c r="D2690" s="84" t="n">
        <x:f>C2690^2-'Resumen'!$B$5^3/3</x:f>
        <x:v>-0.3249738311725962</x:v>
      </x:c>
      <x:c r="E2690" s="85" t="n">
        <x:f>D2690+'Resumen'!$B$5^3/3</x:f>
        <x:v>0.008359502160737109</x:v>
      </x:c>
    </x:row>
    <x:row r="2691">
      <x:c r="A2691" s="89" t="n">
        <x:v>2689</x:v>
      </x:c>
      <x:c r="B2691" s="80" t="n">
        <x:v>-0.20002580610822632</x:v>
      </x:c>
      <x:c r="C2691" s="84" t="n">
        <x:f>SQRT('Resumen'!$B$5^3/3)*B2691</x:f>
        <x:v>-0.11548495300145635</x:v>
      </x:c>
      <x:c r="D2691" s="84" t="n">
        <x:f>C2691^2-'Resumen'!$B$5^3/3</x:f>
        <x:v>-0.31999655896358475</x:v>
      </x:c>
      <x:c r="E2691" s="85" t="n">
        <x:f>D2691+'Resumen'!$B$5^3/3</x:f>
        <x:v>0.01333677436974856</x:v>
      </x:c>
    </x:row>
    <x:row r="2692">
      <x:c r="A2692" s="89" t="n">
        <x:v>2690</x:v>
      </x:c>
      <x:c r="B2692" s="80" t="n">
        <x:v>1.2738167585507612</x:v>
      </x:c>
      <x:c r="C2692" s="84" t="n">
        <x:f>SQRT('Resumen'!$B$5^3/3)*B2692</x:f>
        <x:v>0.7354384484475385</x:v>
      </x:c>
      <x:c r="D2692" s="84" t="n">
        <x:f>C2692^2-'Resumen'!$B$5^3/3</x:f>
        <x:v>0.20753637812158937</x:v>
      </x:c>
      <x:c r="E2692" s="85" t="n">
        <x:f>D2692+'Resumen'!$B$5^3/3</x:f>
        <x:v>0.5408697114549227</x:v>
      </x:c>
    </x:row>
    <x:row r="2693">
      <x:c r="A2693" s="89" t="n">
        <x:v>2691</x:v>
      </x:c>
      <x:c r="B2693" s="80" t="n">
        <x:v>1.5300953461779228</x:v>
      </x:c>
      <x:c r="C2693" s="84" t="n">
        <x:f>SQRT('Resumen'!$B$5^3/3)*B2693</x:f>
        <x:v>0.8834009600016173</x:v>
      </x:c>
      <x:c r="D2693" s="84" t="n">
        <x:f>C2693^2-'Resumen'!$B$5^3/3</x:f>
        <x:v>0.4470639227984457</x:v>
      </x:c>
      <x:c r="E2693" s="85" t="n">
        <x:f>D2693+'Resumen'!$B$5^3/3</x:f>
        <x:v>0.780397256131779</x:v>
      </x:c>
    </x:row>
    <x:row r="2694">
      <x:c r="A2694" s="89" t="n">
        <x:v>2692</x:v>
      </x:c>
      <x:c r="B2694" s="80" t="n">
        <x:v>0.8431953088377452</x:v>
      </x:c>
      <x:c r="C2694" s="84" t="n">
        <x:f>SQRT('Resumen'!$B$5^3/3)*B2694</x:f>
        <x:v>0.4868190385369018</x:v>
      </x:c>
      <x:c r="D2694" s="84" t="n">
        <x:f>C2694^2-'Resumen'!$B$5^3/3</x:f>
        <x:v>-0.09634055705133984</x:v>
      </x:c>
      <x:c r="E2694" s="85" t="n">
        <x:f>D2694+'Resumen'!$B$5^3/3</x:f>
        <x:v>0.23699277628199347</x:v>
      </x:c>
    </x:row>
    <x:row r="2695">
      <x:c r="A2695" s="89" t="n">
        <x:v>2693</x:v>
      </x:c>
      <x:c r="B2695" s="80" t="n">
        <x:v>0.20602878479141412</x:v>
      </x:c>
      <x:c r="C2695" s="84" t="n">
        <x:f>SQRT('Resumen'!$B$5^3/3)*B2695</x:f>
        <x:v>0.11895077436013442</x:v>
      </x:c>
      <x:c r="D2695" s="84" t="n">
        <x:f>C2695^2-'Resumen'!$B$5^3/3</x:f>
        <x:v>-0.3191840466124577</x:v>
      </x:c>
      <x:c r="E2695" s="85" t="n">
        <x:f>D2695+'Resumen'!$B$5^3/3</x:f>
        <x:v>0.01414928672087562</x:v>
      </x:c>
    </x:row>
    <x:row r="2696">
      <x:c r="A2696" s="89" t="n">
        <x:v>2694</x:v>
      </x:c>
      <x:c r="B2696" s="80" t="n">
        <x:v>-1.5593002434973795</x:v>
      </x:c>
      <x:c r="C2696" s="84" t="n">
        <x:f>SQRT('Resumen'!$B$5^3/3)*B2696</x:f>
        <x:v>-0.900262415330661</x:v>
      </x:c>
      <x:c r="D2696" s="84" t="n">
        <x:f>C2696^2-'Resumen'!$B$5^3/3</x:f>
        <x:v>0.4771390831236622</x:v>
      </x:c>
      <x:c r="E2696" s="85" t="n">
        <x:f>D2696+'Resumen'!$B$5^3/3</x:f>
        <x:v>0.8104724164569955</x:v>
      </x:c>
    </x:row>
    <x:row r="2697">
      <x:c r="A2697" s="89" t="n">
        <x:v>2695</x:v>
      </x:c>
      <x:c r="B2697" s="80" t="n">
        <x:v>-0.5013513205767491</x:v>
      </x:c>
      <x:c r="C2697" s="84" t="n">
        <x:f>SQRT('Resumen'!$B$5^3/3)*B2697</x:f>
        <x:v>-0.28945531989356044</x:v>
      </x:c>
      <x:c r="D2697" s="84" t="n">
        <x:f>C2697^2-'Resumen'!$B$5^3/3</x:f>
        <x:v>-0.24954895111864991</x:v>
      </x:c>
      <x:c r="E2697" s="85" t="n">
        <x:f>D2697+'Resumen'!$B$5^3/3</x:f>
        <x:v>0.0837843822146834</x:v>
      </x:c>
    </x:row>
    <x:row r="2698">
      <x:c r="A2698" s="89" t="n">
        <x:v>2696</x:v>
      </x:c>
      <x:c r="B2698" s="80" t="n">
        <x:v>-0.06239749672326676</x:v>
      </x:c>
      <x:c r="C2698" s="84" t="n">
        <x:f>SQRT('Resumen'!$B$5^3/3)*B2698</x:f>
        <x:v>-0.03602521152993685</x:v>
      </x:c>
      <x:c r="D2698" s="84" t="n">
        <x:f>C2698^2-'Resumen'!$B$5^3/3</x:f>
        <x:v>-0.3320355174675566</x:v>
      </x:c>
      <x:c r="E2698" s="85" t="n">
        <x:f>D2698+'Resumen'!$B$5^3/3</x:f>
        <x:v>0.001297815865776708</x:v>
      </x:c>
    </x:row>
    <x:row r="2699">
      <x:c r="A2699" s="89" t="n">
        <x:v>2697</x:v>
      </x:c>
      <x:c r="B2699" s="80" t="n">
        <x:v>0.3408248580461208</x:v>
      </x:c>
      <x:c r="C2699" s="84" t="n">
        <x:f>SQRT('Resumen'!$B$5^3/3)*B2699</x:f>
        <x:v>0.1967753235394438</x:v>
      </x:c>
      <x:c r="D2699" s="84" t="n">
        <x:f>C2699^2-'Resumen'!$B$5^3/3</x:f>
        <x:v>-0.29461280537928053</x:v>
      </x:c>
      <x:c r="E2699" s="85" t="n">
        <x:f>D2699+'Resumen'!$B$5^3/3</x:f>
        <x:v>0.038720527954052786</x:v>
      </x:c>
    </x:row>
    <x:row r="2700">
      <x:c r="A2700" s="89" t="n">
        <x:v>2698</x:v>
      </x:c>
      <x:c r="B2700" s="80" t="n">
        <x:v>1.18016023345703</x:v>
      </x:c>
      <x:c r="C2700" s="84" t="n">
        <x:f>SQRT('Resumen'!$B$5^3/3)*B2700</x:f>
        <x:v>0.6813658284733078</x:v>
      </x:c>
      <x:c r="D2700" s="84" t="n">
        <x:f>C2700^2-'Resumen'!$B$5^3/3</x:f>
        <x:v>0.13092605887778386</x:v>
      </x:c>
      <x:c r="E2700" s="85" t="n">
        <x:f>D2700+'Resumen'!$B$5^3/3</x:f>
        <x:v>0.4642593922111172</x:v>
      </x:c>
    </x:row>
    <x:row r="2701">
      <x:c r="A2701" s="89" t="n">
        <x:v>2699</x:v>
      </x:c>
      <x:c r="B2701" s="80" t="n">
        <x:v>0.1855265609105291</x:v>
      </x:c>
      <x:c r="C2701" s="84" t="n">
        <x:f>SQRT('Resumen'!$B$5^3/3)*B2701</x:f>
        <x:v>0.10711380988351947</x:v>
      </x:c>
      <x:c r="D2701" s="84" t="n">
        <x:f>C2701^2-'Resumen'!$B$5^3/3</x:f>
        <x:v>-0.3218599650655706</x:v>
      </x:c>
      <x:c r="E2701" s="85" t="n">
        <x:f>D2701+'Resumen'!$B$5^3/3</x:f>
        <x:v>0.01147336826776274</x:v>
      </x:c>
    </x:row>
    <x:row r="2702">
      <x:c r="A2702" s="89" t="n">
        <x:v>2700</x:v>
      </x:c>
      <x:c r="B2702" s="80" t="n">
        <x:v>-1.1290007064319745</x:v>
      </x:c>
      <x:c r="C2702" s="84" t="n">
        <x:f>SQRT('Resumen'!$B$5^3/3)*B2702</x:f>
        <x:v>-0.6518288617737781</x:v>
      </x:c>
      <x:c r="D2702" s="84" t="n">
        <x:f>C2702^2-'Resumen'!$B$5^3/3</x:f>
        <x:v>0.09154753170796576</x:v>
      </x:c>
      <x:c r="E2702" s="85" t="n">
        <x:f>D2702+'Resumen'!$B$5^3/3</x:f>
        <x:v>0.42488086504129907</x:v>
      </x:c>
    </x:row>
    <x:row r="2703">
      <x:c r="A2703" s="89" t="n">
        <x:v>2701</x:v>
      </x:c>
      <x:c r="B2703" s="80" t="n">
        <x:v>-1.5233148665100529</x:v>
      </x:c>
      <x:c r="C2703" s="84" t="n">
        <x:f>SQRT('Resumen'!$B$5^3/3)*B2703</x:f>
        <x:v>-0.8794862482401378</x:v>
      </x:c>
      <x:c r="D2703" s="84" t="n">
        <x:f>C2703^2-'Resumen'!$B$5^3/3</x:f>
        <x:v>0.4401627275101799</x:v>
      </x:c>
      <x:c r="E2703" s="85" t="n">
        <x:f>D2703+'Resumen'!$B$5^3/3</x:f>
        <x:v>0.7734960608435132</x:v>
      </x:c>
    </x:row>
    <x:row r="2704">
      <x:c r="A2704" s="89" t="n">
        <x:v>2702</x:v>
      </x:c>
      <x:c r="B2704" s="80" t="n">
        <x:v>-0.5799211193936753</x:v>
      </x:c>
      <x:c r="C2704" s="84" t="n">
        <x:f>SQRT('Resumen'!$B$5^3/3)*B2704</x:f>
        <x:v>-0.3348176143906875</x:v>
      </x:c>
      <x:c r="D2704" s="84" t="n">
        <x:f>C2704^2-'Resumen'!$B$5^3/3</x:f>
        <x:v>-0.2212304984270622</x:v>
      </x:c>
      <x:c r="E2704" s="85" t="n">
        <x:f>D2704+'Resumen'!$B$5^3/3</x:f>
        <x:v>0.11210283490627113</x:v>
      </x:c>
    </x:row>
    <x:row r="2705">
      <x:c r="A2705" s="89" t="n">
        <x:v>2703</x:v>
      </x:c>
      <x:c r="B2705" s="80" t="n">
        <x:v>0.8173219789141021</x:v>
      </x:c>
      <x:c r="C2705" s="84" t="n">
        <x:f>SQRT('Resumen'!$B$5^3/3)*B2705</x:f>
        <x:v>0.4718810645406544</x:v>
      </x:c>
      <x:c r="D2705" s="84" t="n">
        <x:f>C2705^2-'Resumen'!$B$5^3/3</x:f>
        <x:v>-0.11066159426131206</x:v>
      </x:c>
      <x:c r="E2705" s="85" t="n">
        <x:f>D2705+'Resumen'!$B$5^3/3</x:f>
        <x:v>0.22267173907202126</x:v>
      </x:c>
    </x:row>
    <x:row r="2706">
      <x:c r="A2706" s="89" t="n">
        <x:v>2704</x:v>
      </x:c>
      <x:c r="B2706" s="80" t="n">
        <x:v>1.8904562199174364</x:v>
      </x:c>
      <x:c r="C2706" s="84" t="n">
        <x:f>SQRT('Resumen'!$B$5^3/3)*B2706</x:f>
        <x:v>1.0914554074605343</x:v>
      </x:c>
      <x:c r="D2706" s="84" t="n">
        <x:f>C2706^2-'Resumen'!$B$5^3/3</x:f>
        <x:v>0.8579415731415077</x:v>
      </x:c>
      <x:c r="E2706" s="85" t="n">
        <x:f>D2706+'Resumen'!$B$5^3/3</x:f>
        <x:v>1.191274906474841</x:v>
      </x:c>
    </x:row>
    <x:row r="2707">
      <x:c r="A2707" s="89" t="n">
        <x:v>2705</x:v>
      </x:c>
      <x:c r="B2707" s="80" t="n">
        <x:v>-0.3001414786339558</x:v>
      </x:c>
      <x:c r="C2707" s="84" t="n">
        <x:f>SQRT('Resumen'!$B$5^3/3)*B2707</x:f>
        <x:v>-0.17328676348428668</x:v>
      </x:c>
      <x:c r="D2707" s="84" t="n">
        <x:f>C2707^2-'Resumen'!$B$5^3/3</x:f>
        <x:v>-0.3033050309344742</x:v>
      </x:c>
      <x:c r="E2707" s="85" t="n">
        <x:f>D2707+'Resumen'!$B$5^3/3</x:f>
        <x:v>0.03002830239885912</x:v>
      </x:c>
    </x:row>
    <x:row r="2708">
      <x:c r="A2708" s="89" t="n">
        <x:v>2706</x:v>
      </x:c>
      <x:c r="B2708" s="80" t="n">
        <x:v>1.135340625296857</x:v>
      </x:c>
      <x:c r="C2708" s="84" t="n">
        <x:f>SQRT('Resumen'!$B$5^3/3)*B2708</x:f>
        <x:v>0.6554892156370584</x:v>
      </x:c>
      <x:c r="D2708" s="84" t="n">
        <x:f>C2708^2-'Resumen'!$B$5^3/3</x:f>
        <x:v>0.09633277848315275</x:v>
      </x:c>
      <x:c r="E2708" s="85" t="n">
        <x:f>D2708+'Resumen'!$B$5^3/3</x:f>
        <x:v>0.42966611181648606</x:v>
      </x:c>
    </x:row>
    <x:row r="2709">
      <x:c r="A2709" s="89" t="n">
        <x:v>2707</x:v>
      </x:c>
      <x:c r="B2709" s="80" t="n">
        <x:v>-0.9032119780213421</x:v>
      </x:c>
      <x:c r="C2709" s="84" t="n">
        <x:f>SQRT('Resumen'!$B$5^3/3)*B2709</x:f>
        <x:v>-0.5214696786459162</x:v>
      </x:c>
      <x:c r="D2709" s="84" t="n">
        <x:f>C2709^2-'Resumen'!$B$5^3/3</x:f>
        <x:v>-0.06140270758625821</x:v>
      </x:c>
      <x:c r="E2709" s="85" t="n">
        <x:f>D2709+'Resumen'!$B$5^3/3</x:f>
        <x:v>0.2719306257470751</x:v>
      </x:c>
    </x:row>
    <x:row r="2710">
      <x:c r="A2710" s="89" t="n">
        <x:v>2708</x:v>
      </x:c>
      <x:c r="B2710" s="80" t="n">
        <x:v>-0.675485586056827</x:v>
      </x:c>
      <x:c r="C2710" s="84" t="n">
        <x:f>SQRT('Resumen'!$B$5^3/3)*B2710</x:f>
        <x:v>-0.38999178494362113</x:v>
      </x:c>
      <x:c r="D2710" s="84" t="n">
        <x:f>C2710^2-'Resumen'!$B$5^3/3</x:f>
        <x:v>-0.18123974100982168</x:v>
      </x:c>
      <x:c r="E2710" s="85" t="n">
        <x:f>D2710+'Resumen'!$B$5^3/3</x:f>
        <x:v>0.15209359232351163</x:v>
      </x:c>
    </x:row>
    <x:row r="2711">
      <x:c r="A2711" s="89" t="n">
        <x:v>2709</x:v>
      </x:c>
      <x:c r="B2711" s="80" t="n">
        <x:v>-0.15267985334179526</x:v>
      </x:c>
      <x:c r="C2711" s="84" t="n">
        <x:f>SQRT('Resumen'!$B$5^3/3)*B2711</x:f>
        <x:v>-0.08814975442671807</x:v>
      </x:c>
      <x:c r="D2711" s="84" t="n">
        <x:f>C2711^2-'Resumen'!$B$5^3/3</x:f>
        <x:v>-0.3255629541278426</x:v>
      </x:c>
      <x:c r="E2711" s="85" t="n">
        <x:f>D2711+'Resumen'!$B$5^3/3</x:f>
        <x:v>0.0077703792054907295</x:v>
      </x:c>
    </x:row>
    <x:row r="2712">
      <x:c r="A2712" s="89" t="n">
        <x:v>2710</x:v>
      </x:c>
      <x:c r="B2712" s="80" t="n">
        <x:v>0.3197088576849027</x:v>
      </x:c>
      <x:c r="C2712" s="84" t="n">
        <x:f>SQRT('Resumen'!$B$5^3/3)*B2712</x:f>
        <x:v>0.18458399504668632</x:v>
      </x:c>
      <x:c r="D2712" s="84" t="n">
        <x:f>C2712^2-'Resumen'!$B$5^3/3</x:f>
        <x:v>-0.2992620821059382</x:v>
      </x:c>
      <x:c r="E2712" s="85" t="n">
        <x:f>D2712+'Resumen'!$B$5^3/3</x:f>
        <x:v>0.03407125122739513</x:v>
      </x:c>
    </x:row>
    <x:row r="2713">
      <x:c r="A2713" s="89" t="n">
        <x:v>2711</x:v>
      </x:c>
      <x:c r="B2713" s="80" t="n">
        <x:v>0.4211997887261841</x:v>
      </x:c>
      <x:c r="C2713" s="84" t="n">
        <x:f>SQRT('Resumen'!$B$5^3/3)*B2713</x:f>
        <x:v>0.24317981140367587</x:v>
      </x:c>
      <x:c r="D2713" s="84" t="n">
        <x:f>C2713^2-'Resumen'!$B$5^3/3</x:f>
        <x:v>-0.274196912659006</x:v>
      </x:c>
      <x:c r="E2713" s="85" t="n">
        <x:f>D2713+'Resumen'!$B$5^3/3</x:f>
        <x:v>0.05913642067432734</x:v>
      </x:c>
    </x:row>
    <x:row r="2714">
      <x:c r="A2714" s="89" t="n">
        <x:v>2712</x:v>
      </x:c>
      <x:c r="B2714" s="80" t="n">
        <x:v>-1.0770149015799884</x:v>
      </x:c>
      <x:c r="C2714" s="84" t="n">
        <x:f>SQRT('Resumen'!$B$5^3/3)*B2714</x:f>
        <x:v>-0.6218148433484445</x:v>
      </x:c>
      <x:c r="D2714" s="84" t="n">
        <x:f>C2714^2-'Resumen'!$B$5^3/3</x:f>
        <x:v>0.053320366075117254</x:v>
      </x:c>
      <x:c r="E2714" s="85" t="n">
        <x:f>D2714+'Resumen'!$B$5^3/3</x:f>
        <x:v>0.38665369940845057</x:v>
      </x:c>
    </x:row>
    <x:row r="2715">
      <x:c r="A2715" s="89" t="n">
        <x:v>2713</x:v>
      </x:c>
      <x:c r="B2715" s="80" t="n">
        <x:v>-1.1483833101787142</x:v>
      </x:c>
      <x:c r="C2715" s="84" t="n">
        <x:f>SQRT('Resumen'!$B$5^3/3)*B2715</x:f>
        <x:v>-0.6630194132645542</x:v>
      </x:c>
      <x:c r="D2715" s="84" t="n">
        <x:f>C2715^2-'Resumen'!$B$5^3/3</x:f>
        <x:v>0.10626140903234033</x:v>
      </x:c>
      <x:c r="E2715" s="85" t="n">
        <x:f>D2715+'Resumen'!$B$5^3/3</x:f>
        <x:v>0.43959474236567364</x:v>
      </x:c>
    </x:row>
    <x:row r="2716">
      <x:c r="A2716" s="89" t="n">
        <x:v>2714</x:v>
      </x:c>
      <x:c r="B2716" s="80" t="n">
        <x:v>0.8070843518017287</x:v>
      </x:c>
      <x:c r="C2716" s="84" t="n">
        <x:f>SQRT('Resumen'!$B$5^3/3)*B2716</x:f>
        <x:v>0.4659703677714626</x:v>
      </x:c>
      <x:c r="D2716" s="84" t="n">
        <x:f>C2716^2-'Resumen'!$B$5^3/3</x:f>
        <x:v>-0.1162049496922612</x:v>
      </x:c>
      <x:c r="E2716" s="85" t="n">
        <x:f>D2716+'Resumen'!$B$5^3/3</x:f>
        <x:v>0.21712838364107212</x:v>
      </x:c>
    </x:row>
    <x:row r="2717">
      <x:c r="A2717" s="89" t="n">
        <x:v>2715</x:v>
      </x:c>
      <x:c r="B2717" s="80" t="n">
        <x:v>-2.6222087575030892</x:v>
      </x:c>
      <x:c r="C2717" s="84" t="n">
        <x:f>SQRT('Resumen'!$B$5^3/3)*B2717</x:f>
        <x:v>-1.5139329320158026</x:v>
      </x:c>
      <x:c r="D2717" s="84" t="n">
        <x:f>C2717^2-'Resumen'!$B$5^3/3</x:f>
        <x:v>1.9586595893086314</x:v>
      </x:c>
      <x:c r="E2717" s="85" t="n">
        <x:f>D2717+'Resumen'!$B$5^3/3</x:f>
        <x:v>2.2919929226419646</x:v>
      </x:c>
    </x:row>
    <x:row r="2718">
      <x:c r="A2718" s="89" t="n">
        <x:v>2716</x:v>
      </x:c>
      <x:c r="B2718" s="80" t="n">
        <x:v>-0.15134947259854187</x:v>
      </x:c>
      <x:c r="C2718" s="84" t="n">
        <x:f>SQRT('Resumen'!$B$5^3/3)*B2718</x:f>
        <x:v>-0.08738165874647603</x:v>
      </x:c>
      <x:c r="D2718" s="84" t="n">
        <x:f>C2718^2-'Resumen'!$B$5^3/3</x:f>
        <x:v>-0.3256977790480477</x:v>
      </x:c>
      <x:c r="E2718" s="85" t="n">
        <x:f>D2718+'Resumen'!$B$5^3/3</x:f>
        <x:v>0.007635554285285617</x:v>
      </x:c>
    </x:row>
    <x:row r="2719">
      <x:c r="A2719" s="89" t="n">
        <x:v>2717</x:v>
      </x:c>
      <x:c r="B2719" s="80" t="n">
        <x:v>-1.4858344112212059</x:v>
      </x:c>
      <x:c r="C2719" s="84" t="n">
        <x:f>SQRT('Resumen'!$B$5^3/3)*B2719</x:f>
        <x:v>-0.8578468972897723</x:v>
      </x:c>
      <x:c r="D2719" s="84" t="n">
        <x:f>C2719^2-'Resumen'!$B$5^3/3</x:f>
        <x:v>0.40256796585635574</x:v>
      </x:c>
      <x:c r="E2719" s="85" t="n">
        <x:f>D2719+'Resumen'!$B$5^3/3</x:f>
        <x:v>0.735901299189689</x:v>
      </x:c>
    </x:row>
    <x:row r="2720">
      <x:c r="A2720" s="89" t="n">
        <x:v>2718</x:v>
      </x:c>
      <x:c r="B2720" s="80" t="n">
        <x:v>0.25373322182446617</x:v>
      </x:c>
      <x:c r="C2720" s="84" t="n">
        <x:f>SQRT('Resumen'!$B$5^3/3)*B2720</x:f>
        <x:v>0.14649294392270656</x:v>
      </x:c>
      <x:c r="D2720" s="84" t="n">
        <x:f>C2720^2-'Resumen'!$B$5^3/3</x:f>
        <x:v>-0.3118731507141921</x:v>
      </x:c>
      <x:c r="E2720" s="85" t="n">
        <x:f>D2720+'Resumen'!$B$5^3/3</x:f>
        <x:v>0.021460182619141233</x:v>
      </x:c>
    </x:row>
    <x:row r="2721">
      <x:c r="A2721" s="89" t="n">
        <x:v>2719</x:v>
      </x:c>
      <x:c r="B2721" s="80" t="n">
        <x:v>0.06093618880871517</x:v>
      </x:c>
      <x:c r="C2721" s="84" t="n">
        <x:f>SQRT('Resumen'!$B$5^3/3)*B2721</x:f>
        <x:v>0.03518152501210156</x:v>
      </x:c>
      <x:c r="D2721" s="84" t="n">
        <x:f>C2721^2-'Resumen'!$B$5^3/3</x:f>
        <x:v>-0.3320955936311562</x:v>
      </x:c>
      <x:c r="E2721" s="85" t="n">
        <x:f>D2721+'Resumen'!$B$5^3/3</x:f>
        <x:v>0.0012377397021771097</x:v>
      </x:c>
    </x:row>
    <x:row r="2722">
      <x:c r="A2722" s="89" t="n">
        <x:v>2720</x:v>
      </x:c>
      <x:c r="B2722" s="80" t="n">
        <x:v>-0.3378775307017609</x:v>
      </x:c>
      <x:c r="C2722" s="84" t="n">
        <x:f>SQRT('Resumen'!$B$5^3/3)*B2722</x:f>
        <x:v>-0.1950736833037877</x:v>
      </x:c>
      <x:c r="D2722" s="84" t="n">
        <x:f>C2722^2-'Resumen'!$B$5^3/3</x:f>
        <x:v>-0.2952795914156269</x:v>
      </x:c>
      <x:c r="E2722" s="85" t="n">
        <x:f>D2722+'Resumen'!$B$5^3/3</x:f>
        <x:v>0.03805374191770644</x:v>
      </x:c>
    </x:row>
    <x:row r="2723">
      <x:c r="A2723" s="89" t="n">
        <x:v>2721</x:v>
      </x:c>
      <x:c r="B2723" s="80" t="n">
        <x:v>-0.2851737097507294</x:v>
      </x:c>
      <x:c r="C2723" s="84" t="n">
        <x:f>SQRT('Resumen'!$B$5^3/3)*B2723</x:f>
        <x:v>-0.16464511809038782</x:v>
      </x:c>
      <x:c r="D2723" s="84" t="n">
        <x:f>C2723^2-'Resumen'!$B$5^3/3</x:f>
        <x:v>-0.3062253184223356</x:v>
      </x:c>
      <x:c r="E2723" s="85" t="n">
        <x:f>D2723+'Resumen'!$B$5^3/3</x:f>
        <x:v>0.027108014910997735</x:v>
      </x:c>
    </x:row>
    <x:row r="2724">
      <x:c r="A2724" s="89" t="n">
        <x:v>2722</x:v>
      </x:c>
      <x:c r="B2724" s="80" t="n">
        <x:v>-0.28454164170761026</x:v>
      </x:c>
      <x:c r="C2724" s="84" t="n">
        <x:f>SQRT('Resumen'!$B$5^3/3)*B2724</x:f>
        <x:v>-0.1642801934355468</x:v>
      </x:c>
      <x:c r="D2724" s="84" t="n">
        <x:f>C2724^2-'Resumen'!$B$5^3/3</x:f>
        <x:v>-0.30634535137811264</x:v>
      </x:c>
      <x:c r="E2724" s="85" t="n">
        <x:f>D2724+'Resumen'!$B$5^3/3</x:f>
        <x:v>0.026987981955220675</x:v>
      </x:c>
    </x:row>
    <x:row r="2725">
      <x:c r="A2725" s="89" t="n">
        <x:v>2723</x:v>
      </x:c>
      <x:c r="B2725" s="80" t="n">
        <x:v>-0.9163448160959305</x:v>
      </x:c>
      <x:c r="C2725" s="84" t="n">
        <x:f>SQRT('Resumen'!$B$5^3/3)*B2725</x:f>
        <x:v>-0.5290519262435036</x:v>
      </x:c>
      <x:c r="D2725" s="84" t="n">
        <x:f>C2725^2-'Resumen'!$B$5^3/3</x:f>
        <x:v>-0.05343739267137171</x:v>
      </x:c>
      <x:c r="E2725" s="85" t="n">
        <x:f>D2725+'Resumen'!$B$5^3/3</x:f>
        <x:v>0.2798959406619616</x:v>
      </x:c>
    </x:row>
    <x:row r="2726">
      <x:c r="A2726" s="89" t="n">
        <x:v>2724</x:v>
      </x:c>
      <x:c r="B2726" s="80" t="n">
        <x:v>0.06290920670462798</x:v>
      </x:c>
      <x:c r="C2726" s="84" t="n">
        <x:f>SQRT('Resumen'!$B$5^3/3)*B2726</x:f>
        <x:v>0.03632064742542277</x:v>
      </x:c>
      <x:c r="D2726" s="84" t="n">
        <x:f>C2726^2-'Resumen'!$B$5^3/3</x:f>
        <x:v>-0.33201414390393147</x:v>
      </x:c>
      <x:c r="E2726" s="85" t="n">
        <x:f>D2726+'Resumen'!$B$5^3/3</x:f>
        <x:v>0.0013191894294018458</x:v>
      </x:c>
    </x:row>
    <x:row r="2727">
      <x:c r="A2727" s="89" t="n">
        <x:v>2725</x:v>
      </x:c>
      <x:c r="B2727" s="80" t="n">
        <x:v>-0.7311455997007895</x:v>
      </x:c>
      <x:c r="C2727" s="84" t="n">
        <x:f>SQRT('Resumen'!$B$5^3/3)*B2727</x:f>
        <x:v>-0.4221271088040612</x:v>
      </x:c>
      <x:c r="D2727" s="84" t="n">
        <x:f>C2727^2-'Resumen'!$B$5^3/3</x:f>
        <x:v>-0.1551420373460576</x:v>
      </x:c>
      <x:c r="E2727" s="85" t="n">
        <x:f>D2727+'Resumen'!$B$5^3/3</x:f>
        <x:v>0.1781912959872757</x:v>
      </x:c>
    </x:row>
    <x:row r="2728">
      <x:c r="A2728" s="89" t="n">
        <x:v>2726</x:v>
      </x:c>
      <x:c r="B2728" s="80" t="n">
        <x:v>1.3368283846726998</x:v>
      </x:c>
      <x:c r="C2728" s="84" t="n">
        <x:f>SQRT('Resumen'!$B$5^3/3)*B2728</x:f>
        <x:v>0.7718182277511157</x:v>
      </x:c>
      <x:c r="D2728" s="84" t="n">
        <x:f>C2728^2-'Resumen'!$B$5^3/3</x:f>
        <x:v>0.2623700433555399</x:v>
      </x:c>
      <x:c r="E2728" s="85" t="n">
        <x:f>D2728+'Resumen'!$B$5^3/3</x:f>
        <x:v>0.5957033766888732</x:v>
      </x:c>
    </x:row>
    <x:row r="2729">
      <x:c r="A2729" s="89" t="n">
        <x:v>2727</x:v>
      </x:c>
      <x:c r="B2729" s="80" t="n">
        <x:v>1.7069321485174356</x:v>
      </x:c>
      <x:c r="C2729" s="84" t="n">
        <x:f>SQRT('Resumen'!$B$5^3/3)*B2729</x:f>
        <x:v>0.9854977354349677</x:v>
      </x:c>
      <x:c r="D2729" s="84" t="n">
        <x:f>C2729^2-'Resumen'!$B$5^3/3</x:f>
        <x:v>0.6378724532141162</x:v>
      </x:c>
      <x:c r="E2729" s="85" t="n">
        <x:f>D2729+'Resumen'!$B$5^3/3</x:f>
        <x:v>0.9712057865474495</x:v>
      </x:c>
    </x:row>
    <x:row r="2730">
      <x:c r="A2730" s="89" t="n">
        <x:v>2728</x:v>
      </x:c>
      <x:c r="B2730" s="80" t="n">
        <x:v>0.00542028503619531</x:v>
      </x:c>
      <x:c r="C2730" s="84" t="n">
        <x:f>SQRT('Resumen'!$B$5^3/3)*B2730</x:f>
        <x:v>0.0031294030247318626</x:v>
      </x:c>
      <x:c r="D2730" s="84" t="n">
        <x:f>C2730^2-'Resumen'!$B$5^3/3</x:f>
        <x:v>-0.3333235401700421</x:v>
      </x:c>
      <x:c r="E2730" s="85" t="n">
        <x:f>D2730+'Resumen'!$B$5^3/3</x:f>
        <x:v>0.000009793163291194062</x:v>
      </x:c>
    </x:row>
    <x:row r="2731">
      <x:c r="A2731" s="89" t="n">
        <x:v>2729</x:v>
      </x:c>
      <x:c r="B2731" s="80" t="n">
        <x:v>-0.01983403793728953</x:v>
      </x:c>
      <x:c r="C2731" s="84" t="n">
        <x:f>SQRT('Resumen'!$B$5^3/3)*B2731</x:f>
        <x:v>-0.011451187142211359</x:v>
      </x:c>
      <x:c r="D2731" s="84" t="n">
        <x:f>C2731^2-'Resumen'!$B$5^3/3</x:f>
        <x:v>-0.3332022036463674</x:v>
      </x:c>
      <x:c r="E2731" s="85" t="n">
        <x:f>D2731+'Resumen'!$B$5^3/3</x:f>
        <x:v>0.0001311296869659362</x:v>
      </x:c>
    </x:row>
    <x:row r="2732">
      <x:c r="A2732" s="89" t="n">
        <x:v>2730</x:v>
      </x:c>
      <x:c r="B2732" s="80" t="n">
        <x:v>0.012073597734094367</x:v>
      </x:c>
      <x:c r="C2732" s="84" t="n">
        <x:f>SQRT('Resumen'!$B$5^3/3)*B2732</x:f>
        <x:v>0.006970694901866638</x:v>
      </x:c>
      <x:c r="D2732" s="84" t="n">
        <x:f>C2732^2-'Resumen'!$B$5^3/3</x:f>
        <x:v>-0.3332847427459184</x:v>
      </x:c>
      <x:c r="E2732" s="85" t="n">
        <x:f>D2732+'Resumen'!$B$5^3/3</x:f>
        <x:v>0.000048590587414909514</x:v>
      </x:c>
    </x:row>
    <x:row r="2733">
      <x:c r="A2733" s="89" t="n">
        <x:v>2731</x:v>
      </x:c>
      <x:c r="B2733" s="80" t="n">
        <x:v>-1.423187711434714</x:v>
      </x:c>
      <x:c r="C2733" s="84" t="n">
        <x:f>SQRT('Resumen'!$B$5^3/3)*B2733</x:f>
        <x:v>-0.8216778083041996</x:v>
      </x:c>
      <x:c r="D2733" s="84" t="n">
        <x:f>C2733^2-'Resumen'!$B$5^3/3</x:f>
        <x:v>0.34182108732625965</x:v>
      </x:c>
      <x:c r="E2733" s="85" t="n">
        <x:f>D2733+'Resumen'!$B$5^3/3</x:f>
        <x:v>0.675154420659593</x:v>
      </x:c>
    </x:row>
    <x:row r="2734">
      <x:c r="A2734" s="89" t="n">
        <x:v>2732</x:v>
      </x:c>
      <x:c r="B2734" s="80" t="n">
        <x:v>0.3493589873362857</x:v>
      </x:c>
      <x:c r="C2734" s="84" t="n">
        <x:f>SQRT('Resumen'!$B$5^3/3)*B2734</x:f>
        <x:v>0.20170250538241957</x:v>
      </x:c>
      <x:c r="D2734" s="84" t="n">
        <x:f>C2734^2-'Resumen'!$B$5^3/3</x:f>
        <x:v>-0.2926494326557883</x:v>
      </x:c>
      <x:c r="E2734" s="85" t="n">
        <x:f>D2734+'Resumen'!$B$5^3/3</x:f>
        <x:v>0.040683900677545015</x:v>
      </x:c>
    </x:row>
    <x:row r="2735">
      <x:c r="A2735" s="89" t="n">
        <x:v>2733</x:v>
      </x:c>
      <x:c r="B2735" s="80" t="n">
        <x:v>-0.5732211561952526</x:v>
      </x:c>
      <x:c r="C2735" s="84" t="n">
        <x:f>SQRT('Resumen'!$B$5^3/3)*B2735</x:f>
        <x:v>-0.3309493888345176</x:v>
      </x:c>
      <x:c r="D2735" s="84" t="n">
        <x:f>C2735^2-'Resumen'!$B$5^3/3</x:f>
        <x:v>-0.2238058353633926</x:v>
      </x:c>
      <x:c r="E2735" s="85" t="n">
        <x:f>D2735+'Resumen'!$B$5^3/3</x:f>
        <x:v>0.10952749796994071</x:v>
      </x:c>
    </x:row>
    <x:row r="2736">
      <x:c r="A2736" s="89" t="n">
        <x:v>2734</x:v>
      </x:c>
      <x:c r="B2736" s="80" t="n">
        <x:v>-1.421824222140935</x:v>
      </x:c>
      <x:c r="C2736" s="84" t="n">
        <x:f>SQRT('Resumen'!$B$5^3/3)*B2736</x:f>
        <x:v>-0.820890597393399</x:v>
      </x:c>
      <x:c r="D2736" s="84" t="n">
        <x:f>C2736^2-'Resumen'!$B$5^3/3</x:f>
        <x:v>0.34052803955555816</x:v>
      </x:c>
      <x:c r="E2736" s="85" t="n">
        <x:f>D2736+'Resumen'!$B$5^3/3</x:f>
        <x:v>0.6738613728888915</x:v>
      </x:c>
    </x:row>
    <x:row r="2737">
      <x:c r="A2737" s="89" t="n">
        <x:v>2735</x:v>
      </x:c>
      <x:c r="B2737" s="80" t="n">
        <x:v>0.1773962832645485</x:v>
      </x:c>
      <x:c r="C2737" s="84" t="n">
        <x:f>SQRT('Resumen'!$B$5^3/3)*B2737</x:f>
        <x:v>0.10241979189602618</x:v>
      </x:c>
      <x:c r="D2737" s="84" t="n">
        <x:f>C2737^2-'Resumen'!$B$5^3/3</x:f>
        <x:v>-0.322843519561308</x:v>
      </x:c>
      <x:c r="E2737" s="85" t="n">
        <x:f>D2737+'Resumen'!$B$5^3/3</x:f>
        <x:v>0.010489813772025292</x:v>
      </x:c>
    </x:row>
    <x:row r="2738">
      <x:c r="A2738" s="89" t="n">
        <x:v>2736</x:v>
      </x:c>
      <x:c r="B2738" s="80" t="n">
        <x:v>-1.0942175228463256</x:v>
      </x:c>
      <x:c r="C2738" s="84" t="n">
        <x:f>SQRT('Resumen'!$B$5^3/3)*B2738</x:f>
        <x:v>-0.6317467813673315</x:v>
      </x:c>
      <x:c r="D2738" s="84" t="n">
        <x:f>C2738^2-'Resumen'!$B$5^3/3</x:f>
        <x:v>0.06577066243464968</x:v>
      </x:c>
      <x:c r="E2738" s="85" t="n">
        <x:f>D2738+'Resumen'!$B$5^3/3</x:f>
        <x:v>0.399103995767983</x:v>
      </x:c>
    </x:row>
    <x:row r="2739">
      <x:c r="A2739" s="89" t="n">
        <x:v>2737</x:v>
      </x:c>
      <x:c r="B2739" s="80" t="n">
        <x:v>1.6026536834542882</x:v>
      </x:c>
      <x:c r="C2739" s="84" t="n">
        <x:f>SQRT('Resumen'!$B$5^3/3)*B2739</x:f>
        <x:v>0.9252925355600785</x:v>
      </x:c>
      <x:c r="D2739" s="84" t="n">
        <x:f>C2739^2-'Resumen'!$B$5^3/3</x:f>
        <x:v>0.5228329430298659</x:v>
      </x:c>
      <x:c r="E2739" s="85" t="n">
        <x:f>D2739+'Resumen'!$B$5^3/3</x:f>
        <x:v>0.8561662763631992</x:v>
      </x:c>
    </x:row>
    <x:row r="2740">
      <x:c r="A2740" s="89" t="n">
        <x:v>2738</x:v>
      </x:c>
      <x:c r="B2740" s="80" t="n">
        <x:v>1.2036235695023614</x:v>
      </x:c>
      <x:c r="C2740" s="84" t="n">
        <x:f>SQRT('Resumen'!$B$5^3/3)*B2740</x:f>
        <x:v>0.6949123918551665</x:v>
      </x:c>
      <x:c r="D2740" s="84" t="n">
        <x:f>C2740^2-'Resumen'!$B$5^3/3</x:f>
        <x:v>0.1495698990205352</x:v>
      </x:c>
      <x:c r="E2740" s="85" t="n">
        <x:f>D2740+'Resumen'!$B$5^3/3</x:f>
        <x:v>0.4829032323538685</x:v>
      </x:c>
    </x:row>
    <x:row r="2741">
      <x:c r="A2741" s="89" t="n">
        <x:v>2739</x:v>
      </x:c>
      <x:c r="B2741" s="80" t="n">
        <x:v>0.49013478023850376</x:v>
      </x:c>
      <x:c r="C2741" s="84" t="n">
        <x:f>SQRT('Resumen'!$B$5^3/3)*B2741</x:f>
        <x:v>0.2829794473098982</x:v>
      </x:c>
      <x:c r="D2741" s="84" t="n">
        <x:f>C2741^2-'Resumen'!$B$5^3/3</x:f>
        <x:v>-0.25325596573351783</x:v>
      </x:c>
      <x:c r="E2741" s="85" t="n">
        <x:f>D2741+'Resumen'!$B$5^3/3</x:f>
        <x:v>0.08007736759981549</x:v>
      </x:c>
    </x:row>
    <x:row r="2742">
      <x:c r="A2742" s="89" t="n">
        <x:v>2740</x:v>
      </x:c>
      <x:c r="B2742" s="80" t="n">
        <x:v>0.26170688539728165</x:v>
      </x:c>
      <x:c r="C2742" s="84" t="n">
        <x:f>SQRT('Resumen'!$B$5^3/3)*B2742</x:f>
        <x:v>0.1510965407328991</x:v>
      </x:c>
      <x:c r="D2742" s="84" t="n">
        <x:f>C2742^2-'Resumen'!$B$5^3/3</x:f>
        <x:v>-0.31050316871188466</x:v>
      </x:c>
      <x:c r="E2742" s="85" t="n">
        <x:f>D2742+'Resumen'!$B$5^3/3</x:f>
        <x:v>0.022830164621448656</x:v>
      </x:c>
    </x:row>
    <x:row r="2743">
      <x:c r="A2743" s="89" t="n">
        <x:v>2741</x:v>
      </x:c>
      <x:c r="B2743" s="80" t="n">
        <x:v>-0.06928726333204156</x:v>
      </x:c>
      <x:c r="C2743" s="84" t="n">
        <x:f>SQRT('Resumen'!$B$5^3/3)*B2743</x:f>
        <x:v>-0.04000302013616668</x:v>
      </x:c>
      <x:c r="D2743" s="84" t="n">
        <x:f>C2743^2-'Resumen'!$B$5^3/3</x:f>
        <x:v>-0.3317330917133188</x:v>
      </x:c>
      <x:c r="E2743" s="85" t="n">
        <x:f>D2743+'Resumen'!$B$5^3/3</x:f>
        <x:v>0.001600241620014542</x:v>
      </x:c>
    </x:row>
    <x:row r="2744">
      <x:c r="A2744" s="89" t="n">
        <x:v>2742</x:v>
      </x:c>
      <x:c r="B2744" s="80" t="n">
        <x:v>-2.8864782826861304</x:v>
      </x:c>
      <x:c r="C2744" s="84" t="n">
        <x:f>SQRT('Resumen'!$B$5^3/3)*B2744</x:f>
        <x:v>-1.666509013518846</x:v>
      </x:c>
      <x:c r="D2744" s="84" t="n">
        <x:f>C2744^2-'Resumen'!$B$5^3/3</x:f>
        <x:v>2.443918958806224</x:v>
      </x:c>
      <x:c r="E2744" s="85" t="n">
        <x:f>D2744+'Resumen'!$B$5^3/3</x:f>
        <x:v>2.7772522921395573</x:v>
      </x:c>
    </x:row>
    <x:row r="2745">
      <x:c r="A2745" s="89" t="n">
        <x:v>2743</x:v>
      </x:c>
      <x:c r="B2745" s="80" t="n">
        <x:v>-0.9335747387989992</x:v>
      </x:c>
      <x:c r="C2745" s="84" t="n">
        <x:f>SQRT('Resumen'!$B$5^3/3)*B2745</x:f>
        <x:v>-0.5389996267542367</x:v>
      </x:c>
      <x:c r="D2745" s="84" t="n">
        <x:f>C2745^2-'Resumen'!$B$5^3/3</x:f>
        <x:v>-0.04281273569212679</x:v>
      </x:c>
      <x:c r="E2745" s="85" t="n">
        <x:f>D2745+'Resumen'!$B$5^3/3</x:f>
        <x:v>0.2905205976412065</x:v>
      </x:c>
    </x:row>
    <x:row r="2746">
      <x:c r="A2746" s="89" t="n">
        <x:v>2744</x:v>
      </x:c>
      <x:c r="B2746" s="80" t="n">
        <x:v>-2.3640135505969213</x:v>
      </x:c>
      <x:c r="C2746" s="84" t="n">
        <x:f>SQRT('Resumen'!$B$5^3/3)*B2746</x:f>
        <x:v>-1.3648638598050555</x:v>
      </x:c>
      <x:c r="D2746" s="84" t="n">
        <x:f>C2746^2-'Resumen'!$B$5^3/3</x:f>
        <x:v>1.529520022468621</x:v>
      </x:c>
      <x:c r="E2746" s="85" t="n">
        <x:f>D2746+'Resumen'!$B$5^3/3</x:f>
        <x:v>1.8628533558019542</x:v>
      </x:c>
    </x:row>
    <x:row r="2747">
      <x:c r="A2747" s="89" t="n">
        <x:v>2745</x:v>
      </x:c>
      <x:c r="B2747" s="80" t="n">
        <x:v>0.20462116051410767</x:v>
      </x:c>
      <x:c r="C2747" s="84" t="n">
        <x:f>SQRT('Resumen'!$B$5^3/3)*B2747</x:f>
        <x:v>0.11813808210471367</x:v>
      </x:c>
      <x:c r="D2747" s="84" t="n">
        <x:f>C2747^2-'Resumen'!$B$5^3/3</x:f>
        <x:v>-0.3193767268899532</x:v>
      </x:c>
      <x:c r="E2747" s="85" t="n">
        <x:f>D2747+'Resumen'!$B$5^3/3</x:f>
        <x:v>0.013956606443380093</x:v>
      </x:c>
    </x:row>
    <x:row r="2748">
      <x:c r="A2748" s="89" t="n">
        <x:v>2746</x:v>
      </x:c>
      <x:c r="B2748" s="80" t="n">
        <x:v>-0.46965908380911553</x:v>
      </x:c>
      <x:c r="C2748" s="84" t="n">
        <x:f>SQRT('Resumen'!$B$5^3/3)*B2748</x:f>
        <x:v>-0.27115779846454585</x:v>
      </x:c>
      <x:c r="D2748" s="84" t="n">
        <x:f>C2748^2-'Resumen'!$B$5^3/3</x:f>
        <x:v>-0.25980678166519405</x:v>
      </x:c>
      <x:c r="E2748" s="85" t="n">
        <x:f>D2748+'Resumen'!$B$5^3/3</x:f>
        <x:v>0.07352655166813926</x:v>
      </x:c>
    </x:row>
    <x:row r="2749">
      <x:c r="A2749" s="89" t="n">
        <x:v>2747</x:v>
      </x:c>
      <x:c r="B2749" s="80" t="n">
        <x:v>-1.3335431009187526</x:v>
      </x:c>
      <x:c r="C2749" s="84" t="n">
        <x:f>SQRT('Resumen'!$B$5^3/3)*B2749</x:f>
        <x:v>-0.7699214682914101</x:v>
      </x:c>
      <x:c r="D2749" s="84" t="n">
        <x:f>C2749^2-'Resumen'!$B$5^3/3</x:f>
        <x:v>0.2594457340026674</x:v>
      </x:c>
      <x:c r="E2749" s="85" t="n">
        <x:f>D2749+'Resumen'!$B$5^3/3</x:f>
        <x:v>0.5927790673360007</x:v>
      </x:c>
    </x:row>
    <x:row r="2750">
      <x:c r="A2750" s="89" t="n">
        <x:v>2748</x:v>
      </x:c>
      <x:c r="B2750" s="80" t="n">
        <x:v>-0.17060078554780003</x:v>
      </x:c>
      <x:c r="C2750" s="84" t="n">
        <x:f>SQRT('Resumen'!$B$5^3/3)*B2750</x:f>
        <x:v>-0.09849640945998396</x:v>
      </x:c>
      <x:c r="D2750" s="84" t="n">
        <x:f>C2750^2-'Resumen'!$B$5^3/3</x:f>
        <x:v>-0.3236317906568245</x:v>
      </x:c>
      <x:c r="E2750" s="85" t="n">
        <x:f>D2750+'Resumen'!$B$5^3/3</x:f>
        <x:v>0.0097015426765088</x:v>
      </x:c>
    </x:row>
    <x:row r="2751">
      <x:c r="A2751" s="89" t="n">
        <x:v>2749</x:v>
      </x:c>
      <x:c r="B2751" s="80" t="n">
        <x:v>-1.6183290720422676</x:v>
      </x:c>
      <x:c r="C2751" s="84" t="n">
        <x:f>SQRT('Resumen'!$B$5^3/3)*B2751</x:f>
        <x:v>-0.9343427253810004</x:v>
      </x:c>
      <x:c r="D2751" s="84" t="n">
        <x:f>C2751^2-'Resumen'!$B$5^3/3</x:f>
        <x:v>0.5396629951390621</x:v>
      </x:c>
      <x:c r="E2751" s="85" t="n">
        <x:f>D2751+'Resumen'!$B$5^3/3</x:f>
        <x:v>0.8729963284723954</x:v>
      </x:c>
    </x:row>
    <x:row r="2752">
      <x:c r="A2752" s="89" t="n">
        <x:v>2750</x:v>
      </x:c>
      <x:c r="B2752" s="80" t="n">
        <x:v>-0.3144642141856709</x:v>
      </x:c>
      <x:c r="C2752" s="84" t="n">
        <x:f>SQRT('Resumen'!$B$5^3/3)*B2752</x:f>
        <x:v>-0.1815559987106012</x:v>
      </x:c>
      <x:c r="D2752" s="84" t="n">
        <x:f>C2752^2-'Resumen'!$B$5^3/3</x:f>
        <x:v>-0.3003707526655295</x:v>
      </x:c>
      <x:c r="E2752" s="85" t="n">
        <x:f>D2752+'Resumen'!$B$5^3/3</x:f>
        <x:v>0.03296258066780383</x:v>
      </x:c>
    </x:row>
    <x:row r="2753">
      <x:c r="A2753" s="89" t="n">
        <x:v>2751</x:v>
      </x:c>
      <x:c r="B2753" s="80" t="n">
        <x:v>-0.9649074433277742</x:v>
      </x:c>
      <x:c r="C2753" s="84" t="n">
        <x:f>SQRT('Resumen'!$B$5^3/3)*B2753</x:f>
        <x:v>-0.557089572148364</x:v>
      </x:c>
      <x:c r="D2753" s="84" t="n">
        <x:f>C2753^2-'Resumen'!$B$5^3/3</x:f>
        <x:v>-0.022984541936886094</x:v>
      </x:c>
      <x:c r="E2753" s="85" t="n">
        <x:f>D2753+'Resumen'!$B$5^3/3</x:f>
        <x:v>0.3103487913964472</x:v>
      </x:c>
    </x:row>
    <x:row r="2754">
      <x:c r="A2754" s="89" t="n">
        <x:v>2752</x:v>
      </x:c>
      <x:c r="B2754" s="80" t="n">
        <x:v>-0.42609080858862686</x:v>
      </x:c>
      <x:c r="C2754" s="84" t="n">
        <x:f>SQRT('Resumen'!$B$5^3/3)*B2754</x:f>
        <x:v>-0.246003643037869</x:v>
      </x:c>
      <x:c r="D2754" s="84" t="n">
        <x:f>C2754^2-'Resumen'!$B$5^3/3</x:f>
        <x:v>-0.27281554094543004</x:v>
      </x:c>
      <x:c r="E2754" s="85" t="n">
        <x:f>D2754+'Resumen'!$B$5^3/3</x:f>
        <x:v>0.06051779238790328</x:v>
      </x:c>
    </x:row>
    <x:row r="2755">
      <x:c r="A2755" s="89" t="n">
        <x:v>2753</x:v>
      </x:c>
      <x:c r="B2755" s="80" t="n">
        <x:v>-1.4409001294718553</x:v>
      </x:c>
      <x:c r="C2755" s="84" t="n">
        <x:f>SQRT('Resumen'!$B$5^3/3)*B2755</x:f>
        <x:v>-0.8319040776259422</x:v>
      </x:c>
      <x:c r="D2755" s="84" t="n">
        <x:f>C2755^2-'Resumen'!$B$5^3/3</x:f>
        <x:v>0.3587310610373364</x:v>
      </x:c>
      <x:c r="E2755" s="85" t="n">
        <x:f>D2755+'Resumen'!$B$5^3/3</x:f>
        <x:v>0.6920643943706697</x:v>
      </x:c>
    </x:row>
    <x:row r="2756">
      <x:c r="A2756" s="89" t="n">
        <x:v>2754</x:v>
      </x:c>
      <x:c r="B2756" s="80" t="n">
        <x:v>-0.5028721705027842</x:v>
      </x:c>
      <x:c r="C2756" s="84" t="n">
        <x:f>SQRT('Resumen'!$B$5^3/3)*B2756</x:f>
        <x:v>-0.29033338300775385</x:v>
      </x:c>
      <x:c r="D2756" s="84" t="n">
        <x:f>C2756^2-'Resumen'!$B$5^3/3</x:f>
        <x:v>-0.2490398600446062</x:v>
      </x:c>
      <x:c r="E2756" s="85" t="n">
        <x:f>D2756+'Resumen'!$B$5^3/3</x:f>
        <x:v>0.0842934732887271</x:v>
      </x:c>
    </x:row>
    <x:row r="2757">
      <x:c r="A2757" s="89" t="n">
        <x:v>2755</x:v>
      </x:c>
      <x:c r="B2757" s="80" t="n">
        <x:v>-0.7362139563835768</x:v>
      </x:c>
      <x:c r="C2757" s="84" t="n">
        <x:f>SQRT('Resumen'!$B$5^3/3)*B2757</x:f>
        <x:v>-0.42505332589921746</x:v>
      </x:c>
      <x:c r="D2757" s="84" t="n">
        <x:f>C2757^2-'Resumen'!$B$5^3/3</x:f>
        <x:v>-0.15266300347534695</x:v>
      </x:c>
      <x:c r="E2757" s="85" t="n">
        <x:f>D2757+'Resumen'!$B$5^3/3</x:f>
        <x:v>0.18067032985798637</x:v>
      </x:c>
    </x:row>
    <x:row r="2758">
      <x:c r="A2758" s="89" t="n">
        <x:v>2756</x:v>
      </x:c>
      <x:c r="B2758" s="80" t="n">
        <x:v>-1.1326344173667218</x:v>
      </x:c>
      <x:c r="C2758" s="84" t="n">
        <x:f>SQRT('Resumen'!$B$5^3/3)*B2758</x:f>
        <x:v>-0.6539267857601118</x:v>
      </x:c>
      <x:c r="D2758" s="84" t="n">
        <x:f>C2758^2-'Resumen'!$B$5^3/3</x:f>
        <x:v>0.09428690780121779</x:v>
      </x:c>
      <x:c r="E2758" s="85" t="n">
        <x:f>D2758+'Resumen'!$B$5^3/3</x:f>
        <x:v>0.4276202411345511</x:v>
      </x:c>
    </x:row>
    <x:row r="2759">
      <x:c r="A2759" s="89" t="n">
        <x:v>2757</x:v>
      </x:c>
      <x:c r="B2759" s="80" t="n">
        <x:v>0.7769569904759883</x:v>
      </x:c>
      <x:c r="C2759" s="84" t="n">
        <x:f>SQRT('Resumen'!$B$5^3/3)*B2759</x:f>
        <x:v>0.4485763276000733</x:v>
      </x:c>
      <x:c r="D2759" s="84" t="n">
        <x:f>C2759^2-'Resumen'!$B$5^3/3</x:f>
        <x:v>-0.13211261165016502</x:v>
      </x:c>
      <x:c r="E2759" s="85" t="n">
        <x:f>D2759+'Resumen'!$B$5^3/3</x:f>
        <x:v>0.2012207216831683</x:v>
      </x:c>
    </x:row>
    <x:row r="2760">
      <x:c r="A2760" s="89" t="n">
        <x:v>2758</x:v>
      </x:c>
      <x:c r="B2760" s="80" t="n">
        <x:v>1.3076786662329982</x:v>
      </x:c>
      <x:c r="C2760" s="84" t="n">
        <x:f>SQRT('Resumen'!$B$5^3/3)*B2760</x:f>
        <x:v>0.7549886299631523</x:v>
      </x:c>
      <x:c r="D2760" s="84" t="n">
        <x:f>C2760^2-'Resumen'!$B$5^3/3</x:f>
        <x:v>0.23667449804030444</x:v>
      </x:c>
      <x:c r="E2760" s="85" t="n">
        <x:f>D2760+'Resumen'!$B$5^3/3</x:f>
        <x:v>0.5700078313736378</x:v>
      </x:c>
    </x:row>
    <x:row r="2761">
      <x:c r="A2761" s="89" t="n">
        <x:v>2759</x:v>
      </x:c>
      <x:c r="B2761" s="80" t="n">
        <x:v>-1.1180254278043655</x:v>
      </x:c>
      <x:c r="C2761" s="84" t="n">
        <x:f>SQRT('Resumen'!$B$5^3/3)*B2761</x:f>
        <x:v>-0.6454922817036969</x:v>
      </x:c>
      <x:c r="D2761" s="84" t="n">
        <x:f>C2761^2-'Resumen'!$B$5^3/3</x:f>
        <x:v>0.08332695240571147</x:v>
      </x:c>
      <x:c r="E2761" s="85" t="n">
        <x:f>D2761+'Resumen'!$B$5^3/3</x:f>
        <x:v>0.4166602857390448</x:v>
      </x:c>
    </x:row>
    <x:row r="2762">
      <x:c r="A2762" s="89" t="n">
        <x:v>2760</x:v>
      </x:c>
      <x:c r="B2762" s="80" t="n">
        <x:v>0.49135559141962964</x:v>
      </x:c>
      <x:c r="C2762" s="84" t="n">
        <x:f>SQRT('Resumen'!$B$5^3/3)*B2762</x:f>
        <x:v>0.28368428297395093</x:v>
      </x:c>
      <x:c r="D2762" s="84" t="n">
        <x:f>C2762^2-'Resumen'!$B$5^3/3</x:f>
        <x:v>-0.25285656092688863</x:v>
      </x:c>
      <x:c r="E2762" s="85" t="n">
        <x:f>D2762+'Resumen'!$B$5^3/3</x:f>
        <x:v>0.08047677240644469</x:v>
      </x:c>
    </x:row>
    <x:row r="2763">
      <x:c r="A2763" s="89" t="n">
        <x:v>2761</x:v>
      </x:c>
      <x:c r="B2763" s="80" t="n">
        <x:v>0.9946056095788578</x:v>
      </x:c>
      <x:c r="C2763" s="84" t="n">
        <x:f>SQRT('Resumen'!$B$5^3/3)*B2763</x:f>
        <x:v>0.5742358164278654</x:v>
      </x:c>
      <x:c r="D2763" s="84" t="n">
        <x:f>C2763^2-'Resumen'!$B$5^3/3</x:f>
        <x:v>-0.00358656046475625</x:v>
      </x:c>
      <x:c r="E2763" s="85" t="n">
        <x:f>D2763+'Resumen'!$B$5^3/3</x:f>
        <x:v>0.32974677286857706</x:v>
      </x:c>
    </x:row>
    <x:row r="2764">
      <x:c r="A2764" s="89" t="n">
        <x:v>2762</x:v>
      </x:c>
      <x:c r="B2764" s="80" t="n">
        <x:v>0.4968802811937423</x:v>
      </x:c>
      <x:c r="C2764" s="84" t="n">
        <x:f>SQRT('Resumen'!$B$5^3/3)*B2764</x:f>
        <x:v>0.28687396410222404</x:v>
      </x:c>
      <x:c r="D2764" s="84" t="n">
        <x:f>C2764^2-'Resumen'!$B$5^3/3</x:f>
        <x:v>-0.2510366620536092</x:v>
      </x:c>
      <x:c r="E2764" s="85" t="n">
        <x:f>D2764+'Resumen'!$B$5^3/3</x:f>
        <x:v>0.08229667127972412</x:v>
      </x:c>
    </x:row>
    <x:row r="2765">
      <x:c r="A2765" s="89" t="n">
        <x:v>2763</x:v>
      </x:c>
      <x:c r="B2765" s="80" t="n">
        <x:v>-2.1655975347471577</x:v>
      </x:c>
      <x:c r="C2765" s="84" t="n">
        <x:f>SQRT('Resumen'!$B$5^3/3)*B2765</x:f>
        <x:v>-1.2503083196426614</x:v>
      </x:c>
      <x:c r="D2765" s="84" t="n">
        <x:f>C2765^2-'Resumen'!$B$5^3/3</x:f>
        <x:v>1.2299375608343224</x:v>
      </x:c>
      <x:c r="E2765" s="85" t="n">
        <x:f>D2765+'Resumen'!$B$5^3/3</x:f>
        <x:v>1.5632708941676556</x:v>
      </x:c>
    </x:row>
    <x:row r="2766">
      <x:c r="A2766" s="89" t="n">
        <x:v>2764</x:v>
      </x:c>
      <x:c r="B2766" s="80" t="n">
        <x:v>-1.1902025482528364</x:v>
      </x:c>
      <x:c r="C2766" s="84" t="n">
        <x:f>SQRT('Resumen'!$B$5^3/3)*B2766</x:f>
        <x:v>-0.6871637616239537</x:v>
      </x:c>
      <x:c r="D2766" s="84" t="n">
        <x:f>C2766^2-'Resumen'!$B$5^3/3</x:f>
        <x:v>0.1388607019558485</x:v>
      </x:c>
      <x:c r="E2766" s="85" t="n">
        <x:f>D2766+'Resumen'!$B$5^3/3</x:f>
        <x:v>0.4721940352891818</x:v>
      </x:c>
    </x:row>
    <x:row r="2767">
      <x:c r="A2767" s="89" t="n">
        <x:v>2765</x:v>
      </x:c>
      <x:c r="B2767" s="80" t="n">
        <x:v>0.047965978892184916</x:v>
      </x:c>
      <x:c r="C2767" s="84" t="n">
        <x:f>SQRT('Resumen'!$B$5^3/3)*B2767</x:f>
        <x:v>0.027693170825346867</x:v>
      </x:c>
      <x:c r="D2767" s="84" t="n">
        <x:f>C2767^2-'Resumen'!$B$5^3/3</x:f>
        <x:v>-0.33256642162297145</x:v>
      </x:c>
      <x:c r="E2767" s="85" t="n">
        <x:f>D2767+'Resumen'!$B$5^3/3</x:f>
        <x:v>0.0007669117103618617</x:v>
      </x:c>
    </x:row>
    <x:row r="2768">
      <x:c r="A2768" s="89" t="n">
        <x:v>2766</x:v>
      </x:c>
      <x:c r="B2768" s="80" t="n">
        <x:v>-0.4108862931134103</x:v>
      </x:c>
      <x:c r="C2768" s="84" t="n">
        <x:f>SQRT('Resumen'!$B$5^3/3)*B2768</x:f>
        <x:v>-0.2372253119353549</x:v>
      </x:c>
      <x:c r="D2768" s="84" t="n">
        <x:f>C2768^2-'Resumen'!$B$5^3/3</x:f>
        <x:v>-0.2770574847105069</x:v>
      </x:c>
      <x:c r="E2768" s="85" t="n">
        <x:f>D2768+'Resumen'!$B$5^3/3</x:f>
        <x:v>0.05627584862282642</x:v>
      </x:c>
    </x:row>
    <x:row r="2769">
      <x:c r="A2769" s="89" t="n">
        <x:v>2767</x:v>
      </x:c>
      <x:c r="B2769" s="80" t="n">
        <x:v>-0.42936507672739105</x:v>
      </x:c>
      <x:c r="C2769" s="84" t="n">
        <x:f>SQRT('Resumen'!$B$5^3/3)*B2769</x:f>
        <x:v>-0.24789404262918352</x:v>
      </x:c>
      <x:c r="D2769" s="84" t="n">
        <x:f>C2769^2-'Resumen'!$B$5^3/3</x:f>
        <x:v>-0.2718818769622939</x:v>
      </x:c>
      <x:c r="E2769" s="85" t="n">
        <x:f>D2769+'Resumen'!$B$5^3/3</x:f>
        <x:v>0.06145145637103944</x:v>
      </x:c>
    </x:row>
    <x:row r="2770">
      <x:c r="A2770" s="89" t="n">
        <x:v>2768</x:v>
      </x:c>
      <x:c r="B2770" s="80" t="n">
        <x:v>-1.4522054256681236</x:v>
      </x:c>
      <x:c r="C2770" s="84" t="n">
        <x:f>SQRT('Resumen'!$B$5^3/3)*B2770</x:f>
        <x:v>-0.8384311934281262</x:v>
      </x:c>
      <x:c r="D2770" s="84" t="n">
        <x:f>C2770^2-'Resumen'!$B$5^3/3</x:f>
        <x:v>0.36963353277997874</x:v>
      </x:c>
      <x:c r="E2770" s="85" t="n">
        <x:f>D2770+'Resumen'!$B$5^3/3</x:f>
        <x:v>0.702966866113312</x:v>
      </x:c>
    </x:row>
    <x:row r="2771">
      <x:c r="A2771" s="89" t="n">
        <x:v>2769</x:v>
      </x:c>
      <x:c r="B2771" s="80" t="n">
        <x:v>0.44736116493152556</x:v>
      </x:c>
      <x:c r="C2771" s="84" t="n">
        <x:f>SQRT('Resumen'!$B$5^3/3)*B2771</x:f>
        <x:v>0.2582840889982008</x:v>
      </x:c>
      <x:c r="D2771" s="84" t="n">
        <x:f>C2771^2-'Resumen'!$B$5^3/3</x:f>
        <x:v>-0.2666226627037028</x:v>
      </x:c>
      <x:c r="E2771" s="85" t="n">
        <x:f>D2771+'Resumen'!$B$5^3/3</x:f>
        <x:v>0.06671067062963054</x:v>
      </x:c>
    </x:row>
    <x:row r="2772">
      <x:c r="A2772" s="89" t="n">
        <x:v>2770</x:v>
      </x:c>
      <x:c r="B2772" s="80" t="n">
        <x:v>0.20780167663029533</x:v>
      </x:c>
      <x:c r="C2772" s="84" t="n">
        <x:f>SQRT('Resumen'!$B$5^3/3)*B2772</x:f>
        <x:v>0.11997435394055657</x:v>
      </x:c>
      <x:c r="D2772" s="84" t="n">
        <x:f>C2772^2-'Resumen'!$B$5^3/3</x:f>
        <x:v>-0.31893948772987935</x:v>
      </x:c>
      <x:c r="E2772" s="85" t="n">
        <x:f>D2772+'Resumen'!$B$5^3/3</x:f>
        <x:v>0.01439384560345397</x:v>
      </x:c>
    </x:row>
    <x:row r="2773">
      <x:c r="A2773" s="89" t="n">
        <x:v>2771</x:v>
      </x:c>
      <x:c r="B2773" s="80" t="n">
        <x:v>-2.4561260197142936</x:v>
      </x:c>
      <x:c r="C2773" s="84" t="n">
        <x:f>SQRT('Resumen'!$B$5^3/3)*B2773</x:f>
        <x:v>-1.4180450186456914</x:v>
      </x:c>
      <x:c r="D2773" s="84" t="n">
        <x:f>C2773^2-'Resumen'!$B$5^3/3</x:f>
        <x:v>1.677518341572526</x:v>
      </x:c>
      <x:c r="E2773" s="85" t="n">
        <x:f>D2773+'Resumen'!$B$5^3/3</x:f>
        <x:v>2.0108516749058594</x:v>
      </x:c>
    </x:row>
    <x:row r="2774">
      <x:c r="A2774" s="89" t="n">
        <x:v>2772</x:v>
      </x:c>
      <x:c r="B2774" s="80" t="n">
        <x:v>-1.427055378550422</x:v>
      </x:c>
      <x:c r="C2774" s="84" t="n">
        <x:f>SQRT('Resumen'!$B$5^3/3)*B2774</x:f>
        <x:v>-0.8239108069545894</x:v>
      </x:c>
      <x:c r="D2774" s="84" t="n">
        <x:f>C2774^2-'Resumen'!$B$5^3/3</x:f>
        <x:v>0.34549568448322937</x:v>
      </x:c>
      <x:c r="E2774" s="85" t="n">
        <x:f>D2774+'Resumen'!$B$5^3/3</x:f>
        <x:v>0.6788290178165627</x:v>
      </x:c>
    </x:row>
    <x:row r="2775">
      <x:c r="A2775" s="89" t="n">
        <x:v>2773</x:v>
      </x:c>
      <x:c r="B2775" s="80" t="n">
        <x:v>-0.08730002204188579</x:v>
      </x:c>
      <x:c r="C2775" s="84" t="n">
        <x:f>SQRT('Resumen'!$B$5^3/3)*B2775</x:f>
        <x:v>-0.05040269122614302</x:v>
      </x:c>
      <x:c r="D2775" s="84" t="n">
        <x:f>C2775^2-'Resumen'!$B$5^3/3</x:f>
        <x:v>-0.3307929020504954</x:v>
      </x:c>
      <x:c r="E2775" s="85" t="n">
        <x:f>D2775+'Resumen'!$B$5^3/3</x:f>
        <x:v>0.0025404312828379294</x:v>
      </x:c>
    </x:row>
    <x:row r="2776">
      <x:c r="A2776" s="89" t="n">
        <x:v>2774</x:v>
      </x:c>
      <x:c r="B2776" s="80" t="n">
        <x:v>1.4299551086556617</x:v>
      </x:c>
      <x:c r="C2776" s="84" t="n">
        <x:f>SQRT('Resumen'!$B$5^3/3)*B2776</x:f>
        <x:v>0.8255849669114268</x:v>
      </x:c>
      <x:c r="D2776" s="84" t="n">
        <x:f>C2776^2-'Resumen'!$B$5^3/3</x:f>
        <x:v>0.34825720425680834</x:v>
      </x:c>
      <x:c r="E2776" s="85" t="n">
        <x:f>D2776+'Resumen'!$B$5^3/3</x:f>
        <x:v>0.6815905375901417</x:v>
      </x:c>
    </x:row>
    <x:row r="2777">
      <x:c r="A2777" s="89" t="n">
        <x:v>2775</x:v>
      </x:c>
      <x:c r="B2777" s="80" t="n">
        <x:v>0.7636601516505279</x:v>
      </x:c>
      <x:c r="C2777" s="84" t="n">
        <x:f>SQRT('Resumen'!$B$5^3/3)*B2777</x:f>
        <x:v>0.4408993941248227</x:v>
      </x:c>
      <x:c r="D2777" s="84" t="n">
        <x:f>C2777^2-'Resumen'!$B$5^3/3</x:f>
        <x:v>-0.13894105759369757</x:v>
      </x:c>
      <x:c r="E2777" s="85" t="n">
        <x:f>D2777+'Resumen'!$B$5^3/3</x:f>
        <x:v>0.19439227573963574</x:v>
      </x:c>
    </x:row>
    <x:row r="2778">
      <x:c r="A2778" s="89" t="n">
        <x:v>2776</x:v>
      </x:c>
      <x:c r="B2778" s="80" t="n">
        <x:v>-0.18915196807364526</x:v>
      </x:c>
      <x:c r="C2778" s="84" t="n">
        <x:f>SQRT('Resumen'!$B$5^3/3)*B2778</x:f>
        <x:v>-0.10920693968506659</x:v>
      </x:c>
      <x:c r="D2778" s="84" t="n">
        <x:f>C2778^2-'Resumen'!$B$5^3/3</x:f>
        <x:v>-0.32140717765795557</x:v>
      </x:c>
      <x:c r="E2778" s="85" t="n">
        <x:f>D2778+'Resumen'!$B$5^3/3</x:f>
        <x:v>0.011926155675377748</x:v>
      </x:c>
    </x:row>
    <x:row r="2779">
      <x:c r="A2779" s="89" t="n">
        <x:v>2777</x:v>
      </x:c>
      <x:c r="B2779" s="80" t="n">
        <x:v>0.0548295876145758</x:v>
      </x:c>
      <x:c r="C2779" s="84" t="n">
        <x:f>SQRT('Resumen'!$B$5^3/3)*B2779</x:f>
        <x:v>0.0316558771688315</x:v>
      </x:c>
      <x:c r="D2779" s="84" t="n">
        <x:f>C2779^2-'Resumen'!$B$5^3/3</x:f>
        <x:v>-0.33233123877400517</x:v>
      </x:c>
      <x:c r="E2779" s="85" t="n">
        <x:f>D2779+'Resumen'!$B$5^3/3</x:f>
        <x:v>0.0010020945593281483</x:v>
      </x:c>
    </x:row>
    <x:row r="2780">
      <x:c r="A2780" s="89" t="n">
        <x:v>2778</x:v>
      </x:c>
      <x:c r="B2780" s="80" t="n">
        <x:v>1.190697919935902</x:v>
      </x:c>
      <x:c r="C2780" s="84" t="n">
        <x:f>SQRT('Resumen'!$B$5^3/3)*B2780</x:f>
        <x:v>0.6874497645985205</x:v>
      </x:c>
      <x:c r="D2780" s="84" t="n">
        <x:f>C2780^2-'Resumen'!$B$5^3/3</x:f>
        <x:v>0.1392538455132279</x:v>
      </x:c>
      <x:c r="E2780" s="85" t="n">
        <x:f>D2780+'Resumen'!$B$5^3/3</x:f>
        <x:v>0.4725871788465612</x:v>
      </x:c>
    </x:row>
    <x:row r="2781">
      <x:c r="A2781" s="89" t="n">
        <x:v>2779</x:v>
      </x:c>
      <x:c r="B2781" s="80" t="n">
        <x:v>-0.6447483428503505</x:v>
      </x:c>
      <x:c r="C2781" s="84" t="n">
        <x:f>SQRT('Resumen'!$B$5^3/3)*B2781</x:f>
        <x:v>-0.372245629304215</x:v>
      </x:c>
      <x:c r="D2781" s="84" t="n">
        <x:f>C2781^2-'Resumen'!$B$5^3/3</x:f>
        <x:v>-0.19476652479724227</x:v>
      </x:c>
      <x:c r="E2781" s="85" t="n">
        <x:f>D2781+'Resumen'!$B$5^3/3</x:f>
        <x:v>0.13856680853609105</x:v>
      </x:c>
    </x:row>
    <x:row r="2782">
      <x:c r="A2782" s="89" t="n">
        <x:v>2780</x:v>
      </x:c>
      <x:c r="B2782" s="80" t="n">
        <x:v>-1.118847844490783</x:v>
      </x:c>
      <x:c r="C2782" s="84" t="n">
        <x:f>SQRT('Resumen'!$B$5^3/3)*B2782</x:f>
        <x:v>-0.6459671041989861</x:v>
      </x:c>
      <x:c r="D2782" s="84" t="n">
        <x:f>C2782^2-'Resumen'!$B$5^3/3</x:f>
        <x:v>0.0839401663738904</x:v>
      </x:c>
      <x:c r="E2782" s="85" t="n">
        <x:f>D2782+'Resumen'!$B$5^3/3</x:f>
        <x:v>0.4172734997072237</x:v>
      </x:c>
    </x:row>
    <x:row r="2783">
      <x:c r="A2783" s="89" t="n">
        <x:v>2781</x:v>
      </x:c>
      <x:c r="B2783" s="80" t="n">
        <x:v>1.4813589856405696</x:v>
      </x:c>
      <x:c r="C2783" s="84" t="n">
        <x:f>SQRT('Resumen'!$B$5^3/3)*B2783</x:f>
        <x:v>0.8552630091260538</x:v>
      </x:c>
      <x:c r="D2783" s="84" t="n">
        <x:f>C2783^2-'Resumen'!$B$5^3/3</x:f>
        <x:v>0.3981414814460191</x:v>
      </x:c>
      <x:c r="E2783" s="85" t="n">
        <x:f>D2783+'Resumen'!$B$5^3/3</x:f>
        <x:v>0.7314748147793524</x:v>
      </x:c>
    </x:row>
    <x:row r="2784">
      <x:c r="A2784" s="89" t="n">
        <x:v>2782</x:v>
      </x:c>
      <x:c r="B2784" s="80" t="n">
        <x:v>-0.7266514431045594</x:v>
      </x:c>
      <x:c r="C2784" s="84" t="n">
        <x:f>SQRT('Resumen'!$B$5^3/3)*B2784</x:f>
        <x:v>-0.4195324062834474</x:v>
      </x:c>
      <x:c r="D2784" s="84" t="n">
        <x:f>C2784^2-'Resumen'!$B$5^3/3</x:f>
        <x:v>-0.15732589341135375</x:v>
      </x:c>
      <x:c r="E2784" s="85" t="n">
        <x:f>D2784+'Resumen'!$B$5^3/3</x:f>
        <x:v>0.17600743992197956</x:v>
      </x:c>
    </x:row>
    <x:row r="2785">
      <x:c r="A2785" s="89" t="n">
        <x:v>2783</x:v>
      </x:c>
      <x:c r="B2785" s="80" t="n">
        <x:v>0.6292712767009124</x:v>
      </x:c>
      <x:c r="C2785" s="84" t="n">
        <x:f>SQRT('Resumen'!$B$5^3/3)*B2785</x:f>
        <x:v>0.36330994099657127</x:v>
      </x:c>
      <x:c r="D2785" s="84" t="n">
        <x:f>C2785^2-'Resumen'!$B$5^3/3</x:f>
        <x:v>-0.2013392201064012</x:v>
      </x:c>
      <x:c r="E2785" s="85" t="n">
        <x:f>D2785+'Resumen'!$B$5^3/3</x:f>
        <x:v>0.1319941132269321</x:v>
      </x:c>
    </x:row>
    <x:row r="2786">
      <x:c r="A2786" s="89" t="n">
        <x:v>2784</x:v>
      </x:c>
      <x:c r="B2786" s="80" t="n">
        <x:v>1.4665114061651243</x:v>
      </x:c>
      <x:c r="C2786" s="84" t="n">
        <x:f>SQRT('Resumen'!$B$5^3/3)*B2786</x:f>
        <x:v>0.8466907551190911</x:v>
      </x:c>
      <x:c r="D2786" s="84" t="n">
        <x:f>C2786^2-'Resumen'!$B$5^3/3</x:f>
        <x:v>0.38355190147080337</x:v>
      </x:c>
      <x:c r="E2786" s="85" t="n">
        <x:f>D2786+'Resumen'!$B$5^3/3</x:f>
        <x:v>0.7168852348041367</x:v>
      </x:c>
    </x:row>
    <x:row r="2787">
      <x:c r="A2787" s="89" t="n">
        <x:v>2785</x:v>
      </x:c>
      <x:c r="B2787" s="80" t="n">
        <x:v>-0.4991058188218872</x:v>
      </x:c>
      <x:c r="C2787" s="84" t="n">
        <x:f>SQRT('Resumen'!$B$5^3/3)*B2787</x:f>
        <x:v>-0.28815887885092517</x:v>
      </x:c>
      <x:c r="D2787" s="84" t="n">
        <x:f>C2787^2-'Resumen'!$B$5^3/3</x:f>
        <x:v>-0.2502977938727111</x:v>
      </x:c>
      <x:c r="E2787" s="85" t="n">
        <x:f>D2787+'Resumen'!$B$5^3/3</x:f>
        <x:v>0.0830355394606222</x:v>
      </x:c>
    </x:row>
    <x:row r="2788">
      <x:c r="A2788" s="89" t="n">
        <x:v>2786</x:v>
      </x:c>
      <x:c r="B2788" s="80" t="n">
        <x:v>0.02223778746939109</x:v>
      </x:c>
      <x:c r="C2788" s="84" t="n">
        <x:f>SQRT('Resumen'!$B$5^3/3)*B2788</x:f>
        <x:v>0.012838992581634632</x:v>
      </x:c>
      <x:c r="D2788" s="84" t="n">
        <x:f>C2788^2-'Resumen'!$B$5^3/3</x:f>
        <x:v>-0.333168493602822</x:v>
      </x:c>
      <x:c r="E2788" s="85" t="n">
        <x:f>D2788+'Resumen'!$B$5^3/3</x:f>
        <x:v>0.0001648397305112903</x:v>
      </x:c>
    </x:row>
    <x:row r="2789">
      <x:c r="A2789" s="89" t="n">
        <x:v>2787</x:v>
      </x:c>
      <x:c r="B2789" s="80" t="n">
        <x:v>-0.6394823998146457</x:v>
      </x:c>
      <x:c r="C2789" s="84" t="n">
        <x:f>SQRT('Resumen'!$B$5^3/3)*B2789</x:f>
        <x:v>-0.36920533567501357</x:v>
      </x:c>
      <x:c r="D2789" s="84" t="n">
        <x:f>C2789^2-'Resumen'!$B$5^3/3</x:f>
        <x:v>-0.19702075344243386</x:v>
      </x:c>
      <x:c r="E2789" s="85" t="n">
        <x:f>D2789+'Resumen'!$B$5^3/3</x:f>
        <x:v>0.13631257989089945</x:v>
      </x:c>
    </x:row>
    <x:row r="2790">
      <x:c r="A2790" s="89" t="n">
        <x:v>2788</x:v>
      </x:c>
      <x:c r="B2790" s="80" t="n">
        <x:v>0.5406541520274725</x:v>
      </x:c>
      <x:c r="C2790" s="84" t="n">
        <x:f>SQRT('Resumen'!$B$5^3/3)*B2790</x:f>
        <x:v>0.31214682021155005</x:v>
      </x:c>
      <x:c r="D2790" s="84" t="n">
        <x:f>C2790^2-'Resumen'!$B$5^3/3</x:f>
        <x:v>-0.23589769596515156</x:v>
      </x:c>
      <x:c r="E2790" s="85" t="n">
        <x:f>D2790+'Resumen'!$B$5^3/3</x:f>
        <x:v>0.09743563736818175</x:v>
      </x:c>
    </x:row>
    <x:row r="2791">
      <x:c r="A2791" s="89" t="n">
        <x:v>2789</x:v>
      </x:c>
      <x:c r="B2791" s="80" t="n">
        <x:v>-0.3796950155474721</x:v>
      </x:c>
      <x:c r="C2791" s="84" t="n">
        <x:f>SQRT('Resumen'!$B$5^3/3)*B2791</x:f>
        <x:v>-0.21921701943629213</x:v>
      </x:c>
      <x:c r="D2791" s="84" t="n">
        <x:f>C2791^2-'Resumen'!$B$5^3/3</x:f>
        <x:v>-0.2852772317228016</x:v>
      </x:c>
      <x:c r="E2791" s="85" t="n">
        <x:f>D2791+'Resumen'!$B$5^3/3</x:f>
        <x:v>0.0480561016105317</x:v>
      </x:c>
    </x:row>
    <x:row r="2792">
      <x:c r="A2792" s="89" t="n">
        <x:v>2790</x:v>
      </x:c>
      <x:c r="B2792" s="80" t="n">
        <x:v>-0.5272287388943743</x:v>
      </x:c>
      <x:c r="C2792" s="84" t="n">
        <x:f>SQRT('Resumen'!$B$5^3/3)*B2792</x:f>
        <x:v>-0.3043956543251739</x:v>
      </x:c>
      <x:c r="D2792" s="84" t="n">
        <x:f>C2792^2-'Resumen'!$B$5^3/3</x:f>
        <x:v>-0.24067661896128256</x:v>
      </x:c>
      <x:c r="E2792" s="85" t="n">
        <x:f>D2792+'Resumen'!$B$5^3/3</x:f>
        <x:v>0.09265671437205075</x:v>
      </x:c>
    </x:row>
    <x:row r="2793">
      <x:c r="A2793" s="89" t="n">
        <x:v>2791</x:v>
      </x:c>
      <x:c r="B2793" s="80" t="n">
        <x:v>1.318780962049804</x:v>
      </x:c>
      <x:c r="C2793" s="84" t="n">
        <x:f>SQRT('Resumen'!$B$5^3/3)*B2793</x:f>
        <x:v>0.761398543441608</x:v>
      </x:c>
      <x:c r="D2793" s="84" t="n">
        <x:f>C2793^2-'Resumen'!$B$5^3/3</x:f>
        <x:v>0.2463944086216689</x:v>
      </x:c>
      <x:c r="E2793" s="85" t="n">
        <x:f>D2793+'Resumen'!$B$5^3/3</x:f>
        <x:v>0.5797277419550022</x:v>
      </x:c>
    </x:row>
    <x:row r="2794">
      <x:c r="A2794" s="89" t="n">
        <x:v>2792</x:v>
      </x:c>
      <x:c r="B2794" s="80" t="n">
        <x:v>-0.06217232267015516</x:v>
      </x:c>
      <x:c r="C2794" s="84" t="n">
        <x:f>SQRT('Resumen'!$B$5^3/3)*B2794</x:f>
        <x:v>-0.03589520722975836</x:v>
      </x:c>
      <x:c r="D2794" s="84" t="n">
        <x:f>C2794^2-'Resumen'!$B$5^3/3</x:f>
        <x:v>-0.33204486743126604</x:v>
      </x:c>
      <x:c r="E2794" s="85" t="n">
        <x:f>D2794+'Resumen'!$B$5^3/3</x:f>
        <x:v>0.0012884659020672706</x:v>
      </x:c>
    </x:row>
    <x:row r="2795">
      <x:c r="A2795" s="89" t="n">
        <x:v>2793</x:v>
      </x:c>
      <x:c r="B2795" s="80" t="n">
        <x:v>-0.9650904064071002</x:v>
      </x:c>
      <x:c r="C2795" s="84" t="n">
        <x:f>SQRT('Resumen'!$B$5^3/3)*B2795</x:f>
        <x:v>-0.5571952059314645</x:v>
      </x:c>
      <x:c r="D2795" s="84" t="n">
        <x:f>C2795^2-'Resumen'!$B$5^3/3</x:f>
        <x:v>-0.022866835820326115</x:v>
      </x:c>
      <x:c r="E2795" s="85" t="n">
        <x:f>D2795+'Resumen'!$B$5^3/3</x:f>
        <x:v>0.3104664975130072</x:v>
      </x:c>
    </x:row>
    <x:row r="2796">
      <x:c r="A2796" s="89" t="n">
        <x:v>2794</x:v>
      </x:c>
      <x:c r="B2796" s="80" t="n">
        <x:v>0.7036177246482405</x:v>
      </x:c>
      <x:c r="C2796" s="84" t="n">
        <x:f>SQRT('Resumen'!$B$5^3/3)*B2796</x:f>
        <x:v>0.4062338827322536</x:v>
      </x:c>
      <x:c r="D2796" s="84" t="n">
        <x:f>C2796^2-'Resumen'!$B$5^3/3</x:f>
        <x:v>-0.16830736585361095</x:v>
      </x:c>
      <x:c r="E2796" s="85" t="n">
        <x:f>D2796+'Resumen'!$B$5^3/3</x:f>
        <x:v>0.16502596747972237</x:v>
      </x:c>
    </x:row>
    <x:row r="2797">
      <x:c r="A2797" s="89" t="n">
        <x:v>2795</x:v>
      </x:c>
      <x:c r="B2797" s="80" t="n">
        <x:v>0.4778135572698764</x:v>
      </x:c>
      <x:c r="C2797" s="84" t="n">
        <x:f>SQRT('Resumen'!$B$5^3/3)*B2797</x:f>
        <x:v>0.2758657859122158</x:v>
      </x:c>
      <x:c r="D2797" s="84" t="n">
        <x:f>C2797^2-'Resumen'!$B$5^3/3</x:f>
        <x:v>-0.25723140149636886</x:v>
      </x:c>
      <x:c r="E2797" s="85" t="n">
        <x:f>D2797+'Resumen'!$B$5^3/3</x:f>
        <x:v>0.07610193183696445</x:v>
      </x:c>
    </x:row>
    <x:row r="2798">
      <x:c r="A2798" s="89" t="n">
        <x:v>2796</x:v>
      </x:c>
      <x:c r="B2798" s="80" t="n">
        <x:v>0.9056146462358607</x:v>
      </x:c>
      <x:c r="C2798" s="84" t="n">
        <x:f>SQRT('Resumen'!$B$5^3/3)*B2798</x:f>
        <x:v>0.5228568597863419</x:v>
      </x:c>
      <x:c r="D2798" s="84" t="n">
        <x:f>C2798^2-'Resumen'!$B$5^3/3</x:f>
        <x:v>-0.059954037507698954</x:v>
      </x:c>
      <x:c r="E2798" s="85" t="n">
        <x:f>D2798+'Resumen'!$B$5^3/3</x:f>
        <x:v>0.27337929582563436</x:v>
      </x:c>
    </x:row>
    <x:row r="2799">
      <x:c r="A2799" s="89" t="n">
        <x:v>2797</x:v>
      </x:c>
      <x:c r="B2799" s="80" t="n">
        <x:v>-0.08327734593377877</x:v>
      </x:c>
      <x:c r="C2799" s="84" t="n">
        <x:f>SQRT('Resumen'!$B$5^3/3)*B2799</x:f>
        <x:v>-0.048080198092264756</x:v>
      </x:c>
      <x:c r="D2799" s="84" t="n">
        <x:f>C2799^2-'Resumen'!$B$5^3/3</x:f>
        <x:v>-0.3310216278847419</x:v>
      </x:c>
      <x:c r="E2799" s="85" t="n">
        <x:f>D2799+'Resumen'!$B$5^3/3</x:f>
        <x:v>0.002311705448591439</x:v>
      </x:c>
    </x:row>
    <x:row r="2800">
      <x:c r="A2800" s="89" t="n">
        <x:v>2798</x:v>
      </x:c>
      <x:c r="B2800" s="80" t="n">
        <x:v>-1.335814031221698</x:v>
      </x:c>
      <x:c r="C2800" s="84" t="n">
        <x:f>SQRT('Resumen'!$B$5^3/3)*B2800</x:f>
        <x:v>-0.7712325905131264</x:v>
      </x:c>
      <x:c r="D2800" s="84" t="n">
        <x:f>C2800^2-'Resumen'!$B$5^3/3</x:f>
        <x:v>0.26146637533625444</x:v>
      </x:c>
      <x:c r="E2800" s="85" t="n">
        <x:f>D2800+'Resumen'!$B$5^3/3</x:f>
        <x:v>0.5947997086695878</x:v>
      </x:c>
    </x:row>
    <x:row r="2801">
      <x:c r="A2801" s="89" t="n">
        <x:v>2799</x:v>
      </x:c>
      <x:c r="B2801" s="80" t="n">
        <x:v>0.9695042464965064</x:v>
      </x:c>
      <x:c r="C2801" s="84" t="n">
        <x:f>SQRT('Resumen'!$B$5^3/3)*B2801</x:f>
        <x:v>0.5597435376952432</x:v>
      </x:c>
      <x:c r="D2801" s="84" t="n">
        <x:f>C2801^2-'Resumen'!$B$5^3/3</x:f>
        <x:v>-0.020020505341747152</x:v>
      </x:c>
      <x:c r="E2801" s="85" t="n">
        <x:f>D2801+'Resumen'!$B$5^3/3</x:f>
        <x:v>0.31331282799158616</x:v>
      </x:c>
    </x:row>
    <x:row r="2802">
      <x:c r="A2802" s="89" t="n">
        <x:v>2800</x:v>
      </x:c>
      <x:c r="B2802" s="80" t="n">
        <x:v>-1.1516312167947556</x:v>
      </x:c>
      <x:c r="C2802" s="84" t="n">
        <x:f>SQRT('Resumen'!$B$5^3/3)*B2802</x:f>
        <x:v>-0.6648945930236283</x:v>
      </x:c>
      <x:c r="D2802" s="84" t="n">
        <x:f>C2802^2-'Resumen'!$B$5^3/3</x:f>
        <x:v>0.10875148649872302</x:v>
      </x:c>
      <x:c r="E2802" s="85" t="n">
        <x:f>D2802+'Resumen'!$B$5^3/3</x:f>
        <x:v>0.44208481983205633</x:v>
      </x:c>
    </x:row>
    <x:row r="2803">
      <x:c r="A2803" s="89" t="n">
        <x:v>2801</x:v>
      </x:c>
      <x:c r="B2803" s="80" t="n">
        <x:v>-1.4709509758904384</x:v>
      </x:c>
      <x:c r="C2803" s="84" t="n">
        <x:f>SQRT('Resumen'!$B$5^3/3)*B2803</x:f>
        <x:v>-0.8492539418950873</x:v>
      </x:c>
      <x:c r="D2803" s="84" t="n">
        <x:f>C2803^2-'Resumen'!$B$5^3/3</x:f>
        <x:v>0.387898924491011</x:v>
      </x:c>
      <x:c r="E2803" s="85" t="n">
        <x:f>D2803+'Resumen'!$B$5^3/3</x:f>
        <x:v>0.7212322578243443</x:v>
      </x:c>
    </x:row>
    <x:row r="2804">
      <x:c r="A2804" s="89" t="n">
        <x:v>2802</x:v>
      </x:c>
      <x:c r="B2804" s="80" t="n">
        <x:v>-0.49503122704386987</x:v>
      </x:c>
      <x:c r="C2804" s="84" t="n">
        <x:f>SQRT('Resumen'!$B$5^3/3)*B2804</x:f>
        <x:v>-0.285806412191049</x:v>
      </x:c>
      <x:c r="D2804" s="84" t="n">
        <x:f>C2804^2-'Resumen'!$B$5^3/3</x:f>
        <x:v>-0.2516480280838135</x:v>
      </x:c>
      <x:c r="E2804" s="85" t="n">
        <x:f>D2804+'Resumen'!$B$5^3/3</x:f>
        <x:v>0.08168530524951984</x:v>
      </x:c>
    </x:row>
    <x:row r="2805">
      <x:c r="A2805" s="89" t="n">
        <x:v>2803</x:v>
      </x:c>
      <x:c r="B2805" s="80" t="n">
        <x:v>0.06530344532997662</x:v>
      </x:c>
      <x:c r="C2805" s="84" t="n">
        <x:f>SQRT('Resumen'!$B$5^3/3)*B2805</x:f>
        <x:v>0.03770296174027201</x:v>
      </x:c>
      <x:c r="D2805" s="84" t="n">
        <x:f>C2805^2-'Resumen'!$B$5^3/3</x:f>
        <x:v>-0.3319118200093449</x:v>
      </x:c>
      <x:c r="E2805" s="85" t="n">
        <x:f>D2805+'Resumen'!$B$5^3/3</x:f>
        <x:v>0.0014215133239884326</x:v>
      </x:c>
    </x:row>
    <x:row r="2806">
      <x:c r="A2806" s="89" t="n">
        <x:v>2804</x:v>
      </x:c>
      <x:c r="B2806" s="80" t="n">
        <x:v>-0.5594453871320139</x:v>
      </x:c>
      <x:c r="C2806" s="84" t="n">
        <x:f>SQRT('Resumen'!$B$5^3/3)*B2806</x:f>
        <x:v>-0.32299594485756256</x:v>
      </x:c>
      <x:c r="D2806" s="84" t="n">
        <x:f>C2806^2-'Resumen'!$B$5^3/3</x:f>
        <x:v>-0.22900695293890372</x:v>
      </x:c>
      <x:c r="E2806" s="85" t="n">
        <x:f>D2806+'Resumen'!$B$5^3/3</x:f>
        <x:v>0.1043263803944296</x:v>
      </x:c>
    </x:row>
    <x:row r="2807">
      <x:c r="A2807" s="89" t="n">
        <x:v>2805</x:v>
      </x:c>
      <x:c r="B2807" s="80" t="n">
        <x:v>-0.16234905743551195</x:v>
      </x:c>
      <x:c r="C2807" s="84" t="n">
        <x:f>SQRT('Resumen'!$B$5^3/3)*B2807</x:f>
        <x:v>-0.09373227201307484</x:v>
      </x:c>
      <x:c r="D2807" s="84" t="n">
        <x:f>C2807^2-'Resumen'!$B$5^3/3</x:f>
        <x:v>-0.32454759451660026</x:v>
      </x:c>
      <x:c r="E2807" s="85" t="n">
        <x:f>D2807+'Resumen'!$B$5^3/3</x:f>
        <x:v>0.008785738816733057</x:v>
      </x:c>
    </x:row>
    <x:row r="2808">
      <x:c r="A2808" s="89" t="n">
        <x:v>2806</x:v>
      </x:c>
      <x:c r="B2808" s="80" t="n">
        <x:v>-0.26205556458437007</x:v>
      </x:c>
      <x:c r="C2808" s="84" t="n">
        <x:f>SQRT('Resumen'!$B$5^3/3)*B2808</x:f>
        <x:v>-0.1512978507554254</x:v>
      </x:c>
      <x:c r="D2808" s="84" t="n">
        <x:f>C2808^2-'Resumen'!$B$5^3/3</x:f>
        <x:v>-0.31044229369012233</x:v>
      </x:c>
      <x:c r="E2808" s="85" t="n">
        <x:f>D2808+'Resumen'!$B$5^3/3</x:f>
        <x:v>0.022891039643210986</x:v>
      </x:c>
    </x:row>
    <x:row r="2809">
      <x:c r="A2809" s="89" t="n">
        <x:v>2807</x:v>
      </x:c>
      <x:c r="B2809" s="80" t="n">
        <x:v>0.20851628558280713</x:v>
      </x:c>
      <x:c r="C2809" s="84" t="n">
        <x:f>SQRT('Resumen'!$B$5^3/3)*B2809</x:f>
        <x:v>0.12038693361165458</x:v>
      </x:c>
      <x:c r="D2809" s="84" t="n">
        <x:f>C2809^2-'Resumen'!$B$5^3/3</x:f>
        <x:v>-0.3188403195489164</x:v>
      </x:c>
      <x:c r="E2809" s="85" t="n">
        <x:f>D2809+'Resumen'!$B$5^3/3</x:f>
        <x:v>0.01449301378441692</x:v>
      </x:c>
    </x:row>
    <x:row r="2810">
      <x:c r="A2810" s="89" t="n">
        <x:v>2808</x:v>
      </x:c>
      <x:c r="B2810" s="80" t="n">
        <x:v>-0.7318065928239995</x:v>
      </x:c>
      <x:c r="C2810" s="84" t="n">
        <x:f>SQRT('Resumen'!$B$5^3/3)*B2810</x:f>
        <x:v>-0.42250873336167893</x:v>
      </x:c>
      <x:c r="D2810" s="84" t="n">
        <x:f>C2810^2-'Resumen'!$B$5^3/3</x:f>
        <x:v>-0.154819703566443</x:v>
      </x:c>
      <x:c r="E2810" s="85" t="n">
        <x:f>D2810+'Resumen'!$B$5^3/3</x:f>
        <x:v>0.1785136297668903</x:v>
      </x:c>
    </x:row>
    <x:row r="2811">
      <x:c r="A2811" s="89" t="n">
        <x:v>2809</x:v>
      </x:c>
      <x:c r="B2811" s="80" t="n">
        <x:v>-0.5823657675098417</x:v>
      </x:c>
      <x:c r="C2811" s="84" t="n">
        <x:f>SQRT('Resumen'!$B$5^3/3)*B2811</x:f>
        <x:v>-0.3362290326386301</x:v>
      </x:c>
      <x:c r="D2811" s="84" t="n">
        <x:f>C2811^2-'Resumen'!$B$5^3/3</x:f>
        <x:v>-0.22028337094422434</x:v>
      </x:c>
      <x:c r="E2811" s="85" t="n">
        <x:f>D2811+'Resumen'!$B$5^3/3</x:f>
        <x:v>0.11304996238910897</x:v>
      </x:c>
    </x:row>
    <x:row r="2812">
      <x:c r="A2812" s="89" t="n">
        <x:v>2810</x:v>
      </x:c>
      <x:c r="B2812" s="80" t="n">
        <x:v>1.4262434932760595</x:v>
      </x:c>
      <x:c r="C2812" s="84" t="n">
        <x:f>SQRT('Resumen'!$B$5^3/3)*B2812</x:f>
        <x:v>0.8234420647728851</x:v>
      </x:c>
      <x:c r="D2812" s="84" t="n">
        <x:f>C2812^2-'Resumen'!$B$5^3/3</x:f>
        <x:v>0.3447235007040989</x:v>
      </x:c>
      <x:c r="E2812" s="85" t="n">
        <x:f>D2812+'Resumen'!$B$5^3/3</x:f>
        <x:v>0.6780568340374322</x:v>
      </x:c>
    </x:row>
    <x:row r="2813">
      <x:c r="A2813" s="89" t="n">
        <x:v>2811</x:v>
      </x:c>
      <x:c r="B2813" s="80" t="n">
        <x:v>0.06233049257731847</x:v>
      </x:c>
      <x:c r="C2813" s="84" t="n">
        <x:f>SQRT('Resumen'!$B$5^3/3)*B2813</x:f>
        <x:v>0.03598652666823679</x:v>
      </x:c>
      <x:c r="D2813" s="84" t="n">
        <x:f>C2813^2-'Resumen'!$B$5^3/3</x:f>
        <x:v>-0.3320383032316896</x:v>
      </x:c>
      <x:c r="E2813" s="85" t="n">
        <x:f>D2813+'Resumen'!$B$5^3/3</x:f>
        <x:v>0.0012950301016437238</x:v>
      </x:c>
    </x:row>
    <x:row r="2814">
      <x:c r="A2814" s="89" t="n">
        <x:v>2812</x:v>
      </x:c>
      <x:c r="B2814" s="80" t="n">
        <x:v>0.42841037921898867</x:v>
      </x:c>
      <x:c r="C2814" s="84" t="n">
        <x:f>SQRT('Resumen'!$B$5^3/3)*B2814</x:f>
        <x:v>0.24734284776571275</x:v>
      </x:c>
      <x:c r="D2814" s="84" t="n">
        <x:f>C2814^2-'Resumen'!$B$5^3/3</x:f>
        <x:v>-0.27215484899248077</x:v>
      </x:c>
      <x:c r="E2814" s="85" t="n">
        <x:f>D2814+'Resumen'!$B$5^3/3</x:f>
        <x:v>0.061178484340852546</x:v>
      </x:c>
    </x:row>
    <x:row r="2815">
      <x:c r="A2815" s="89" t="n">
        <x:v>2813</x:v>
      </x:c>
      <x:c r="B2815" s="80" t="n">
        <x:v>-0.6215667666091501</x:v>
      </x:c>
      <x:c r="C2815" s="84" t="n">
        <x:f>SQRT('Resumen'!$B$5^3/3)*B2815</x:f>
        <x:v>-0.3588617400211181</x:v>
      </x:c>
      <x:c r="D2815" s="84" t="n">
        <x:f>C2815^2-'Resumen'!$B$5^3/3</x:f>
        <x:v>-0.20455158488234876</x:v>
      </x:c>
      <x:c r="E2815" s="85" t="n">
        <x:f>D2815+'Resumen'!$B$5^3/3</x:f>
        <x:v>0.12878174845098456</x:v>
      </x:c>
    </x:row>
    <x:row r="2816">
      <x:c r="A2816" s="89" t="n">
        <x:v>2814</x:v>
      </x:c>
      <x:c r="B2816" s="80" t="n">
        <x:v>-0.09644779275993032</x:v>
      </x:c>
      <x:c r="C2816" s="84" t="n">
        <x:f>SQRT('Resumen'!$B$5^3/3)*B2816</x:f>
        <x:v>-0.055684159112691006</x:v>
      </x:c>
      <x:c r="D2816" s="84" t="n">
        <x:f>C2816^2-'Resumen'!$B$5^3/3</x:f>
        <x:v>-0.33023260775724583</x:v>
      </x:c>
      <x:c r="E2816" s="85" t="n">
        <x:f>D2816+'Resumen'!$B$5^3/3</x:f>
        <x:v>0.003100725576087482</x:v>
      </x:c>
    </x:row>
    <x:row r="2817">
      <x:c r="A2817" s="89" t="n">
        <x:v>2815</x:v>
      </x:c>
      <x:c r="B2817" s="80" t="n">
        <x:v>0.5423792239011169</x:v>
      </x:c>
      <x:c r="C2817" s="84" t="n">
        <x:f>SQRT('Resumen'!$B$5^3/3)*B2817</x:f>
        <x:v>0.3131427909221701</x:v>
      </x:c>
      <x:c r="D2817" s="84" t="n">
        <x:f>C2817^2-'Resumen'!$B$5^3/3</x:f>
        <x:v>-0.23527492582680737</x:v>
      </x:c>
      <x:c r="E2817" s="85" t="n">
        <x:f>D2817+'Resumen'!$B$5^3/3</x:f>
        <x:v>0.09805840750652595</x:v>
      </x:c>
    </x:row>
    <x:row r="2818">
      <x:c r="A2818" s="89" t="n">
        <x:v>2816</x:v>
      </x:c>
      <x:c r="B2818" s="80" t="n">
        <x:v>-1.4382648622109904</x:v>
      </x:c>
      <x:c r="C2818" s="84" t="n">
        <x:f>SQRT('Resumen'!$B$5^3/3)*B2818</x:f>
        <x:v>-0.8303826053634953</x:v>
      </x:c>
      <x:c r="D2818" s="84" t="n">
        <x:f>C2818^2-'Resumen'!$B$5^3/3</x:f>
        <x:v>0.35620193795693306</x:v>
      </x:c>
      <x:c r="E2818" s="85" t="n">
        <x:f>D2818+'Resumen'!$B$5^3/3</x:f>
        <x:v>0.6895352712902664</x:v>
      </x:c>
    </x:row>
    <x:row r="2819">
      <x:c r="A2819" s="89" t="n">
        <x:v>2817</x:v>
      </x:c>
      <x:c r="B2819" s="80" t="n">
        <x:v>-0.27638789892729726</x:v>
      </x:c>
      <x:c r="C2819" s="84" t="n">
        <x:f>SQRT('Resumen'!$B$5^3/3)*B2819</x:f>
        <x:v>-0.15957262784643014</x:v>
      </x:c>
      <x:c r="D2819" s="84" t="n">
        <x:f>C2819^2-'Resumen'!$B$5^3/3</x:f>
        <x:v>-0.30786990977551804</x:v>
      </x:c>
      <x:c r="E2819" s="85" t="n">
        <x:f>D2819+'Resumen'!$B$5^3/3</x:f>
        <x:v>0.02546342355781528</x:v>
      </x:c>
    </x:row>
    <x:row r="2820">
      <x:c r="A2820" s="89" t="n">
        <x:v>2818</x:v>
      </x:c>
      <x:c r="B2820" s="80" t="n">
        <x:v>-0.9816066060760722</x:v>
      </x:c>
      <x:c r="C2820" s="84" t="n">
        <x:f>SQRT('Resumen'!$B$5^3/3)*B2820</x:f>
        <x:v>-0.5667308382563352</x:v>
      </x:c>
      <x:c r="D2820" s="84" t="n">
        <x:f>C2820^2-'Resumen'!$B$5^3/3</x:f>
        <x:v>-0.012149490302604982</x:v>
      </x:c>
      <x:c r="E2820" s="85" t="n">
        <x:f>D2820+'Resumen'!$B$5^3/3</x:f>
        <x:v>0.32118384303072833</x:v>
      </x:c>
    </x:row>
    <x:row r="2821">
      <x:c r="A2821" s="89" t="n">
        <x:v>2819</x:v>
      </x:c>
      <x:c r="B2821" s="80" t="n">
        <x:v>-1.6844822501224923</x:v>
      </x:c>
      <x:c r="C2821" s="84" t="n">
        <x:f>SQRT('Resumen'!$B$5^3/3)*B2821</x:f>
        <x:v>-0.9725362805533674</x:v>
      </x:c>
      <x:c r="D2821" s="84" t="n">
        <x:f>C2821^2-'Resumen'!$B$5^3/3</x:f>
        <x:v>0.6124934836592448</x:v>
      </x:c>
      <x:c r="E2821" s="85" t="n">
        <x:f>D2821+'Resumen'!$B$5^3/3</x:f>
        <x:v>0.9458268169925781</x:v>
      </x:c>
    </x:row>
    <x:row r="2822">
      <x:c r="A2822" s="89" t="n">
        <x:v>2820</x:v>
      </x:c>
      <x:c r="B2822" s="80" t="n">
        <x:v>-1.5412111727023399</x:v>
      </x:c>
      <x:c r="C2822" s="84" t="n">
        <x:f>SQRT('Resumen'!$B$5^3/3)*B2822</x:f>
        <x:v>-0.8898186854377547</x:v>
      </x:c>
      <x:c r="D2822" s="84" t="n">
        <x:f>C2822^2-'Resumen'!$B$5^3/3</x:f>
        <x:v>0.45844395962084045</x:v>
      </x:c>
      <x:c r="E2822" s="85" t="n">
        <x:f>D2822+'Resumen'!$B$5^3/3</x:f>
        <x:v>0.7917772929541738</x:v>
      </x:c>
    </x:row>
    <x:row r="2823">
      <x:c r="A2823" s="89" t="n">
        <x:v>2821</x:v>
      </x:c>
      <x:c r="B2823" s="80" t="n">
        <x:v>0.18981529702540742</x:v>
      </x:c>
      <x:c r="C2823" s="84" t="n">
        <x:f>SQRT('Resumen'!$B$5^3/3)*B2823</x:f>
        <x:v>0.10958991283392774</x:v>
      </x:c>
      <x:c r="D2823" s="84" t="n">
        <x:f>C2823^2-'Resumen'!$B$5^3/3</x:f>
        <x:v>-0.3213233843383854</x:v>
      </x:c>
      <x:c r="E2823" s="85" t="n">
        <x:f>D2823+'Resumen'!$B$5^3/3</x:f>
        <x:v>0.012009948994947894</x:v>
      </x:c>
    </x:row>
    <x:row r="2824">
      <x:c r="A2824" s="89" t="n">
        <x:v>2822</x:v>
      </x:c>
      <x:c r="B2824" s="80" t="n">
        <x:v>0.5783146577326</x:v>
      </x:c>
      <x:c r="C2824" s="84" t="n">
        <x:f>SQRT('Resumen'!$B$5^3/3)*B2824</x:f>
        <x:v>0.33389012331822293</x:v>
      </x:c>
      <x:c r="D2824" s="84" t="n">
        <x:f>C2824^2-'Resumen'!$B$5^3/3</x:f>
        <x:v>-0.2218507188838752</x:v>
      </x:c>
      <x:c r="E2824" s="85" t="n">
        <x:f>D2824+'Resumen'!$B$5^3/3</x:f>
        <x:v>0.11148261444945812</x:v>
      </x:c>
    </x:row>
    <x:row r="2825">
      <x:c r="A2825" s="89" t="n">
        <x:v>2823</x:v>
      </x:c>
      <x:c r="B2825" s="80" t="n">
        <x:v>0.5089837912128944</x:v>
      </x:c>
      <x:c r="C2825" s="84" t="n">
        <x:f>SQRT('Resumen'!$B$5^3/3)*B2825</x:f>
        <x:v>0.29386192886992085</x:v>
      </x:c>
      <x:c r="D2825" s="84" t="n">
        <x:f>C2825^2-'Resumen'!$B$5^3/3</x:f>
        <x:v>-0.24697850009418287</x:v>
      </x:c>
      <x:c r="E2825" s="85" t="n">
        <x:f>D2825+'Resumen'!$B$5^3/3</x:f>
        <x:v>0.08635483323915044</x:v>
      </x:c>
    </x:row>
    <x:row r="2826">
      <x:c r="A2826" s="89" t="n">
        <x:v>2824</x:v>
      </x:c>
      <x:c r="B2826" s="80" t="n">
        <x:v>-0.7941831461982818</x:v>
      </x:c>
      <x:c r="C2826" s="84" t="n">
        <x:f>SQRT('Resumen'!$B$5^3/3)*B2826</x:f>
        <x:v>-0.45852185324344186</x:v>
      </x:c>
      <x:c r="D2826" s="84" t="n">
        <x:f>C2826^2-'Resumen'!$B$5^3/3</x:f>
        <x:v>-0.12309104343153288</x:v>
      </x:c>
      <x:c r="E2826" s="85" t="n">
        <x:f>D2826+'Resumen'!$B$5^3/3</x:f>
        <x:v>0.21024228990180044</x:v>
      </x:c>
    </x:row>
    <x:row r="2827">
      <x:c r="A2827" s="89" t="n">
        <x:v>2825</x:v>
      </x:c>
      <x:c r="B2827" s="80" t="n">
        <x:v>0.5296734026425358</x:v>
      </x:c>
      <x:c r="C2827" s="84" t="n">
        <x:f>SQRT('Resumen'!$B$5^3/3)*B2827</x:f>
        <x:v>0.3058070815982531</x:v>
      </x:c>
      <x:c r="D2827" s="84" t="n">
        <x:f>C2827^2-'Resumen'!$B$5^3/3</x:f>
        <x:v>-0.23981536217769267</x:v>
      </x:c>
      <x:c r="E2827" s="85" t="n">
        <x:f>D2827+'Resumen'!$B$5^3/3</x:f>
        <x:v>0.09351797115564064</x:v>
      </x:c>
    </x:row>
    <x:row r="2828">
      <x:c r="A2828" s="89" t="n">
        <x:v>2826</x:v>
      </x:c>
      <x:c r="B2828" s="80" t="n">
        <x:v>0.4155116664027118</x:v>
      </x:c>
      <x:c r="C2828" s="84" t="n">
        <x:f>SQRT('Resumen'!$B$5^3/3)*B2828</x:f>
        <x:v>0.23989577244903562</x:v>
      </x:c>
      <x:c r="D2828" s="84" t="n">
        <x:f>C2828^2-'Resumen'!$B$5^3/3</x:f>
        <x:v>-0.2757833516944138</x:v>
      </x:c>
      <x:c r="E2828" s="85" t="n">
        <x:f>D2828+'Resumen'!$B$5^3/3</x:f>
        <x:v>0.0575499816389195</x:v>
      </x:c>
    </x:row>
    <x:row r="2829">
      <x:c r="A2829" s="89" t="n">
        <x:v>2827</x:v>
      </x:c>
      <x:c r="B2829" s="80" t="n">
        <x:v>0.22462242208016636</x:v>
      </x:c>
      <x:c r="C2829" s="84" t="n">
        <x:f>SQRT('Resumen'!$B$5^3/3)*B2829</x:f>
        <x:v>0.1296858158540098</x:v>
      </x:c>
      <x:c r="D2829" s="84" t="n">
        <x:f>C2829^2-'Resumen'!$B$5^3/3</x:f>
        <x:v>-0.31651492249961316</x:v>
      </x:c>
      <x:c r="E2829" s="85" t="n">
        <x:f>D2829+'Resumen'!$B$5^3/3</x:f>
        <x:v>0.016818410833720154</x:v>
      </x:c>
    </x:row>
    <x:row r="2830">
      <x:c r="A2830" s="89" t="n">
        <x:v>2828</x:v>
      </x:c>
      <x:c r="B2830" s="80" t="n">
        <x:v>1.084111931025482</x:v>
      </x:c>
      <x:c r="C2830" s="84" t="n">
        <x:f>SQRT('Resumen'!$B$5^3/3)*B2830</x:f>
        <x:v>0.6259123152092471</x:v>
      </x:c>
      <x:c r="D2830" s="84" t="n">
        <x:f>C2830^2-'Resumen'!$B$5^3/3</x:f>
        <x:v>0.05843289299726656</x:v>
      </x:c>
      <x:c r="E2830" s="85" t="n">
        <x:f>D2830+'Resumen'!$B$5^3/3</x:f>
        <x:v>0.3917662263305999</x:v>
      </x:c>
    </x:row>
    <x:row r="2831">
      <x:c r="A2831" s="89" t="n">
        <x:v>2829</x:v>
      </x:c>
      <x:c r="B2831" s="80" t="n">
        <x:v>0.26208000081643906</x:v>
      </x:c>
      <x:c r="C2831" s="84" t="n">
        <x:f>SQRT('Resumen'!$B$5^3/3)*B2831</x:f>
        <x:v>0.15131195902058842</x:v>
      </x:c>
      <x:c r="D2831" s="84" t="n">
        <x:f>C2831^2-'Resumen'!$B$5^3/3</x:f>
        <x:v>-0.3104380243906851</x:v>
      </x:c>
      <x:c r="E2831" s="85" t="n">
        <x:f>D2831+'Resumen'!$B$5^3/3</x:f>
        <x:v>0.02289530894264824</x:v>
      </x:c>
    </x:row>
    <x:row r="2832">
      <x:c r="A2832" s="89" t="n">
        <x:v>2830</x:v>
      </x:c>
      <x:c r="B2832" s="80" t="n">
        <x:v>0.09909744512157427</x:v>
      </x:c>
      <x:c r="C2832" s="84" t="n">
        <x:f>SQRT('Resumen'!$B$5^3/3)*B2832</x:f>
        <x:v>0.05721393661694507</x:v>
      </x:c>
      <x:c r="D2832" s="84" t="n">
        <x:f>C2832^2-'Resumen'!$B$5^3/3</x:f>
        <x:v>-0.3300598987901255</x:v>
      </x:c>
      <x:c r="E2832" s="85" t="n">
        <x:f>D2832+'Resumen'!$B$5^3/3</x:f>
        <x:v>0.0032734345432078316</x:v>
      </x:c>
    </x:row>
    <x:row r="2833">
      <x:c r="A2833" s="89" t="n">
        <x:v>2831</x:v>
      </x:c>
      <x:c r="B2833" s="80" t="n">
        <x:v>0.10249845395872577</x:v>
      </x:c>
      <x:c r="C2833" s="84" t="n">
        <x:f>SQRT('Resumen'!$B$5^3/3)*B2833</x:f>
        <x:v>0.05917750998459078</x:v>
      </x:c>
      <x:c r="D2833" s="84" t="n">
        <x:f>C2833^2-'Resumen'!$B$5^3/3</x:f>
        <x:v>-0.329831355645357</x:v>
      </x:c>
      <x:c r="E2833" s="85" t="n">
        <x:f>D2833+'Resumen'!$B$5^3/3</x:f>
        <x:v>0.003501977687976332</x:v>
      </x:c>
    </x:row>
    <x:row r="2834">
      <x:c r="A2834" s="89" t="n">
        <x:v>2832</x:v>
      </x:c>
      <x:c r="B2834" s="80" t="n">
        <x:v>-0.20164010504613375</x:v>
      </x:c>
      <x:c r="C2834" s="84" t="n">
        <x:f>SQRT('Resumen'!$B$5^3/3)*B2834</x:f>
        <x:v>-0.11641696892780973</x:v>
      </x:c>
      <x:c r="D2834" s="84" t="n">
        <x:f>C2834^2-'Resumen'!$B$5^3/3</x:f>
        <x:v>-0.3197804226789947</x:v>
      </x:c>
      <x:c r="E2834" s="85" t="n">
        <x:f>D2834+'Resumen'!$B$5^3/3</x:f>
        <x:v>0.013552910654338612</x:v>
      </x:c>
    </x:row>
    <x:row r="2835">
      <x:c r="A2835" s="89" t="n">
        <x:v>2833</x:v>
      </x:c>
      <x:c r="B2835" s="80" t="n">
        <x:v>-0.1000133302760861</x:v>
      </x:c>
      <x:c r="C2835" s="84" t="n">
        <x:f>SQRT('Resumen'!$B$5^3/3)*B2835</x:f>
        <x:v>-0.05774272315744925</x:v>
      </x:c>
      <x:c r="D2835" s="84" t="n">
        <x:f>C2835^2-'Resumen'!$B$5^3/3</x:f>
        <x:v>-0.3299991112556955</x:v>
      </x:c>
      <x:c r="E2835" s="85" t="n">
        <x:f>D2835+'Resumen'!$B$5^3/3</x:f>
        <x:v>0.0033342220776378384</x:v>
      </x:c>
    </x:row>
    <x:row r="2836">
      <x:c r="A2836" s="89" t="n">
        <x:v>2834</x:v>
      </x:c>
      <x:c r="B2836" s="80" t="n">
        <x:v>-1.5598969291461064</x:v>
      </x:c>
      <x:c r="C2836" s="84" t="n">
        <x:f>SQRT('Resumen'!$B$5^3/3)*B2836</x:f>
        <x:v>-0.9006069119505751</x:v>
      </x:c>
      <x:c r="D2836" s="84" t="n">
        <x:f>C2836^2-'Resumen'!$B$5^3/3</x:f>
        <x:v>0.4777594765198176</x:v>
      </x:c>
      <x:c r="E2836" s="85" t="n">
        <x:f>D2836+'Resumen'!$B$5^3/3</x:f>
        <x:v>0.8110928098531509</x:v>
      </x:c>
    </x:row>
    <x:row r="2837">
      <x:c r="A2837" s="89" t="n">
        <x:v>2835</x:v>
      </x:c>
      <x:c r="B2837" s="80" t="n">
        <x:v>-1.6439615152268228</x:v>
      </x:c>
      <x:c r="C2837" s="84" t="n">
        <x:f>SQRT('Resumen'!$B$5^3/3)*B2837</x:f>
        <x:v>-0.9491416233535911</x:v>
      </x:c>
      <x:c r="D2837" s="84" t="n">
        <x:f>C2837^2-'Resumen'!$B$5^3/3</x:f>
        <x:v>0.5675364878489568</x:v>
      </x:c>
      <x:c r="E2837" s="85" t="n">
        <x:f>D2837+'Resumen'!$B$5^3/3</x:f>
        <x:v>0.9008698211822901</x:v>
      </x:c>
    </x:row>
    <x:row r="2838">
      <x:c r="A2838" s="89" t="n">
        <x:v>2836</x:v>
      </x:c>
      <x:c r="B2838" s="80" t="n">
        <x:v>0.00272122167714664</x:v>
      </x:c>
      <x:c r="C2838" s="84" t="n">
        <x:f>SQRT('Resumen'!$B$5^3/3)*B2838</x:f>
        <x:v>0.0015710980678252575</x:v>
      </x:c>
      <x:c r="D2838" s="84" t="n">
        <x:f>C2838^2-'Resumen'!$B$5^3/3</x:f>
        <x:v>-0.33333086498419456</x:v>
      </x:c>
      <x:c r="E2838" s="85" t="n">
        <x:f>D2838+'Resumen'!$B$5^3/3</x:f>
        <x:v>0.000002468349138751158</x:v>
      </x:c>
    </x:row>
    <x:row r="2839">
      <x:c r="A2839" s="89" t="n">
        <x:v>2837</x:v>
      </x:c>
      <x:c r="B2839" s="80" t="n">
        <x:v>0.051409006146838424</x:v>
      </x:c>
      <x:c r="C2839" s="84" t="n">
        <x:f>SQRT('Resumen'!$B$5^3/3)*B2839</x:f>
        <x:v>0.029681003537648288</x:v>
      </x:c>
      <x:c r="D2839" s="84" t="n">
        <x:f>C2839^2-'Resumen'!$B$5^3/3</x:f>
        <x:v>-0.3324523713623314</x:v>
      </x:c>
      <x:c r="E2839" s="85" t="n">
        <x:f>D2839+'Resumen'!$B$5^3/3</x:f>
        <x:v>0.0008809619710019034</x:v>
      </x:c>
    </x:row>
    <x:row r="2840">
      <x:c r="A2840" s="89" t="n">
        <x:v>2838</x:v>
      </x:c>
      <x:c r="B2840" s="80" t="n">
        <x:v>0.6282980156877624</x:v>
      </x:c>
      <x:c r="C2840" s="84" t="n">
        <x:f>SQRT('Resumen'!$B$5^3/3)*B2840</x:f>
        <x:v>0.36274802848863735</x:v>
      </x:c>
      <x:c r="D2840" s="84" t="n">
        <x:f>C2840^2-'Resumen'!$B$5^3/3</x:f>
        <x:v>-0.20174720116094005</x:v>
      </x:c>
      <x:c r="E2840" s="85" t="n">
        <x:f>D2840+'Resumen'!$B$5^3/3</x:f>
        <x:v>0.13158613217239326</x:v>
      </x:c>
    </x:row>
    <x:row r="2841">
      <x:c r="A2841" s="89" t="n">
        <x:v>2839</x:v>
      </x:c>
      <x:c r="B2841" s="80" t="n">
        <x:v>2.0301895587606915</x:v>
      </x:c>
      <x:c r="C2841" s="84" t="n">
        <x:f>SQRT('Resumen'!$B$5^3/3)*B2841</x:f>
        <x:v>1.1721304882564527</x:v>
      </x:c>
      <x:c r="D2841" s="84" t="n">
        <x:f>C2841^2-'Resumen'!$B$5^3/3</x:f>
        <x:v>1.040556548166977</x:v>
      </x:c>
      <x:c r="E2841" s="85" t="n">
        <x:f>D2841+'Resumen'!$B$5^3/3</x:f>
        <x:v>1.3738898815003102</x:v>
      </x:c>
    </x:row>
    <x:row r="2842">
      <x:c r="A2842" s="89" t="n">
        <x:v>2840</x:v>
      </x:c>
      <x:c r="B2842" s="80" t="n">
        <x:v>-0.5537573388122584</x:v>
      </x:c>
      <x:c r="C2842" s="84" t="n">
        <x:f>SQRT('Resumen'!$B$5^3/3)*B2842</x:f>
        <x:v>-0.31971194862898816</x:v>
      </x:c>
      <x:c r="D2842" s="84" t="n">
        <x:f>C2842^2-'Resumen'!$B$5^3/3</x:f>
        <x:v>-0.23111760323718855</x:v>
      </x:c>
      <x:c r="E2842" s="85" t="n">
        <x:f>D2842+'Resumen'!$B$5^3/3</x:f>
        <x:v>0.10221573009614476</x:v>
      </x:c>
    </x:row>
    <x:row r="2843">
      <x:c r="A2843" s="89" t="n">
        <x:v>2841</x:v>
      </x:c>
      <x:c r="B2843" s="80" t="n">
        <x:v>-0.036097110695545685</x:v>
      </x:c>
      <x:c r="C2843" s="84" t="n">
        <x:f>SQRT('Resumen'!$B$5^3/3)*B2843</x:f>
        <x:v>-0.020840676577041018</x:v>
      </x:c>
      <x:c r="D2843" s="84" t="n">
        <x:f>C2843^2-'Resumen'!$B$5^3/3</x:f>
        <x:v>-0.3328989995331445</x:v>
      </x:c>
      <x:c r="E2843" s="85" t="n">
        <x:f>D2843+'Resumen'!$B$5^3/3</x:f>
        <x:v>0.00043433380018881307</x:v>
      </x:c>
    </x:row>
    <x:row r="2844">
      <x:c r="A2844" s="89" t="n">
        <x:v>2842</x:v>
      </x:c>
      <x:c r="B2844" s="80" t="n">
        <x:v>-0.612700843368277</x:v>
      </x:c>
      <x:c r="C2844" s="84" t="n">
        <x:f>SQRT('Resumen'!$B$5^3/3)*B2844</x:f>
        <x:v>-0.35374299685138544</x:v>
      </x:c>
      <x:c r="D2844" s="84" t="n">
        <x:f>C2844^2-'Resumen'!$B$5^3/3</x:f>
        <x:v>-0.20819922551193404</x:v>
      </x:c>
      <x:c r="E2844" s="85" t="n">
        <x:f>D2844+'Resumen'!$B$5^3/3</x:f>
        <x:v>0.12513410782139928</x:v>
      </x:c>
    </x:row>
    <x:row r="2845">
      <x:c r="A2845" s="89" t="n">
        <x:v>2843</x:v>
      </x:c>
      <x:c r="B2845" s="80" t="n">
        <x:v>0.9582885636270646</x:v>
      </x:c>
      <x:c r="C2845" s="84" t="n">
        <x:f>SQRT('Resumen'!$B$5^3/3)*B2845</x:f>
        <x:v>0.5532681601714255</x:v>
      </x:c>
      <x:c r="D2845" s="84" t="n">
        <x:f>C2845^2-'Resumen'!$B$5^3/3</x:f>
        <x:v>-0.027227676273859136</x:v>
      </x:c>
      <x:c r="E2845" s="85" t="n">
        <x:f>D2845+'Resumen'!$B$5^3/3</x:f>
        <x:v>0.3061056570594742</x:v>
      </x:c>
    </x:row>
    <x:row r="2846">
      <x:c r="A2846" s="89" t="n">
        <x:v>2844</x:v>
      </x:c>
      <x:c r="B2846" s="80" t="n">
        <x:v>-0.7142884539734723</x:v>
      </x:c>
      <x:c r="C2846" s="84" t="n">
        <x:f>SQRT('Resumen'!$B$5^3/3)*B2846</x:f>
        <x:v>-0.4123946311806258</x:v>
      </x:c>
      <x:c r="D2846" s="84" t="n">
        <x:f>C2846^2-'Resumen'!$B$5^3/3</x:f>
        <x:v>-0.16326400150672893</x:v>
      </x:c>
      <x:c r="E2846" s="85" t="n">
        <x:f>D2846+'Resumen'!$B$5^3/3</x:f>
        <x:v>0.1700693318266044</x:v>
      </x:c>
    </x:row>
    <x:row r="2847">
      <x:c r="A2847" s="89" t="n">
        <x:v>2845</x:v>
      </x:c>
      <x:c r="B2847" s="80" t="n">
        <x:v>-0.2043626618784537</x:v>
      </x:c>
      <x:c r="C2847" s="84" t="n">
        <x:f>SQRT('Resumen'!$B$5^3/3)*B2847</x:f>
        <x:v>-0.1179888378478337</x:v>
      </x:c>
      <x:c r="D2847" s="84" t="n">
        <x:f>C2847^2-'Resumen'!$B$5^3/3</x:f>
        <x:v>-0.3194119674766509</x:v>
      </x:c>
      <x:c r="E2847" s="85" t="n">
        <x:f>D2847+'Resumen'!$B$5^3/3</x:f>
        <x:v>0.01392136585668241</x:v>
      </x:c>
    </x:row>
    <x:row r="2848">
      <x:c r="A2848" s="89" t="n">
        <x:v>2846</x:v>
      </x:c>
      <x:c r="B2848" s="80" t="n">
        <x:v>-0.6040498872276985</x:v>
      </x:c>
      <x:c r="C2848" s="84" t="n">
        <x:f>SQRT('Resumen'!$B$5^3/3)*B2848</x:f>
        <x:v>-0.34874836499487477</x:v>
      </x:c>
      <x:c r="D2848" s="84" t="n">
        <x:f>C2848^2-'Resumen'!$B$5^3/3</x:f>
        <x:v>-0.21170791124673494</x:v>
      </x:c>
      <x:c r="E2848" s="85" t="n">
        <x:f>D2848+'Resumen'!$B$5^3/3</x:f>
        <x:v>0.12162542208659838</x:v>
      </x:c>
    </x:row>
    <x:row r="2849">
      <x:c r="A2849" s="89" t="n">
        <x:v>2847</x:v>
      </x:c>
      <x:c r="B2849" s="80" t="n">
        <x:v>0.632172295193324</x:v>
      </x:c>
      <x:c r="C2849" s="84" t="n">
        <x:f>SQRT('Resumen'!$B$5^3/3)*B2849</x:f>
        <x:v>0.3649848448040891</x:v>
      </x:c>
      <x:c r="D2849" s="84" t="n">
        <x:f>C2849^2-'Resumen'!$B$5^3/3</x:f>
        <x:v>-0.20011939639666831</x:v>
      </x:c>
      <x:c r="E2849" s="85" t="n">
        <x:f>D2849+'Resumen'!$B$5^3/3</x:f>
        <x:v>0.133213936936665</x:v>
      </x:c>
    </x:row>
    <x:row r="2850">
      <x:c r="A2850" s="89" t="n">
        <x:v>2848</x:v>
      </x:c>
      <x:c r="B2850" s="80" t="n">
        <x:v>0.23822019474180195</x:v>
      </x:c>
      <x:c r="C2850" s="84" t="n">
        <x:f>SQRT('Resumen'!$B$5^3/3)*B2850</x:f>
        <x:v>0.13753649356058442</x:v>
      </x:c>
      <x:c r="D2850" s="84" t="n">
        <x:f>C2850^2-'Resumen'!$B$5^3/3</x:f>
        <x:v>-0.31441704627239264</x:v>
      </x:c>
      <x:c r="E2850" s="85" t="n">
        <x:f>D2850+'Resumen'!$B$5^3/3</x:f>
        <x:v>0.018916287060940673</x:v>
      </x:c>
    </x:row>
    <x:row r="2851">
      <x:c r="A2851" s="89" t="n">
        <x:v>2849</x:v>
      </x:c>
      <x:c r="B2851" s="80" t="n">
        <x:v>-1.4215158967140926</x:v>
      </x:c>
      <x:c r="C2851" s="84" t="n">
        <x:f>SQRT('Resumen'!$B$5^3/3)*B2851</x:f>
        <x:v>-0.8207125856252135</x:v>
      </x:c>
      <x:c r="D2851" s="84" t="n">
        <x:f>C2851^2-'Resumen'!$B$5^3/3</x:f>
        <x:v>0.34023581487029014</x:v>
      </x:c>
      <x:c r="E2851" s="85" t="n">
        <x:f>D2851+'Resumen'!$B$5^3/3</x:f>
        <x:v>0.6735691482036235</x:v>
      </x:c>
    </x:row>
    <x:row r="2852">
      <x:c r="A2852" s="89" t="n">
        <x:v>2850</x:v>
      </x:c>
      <x:c r="B2852" s="80" t="n">
        <x:v>0.3669657167575765</x:v>
      </x:c>
      <x:c r="C2852" s="84" t="n">
        <x:f>SQRT('Resumen'!$B$5^3/3)*B2852</x:f>
        <x:v>0.21186775535335073</x:v>
      </x:c>
      <x:c r="D2852" s="84" t="n">
        <x:f>C2852^2-'Resumen'!$B$5^3/3</x:f>
        <x:v>-0.28844538757486604</x:v>
      </x:c>
      <x:c r="E2852" s="85" t="n">
        <x:f>D2852+'Resumen'!$B$5^3/3</x:f>
        <x:v>0.044887945758467274</x:v>
      </x:c>
    </x:row>
    <x:row r="2853">
      <x:c r="A2853" s="89" t="n">
        <x:v>2851</x:v>
      </x:c>
      <x:c r="B2853" s="80" t="n">
        <x:v>0.05907564235034411</x:v>
      </x:c>
      <x:c r="C2853" s="84" t="n">
        <x:f>SQRT('Resumen'!$B$5^3/3)*B2853</x:f>
        <x:v>0.03410733801352123</x:v>
      </x:c>
      <x:c r="D2853" s="84" t="n">
        <x:f>C2853^2-'Resumen'!$B$5^3/3</x:f>
        <x:v>-0.33217002282696473</x:v>
      </x:c>
      <x:c r="E2853" s="85" t="n">
        <x:f>D2853+'Resumen'!$B$5^3/3</x:f>
        <x:v>0.0011633105063685867</x:v>
      </x:c>
    </x:row>
    <x:row r="2854">
      <x:c r="A2854" s="89" t="n">
        <x:v>2852</x:v>
      </x:c>
      <x:c r="B2854" s="80" t="n">
        <x:v>0.6298558895013175</x:v>
      </x:c>
      <x:c r="C2854" s="84" t="n">
        <x:f>SQRT('Resumen'!$B$5^3/3)*B2854</x:f>
        <x:v>0.36364746735425685</x:v>
      </x:c>
      <x:c r="D2854" s="84" t="n">
        <x:f>C2854^2-'Resumen'!$B$5^3/3</x:f>
        <x:v>-0.201093852820168</x:v>
      </x:c>
      <x:c r="E2854" s="85" t="n">
        <x:f>D2854+'Resumen'!$B$5^3/3</x:f>
        <x:v>0.1322394805131653</x:v>
      </x:c>
    </x:row>
    <x:row r="2855">
      <x:c r="A2855" s="89" t="n">
        <x:v>2853</x:v>
      </x:c>
      <x:c r="B2855" s="80" t="n">
        <x:v>-0.9368059014464016</x:v>
      </x:c>
      <x:c r="C2855" s="84" t="n">
        <x:f>SQRT('Resumen'!$B$5^3/3)*B2855</x:f>
        <x:v>-0.54086513937851</x:v>
      </x:c>
      <x:c r="D2855" s="84" t="n">
        <x:f>C2855^2-'Resumen'!$B$5^3/3</x:f>
        <x:v>-0.0407982343383983</x:v>
      </x:c>
      <x:c r="E2855" s="85" t="n">
        <x:f>D2855+'Resumen'!$B$5^3/3</x:f>
        <x:v>0.292535098994935</x:v>
      </x:c>
    </x:row>
    <x:row r="2856">
      <x:c r="A2856" s="89" t="n">
        <x:v>2854</x:v>
      </x:c>
      <x:c r="B2856" s="80" t="n">
        <x:v>0.28184749669839104</x:v>
      </x:c>
      <x:c r="C2856" s="84" t="n">
        <x:f>SQRT('Resumen'!$B$5^3/3)*B2856</x:f>
        <x:v>0.1627247280892382</x:v>
      </x:c>
      <x:c r="D2856" s="84" t="n">
        <x:f>C2856^2-'Resumen'!$B$5^3/3</x:f>
        <x:v>-0.3068539962016168</x:v>
      </x:c>
      <x:c r="E2856" s="85" t="n">
        <x:f>D2856+'Resumen'!$B$5^3/3</x:f>
        <x:v>0.026479337131716518</x:v>
      </x:c>
    </x:row>
    <x:row r="2857">
      <x:c r="A2857" s="89" t="n">
        <x:v>2855</x:v>
      </x:c>
      <x:c r="B2857" s="80" t="n">
        <x:v>-0.8409122080654827</x:v>
      </x:c>
      <x:c r="C2857" s="84" t="n">
        <x:f>SQRT('Resumen'!$B$5^3/3)*B2857</x:f>
        <x:v>-0.485500889691449</x:v>
      </x:c>
      <x:c r="D2857" s="84" t="n">
        <x:f>C2857^2-'Resumen'!$B$5^3/3</x:f>
        <x:v>-0.09762221944214478</x:v>
      </x:c>
      <x:c r="E2857" s="85" t="n">
        <x:f>D2857+'Resumen'!$B$5^3/3</x:f>
        <x:v>0.23571111389118854</x:v>
      </x:c>
    </x:row>
    <x:row r="2858">
      <x:c r="A2858" s="89" t="n">
        <x:v>2856</x:v>
      </x:c>
      <x:c r="B2858" s="80" t="n">
        <x:v>0.28392245905393637</x:v>
      </x:c>
      <x:c r="C2858" s="84" t="n">
        <x:f>SQRT('Resumen'!$B$5^3/3)*B2858</x:f>
        <x:v>0.16392270816377066</x:v>
      </x:c>
      <x:c r="D2858" s="84" t="n">
        <x:f>C2858^2-'Resumen'!$B$5^3/3</x:f>
        <x:v>-0.3064626790815886</x:v>
      </x:c>
      <x:c r="E2858" s="85" t="n">
        <x:f>D2858+'Resumen'!$B$5^3/3</x:f>
        <x:v>0.02687065425174473</x:v>
      </x:c>
    </x:row>
    <x:row r="2859">
      <x:c r="A2859" s="89" t="n">
        <x:v>2857</x:v>
      </x:c>
      <x:c r="B2859" s="80" t="n">
        <x:v>-0.1857497901205149</x:v>
      </x:c>
      <x:c r="C2859" s="84" t="n">
        <x:f>SQRT('Resumen'!$B$5^3/3)*B2859</x:f>
        <x:v>-0.10724269132799576</x:v>
      </x:c>
      <x:c r="D2859" s="84" t="n">
        <x:f>C2859^2-'Resumen'!$B$5^3/3</x:f>
        <x:v>-0.32183233849006154</x:v>
      </x:c>
      <x:c r="E2859" s="85" t="n">
        <x:f>D2859+'Resumen'!$B$5^3/3</x:f>
        <x:v>0.011500994843271772</x:v>
      </x:c>
    </x:row>
    <x:row r="2860">
      <x:c r="A2860" s="89" t="n">
        <x:v>2858</x:v>
      </x:c>
      <x:c r="B2860" s="80" t="n">
        <x:v>0.8976269428461644</x:v>
      </x:c>
      <x:c r="C2860" s="84" t="n">
        <x:f>SQRT('Resumen'!$B$5^3/3)*B2860</x:f>
        <x:v>0.5182451570840938</x:v>
      </x:c>
      <x:c r="D2860" s="84" t="n">
        <x:f>C2860^2-'Resumen'!$B$5^3/3</x:f>
        <x:v>-0.06475529049221623</x:v>
      </x:c>
      <x:c r="E2860" s="85" t="n">
        <x:f>D2860+'Resumen'!$B$5^3/3</x:f>
        <x:v>0.2685780428411171</x:v>
      </x:c>
    </x:row>
    <x:row r="2861">
      <x:c r="A2861" s="89" t="n">
        <x:v>2859</x:v>
      </x:c>
      <x:c r="B2861" s="80" t="n">
        <x:v>0.6829369214497536</x:v>
      </x:c>
      <x:c r="C2861" s="84" t="n">
        <x:f>SQRT('Resumen'!$B$5^3/3)*B2861</x:f>
        <x:v>0.3942938154385495</x:v>
      </x:c>
      <x:c r="D2861" s="84" t="n">
        <x:f>C2861^2-'Resumen'!$B$5^3/3</x:f>
        <x:v>-0.17786572044024437</x:v>
      </x:c>
      <x:c r="E2861" s="85" t="n">
        <x:f>D2861+'Resumen'!$B$5^3/3</x:f>
        <x:v>0.15546761289308894</x:v>
      </x:c>
    </x:row>
    <x:row r="2862">
      <x:c r="A2862" s="89" t="n">
        <x:v>2860</x:v>
      </x:c>
      <x:c r="B2862" s="80" t="n">
        <x:v>0.9881300509407704</x:v>
      </x:c>
      <x:c r="C2862" s="84" t="n">
        <x:f>SQRT('Resumen'!$B$5^3/3)*B2862</x:f>
        <x:v>0.5704971509050124</x:v>
      </x:c>
      <x:c r="D2862" s="84" t="n">
        <x:f>C2862^2-'Resumen'!$B$5^3/3</x:f>
        <x:v>-0.007866334142596798</x:v>
      </x:c>
      <x:c r="E2862" s="85" t="n">
        <x:f>D2862+'Resumen'!$B$5^3/3</x:f>
        <x:v>0.3254669991907365</x:v>
      </x:c>
    </x:row>
    <x:row r="2863">
      <x:c r="A2863" s="89" t="n">
        <x:v>2861</x:v>
      </x:c>
      <x:c r="B2863" s="80" t="n">
        <x:v>1.4462423454576188</x:v>
      </x:c>
      <x:c r="C2863" s="84" t="n">
        <x:f>SQRT('Resumen'!$B$5^3/3)*B2863</x:f>
        <x:v>0.8349884074633919</x:v>
      </x:c>
      <x:c r="D2863" s="84" t="n">
        <x:f>C2863^2-'Resumen'!$B$5^3/3</x:f>
        <x:v>0.363872307264918</x:v>
      </x:c>
      <x:c r="E2863" s="85" t="n">
        <x:f>D2863+'Resumen'!$B$5^3/3</x:f>
        <x:v>0.6972056405982513</x:v>
      </x:c>
    </x:row>
    <x:row r="2864">
      <x:c r="A2864" s="89" t="n">
        <x:v>2862</x:v>
      </x:c>
      <x:c r="B2864" s="80" t="n">
        <x:v>-0.38134690950500655</x:v>
      </x:c>
      <x:c r="C2864" s="84" t="n">
        <x:f>SQRT('Resumen'!$B$5^3/3)*B2864</x:f>
        <x:v>-0.22017074085734736</x:v>
      </x:c>
      <x:c r="D2864" s="84" t="n">
        <x:f>C2864^2-'Resumen'!$B$5^3/3</x:f>
        <x:v>-0.2848581782036601</x:v>
      </x:c>
      <x:c r="E2864" s="85" t="n">
        <x:f>D2864+'Resumen'!$B$5^3/3</x:f>
        <x:v>0.04847515512967321</x:v>
      </x:c>
    </x:row>
    <x:row r="2865">
      <x:c r="A2865" s="89" t="n">
        <x:v>2863</x:v>
      </x:c>
      <x:c r="B2865" s="80" t="n">
        <x:v>-0.45544237655690434</x:v>
      </x:c>
      <x:c r="C2865" s="84" t="n">
        <x:f>SQRT('Resumen'!$B$5^3/3)*B2865</x:f>
        <x:v>-0.26294977870549163</x:v>
      </x:c>
      <x:c r="D2865" s="84" t="n">
        <x:f>C2865^2-'Resumen'!$B$5^3/3</x:f>
        <x:v>-0.2641907472120663</x:v>
      </x:c>
      <x:c r="E2865" s="85" t="n">
        <x:f>D2865+'Resumen'!$B$5^3/3</x:f>
        <x:v>0.069142586121267</x:v>
      </x:c>
    </x:row>
    <x:row r="2866">
      <x:c r="A2866" s="89" t="n">
        <x:v>2864</x:v>
      </x:c>
      <x:c r="B2866" s="80" t="n">
        <x:v>-2.4705029620027084</x:v>
      </x:c>
      <x:c r="C2866" s="84" t="n">
        <x:f>SQRT('Resumen'!$B$5^3/3)*B2866</x:f>
        <x:v>-1.4263455501460314</x:v>
      </x:c>
      <x:c r="D2866" s="84" t="n">
        <x:f>C2866^2-'Resumen'!$B$5^3/3</x:f>
        <x:v>1.7011282950880517</x:v>
      </x:c>
      <x:c r="E2866" s="85" t="n">
        <x:f>D2866+'Resumen'!$B$5^3/3</x:f>
        <x:v>2.034461628421385</x:v>
      </x:c>
    </x:row>
    <x:row r="2867">
      <x:c r="A2867" s="89" t="n">
        <x:v>2865</x:v>
      </x:c>
      <x:c r="B2867" s="80" t="n">
        <x:v>0.2260126405348973</x:v>
      </x:c>
      <x:c r="C2867" s="84" t="n">
        <x:f>SQRT('Resumen'!$B$5^3/3)*B2867</x:f>
        <x:v>0.13048845885308108</x:v>
      </x:c>
      <x:c r="D2867" s="84" t="n">
        <x:f>C2867^2-'Resumen'!$B$5^3/3</x:f>
        <x:v>-0.31630609543948107</x:v>
      </x:c>
      <x:c r="E2867" s="85" t="n">
        <x:f>D2867+'Resumen'!$B$5^3/3</x:f>
        <x:v>0.017027237893852243</x:v>
      </x:c>
    </x:row>
    <x:row r="2868">
      <x:c r="A2868" s="89" t="n">
        <x:v>2866</x:v>
      </x:c>
      <x:c r="B2868" s="80" t="n">
        <x:v>0.23756965610614375</x:v>
      </x:c>
      <x:c r="C2868" s="84" t="n">
        <x:f>SQRT('Resumen'!$B$5^3/3)*B2868</x:f>
        <x:v>0.1371609049041689</x:v>
      </x:c>
      <x:c r="D2868" s="84" t="n">
        <x:f>C2868^2-'Resumen'!$B$5^3/3</x:f>
        <x:v>-0.31452021949920284</x:v>
      </x:c>
      <x:c r="E2868" s="85" t="n">
        <x:f>D2868+'Resumen'!$B$5^3/3</x:f>
        <x:v>0.01881311383413048</x:v>
      </x:c>
    </x:row>
    <x:row r="2869">
      <x:c r="A2869" s="89" t="n">
        <x:v>2867</x:v>
      </x:c>
      <x:c r="B2869" s="80" t="n">
        <x:v>0.2818179957307915</x:v>
      </x:c>
      <x:c r="C2869" s="84" t="n">
        <x:f>SQRT('Resumen'!$B$5^3/3)*B2869</x:f>
        <x:v>0.16270769569765328</x:v>
      </x:c>
      <x:c r="D2869" s="84" t="n">
        <x:f>C2869^2-'Resumen'!$B$5^3/3</x:f>
        <x:v>-0.3068595390940932</x:v>
      </x:c>
      <x:c r="E2869" s="85" t="n">
        <x:f>D2869+'Resumen'!$B$5^3/3</x:f>
        <x:v>0.026473794239240123</x:v>
      </x:c>
    </x:row>
    <x:row r="2870">
      <x:c r="A2870" s="89" t="n">
        <x:v>2868</x:v>
      </x:c>
      <x:c r="B2870" s="80" t="n">
        <x:v>-0.999014981880328</x:v>
      </x:c>
      <x:c r="C2870" s="84" t="n">
        <x:f>SQRT('Resumen'!$B$5^3/3)*B2870</x:f>
        <x:v>-0.5767815687130764</x:v>
      </x:c>
      <x:c r="D2870" s="84" t="n">
        <x:f>C2870^2-'Resumen'!$B$5^3/3</x:f>
        <x:v>-0.0006563553262160515</x:v>
      </x:c>
      <x:c r="E2870" s="85" t="n">
        <x:f>D2870+'Resumen'!$B$5^3/3</x:f>
        <x:v>0.33267697800711726</x:v>
      </x:c>
    </x:row>
    <x:row r="2871">
      <x:c r="A2871" s="89" t="n">
        <x:v>2869</x:v>
      </x:c>
      <x:c r="B2871" s="80" t="n">
        <x:v>-0.37956304348283293</x:v>
      </x:c>
      <x:c r="C2871" s="84" t="n">
        <x:f>SQRT('Resumen'!$B$5^3/3)*B2871</x:f>
        <x:v>-0.2191408253292472</x:v>
      </x:c>
      <x:c r="D2871" s="84" t="n">
        <x:f>C2871^2-'Resumen'!$B$5^3/3</x:f>
        <x:v>-0.2853106320073497</x:v>
      </x:c>
      <x:c r="E2871" s="85" t="n">
        <x:f>D2871+'Resumen'!$B$5^3/3</x:f>
        <x:v>0.04802270132598363</x:v>
      </x:c>
    </x:row>
    <x:row r="2872">
      <x:c r="A2872" s="89" t="n">
        <x:v>2870</x:v>
      </x:c>
      <x:c r="B2872" s="80" t="n">
        <x:v>-0.09192791361994541</x:v>
      </x:c>
      <x:c r="C2872" s="84" t="n">
        <x:f>SQRT('Resumen'!$B$5^3/3)*B2872</x:f>
        <x:v>-0.05307460567451615</x:v>
      </x:c>
      <x:c r="D2872" s="84" t="n">
        <x:f>C2872^2-'Resumen'!$B$5^3/3</x:f>
        <x:v>-0.33051641956582795</x:v>
      </x:c>
      <x:c r="E2872" s="85" t="n">
        <x:f>D2872+'Resumen'!$B$5^3/3</x:f>
        <x:v>0.002816913767505369</x:v>
      </x:c>
    </x:row>
    <x:row r="2873">
      <x:c r="A2873" s="89" t="n">
        <x:v>2871</x:v>
      </x:c>
      <x:c r="B2873" s="80" t="n">
        <x:v>1.6679503389998478</x:v>
      </x:c>
      <x:c r="C2873" s="84" t="n">
        <x:f>SQRT('Resumen'!$B$5^3/3)*B2873</x:f>
        <x:v>0.9629915772164896</x:v>
      </x:c>
      <x:c r="D2873" s="84" t="n">
        <x:f>C2873^2-'Resumen'!$B$5^3/3</x:f>
        <x:v>0.594019444456569</x:v>
      </x:c>
      <x:c r="E2873" s="85" t="n">
        <x:f>D2873+'Resumen'!$B$5^3/3</x:f>
        <x:v>0.9273527777899022</x:v>
      </x:c>
    </x:row>
    <x:row r="2874">
      <x:c r="A2874" s="89" t="n">
        <x:v>2872</x:v>
      </x:c>
      <x:c r="B2874" s="80" t="n">
        <x:v>1.3632806944947495</x:v>
      </x:c>
      <x:c r="C2874" s="84" t="n">
        <x:f>SQRT('Resumen'!$B$5^3/3)*B2874</x:f>
        <x:v>0.7870904759475635</x:v>
      </x:c>
      <x:c r="D2874" s="84" t="n">
        <x:f>C2874^2-'Resumen'!$B$5^3/3</x:f>
        <x:v>0.28617808399402883</x:v>
      </x:c>
      <x:c r="E2874" s="85" t="n">
        <x:f>D2874+'Resumen'!$B$5^3/3</x:f>
        <x:v>0.6195114173273621</x:v>
      </x:c>
    </x:row>
    <x:row r="2875">
      <x:c r="A2875" s="89" t="n">
        <x:v>2873</x:v>
      </x:c>
      <x:c r="B2875" s="80" t="n">
        <x:v>-0.2665368474291853</x:v>
      </x:c>
      <x:c r="C2875" s="84" t="n">
        <x:f>SQRT('Resumen'!$B$5^3/3)*B2875</x:f>
        <x:v>-0.15388512061219434</x:v>
      </x:c>
      <x:c r="D2875" s="84" t="n">
        <x:f>C2875^2-'Resumen'!$B$5^3/3</x:f>
        <x:v>-0.3096527029875037</x:v>
      </x:c>
      <x:c r="E2875" s="85" t="n">
        <x:f>D2875+'Resumen'!$B$5^3/3</x:f>
        <x:v>0.023680630345829623</x:v>
      </x:c>
    </x:row>
    <x:row r="2876">
      <x:c r="A2876" s="89" t="n">
        <x:v>2874</x:v>
      </x:c>
      <x:c r="B2876" s="80" t="n">
        <x:v>-1.2677253706304314</x:v>
      </x:c>
      <x:c r="C2876" s="84" t="n">
        <x:f>SQRT('Resumen'!$B$5^3/3)*B2876</x:f>
        <x:v>-0.7319215839919977</x:v>
      </x:c>
      <x:c r="D2876" s="84" t="n">
        <x:f>C2876^2-'Resumen'!$B$5^3/3</x:f>
        <x:v>0.20237587178002164</x:v>
      </x:c>
      <x:c r="E2876" s="85" t="n">
        <x:f>D2876+'Resumen'!$B$5^3/3</x:f>
        <x:v>0.535709205113355</x:v>
      </x:c>
    </x:row>
    <x:row r="2877">
      <x:c r="A2877" s="89" t="n">
        <x:v>2875</x:v>
      </x:c>
      <x:c r="B2877" s="80" t="n">
        <x:v>0.31557574789158854</x:v>
      </x:c>
      <x:c r="C2877" s="84" t="n">
        <x:f>SQRT('Resumen'!$B$5^3/3)*B2877</x:f>
        <x:v>0.1821977429949261</x:v>
      </x:c>
      <x:c r="D2877" s="84" t="n">
        <x:f>C2877^2-'Resumen'!$B$5^3/3</x:f>
        <x:v>-0.30013731578088815</x:v>
      </x:c>
      <x:c r="E2877" s="85" t="n">
        <x:f>D2877+'Resumen'!$B$5^3/3</x:f>
        <x:v>0.03319601755244517</x:v>
      </x:c>
    </x:row>
    <x:row r="2878">
      <x:c r="A2878" s="89" t="n">
        <x:v>2876</x:v>
      </x:c>
      <x:c r="B2878" s="80" t="n">
        <x:v>0.7144452131231568</x:v>
      </x:c>
      <x:c r="C2878" s="84" t="n">
        <x:f>SQRT('Resumen'!$B$5^3/3)*B2878</x:f>
        <x:v>0.4124851361178941</x:v>
      </x:c>
      <x:c r="D2878" s="84" t="n">
        <x:f>C2878^2-'Resumen'!$B$5^3/3</x:f>
        <x:v>-0.16318934581513567</x:v>
      </x:c>
      <x:c r="E2878" s="85" t="n">
        <x:f>D2878+'Resumen'!$B$5^3/3</x:f>
        <x:v>0.17014398751819765</x:v>
      </x:c>
    </x:row>
    <x:row r="2879">
      <x:c r="A2879" s="89" t="n">
        <x:v>2877</x:v>
      </x:c>
      <x:c r="B2879" s="80" t="n">
        <x:v>1.067606353597912</x:v>
      </x:c>
      <x:c r="C2879" s="84" t="n">
        <x:f>SQRT('Resumen'!$B$5^3/3)*B2879</x:f>
        <x:v>0.6163828156383092</x:v>
      </x:c>
      <x:c r="D2879" s="84" t="n">
        <x:f>C2879^2-'Resumen'!$B$5^3/3</x:f>
        <x:v>0.04659444208087654</x:v>
      </x:c>
      <x:c r="E2879" s="85" t="n">
        <x:f>D2879+'Resumen'!$B$5^3/3</x:f>
        <x:v>0.37992777541420986</x:v>
      </x:c>
    </x:row>
    <x:row r="2880">
      <x:c r="A2880" s="89" t="n">
        <x:v>2878</x:v>
      </x:c>
      <x:c r="B2880" s="80" t="n">
        <x:v>-0.6920683248314343</x:v>
      </x:c>
      <x:c r="C2880" s="84" t="n">
        <x:f>SQRT('Resumen'!$B$5^3/3)*B2880</x:f>
        <x:v>-0.39956583363904197</x:v>
      </x:c>
      <x:c r="D2880" s="84" t="n">
        <x:f>C2880^2-'Resumen'!$B$5^3/3</x:f>
        <x:v>-0.17368047792167077</x:v>
      </x:c>
      <x:c r="E2880" s="85" t="n">
        <x:f>D2880+'Resumen'!$B$5^3/3</x:f>
        <x:v>0.15965285541166255</x:v>
      </x:c>
    </x:row>
    <x:row r="2881">
      <x:c r="A2881" s="89" t="n">
        <x:v>2879</x:v>
      </x:c>
      <x:c r="B2881" s="80" t="n">
        <x:v>0.674355808423512</x:v>
      </x:c>
      <x:c r="C2881" s="84" t="n">
        <x:f>SQRT('Resumen'!$B$5^3/3)*B2881</x:f>
        <x:v>0.3893395075229023</x:v>
      </x:c>
      <x:c r="D2881" s="84" t="n">
        <x:f>C2881^2-'Resumen'!$B$5^3/3</x:f>
        <x:v>-0.1817480812151572</x:v>
      </x:c>
      <x:c r="E2881" s="85" t="n">
        <x:f>D2881+'Resumen'!$B$5^3/3</x:f>
        <x:v>0.1515852521181761</x:v>
      </x:c>
    </x:row>
    <x:row r="2882">
      <x:c r="A2882" s="89" t="n">
        <x:v>2880</x:v>
      </x:c>
      <x:c r="B2882" s="80" t="n">
        <x:v>0.21574289446476838</x:v>
      </x:c>
      <x:c r="C2882" s="84" t="n">
        <x:f>SQRT('Resumen'!$B$5^3/3)*B2882</x:f>
        <x:v>0.12455921819498304</x:v>
      </x:c>
      <x:c r="D2882" s="84" t="n">
        <x:f>C2882^2-'Resumen'!$B$5^3/3</x:f>
        <x:v>-0.3178183344959879</x:v>
      </x:c>
      <x:c r="E2882" s="85" t="n">
        <x:f>D2882+'Resumen'!$B$5^3/3</x:f>
        <x:v>0.015514998837345417</x:v>
      </x:c>
    </x:row>
    <x:row r="2883">
      <x:c r="A2883" s="89" t="n">
        <x:v>2881</x:v>
      </x:c>
      <x:c r="B2883" s="80" t="n">
        <x:v>-0.7824865219124721</x:v>
      </x:c>
      <x:c r="C2883" s="84" t="n">
        <x:f>SQRT('Resumen'!$B$5^3/3)*B2883</x:f>
        <x:v>-0.45176880406341974</x:v>
      </x:c>
      <x:c r="D2883" s="84" t="n">
        <x:f>C2883^2-'Resumen'!$B$5^3/3</x:f>
        <x:v>-0.1292382810084408</x:v>
      </x:c>
      <x:c r="E2883" s="85" t="n">
        <x:f>D2883+'Resumen'!$B$5^3/3</x:f>
        <x:v>0.20409505232489253</x:v>
      </x:c>
    </x:row>
    <x:row r="2884">
      <x:c r="A2884" s="89" t="n">
        <x:v>2882</x:v>
      </x:c>
      <x:c r="B2884" s="80" t="n">
        <x:v>1.4490398597488239</x:v>
      </x:c>
      <x:c r="C2884" s="84" t="n">
        <x:f>SQRT('Resumen'!$B$5^3/3)*B2884</x:f>
        <x:v>0.836603553092481</x:v>
      </x:c>
      <x:c r="D2884" s="84" t="n">
        <x:f>C2884^2-'Resumen'!$B$5^3/3</x:f>
        <x:v>0.3665721717136304</x:v>
      </x:c>
      <x:c r="E2884" s="85" t="n">
        <x:f>D2884+'Resumen'!$B$5^3/3</x:f>
        <x:v>0.6999055050469637</x:v>
      </x:c>
    </x:row>
    <x:row r="2885">
      <x:c r="A2885" s="89" t="n">
        <x:v>2883</x:v>
      </x:c>
      <x:c r="B2885" s="80" t="n">
        <x:v>0.2111750067517434</x:v>
      </x:c>
      <x:c r="C2885" s="84" t="n">
        <x:f>SQRT('Resumen'!$B$5^3/3)*B2885</x:f>
        <x:v>0.12192194699424008</x:v>
      </x:c>
      <x:c r="D2885" s="84" t="n">
        <x:f>C2885^2-'Resumen'!$B$5^3/3</x:f>
        <x:v>-0.31846837217446705</x:v>
      </x:c>
      <x:c r="E2885" s="85" t="n">
        <x:f>D2885+'Resumen'!$B$5^3/3</x:f>
        <x:v>0.014864961158866263</x:v>
      </x:c>
    </x:row>
    <x:row r="2886">
      <x:c r="A2886" s="89" t="n">
        <x:v>2884</x:v>
      </x:c>
      <x:c r="B2886" s="80" t="n">
        <x:v>-0.22313512605925703</x:v>
      </x:c>
      <x:c r="C2886" s="84" t="n">
        <x:f>SQRT('Resumen'!$B$5^3/3)*B2886</x:f>
        <x:v>-0.12882712509597313</x:v>
      </x:c>
      <x:c r="D2886" s="84" t="n">
        <x:f>C2886^2-'Resumen'!$B$5^3/3</x:f>
        <x:v>-0.3167369051728398</x:v>
      </x:c>
      <x:c r="E2886" s="85" t="n">
        <x:f>D2886+'Resumen'!$B$5^3/3</x:f>
        <x:v>0.016596428160493504</x:v>
      </x:c>
    </x:row>
    <x:row r="2887">
      <x:c r="A2887" s="89" t="n">
        <x:v>2885</x:v>
      </x:c>
      <x:c r="B2887" s="80" t="n">
        <x:v>-1.035500611782541</x:v>
      </x:c>
      <x:c r="C2887" s="84" t="n">
        <x:f>SQRT('Resumen'!$B$5^3/3)*B2887</x:f>
        <x:v>-0.5978465569586722</x:v>
      </x:c>
      <x:c r="D2887" s="84" t="n">
        <x:f>C2887^2-'Resumen'!$B$5^3/3</x:f>
        <x:v>0.024087172334005535</x:v>
      </x:c>
      <x:c r="E2887" s="85" t="n">
        <x:f>D2887+'Resumen'!$B$5^3/3</x:f>
        <x:v>0.35742050566733885</x:v>
      </x:c>
    </x:row>
    <x:row r="2888">
      <x:c r="A2888" s="89" t="n">
        <x:v>2886</x:v>
      </x:c>
      <x:c r="B2888" s="80" t="n">
        <x:v>-1.4490315597083772</x:v>
      </x:c>
      <x:c r="C2888" s="84" t="n">
        <x:f>SQRT('Resumen'!$B$5^3/3)*B2888</x:f>
        <x:v>-0.8365987610618948</x:v>
      </x:c>
      <x:c r="D2888" s="84" t="n">
        <x:f>C2888^2-'Resumen'!$B$5^3/3</x:f>
        <x:v>0.366564153676964</x:v>
      </x:c>
      <x:c r="E2888" s="85" t="n">
        <x:f>D2888+'Resumen'!$B$5^3/3</x:f>
        <x:v>0.6998974870102973</x:v>
      </x:c>
    </x:row>
    <x:row r="2889">
      <x:c r="A2889" s="89" t="n">
        <x:v>2887</x:v>
      </x:c>
      <x:c r="B2889" s="80" t="n">
        <x:v>-0.13063335960197142</x:v>
      </x:c>
      <x:c r="C2889" s="84" t="n">
        <x:f>SQRT('Resumen'!$B$5^3/3)*B2889</x:f>
        <x:v>-0.07542120533134337</x:v>
      </x:c>
      <x:c r="D2889" s="84" t="n">
        <x:f>C2889^2-'Resumen'!$B$5^3/3</x:f>
        <x:v>-0.32764497511970064</x:v>
      </x:c>
      <x:c r="E2889" s="85" t="n">
        <x:f>D2889+'Resumen'!$B$5^3/3</x:f>
        <x:v>0.005688358213632672</x:v>
      </x:c>
    </x:row>
    <x:row r="2890">
      <x:c r="A2890" s="89" t="n">
        <x:v>2888</x:v>
      </x:c>
      <x:c r="B2890" s="80" t="n">
        <x:v>-0.514022109324754</x:v>
      </x:c>
      <x:c r="C2890" s="84" t="n">
        <x:f>SQRT('Resumen'!$B$5^3/3)*B2890</x:f>
        <x:v>-0.296770803188066</x:v>
      </x:c>
      <x:c r="D2890" s="84" t="n">
        <x:f>C2890^2-'Resumen'!$B$5^3/3</x:f>
        <x:v>-0.24526042370844353</x:v>
      </x:c>
      <x:c r="E2890" s="85" t="n">
        <x:f>D2890+'Resumen'!$B$5^3/3</x:f>
        <x:v>0.08807290962488978</x:v>
      </x:c>
    </x:row>
    <x:row r="2891">
      <x:c r="A2891" s="89" t="n">
        <x:v>2889</x:v>
      </x:c>
      <x:c r="B2891" s="80" t="n">
        <x:v>0.9406059720527334</x:v>
      </x:c>
      <x:c r="C2891" s="84" t="n">
        <x:f>SQRT('Resumen'!$B$5^3/3)*B2891</x:f>
        <x:v>0.5430591111660152</x:v>
      </x:c>
      <x:c r="D2891" s="84" t="n">
        <x:f>C2891^2-'Resumen'!$B$5^3/3</x:f>
        <x:v>-0.038420135112910814</x:v>
      </x:c>
      <x:c r="E2891" s="85" t="n">
        <x:f>D2891+'Resumen'!$B$5^3/3</x:f>
        <x:v>0.2949131982204225</x:v>
      </x:c>
    </x:row>
    <x:row r="2892">
      <x:c r="A2892" s="89" t="n">
        <x:v>2890</x:v>
      </x:c>
      <x:c r="B2892" s="80" t="n">
        <x:v>-0.7644640038398308</x:v>
      </x:c>
      <x:c r="C2892" s="84" t="n">
        <x:f>SQRT('Resumen'!$B$5^3/3)*B2892</x:f>
        <x:v>-0.4413634984027054</x:v>
      </x:c>
      <x:c r="D2892" s="84" t="n">
        <x:f>C2892^2-'Resumen'!$B$5^3/3</x:f>
        <x:v>-0.13853159561105838</x:v>
      </x:c>
      <x:c r="E2892" s="85" t="n">
        <x:f>D2892+'Resumen'!$B$5^3/3</x:f>
        <x:v>0.19480173772227494</x:v>
      </x:c>
    </x:row>
    <x:row r="2893">
      <x:c r="A2893" s="89" t="n">
        <x:v>2891</x:v>
      </x:c>
      <x:c r="B2893" s="80" t="n">
        <x:v>0.33855505584787926</x:v>
      </x:c>
      <x:c r="C2893" s="84" t="n">
        <x:f>SQRT('Resumen'!$B$5^3/3)*B2893</x:f>
        <x:v>0.19546485262928187</x:v>
      </x:c>
      <x:c r="D2893" s="84" t="n">
        <x:f>C2893^2-'Resumen'!$B$5^3/3</x:f>
        <x:v>-0.29512682471994645</x:v>
      </x:c>
      <x:c r="E2893" s="85" t="n">
        <x:f>D2893+'Resumen'!$B$5^3/3</x:f>
        <x:v>0.03820650861338687</x:v>
      </x:c>
    </x:row>
    <x:row r="2894">
      <x:c r="A2894" s="89" t="n">
        <x:v>2892</x:v>
      </x:c>
      <x:c r="B2894" s="80" t="n">
        <x:v>-1.3924359192070042</x:v>
      </x:c>
      <x:c r="C2894" s="84" t="n">
        <x:f>SQRT('Resumen'!$B$5^3/3)*B2894</x:f>
        <x:v>-0.8039232527834678</x:v>
      </x:c>
      <x:c r="D2894" s="84" t="n">
        <x:f>C2894^2-'Resumen'!$B$5^3/3</x:f>
        <x:v>0.31295926303261806</x:v>
      </x:c>
      <x:c r="E2894" s="85" t="n">
        <x:f>D2894+'Resumen'!$B$5^3/3</x:f>
        <x:v>0.6462925963659514</x:v>
      </x:c>
    </x:row>
    <x:row r="2895">
      <x:c r="A2895" s="89" t="n">
        <x:v>2893</x:v>
      </x:c>
      <x:c r="B2895" s="80" t="n">
        <x:v>-1.3367550877608774</x:v>
      </x:c>
      <x:c r="C2895" s="84" t="n">
        <x:f>SQRT('Resumen'!$B$5^3/3)*B2895</x:f>
        <x:v>-0.7717759097593443</x:v>
      </x:c>
      <x:c r="D2895" s="84" t="n">
        <x:f>C2895^2-'Resumen'!$B$5^3/3</x:f>
        <x:v>0.26230472155153023</x:v>
      </x:c>
      <x:c r="E2895" s="85" t="n">
        <x:f>D2895+'Resumen'!$B$5^3/3</x:f>
        <x:v>0.5956380548848635</x:v>
      </x:c>
    </x:row>
    <x:row r="2896">
      <x:c r="A2896" s="89" t="n">
        <x:v>2894</x:v>
      </x:c>
      <x:c r="B2896" s="80" t="n">
        <x:v>-0.9722561663395858</x:v>
      </x:c>
      <x:c r="C2896" s="84" t="n">
        <x:f>SQRT('Resumen'!$B$5^3/3)*B2896</x:f>
        <x:v>-0.5613323593574334</x:v>
      </x:c>
      <x:c r="D2896" s="84" t="n">
        <x:f>C2896^2-'Resumen'!$B$5^3/3</x:f>
        <x:v>-0.01823931567155057</x:v>
      </x:c>
      <x:c r="E2896" s="85" t="n">
        <x:f>D2896+'Resumen'!$B$5^3/3</x:f>
        <x:v>0.31509401766178274</x:v>
      </x:c>
    </x:row>
    <x:row r="2897">
      <x:c r="A2897" s="89" t="n">
        <x:v>2895</x:v>
      </x:c>
      <x:c r="B2897" s="80" t="n">
        <x:v>-1.8193550558531424</x:v>
      </x:c>
      <x:c r="C2897" s="84" t="n">
        <x:f>SQRT('Resumen'!$B$5^3/3)*B2897</x:f>
        <x:v>-1.0504051312483182</x:v>
      </x:c>
      <x:c r="D2897" s="84" t="n">
        <x:f>C2897^2-'Resumen'!$B$5^3/3</x:f>
        <x:v>0.7700176064194635</x:v>
      </x:c>
      <x:c r="E2897" s="85" t="n">
        <x:f>D2897+'Resumen'!$B$5^3/3</x:f>
        <x:v>1.1033509397527967</x:v>
      </x:c>
    </x:row>
    <x:row r="2898">
      <x:c r="A2898" s="89" t="n">
        <x:v>2896</x:v>
      </x:c>
      <x:c r="B2898" s="80" t="n">
        <x:v>-0.19346141018827584</x:v>
      </x:c>
      <x:c r="C2898" s="84" t="n">
        <x:f>SQRT('Resumen'!$B$5^3/3)*B2898</x:f>
        <x:v>-0.11169499725000566</x:v>
      </x:c>
      <x:c r="D2898" s="84" t="n">
        <x:f>C2898^2-'Resumen'!$B$5^3/3</x:f>
        <x:v>-0.32085756092265455</x:v>
      </x:c>
      <x:c r="E2898" s="85" t="n">
        <x:f>D2898+'Resumen'!$B$5^3/3</x:f>
        <x:v>0.012475772410678765</x:v>
      </x:c>
    </x:row>
    <x:row r="2899">
      <x:c r="A2899" s="89" t="n">
        <x:v>2897</x:v>
      </x:c>
      <x:c r="B2899" s="80" t="n">
        <x:v>0.1562094311306155</x:v>
      </x:c>
      <x:c r="C2899" s="84" t="n">
        <x:f>SQRT('Resumen'!$B$5^3/3)*B2899</x:f>
        <x:v>0.09018755711321916</x:v>
      </x:c>
      <x:c r="D2899" s="84" t="n">
        <x:f>C2899^2-'Resumen'!$B$5^3/3</x:f>
        <x:v>-0.32519953787528316</x:v>
      </x:c>
      <x:c r="E2899" s="85" t="n">
        <x:f>D2899+'Resumen'!$B$5^3/3</x:f>
        <x:v>0.008133795458050153</x:v>
      </x:c>
    </x:row>
    <x:row r="2900">
      <x:c r="A2900" s="89" t="n">
        <x:v>2898</x:v>
      </x:c>
      <x:c r="B2900" s="80" t="n">
        <x:v>-1.1833566840462812</x:v>
      </x:c>
      <x:c r="C2900" s="84" t="n">
        <x:f>SQRT('Resumen'!$B$5^3/3)*B2900</x:f>
        <x:v>-0.6832113000814634</x:v>
      </x:c>
      <x:c r="D2900" s="84" t="n">
        <x:f>C2900^2-'Resumen'!$B$5^3/3</x:f>
        <x:v>0.13344434722567006</x:v>
      </x:c>
      <x:c r="E2900" s="85" t="n">
        <x:f>D2900+'Resumen'!$B$5^3/3</x:f>
        <x:v>0.46677768055900337</x:v>
      </x:c>
    </x:row>
    <x:row r="2901">
      <x:c r="A2901" s="89" t="n">
        <x:v>2899</x:v>
      </x:c>
      <x:c r="B2901" s="80" t="n">
        <x:v>-0.7716016386250819</x:v>
      </x:c>
      <x:c r="C2901" s="84" t="n">
        <x:f>SQRT('Resumen'!$B$5^3/3)*B2901</x:f>
        <x:v>-0.4454844137673474</x:v>
      </x:c>
      <x:c r="D2901" s="84" t="n">
        <x:f>C2901^2-'Resumen'!$B$5^3/3</x:f>
        <x:v>-0.13487697042369615</x:v>
      </x:c>
      <x:c r="E2901" s="85" t="n">
        <x:f>D2901+'Resumen'!$B$5^3/3</x:f>
        <x:v>0.19845636290963717</x:v>
      </x:c>
    </x:row>
    <x:row r="2902">
      <x:c r="A2902" s="89" t="n">
        <x:v>2900</x:v>
      </x:c>
      <x:c r="B2902" s="80" t="n">
        <x:v>-1.9155018171524107</x:v>
      </x:c>
      <x:c r="C2902" s="84" t="n">
        <x:f>SQRT('Resumen'!$B$5^3/3)*B2902</x:f>
        <x:v>-1.1059154897661616</x:v>
      </x:c>
      <x:c r="D2902" s="84" t="n">
        <x:f>C2902^2-'Resumen'!$B$5^3/3</x:f>
        <x:v>0.8897157371713957</x:v>
      </x:c>
      <x:c r="E2902" s="85" t="n">
        <x:f>D2902+'Resumen'!$B$5^3/3</x:f>
        <x:v>1.223049070504729</x:v>
      </x:c>
    </x:row>
    <x:row r="2903">
      <x:c r="A2903" s="89" t="n">
        <x:v>2901</x:v>
      </x:c>
      <x:c r="B2903" s="80" t="n">
        <x:v>-0.17394842389156678</x:v>
      </x:c>
      <x:c r="C2903" s="84" t="n">
        <x:f>SQRT('Resumen'!$B$5^3/3)*B2903</x:f>
        <x:v>-0.10042916935890721</x:v>
      </x:c>
      <x:c r="D2903" s="84" t="n">
        <x:f>C2903^2-'Resumen'!$B$5^3/3</x:f>
        <x:v>-0.3232473152752132</x:v>
      </x:c>
      <x:c r="E2903" s="85" t="n">
        <x:f>D2903+'Resumen'!$B$5^3/3</x:f>
        <x:v>0.010086018058120094</x:v>
      </x:c>
    </x:row>
    <x:row r="2904">
      <x:c r="A2904" s="89" t="n">
        <x:v>2902</x:v>
      </x:c>
      <x:c r="B2904" s="80" t="n">
        <x:v>1.4698954424610629</x:v>
      </x:c>
      <x:c r="C2904" s="84" t="n">
        <x:f>SQRT('Resumen'!$B$5^3/3)*B2904</x:f>
        <x:v>0.8486445293854986</x:v>
      </x:c>
      <x:c r="D2904" s="84" t="n">
        <x:f>C2904^2-'Resumen'!$B$5^3/3</x:f>
        <x:v>0.38686420392260107</x:v>
      </x:c>
      <x:c r="E2904" s="85" t="n">
        <x:f>D2904+'Resumen'!$B$5^3/3</x:f>
        <x:v>0.7201975372559344</x:v>
      </x:c>
    </x:row>
    <x:row r="2905">
      <x:c r="A2905" s="89" t="n">
        <x:v>2903</x:v>
      </x:c>
      <x:c r="B2905" s="80" t="n">
        <x:v>-0.9440281864302247</x:v>
      </x:c>
      <x:c r="C2905" s="84" t="n">
        <x:f>SQRT('Resumen'!$B$5^3/3)*B2905</x:f>
        <x:v>-0.5450349275580844</x:v>
      </x:c>
      <x:c r="D2905" s="84" t="n">
        <x:f>C2905^2-'Resumen'!$B$5^3/3</x:f>
        <x:v>-0.036270261075087074</x:v>
      </x:c>
      <x:c r="E2905" s="85" t="n">
        <x:f>D2905+'Resumen'!$B$5^3/3</x:f>
        <x:v>0.29706307225824624</x:v>
      </x:c>
    </x:row>
    <x:row r="2906">
      <x:c r="A2906" s="89" t="n">
        <x:v>2904</x:v>
      </x:c>
      <x:c r="B2906" s="80" t="n">
        <x:v>-2.2332853998015203</x:v>
      </x:c>
      <x:c r="C2906" s="84" t="n">
        <x:f>SQRT('Resumen'!$B$5^3/3)*B2906</x:f>
        <x:v>-1.2893879267526687</x:v>
      </x:c>
      <x:c r="D2906" s="84" t="n">
        <x:f>C2906^2-'Resumen'!$B$5^3/3</x:f>
        <x:v>1.329187892322212</x:v>
      </x:c>
      <x:c r="E2906" s="85" t="n">
        <x:f>D2906+'Resumen'!$B$5^3/3</x:f>
        <x:v>1.6625212256555453</x:v>
      </x:c>
    </x:row>
    <x:row r="2907">
      <x:c r="A2907" s="89" t="n">
        <x:v>2905</x:v>
      </x:c>
      <x:c r="B2907" s="80" t="n">
        <x:v>1.4094375910494206</x:v>
      </x:c>
      <x:c r="C2907" s="84" t="n">
        <x:f>SQRT('Resumen'!$B$5^3/3)*B2907</x:f>
        <x:v>0.8137391725983606</x:v>
      </x:c>
      <x:c r="D2907" s="84" t="n">
        <x:f>C2907^2-'Resumen'!$B$5^3/3</x:f>
        <x:v>0.3288381076877312</x:v>
      </x:c>
      <x:c r="E2907" s="85" t="n">
        <x:f>D2907+'Resumen'!$B$5^3/3</x:f>
        <x:v>0.6621714410210645</x:v>
      </x:c>
    </x:row>
    <x:row r="2908">
      <x:c r="A2908" s="89" t="n">
        <x:v>2906</x:v>
      </x:c>
      <x:c r="B2908" s="80" t="n">
        <x:v>-0.25388517131988003</x:v>
      </x:c>
      <x:c r="C2908" s="84" t="n">
        <x:f>SQRT('Resumen'!$B$5^3/3)*B2908</x:f>
        <x:v>-0.14658067200478697</x:v>
      </x:c>
      <x:c r="D2908" s="84" t="n">
        <x:f>C2908^2-'Resumen'!$B$5^3/3</x:f>
        <x:v>-0.3118474399279584</x:v>
      </x:c>
      <x:c r="E2908" s="85" t="n">
        <x:f>D2908+'Resumen'!$B$5^3/3</x:f>
        <x:v>0.021485893405374934</x:v>
      </x:c>
    </x:row>
    <x:row r="2909">
      <x:c r="A2909" s="89" t="n">
        <x:v>2907</x:v>
      </x:c>
      <x:c r="B2909" s="80" t="n">
        <x:v>0.6018824901765009</x:v>
      </x:c>
      <x:c r="C2909" s="84" t="n">
        <x:f>SQRT('Resumen'!$B$5^3/3)*B2909</x:f>
        <x:v>0.34749701772392505</x:v>
      </x:c>
      <x:c r="D2909" s="84" t="n">
        <x:f>C2909^2-'Resumen'!$B$5^3/3</x:f>
        <x:v>-0.21257915600631144</x:v>
      </x:c>
      <x:c r="E2909" s="85" t="n">
        <x:f>D2909+'Resumen'!$B$5^3/3</x:f>
        <x:v>0.12075417732702187</x:v>
      </x:c>
    </x:row>
    <x:row r="2910">
      <x:c r="A2910" s="89" t="n">
        <x:v>2908</x:v>
      </x:c>
      <x:c r="B2910" s="80" t="n">
        <x:v>-0.41785720922526476</x:v>
      </x:c>
      <x:c r="C2910" s="84" t="n">
        <x:f>SQRT('Resumen'!$B$5^3/3)*B2910</x:f>
        <x:v>-0.24124997222903236</x:v>
      </x:c>
      <x:c r="D2910" s="84" t="n">
        <x:f>C2910^2-'Resumen'!$B$5^3/3</x:f>
        <x:v>-0.2751317842328244</x:v>
      </x:c>
      <x:c r="E2910" s="85" t="n">
        <x:f>D2910+'Resumen'!$B$5^3/3</x:f>
        <x:v>0.0582015491005089</x:v>
      </x:c>
    </x:row>
    <x:row r="2911">
      <x:c r="A2911" s="89" t="n">
        <x:v>2909</x:v>
      </x:c>
      <x:c r="B2911" s="80" t="n">
        <x:v>0.16482230834495773</x:v>
      </x:c>
      <x:c r="C2911" s="84" t="n">
        <x:f>SQRT('Resumen'!$B$5^3/3)*B2911</x:f>
        <x:v>0.09516020409141684</x:v>
      </x:c>
      <x:c r="D2911" s="84" t="n">
        <x:f>C2911^2-'Resumen'!$B$5^3/3</x:f>
        <x:v>-0.3242778688906132</x:v>
      </x:c>
      <x:c r="E2911" s="85" t="n">
        <x:f>D2911+'Resumen'!$B$5^3/3</x:f>
        <x:v>0.009055464442720096</x:v>
      </x:c>
    </x:row>
    <x:row r="2912">
      <x:c r="A2912" s="89" t="n">
        <x:v>2910</x:v>
      </x:c>
      <x:c r="B2912" s="80" t="n">
        <x:v>0.07107965645409765</x:v>
      </x:c>
      <x:c r="C2912" s="84" t="n">
        <x:f>SQRT('Resumen'!$B$5^3/3)*B2912</x:f>
        <x:v>0.0410378587876794</x:v>
      </x:c>
      <x:c r="D2912" s="84" t="n">
        <x:f>C2912^2-'Resumen'!$B$5^3/3</x:f>
        <x:v>-0.3316492274794558</x:v>
      </x:c>
      <x:c r="E2912" s="85" t="n">
        <x:f>D2912+'Resumen'!$B$5^3/3</x:f>
        <x:v>0.0016841058538775155</x:v>
      </x:c>
    </x:row>
    <x:row r="2913">
      <x:c r="A2913" s="89" t="n">
        <x:v>2911</x:v>
      </x:c>
      <x:c r="B2913" s="80" t="n">
        <x:v>0.3502553708472761</x:v>
      </x:c>
      <x:c r="C2913" s="84" t="n">
        <x:f>SQRT('Resumen'!$B$5^3/3)*B2913</x:f>
        <x:v>0.20222003264378705</x:v>
      </x:c>
      <x:c r="D2913" s="84" t="n">
        <x:f>C2913^2-'Resumen'!$B$5^3/3</x:f>
        <x:v>-0.292440391730879</x:v>
      </x:c>
      <x:c r="E2913" s="85" t="n">
        <x:f>D2913+'Resumen'!$B$5^3/3</x:f>
        <x:v>0.040892941602454325</x:v>
      </x:c>
    </x:row>
    <x:row r="2914">
      <x:c r="A2914" s="89" t="n">
        <x:v>2912</x:v>
      </x:c>
      <x:c r="B2914" s="80" t="n">
        <x:v>-1.1071416553642672</x:v>
      </x:c>
      <x:c r="C2914" s="84" t="n">
        <x:f>SQRT('Resumen'!$B$5^3/3)*B2914</x:f>
        <x:v>-0.6392085327556075</x:v>
      </x:c>
      <x:c r="D2914" s="84" t="n">
        <x:f>C2914^2-'Resumen'!$B$5^3/3</x:f>
        <x:v>0.07525421501424323</x:v>
      </x:c>
      <x:c r="E2914" s="85" t="n">
        <x:f>D2914+'Resumen'!$B$5^3/3</x:f>
        <x:v>0.40858754834757655</x:v>
      </x:c>
    </x:row>
    <x:row r="2915">
      <x:c r="A2915" s="89" t="n">
        <x:v>2913</x:v>
      </x:c>
      <x:c r="B2915" s="80" t="n">
        <x:v>1.5927536959656687</x:v>
      </x:c>
      <x:c r="C2915" s="84" t="n">
        <x:f>SQRT('Resumen'!$B$5^3/3)*B2915</x:f>
        <x:v>0.9195767751185502</x:v>
      </x:c>
      <x:c r="D2915" s="84" t="n">
        <x:f>C2915^2-'Resumen'!$B$5^3/3</x:f>
        <x:v>0.5122881120040994</x:v>
      </x:c>
      <x:c r="E2915" s="85" t="n">
        <x:f>D2915+'Resumen'!$B$5^3/3</x:f>
        <x:v>0.8456214453374327</x:v>
      </x:c>
    </x:row>
    <x:row r="2916">
      <x:c r="A2916" s="89" t="n">
        <x:v>2914</x:v>
      </x:c>
      <x:c r="B2916" s="80" t="n">
        <x:v>-0.5879135631388496</x:v>
      </x:c>
      <x:c r="C2916" s="84" t="n">
        <x:f>SQRT('Resumen'!$B$5^3/3)*B2916</x:f>
        <x:v>-0.33943205393844683</x:v>
      </x:c>
      <x:c r="D2916" s="84" t="n">
        <x:f>C2916^2-'Resumen'!$B$5^3/3</x:f>
        <x:v>-0.21811921409246066</x:v>
      </x:c>
      <x:c r="E2916" s="85" t="n">
        <x:f>D2916+'Resumen'!$B$5^3/3</x:f>
        <x:v>0.11521411924087266</x:v>
      </x:c>
    </x:row>
    <x:row r="2917">
      <x:c r="A2917" s="89" t="n">
        <x:v>2915</x:v>
      </x:c>
      <x:c r="B2917" s="80" t="n">
        <x:v>0.2116099098987172</x:v>
      </x:c>
      <x:c r="C2917" s="84" t="n">
        <x:f>SQRT('Resumen'!$B$5^3/3)*B2917</x:f>
        <x:v>0.12217303844321682</x:v>
      </x:c>
      <x:c r="D2917" s="84" t="n">
        <x:f>C2917^2-'Resumen'!$B$5^3/3</x:f>
        <x:v>-0.3184070820108856</x:v>
      </x:c>
      <x:c r="E2917" s="85" t="n">
        <x:f>D2917+'Resumen'!$B$5^3/3</x:f>
        <x:v>0.014926251322447737</x:v>
      </x:c>
    </x:row>
    <x:row r="2918">
      <x:c r="A2918" s="89" t="n">
        <x:v>2916</x:v>
      </x:c>
      <x:c r="B2918" s="80" t="n">
        <x:v>1.670745970968039</x:v>
      </x:c>
      <x:c r="C2918" s="84" t="n">
        <x:f>SQRT('Resumen'!$B$5^3/3)*B2918</x:f>
        <x:v>0.9646056360858799</x:v>
      </x:c>
      <x:c r="D2918" s="84" t="n">
        <x:f>C2918^2-'Resumen'!$B$5^3/3</x:f>
        <x:v>0.5971306998353116</x:v>
      </x:c>
      <x:c r="E2918" s="85" t="n">
        <x:f>D2918+'Resumen'!$B$5^3/3</x:f>
        <x:v>0.9304640331686449</x:v>
      </x:c>
    </x:row>
    <x:row r="2919">
      <x:c r="A2919" s="89" t="n">
        <x:v>2917</x:v>
      </x:c>
      <x:c r="B2919" s="80" t="n">
        <x:v>1.0615771398452754</x:v>
      </x:c>
      <x:c r="C2919" s="84" t="n">
        <x:f>SQRT('Resumen'!$B$5^3/3)*B2919</x:f>
        <x:v>0.6129018474552227</x:v>
      </x:c>
      <x:c r="D2919" s="84" t="n">
        <x:f>C2919^2-'Resumen'!$B$5^3/3</x:f>
        <x:v>0.042315341280691754</x:v>
      </x:c>
      <x:c r="E2919" s="85" t="n">
        <x:f>D2919+'Resumen'!$B$5^3/3</x:f>
        <x:v>0.37564867461402507</x:v>
      </x:c>
    </x:row>
    <x:row r="2920">
      <x:c r="A2920" s="89" t="n">
        <x:v>2918</x:v>
      </x:c>
      <x:c r="B2920" s="80" t="n">
        <x:v>1.4701909611343755</x:v>
      </x:c>
      <x:c r="C2920" s="84" t="n">
        <x:f>SQRT('Resumen'!$B$5^3/3)*B2920</x:f>
        <x:v>0.8488151471710863</x:v>
      </x:c>
      <x:c r="D2920" s="84" t="n">
        <x:f>C2920^2-'Resumen'!$B$5^3/3</x:f>
        <x:v>0.38715382073373955</x:v>
      </x:c>
      <x:c r="E2920" s="85" t="n">
        <x:f>D2920+'Resumen'!$B$5^3/3</x:f>
        <x:v>0.7204871540670729</x:v>
      </x:c>
    </x:row>
    <x:row r="2921">
      <x:c r="A2921" s="89" t="n">
        <x:v>2919</x:v>
      </x:c>
      <x:c r="B2921" s="80" t="n">
        <x:v>1.2696959730938067</x:v>
      </x:c>
      <x:c r="C2921" s="84" t="n">
        <x:f>SQRT('Resumen'!$B$5^3/3)*B2921</x:f>
        <x:v>0.7330593118546931</x:v>
      </x:c>
      <x:c r="D2921" s="84" t="n">
        <x:f>C2921^2-'Resumen'!$B$5^3/3</x:f>
        <x:v>0.20404262136354284</x:v>
      </x:c>
      <x:c r="E2921" s="85" t="n">
        <x:f>D2921+'Resumen'!$B$5^3/3</x:f>
        <x:v>0.5373759546968762</x:v>
      </x:c>
    </x:row>
    <x:row r="2922">
      <x:c r="A2922" s="89" t="n">
        <x:v>2920</x:v>
      </x:c>
      <x:c r="B2922" s="80" t="n">
        <x:v>1.8777544586631112</x:v>
      </x:c>
      <x:c r="C2922" s="84" t="n">
        <x:f>SQRT('Resumen'!$B$5^3/3)*B2922</x:f>
        <x:v>1.0841220421811673</x:v>
      </x:c>
      <x:c r="D2922" s="84" t="n">
        <x:f>C2922^2-'Resumen'!$B$5^3/3</x:f>
        <x:v>0.8419872690097314</x:v>
      </x:c>
      <x:c r="E2922" s="85" t="n">
        <x:f>D2922+'Resumen'!$B$5^3/3</x:f>
        <x:v>1.1753206023430647</x:v>
      </x:c>
    </x:row>
    <x:row r="2923">
      <x:c r="A2923" s="89" t="n">
        <x:v>2921</x:v>
      </x:c>
      <x:c r="B2923" s="80" t="n">
        <x:v>0.3401367936888328</x:v>
      </x:c>
      <x:c r="C2923" s="84" t="n">
        <x:f>SQRT('Resumen'!$B$5^3/3)*B2923</x:f>
        <x:v>0.19637806939754382</x:v>
      </x:c>
      <x:c r="D2923" s="84" t="n">
        <x:f>C2923^2-'Resumen'!$B$5^3/3</x:f>
        <x:v>-0.2947689871930268</x:v>
      </x:c>
      <x:c r="E2923" s="85" t="n">
        <x:f>D2923+'Resumen'!$B$5^3/3</x:f>
        <x:v>0.038564346140306516</x:v>
      </x:c>
    </x:row>
    <x:row r="2924">
      <x:c r="A2924" s="89" t="n">
        <x:v>2922</x:v>
      </x:c>
      <x:c r="B2924" s="80" t="n">
        <x:v>-0.4430107172688012</x:v>
      </x:c>
      <x:c r="C2924" s="84" t="n">
        <x:f>SQRT('Resumen'!$B$5^3/3)*B2924</x:f>
        <x:v>-0.25577235686903155</x:v>
      </x:c>
      <x:c r="D2924" s="84" t="n">
        <x:f>C2924^2-'Resumen'!$B$5^3/3</x:f>
        <x:v>-0.2679138347949941</x:v>
      </x:c>
      <x:c r="E2924" s="85" t="n">
        <x:f>D2924+'Resumen'!$B$5^3/3</x:f>
        <x:v>0.06541949853833923</x:v>
      </x:c>
    </x:row>
    <x:row r="2925">
      <x:c r="A2925" s="89" t="n">
        <x:v>2923</x:v>
      </x:c>
      <x:c r="B2925" s="80" t="n">
        <x:v>0.6357168305562569</x:v>
      </x:c>
      <x:c r="C2925" s="84" t="n">
        <x:f>SQRT('Resumen'!$B$5^3/3)*B2925</x:f>
        <x:v>0.36703128325003065</x:v>
      </x:c>
      <x:c r="D2925" s="84" t="n">
        <x:f>C2925^2-'Resumen'!$B$5^3/3</x:f>
        <x:v>-0.19862137044916908</x:v>
      </x:c>
      <x:c r="E2925" s="85" t="n">
        <x:f>D2925+'Resumen'!$B$5^3/3</x:f>
        <x:v>0.13471196288416423</x:v>
      </x:c>
    </x:row>
    <x:row r="2926">
      <x:c r="A2926" s="89" t="n">
        <x:v>2924</x:v>
      </x:c>
      <x:c r="B2926" s="80" t="n">
        <x:v>1.3734340762275286</x:v>
      </x:c>
      <x:c r="C2926" s="84" t="n">
        <x:f>SQRT('Resumen'!$B$5^3/3)*B2926</x:f>
        <x:v>0.7929525336241685</x:v>
      </x:c>
      <x:c r="D2926" s="84" t="n">
        <x:f>C2926^2-'Resumen'!$B$5^3/3</x:f>
        <x:v>0.2954403872476548</x:v>
      </x:c>
      <x:c r="E2926" s="85" t="n">
        <x:f>D2926+'Resumen'!$B$5^3/3</x:f>
        <x:v>0.6287737205809881</x:v>
      </x:c>
    </x:row>
    <x:row r="2927">
      <x:c r="A2927" s="89" t="n">
        <x:v>2925</x:v>
      </x:c>
      <x:c r="B2927" s="80" t="n">
        <x:v>0.31785356173984586</x:v>
      </x:c>
      <x:c r="C2927" s="84" t="n">
        <x:f>SQRT('Resumen'!$B$5^3/3)*B2927</x:f>
        <x:v>0.18351283943338134</x:v>
      </x:c>
      <x:c r="D2927" s="84" t="n">
        <x:f>C2927^2-'Resumen'!$B$5^3/3</x:f>
        <x:v>-0.2996563710964313</x:v>
      </x:c>
      <x:c r="E2927" s="85" t="n">
        <x:f>D2927+'Resumen'!$B$5^3/3</x:f>
        <x:v>0.03367696223690203</x:v>
      </x:c>
    </x:row>
    <x:row r="2928">
      <x:c r="A2928" s="89" t="n">
        <x:v>2926</x:v>
      </x:c>
      <x:c r="B2928" s="80" t="n">
        <x:v>1.7422589455419828</x:v>
      </x:c>
      <x:c r="C2928" s="84" t="n">
        <x:f>SQRT('Resumen'!$B$5^3/3)*B2928</x:f>
        <x:v>1.0058936712066973</x:v>
      </x:c>
      <x:c r="D2928" s="84" t="n">
        <x:f>C2928^2-'Resumen'!$B$5^3/3</x:f>
        <x:v>0.678488744440354</x:v>
      </x:c>
      <x:c r="E2928" s="85" t="n">
        <x:f>D2928+'Resumen'!$B$5^3/3</x:f>
        <x:v>1.0118220777736873</x:v>
      </x:c>
    </x:row>
    <x:row r="2929">
      <x:c r="A2929" s="89" t="n">
        <x:v>2927</x:v>
      </x:c>
      <x:c r="B2929" s="80" t="n">
        <x:v>-0.5660720046824667</x:v>
      </x:c>
      <x:c r="C2929" s="84" t="n">
        <x:f>SQRT('Resumen'!$B$5^3/3)*B2929</x:f>
        <x:v>-0.3268218242841332</x:v>
      </x:c>
      <x:c r="D2929" s="84" t="n">
        <x:f>C2929^2-'Resumen'!$B$5^3/3</x:f>
        <x:v>-0.22652082850492447</x:v>
      </x:c>
      <x:c r="E2929" s="85" t="n">
        <x:f>D2929+'Resumen'!$B$5^3/3</x:f>
        <x:v>0.10681250482840884</x:v>
      </x:c>
    </x:row>
    <x:row r="2930">
      <x:c r="A2930" s="89" t="n">
        <x:v>2928</x:v>
      </x:c>
      <x:c r="B2930" s="80" t="n">
        <x:v>0.855893323304811</x:v>
      </x:c>
      <x:c r="C2930" s="84" t="n">
        <x:f>SQRT('Resumen'!$B$5^3/3)*B2930</x:f>
        <x:v>0.494150240607636</x:v>
      </x:c>
      <x:c r="D2930" s="84" t="n">
        <x:f>C2930^2-'Resumen'!$B$5^3/3</x:f>
        <x:v>-0.08914887304074876</x:v>
      </x:c>
      <x:c r="E2930" s="85" t="n">
        <x:f>D2930+'Resumen'!$B$5^3/3</x:f>
        <x:v>0.24418446029258456</x:v>
      </x:c>
    </x:row>
    <x:row r="2931">
      <x:c r="A2931" s="89" t="n">
        <x:v>2929</x:v>
      </x:c>
      <x:c r="B2931" s="80" t="n">
        <x:v>1.3209018806584603</x:v>
      </x:c>
      <x:c r="C2931" s="84" t="n">
        <x:f>SQRT('Resumen'!$B$5^3/3)*B2931</x:f>
        <x:v>0.762623056371245</x:v>
      </x:c>
      <x:c r="D2931" s="84" t="n">
        <x:f>C2931^2-'Resumen'!$B$5^3/3</x:f>
        <x:v>0.24826059277568574</x:v>
      </x:c>
      <x:c r="E2931" s="85" t="n">
        <x:f>D2931+'Resumen'!$B$5^3/3</x:f>
        <x:v>0.581593926109019</x:v>
      </x:c>
    </x:row>
    <x:row r="2932">
      <x:c r="A2932" s="89" t="n">
        <x:v>2930</x:v>
      </x:c>
      <x:c r="B2932" s="80" t="n">
        <x:v>-1.4430291966516184</x:v>
      </x:c>
      <x:c r="C2932" s="84" t="n">
        <x:f>SQRT('Resumen'!$B$5^3/3)*B2932</x:f>
        <x:v>-0.8331332951353013</x:v>
      </x:c>
      <x:c r="D2932" s="84" t="n">
        <x:f>C2932^2-'Resumen'!$B$5^3/3</x:f>
        <x:v>0.3607777541296718</x:v>
      </x:c>
      <x:c r="E2932" s="85" t="n">
        <x:f>D2932+'Resumen'!$B$5^3/3</x:f>
        <x:v>0.6941110874630051</x:v>
      </x:c>
    </x:row>
    <x:row r="2933">
      <x:c r="A2933" s="89" t="n">
        <x:v>2931</x:v>
      </x:c>
      <x:c r="B2933" s="80" t="n">
        <x:v>0.5623772019276927</x:v>
      </x:c>
      <x:c r="C2933" s="84" t="n">
        <x:f>SQRT('Resumen'!$B$5^3/3)*B2933</x:f>
        <x:v>0.32468862891906186</x:v>
      </x:c>
      <x:c r="D2933" s="84" t="n">
        <x:f>C2933^2-'Resumen'!$B$5^3/3</x:f>
        <x:v>-0.22791062758399305</x:v>
      </x:c>
      <x:c r="E2933" s="85" t="n">
        <x:f>D2933+'Resumen'!$B$5^3/3</x:f>
        <x:v>0.10542270574934026</x:v>
      </x:c>
    </x:row>
    <x:row r="2934">
      <x:c r="A2934" s="89" t="n">
        <x:v>2932</x:v>
      </x:c>
      <x:c r="B2934" s="80" t="n">
        <x:v>-1.814834773170014</x:v>
      </x:c>
      <x:c r="C2934" s="84" t="n">
        <x:f>SQRT('Resumen'!$B$5^3/3)*B2934</x:f>
        <x:v>-1.047795344824401</x:v>
      </x:c>
      <x:c r="D2934" s="84" t="n">
        <x:f>C2934^2-'Resumen'!$B$5^3/3</x:f>
        <x:v>0.7645417513023522</x:v>
      </x:c>
      <x:c r="E2934" s="85" t="n">
        <x:f>D2934+'Resumen'!$B$5^3/3</x:f>
        <x:v>1.0978750846356855</x:v>
      </x:c>
    </x:row>
    <x:row r="2935">
      <x:c r="A2935" s="89" t="n">
        <x:v>2933</x:v>
      </x:c>
      <x:c r="B2935" s="80" t="n">
        <x:v>1.5485074309106581</x:v>
      </x:c>
      <x:c r="C2935" s="84" t="n">
        <x:f>SQRT('Resumen'!$B$5^3/3)*B2935</x:f>
        <x:v>0.8940311820784043</x:v>
      </x:c>
      <x:c r="D2935" s="84" t="n">
        <x:f>C2935^2-'Resumen'!$B$5^3/3</x:f>
        <x:v>0.46595842119517555</x:v>
      </x:c>
      <x:c r="E2935" s="85" t="n">
        <x:f>D2935+'Resumen'!$B$5^3/3</x:f>
        <x:v>0.7992917545285089</x:v>
      </x:c>
    </x:row>
    <x:row r="2936">
      <x:c r="A2936" s="89" t="n">
        <x:v>2934</x:v>
      </x:c>
      <x:c r="B2936" s="80" t="n">
        <x:v>1.238655082672898</x:v>
      </x:c>
      <x:c r="C2936" s="84" t="n">
        <x:f>SQRT('Resumen'!$B$5^3/3)*B2936</x:f>
        <x:v>0.7151378454142957</x:v>
      </x:c>
      <x:c r="D2936" s="84" t="n">
        <x:f>C2936^2-'Resumen'!$B$5^3/3</x:f>
        <x:v>0.17808880461046778</x:v>
      </x:c>
      <x:c r="E2936" s="85" t="n">
        <x:f>D2936+'Resumen'!$B$5^3/3</x:f>
        <x:v>0.5114221379438011</x:v>
      </x:c>
    </x:row>
    <x:row r="2937">
      <x:c r="A2937" s="89" t="n">
        <x:v>2935</x:v>
      </x:c>
      <x:c r="B2937" s="80" t="n">
        <x:v>1.8545610657541047</x:v>
      </x:c>
      <x:c r="C2937" s="84" t="n">
        <x:f>SQRT('Resumen'!$B$5^3/3)*B2937</x:f>
        <x:v>1.0707313305417316</x:v>
      </x:c>
      <x:c r="D2937" s="84" t="n">
        <x:f>C2937^2-'Resumen'!$B$5^3/3</x:f>
        <x:v>0.8131322488703336</x:v>
      </x:c>
      <x:c r="E2937" s="85" t="n">
        <x:f>D2937+'Resumen'!$B$5^3/3</x:f>
        <x:v>1.146465582203667</x:v>
      </x:c>
    </x:row>
    <x:row r="2938">
      <x:c r="A2938" s="89" t="n">
        <x:v>2936</x:v>
      </x:c>
      <x:c r="B2938" s="80" t="n">
        <x:v>1.2223311726007795</x:v>
      </x:c>
      <x:c r="C2938" s="84" t="n">
        <x:f>SQRT('Resumen'!$B$5^3/3)*B2938</x:f>
        <x:v>0.7057132315399309</x:v>
      </x:c>
      <x:c r="D2938" s="84" t="n">
        <x:f>C2938^2-'Resumen'!$B$5^3/3</x:f>
        <x:v>0.16469783183719883</x:v>
      </x:c>
      <x:c r="E2938" s="85" t="n">
        <x:f>D2938+'Resumen'!$B$5^3/3</x:f>
        <x:v>0.49803116517053214</x:v>
      </x:c>
    </x:row>
    <x:row r="2939">
      <x:c r="A2939" s="89" t="n">
        <x:v>2937</x:v>
      </x:c>
      <x:c r="B2939" s="80" t="n">
        <x:v>-0.255153591458738</x:v>
      </x:c>
      <x:c r="C2939" s="84" t="n">
        <x:f>SQRT('Resumen'!$B$5^3/3)*B2939</x:f>
        <x:v>-0.14731299471340217</x:v>
      </x:c>
      <x:c r="D2939" s="84" t="n">
        <x:f>C2939^2-'Resumen'!$B$5^3/3</x:f>
        <x:v>-0.31163221492190246</x:v>
      </x:c>
      <x:c r="E2939" s="85" t="n">
        <x:f>D2939+'Resumen'!$B$5^3/3</x:f>
        <x:v>0.021701118411430853</x:v>
      </x:c>
    </x:row>
    <x:row r="2940">
      <x:c r="A2940" s="89" t="n">
        <x:v>2938</x:v>
      </x:c>
      <x:c r="B2940" s="80" t="n">
        <x:v>0.33513316351876193</x:v>
      </x:c>
      <x:c r="C2940" s="84" t="n">
        <x:f>SQRT('Resumen'!$B$5^3/3)*B2940</x:f>
        <x:v>0.19348922217192807</x:v>
      </x:c>
      <x:c r="D2940" s="84" t="n">
        <x:f>C2940^2-'Resumen'!$B$5^3/3</x:f>
        <x:v>-0.2958952542366356</x:v>
      </x:c>
      <x:c r="E2940" s="85" t="n">
        <x:f>D2940+'Resumen'!$B$5^3/3</x:f>
        <x:v>0.03743807909669772</x:v>
      </x:c>
    </x:row>
    <x:row r="2941">
      <x:c r="A2941" s="89" t="n">
        <x:v>2939</x:v>
      </x:c>
      <x:c r="B2941" s="80" t="n">
        <x:v>-0.08820962663891563</x:v>
      </x:c>
      <x:c r="C2941" s="84" t="n">
        <x:f>SQRT('Resumen'!$B$5^3/3)*B2941</x:f>
        <x:v>-0.05092785168509432</x:v>
      </x:c>
      <x:c r="D2941" s="84" t="n">
        <x:f>C2941^2-'Resumen'!$B$5^3/3</x:f>
        <x:v>-0.33073968725607433</x:v>
      </x:c>
      <x:c r="E2941" s="85" t="n">
        <x:f>D2941+'Resumen'!$B$5^3/3</x:f>
        <x:v>0.002593646077258982</x:v>
      </x:c>
    </x:row>
    <x:row r="2942">
      <x:c r="A2942" s="89" t="n">
        <x:v>2940</x:v>
      </x:c>
      <x:c r="B2942" s="80" t="n">
        <x:v>0.484391463012627</x:v>
      </x:c>
      <x:c r="C2942" s="84" t="n">
        <x:f>SQRT('Resumen'!$B$5^3/3)*B2942</x:f>
        <x:v>0.2796635415634968</x:v>
      </x:c>
      <x:c r="D2942" s="84" t="n">
        <x:f>C2942^2-'Resumen'!$B$5^3/3</x:f>
        <x:v>-0.2551216368534956</x:v>
      </x:c>
      <x:c r="E2942" s="85" t="n">
        <x:f>D2942+'Resumen'!$B$5^3/3</x:f>
        <x:v>0.07821169647983772</x:v>
      </x:c>
    </x:row>
    <x:row r="2943">
      <x:c r="A2943" s="89" t="n">
        <x:v>2941</x:v>
      </x:c>
      <x:c r="B2943" s="80" t="n">
        <x:v>-0.5655295579572218</x:v>
      </x:c>
      <x:c r="C2943" s="84" t="n">
        <x:f>SQRT('Resumen'!$B$5^3/3)*B2943</x:f>
        <x:v>-0.3265086425212921</x:v>
      </x:c>
      <x:c r="D2943" s="84" t="n">
        <x:f>C2943^2-'Resumen'!$B$5^3/3</x:f>
        <x:v>-0.2267254396922364</x:v>
      </x:c>
      <x:c r="E2943" s="85" t="n">
        <x:f>D2943+'Resumen'!$B$5^3/3</x:f>
        <x:v>0.1066078936410969</x:v>
      </x:c>
    </x:row>
    <x:row r="2944">
      <x:c r="A2944" s="89" t="n">
        <x:v>2942</x:v>
      </x:c>
      <x:c r="B2944" s="80" t="n">
        <x:v>1.1041201687639304</x:v>
      </x:c>
      <x:c r="C2944" s="84" t="n">
        <x:f>SQRT('Resumen'!$B$5^3/3)*B2944</x:f>
        <x:v>0.6374640766535502</x:v>
      </x:c>
      <x:c r="D2944" s="84" t="n">
        <x:f>C2944^2-'Resumen'!$B$5^3/3</x:f>
        <x:v>0.07302711569043002</x:v>
      </x:c>
      <x:c r="E2944" s="85" t="n">
        <x:f>D2944+'Resumen'!$B$5^3/3</x:f>
        <x:v>0.40636044902376334</x:v>
      </x:c>
    </x:row>
    <x:row r="2945">
      <x:c r="A2945" s="89" t="n">
        <x:v>2943</x:v>
      </x:c>
      <x:c r="B2945" s="80" t="n">
        <x:v>2.0629475259170125</x:v>
      </x:c>
      <x:c r="C2945" s="84" t="n">
        <x:f>SQRT('Resumen'!$B$5^3/3)*B2945</x:f>
        <x:v>1.1910433094122594</x:v>
      </x:c>
      <x:c r="D2945" s="84" t="n">
        <x:f>C2945^2-'Resumen'!$B$5^3/3</x:f>
        <x:v>1.085250831562374</x:v>
      </x:c>
      <x:c r="E2945" s="85" t="n">
        <x:f>D2945+'Resumen'!$B$5^3/3</x:f>
        <x:v>1.4185841648957072</x:v>
      </x:c>
    </x:row>
    <x:row r="2946">
      <x:c r="A2946" s="89" t="n">
        <x:v>2944</x:v>
      </x:c>
      <x:c r="B2946" s="80" t="n">
        <x:v>-1.5984945303293137</x:v>
      </x:c>
      <x:c r="C2946" s="84" t="n">
        <x:f>SQRT('Resumen'!$B$5^3/3)*B2946</x:f>
        <x:v>-0.9228912473837736</x:v>
      </x:c>
      <x:c r="D2946" s="84" t="n">
        <x:f>C2946^2-'Resumen'!$B$5^3/3</x:f>
        <x:v>0.5183949211642442</x:v>
      </x:c>
      <x:c r="E2946" s="85" t="n">
        <x:f>D2946+'Resumen'!$B$5^3/3</x:f>
        <x:v>0.8517282544975775</x:v>
      </x:c>
    </x:row>
    <x:row r="2947">
      <x:c r="A2947" s="89" t="n">
        <x:v>2945</x:v>
      </x:c>
      <x:c r="B2947" s="80" t="n">
        <x:v>-1.3778223068457764</x:v>
      </x:c>
      <x:c r="C2947" s="84" t="n">
        <x:f>SQRT('Resumen'!$B$5^3/3)*B2947</x:f>
        <x:v>-0.7954860797528801</x:v>
      </x:c>
      <x:c r="D2947" s="84" t="n">
        <x:f>C2947^2-'Resumen'!$B$5^3/3</x:f>
        <x:v>0.29946476974727226</x:v>
      </x:c>
      <x:c r="E2947" s="85" t="n">
        <x:f>D2947+'Resumen'!$B$5^3/3</x:f>
        <x:v>0.6327981030806056</x:v>
      </x:c>
    </x:row>
    <x:row r="2948">
      <x:c r="A2948" s="89" t="n">
        <x:v>2946</x:v>
      </x:c>
      <x:c r="B2948" s="80" t="n">
        <x:v>-0.04817482440601004</x:v>
      </x:c>
      <x:c r="C2948" s="84" t="n">
        <x:f>SQRT('Resumen'!$B$5^3/3)*B2948</x:f>
        <x:v>-0.02781374783897285</x:v>
      </x:c>
      <x:c r="D2948" s="84" t="n">
        <x:f>C2948^2-'Resumen'!$B$5^3/3</x:f>
        <x:v>-0.33255972876448336</x:v>
      </x:c>
      <x:c r="E2948" s="85" t="n">
        <x:f>D2948+'Resumen'!$B$5^3/3</x:f>
        <x:v>0.0007736045688499504</x:v>
      </x:c>
    </x:row>
    <x:row r="2949">
      <x:c r="A2949" s="89" t="n">
        <x:v>2947</x:v>
      </x:c>
      <x:c r="B2949" s="80" t="n">
        <x:v>-1.0683194919706436</x:v>
      </x:c>
      <x:c r="C2949" s="84" t="n">
        <x:f>SQRT('Resumen'!$B$5^3/3)*B2949</x:f>
        <x:v>-0.6167945462697753</x:v>
      </x:c>
      <x:c r="D2949" s="84" t="n">
        <x:f>C2949^2-'Resumen'!$B$5^3/3</x:f>
        <x:v>0.04710217897480462</x:v>
      </x:c>
      <x:c r="E2949" s="85" t="n">
        <x:f>D2949+'Resumen'!$B$5^3/3</x:f>
        <x:v>0.38043551230813794</x:v>
      </x:c>
    </x:row>
    <x:row r="2950">
      <x:c r="A2950" s="89" t="n">
        <x:v>2948</x:v>
      </x:c>
      <x:c r="B2950" s="80" t="n">
        <x:v>-0.7202955780351109</x:v>
      </x:c>
      <x:c r="C2950" s="84" t="n">
        <x:f>SQRT('Resumen'!$B$5^3/3)*B2950</x:f>
        <x:v>-0.4158628458746684</x:v>
      </x:c>
      <x:c r="D2950" s="84" t="n">
        <x:f>C2950^2-'Resumen'!$B$5^3/3</x:f>
        <x:v>-0.16039142675435514</x:v>
      </x:c>
      <x:c r="E2950" s="85" t="n">
        <x:f>D2950+'Resumen'!$B$5^3/3</x:f>
        <x:v>0.17294190657897818</x:v>
      </x:c>
    </x:row>
    <x:row r="2951">
      <x:c r="A2951" s="89" t="n">
        <x:v>2949</x:v>
      </x:c>
      <x:c r="B2951" s="80" t="n">
        <x:v>0.45915696126637784</x:v>
      </x:c>
      <x:c r="C2951" s="84" t="n">
        <x:f>SQRT('Resumen'!$B$5^3/3)*B2951</x:f>
        <x:v>0.2650943951874338</x:v>
      </x:c>
      <x:c r="D2951" s="84" t="n">
        <x:f>C2951^2-'Resumen'!$B$5^3/3</x:f>
        <x:v>-0.263058294973542</x:v>
      </x:c>
      <x:c r="E2951" s="85" t="n">
        <x:f>D2951+'Resumen'!$B$5^3/3</x:f>
        <x:v>0.07027503835979132</x:v>
      </x:c>
    </x:row>
    <x:row r="2952">
      <x:c r="A2952" s="89" t="n">
        <x:v>2950</x:v>
      </x:c>
      <x:c r="B2952" s="80" t="n">
        <x:v>0.32911666135972134</x:v>
      </x:c>
      <x:c r="C2952" s="84" t="n">
        <x:f>SQRT('Resumen'!$B$5^3/3)*B2952</x:f>
        <x:v>0.19001559303082602</x:v>
      </x:c>
      <x:c r="D2952" s="84" t="n">
        <x:f>C2952^2-'Resumen'!$B$5^3/3</x:f>
        <x:v>-0.29722740773847683</x:v>
      </x:c>
      <x:c r="E2952" s="85" t="n">
        <x:f>D2952+'Resumen'!$B$5^3/3</x:f>
        <x:v>0.03610592559485648</x:v>
      </x:c>
    </x:row>
    <x:row r="2953">
      <x:c r="A2953" s="89" t="n">
        <x:v>2951</x:v>
      </x:c>
      <x:c r="B2953" s="80" t="n">
        <x:v>-0.39374708027559135</x:v>
      </x:c>
      <x:c r="C2953" s="84" t="n">
        <x:f>SQRT('Resumen'!$B$5^3/3)*B2953</x:f>
        <x:v>-0.22732998278974184</x:v>
      </x:c>
      <x:c r="D2953" s="84" t="n">
        <x:f>C2953^2-'Resumen'!$B$5^3/3</x:f>
        <x:v>-0.281654412258149</x:v>
      </x:c>
      <x:c r="E2953" s="85" t="n">
        <x:f>D2953+'Resumen'!$B$5^3/3</x:f>
        <x:v>0.05167892107518429</x:v>
      </x:c>
    </x:row>
    <x:row r="2954">
      <x:c r="A2954" s="89" t="n">
        <x:v>2952</x:v>
      </x:c>
      <x:c r="B2954" s="80" t="n">
        <x:v>0.4244040318783266</x:v>
      </x:c>
      <x:c r="C2954" s="84" t="n">
        <x:f>SQRT('Resumen'!$B$5^3/3)*B2954</x:f>
        <x:v>0.24502978205011436</x:v>
      </x:c>
      <x:c r="D2954" s="84" t="n">
        <x:f>C2954^2-'Resumen'!$B$5^3/3</x:f>
        <x:v>-0.2732937392418068</x:v>
      </x:c>
      <x:c r="E2954" s="85" t="n">
        <x:f>D2954+'Resumen'!$B$5^3/3</x:f>
        <x:v>0.06003959409152654</x:v>
      </x:c>
    </x:row>
    <x:row r="2955">
      <x:c r="A2955" s="89" t="n">
        <x:v>2953</x:v>
      </x:c>
      <x:c r="B2955" s="80" t="n">
        <x:v>0.17811919270548182</x:v>
      </x:c>
      <x:c r="C2955" s="84" t="n">
        <x:f>SQRT('Resumen'!$B$5^3/3)*B2955</x:f>
        <x:v>0.10283716385634875</x:v>
      </x:c>
      <x:c r="D2955" s="84" t="n">
        <x:f>C2955^2-'Resumen'!$B$5^3/3</x:f>
        <x:v>-0.3227578510633158</x:v>
      </x:c>
      <x:c r="E2955" s="85" t="n">
        <x:f>D2955+'Resumen'!$B$5^3/3</x:f>
        <x:v>0.010575482270017533</x:v>
      </x:c>
    </x:row>
    <x:row r="2956">
      <x:c r="A2956" s="89" t="n">
        <x:v>2954</x:v>
      </x:c>
      <x:c r="B2956" s="80" t="n">
        <x:v>0.742656823356861</x:v>
      </x:c>
      <x:c r="C2956" s="84" t="n">
        <x:f>SQRT('Resumen'!$B$5^3/3)*B2956</x:f>
        <x:v>0.42877311688059605</x:v>
      </x:c>
      <x:c r="D2956" s="84" t="n">
        <x:f>C2956^2-'Resumen'!$B$5^3/3</x:f>
        <x:v>-0.14948694757383205</x:v>
      </x:c>
      <x:c r="E2956" s="85" t="n">
        <x:f>D2956+'Resumen'!$B$5^3/3</x:f>
        <x:v>0.18384638575950127</x:v>
      </x:c>
    </x:row>
    <x:row r="2957">
      <x:c r="A2957" s="89" t="n">
        <x:v>2955</x:v>
      </x:c>
      <x:c r="B2957" s="80" t="n">
        <x:v>-0.22051171456242075</x:v>
      </x:c>
      <x:c r="C2957" s="84" t="n">
        <x:f>SQRT('Resumen'!$B$5^3/3)*B2957</x:f>
        <x:v>-0.12731249776207954</x:v>
      </x:c>
      <x:c r="D2957" s="84" t="n">
        <x:f>C2957^2-'Resumen'!$B$5^3/3</x:f>
        <x:v>-0.3171248612469138</x:v>
      </x:c>
      <x:c r="E2957" s="85" t="n">
        <x:f>D2957+'Resumen'!$B$5^3/3</x:f>
        <x:v>0.016208472086419512</x:v>
      </x:c>
    </x:row>
    <x:row r="2958">
      <x:c r="A2958" s="89" t="n">
        <x:v>2956</x:v>
      </x:c>
      <x:c r="B2958" s="80" t="n">
        <x:v>1.7325921921405314</x:v>
      </x:c>
      <x:c r="C2958" s="84" t="n">
        <x:f>SQRT('Resumen'!$B$5^3/3)*B2958</x:f>
        <x:v>1.0003125685281795</x:v>
      </x:c>
      <x:c r="D2958" s="84" t="n">
        <x:f>C2958^2-'Resumen'!$B$5^3/3</x:f>
        <x:v>0.6672919014221106</x:v>
      </x:c>
      <x:c r="E2958" s="85" t="n">
        <x:f>D2958+'Resumen'!$B$5^3/3</x:f>
        <x:v>1.0006252347554438</x:v>
      </x:c>
    </x:row>
    <x:row r="2959">
      <x:c r="A2959" s="89" t="n">
        <x:v>2957</x:v>
      </x:c>
      <x:c r="B2959" s="80" t="n">
        <x:v>-1.5349573562198051</x:v>
      </x:c>
      <x:c r="C2959" s="84" t="n">
        <x:f>SQRT('Resumen'!$B$5^3/3)*B2959</x:f>
        <x:v>-0.8862080428081007</x:v>
      </x:c>
      <x:c r="D2959" s="84" t="n">
        <x:f>C2959^2-'Resumen'!$B$5^3/3</x:f>
        <x:v>0.4520313618044312</x:v>
      </x:c>
      <x:c r="E2959" s="85" t="n">
        <x:f>D2959+'Resumen'!$B$5^3/3</x:f>
        <x:v>0.7853646951377645</x:v>
      </x:c>
    </x:row>
    <x:row r="2960">
      <x:c r="A2960" s="89" t="n">
        <x:v>2958</x:v>
      </x:c>
      <x:c r="B2960" s="80" t="n">
        <x:v>-0.05586833833387887</x:v>
      </x:c>
      <x:c r="C2960" s="84" t="n">
        <x:f>SQRT('Resumen'!$B$5^3/3)*B2960</x:f>
        <x:v>-0.03225560017624205</x:v>
      </x:c>
      <x:c r="D2960" s="84" t="n">
        <x:f>C2960^2-'Resumen'!$B$5^3/3</x:f>
        <x:v>-0.3322929095906037</x:v>
      </x:c>
      <x:c r="E2960" s="85" t="n">
        <x:f>D2960+'Resumen'!$B$5^3/3</x:f>
        <x:v>0.0010404237427296126</x:v>
      </x:c>
    </x:row>
    <x:row r="2961">
      <x:c r="A2961" s="89" t="n">
        <x:v>2959</x:v>
      </x:c>
      <x:c r="B2961" s="80" t="n">
        <x:v>-1.425952826956779</x:v>
      </x:c>
      <x:c r="C2961" s="84" t="n">
        <x:f>SQRT('Resumen'!$B$5^3/3)*B2961</x:f>
        <x:v>-0.8232742484952041</x:v>
      </x:c>
      <x:c r="D2961" s="84" t="n">
        <x:f>C2961^2-'Resumen'!$B$5^3/3</x:f>
        <x:v>0.3444471549020098</x:v>
      </x:c>
      <x:c r="E2961" s="85" t="n">
        <x:f>D2961+'Resumen'!$B$5^3/3</x:f>
        <x:v>0.6777804882353431</x:v>
      </x:c>
    </x:row>
    <x:row r="2962">
      <x:c r="A2962" s="89" t="n">
        <x:v>2960</x:v>
      </x:c>
      <x:c r="B2962" s="80" t="n">
        <x:v>0.17840767767239923</x:v>
      </x:c>
      <x:c r="C2962" s="84" t="n">
        <x:f>SQRT('Resumen'!$B$5^3/3)*B2962</x:f>
        <x:v>0.10300372072965568</x:v>
      </x:c>
      <x:c r="D2962" s="84" t="n">
        <x:f>C2962^2-'Resumen'!$B$5^3/3</x:f>
        <x:v>-0.3227235668491804</x:v>
      </x:c>
      <x:c r="E2962" s="85" t="n">
        <x:f>D2962+'Resumen'!$B$5^3/3</x:f>
        <x:v>0.010609766484152905</x:v>
      </x:c>
    </x:row>
    <x:row r="2963">
      <x:c r="A2963" s="89" t="n">
        <x:v>2961</x:v>
      </x:c>
      <x:c r="B2963" s="80" t="n">
        <x:v>-0.9850675040431084</x:v>
      </x:c>
      <x:c r="C2963" s="84" t="n">
        <x:f>SQRT('Resumen'!$B$5^3/3)*B2963</x:f>
        <x:v>-0.5687289886292414</x:v>
      </x:c>
      <x:c r="D2963" s="84" t="n">
        <x:f>C2963^2-'Resumen'!$B$5^3/3</x:f>
        <x:v>-0.009880670826093563</x:v>
      </x:c>
      <x:c r="E2963" s="85" t="n">
        <x:f>D2963+'Resumen'!$B$5^3/3</x:f>
        <x:v>0.32345266250723975</x:v>
      </x:c>
    </x:row>
    <x:row r="2964">
      <x:c r="A2964" s="89" t="n">
        <x:v>2962</x:v>
      </x:c>
      <x:c r="B2964" s="80" t="n">
        <x:v>1.4079248846023134</x:v>
      </x:c>
      <x:c r="C2964" s="84" t="n">
        <x:f>SQRT('Resumen'!$B$5^3/3)*B2964</x:f>
        <x:v>0.8128658111239183</x:v>
      </x:c>
      <x:c r="D2964" s="84" t="n">
        <x:f>C2964^2-'Resumen'!$B$5^3/3</x:f>
        <x:v>0.32741749356081234</x:v>
      </x:c>
      <x:c r="E2964" s="85" t="n">
        <x:f>D2964+'Resumen'!$B$5^3/3</x:f>
        <x:v>0.6607508268941457</x:v>
      </x:c>
    </x:row>
    <x:row r="2965">
      <x:c r="A2965" s="89" t="n">
        <x:v>2963</x:v>
      </x:c>
      <x:c r="B2965" s="80" t="n">
        <x:v>-1.0728990696497644</x:v>
      </x:c>
      <x:c r="C2965" s="84" t="n">
        <x:f>SQRT('Resumen'!$B$5^3/3)*B2965</x:f>
        <x:v>-0.6194385666755905</x:v>
      </x:c>
      <x:c r="D2965" s="84" t="n">
        <x:f>C2965^2-'Resumen'!$B$5^3/3</x:f>
        <x:v>0.05037080455177667</x:v>
      </x:c>
      <x:c r="E2965" s="85" t="n">
        <x:f>D2965+'Resumen'!$B$5^3/3</x:f>
        <x:v>0.38370413788511</x:v>
      </x:c>
    </x:row>
    <x:row r="2966">
      <x:c r="A2966" s="89" t="n">
        <x:v>2964</x:v>
      </x:c>
      <x:c r="B2966" s="80" t="n">
        <x:v>1.7275288334027799</x:v>
      </x:c>
      <x:c r="C2966" s="84" t="n">
        <x:f>SQRT('Resumen'!$B$5^3/3)*B2966</x:f>
        <x:v>0.997389236997935</x:v>
      </x:c>
      <x:c r="D2966" s="84" t="n">
        <x:f>C2966^2-'Resumen'!$B$5^3/3</x:f>
        <x:v>0.6614519567459898</x:v>
      </x:c>
      <x:c r="E2966" s="85" t="n">
        <x:f>D2966+'Resumen'!$B$5^3/3</x:f>
        <x:v>0.994785290079323</x:v>
      </x:c>
    </x:row>
    <x:row r="2967">
      <x:c r="A2967" s="89" t="n">
        <x:v>2965</x:v>
      </x:c>
      <x:c r="B2967" s="80" t="n">
        <x:v>1.693239883846497</x:v>
      </x:c>
      <x:c r="C2967" s="84" t="n">
        <x:f>SQRT('Resumen'!$B$5^3/3)*B2967</x:f>
        <x:v>0.9775925027413856</x:v>
      </x:c>
      <x:c r="D2967" s="84" t="n">
        <x:f>C2967^2-'Resumen'!$B$5^3/3</x:f>
        <x:v>0.6223537680828328</x:v>
      </x:c>
      <x:c r="E2967" s="85" t="n">
        <x:f>D2967+'Resumen'!$B$5^3/3</x:f>
        <x:v>0.9556871014161661</x:v>
      </x:c>
    </x:row>
    <x:row r="2968">
      <x:c r="A2968" s="89" t="n">
        <x:v>2966</x:v>
      </x:c>
      <x:c r="B2968" s="80" t="n">
        <x:v>-0.5092866179735179</x:v>
      </x:c>
      <x:c r="C2968" s="84" t="n">
        <x:f>SQRT('Resumen'!$B$5^3/3)*B2968</x:f>
        <x:v>-0.29403676598168466</x:v>
      </x:c>
      <x:c r="D2968" s="84" t="n">
        <x:f>C2968^2-'Resumen'!$B$5^3/3</x:f>
        <x:v>-0.24687571358436533</x:v>
      </x:c>
      <x:c r="E2968" s="85" t="n">
        <x:f>D2968+'Resumen'!$B$5^3/3</x:f>
        <x:v>0.08645761974896798</x:v>
      </x:c>
    </x:row>
    <x:row r="2969">
      <x:c r="A2969" s="89" t="n">
        <x:v>2967</x:v>
      </x:c>
      <x:c r="B2969" s="80" t="n">
        <x:v>0.9049719166999642</x:v>
      </x:c>
      <x:c r="C2969" s="84" t="n">
        <x:f>SQRT('Resumen'!$B$5^3/3)*B2969</x:f>
        <x:v>0.5224857797157759</x:v>
      </x:c>
      <x:c r="D2969" s="84" t="n">
        <x:f>C2969^2-'Resumen'!$B$5^3/3</x:f>
        <x:v>-0.060341943328130976</x:v>
      </x:c>
      <x:c r="E2969" s="85" t="n">
        <x:f>D2969+'Resumen'!$B$5^3/3</x:f>
        <x:v>0.27299139000520234</x:v>
      </x:c>
    </x:row>
    <x:row r="2970">
      <x:c r="A2970" s="89" t="n">
        <x:v>2968</x:v>
      </x:c>
      <x:c r="B2970" s="80" t="n">
        <x:v>-0.5013691186113568</x:v>
      </x:c>
      <x:c r="C2970" s="84" t="n">
        <x:f>SQRT('Resumen'!$B$5^3/3)*B2970</x:f>
        <x:v>-0.2894655955936322</x:v>
      </x:c>
      <x:c r="D2970" s="84" t="n">
        <x:f>C2970^2-'Resumen'!$B$5^3/3</x:f>
        <x:v>-0.24954300230095708</x:v>
      </x:c>
      <x:c r="E2970" s="85" t="n">
        <x:f>D2970+'Resumen'!$B$5^3/3</x:f>
        <x:v>0.08379033103237624</x:v>
      </x:c>
    </x:row>
    <x:row r="2971">
      <x:c r="A2971" s="89" t="n">
        <x:v>2969</x:v>
      </x:c>
      <x:c r="B2971" s="80" t="n">
        <x:v>0.8978996780099464</x:v>
      </x:c>
      <x:c r="C2971" s="84" t="n">
        <x:f>SQRT('Resumen'!$B$5^3/3)*B2971</x:f>
        <x:v>0.5184026208043209</x:v>
      </x:c>
      <x:c r="D2971" s="84" t="n">
        <x:f>C2971^2-'Resumen'!$B$5^3/3</x:f>
        <x:v>-0.06459205607654483</x:v>
      </x:c>
      <x:c r="E2971" s="85" t="n">
        <x:f>D2971+'Resumen'!$B$5^3/3</x:f>
        <x:v>0.2687412772567885</x:v>
      </x:c>
    </x:row>
    <x:row r="2972">
      <x:c r="A2972" s="89" t="n">
        <x:v>2970</x:v>
      </x:c>
      <x:c r="B2972" s="80" t="n">
        <x:v>0.17636742132502004</x:v>
      </x:c>
      <x:c r="C2972" s="84" t="n">
        <x:f>SQRT('Resumen'!$B$5^3/3)*B2972</x:f>
        <x:v>0.10182577817828045</x:v>
      </x:c>
      <x:c r="D2972" s="84" t="n">
        <x:f>C2972^2-'Resumen'!$B$5^3/3</x:f>
        <x:v>-0.32296484423172095</x:v>
      </x:c>
      <x:c r="E2972" s="85" t="n">
        <x:f>D2972+'Resumen'!$B$5^3/3</x:f>
        <x:v>0.010368489101612366</x:v>
      </x:c>
    </x:row>
    <x:row r="2973">
      <x:c r="A2973" s="89" t="n">
        <x:v>2971</x:v>
      </x:c>
      <x:c r="B2973" s="80" t="n">
        <x:v>-1.0522556044576024</x:v>
      </x:c>
      <x:c r="C2973" s="84" t="n">
        <x:f>SQRT('Resumen'!$B$5^3/3)*B2973</x:f>
        <x:v>-0.607520056489889</x:v>
      </x:c>
      <x:c r="D2973" s="84" t="n">
        <x:f>C2973^2-'Resumen'!$B$5^3/3</x:f>
        <x:v>0.03574728570414465</x:v>
      </x:c>
      <x:c r="E2973" s="85" t="n">
        <x:f>D2973+'Resumen'!$B$5^3/3</x:f>
        <x:v>0.36908061903747796</x:v>
      </x:c>
    </x:row>
    <x:row r="2974">
      <x:c r="A2974" s="89" t="n">
        <x:v>2972</x:v>
      </x:c>
      <x:c r="B2974" s="80" t="n">
        <x:v>0.8254755071793451</x:v>
      </x:c>
      <x:c r="C2974" s="84" t="n">
        <x:f>SQRT('Resumen'!$B$5^3/3)*B2974</x:f>
        <x:v>0.4765885062794378</x:v>
      </x:c>
      <x:c r="D2974" s="84" t="n">
        <x:f>C2974^2-'Resumen'!$B$5^3/3</x:f>
        <x:v>-0.10619672901566762</x:v>
      </x:c>
      <x:c r="E2974" s="85" t="n">
        <x:f>D2974+'Resumen'!$B$5^3/3</x:f>
        <x:v>0.2271366043176657</x:v>
      </x:c>
    </x:row>
    <x:row r="2975">
      <x:c r="A2975" s="89" t="n">
        <x:v>2973</x:v>
      </x:c>
      <x:c r="B2975" s="80" t="n">
        <x:v>0.1377934274741909</x:v>
      </x:c>
      <x:c r="C2975" s="84" t="n">
        <x:f>SQRT('Resumen'!$B$5^3/3)*B2975</x:f>
        <x:v>0.07955507244478528</x:v>
      </x:c>
      <x:c r="D2975" s="84" t="n">
        <x:f>C2975^2-'Resumen'!$B$5^3/3</x:f>
        <x:v>-0.3270043237816383</x:v>
      </x:c>
      <x:c r="E2975" s="85" t="n">
        <x:f>D2975+'Resumen'!$B$5^3/3</x:f>
        <x:v>0.0063290095516950196</x:v>
      </x:c>
    </x:row>
    <x:row r="2976">
      <x:c r="A2976" s="89" t="n">
        <x:v>2974</x:v>
      </x:c>
      <x:c r="B2976" s="80" t="n">
        <x:v>-0.3072089639035699</x:v>
      </x:c>
      <x:c r="C2976" s="84" t="n">
        <x:f>SQRT('Resumen'!$B$5^3/3)*B2976</x:f>
        <x:v>-0.1773671780071921</x:v>
      </x:c>
      <x:c r="D2976" s="84" t="n">
        <x:f>C2976^2-'Resumen'!$B$5^3/3</x:f>
        <x:v>-0.3018742174990984</x:v>
      </x:c>
      <x:c r="E2976" s="85" t="n">
        <x:f>D2976+'Resumen'!$B$5^3/3</x:f>
        <x:v>0.03145911583423494</x:v>
      </x:c>
    </x:row>
    <x:row r="2977">
      <x:c r="A2977" s="89" t="n">
        <x:v>2975</x:v>
      </x:c>
      <x:c r="B2977" s="80" t="n">
        <x:v>-0.021141956992171508</x:v>
      </x:c>
      <x:c r="C2977" s="84" t="n">
        <x:f>SQRT('Resumen'!$B$5^3/3)*B2977</x:f>
        <x:v>-0.01220631456062571</x:v>
      </x:c>
      <x:c r="D2977" s="84" t="n">
        <x:f>C2977^2-'Resumen'!$B$5^3/3</x:f>
        <x:v>-0.33318433921818036</x:v>
      </x:c>
      <x:c r="E2977" s="85" t="n">
        <x:f>D2977+'Resumen'!$B$5^3/3</x:f>
        <x:v>0.00014899411515295613</x:v>
      </x:c>
    </x:row>
    <x:row r="2978">
      <x:c r="A2978" s="89" t="n">
        <x:v>2976</x:v>
      </x:c>
      <x:c r="B2978" s="80" t="n">
        <x:v>-1.1925462264430748</x:v>
      </x:c>
      <x:c r="C2978" s="84" t="n">
        <x:f>SQRT('Resumen'!$B$5^3/3)*B2978</x:f>
        <x:v>-0.6885168848579816</x:v>
      </x:c>
      <x:c r="D2978" s="84" t="n">
        <x:f>C2978^2-'Resumen'!$B$5^3/3</x:f>
        <x:v>0.14072216740120574</x:v>
      </x:c>
      <x:c r="E2978" s="85" t="n">
        <x:f>D2978+'Resumen'!$B$5^3/3</x:f>
        <x:v>0.47405550073453906</x:v>
      </x:c>
    </x:row>
    <x:row r="2979">
      <x:c r="A2979" s="89" t="n">
        <x:v>2977</x:v>
      </x:c>
      <x:c r="B2979" s="80" t="n">
        <x:v>0.3606219752833869</x:v>
      </x:c>
      <x:c r="C2979" s="84" t="n">
        <x:f>SQRT('Resumen'!$B$5^3/3)*B2979</x:f>
        <x:v>0.208205194505558</x:v>
      </x:c>
      <x:c r="D2979" s="84" t="n">
        <x:f>C2979^2-'Resumen'!$B$5^3/3</x:f>
        <x:v>-0.2899839303142361</x:v>
      </x:c>
      <x:c r="E2979" s="85" t="n">
        <x:f>D2979+'Resumen'!$B$5^3/3</x:f>
        <x:v>0.04334940301909723</x:v>
      </x:c>
    </x:row>
    <x:row r="2980">
      <x:c r="A2980" s="89" t="n">
        <x:v>2978</x:v>
      </x:c>
      <x:c r="B2980" s="80" t="n">
        <x:v>0.8066321939450402</x:v>
      </x:c>
      <x:c r="C2980" s="84" t="n">
        <x:f>SQRT('Resumen'!$B$5^3/3)*B2980</x:f>
        <x:v>0.46570931431118734</x:v>
      </x:c>
      <x:c r="D2980" s="84" t="n">
        <x:f>C2980^2-'Resumen'!$B$5^3/3</x:f>
        <x:v>-0.11644816789713702</x:v>
      </x:c>
      <x:c r="E2980" s="85" t="n">
        <x:f>D2980+'Resumen'!$B$5^3/3</x:f>
        <x:v>0.2168851654361963</x:v>
      </x:c>
    </x:row>
    <x:row r="2981">
      <x:c r="A2981" s="89" t="n">
        <x:v>2979</x:v>
      </x:c>
      <x:c r="B2981" s="80" t="n">
        <x:v>0.7278131772078975</x:v>
      </x:c>
      <x:c r="C2981" s="84" t="n">
        <x:f>SQRT('Resumen'!$B$5^3/3)*B2981</x:f>
        <x:v>0.4202031337807364</x:v>
      </x:c>
      <x:c r="D2981" s="84" t="n">
        <x:f>C2981^2-'Resumen'!$B$5^3/3</x:f>
        <x:v>-0.15676265969418185</x:v>
      </x:c>
      <x:c r="E2981" s="85" t="n">
        <x:f>D2981+'Resumen'!$B$5^3/3</x:f>
        <x:v>0.17657067363915147</x:v>
      </x:c>
    </x:row>
    <x:row r="2982">
      <x:c r="A2982" s="89" t="n">
        <x:v>2980</x:v>
      </x:c>
      <x:c r="B2982" s="80" t="n">
        <x:v>0.5207251920973242</x:v>
      </x:c>
      <x:c r="C2982" s="84" t="n">
        <x:f>SQRT('Resumen'!$B$5^3/3)*B2982</x:f>
        <x:v>0.30064082983120965</x:v>
      </x:c>
      <x:c r="D2982" s="84" t="n">
        <x:f>C2982^2-'Resumen'!$B$5^3/3</x:f>
        <x:v>-0.24294842477173495</x:v>
      </x:c>
      <x:c r="E2982" s="85" t="n">
        <x:f>D2982+'Resumen'!$B$5^3/3</x:f>
        <x:v>0.09038490856159836</x:v>
      </x:c>
    </x:row>
    <x:row r="2983">
      <x:c r="A2983" s="89" t="n">
        <x:v>2981</x:v>
      </x:c>
      <x:c r="B2983" s="80" t="n">
        <x:v>0.08038558227797787</x:v>
      </x:c>
      <x:c r="C2983" s="84" t="n">
        <x:f>SQRT('Resumen'!$B$5^3/3)*B2983</x:f>
        <x:v>0.046410637567155334</x:v>
      </x:c>
      <x:c r="D2983" s="84" t="n">
        <x:f>C2983^2-'Resumen'!$B$5^3/3</x:f>
        <x:v>-0.3311793860539435</x:v>
      </x:c>
      <x:c r="E2983" s="85" t="n">
        <x:f>D2983+'Resumen'!$B$5^3/3</x:f>
        <x:v>0.002153947279389834</x:v>
      </x:c>
    </x:row>
    <x:row r="2984">
      <x:c r="A2984" s="89" t="n">
        <x:v>2982</x:v>
      </x:c>
      <x:c r="B2984" s="80" t="n">
        <x:v>1.495907397450738</x:v>
      </x:c>
      <x:c r="C2984" s="84" t="n">
        <x:f>SQRT('Resumen'!$B$5^3/3)*B2984</x:f>
        <x:v>0.863662538600936</x:v>
      </x:c>
      <x:c r="D2984" s="84" t="n">
        <x:f>C2984^2-'Resumen'!$B$5^3/3</x:f>
        <x:v>0.4125796472492799</x:v>
      </x:c>
      <x:c r="E2984" s="85" t="n">
        <x:f>D2984+'Resumen'!$B$5^3/3</x:f>
        <x:v>0.7459129805826132</x:v>
      </x:c>
    </x:row>
    <x:row r="2985">
      <x:c r="A2985" s="89" t="n">
        <x:v>2983</x:v>
      </x:c>
      <x:c r="B2985" s="80" t="n">
        <x:v>-0.444979960121693</x:v>
      </x:c>
      <x:c r="C2985" s="84" t="n">
        <x:f>SQRT('Resumen'!$B$5^3/3)*B2985</x:f>
        <x:v>-0.2569092997602484</x:v>
      </x:c>
      <x:c r="D2985" s="84" t="n">
        <x:f>C2985^2-'Resumen'!$B$5^3/3</x:f>
        <x:v>-0.26733094503003213</x:v>
      </x:c>
      <x:c r="E2985" s="85" t="n">
        <x:f>D2985+'Resumen'!$B$5^3/3</x:f>
        <x:v>0.06600238830330118</x:v>
      </x:c>
    </x:row>
    <x:row r="2986">
      <x:c r="A2986" s="89" t="n">
        <x:v>2984</x:v>
      </x:c>
      <x:c r="B2986" s="80" t="n">
        <x:v>1.353031324997148</x:v>
      </x:c>
      <x:c r="C2986" s="84" t="n">
        <x:f>SQRT('Resumen'!$B$5^3/3)*B2986</x:f>
        <x:v>0.7811729997090994</x:v>
      </x:c>
      <x:c r="D2986" s="84" t="n">
        <x:f>C2986^2-'Resumen'!$B$5^3/3</x:f>
        <x:v>0.2768979221411792</x:v>
      </x:c>
      <x:c r="E2986" s="85" t="n">
        <x:f>D2986+'Resumen'!$B$5^3/3</x:f>
        <x:v>0.6102312554745125</x:v>
      </x:c>
    </x:row>
    <x:row r="2987">
      <x:c r="A2987" s="89" t="n">
        <x:v>2985</x:v>
      </x:c>
      <x:c r="B2987" s="80" t="n">
        <x:v>-1.9404963683789571</x:v>
      </x:c>
      <x:c r="C2987" s="84" t="n">
        <x:f>SQRT('Resumen'!$B$5^3/3)*B2987</x:f>
        <x:v>-1.120346100645082</x:v>
      </x:c>
      <x:c r="D2987" s="84" t="n">
        <x:f>C2987^2-'Resumen'!$B$5^3/3</x:f>
        <x:v>0.9218420518973072</x:v>
      </x:c>
      <x:c r="E2987" s="85" t="n">
        <x:f>D2987+'Resumen'!$B$5^3/3</x:f>
        <x:v>1.2551753852306404</x:v>
      </x:c>
    </x:row>
    <x:row r="2988">
      <x:c r="A2988" s="89" t="n">
        <x:v>2986</x:v>
      </x:c>
      <x:c r="B2988" s="80" t="n">
        <x:v>-0.20015547890440838</x:v>
      </x:c>
      <x:c r="C2988" s="84" t="n">
        <x:f>SQRT('Resumen'!$B$5^3/3)*B2988</x:f>
        <x:v>-0.11555981962523863</x:v>
      </x:c>
      <x:c r="D2988" s="84" t="n">
        <x:f>C2988^2-'Resumen'!$B$5^3/3</x:f>
        <x:v>-0.3199792614215156</x:v>
      </x:c>
      <x:c r="E2988" s="85" t="n">
        <x:f>D2988+'Resumen'!$B$5^3/3</x:f>
        <x:v>0.0133540719118177</x:v>
      </x:c>
    </x:row>
    <x:row r="2989">
      <x:c r="A2989" s="89" t="n">
        <x:v>2987</x:v>
      </x:c>
      <x:c r="B2989" s="80" t="n">
        <x:v>-0.30660320698842003</x:v>
      </x:c>
      <x:c r="C2989" s="84" t="n">
        <x:f>SQRT('Resumen'!$B$5^3/3)*B2989</x:f>
        <x:v>-0.17701744408916684</x:v>
      </x:c>
      <x:c r="D2989" s="84" t="n">
        <x:f>C2989^2-'Resumen'!$B$5^3/3</x:f>
        <x:v>-0.301998157821472</x:v>
      </x:c>
      <x:c r="E2989" s="85" t="n">
        <x:f>D2989+'Resumen'!$B$5^3/3</x:f>
        <x:v>0.031335175511861324</x:v>
      </x:c>
    </x:row>
    <x:row r="2990">
      <x:c r="A2990" s="89" t="n">
        <x:v>2988</x:v>
      </x:c>
      <x:c r="B2990" s="80" t="n">
        <x:v>-1.3057610246860332</x:v>
      </x:c>
      <x:c r="C2990" s="84" t="n">
        <x:f>SQRT('Resumen'!$B$5^3/3)*B2990</x:f>
        <x:v>-0.7538814790998027</x:v>
      </x:c>
      <x:c r="D2990" s="84" t="n">
        <x:f>C2990^2-'Resumen'!$B$5^3/3</x:f>
        <x:v>0.23500395119637302</x:v>
      </x:c>
      <x:c r="E2990" s="85" t="n">
        <x:f>D2990+'Resumen'!$B$5^3/3</x:f>
        <x:v>0.5683372845297063</x:v>
      </x:c>
    </x:row>
    <x:row r="2991">
      <x:c r="A2991" s="89" t="n">
        <x:v>2989</x:v>
      </x:c>
      <x:c r="B2991" s="80" t="n">
        <x:v>0.8491928768073583</x:v>
      </x:c>
      <x:c r="C2991" s="84" t="n">
        <x:f>SQRT('Resumen'!$B$5^3/3)*B2991</x:f>
        <x:v>0.490281736018641</x:v>
      </x:c>
      <x:c r="D2991" s="84" t="n">
        <x:f>C2991^2-'Resumen'!$B$5^3/3</x:f>
        <x:v>-0.09295715265988094</x:v>
      </x:c>
      <x:c r="E2991" s="85" t="n">
        <x:f>D2991+'Resumen'!$B$5^3/3</x:f>
        <x:v>0.24037618067345237</x:v>
      </x:c>
    </x:row>
    <x:row r="2992">
      <x:c r="A2992" s="89" t="n">
        <x:v>2990</x:v>
      </x:c>
      <x:c r="B2992" s="80" t="n">
        <x:v>-1.1871432325710147</x:v>
      </x:c>
      <x:c r="C2992" s="84" t="n">
        <x:f>SQRT('Resumen'!$B$5^3/3)*B2992</x:f>
        <x:v>-0.6853974648915179</x:v>
      </x:c>
      <x:c r="D2992" s="84" t="n">
        <x:f>C2992^2-'Resumen'!$B$5^3/3</x:f>
        <x:v>0.13643635154638617</x:v>
      </x:c>
      <x:c r="E2992" s="85" t="n">
        <x:f>D2992+'Resumen'!$B$5^3/3</x:f>
        <x:v>0.4697696848797195</x:v>
      </x:c>
    </x:row>
    <x:row r="2993">
      <x:c r="A2993" s="89" t="n">
        <x:v>2991</x:v>
      </x:c>
      <x:c r="B2993" s="80" t="n">
        <x:v>0.46410721646144437</x:v>
      </x:c>
      <x:c r="C2993" s="84" t="n">
        <x:f>SQRT('Resumen'!$B$5^3/3)*B2993</x:f>
        <x:v>0.2679524263568628</x:v>
      </x:c>
      <x:c r="D2993" s="84" t="n">
        <x:f>C2993^2-'Resumen'!$B$5^3/3</x:f>
        <x:v>-0.26153483054280335</x:v>
      </x:c>
      <x:c r="E2993" s="85" t="n">
        <x:f>D2993+'Resumen'!$B$5^3/3</x:f>
        <x:v>0.07179850279052996</x:v>
      </x:c>
    </x:row>
    <x:row r="2994">
      <x:c r="A2994" s="89" t="n">
        <x:v>2992</x:v>
      </x:c>
      <x:c r="B2994" s="80" t="n">
        <x:v>-1.915313128351683</x:v>
      </x:c>
      <x:c r="C2994" s="84" t="n">
        <x:f>SQRT('Resumen'!$B$5^3/3)*B2994</x:f>
        <x:v>-1.1058065502362684</x:v>
      </x:c>
      <x:c r="D2994" s="84" t="n">
        <x:f>C2994^2-'Resumen'!$B$5^3/3</x:f>
        <x:v>0.8894747932121034</x:v>
      </x:c>
      <x:c r="E2994" s="85" t="n">
        <x:f>D2994+'Resumen'!$B$5^3/3</x:f>
        <x:v>1.2228081265454367</x:v>
      </x:c>
    </x:row>
    <x:row r="2995">
      <x:c r="A2995" s="89" t="n">
        <x:v>2993</x:v>
      </x:c>
      <x:c r="B2995" s="80" t="n">
        <x:v>0.8326953798870044</x:v>
      </x:c>
      <x:c r="C2995" s="84" t="n">
        <x:f>SQRT('Resumen'!$B$5^3/3)*B2995</x:f>
        <x:v>0.4807569017307196</x:v>
      </x:c>
      <x:c r="D2995" s="84" t="n">
        <x:f>C2995^2-'Resumen'!$B$5^3/3</x:f>
        <x:v>-0.10220613477161253</x:v>
      </x:c>
      <x:c r="E2995" s="85" t="n">
        <x:f>D2995+'Resumen'!$B$5^3/3</x:f>
        <x:v>0.2311271985617208</x:v>
      </x:c>
    </x:row>
    <x:row r="2996">
      <x:c r="A2996" s="89" t="n">
        <x:v>2994</x:v>
      </x:c>
      <x:c r="B2996" s="80" t="n">
        <x:v>0.09720902071169012</x:v>
      </x:c>
      <x:c r="C2996" s="84" t="n">
        <x:f>SQRT('Resumen'!$B$5^3/3)*B2996</x:f>
        <x:v>0.05612365427555419</x:v>
      </x:c>
      <x:c r="D2996" s="84" t="n">
        <x:f>C2996^2-'Resumen'!$B$5^3/3</x:f>
        <x:v>-0.3301834687640914</x:v>
      </x:c>
      <x:c r="E2996" s="85" t="n">
        <x:f>D2996+'Resumen'!$B$5^3/3</x:f>
        <x:v>0.0031498645692419336</x:v>
      </x:c>
    </x:row>
    <x:row r="2997">
      <x:c r="A2997" s="89" t="n">
        <x:v>2995</x:v>
      </x:c>
      <x:c r="B2997" s="80" t="n">
        <x:v>0.3763567114525775</x:v>
      </x:c>
      <x:c r="C2997" s="84" t="n">
        <x:f>SQRT('Resumen'!$B$5^3/3)*B2997</x:f>
        <x:v>0.21728964866846792</x:v>
      </x:c>
      <x:c r="D2997" s="84" t="n">
        <x:f>C2997^2-'Resumen'!$B$5^3/3</x:f>
        <x:v>-0.2861185419148671</x:v>
      </x:c>
      <x:c r="E2997" s="85" t="n">
        <x:f>D2997+'Resumen'!$B$5^3/3</x:f>
        <x:v>0.04721479141846624</x:v>
      </x:c>
    </x:row>
    <x:row r="2998">
      <x:c r="A2998" s="89" t="n">
        <x:v>2996</x:v>
      </x:c>
      <x:c r="B2998" s="80" t="n">
        <x:v>1.2171569647745877</x:v>
      </x:c>
      <x:c r="C2998" s="84" t="n">
        <x:f>SQRT('Resumen'!$B$5^3/3)*B2998</x:f>
        <x:v>0.702725901258636</x:v>
      </x:c>
      <x:c r="D2998" s="84" t="n">
        <x:f>C2998^2-'Resumen'!$B$5^3/3</x:f>
        <x:v>0.16049035896642888</x:v>
      </x:c>
      <x:c r="E2998" s="85" t="n">
        <x:f>D2998+'Resumen'!$B$5^3/3</x:f>
        <x:v>0.4938236922997622</x:v>
      </x:c>
    </x:row>
    <x:row r="2999">
      <x:c r="A2999" s="89" t="n">
        <x:v>2997</x:v>
      </x:c>
      <x:c r="B2999" s="80" t="n">
        <x:v>-1.766622906353407</x:v>
      </x:c>
      <x:c r="C2999" s="84" t="n">
        <x:f>SQRT('Resumen'!$B$5^3/3)*B2999</x:f>
        <x:v>-1.0199602105396985</x:v>
      </x:c>
      <x:c r="D2999" s="84" t="n">
        <x:f>C2999^2-'Resumen'!$B$5^3/3</x:f>
        <x:v>0.706985497750853</x:v>
      </x:c>
      <x:c r="E2999" s="85" t="n">
        <x:f>D2999+'Resumen'!$B$5^3/3</x:f>
        <x:v>1.0403188310841862</x:v>
      </x:c>
    </x:row>
    <x:row r="3000">
      <x:c r="A3000" s="89" t="n">
        <x:v>2998</x:v>
      </x:c>
      <x:c r="B3000" s="80" t="n">
        <x:v>0.30846754652745006</x:v>
      </x:c>
      <x:c r="C3000" s="84" t="n">
        <x:f>SQRT('Resumen'!$B$5^3/3)*B3000</x:f>
        <x:v>0.17809382102388668</x:v>
      </x:c>
      <x:c r="D3000" s="84" t="n">
        <x:f>C3000^2-'Resumen'!$B$5^3/3</x:f>
        <x:v>-0.3016159242464451</x:v>
      </x:c>
      <x:c r="E3000" s="85" t="n">
        <x:f>D3000+'Resumen'!$B$5^3/3</x:f>
        <x:v>0.03171740908688819</x:v>
      </x:c>
    </x:row>
    <x:row r="3001">
      <x:c r="A3001" s="89" t="n">
        <x:v>2999</x:v>
      </x:c>
      <x:c r="B3001" s="80" t="n">
        <x:v>-0.5304201440793188</x:v>
      </x:c>
      <x:c r="C3001" s="84" t="n">
        <x:f>SQRT('Resumen'!$B$5^3/3)*B3001</x:f>
        <x:v>-0.3062382129677948</x:v>
      </x:c>
      <x:c r="D3001" s="84" t="n">
        <x:f>C3001^2-'Resumen'!$B$5^3/3</x:f>
        <x:v>-0.23955149025162487</x:v>
      </x:c>
      <x:c r="E3001" s="85" t="n">
        <x:f>D3001+'Resumen'!$B$5^3/3</x:f>
        <x:v>0.09378184308170845</x:v>
      </x:c>
    </x:row>
    <x:row r="3002">
      <x:c r="A3002" s="89" t="n">
        <x:v>3000</x:v>
      </x:c>
      <x:c r="B3002" s="80" t="n">
        <x:v>-1.729497002385188</x:v>
      </x:c>
      <x:c r="C3002" s="84" t="n">
        <x:f>SQRT('Resumen'!$B$5^3/3)*B3002</x:f>
        <x:v>-0.9985255598897391</x:v>
      </x:c>
      <x:c r="D3002" s="84" t="n">
        <x:f>C3002^2-'Resumen'!$B$5^3/3</x:f>
        <x:v>0.6637199604197836</x:v>
      </x:c>
      <x:c r="E3002" s="85" t="n">
        <x:f>D3002+'Resumen'!$B$5^3/3</x:f>
        <x:v>0.9970532937531169</x:v>
      </x:c>
    </x:row>
    <x:row r="3003">
      <x:c r="A3003" s="89" t="n">
        <x:v>3001</x:v>
      </x:c>
      <x:c r="B3003" s="80" t="n">
        <x:v>-0.21252878558535263</x:v>
      </x:c>
      <x:c r="C3003" s="84" t="n">
        <x:f>SQRT('Resumen'!$B$5^3/3)*B3003</x:f>
        <x:v>-0.12270355156824758</x:v>
      </x:c>
      <x:c r="D3003" s="84" t="n">
        <x:f>C3003^2-'Resumen'!$B$5^3/3</x:f>
        <x:v>-0.3182771717658717</x:v>
      </x:c>
      <x:c r="E3003" s="85" t="n">
        <x:f>D3003+'Resumen'!$B$5^3/3</x:f>
        <x:v>0.01505616156746159</x:v>
      </x:c>
    </x:row>
    <x:row r="3004">
      <x:c r="A3004" s="89" t="n">
        <x:v>3002</x:v>
      </x:c>
      <x:c r="B3004" s="80" t="n">
        <x:v>-2.038435370031045</x:v>
      </x:c>
      <x:c r="C3004" s="84" t="n">
        <x:f>SQRT('Resumen'!$B$5^3/3)*B3004</x:f>
        <x:v>-1.1768912096130781</x:v>
      </x:c>
      <x:c r="D3004" s="84" t="n">
        <x:f>C3004^2-'Resumen'!$B$5^3/3</x:f>
        <x:v>1.0517395859312009</x:v>
      </x:c>
      <x:c r="E3004" s="85" t="n">
        <x:f>D3004+'Resumen'!$B$5^3/3</x:f>
        <x:v>1.3850729192645341</x:v>
      </x:c>
    </x:row>
    <x:row r="3005">
      <x:c r="A3005" s="89" t="n">
        <x:v>3003</x:v>
      </x:c>
      <x:c r="B3005" s="80" t="n">
        <x:v>-0.6778160746483018</x:v>
      </x:c>
      <x:c r="C3005" s="84" t="n">
        <x:f>SQRT('Resumen'!$B$5^3/3)*B3005</x:f>
        <x:v>-0.39133729315925253</x:v>
      </x:c>
      <x:c r="D3005" s="84" t="n">
        <x:f>C3005^2-'Resumen'!$B$5^3/3</x:f>
        <x:v>-0.18018845631612257</x:v>
      </x:c>
      <x:c r="E3005" s="85" t="n">
        <x:f>D3005+'Resumen'!$B$5^3/3</x:f>
        <x:v>0.15314487701721075</x:v>
      </x:c>
    </x:row>
    <x:row r="3006">
      <x:c r="A3006" s="89" t="n">
        <x:v>3004</x:v>
      </x:c>
      <x:c r="B3006" s="80" t="n">
        <x:v>-1.03475565826542</x:v>
      </x:c>
      <x:c r="C3006" s="84" t="n">
        <x:f>SQRT('Resumen'!$B$5^3/3)*B3006</x:f>
        <x:v>-0.5974164578450286</x:v>
      </x:c>
      <x:c r="D3006" s="84" t="n">
        <x:f>C3006^2-'Resumen'!$B$5^3/3</x:f>
        <x:v>0.023573090770767524</x:v>
      </x:c>
      <x:c r="E3006" s="85" t="n">
        <x:f>D3006+'Resumen'!$B$5^3/3</x:f>
        <x:v>0.35690642410410084</x:v>
      </x:c>
    </x:row>
    <x:row r="3007">
      <x:c r="A3007" s="89" t="n">
        <x:v>3005</x:v>
      </x:c>
      <x:c r="B3007" s="80" t="n">
        <x:v>-1.2377765893386161</x:v>
      </x:c>
      <x:c r="C3007" s="84" t="n">
        <x:f>SQRT('Resumen'!$B$5^3/3)*B3007</x:f>
        <x:v>-0.7146306470512669</x:v>
      </x:c>
      <x:c r="D3007" s="84" t="n">
        <x:f>C3007^2-'Resumen'!$B$5^3/3</x:f>
        <x:v>0.1773636283715791</x:v>
      </x:c>
      <x:c r="E3007" s="85" t="n">
        <x:f>D3007+'Resumen'!$B$5^3/3</x:f>
        <x:v>0.5106969617049124</x:v>
      </x:c>
    </x:row>
    <x:row r="3008">
      <x:c r="A3008" s="89" t="n">
        <x:v>3006</x:v>
      </x:c>
      <x:c r="B3008" s="80" t="n">
        <x:v>-1.79791576079162</x:v>
      </x:c>
      <x:c r="C3008" s="84" t="n">
        <x:f>SQRT('Resumen'!$B$5^3/3)*B3008</x:f>
        <x:v>-1.0380271484733126</x:v>
      </x:c>
      <x:c r="D3008" s="84" t="n">
        <x:f>C3008^2-'Resumen'!$B$5^3/3</x:f>
        <x:v>0.7441670276343033</x:v>
      </x:c>
      <x:c r="E3008" s="85" t="n">
        <x:f>D3008+'Resumen'!$B$5^3/3</x:f>
        <x:v>1.0775003609676366</x:v>
      </x:c>
    </x:row>
    <x:row r="3009">
      <x:c r="A3009" s="89" t="n">
        <x:v>3007</x:v>
      </x:c>
      <x:c r="B3009" s="80" t="n">
        <x:v>-0.20762767744022412</x:v>
      </x:c>
      <x:c r="C3009" s="84" t="n">
        <x:f>SQRT('Resumen'!$B$5^3/3)*B3009</x:f>
        <x:v>-0.11987389546133018</x:v>
      </x:c>
      <x:c r="D3009" s="84" t="n">
        <x:f>C3009^2-'Resumen'!$B$5^3/3</x:f>
        <x:v>-0.3189635825202594</x:v>
      </x:c>
      <x:c r="E3009" s="85" t="n">
        <x:f>D3009+'Resumen'!$B$5^3/3</x:f>
        <x:v>0.0143697508130739</x:v>
      </x:c>
    </x:row>
    <x:row r="3010">
      <x:c r="A3010" s="89" t="n">
        <x:v>3008</x:v>
      </x:c>
      <x:c r="B3010" s="80" t="n">
        <x:v>-1.9625414111660808</x:v>
      </x:c>
      <x:c r="C3010" s="84" t="n">
        <x:f>SQRT('Resumen'!$B$5^3/3)*B3010</x:f>
        <x:v>-1.1330738120325248</x:v>
      </x:c>
      <x:c r="D3010" s="84" t="n">
        <x:f>C3010^2-'Resumen'!$B$5^3/3</x:f>
        <x:v>0.950522930180584</x:v>
      </x:c>
      <x:c r="E3010" s="85" t="n">
        <x:f>D3010+'Resumen'!$B$5^3/3</x:f>
        <x:v>1.2838562635139172</x:v>
      </x:c>
    </x:row>
    <x:row r="3011">
      <x:c r="A3011" s="89" t="n">
        <x:v>3009</x:v>
      </x:c>
      <x:c r="B3011" s="80" t="n">
        <x:v>0.16301982680208357</x:v>
      </x:c>
      <x:c r="C3011" s="84" t="n">
        <x:f>SQRT('Resumen'!$B$5^3/3)*B3011</x:f>
        <x:v>0.09411954088742912</x:v>
      </x:c>
      <x:c r="D3011" s="84" t="n">
        <x:f>C3011^2-'Resumen'!$B$5^3/3</x:f>
        <x:v>-0.32447484535647286</x:v>
      </x:c>
      <x:c r="E3011" s="85" t="n">
        <x:f>D3011+'Resumen'!$B$5^3/3</x:f>
        <x:v>0.008858487976860452</x:v>
      </x:c>
    </x:row>
    <x:row r="3012">
      <x:c r="A3012" s="89" t="n">
        <x:v>3010</x:v>
      </x:c>
      <x:c r="B3012" s="80" t="n">
        <x:v>0.6317666865236716</x:v>
      </x:c>
      <x:c r="C3012" s="84" t="n">
        <x:f>SQRT('Resumen'!$B$5^3/3)*B3012</x:f>
        <x:v>0.3647506665294797</x:v>
      </x:c>
      <x:c r="D3012" s="84" t="n">
        <x:f>C3012^2-'Resumen'!$B$5^3/3</x:f>
        <x:v>-0.20029028459963363</x:v>
      </x:c>
      <x:c r="E3012" s="85" t="n">
        <x:f>D3012+'Resumen'!$B$5^3/3</x:f>
        <x:v>0.13304304873369968</x:v>
      </x:c>
    </x:row>
    <x:row r="3013">
      <x:c r="A3013" s="89" t="n">
        <x:v>3011</x:v>
      </x:c>
      <x:c r="B3013" s="80" t="n">
        <x:v>-0.42798031419560206</x:v>
      </x:c>
      <x:c r="C3013" s="84" t="n">
        <x:f>SQRT('Resumen'!$B$5^3/3)*B3013</x:f>
        <x:v>-0.24709454960869146</x:v>
      </x:c>
      <x:c r="D3013" s="84" t="n">
        <x:f>C3013^2-'Resumen'!$B$5^3/3</x:f>
        <x:v>-0.27227761688701124</x:v>
      </x:c>
      <x:c r="E3013" s="85" t="n">
        <x:f>D3013+'Resumen'!$B$5^3/3</x:f>
        <x:v>0.06105571644632207</x:v>
      </x:c>
    </x:row>
    <x:row r="3014">
      <x:c r="A3014" s="89" t="n">
        <x:v>3012</x:v>
      </x:c>
      <x:c r="B3014" s="80" t="n">
        <x:v>-0.46521734193294223</x:v>
      </x:c>
      <x:c r="C3014" s="84" t="n">
        <x:f>SQRT('Resumen'!$B$5^3/3)*B3014</x:f>
        <x:v>-0.26859335759666636</x:v>
      </x:c>
      <x:c r="D3014" s="84" t="n">
        <x:f>C3014^2-'Resumen'!$B$5^3/3</x:f>
        <x:v>-0.2611909415882826</x:v>
      </x:c>
      <x:c r="E3014" s="85" t="n">
        <x:f>D3014+'Resumen'!$B$5^3/3</x:f>
        <x:v>0.07214239174505072</x:v>
      </x:c>
    </x:row>
    <x:row r="3015">
      <x:c r="A3015" s="89" t="n">
        <x:v>3013</x:v>
      </x:c>
      <x:c r="B3015" s="80" t="n">
        <x:v>-0.09529435850858971</x:v>
      </x:c>
      <x:c r="C3015" s="84" t="n">
        <x:f>SQRT('Resumen'!$B$5^3/3)*B3015</x:f>
        <x:v>-0.05501822353718697</x:v>
      </x:c>
      <x:c r="D3015" s="84" t="n">
        <x:f>C3015^2-'Resumen'!$B$5^3/3</x:f>
        <x:v>-0.33030632841214547</x:v>
      </x:c>
      <x:c r="E3015" s="85" t="n">
        <x:f>D3015+'Resumen'!$B$5^3/3</x:f>
        <x:v>0.003027004921187848</x:v>
      </x:c>
    </x:row>
    <x:row r="3016">
      <x:c r="A3016" s="89" t="n">
        <x:v>3014</x:v>
      </x:c>
      <x:c r="B3016" s="80" t="n">
        <x:v>2.205424128132031</x:v>
      </x:c>
      <x:c r="C3016" s="84" t="n">
        <x:f>SQRT('Resumen'!$B$5^3/3)*B3016</x:f>
        <x:v>1.2733022140543238</x:v>
      </x:c>
      <x:c r="D3016" s="84" t="n">
        <x:f>C3016^2-'Resumen'!$B$5^3/3</x:f>
        <x:v>1.2879651949823097</x:v>
      </x:c>
      <x:c r="E3016" s="85" t="n">
        <x:f>D3016+'Resumen'!$B$5^3/3</x:f>
        <x:v>1.621298528315643</x:v>
      </x:c>
    </x:row>
    <x:row r="3017">
      <x:c r="A3017" s="89" t="n">
        <x:v>3015</x:v>
      </x:c>
      <x:c r="B3017" s="80" t="n">
        <x:v>-0.7840669991878695</x:v>
      </x:c>
      <x:c r="C3017" s="84" t="n">
        <x:f>SQRT('Resumen'!$B$5^3/3)*B3017</x:f>
        <x:v>-0.4526812930438185</x:v>
      </x:c>
      <x:c r="D3017" s="84" t="n">
        <x:f>C3017^2-'Resumen'!$B$5^3/3</x:f>
        <x:v>-0.12841298026150985</x:v>
      </x:c>
      <x:c r="E3017" s="85" t="n">
        <x:f>D3017+'Resumen'!$B$5^3/3</x:f>
        <x:v>0.20492035307182346</x:v>
      </x:c>
    </x:row>
    <x:row r="3018">
      <x:c r="A3018" s="89" t="n">
        <x:v>3016</x:v>
      </x:c>
      <x:c r="B3018" s="80" t="n">
        <x:v>0.40077090952465066</x:v>
      </x:c>
      <x:c r="C3018" s="84" t="n">
        <x:f>SQRT('Resumen'!$B$5^3/3)*B3018</x:f>
        <x:v>0.2313851924974282</x:v>
      </x:c>
      <x:c r="D3018" s="84" t="n">
        <x:f>C3018^2-'Resumen'!$B$5^3/3</x:f>
        <x:v>-0.2797942260262614</x:v>
      </x:c>
      <x:c r="E3018" s="85" t="n">
        <x:f>D3018+'Resumen'!$B$5^3/3</x:f>
        <x:v>0.0535391073070719</x:v>
      </x:c>
    </x:row>
    <x:row r="3019">
      <x:c r="A3019" s="89" t="n">
        <x:v>3017</x:v>
      </x:c>
      <x:c r="B3019" s="80" t="n">
        <x:v>-2.043003026387139</x:v>
      </x:c>
      <x:c r="C3019" s="84" t="n">
        <x:f>SQRT('Resumen'!$B$5^3/3)*B3019</x:f>
        <x:v>-1.1795283472398346</x:v>
      </x:c>
      <x:c r="D3019" s="84" t="n">
        <x:f>C3019^2-'Resumen'!$B$5^3/3</x:f>
        <x:v>1.0579537886090025</x:v>
      </x:c>
      <x:c r="E3019" s="85" t="n">
        <x:f>D3019+'Resumen'!$B$5^3/3</x:f>
        <x:v>1.3912871219423357</x:v>
      </x:c>
    </x:row>
    <x:row r="3020">
      <x:c r="A3020" s="89" t="n">
        <x:v>3018</x:v>
      </x:c>
      <x:c r="B3020" s="80" t="n">
        <x:v>0.11105353546538844</x:v>
      </x:c>
      <x:c r="C3020" s="84" t="n">
        <x:f>SQRT('Resumen'!$B$5^3/3)*B3020</x:f>
        <x:v>0.06411678859540167</x:v>
      </x:c>
      <x:c r="D3020" s="84" t="n">
        <x:f>C3020^2-'Resumen'!$B$5^3/3</x:f>
        <x:v>-0.3292223707535459</x:v>
      </x:c>
      <x:c r="E3020" s="85" t="n">
        <x:f>D3020+'Resumen'!$B$5^3/3</x:f>
        <x:v>0.004110962579787436</x:v>
      </x:c>
    </x:row>
    <x:row r="3021">
      <x:c r="A3021" s="89" t="n">
        <x:v>3019</x:v>
      </x:c>
      <x:c r="B3021" s="80" t="n">
        <x:v>-0.2345695859317761</x:v>
      </x:c>
      <x:c r="C3021" s="84" t="n">
        <x:f>SQRT('Resumen'!$B$5^3/3)*B3021</x:f>
        <x:v>-0.13542881358140998</x:v>
      </x:c>
      <x:c r="D3021" s="84" t="n">
        <x:f>C3021^2-'Resumen'!$B$5^3/3</x:f>
        <x:v>-0.314992369785265</x:v>
      </x:c>
      <x:c r="E3021" s="85" t="n">
        <x:f>D3021+'Resumen'!$B$5^3/3</x:f>
        <x:v>0.0183409635480683</x:v>
      </x:c>
    </x:row>
    <x:row r="3022">
      <x:c r="A3022" s="89" t="n">
        <x:v>3020</x:v>
      </x:c>
      <x:c r="B3022" s="80" t="n">
        <x:v>0.3472158840529352</x:v>
      </x:c>
      <x:c r="C3022" s="84" t="n">
        <x:f>SQRT('Resumen'!$B$5^3/3)*B3022</x:f>
        <x:v>0.20046518412487602</x:v>
      </x:c>
      <x:c r="D3022" s="84" t="n">
        <x:f>C3022^2-'Resumen'!$B$5^3/3</x:f>
        <x:v>-0.2931470432871129</x:v>
      </x:c>
      <x:c r="E3022" s="85" t="n">
        <x:f>D3022+'Resumen'!$B$5^3/3</x:f>
        <x:v>0.04018629004622043</x:v>
      </x:c>
    </x:row>
    <x:row r="3023">
      <x:c r="A3023" s="89" t="n">
        <x:v>3021</x:v>
      </x:c>
      <x:c r="B3023" s="80" t="n">
        <x:v>0.23539006664935128</x:v>
      </x:c>
      <x:c r="C3023" s="84" t="n">
        <x:f>SQRT('Resumen'!$B$5^3/3)*B3023</x:f>
        <x:v>0.1359025183445669</x:v>
      </x:c>
      <x:c r="D3023" s="84" t="n">
        <x:f>C3023^2-'Resumen'!$B$5^3/3</x:f>
        <x:v>-0.314863838840938</x:v>
      </x:c>
      <x:c r="E3023" s="85" t="n">
        <x:f>D3023+'Resumen'!$B$5^3/3</x:f>
        <x:v>0.018469494492395322</x:v>
      </x:c>
    </x:row>
    <x:row r="3024">
      <x:c r="A3024" s="89" t="n">
        <x:v>3022</x:v>
      </x:c>
      <x:c r="B3024" s="80" t="n">
        <x:v>1.07097050277713</x:v>
      </x:c>
      <x:c r="C3024" s="84" t="n">
        <x:f>SQRT('Resumen'!$B$5^3/3)*B3024</x:f>
        <x:v>0.6183251080725247</x:v>
      </x:c>
      <x:c r="D3024" s="84" t="n">
        <x:f>C3024^2-'Resumen'!$B$5^3/3</x:f>
        <x:v>0.04899260593956606</x:v>
      </x:c>
      <x:c r="E3024" s="85" t="n">
        <x:f>D3024+'Resumen'!$B$5^3/3</x:f>
        <x:v>0.3823259392728994</x:v>
      </x:c>
    </x:row>
    <x:row r="3025">
      <x:c r="A3025" s="89" t="n">
        <x:v>3023</x:v>
      </x:c>
      <x:c r="B3025" s="80" t="n">
        <x:v>-1.3462775583651703</x:v>
      </x:c>
      <x:c r="C3025" s="84" t="n">
        <x:f>SQRT('Resumen'!$B$5^3/3)*B3025</x:f>
        <x:v>-0.7772737107260831</x:v>
      </x:c>
      <x:c r="D3025" s="84" t="n">
        <x:f>C3025^2-'Resumen'!$B$5^3/3</x:f>
        <x:v>0.2708210880525614</x:v>
      </x:c>
      <x:c r="E3025" s="85" t="n">
        <x:f>D3025+'Resumen'!$B$5^3/3</x:f>
        <x:v>0.6041544213858947</x:v>
      </x:c>
    </x:row>
    <x:row r="3026">
      <x:c r="A3026" s="89" t="n">
        <x:v>3024</x:v>
      </x:c>
      <x:c r="B3026" s="80" t="n">
        <x:v>-0.5772336076908897</x:v>
      </x:c>
      <x:c r="C3026" s="84" t="n">
        <x:f>SQRT('Resumen'!$B$5^3/3)*B3026</x:f>
        <x:v>-0.33326597878563397</x:v>
      </x:c>
      <x:c r="D3026" s="84" t="n">
        <x:f>C3026^2-'Resumen'!$B$5^3/3</x:f>
        <x:v>-0.2222671207173867</x:v>
      </x:c>
      <x:c r="E3026" s="85" t="n">
        <x:f>D3026+'Resumen'!$B$5^3/3</x:f>
        <x:v>0.11106621261594662</x:v>
      </x:c>
    </x:row>
    <x:row r="3027">
      <x:c r="A3027" s="89" t="n">
        <x:v>3025</x:v>
      </x:c>
      <x:c r="B3027" s="80" t="n">
        <x:v>2.65496888434259</x:v>
      </x:c>
      <x:c r="C3027" s="84" t="n">
        <x:f>SQRT('Resumen'!$B$5^3/3)*B3027</x:f>
        <x:v>1.5328470000652747</x:v>
      </x:c>
      <x:c r="D3027" s="84" t="n">
        <x:f>C3027^2-'Resumen'!$B$5^3/3</x:f>
        <x:v>2.016286592275779</x:v>
      </x:c>
      <x:c r="E3027" s="85" t="n">
        <x:f>D3027+'Resumen'!$B$5^3/3</x:f>
        <x:v>2.3496199256091126</x:v>
      </x:c>
    </x:row>
    <x:row r="3028">
      <x:c r="A3028" s="89" t="n">
        <x:v>3026</x:v>
      </x:c>
      <x:c r="B3028" s="80" t="n">
        <x:v>0.6038501820873508</x:v>
      </x:c>
      <x:c r="C3028" s="84" t="n">
        <x:f>SQRT('Resumen'!$B$5^3/3)*B3028</x:f>
        <x:v>0.3486330651783365</x:v>
      </x:c>
      <x:c r="D3028" s="84" t="n">
        <x:f>C3028^2-'Resumen'!$B$5^3/3</x:f>
        <x:v>-0.2117883191976911</x:v>
      </x:c>
      <x:c r="E3028" s="85" t="n">
        <x:f>D3028+'Resumen'!$B$5^3/3</x:f>
        <x:v>0.12154501413564223</x:v>
      </x:c>
    </x:row>
    <x:row r="3029">
      <x:c r="A3029" s="89" t="n">
        <x:v>3027</x:v>
      </x:c>
      <x:c r="B3029" s="80" t="n">
        <x:v>-0.6522647886669805</x:v>
      </x:c>
      <x:c r="C3029" s="84" t="n">
        <x:f>SQRT('Resumen'!$B$5^3/3)*B3029</x:f>
        <x:v>-0.3765852513197955</x:v>
      </x:c>
      <x:c r="D3029" s="84" t="n">
        <x:f>C3029^2-'Resumen'!$B$5^3/3</x:f>
        <x:v>-0.1915168818217398</x:v>
      </x:c>
      <x:c r="E3029" s="85" t="n">
        <x:f>D3029+'Resumen'!$B$5^3/3</x:f>
        <x:v>0.14181645151159353</x:v>
      </x:c>
    </x:row>
    <x:row r="3030">
      <x:c r="A3030" s="89" t="n">
        <x:v>3028</x:v>
      </x:c>
      <x:c r="B3030" s="80" t="n">
        <x:v>-0.4959147303293551</x:v>
      </x:c>
      <x:c r="C3030" s="84" t="n">
        <x:f>SQRT('Resumen'!$B$5^3/3)*B3030</x:f>
        <x:v>-0.28631650305075385</x:v>
      </x:c>
      <x:c r="D3030" s="84" t="n">
        <x:f>C3030^2-'Resumen'!$B$5^3/3</x:f>
        <x:v>-0.25135619341412097</x:v>
      </x:c>
      <x:c r="E3030" s="85" t="n">
        <x:f>D3030+'Resumen'!$B$5^3/3</x:f>
        <x:v>0.08197713991921235</x:v>
      </x:c>
    </x:row>
    <x:row r="3031">
      <x:c r="A3031" s="89" t="n">
        <x:v>3029</x:v>
      </x:c>
      <x:c r="B3031" s="80" t="n">
        <x:v>-0.5821968006735864</x:v>
      </x:c>
      <x:c r="C3031" s="84" t="n">
        <x:f>SQRT('Resumen'!$B$5^3/3)*B3031</x:f>
        <x:v>-0.336131479590234</x:v>
      </x:c>
      <x:c r="D3031" s="84" t="n">
        <x:f>C3031^2-'Resumen'!$B$5^3/3</x:f>
        <x:v>-0.22034896176181343</x:v>
      </x:c>
      <x:c r="E3031" s="85" t="n">
        <x:f>D3031+'Resumen'!$B$5^3/3</x:f>
        <x:v>0.11298437157151989</x:v>
      </x:c>
    </x:row>
    <x:row r="3032">
      <x:c r="A3032" s="89" t="n">
        <x:v>3030</x:v>
      </x:c>
      <x:c r="B3032" s="80" t="n">
        <x:v>0.023877677868413483</x:v>
      </x:c>
      <x:c r="C3032" s="84" t="n">
        <x:f>SQRT('Resumen'!$B$5^3/3)*B3032</x:f>
        <x:v>0.013785783744951693</x:v>
      </x:c>
      <x:c r="D3032" s="84" t="n">
        <x:f>C3032^2-'Resumen'!$B$5^3/3</x:f>
        <x:v>-0.33314328549987077</x:v>
      </x:c>
      <x:c r="E3032" s="85" t="n">
        <x:f>D3032+'Resumen'!$B$5^3/3</x:f>
        <x:v>0.00019004783346254772</x:v>
      </x:c>
    </x:row>
    <x:row r="3033">
      <x:c r="A3033" s="89" t="n">
        <x:v>3031</x:v>
      </x:c>
      <x:c r="B3033" s="80" t="n">
        <x:v>1.9409181249162741</x:v>
      </x:c>
      <x:c r="C3033" s="84" t="n">
        <x:f>SQRT('Resumen'!$B$5^3/3)*B3033</x:f>
        <x:v>1.1205896018954344</x:v>
      </x:c>
      <x:c r="D3033" s="84" t="n">
        <x:f>C3033^2-'Resumen'!$B$5^3/3</x:f>
        <x:v>0.922387722542835</x:v>
      </x:c>
      <x:c r="E3033" s="85" t="n">
        <x:f>D3033+'Resumen'!$B$5^3/3</x:f>
        <x:v>1.2557210558761682</x:v>
      </x:c>
    </x:row>
    <x:row r="3034">
      <x:c r="A3034" s="89" t="n">
        <x:v>3032</x:v>
      </x:c>
      <x:c r="B3034" s="80" t="n">
        <x:v>0.5464591063303369</x:v>
      </x:c>
      <x:c r="C3034" s="84" t="n">
        <x:f>SQRT('Resumen'!$B$5^3/3)*B3034</x:f>
        <x:v>0.3154983121409423</x:v>
      </x:c>
      <x:c r="D3034" s="84" t="n">
        <x:f>C3034^2-'Resumen'!$B$5^3/3</x:f>
        <x:v>-0.23379414836954984</x:v>
      </x:c>
      <x:c r="E3034" s="85" t="n">
        <x:f>D3034+'Resumen'!$B$5^3/3</x:f>
        <x:v>0.09953918496378347</x:v>
      </x:c>
    </x:row>
    <x:row r="3035">
      <x:c r="A3035" s="89" t="n">
        <x:v>3033</x:v>
      </x:c>
      <x:c r="B3035" s="80" t="n">
        <x:v>0.6553397933131822</x:v>
      </x:c>
      <x:c r="C3035" s="84" t="n">
        <x:f>SQRT('Resumen'!$B$5^3/3)*B3035</x:f>
        <x:v>0.3783606060800394</x:v>
      </x:c>
      <x:c r="D3035" s="84" t="n">
        <x:f>C3035^2-'Resumen'!$B$5^3/3</x:f>
        <x:v>-0.19017658510007857</x:v>
      </x:c>
      <x:c r="E3035" s="85" t="n">
        <x:f>D3035+'Resumen'!$B$5^3/3</x:f>
        <x:v>0.14315674823325475</x:v>
      </x:c>
    </x:row>
    <x:row r="3036">
      <x:c r="A3036" s="89" t="n">
        <x:v>3034</x:v>
      </x:c>
      <x:c r="B3036" s="80" t="n">
        <x:v>-1.8268867331163072</x:v>
      </x:c>
      <x:c r="C3036" s="84" t="n">
        <x:f>SQRT('Resumen'!$B$5^3/3)*B3036</x:f>
        <x:v>-1.054753547143656</x:v>
      </x:c>
      <x:c r="D3036" s="84" t="n">
        <x:f>C3036^2-'Resumen'!$B$5^3/3</x:f>
        <x:v>0.7791717118787913</x:v>
      </x:c>
      <x:c r="E3036" s="85" t="n">
        <x:f>D3036+'Resumen'!$B$5^3/3</x:f>
        <x:v>1.1125050452121246</x:v>
      </x:c>
    </x:row>
    <x:row r="3037">
      <x:c r="A3037" s="89" t="n">
        <x:v>3035</x:v>
      </x:c>
      <x:c r="B3037" s="80" t="n">
        <x:v>1.7266089234560904</x:v>
      </x:c>
      <x:c r="C3037" s="84" t="n">
        <x:f>SQRT('Resumen'!$B$5^3/3)*B3037</x:f>
        <x:v>0.9968581267425837</x:v>
      </x:c>
      <x:c r="D3037" s="84" t="n">
        <x:f>C3037^2-'Resumen'!$B$5^3/3</x:f>
        <x:v>0.6603927915193997</x:v>
      </x:c>
      <x:c r="E3037" s="85" t="n">
        <x:f>D3037+'Resumen'!$B$5^3/3</x:f>
        <x:v>0.9937261248527329</x:v>
      </x:c>
    </x:row>
    <x:row r="3038">
      <x:c r="A3038" s="89" t="n">
        <x:v>3036</x:v>
      </x:c>
      <x:c r="B3038" s="80" t="n">
        <x:v>0.23454775951745216</x:v>
      </x:c>
      <x:c r="C3038" s="84" t="n">
        <x:f>SQRT('Resumen'!$B$5^3/3)*B3038</x:f>
        <x:v>0.13541621209522461</x:v>
      </x:c>
      <x:c r="D3038" s="84" t="n">
        <x:f>C3038^2-'Resumen'!$B$5^3/3</x:f>
        <x:v>-0.3149957828351145</x:v>
      </x:c>
      <x:c r="E3038" s="85" t="n">
        <x:f>D3038+'Resumen'!$B$5^3/3</x:f>
        <x:v>0.018337550498218835</x:v>
      </x:c>
    </x:row>
    <x:row r="3039">
      <x:c r="A3039" s="89" t="n">
        <x:v>3037</x:v>
      </x:c>
      <x:c r="B3039" s="80" t="n">
        <x:v>0.29968136666489764</x:v>
      </x:c>
      <x:c r="C3039" s="84" t="n">
        <x:f>SQRT('Resumen'!$B$5^3/3)*B3039</x:f>
        <x:v>0.1730211177150936</x:v>
      </x:c>
      <x:c r="D3039" s="84" t="n">
        <x:f>C3039^2-'Resumen'!$B$5^3/3</x:f>
        <x:v>-0.30339702615795305</x:v>
      </x:c>
      <x:c r="E3039" s="85" t="n">
        <x:f>D3039+'Resumen'!$B$5^3/3</x:f>
        <x:v>0.02993630717538026</x:v>
      </x:c>
    </x:row>
    <x:row r="3040">
      <x:c r="A3040" s="89" t="n">
        <x:v>3038</x:v>
      </x:c>
      <x:c r="B3040" s="80" t="n">
        <x:v>-1.0924622542012898</x:v>
      </x:c>
      <x:c r="C3040" s="84" t="n">
        <x:f>SQRT('Resumen'!$B$5^3/3)*B3040</x:f>
        <x:v>-0.6307333765426201</x:v>
      </x:c>
      <x:c r="D3040" s="84" t="n">
        <x:f>C3040^2-'Resumen'!$B$5^3/3</x:f>
        <x:v>0.06449125895152125</x:v>
      </x:c>
      <x:c r="E3040" s="85" t="n">
        <x:f>D3040+'Resumen'!$B$5^3/3</x:f>
        <x:v>0.39782459228485456</x:v>
      </x:c>
    </x:row>
    <x:row r="3041">
      <x:c r="A3041" s="89" t="n">
        <x:v>3039</x:v>
      </x:c>
      <x:c r="B3041" s="80" t="n">
        <x:v>1.279486926270568</x:v>
      </x:c>
      <x:c r="C3041" s="84" t="n">
        <x:f>SQRT('Resumen'!$B$5^3/3)*B3041</x:f>
        <x:v>0.7387121213069192</x:v>
      </x:c>
      <x:c r="D3041" s="84" t="n">
        <x:f>C3041^2-'Resumen'!$B$5^3/3</x:f>
        <x:v>0.2123622648324352</x:v>
      </x:c>
      <x:c r="E3041" s="85" t="n">
        <x:f>D3041+'Resumen'!$B$5^3/3</x:f>
        <x:v>0.5456955981657685</x:v>
      </x:c>
    </x:row>
    <x:row r="3042">
      <x:c r="A3042" s="89" t="n">
        <x:v>3040</x:v>
      </x:c>
      <x:c r="B3042" s="80" t="n">
        <x:v>0.7093228663962801</x:v>
      </x:c>
      <x:c r="C3042" s="84" t="n">
        <x:f>SQRT('Resumen'!$B$5^3/3)*B3042</x:f>
        <x:v>0.40952774785624924</x:v>
      </x:c>
      <x:c r="D3042" s="84" t="n">
        <x:f>C3042^2-'Resumen'!$B$5^3/3</x:f>
        <x:v>-0.16562035706912168</x:v>
      </x:c>
      <x:c r="E3042" s="85" t="n">
        <x:f>D3042+'Resumen'!$B$5^3/3</x:f>
        <x:v>0.16771297626421164</x:v>
      </x:c>
    </x:row>
    <x:row r="3043">
      <x:c r="A3043" s="89" t="n">
        <x:v>3041</x:v>
      </x:c>
      <x:c r="B3043" s="80" t="n">
        <x:v>-0.4791427068410225</x:v>
      </x:c>
      <x:c r="C3043" s="84" t="n">
        <x:f>SQRT('Resumen'!$B$5^3/3)*B3043</x:f>
        <x:v>-0.2766331707749103</x:v>
      </x:c>
      <x:c r="D3043" s="84" t="n">
        <x:f>C3043^2-'Resumen'!$B$5^3/3</x:f>
        <x:v>-0.2568074221603526</x:v>
      </x:c>
      <x:c r="E3043" s="85" t="n">
        <x:f>D3043+'Resumen'!$B$5^3/3</x:f>
        <x:v>0.07652591117298069</x:v>
      </x:c>
    </x:row>
    <x:row r="3044">
      <x:c r="A3044" s="89" t="n">
        <x:v>3042</x:v>
      </x:c>
      <x:c r="B3044" s="80" t="n">
        <x:v>-1.0679521971924408</x:v>
      </x:c>
      <x:c r="C3044" s="84" t="n">
        <x:f>SQRT('Resumen'!$B$5^3/3)*B3044</x:f>
        <x:v>-0.616582488530708</x:v>
      </x:c>
      <x:c r="D3044" s="84" t="n">
        <x:f>C3044^2-'Resumen'!$B$5^3/3</x:f>
        <x:v>0.0468406318293873</x:v>
      </x:c>
      <x:c r="E3044" s="85" t="n">
        <x:f>D3044+'Resumen'!$B$5^3/3</x:f>
        <x:v>0.3801739651627206</x:v>
      </x:c>
    </x:row>
    <x:row r="3045">
      <x:c r="A3045" s="89" t="n">
        <x:v>3043</x:v>
      </x:c>
      <x:c r="B3045" s="80" t="n">
        <x:v>0.05627116055391165</x:v>
      </x:c>
      <x:c r="C3045" s="84" t="n">
        <x:f>SQRT('Resumen'!$B$5^3/3)*B3045</x:f>
        <x:v>0.03248816969341354</x:v>
      </x:c>
      <x:c r="D3045" s="84" t="n">
        <x:f>C3045^2-'Resumen'!$B$5^3/3</x:f>
        <x:v>-0.3322778521633053</x:v>
      </x:c>
      <x:c r="E3045" s="85" t="n">
        <x:f>D3045+'Resumen'!$B$5^3/3</x:f>
        <x:v>0.0010554811700280164</x:v>
      </x:c>
    </x:row>
    <x:row r="3046">
      <x:c r="A3046" s="89" t="n">
        <x:v>3044</x:v>
      </x:c>
      <x:c r="B3046" s="80" t="n">
        <x:v>-0.6707271348210879</x:v>
      </x:c>
      <x:c r="C3046" s="84" t="n">
        <x:f>SQRT('Resumen'!$B$5^3/3)*B3046</x:f>
        <x:v>-0.3872444918417415</x:v>
      </x:c>
      <x:c r="D3046" s="84" t="n">
        <x:f>C3046^2-'Resumen'!$B$5^3/3</x:f>
        <x:v>-0.18337503687156473</x:v>
      </x:c>
      <x:c r="E3046" s="85" t="n">
        <x:f>D3046+'Resumen'!$B$5^3/3</x:f>
        <x:v>0.1499582964617686</x:v>
      </x:c>
    </x:row>
    <x:row r="3047">
      <x:c r="A3047" s="89" t="n">
        <x:v>3045</x:v>
      </x:c>
      <x:c r="B3047" s="80" t="n">
        <x:v>-1.8500128094716184</x:v>
      </x:c>
      <x:c r="C3047" s="84" t="n">
        <x:f>SQRT('Resumen'!$B$5^3/3)*B3047</x:f>
        <x:v>-1.0681053935526947</x:v>
      </x:c>
      <x:c r="D3047" s="84" t="n">
        <x:f>C3047^2-'Resumen'!$B$5^3/3</x:f>
        <x:v>0.8075157984030237</x:v>
      </x:c>
      <x:c r="E3047" s="85" t="n">
        <x:f>D3047+'Resumen'!$B$5^3/3</x:f>
        <x:v>1.140849131736357</x:v>
      </x:c>
    </x:row>
    <x:row r="3048">
      <x:c r="A3048" s="89" t="n">
        <x:v>3046</x:v>
      </x:c>
      <x:c r="B3048" s="80" t="n">
        <x:v>-0.13364581302533496</x:v>
      </x:c>
      <x:c r="C3048" s="84" t="n">
        <x:f>SQRT('Resumen'!$B$5^3/3)*B3048</x:f>
        <x:v>-0.07716044612624352</x:v>
      </x:c>
      <x:c r="D3048" s="84" t="n">
        <x:f>C3048^2-'Resumen'!$B$5^3/3</x:f>
        <x:v>-0.3273795988869324</x:v>
      </x:c>
      <x:c r="E3048" s="85" t="n">
        <x:f>D3048+'Resumen'!$B$5^3/3</x:f>
        <x:v>0.0059537344464009045</x:v>
      </x:c>
    </x:row>
    <x:row r="3049">
      <x:c r="A3049" s="89" t="n">
        <x:v>3047</x:v>
      </x:c>
      <x:c r="B3049" s="80" t="n">
        <x:v>-0.3333883038909706</x:v>
      </x:c>
      <x:c r="C3049" s="84" t="n">
        <x:f>SQRT('Resumen'!$B$5^3/3)*B3049</x:f>
        <x:v>-0.19248182699612465</x:v>
      </x:c>
      <x:c r="D3049" s="84" t="n">
        <x:f>C3049^2-'Resumen'!$B$5^3/3</x:f>
        <x:v>-0.29628407960956726</x:v>
      </x:c>
      <x:c r="E3049" s="85" t="n">
        <x:f>D3049+'Resumen'!$B$5^3/3</x:f>
        <x:v>0.03704925372376605</x:v>
      </x:c>
    </x:row>
    <x:row r="3050">
      <x:c r="A3050" s="89" t="n">
        <x:v>3048</x:v>
      </x:c>
      <x:c r="B3050" s="80" t="n">
        <x:v>0.380153819282108</x:v>
      </x:c>
      <x:c r="C3050" s="84" t="n">
        <x:f>SQRT('Resumen'!$B$5^3/3)*B3050</x:f>
        <x:v>0.2194819098959894</x:v>
      </x:c>
      <x:c r="D3050" s="84" t="n">
        <x:f>C3050^2-'Resumen'!$B$5^3/3</x:f>
        <x:v>-0.2851610245617421</x:v>
      </x:c>
      <x:c r="E3050" s="85" t="n">
        <x:f>D3050+'Resumen'!$B$5^3/3</x:f>
        <x:v>0.04817230877159123</x:v>
      </x:c>
    </x:row>
    <x:row r="3051">
      <x:c r="A3051" s="89" t="n">
        <x:v>3049</x:v>
      </x:c>
      <x:c r="B3051" s="80" t="n">
        <x:v>-0.12508216456325846</x:v>
      </x:c>
      <x:c r="C3051" s="84" t="n">
        <x:f>SQRT('Resumen'!$B$5^3/3)*B3051</x:f>
        <x:v>-0.07221622138141834</x:v>
      </x:c>
      <x:c r="D3051" s="84" t="n">
        <x:f>C3051^2-'Resumen'!$B$5^3/3</x:f>
        <x:v>-0.32811815070272327</x:v>
      </x:c>
      <x:c r="E3051" s="85" t="n">
        <x:f>D3051+'Resumen'!$B$5^3/3</x:f>
        <x:v>0.005215182630610049</x:v>
      </x:c>
    </x:row>
    <x:row r="3052">
      <x:c r="A3052" s="89" t="n">
        <x:v>3050</x:v>
      </x:c>
      <x:c r="B3052" s="80" t="n">
        <x:v>-0.14827755707883736</x:v>
      </x:c>
      <x:c r="C3052" s="84" t="n">
        <x:f>SQRT('Resumen'!$B$5^3/3)*B3052</x:f>
        <x:v>-0.08560808749424684</x:v>
      </x:c>
      <x:c r="D3052" s="84" t="n">
        <x:f>C3052^2-'Resumen'!$B$5^3/3</x:f>
        <x:v>-0.3260045886889107</x:v>
      </x:c>
      <x:c r="E3052" s="85" t="n">
        <x:f>D3052+'Resumen'!$B$5^3/3</x:f>
        <x:v>0.0073287446444226245</x:v>
      </x:c>
    </x:row>
    <x:row r="3053">
      <x:c r="A3053" s="89" t="n">
        <x:v>3051</x:v>
      </x:c>
      <x:c r="B3053" s="80" t="n">
        <x:v>0.9504409126440829</x:v>
      </x:c>
      <x:c r="C3053" s="84" t="n">
        <x:f>SQRT('Resumen'!$B$5^3/3)*B3053</x:f>
        <x:v>0.5487373167638948</x:v>
      </x:c>
      <x:c r="D3053" s="84" t="n">
        <x:f>C3053^2-'Resumen'!$B$5^3/3</x:f>
        <x:v>-0.032220690524094264</x:v>
      </x:c>
      <x:c r="E3053" s="85" t="n">
        <x:f>D3053+'Resumen'!$B$5^3/3</x:f>
        <x:v>0.30111264280923905</x:v>
      </x:c>
    </x:row>
    <x:row r="3054">
      <x:c r="A3054" s="89" t="n">
        <x:v>3052</x:v>
      </x:c>
      <x:c r="B3054" s="80" t="n">
        <x:v>2.0101537668748515</x:v>
      </x:c>
      <x:c r="C3054" s="84" t="n">
        <x:f>SQRT('Resumen'!$B$5^3/3)*B3054</x:f>
        <x:v>1.1605628184177357</x:v>
      </x:c>
      <x:c r="D3054" s="84" t="n">
        <x:f>C3054^2-'Resumen'!$B$5^3/3</x:f>
        <x:v>1.0135727221603847</x:v>
      </x:c>
      <x:c r="E3054" s="85" t="n">
        <x:f>D3054+'Resumen'!$B$5^3/3</x:f>
        <x:v>1.346906055493718</x:v>
      </x:c>
    </x:row>
    <x:row r="3055">
      <x:c r="A3055" s="89" t="n">
        <x:v>3053</x:v>
      </x:c>
      <x:c r="B3055" s="80" t="n">
        <x:v>-1.2460067063493947</x:v>
      </x:c>
      <x:c r="C3055" s="84" t="n">
        <x:f>SQRT('Resumen'!$B$5^3/3)*B3055</x:f>
        <x:v>-0.719382307322902</x:v>
      </x:c>
      <x:c r="D3055" s="84" t="n">
        <x:f>C3055^2-'Resumen'!$B$5^3/3</x:f>
        <x:v>0.18417757075588886</x:v>
      </x:c>
      <x:c r="E3055" s="85" t="n">
        <x:f>D3055+'Resumen'!$B$5^3/3</x:f>
        <x:v>0.5175109040892222</x:v>
      </x:c>
    </x:row>
    <x:row r="3056">
      <x:c r="A3056" s="89" t="n">
        <x:v>3054</x:v>
      </x:c>
      <x:c r="B3056" s="80" t="n">
        <x:v>-1.031964807915031</x:v>
      </x:c>
      <x:c r="C3056" s="84" t="n">
        <x:f>SQRT('Resumen'!$B$5^3/3)*B3056</x:f>
        <x:v>-0.5958051596439635</x:v>
      </x:c>
      <x:c r="D3056" s="84" t="n">
        <x:f>C3056^2-'Resumen'!$B$5^3/3</x:f>
        <x:v>0.021650454925035534</x:v>
      </x:c>
      <x:c r="E3056" s="85" t="n">
        <x:f>D3056+'Resumen'!$B$5^3/3</x:f>
        <x:v>0.35498378825836885</x:v>
      </x:c>
    </x:row>
    <x:row r="3057">
      <x:c r="A3057" s="89" t="n">
        <x:v>3055</x:v>
      </x:c>
      <x:c r="B3057" s="80" t="n">
        <x:v>0.11482271667184206</x:v>
      </x:c>
      <x:c r="C3057" s="84" t="n">
        <x:f>SQRT('Resumen'!$B$5^3/3)*B3057</x:f>
        <x:v>0.06629292637957214</x:v>
      </x:c>
      <x:c r="D3057" s="84" t="n">
        <x:f>C3057^2-'Resumen'!$B$5^3/3</x:f>
        <x:v>-0.32893858124536596</x:v>
      </x:c>
      <x:c r="E3057" s="85" t="n">
        <x:f>D3057+'Resumen'!$B$5^3/3</x:f>
        <x:v>0.004394752087967357</x:v>
      </x:c>
    </x:row>
    <x:row r="3058">
      <x:c r="A3058" s="89" t="n">
        <x:v>3056</x:v>
      </x:c>
      <x:c r="B3058" s="80" t="n">
        <x:v>1.1892411746450626</x:v>
      </x:c>
      <x:c r="C3058" s="84" t="n">
        <x:f>SQRT('Resumen'!$B$5^3/3)*B3058</x:f>
        <x:v>0.6866087123127136</x:v>
      </x:c>
      <x:c r="D3058" s="84" t="n">
        <x:f>C3058^2-'Resumen'!$B$5^3/3</x:f>
        <x:v>0.13809819049038935</x:v>
      </x:c>
      <x:c r="E3058" s="85" t="n">
        <x:f>D3058+'Resumen'!$B$5^3/3</x:f>
        <x:v>0.47143152382372266</x:v>
      </x:c>
    </x:row>
    <x:row r="3059">
      <x:c r="A3059" s="89" t="n">
        <x:v>3057</x:v>
      </x:c>
      <x:c r="B3059" s="80" t="n">
        <x:v>-2.421328625763799</x:v>
      </x:c>
      <x:c r="C3059" s="84" t="n">
        <x:f>SQRT('Resumen'!$B$5^3/3)*B3059</x:f>
        <x:v>-1.397954733881276</x:v>
      </x:c>
      <x:c r="D3059" s="84" t="n">
        <x:f>C3059^2-'Resumen'!$B$5^3/3</x:f>
        <x:v>1.6209441046477355</x:v>
      </x:c>
      <x:c r="E3059" s="85" t="n">
        <x:f>D3059+'Resumen'!$B$5^3/3</x:f>
        <x:v>1.9542774379810688</x:v>
      </x:c>
    </x:row>
    <x:row r="3060">
      <x:c r="A3060" s="89" t="n">
        <x:v>3058</x:v>
      </x:c>
      <x:c r="B3060" s="80" t="n">
        <x:v>-1.3144987045602747</x:v>
      </x:c>
      <x:c r="C3060" s="84" t="n">
        <x:f>SQRT('Resumen'!$B$5^3/3)*B3060</x:f>
        <x:v>-0.7589261809272889</x:v>
      </x:c>
      <x:c r="D3060" s="84" t="n">
        <x:f>C3060^2-'Resumen'!$B$5^3/3</x:f>
        <x:v>0.24263561476354673</x:v>
      </x:c>
      <x:c r="E3060" s="85" t="n">
        <x:f>D3060+'Resumen'!$B$5^3/3</x:f>
        <x:v>0.57596894809688</x:v>
      </x:c>
    </x:row>
    <x:row r="3061">
      <x:c r="A3061" s="89" t="n">
        <x:v>3059</x:v>
      </x:c>
      <x:c r="B3061" s="80" t="n">
        <x:v>-0.549966751550437</x:v>
      </x:c>
      <x:c r="C3061" s="84" t="n">
        <x:f>SQRT('Resumen'!$B$5^3/3)*B3061</x:f>
        <x:v>-0.31752345205298876</x:v>
      </x:c>
      <x:c r="D3061" s="84" t="n">
        <x:f>C3061^2-'Resumen'!$B$5^3/3</x:f>
        <x:v>-0.23251219072968665</x:v>
      </x:c>
      <x:c r="E3061" s="85" t="n">
        <x:f>D3061+'Resumen'!$B$5^3/3</x:f>
        <x:v>0.10082114260364666</x:v>
      </x:c>
    </x:row>
    <x:row r="3062">
      <x:c r="A3062" s="89" t="n">
        <x:v>3060</x:v>
      </x:c>
      <x:c r="B3062" s="80" t="n">
        <x:v>-0.3235545795603173</x:v>
      </x:c>
      <x:c r="C3062" s="84" t="n">
        <x:f>SQRT('Resumen'!$B$5^3/3)*B3062</x:f>
        <x:v>-0.18680432360668536</x:v>
      </x:c>
      <x:c r="D3062" s="84" t="n">
        <x:f>C3062^2-'Resumen'!$B$5^3/3</x:f>
        <x:v>-0.2984374780151821</x:v>
      </x:c>
      <x:c r="E3062" s="85" t="n">
        <x:f>D3062+'Resumen'!$B$5^3/3</x:f>
        <x:v>0.0348958553181512</x:v>
      </x:c>
    </x:row>
    <x:row r="3063">
      <x:c r="A3063" s="89" t="n">
        <x:v>3061</x:v>
      </x:c>
      <x:c r="B3063" s="80" t="n">
        <x:v>-0.4125883869720258</x:v>
      </x:c>
      <x:c r="C3063" s="84" t="n">
        <x:f>SQRT('Resumen'!$B$5^3/3)*B3063</x:f>
        <x:v>-0.23820801628281257</x:v>
      </x:c>
      <x:c r="D3063" s="84" t="n">
        <x:f>C3063^2-'Resumen'!$B$5^3/3</x:f>
        <x:v>-0.2765902743119406</x:v>
      </x:c>
      <x:c r="E3063" s="85" t="n">
        <x:f>D3063+'Resumen'!$B$5^3/3</x:f>
        <x:v>0.056743059021392706</x:v>
      </x:c>
    </x:row>
    <x:row r="3064">
      <x:c r="A3064" s="89" t="n">
        <x:v>3062</x:v>
      </x:c>
      <x:c r="B3064" s="80" t="n">
        <x:v>0.5103261407899925</x:v>
      </x:c>
      <x:c r="C3064" s="84" t="n">
        <x:f>SQRT('Resumen'!$B$5^3/3)*B3064</x:f>
        <x:v>0.294636934759605</x:v>
      </x:c>
      <x:c r="D3064" s="84" t="n">
        <x:f>C3064^2-'Resumen'!$B$5^3/3</x:f>
        <x:v>-0.24652241000879757</x:v>
      </x:c>
      <x:c r="E3064" s="85" t="n">
        <x:f>D3064+'Resumen'!$B$5^3/3</x:f>
        <x:v>0.08681092332453574</x:v>
      </x:c>
    </x:row>
    <x:row r="3065">
      <x:c r="A3065" s="89" t="n">
        <x:v>3063</x:v>
      </x:c>
      <x:c r="B3065" s="80" t="n">
        <x:v>-0.21137662145917133</x:v>
      </x:c>
      <x:c r="C3065" s="84" t="n">
        <x:f>SQRT('Resumen'!$B$5^3/3)*B3065</x:f>
        <x:v>-0.12203834929984618</x:v>
      </x:c>
      <x:c r="D3065" s="84" t="n">
        <x:f>C3065^2-'Resumen'!$B$5^3/3</x:f>
        <x:v>-0.31843997463350204</x:v>
      </x:c>
      <x:c r="E3065" s="85" t="n">
        <x:f>D3065+'Resumen'!$B$5^3/3</x:f>
        <x:v>0.014893358699831272</x:v>
      </x:c>
    </x:row>
    <x:row r="3066">
      <x:c r="A3066" s="89" t="n">
        <x:v>3064</x:v>
      </x:c>
      <x:c r="B3066" s="80" t="n">
        <x:v>0.4679826974038949</x:v>
      </x:c>
      <x:c r="C3066" s="84" t="n">
        <x:f>SQRT('Resumen'!$B$5^3/3)*B3066</x:f>
        <x:v>0.2701899363222259</x:v>
      </x:c>
      <x:c r="D3066" s="84" t="n">
        <x:f>C3066^2-'Resumen'!$B$5^3/3</x:f>
        <x:v>-0.2603307316435248</x:v>
      </x:c>
      <x:c r="E3066" s="85" t="n">
        <x:f>D3066+'Resumen'!$B$5^3/3</x:f>
        <x:v>0.07300260168980849</x:v>
      </x:c>
    </x:row>
    <x:row r="3067">
      <x:c r="A3067" s="89" t="n">
        <x:v>3065</x:v>
      </x:c>
      <x:c r="B3067" s="80" t="n">
        <x:v>-0.2740979831366852</x:v>
      </x:c>
      <x:c r="C3067" s="84" t="n">
        <x:f>SQRT('Resumen'!$B$5^3/3)*B3067</x:f>
        <x:v>-0.1582505443482987</x:v>
      </x:c>
      <x:c r="D3067" s="84" t="n">
        <x:f>C3067^2-'Resumen'!$B$5^3/3</x:f>
        <x:v>-0.30829009854680045</x:v>
      </x:c>
      <x:c r="E3067" s="85" t="n">
        <x:f>D3067+'Resumen'!$B$5^3/3</x:f>
        <x:v>0.025043234786532864</x:v>
      </x:c>
    </x:row>
    <x:row r="3068">
      <x:c r="A3068" s="89" t="n">
        <x:v>3066</x:v>
      </x:c>
      <x:c r="B3068" s="80" t="n">
        <x:v>-0.6983363680600745</x:v>
      </x:c>
      <x:c r="C3068" s="84" t="n">
        <x:f>SQRT('Resumen'!$B$5^3/3)*B3068</x:f>
        <x:v>-0.40318469008438956</x:v>
      </x:c>
      <x:c r="D3068" s="84" t="n">
        <x:f>C3068^2-'Resumen'!$B$5^3/3</x:f>
        <x:v>-0.17077543901488806</x:v>
      </x:c>
      <x:c r="E3068" s="85" t="n">
        <x:f>D3068+'Resumen'!$B$5^3/3</x:f>
        <x:v>0.16255789431844525</x:v>
      </x:c>
    </x:row>
    <x:row r="3069">
      <x:c r="A3069" s="89" t="n">
        <x:v>3067</x:v>
      </x:c>
      <x:c r="B3069" s="80" t="n">
        <x:v>0.3728673915829781</x:v>
      </x:c>
      <x:c r="C3069" s="84" t="n">
        <x:f>SQRT('Resumen'!$B$5^3/3)*B3069</x:f>
        <x:v>0.215275088902466</x:v>
      </x:c>
      <x:c r="D3069" s="84" t="n">
        <x:f>C3069^2-'Resumen'!$B$5^3/3</x:f>
        <x:v>-0.2869899694313687</x:v>
      </x:c>
      <x:c r="E3069" s="85" t="n">
        <x:f>D3069+'Resumen'!$B$5^3/3</x:f>
        <x:v>0.04634336390196464</x:v>
      </x:c>
    </x:row>
    <x:row r="3070">
      <x:c r="A3070" s="89" t="n">
        <x:v>3068</x:v>
      </x:c>
      <x:c r="B3070" s="80" t="n">
        <x:v>-0.815112565460829</x:v>
      </x:c>
      <x:c r="C3070" s="84" t="n">
        <x:f>SQRT('Resumen'!$B$5^3/3)*B3070</x:f>
        <x:v>-0.47060545908865603</x:v>
      </x:c>
      <x:c r="D3070" s="84" t="n">
        <x:f>C3070^2-'Resumen'!$B$5^3/3</x:f>
        <x:v>-0.11186383520928861</x:v>
      </x:c>
      <x:c r="E3070" s="85" t="n">
        <x:f>D3070+'Resumen'!$B$5^3/3</x:f>
        <x:v>0.2214694981240447</x:v>
      </x:c>
    </x:row>
    <x:row r="3071">
      <x:c r="A3071" s="89" t="n">
        <x:v>3069</x:v>
      </x:c>
      <x:c r="B3071" s="80" t="n">
        <x:v>0.3858029348618956</x:v>
      </x:c>
      <x:c r="C3071" s="84" t="n">
        <x:f>SQRT('Resumen'!$B$5^3/3)*B3071</x:f>
        <x:v>0.22274342829666308</x:v>
      </x:c>
      <x:c r="D3071" s="84" t="n">
        <x:f>C3071^2-'Resumen'!$B$5^3/3</x:f>
        <x:v>-0.2837186984839826</x:v>
      </x:c>
      <x:c r="E3071" s="85" t="n">
        <x:f>D3071+'Resumen'!$B$5^3/3</x:f>
        <x:v>0.04961463484935069</x:v>
      </x:c>
    </x:row>
    <x:row r="3072">
      <x:c r="A3072" s="89" t="n">
        <x:v>3070</x:v>
      </x:c>
      <x:c r="B3072" s="80" t="n">
        <x:v>0.14170044320727831</x:v>
      </x:c>
      <x:c r="C3072" s="84" t="n">
        <x:f>SQRT('Resumen'!$B$5^3/3)*B3072</x:f>
        <x:v>0.0818107890300114</x:v>
      </x:c>
      <x:c r="D3072" s="84" t="n">
        <x:f>C3072^2-'Resumen'!$B$5^3/3</x:f>
        <x:v>-0.3266403281316203</x:v>
      </x:c>
      <x:c r="E3072" s="85" t="n">
        <x:f>D3072+'Resumen'!$B$5^3/3</x:f>
        <x:v>0.006693005201713009</x:v>
      </x:c>
    </x:row>
    <x:row r="3073">
      <x:c r="A3073" s="89" t="n">
        <x:v>3071</x:v>
      </x:c>
      <x:c r="B3073" s="80" t="n">
        <x:v>0.34076522335435255</x:v>
      </x:c>
      <x:c r="C3073" s="84" t="n">
        <x:f>SQRT('Resumen'!$B$5^3/3)*B3073</x:f>
        <x:v>0.1967408934340984</x:v>
      </x:c>
      <x:c r="D3073" s="84" t="n">
        <x:f>C3073^2-'Resumen'!$B$5^3/3</x:f>
        <x:v>-0.29462635418408606</x:v>
      </x:c>
      <x:c r="E3073" s="85" t="n">
        <x:f>D3073+'Resumen'!$B$5^3/3</x:f>
        <x:v>0.038706979149247256</x:v>
      </x:c>
    </x:row>
    <x:row r="3074">
      <x:c r="A3074" s="89" t="n">
        <x:v>3072</x:v>
      </x:c>
      <x:c r="B3074" s="80" t="n">
        <x:v>0.8581782869746535</x:v>
      </x:c>
      <x:c r="C3074" s="84" t="n">
        <x:f>SQRT('Resumen'!$B$5^3/3)*B3074</x:f>
        <x:v>0.49546946499750805</x:v>
      </x:c>
      <x:c r="D3074" s="84" t="n">
        <x:f>C3074^2-'Resumen'!$B$5^3/3</x:f>
        <x:v>-0.08784334258841647</x:v>
      </x:c>
      <x:c r="E3074" s="85" t="n">
        <x:f>D3074+'Resumen'!$B$5^3/3</x:f>
        <x:v>0.24548999074491684</x:v>
      </x:c>
    </x:row>
    <x:row r="3075">
      <x:c r="A3075" s="89" t="n">
        <x:v>3073</x:v>
      </x:c>
      <x:c r="B3075" s="80" t="n">
        <x:v>-0.6567674443070797</x:v>
      </x:c>
      <x:c r="C3075" s="84" t="n">
        <x:f>SQRT('Resumen'!$B$5^3/3)*B3075</x:f>
        <x:v>-0.379184860765675</x:v>
      </x:c>
      <x:c r="D3075" s="84" t="n">
        <x:f>C3075^2-'Resumen'!$B$5^3/3</x:f>
        <x:v>-0.189552174699449</x:v>
      </x:c>
      <x:c r="E3075" s="85" t="n">
        <x:f>D3075+'Resumen'!$B$5^3/3</x:f>
        <x:v>0.14378115863388433</x:v>
      </x:c>
    </x:row>
    <x:row r="3076">
      <x:c r="A3076" s="89" t="n">
        <x:v>3074</x:v>
      </x:c>
      <x:c r="B3076" s="80" t="n">
        <x:v>2.342507636972917</x:v>
      </x:c>
      <x:c r="C3076" s="84" t="n">
        <x:f>SQRT('Resumen'!$B$5^3/3)*B3076</x:f>
        <x:v>1.3524474147850676</x:v>
      </x:c>
      <x:c r="D3076" s="84" t="n">
        <x:f>C3076^2-'Resumen'!$B$5^3/3</x:f>
        <x:v>1.4957806764254793</x:v>
      </x:c>
      <x:c r="E3076" s="85" t="n">
        <x:f>D3076+'Resumen'!$B$5^3/3</x:f>
        <x:v>1.8291140097588126</x:v>
      </x:c>
    </x:row>
    <x:row r="3077">
      <x:c r="A3077" s="89" t="n">
        <x:v>3075</x:v>
      </x:c>
      <x:c r="B3077" s="80" t="n">
        <x:v>1.5401266679005587</x:v>
      </x:c>
      <x:c r="C3077" s="84" t="n">
        <x:f>SQRT('Resumen'!$B$5^3/3)*B3077</x:f>
        <x:v>0.8891925462985089</x:v>
      </x:c>
      <x:c r="D3077" s="84" t="n">
        <x:f>C3077^2-'Resumen'!$B$5^3/3</x:f>
        <x:v>0.4573300510594925</x:v>
      </x:c>
      <x:c r="E3077" s="85" t="n">
        <x:f>D3077+'Resumen'!$B$5^3/3</x:f>
        <x:v>0.7906633843928258</x:v>
      </x:c>
    </x:row>
    <x:row r="3078">
      <x:c r="A3078" s="89" t="n">
        <x:v>3076</x:v>
      </x:c>
      <x:c r="B3078" s="80" t="n">
        <x:v>0.741770708621547</x:v>
      </x:c>
      <x:c r="C3078" s="84" t="n">
        <x:f>SQRT('Resumen'!$B$5^3/3)*B3078</x:f>
        <x:v>0.4282615182996296</x:v>
      </x:c>
      <x:c r="D3078" s="84" t="n">
        <x:f>C3078^2-'Resumen'!$B$5^3/3</x:f>
        <x:v>-0.14992540527702933</x:v>
      </x:c>
      <x:c r="E3078" s="85" t="n">
        <x:f>D3078+'Resumen'!$B$5^3/3</x:f>
        <x:v>0.183407928056304</x:v>
      </x:c>
    </x:row>
    <x:row r="3079">
      <x:c r="A3079" s="89" t="n">
        <x:v>3077</x:v>
      </x:c>
      <x:c r="B3079" s="80" t="n">
        <x:v>0.7918650099855536</x:v>
      </x:c>
      <x:c r="C3079" s="84" t="n">
        <x:f>SQRT('Resumen'!$B$5^3/3)*B3079</x:f>
        <x:v>0.45718347667700504</x:v>
      </x:c>
      <x:c r="D3079" s="84" t="n">
        <x:f>C3079^2-'Resumen'!$B$5^3/3</x:f>
        <x:v>-0.1243166019868597</x:v>
      </x:c>
      <x:c r="E3079" s="85" t="n">
        <x:f>D3079+'Resumen'!$B$5^3/3</x:f>
        <x:v>0.2090167313464736</x:v>
      </x:c>
    </x:row>
    <x:row r="3080">
      <x:c r="A3080" s="89" t="n">
        <x:v>3078</x:v>
      </x:c>
      <x:c r="B3080" s="80" t="n">
        <x:v>1.0954985778890471</x:v>
      </x:c>
      <x:c r="C3080" s="84" t="n">
        <x:f>SQRT('Resumen'!$B$5^3/3)*B3080</x:f>
        <x:v>0.6324863988410936</x:v>
      </x:c>
      <x:c r="D3080" s="84" t="n">
        <x:f>C3080^2-'Resumen'!$B$5^3/3</x:f>
        <x:v>0.06670571138564158</x:v>
      </x:c>
      <x:c r="E3080" s="85" t="n">
        <x:f>D3080+'Resumen'!$B$5^3/3</x:f>
        <x:v>0.4000390447189749</x:v>
      </x:c>
    </x:row>
    <x:row r="3081">
      <x:c r="A3081" s="89" t="n">
        <x:v>3079</x:v>
      </x:c>
      <x:c r="B3081" s="80" t="n">
        <x:v>2.1864483683450047</x:v>
      </x:c>
      <x:c r="C3081" s="84" t="n">
        <x:f>SQRT('Resumen'!$B$5^3/3)*B3081</x:f>
        <x:v>1.2623465540332064</x:v>
      </x:c>
      <x:c r="D3081" s="84" t="n">
        <x:f>C3081^2-'Resumen'!$B$5^3/3</x:f>
        <x:v>1.2601854891461777</x:v>
      </x:c>
      <x:c r="E3081" s="85" t="n">
        <x:f>D3081+'Resumen'!$B$5^3/3</x:f>
        <x:v>1.593518822479511</x:v>
      </x:c>
    </x:row>
    <x:row r="3082">
      <x:c r="A3082" s="89" t="n">
        <x:v>3080</x:v>
      </x:c>
      <x:c r="B3082" s="80" t="n">
        <x:v>0.5880590018425744</x:v>
      </x:c>
      <x:c r="C3082" s="84" t="n">
        <x:f>SQRT('Resumen'!$B$5^3/3)*B3082</x:f>
        <x:v>0.33951602301319295</x:v>
      </x:c>
      <x:c r="D3082" s="84" t="n">
        <x:f>C3082^2-'Resumen'!$B$5^3/3</x:f>
        <x:v>-0.21806220345063837</x:v>
      </x:c>
      <x:c r="E3082" s="85" t="n">
        <x:f>D3082+'Resumen'!$B$5^3/3</x:f>
        <x:v>0.11527112988269494</x:v>
      </x:c>
    </x:row>
    <x:row r="3083">
      <x:c r="A3083" s="89" t="n">
        <x:v>3081</x:v>
      </x:c>
      <x:c r="B3083" s="80" t="n">
        <x:v>-0.8359886807252028</x:v>
      </x:c>
      <x:c r="C3083" s="84" t="n">
        <x:f>SQRT('Resumen'!$B$5^3/3)*B3083</x:f>
        <x:v>-0.4826582898561759</x:v>
      </x:c>
      <x:c r="D3083" s="84" t="n">
        <x:f>C3083^2-'Resumen'!$B$5^3/3</x:f>
        <x:v>-0.10037430856644497</x:v>
      </x:c>
      <x:c r="E3083" s="85" t="n">
        <x:f>D3083+'Resumen'!$B$5^3/3</x:f>
        <x:v>0.23295902476688835</x:v>
      </x:c>
    </x:row>
    <x:row r="3084">
      <x:c r="A3084" s="89" t="n">
        <x:v>3082</x:v>
      </x:c>
      <x:c r="B3084" s="80" t="n">
        <x:v>0.31235526316265483</x:v>
      </x:c>
      <x:c r="C3084" s="84" t="n">
        <x:f>SQRT('Resumen'!$B$5^3/3)*B3084</x:f>
        <x:v>0.18033839526975515</x:v>
      </x:c>
      <x:c r="D3084" s="84" t="n">
        <x:f>C3084^2-'Resumen'!$B$5^3/3</x:f>
        <x:v>-0.3008113965248629</x:v>
      </x:c>
      <x:c r="E3084" s="85" t="n">
        <x:f>D3084+'Resumen'!$B$5^3/3</x:f>
        <x:v>0.03252193680847043</x:v>
      </x:c>
    </x:row>
    <x:row r="3085">
      <x:c r="A3085" s="89" t="n">
        <x:v>3083</x:v>
      </x:c>
      <x:c r="B3085" s="80" t="n">
        <x:v>-0.0518610038189591</x:v>
      </x:c>
      <x:c r="C3085" s="84" t="n">
        <x:f>SQRT('Resumen'!$B$5^3/3)*B3085</x:f>
        <x:v>-0.029941964515320243</x:v>
      </x:c>
      <x:c r="D3085" s="84" t="n">
        <x:f>C3085^2-'Resumen'!$B$5^3/3</x:f>
        <x:v>-0.3324368120942966</x:v>
      </x:c>
      <x:c r="E3085" s="85" t="n">
        <x:f>D3085+'Resumen'!$B$5^3/3</x:f>
        <x:v>0.0008965212390367183</x:v>
      </x:c>
    </x:row>
    <x:row r="3086">
      <x:c r="A3086" s="89" t="n">
        <x:v>3084</x:v>
      </x:c>
      <x:c r="B3086" s="80" t="n">
        <x:v>-0.8635136075568033</x:v>
      </x:c>
      <x:c r="C3086" s="84" t="n">
        <x:f>SQRT('Resumen'!$B$5^3/3)*B3086</x:f>
        <x:v>-0.4985498137718252</x:v>
      </x:c>
      <x:c r="D3086" s="84" t="n">
        <x:f>C3086^2-'Resumen'!$B$5^3/3</x:f>
        <x:v>-0.08478141652141172</x:v>
      </x:c>
      <x:c r="E3086" s="85" t="n">
        <x:f>D3086+'Resumen'!$B$5^3/3</x:f>
        <x:v>0.2485519168119216</x:v>
      </x:c>
    </x:row>
    <x:row r="3087">
      <x:c r="A3087" s="89" t="n">
        <x:v>3085</x:v>
      </x:c>
      <x:c r="B3087" s="80" t="n">
        <x:v>-1.0540306313837033</x:v>
      </x:c>
      <x:c r="C3087" s="84" t="n">
        <x:f>SQRT('Resumen'!$B$5^3/3)*B3087</x:f>
        <x:v>-0.6085448687634923</x:v>
      </x:c>
      <x:c r="D3087" s="84" t="n">
        <x:f>C3087^2-'Resumen'!$B$5^3/3</x:f>
        <x:v>0.036993523965042796</x:v>
      </x:c>
      <x:c r="E3087" s="85" t="n">
        <x:f>D3087+'Resumen'!$B$5^3/3</x:f>
        <x:v>0.3703268572983761</x:v>
      </x:c>
    </x:row>
    <x:row r="3088">
      <x:c r="A3088" s="89" t="n">
        <x:v>3086</x:v>
      </x:c>
      <x:c r="B3088" s="80" t="n">
        <x:v>0.2742731525104044</x:v>
      </x:c>
      <x:c r="C3088" s="84" t="n">
        <x:f>SQRT('Resumen'!$B$5^3/3)*B3088</x:f>
        <x:v>0.15835167843336925</x:v>
      </x:c>
      <x:c r="D3088" s="84" t="n">
        <x:f>C3088^2-'Resumen'!$B$5^3/3</x:f>
        <x:v>-0.3082580792706681</x:v>
      </x:c>
      <x:c r="E3088" s="85" t="n">
        <x:f>D3088+'Resumen'!$B$5^3/3</x:f>
        <x:v>0.025075254062665198</x:v>
      </x:c>
    </x:row>
    <x:row r="3089">
      <x:c r="A3089" s="89" t="n">
        <x:v>3087</x:v>
      </x:c>
      <x:c r="B3089" s="80" t="n">
        <x:v>-1.6866630855665465</x:v>
      </x:c>
      <x:c r="C3089" s="84" t="n">
        <x:f>SQRT('Resumen'!$B$5^3/3)*B3089</x:f>
        <x:v>-0.9737953864840504</x:v>
      </x:c>
      <x:c r="D3089" s="84" t="n">
        <x:f>C3089^2-'Resumen'!$B$5^3/3</x:f>
        <x:v>0.6149441214042877</x:v>
      </x:c>
      <x:c r="E3089" s="85" t="n">
        <x:f>D3089+'Resumen'!$B$5^3/3</x:f>
        <x:v>0.9482774547376209</x:v>
      </x:c>
    </x:row>
    <x:row r="3090">
      <x:c r="A3090" s="89" t="n">
        <x:v>3088</x:v>
      </x:c>
      <x:c r="B3090" s="80" t="n">
        <x:v>-0.8647951469464975</x:v>
      </x:c>
      <x:c r="C3090" s="84" t="n">
        <x:f>SQRT('Resumen'!$B$5^3/3)*B3090</x:f>
        <x:v>-0.49928971088344226</x:v>
      </x:c>
      <x:c r="D3090" s="84" t="n">
        <x:f>C3090^2-'Resumen'!$B$5^3/3</x:f>
        <x:v>-0.08404311793926195</x:v>
      </x:c>
      <x:c r="E3090" s="85" t="n">
        <x:f>D3090+'Resumen'!$B$5^3/3</x:f>
        <x:v>0.24929021539407137</x:v>
      </x:c>
    </x:row>
    <x:row r="3091">
      <x:c r="A3091" s="89" t="n">
        <x:v>3089</x:v>
      </x:c>
      <x:c r="B3091" s="80" t="n">
        <x:v>-3.0649995057648254</x:v>
      </x:c>
      <x:c r="C3091" s="84" t="n">
        <x:f>SQRT('Resumen'!$B$5^3/3)*B3091</x:f>
        <x:v>-1.7695782897193917</x:v>
      </x:c>
      <x:c r="D3091" s="84" t="n">
        <x:f>C3091^2-'Resumen'!$B$5^3/3</x:f>
        <x:v>2.798073990112874</x:v>
      </x:c>
      <x:c r="E3091" s="85" t="n">
        <x:f>D3091+'Resumen'!$B$5^3/3</x:f>
        <x:v>3.1314073234462074</x:v>
      </x:c>
    </x:row>
    <x:row r="3092">
      <x:c r="A3092" s="89" t="n">
        <x:v>3090</x:v>
      </x:c>
      <x:c r="B3092" s="80" t="n">
        <x:v>-0.7663761050520784</x:v>
      </x:c>
      <x:c r="C3092" s="84" t="n">
        <x:f>SQRT('Resumen'!$B$5^3/3)*B3092</x:f>
        <x:v>-0.44246745055231435</x:v>
      </x:c>
      <x:c r="D3092" s="84" t="n">
        <x:f>C3092^2-'Resumen'!$B$5^3/3</x:f>
        <x:v>-0.1375558885350686</x:v>
      </x:c>
      <x:c r="E3092" s="85" t="n">
        <x:f>D3092+'Resumen'!$B$5^3/3</x:f>
        <x:v>0.19577744479826473</x:v>
      </x:c>
    </x:row>
    <x:row r="3093">
      <x:c r="A3093" s="89" t="n">
        <x:v>3091</x:v>
      </x:c>
      <x:c r="B3093" s="80" t="n">
        <x:v>0.7936226463021763</x:v>
      </x:c>
      <x:c r="C3093" s="84" t="n">
        <x:f>SQRT('Resumen'!$B$5^3/3)*B3093</x:f>
        <x:v>0.4581982484775446</x:v>
      </x:c>
      <x:c r="D3093" s="84" t="n">
        <x:f>C3093^2-'Resumen'!$B$5^3/3</x:f>
        <x:v>-0.12338769842544361</x:v>
      </x:c>
      <x:c r="E3093" s="85" t="n">
        <x:f>D3093+'Resumen'!$B$5^3/3</x:f>
        <x:v>0.2099456349078897</x:v>
      </x:c>
    </x:row>
    <x:row r="3094">
      <x:c r="A3094" s="89" t="n">
        <x:v>3092</x:v>
      </x:c>
      <x:c r="B3094" s="80" t="n">
        <x:v>-0.05328194607419578</x:v>
      </x:c>
      <x:c r="C3094" s="84" t="n">
        <x:f>SQRT('Resumen'!$B$5^3/3)*B3094</x:f>
        <x:v>-0.030762345908884055</x:v>
      </x:c>
      <x:c r="D3094" s="84" t="n">
        <x:f>C3094^2-'Resumen'!$B$5^3/3</x:f>
        <x:v>-0.3323870114075155</x:v>
      </x:c>
      <x:c r="E3094" s="85" t="n">
        <x:f>D3094+'Resumen'!$B$5^3/3</x:f>
        <x:v>0.000946321925817839</x:v>
      </x:c>
    </x:row>
    <x:row r="3095">
      <x:c r="A3095" s="89" t="n">
        <x:v>3093</x:v>
      </x:c>
      <x:c r="B3095" s="80" t="n">
        <x:v>0.6977327561726536</x:v>
      </x:c>
      <x:c r="C3095" s="84" t="n">
        <x:f>SQRT('Resumen'!$B$5^3/3)*B3095</x:f>
        <x:v>0.40283619459870107</x:v>
      </x:c>
      <x:c r="D3095" s="84" t="n">
        <x:f>C3095^2-'Resumen'!$B$5^3/3</x:f>
        <x:v>-0.17105633365457076</x:v>
      </x:c>
      <x:c r="E3095" s="85" t="n">
        <x:f>D3095+'Resumen'!$B$5^3/3</x:f>
        <x:v>0.16227699967876255</x:v>
      </x:c>
    </x:row>
    <x:row r="3096">
      <x:c r="A3096" s="89" t="n">
        <x:v>3094</x:v>
      </x:c>
      <x:c r="B3096" s="80" t="n">
        <x:v>-0.5202941603934266</x:v>
      </x:c>
      <x:c r="C3096" s="84" t="n">
        <x:f>SQRT('Resumen'!$B$5^3/3)*B3096</x:f>
        <x:v>-0.30039197356093517</x:v>
      </x:c>
      <x:c r="D3096" s="84" t="n">
        <x:f>C3096^2-'Resumen'!$B$5^3/3</x:f>
        <x:v>-0.24309799555349976</x:v>
      </x:c>
      <x:c r="E3096" s="85" t="n">
        <x:f>D3096+'Resumen'!$B$5^3/3</x:f>
        <x:v>0.09023533777983356</x:v>
      </x:c>
    </x:row>
    <x:row r="3097">
      <x:c r="A3097" s="89" t="n">
        <x:v>3095</x:v>
      </x:c>
      <x:c r="B3097" s="80" t="n">
        <x:v>0.018888458911600372</x:v>
      </x:c>
      <x:c r="C3097" s="84" t="n">
        <x:f>SQRT('Resumen'!$B$5^3/3)*B3097</x:f>
        <x:v>0.01090525683718966</x:v>
      </x:c>
      <x:c r="D3097" s="84" t="n">
        <x:f>C3097^2-'Resumen'!$B$5^3/3</x:f>
        <x:v>-0.33321440870664826</x:v>
      </x:c>
      <x:c r="E3097" s="85" t="n">
        <x:f>D3097+'Resumen'!$B$5^3/3</x:f>
        <x:v>0.00011892462668505743</x:v>
      </x:c>
    </x:row>
    <x:row r="3098">
      <x:c r="A3098" s="89" t="n">
        <x:v>3096</x:v>
      </x:c>
      <x:c r="B3098" s="80" t="n">
        <x:v>-1.561499666337944</x:v>
      </x:c>
      <x:c r="C3098" s="84" t="n">
        <x:f>SQRT('Resumen'!$B$5^3/3)*B3098</x:f>
        <x:v>-0.9015322526997227</x:v>
      </x:c>
      <x:c r="D3098" s="84" t="n">
        <x:f>C3098^2-'Resumen'!$B$5^3/3</x:f>
        <x:v>0.47942706932450335</x:v>
      </x:c>
      <x:c r="E3098" s="85" t="n">
        <x:f>D3098+'Resumen'!$B$5^3/3</x:f>
        <x:v>0.8127604026578367</x:v>
      </x:c>
    </x:row>
    <x:row r="3099">
      <x:c r="A3099" s="89" t="n">
        <x:v>3097</x:v>
      </x:c>
      <x:c r="B3099" s="80" t="n">
        <x:v>-0.38895232621712694</x:v>
      </x:c>
      <x:c r="C3099" s="84" t="n">
        <x:f>SQRT('Resumen'!$B$5^3/3)*B3099</x:f>
        <x:v>-0.22456173024338935</x:v>
      </x:c>
      <x:c r="D3099" s="84" t="n">
        <x:f>C3099^2-'Resumen'!$B$5^3/3</x:f>
        <x:v>-0.2829053626434285</x:v>
      </x:c>
      <x:c r="E3099" s="85" t="n">
        <x:f>D3099+'Resumen'!$B$5^3/3</x:f>
        <x:v>0.05042797068990479</x:v>
      </x:c>
    </x:row>
    <x:row r="3100">
      <x:c r="A3100" s="89" t="n">
        <x:v>3098</x:v>
      </x:c>
      <x:c r="B3100" s="80" t="n">
        <x:v>0.23141189065949833</x:v>
      </x:c>
      <x:c r="C3100" s="84" t="n">
        <x:f>SQRT('Resumen'!$B$5^3/3)*B3100</x:f>
        <x:v>0.1336057173659416</x:v>
      </x:c>
      <x:c r="D3100" s="84" t="n">
        <x:f>C3100^2-'Resumen'!$B$5^3/3</x:f>
        <x:v>-0.31548284562046547</x:v>
      </x:c>
      <x:c r="E3100" s="85" t="n">
        <x:f>D3100+'Resumen'!$B$5^3/3</x:f>
        <x:v>0.017850487712867846</x:v>
      </x:c>
    </x:row>
    <x:row r="3101">
      <x:c r="A3101" s="89" t="n">
        <x:v>3099</x:v>
      </x:c>
      <x:c r="B3101" s="80" t="n">
        <x:v>-1.0645521825666795</x:v>
      </x:c>
      <x:c r="C3101" s="84" t="n">
        <x:f>SQRT('Resumen'!$B$5^3/3)*B3101</x:f>
        <x:v>-0.614619489171276</x:v>
      </x:c>
      <x:c r="D3101" s="84" t="n">
        <x:f>C3101^2-'Resumen'!$B$5^3/3</x:f>
        <x:v>0.0444237831358269</x:v>
      </x:c>
      <x:c r="E3101" s="85" t="n">
        <x:f>D3101+'Resumen'!$B$5^3/3</x:f>
        <x:v>0.3777571164691602</x:v>
      </x:c>
    </x:row>
    <x:row r="3102">
      <x:c r="A3102" s="89" t="n">
        <x:v>3100</x:v>
      </x:c>
      <x:c r="B3102" s="80" t="n">
        <x:v>-0.42845115060940847</x:v>
      </x:c>
      <x:c r="C3102" s="84" t="n">
        <x:f>SQRT('Resumen'!$B$5^3/3)*B3102</x:f>
        <x:v>-0.24736638713894685</x:v>
      </x:c>
      <x:c r="D3102" s="84" t="n">
        <x:f>C3102^2-'Resumen'!$B$5^3/3</x:f>
        <x:v>-0.272143203847158</x:v>
      </x:c>
      <x:c r="E3102" s="85" t="n">
        <x:f>D3102+'Resumen'!$B$5^3/3</x:f>
        <x:v>0.061190129486175304</x:v>
      </x:c>
    </x:row>
    <x:row r="3103">
      <x:c r="A3103" s="89" t="n">
        <x:v>3101</x:v>
      </x:c>
      <x:c r="B3103" s="80" t="n">
        <x:v>0.62192135128867</x:v>
      </x:c>
      <x:c r="C3103" s="84" t="n">
        <x:f>SQRT('Resumen'!$B$5^3/3)*B3103</x:f>
        <x:v>0.3590664595812894</x:v>
      </x:c>
      <x:c r="D3103" s="84" t="n">
        <x:f>C3103^2-'Resumen'!$B$5^3/3</x:f>
        <x:v>-0.20440461093709159</x:v>
      </x:c>
      <x:c r="E3103" s="85" t="n">
        <x:f>D3103+'Resumen'!$B$5^3/3</x:f>
        <x:v>0.12892872239624173</x:v>
      </x:c>
    </x:row>
    <x:row r="3104">
      <x:c r="A3104" s="89" t="n">
        <x:v>3102</x:v>
      </x:c>
      <x:c r="B3104" s="80" t="n">
        <x:v>0.5136806560848979</x:v>
      </x:c>
      <x:c r="C3104" s="84" t="n">
        <x:f>SQRT('Resumen'!$B$5^3/3)*B3104</x:f>
        <x:v>0.29657366506811933</x:v>
      </x:c>
      <x:c r="D3104" s="84" t="n">
        <x:f>C3104^2-'Resumen'!$B$5^3/3</x:f>
        <x:v>-0.24537739452139629</x:v>
      </x:c>
      <x:c r="E3104" s="85" t="n">
        <x:f>D3104+'Resumen'!$B$5^3/3</x:f>
        <x:v>0.08795593881193703</x:v>
      </x:c>
    </x:row>
    <x:row r="3105">
      <x:c r="A3105" s="89" t="n">
        <x:v>3103</x:v>
      </x:c>
      <x:c r="B3105" s="80" t="n">
        <x:v>0.5995115314799593</x:v>
      </x:c>
      <x:c r="C3105" s="84" t="n">
        <x:f>SQRT('Resumen'!$B$5^3/3)*B3105</x:f>
        <x:v>0.3461281440822393</x:v>
      </x:c>
      <x:c r="D3105" s="84" t="n">
        <x:f>C3105^2-'Resumen'!$B$5^3/3</x:f>
        <x:v>-0.2135286412075179</x:v>
      </x:c>
      <x:c r="E3105" s="85" t="n">
        <x:f>D3105+'Resumen'!$B$5^3/3</x:f>
        <x:v>0.1198046921258154</x:v>
      </x:c>
    </x:row>
    <x:row r="3106">
      <x:c r="A3106" s="89" t="n">
        <x:v>3104</x:v>
      </x:c>
      <x:c r="B3106" s="80" t="n">
        <x:v>0.4223001896704126</x:v>
      </x:c>
      <x:c r="C3106" s="84" t="n">
        <x:f>SQRT('Resumen'!$B$5^3/3)*B3106</x:f>
        <x:v>0.24381512818504272</x:v>
      </x:c>
      <x:c r="D3106" s="84" t="n">
        <x:f>C3106^2-'Resumen'!$B$5^3/3</x:f>
        <x:v>-0.2738875166014445</x:v>
      </x:c>
      <x:c r="E3106" s="85" t="n">
        <x:f>D3106+'Resumen'!$B$5^3/3</x:f>
        <x:v>0.05944581673188881</x:v>
      </x:c>
    </x:row>
    <x:row r="3107">
      <x:c r="A3107" s="89" t="n">
        <x:v>3105</x:v>
      </x:c>
      <x:c r="B3107" s="80" t="n">
        <x:v>-0.9697530939813775</x:v>
      </x:c>
      <x:c r="C3107" s="84" t="n">
        <x:f>SQRT('Resumen'!$B$5^3/3)*B3107</x:f>
        <x:v>-0.5598872098576207</x:v>
      </x:c>
      <x:c r="D3107" s="84" t="n">
        <x:f>C3107^2-'Resumen'!$B$5^3/3</x:f>
        <x:v>-0.01985964557118186</x:v>
      </x:c>
      <x:c r="E3107" s="85" t="n">
        <x:f>D3107+'Resumen'!$B$5^3/3</x:f>
        <x:v>0.31347368776215145</x:v>
      </x:c>
    </x:row>
    <x:row r="3108">
      <x:c r="A3108" s="89" t="n">
        <x:v>3106</x:v>
      </x:c>
      <x:c r="B3108" s="80" t="n">
        <x:v>0.10789123868695234</x:v>
      </x:c>
      <x:c r="C3108" s="84" t="n">
        <x:f>SQRT('Resumen'!$B$5^3/3)*B3108</x:f>
        <x:v>0.062291035699114095</x:v>
      </x:c>
      <x:c r="D3108" s="84" t="n">
        <x:f>C3108^2-'Resumen'!$B$5^3/3</x:f>
        <x:v>-0.329453160204865</x:v>
      </x:c>
      <x:c r="E3108" s="85" t="n">
        <x:f>D3108+'Resumen'!$B$5^3/3</x:f>
        <x:v>0.003880173128468334</x:v>
      </x:c>
    </x:row>
    <x:row r="3109">
      <x:c r="A3109" s="89" t="n">
        <x:v>3107</x:v>
      </x:c>
      <x:c r="B3109" s="80" t="n">
        <x:v>1.9630376966424459</x:v>
      </x:c>
      <x:c r="C3109" s="84" t="n">
        <x:f>SQRT('Resumen'!$B$5^3/3)*B3109</x:f>
        <x:v>1.133360342585899</x:v>
      </x:c>
      <x:c r="D3109" s="84" t="n">
        <x:f>C3109^2-'Resumen'!$B$5^3/3</x:f>
        <x:v>0.9511723328130928</x:v>
      </x:c>
      <x:c r="E3109" s="85" t="n">
        <x:f>D3109+'Resumen'!$B$5^3/3</x:f>
        <x:v>1.284505666146426</x:v>
      </x:c>
    </x:row>
    <x:row r="3110">
      <x:c r="A3110" s="89" t="n">
        <x:v>3108</x:v>
      </x:c>
      <x:c r="B3110" s="80" t="n">
        <x:v>0.0685597248954155</x:v>
      </x:c>
      <x:c r="C3110" s="84" t="n">
        <x:f>SQRT('Resumen'!$B$5^3/3)*B3110</x:f>
        <x:v>0.03958297562393482</x:v>
      </x:c>
      <x:c r="D3110" s="84" t="n">
        <x:f>C3110^2-'Resumen'!$B$5^3/3</x:f>
        <x:v>-0.3317665213740883</x:v>
      </x:c>
      <x:c r="E3110" s="85" t="n">
        <x:f>D3110+'Resumen'!$B$5^3/3</x:f>
        <x:v>0.001566811959245018</x:v>
      </x:c>
    </x:row>
    <x:row r="3111">
      <x:c r="A3111" s="89" t="n">
        <x:v>3109</x:v>
      </x:c>
      <x:c r="B3111" s="80" t="n">
        <x:v>-0.48387579428496486</x:v>
      </x:c>
      <x:c r="C3111" s="84" t="n">
        <x:f>SQRT('Resumen'!$B$5^3/3)*B3111</x:f>
        <x:v>-0.2793658200847684</x:v>
      </x:c>
      <x:c r="D3111" s="84" t="n">
        <x:f>C3111^2-'Resumen'!$B$5^3/3</x:f>
        <x:v>-0.2552880719016981</x:v>
      </x:c>
      <x:c r="E3111" s="85" t="n">
        <x:f>D3111+'Resumen'!$B$5^3/3</x:f>
        <x:v>0.0780452614316352</x:v>
      </x:c>
    </x:row>
    <x:row r="3112">
      <x:c r="A3112" s="89" t="n">
        <x:v>3110</x:v>
      </x:c>
      <x:c r="B3112" s="80" t="n">
        <x:v>-0.7531241493449822</x:v>
      </x:c>
      <x:c r="C3112" s="84" t="n">
        <x:f>SQRT('Resumen'!$B$5^3/3)*B3112</x:f>
        <x:v>-0.43481643035753337</x:v>
      </x:c>
      <x:c r="D3112" s="84" t="n">
        <x:f>C3112^2-'Resumen'!$B$5^3/3</x:f>
        <x:v>-0.14426800522446565</x:v>
      </x:c>
      <x:c r="E3112" s="85" t="n">
        <x:f>D3112+'Resumen'!$B$5^3/3</x:f>
        <x:v>0.18906532810886767</x:v>
      </x:c>
    </x:row>
    <x:row r="3113">
      <x:c r="A3113" s="89" t="n">
        <x:v>3111</x:v>
      </x:c>
      <x:c r="B3113" s="80" t="n">
        <x:v>0.014967345950119436</x:v>
      </x:c>
      <x:c r="C3113" s="84" t="n">
        <x:f>SQRT('Resumen'!$B$5^3/3)*B3113</x:f>
        <x:v>0.008641401213355712</x:v>
      </x:c>
      <x:c r="D3113" s="84" t="n">
        <x:f>C3113^2-'Resumen'!$B$5^3/3</x:f>
        <x:v>-0.3332586595184031</x:v>
      </x:c>
      <x:c r="E3113" s="85" t="n">
        <x:f>D3113+'Resumen'!$B$5^3/3</x:f>
        <x:v>0.00007467381493020397</x:v>
      </x:c>
    </x:row>
    <x:row r="3114">
      <x:c r="A3114" s="89" t="n">
        <x:v>3112</x:v>
      </x:c>
      <x:c r="B3114" s="80" t="n">
        <x:v>-0.6184747279708822</x:v>
      </x:c>
      <x:c r="C3114" s="84" t="n">
        <x:f>SQRT('Resumen'!$B$5^3/3)*B3114</x:f>
        <x:v>-0.3570765506809694</x:v>
      </x:c>
      <x:c r="D3114" s="84" t="n">
        <x:f>C3114^2-'Resumen'!$B$5^3/3</x:f>
        <x:v>-0.2058296702871144</x:v>
      </x:c>
      <x:c r="E3114" s="85" t="n">
        <x:f>D3114+'Resumen'!$B$5^3/3</x:f>
        <x:v>0.1275036630462189</x:v>
      </x:c>
    </x:row>
    <x:row r="3115">
      <x:c r="A3115" s="89" t="n">
        <x:v>3113</x:v>
      </x:c>
      <x:c r="B3115" s="80" t="n">
        <x:v>1.5554536105678685</x:v>
      </x:c>
      <x:c r="C3115" s="84" t="n">
        <x:f>SQRT('Resumen'!$B$5^3/3)*B3115</x:f>
        <x:v>0.8980415607733341</x:v>
      </x:c>
      <x:c r="D3115" s="84" t="n">
        <x:f>C3115^2-'Resumen'!$B$5^3/3</x:f>
        <x:v>0.4731453115428726</x:v>
      </x:c>
      <x:c r="E3115" s="85" t="n">
        <x:f>D3115+'Resumen'!$B$5^3/3</x:f>
        <x:v>0.8064786448762059</x:v>
      </x:c>
    </x:row>
    <x:row r="3116">
      <x:c r="A3116" s="89" t="n">
        <x:v>3114</x:v>
      </x:c>
      <x:c r="B3116" s="80" t="n">
        <x:v>-0.32153229503516007</x:v>
      </x:c>
      <x:c r="C3116" s="84" t="n">
        <x:f>SQRT('Resumen'!$B$5^3/3)*B3116</x:f>
        <x:v>-0.18563675709170782</x:v>
      </x:c>
      <x:c r="D3116" s="84" t="n">
        <x:f>C3116^2-'Resumen'!$B$5^3/3</x:f>
        <x:v>-0.2988723277498076</x:v>
      </x:c>
      <x:c r="E3116" s="85" t="n">
        <x:f>D3116+'Resumen'!$B$5^3/3</x:f>
        <x:v>0.03446100558352572</x:v>
      </x:c>
    </x:row>
    <x:row r="3117">
      <x:c r="A3117" s="89" t="n">
        <x:v>3115</x:v>
      </x:c>
      <x:c r="B3117" s="80" t="n">
        <x:v>-0.1258491202862304</x:v>
      </x:c>
      <x:c r="C3117" s="84" t="n">
        <x:f>SQRT('Resumen'!$B$5^3/3)*B3117</x:f>
        <x:v>-0.07265902347453272</x:v>
      </x:c>
      <x:c r="D3117" s="84" t="n">
        <x:f>C3117^2-'Resumen'!$B$5^3/3</x:f>
        <x:v>-0.32805399964106063</x:v>
      </x:c>
      <x:c r="E3117" s="85" t="n">
        <x:f>D3117+'Resumen'!$B$5^3/3</x:f>
        <x:v>0.005279333692272681</x:v>
      </x:c>
    </x:row>
    <x:row r="3118">
      <x:c r="A3118" s="89" t="n">
        <x:v>3116</x:v>
      </x:c>
      <x:c r="B3118" s="80" t="n">
        <x:v>-0.7121331092652622</x:v>
      </x:c>
      <x:c r="C3118" s="84" t="n">
        <x:f>SQRT('Resumen'!$B$5^3/3)*B3118</x:f>
        <x:v>-0.4111502423331443</x:v>
      </x:c>
      <x:c r="D3118" s="84" t="n">
        <x:f>C3118^2-'Resumen'!$B$5^3/3</x:f>
        <x:v>-0.16428881156273004</x:v>
      </x:c>
      <x:c r="E3118" s="85" t="n">
        <x:f>D3118+'Resumen'!$B$5^3/3</x:f>
        <x:v>0.16904452177060328</x:v>
      </x:c>
    </x:row>
    <x:row r="3119">
      <x:c r="A3119" s="89" t="n">
        <x:v>3117</x:v>
      </x:c>
      <x:c r="B3119" s="80" t="n">
        <x:v>-1.5659430062725352</x:v>
      </x:c>
      <x:c r="C3119" s="84" t="n">
        <x:f>SQRT('Resumen'!$B$5^3/3)*B3119</x:f>
        <x:v>-0.90409761620706</x:v>
      </x:c>
      <x:c r="D3119" s="84" t="n">
        <x:f>C3119^2-'Resumen'!$B$5^3/3</x:f>
        <x:v>0.48405916629795503</x:v>
      </x:c>
      <x:c r="E3119" s="85" t="n">
        <x:f>D3119+'Resumen'!$B$5^3/3</x:f>
        <x:v>0.8173924996312883</x:v>
      </x:c>
    </x:row>
    <x:row r="3120">
      <x:c r="A3120" s="89" t="n">
        <x:v>3118</x:v>
      </x:c>
      <x:c r="B3120" s="80" t="n">
        <x:v>0.41773048735668966</x:v>
      </x:c>
      <x:c r="C3120" s="84" t="n">
        <x:f>SQRT('Resumen'!$B$5^3/3)*B3120</x:f>
        <x:v>0.24117680932409832</x:v>
      </x:c>
      <x:c r="D3120" s="84" t="n">
        <x:f>C3120^2-'Resumen'!$B$5^3/3</x:f>
        <x:v>-0.27516707997758083</x:v>
      </x:c>
      <x:c r="E3120" s="85" t="n">
        <x:f>D3120+'Resumen'!$B$5^3/3</x:f>
        <x:v>0.058166253355752484</x:v>
      </x:c>
    </x:row>
    <x:row r="3121">
      <x:c r="A3121" s="89" t="n">
        <x:v>3119</x:v>
      </x:c>
      <x:c r="B3121" s="80" t="n">
        <x:v>-1.0783190715211106</x:v>
      </x:c>
      <x:c r="C3121" s="84" t="n">
        <x:f>SQRT('Resumen'!$B$5^3/3)*B3121</x:f>
        <x:v>-0.6225678062150205</x:v>
      </x:c>
      <x:c r="D3121" s="84" t="n">
        <x:f>C3121^2-'Resumen'!$B$5^3/3</x:f>
        <x:v>0.054257340002050014</x:v>
      </x:c>
      <x:c r="E3121" s="85" t="n">
        <x:f>D3121+'Resumen'!$B$5^3/3</x:f>
        <x:v>0.38759067333538333</x:v>
      </x:c>
    </x:row>
    <x:row r="3122">
      <x:c r="A3122" s="89" t="n">
        <x:v>3120</x:v>
      </x:c>
      <x:c r="B3122" s="80" t="n">
        <x:v>1.5629981292185657</x:v>
      </x:c>
      <x:c r="C3122" s="84" t="n">
        <x:f>SQRT('Resumen'!$B$5^3/3)*B3122</x:f>
        <x:v>0.9023973906472204</x:v>
      </x:c>
      <x:c r="D3122" s="84" t="n">
        <x:f>C3122^2-'Resumen'!$B$5^3/3</x:f>
        <x:v>0.48098771731357876</x:v>
      </x:c>
      <x:c r="E3122" s="85" t="n">
        <x:f>D3122+'Resumen'!$B$5^3/3</x:f>
        <x:v>0.8143210506469121</x:v>
      </x:c>
    </x:row>
    <x:row r="3123">
      <x:c r="A3123" s="89" t="n">
        <x:v>3121</x:v>
      </x:c>
      <x:c r="B3123" s="80" t="n">
        <x:v>-1.2078293456802232</x:v>
      </x:c>
      <x:c r="C3123" s="84" t="n">
        <x:f>SQRT('Resumen'!$B$5^3/3)*B3123</x:f>
        <x:v>-0.6973405978636064</x:v>
      </x:c>
      <x:c r="D3123" s="84" t="n">
        <x:f>C3123^2-'Resumen'!$B$5^3/3</x:f>
        <x:v>0.15295057609543866</x:v>
      </x:c>
      <x:c r="E3123" s="85" t="n">
        <x:f>D3123+'Resumen'!$B$5^3/3</x:f>
        <x:v>0.486283909428772</x:v>
      </x:c>
    </x:row>
    <x:row r="3124">
      <x:c r="A3124" s="89" t="n">
        <x:v>3122</x:v>
      </x:c>
      <x:c r="B3124" s="80" t="n">
        <x:v>0.16133845401134939</x:v>
      </x:c>
      <x:c r="C3124" s="84" t="n">
        <x:f>SQRT('Resumen'!$B$5^3/3)*B3124</x:f>
        <x:v>0.09314879985409062</x:v>
      </x:c>
      <x:c r="D3124" s="84" t="n">
        <x:f>C3124^2-'Resumen'!$B$5^3/3</x:f>
        <x:v>-0.3246566344190759</x:v>
      </x:c>
      <x:c r="E3124" s="85" t="n">
        <x:f>D3124+'Resumen'!$B$5^3/3</x:f>
        <x:v>0.00867669891425743</x:v>
      </x:c>
    </x:row>
    <x:row r="3125">
      <x:c r="A3125" s="89" t="n">
        <x:v>3123</x:v>
      </x:c>
      <x:c r="B3125" s="80" t="n">
        <x:v>-0.9168953505847743</x:v>
      </x:c>
      <x:c r="C3125" s="84" t="n">
        <x:f>SQRT('Resumen'!$B$5^3/3)*B3125</x:f>
        <x:v>-0.5293697774788357</x:v>
      </x:c>
      <x:c r="D3125" s="84" t="n">
        <x:f>C3125^2-'Resumen'!$B$5^3/3</x:f>
        <x:v>-0.05310097202534125</x:v>
      </x:c>
      <x:c r="E3125" s="85" t="n">
        <x:f>D3125+'Resumen'!$B$5^3/3</x:f>
        <x:v>0.28023236130799206</x:v>
      </x:c>
    </x:row>
    <x:row r="3126">
      <x:c r="A3126" s="89" t="n">
        <x:v>3124</x:v>
      </x:c>
      <x:c r="B3126" s="80" t="n">
        <x:v>-0.42871024507707306</x:v>
      </x:c>
      <x:c r="C3126" s="84" t="n">
        <x:f>SQRT('Resumen'!$B$5^3/3)*B3126</x:f>
        <x:v>-0.24751597539959855</x:v>
      </x:c>
      <x:c r="D3126" s="84" t="n">
        <x:f>C3126^2-'Resumen'!$B$5^3/3</x:f>
        <x:v>-0.27206917525531865</x:v>
      </x:c>
      <x:c r="E3126" s="85" t="n">
        <x:f>D3126+'Resumen'!$B$5^3/3</x:f>
        <x:v>0.06126415807801466</x:v>
      </x:c>
    </x:row>
    <x:row r="3127">
      <x:c r="A3127" s="89" t="n">
        <x:v>3125</x:v>
      </x:c>
      <x:c r="B3127" s="80" t="n">
        <x:v>-1.830154067479565</x:v>
      </x:c>
      <x:c r="C3127" s="84" t="n">
        <x:f>SQRT('Resumen'!$B$5^3/3)*B3127</x:f>
        <x:v>-1.0566399435178153</x:v>
      </x:c>
      <x:c r="D3127" s="84" t="n">
        <x:f>C3127^2-'Resumen'!$B$5^3/3</x:f>
        <x:v>0.7831546369039988</x:v>
      </x:c>
      <x:c r="E3127" s="85" t="n">
        <x:f>D3127+'Resumen'!$B$5^3/3</x:f>
        <x:v>1.116487970237332</x:v>
      </x:c>
    </x:row>
    <x:row r="3128">
      <x:c r="A3128" s="89" t="n">
        <x:v>3126</x:v>
      </x:c>
      <x:c r="B3128" s="80" t="n">
        <x:v>1.080289658965266</x:v>
      </x:c>
      <x:c r="C3128" s="84" t="n">
        <x:f>SQRT('Resumen'!$B$5^3/3)*B3128</x:f>
        <x:v>0.6237055254063653</x:v>
      </x:c>
      <x:c r="D3128" s="84" t="n">
        <x:f>C3128^2-'Resumen'!$B$5^3/3</x:f>
        <x:v>0.05567524908909682</x:v>
      </x:c>
      <x:c r="E3128" s="85" t="n">
        <x:f>D3128+'Resumen'!$B$5^3/3</x:f>
        <x:v>0.38900858242243014</x:v>
      </x:c>
    </x:row>
    <x:row r="3129">
      <x:c r="A3129" s="89" t="n">
        <x:v>3127</x:v>
      </x:c>
      <x:c r="B3129" s="80" t="n">
        <x:v>0.9752382333107439</x:v>
      </x:c>
      <x:c r="C3129" s="84" t="n">
        <x:f>SQRT('Resumen'!$B$5^3/3)*B3129</x:f>
        <x:v>0.563054056525973</x:v>
      </x:c>
      <x:c r="D3129" s="84" t="n">
        <x:f>C3129^2-'Resumen'!$B$5^3/3</x:f>
        <x:v>-0.01630346276297978</x:v>
      </x:c>
      <x:c r="E3129" s="85" t="n">
        <x:f>D3129+'Resumen'!$B$5^3/3</x:f>
        <x:v>0.31702987057035353</x:v>
      </x:c>
    </x:row>
    <x:row r="3130">
      <x:c r="A3130" s="89" t="n">
        <x:v>3128</x:v>
      </x:c>
      <x:c r="B3130" s="80" t="n">
        <x:v>-0.029085714184200168</x:v>
      </x:c>
      <x:c r="C3130" s="84" t="n">
        <x:f>SQRT('Resumen'!$B$5^3/3)*B3130</x:f>
        <x:v>-0.016792644913820483</x:v>
      </x:c>
      <x:c r="D3130" s="84" t="n">
        <x:f>C3130^2-'Resumen'!$B$5^3/3</x:f>
        <x:v>-0.3330513404101317</x:v>
      </x:c>
      <x:c r="E3130" s="85" t="n">
        <x:f>D3130+'Resumen'!$B$5^3/3</x:f>
        <x:v>0.00028199292320163494</x:v>
      </x:c>
    </x:row>
    <x:row r="3131">
      <x:c r="A3131" s="89" t="n">
        <x:v>3129</x:v>
      </x:c>
      <x:c r="B3131" s="80" t="n">
        <x:v>-1.2373261576687276</x:v>
      </x:c>
      <x:c r="C3131" s="84" t="n">
        <x:f>SQRT('Resumen'!$B$5^3/3)*B3131</x:f>
        <x:v>-0.7143705902054052</x:v>
      </x:c>
      <x:c r="D3131" s="84" t="n">
        <x:f>C3131^2-'Resumen'!$B$5^3/3</x:f>
        <x:v>0.17699200681708566</x:v>
      </x:c>
      <x:c r="E3131" s="85" t="n">
        <x:f>D3131+'Resumen'!$B$5^3/3</x:f>
        <x:v>0.510325340150419</x:v>
      </x:c>
    </x:row>
    <x:row r="3132">
      <x:c r="A3132" s="89" t="n">
        <x:v>3130</x:v>
      </x:c>
      <x:c r="B3132" s="80" t="n">
        <x:v>0.14883060381057786</x:v>
      </x:c>
      <x:c r="C3132" s="84" t="n">
        <x:f>SQRT('Resumen'!$B$5^3/3)*B3132</x:f>
        <x:v>0.08592738917369167</x:v>
      </x:c>
      <x:c r="D3132" s="84" t="n">
        <x:f>C3132^2-'Resumen'!$B$5^3/3</x:f>
        <x:v>-0.32594981712312626</x:v>
      </x:c>
      <x:c r="E3132" s="85" t="n">
        <x:f>D3132+'Resumen'!$B$5^3/3</x:f>
        <x:v>0.007383516210207053</x:v>
      </x:c>
    </x:row>
    <x:row r="3133">
      <x:c r="A3133" s="89" t="n">
        <x:v>3131</x:v>
      </x:c>
      <x:c r="B3133" s="80" t="n">
        <x:v>1.386216233509069</x:v>
      </x:c>
      <x:c r="C3133" s="84" t="n">
        <x:f>SQRT('Resumen'!$B$5^3/3)*B3133</x:f>
        <x:v>0.8003323155714901</x:v>
      </x:c>
      <x:c r="D3133" s="84" t="n">
        <x:f>C3133^2-'Resumen'!$B$5^3/3</x:f>
        <x:v>0.30719848201468986</x:v>
      </x:c>
      <x:c r="E3133" s="85" t="n">
        <x:f>D3133+'Resumen'!$B$5^3/3</x:f>
        <x:v>0.6405318153480232</x:v>
      </x:c>
    </x:row>
    <x:row r="3134">
      <x:c r="A3134" s="89" t="n">
        <x:v>3132</x:v>
      </x:c>
      <x:c r="B3134" s="80" t="n">
        <x:v>0.6661684188776</x:v>
      </x:c>
      <x:c r="C3134" s="84" t="n">
        <x:f>SQRT('Resumen'!$B$5^3/3)*B3134</x:f>
        <x:v>0.3846125159646097</x:v>
      </x:c>
      <x:c r="D3134" s="84" t="n">
        <x:f>C3134^2-'Resumen'!$B$5^3/3</x:f>
        <x:v>-0.18540654589670616</x:v>
      </x:c>
      <x:c r="E3134" s="85" t="n">
        <x:f>D3134+'Resumen'!$B$5^3/3</x:f>
        <x:v>0.14792678743662716</x:v>
      </x:c>
    </x:row>
    <x:row r="3135">
      <x:c r="A3135" s="89" t="n">
        <x:v>3133</x:v>
      </x:c>
      <x:c r="B3135" s="80" t="n">
        <x:v>-1.5254801534355982</x:v>
      </x:c>
      <x:c r="C3135" s="84" t="n">
        <x:f>SQRT('Resumen'!$B$5^3/3)*B3135</x:f>
        <x:v>-0.8807363772294742</x:v>
      </x:c>
      <x:c r="D3135" s="84" t="n">
        <x:f>C3135^2-'Resumen'!$B$5^3/3</x:f>
        <x:v>0.44236323284196527</x:v>
      </x:c>
      <x:c r="E3135" s="85" t="n">
        <x:f>D3135+'Resumen'!$B$5^3/3</x:f>
        <x:v>0.7756965661752986</x:v>
      </x:c>
    </x:row>
    <x:row r="3136">
      <x:c r="A3136" s="89" t="n">
        <x:v>3134</x:v>
      </x:c>
      <x:c r="B3136" s="80" t="n">
        <x:v>-0.5053055224325004</x:v>
      </x:c>
      <x:c r="C3136" s="84" t="n">
        <x:f>SQRT('Resumen'!$B$5^3/3)*B3136</x:f>
        <x:v>-0.29173827939940855</x:v>
      </x:c>
      <x:c r="D3136" s="84" t="n">
        <x:f>C3136^2-'Resumen'!$B$5^3/3</x:f>
        <x:v>-0.24822210966640595</x:v>
      </x:c>
      <x:c r="E3136" s="85" t="n">
        <x:f>D3136+'Resumen'!$B$5^3/3</x:f>
        <x:v>0.08511122366692736</x:v>
      </x:c>
    </x:row>
    <x:row r="3137">
      <x:c r="A3137" s="89" t="n">
        <x:v>3135</x:v>
      </x:c>
      <x:c r="B3137" s="80" t="n">
        <x:v>-0.37440287461579747</x:v>
      </x:c>
      <x:c r="C3137" s="84" t="n">
        <x:f>SQRT('Resumen'!$B$5^3/3)*B3137</x:f>
        <x:v>-0.21616160044480034</x:v>
      </x:c>
      <x:c r="D3137" s="84" t="n">
        <x:f>C3137^2-'Resumen'!$B$5^3/3</x:f>
        <x:v>-0.2866074958264758</x:v>
      </x:c>
      <x:c r="E3137" s="85" t="n">
        <x:f>D3137+'Resumen'!$B$5^3/3</x:f>
        <x:v>0.04672583750685749</x:v>
      </x:c>
    </x:row>
    <x:row r="3138">
      <x:c r="A3138" s="89" t="n">
        <x:v>3136</x:v>
      </x:c>
      <x:c r="B3138" s="80" t="n">
        <x:v>-0.3384266502459899</x:v>
      </x:c>
      <x:c r="C3138" s="84" t="n">
        <x:f>SQRT('Resumen'!$B$5^3/3)*B3138</x:f>
        <x:v>-0.1953907176204656</x:v>
      </x:c>
      <x:c r="D3138" s="84" t="n">
        <x:f>C3138^2-'Resumen'!$B$5^3/3</x:f>
        <x:v>-0.29515580080109277</x:v>
      </x:c>
      <x:c r="E3138" s="85" t="n">
        <x:f>D3138+'Resumen'!$B$5^3/3</x:f>
        <x:v>0.03817753253224054</x:v>
      </x:c>
    </x:row>
    <x:row r="3139">
      <x:c r="A3139" s="89" t="n">
        <x:v>3137</x:v>
      </x:c>
      <x:c r="B3139" s="80" t="n">
        <x:v>0.5375039558695568</x:v>
      </x:c>
      <x:c r="C3139" s="84" t="n">
        <x:f>SQRT('Resumen'!$B$5^3/3)*B3139</x:f>
        <x:v>0.31032805361177734</x:v>
      </x:c>
      <x:c r="D3139" s="84" t="n">
        <x:f>C3139^2-'Resumen'!$B$5^3/3</x:f>
        <x:v>-0.23702983247485915</x:v>
      </x:c>
      <x:c r="E3139" s="85" t="n">
        <x:f>D3139+'Resumen'!$B$5^3/3</x:f>
        <x:v>0.09630350085847417</x:v>
      </x:c>
    </x:row>
    <x:row r="3140">
      <x:c r="A3140" s="89" t="n">
        <x:v>3138</x:v>
      </x:c>
      <x:c r="B3140" s="80" t="n">
        <x:v>-1.1387298129005838</x:v>
      </x:c>
      <x:c r="C3140" s="84" t="n">
        <x:f>SQRT('Resumen'!$B$5^3/3)*B3140</x:f>
        <x:v>-0.6574459640124042</x:v>
      </x:c>
      <x:c r="D3140" s="84" t="n">
        <x:f>C3140^2-'Resumen'!$B$5^3/3</x:f>
        <x:v>0.09890186226286612</x:v>
      </x:c>
      <x:c r="E3140" s="85" t="n">
        <x:f>D3140+'Resumen'!$B$5^3/3</x:f>
        <x:v>0.43223519559619944</x:v>
      </x:c>
    </x:row>
    <x:row r="3141">
      <x:c r="A3141" s="89" t="n">
        <x:v>3139</x:v>
      </x:c>
      <x:c r="B3141" s="80" t="n">
        <x:v>0.10941336877181855</x:v>
      </x:c>
      <x:c r="C3141" s="84" t="n">
        <x:f>SQRT('Resumen'!$B$5^3/3)*B3141</x:f>
        <x:v>0.06316983791335323</x:v>
      </x:c>
      <x:c r="D3141" s="84" t="n">
        <x:f>C3141^2-'Resumen'!$B$5^3/3</x:f>
        <x:v>-0.329342904911334</x:v>
      </x:c>
      <x:c r="E3141" s="85" t="n">
        <x:f>D3141+'Resumen'!$B$5^3/3</x:f>
        <x:v>0.003990428421999315</x:v>
      </x:c>
    </x:row>
    <x:row r="3142">
      <x:c r="A3142" s="89" t="n">
        <x:v>3140</x:v>
      </x:c>
      <x:c r="B3142" s="80" t="n">
        <x:v>-0.1449056858992769</x:v>
      </x:c>
      <x:c r="C3142" s="84" t="n">
        <x:f>SQRT('Resumen'!$B$5^3/3)*B3142</x:f>
        <x:v>-0.08366133676105487</x:v>
      </x:c>
      <x:c r="D3142" s="84" t="n">
        <x:f>C3142^2-'Resumen'!$B$5^3/3</x:f>
        <x:v>-0.3263341140646867</x:v>
      </x:c>
      <x:c r="E3142" s="85" t="n">
        <x:f>D3142+'Resumen'!$B$5^3/3</x:f>
        <x:v>0.006999219268646606</x:v>
      </x:c>
    </x:row>
    <x:row r="3143">
      <x:c r="A3143" s="89" t="n">
        <x:v>3141</x:v>
      </x:c>
      <x:c r="B3143" s="80" t="n">
        <x:v>0.06943319824035288</x:v>
      </x:c>
      <x:c r="C3143" s="84" t="n">
        <x:f>SQRT('Resumen'!$B$5^3/3)*B3143</x:f>
        <x:v>0.040087275694764384</x:v>
      </x:c>
      <x:c r="D3143" s="84" t="n">
        <x:f>C3143^2-'Resumen'!$B$5^3/3</x:f>
        <x:v>-0.33172634366070525</x:v>
      </x:c>
      <x:c r="E3143" s="85" t="n">
        <x:f>D3143+'Resumen'!$B$5^3/3</x:f>
        <x:v>0.0016069896726280675</x:v>
      </x:c>
    </x:row>
    <x:row r="3144">
      <x:c r="A3144" s="89" t="n">
        <x:v>3142</x:v>
      </x:c>
      <x:c r="B3144" s="80" t="n">
        <x:v>0.9332195153963998</x:v>
      </x:c>
      <x:c r="C3144" s="84" t="n">
        <x:f>SQRT('Resumen'!$B$5^3/3)*B3144</x:f>
        <x:v>0.5387945384271235</x:v>
      </x:c>
      <x:c r="D3144" s="84" t="n">
        <x:f>C3144^2-'Resumen'!$B$5^3/3</x:f>
        <x:v>-0.0430337786944362</x:v>
      </x:c>
      <x:c r="E3144" s="85" t="n">
        <x:f>D3144+'Resumen'!$B$5^3/3</x:f>
        <x:v>0.2902995546388971</x:v>
      </x:c>
    </x:row>
    <x:row r="3145">
      <x:c r="A3145" s="89" t="n">
        <x:v>3143</x:v>
      </x:c>
      <x:c r="B3145" s="80" t="n">
        <x:v>-0.46014323567636656</x:v>
      </x:c>
      <x:c r="C3145" s="84" t="n">
        <x:f>SQRT('Resumen'!$B$5^3/3)*B3145</x:f>
        <x:v>-0.26566382098353564</x:v>
      </x:c>
      <x:c r="D3145" s="84" t="n">
        <x:f>C3145^2-'Resumen'!$B$5^3/3</x:f>
        <x:v>-0.26275606755376124</x:v>
      </x:c>
      <x:c r="E3145" s="85" t="n">
        <x:f>D3145+'Resumen'!$B$5^3/3</x:f>
        <x:v>0.07057726577957207</x:v>
      </x:c>
    </x:row>
    <x:row r="3146">
      <x:c r="A3146" s="89" t="n">
        <x:v>3144</x:v>
      </x:c>
      <x:c r="B3146" s="80" t="n">
        <x:v>-0.26601257574842907</x:v>
      </x:c>
      <x:c r="C3146" s="84" t="n">
        <x:f>SQRT('Resumen'!$B$5^3/3)*B3146</x:f>
        <x:v>-0.15358243221618123</x:v>
      </x:c>
      <x:c r="D3146" s="84" t="n">
        <x:f>C3146^2-'Resumen'!$B$5^3/3</x:f>
        <x:v>-0.3097457698478954</x:v>
      </x:c>
      <x:c r="E3146" s="85" t="n">
        <x:f>D3146+'Resumen'!$B$5^3/3</x:f>
        <x:v>0.02358756348543789</x:v>
      </x:c>
    </x:row>
    <x:row r="3147">
      <x:c r="A3147" s="89" t="n">
        <x:v>3145</x:v>
      </x:c>
      <x:c r="B3147" s="80" t="n">
        <x:v>0.8333652172099583</x:v>
      </x:c>
      <x:c r="C3147" s="84" t="n">
        <x:f>SQRT('Resumen'!$B$5^3/3)*B3147</x:f>
        <x:v>0.4811436324894403</x:v>
      </x:c>
      <x:c r="D3147" s="84" t="n">
        <x:f>C3147^2-'Resumen'!$B$5^3/3</x:f>
        <x:v>-0.1018341382481997</x:v>
      </x:c>
      <x:c r="E3147" s="85" t="n">
        <x:f>D3147+'Resumen'!$B$5^3/3</x:f>
        <x:v>0.2314991950851336</x:v>
      </x:c>
    </x:row>
    <x:row r="3148">
      <x:c r="A3148" s="89" t="n">
        <x:v>3146</x:v>
      </x:c>
      <x:c r="B3148" s="80" t="n">
        <x:v>2.6034859233175114</x:v>
      </x:c>
      <x:c r="C3148" s="84" t="n">
        <x:f>SQRT('Resumen'!$B$5^3/3)*B3148</x:f>
        <x:v>1.5031232986587666</x:v>
      </x:c>
      <x:c r="D3148" s="84" t="n">
        <x:f>C3148^2-'Resumen'!$B$5^3/3</x:f>
        <x:v>1.9260463176374782</x:v>
      </x:c>
      <x:c r="E3148" s="85" t="n">
        <x:f>D3148+'Resumen'!$B$5^3/3</x:f>
        <x:v>2.2593796509708115</x:v>
      </x:c>
    </x:row>
    <x:row r="3149">
      <x:c r="A3149" s="89" t="n">
        <x:v>3147</x:v>
      </x:c>
      <x:c r="B3149" s="80" t="n">
        <x:v>3.368360983523762</x:v>
      </x:c>
      <x:c r="C3149" s="84" t="n">
        <x:f>SQRT('Resumen'!$B$5^3/3)*B3149</x:f>
        <x:v>1.9447241205652765</x:v>
      </x:c>
      <x:c r="D3149" s="84" t="n">
        <x:f>C3149^2-'Resumen'!$B$5^3/3</x:f>
        <x:v>3.4486185717750546</x:v>
      </x:c>
      <x:c r="E3149" s="85" t="n">
        <x:f>D3149+'Resumen'!$B$5^3/3</x:f>
        <x:v>3.781951905108388</x:v>
      </x:c>
    </x:row>
    <x:row r="3150">
      <x:c r="A3150" s="89" t="n">
        <x:v>3148</x:v>
      </x:c>
      <x:c r="B3150" s="80" t="n">
        <x:v>0.40233440755167527</x:v>
      </x:c>
      <x:c r="C3150" s="84" t="n">
        <x:f>SQRT('Resumen'!$B$5^3/3)*B3150</x:f>
        <x:v>0.2322878785042083</x:v>
      </x:c>
      <x:c r="D3150" s="84" t="n">
        <x:f>C3150^2-'Resumen'!$B$5^3/3</x:f>
        <x:v>-0.27937567483334746</x:v>
      </x:c>
      <x:c r="E3150" s="85" t="n">
        <x:f>D3150+'Resumen'!$B$5^3/3</x:f>
        <x:v>0.05395765849998585</x:v>
      </x:c>
    </x:row>
    <x:row r="3151">
      <x:c r="A3151" s="89" t="n">
        <x:v>3149</x:v>
      </x:c>
      <x:c r="B3151" s="80" t="n">
        <x:v>0.5807143677061618</x:v>
      </x:c>
      <x:c r="C3151" s="84" t="n">
        <x:f>SQRT('Resumen'!$B$5^3/3)*B3151</x:f>
        <x:v>0.3352755965174358</x:v>
      </x:c>
      <x:c r="D3151" s="84" t="n">
        <x:f>C3151^2-'Resumen'!$B$5^3/3</x:f>
        <x:v>-0.2209236077132109</x:v>
      </x:c>
      <x:c r="E3151" s="85" t="n">
        <x:f>D3151+'Resumen'!$B$5^3/3</x:f>
        <x:v>0.11240972562012241</x:v>
      </x:c>
    </x:row>
    <x:row r="3152">
      <x:c r="A3152" s="89" t="n">
        <x:v>3150</x:v>
      </x:c>
      <x:c r="B3152" s="80" t="n">
        <x:v>-0.9636072297866427</x:v>
      </x:c>
      <x:c r="C3152" s="84" t="n">
        <x:f>SQRT('Resumen'!$B$5^3/3)*B3152</x:f>
        <x:v>-0.5563388935103877</x:v>
      </x:c>
      <x:c r="D3152" s="84" t="n">
        <x:f>C3152^2-'Resumen'!$B$5^3/3</x:f>
        <x:v>-0.023820368900970834</x:v>
      </x:c>
      <x:c r="E3152" s="85" t="n">
        <x:f>D3152+'Resumen'!$B$5^3/3</x:f>
        <x:v>0.3095129644323625</x:v>
      </x:c>
    </x:row>
    <x:row r="3153">
      <x:c r="A3153" s="89" t="n">
        <x:v>3151</x:v>
      </x:c>
      <x:c r="B3153" s="80" t="n">
        <x:v>0.44789473981551076</x:v>
      </x:c>
      <x:c r="C3153" s="84" t="n">
        <x:f>SQRT('Resumen'!$B$5^3/3)*B3153</x:f>
        <x:v>0.2585921486011025</x:v>
      </x:c>
      <x:c r="D3153" s="84" t="n">
        <x:f>C3153^2-'Resumen'!$B$5^3/3</x:f>
        <x:v>-0.2664634340151986</x:v>
      </x:c>
      <x:c r="E3153" s="85" t="n">
        <x:f>D3153+'Resumen'!$B$5^3/3</x:f>
        <x:v>0.0668698993181347</x:v>
      </x:c>
    </x:row>
    <x:row r="3154">
      <x:c r="A3154" s="89" t="n">
        <x:v>3152</x:v>
      </x:c>
      <x:c r="B3154" s="80" t="n">
        <x:v>-0.35005574724895583</x:v>
      </x:c>
      <x:c r="C3154" s="84" t="n">
        <x:f>SQRT('Resumen'!$B$5^3/3)*B3154</x:f>
        <x:v>-0.20210477990556022</x:v>
      </x:c>
      <x:c r="D3154" s="84" t="n">
        <x:f>C3154^2-'Resumen'!$B$5^3/3</x:f>
        <x:v>-0.29248699127265837</x:v>
      </x:c>
      <x:c r="E3154" s="85" t="n">
        <x:f>D3154+'Resumen'!$B$5^3/3</x:f>
        <x:v>0.040846342060674945</x:v>
      </x:c>
    </x:row>
    <x:row r="3155">
      <x:c r="A3155" s="89" t="n">
        <x:v>3153</x:v>
      </x:c>
      <x:c r="B3155" s="80" t="n">
        <x:v>1.3215414122454254</x:v>
      </x:c>
      <x:c r="C3155" s="84" t="n">
        <x:f>SQRT('Resumen'!$B$5^3/3)*B3155</x:f>
        <x:v>0.7629922901051345</x:v>
      </x:c>
      <x:c r="D3155" s="84" t="n">
        <x:f>C3155^2-'Resumen'!$B$5^3/3</x:f>
        <x:v>0.24882390142654437</x:v>
      </x:c>
      <x:c r="E3155" s="85" t="n">
        <x:f>D3155+'Resumen'!$B$5^3/3</x:f>
        <x:v>0.5821572347598777</x:v>
      </x:c>
    </x:row>
    <x:row r="3156">
      <x:c r="A3156" s="89" t="n">
        <x:v>3154</x:v>
      </x:c>
      <x:c r="B3156" s="80" t="n">
        <x:v>0.4912678714341117</x:v>
      </x:c>
      <x:c r="C3156" s="84" t="n">
        <x:f>SQRT('Resumen'!$B$5^3/3)*B3156</x:f>
        <x:v>0.28363363781669887</x:v>
      </x:c>
      <x:c r="D3156" s="84" t="n">
        <x:f>C3156^2-'Resumen'!$B$5^3/3</x:f>
        <x:v>-0.252885292832199</x:v>
      </x:c>
      <x:c r="E3156" s="85" t="n">
        <x:f>D3156+'Resumen'!$B$5^3/3</x:f>
        <x:v>0.0804480405011343</x:v>
      </x:c>
    </x:row>
    <x:row r="3157">
      <x:c r="A3157" s="89" t="n">
        <x:v>3155</x:v>
      </x:c>
      <x:c r="B3157" s="80" t="n">
        <x:v>-0.34086118997494486</x:v>
      </x:c>
      <x:c r="C3157" s="84" t="n">
        <x:f>SQRT('Resumen'!$B$5^3/3)*B3157</x:f>
        <x:v>-0.19679629978833058</x:v>
      </x:c>
      <x:c r="D3157" s="84" t="n">
        <x:f>C3157^2-'Resumen'!$B$5^3/3</x:f>
        <x:v>-0.29460454972295486</x:v>
      </x:c>
      <x:c r="E3157" s="85" t="n">
        <x:f>D3157+'Resumen'!$B$5^3/3</x:f>
        <x:v>0.03872878361037846</x:v>
      </x:c>
    </x:row>
    <x:row r="3158">
      <x:c r="A3158" s="89" t="n">
        <x:v>3156</x:v>
      </x:c>
      <x:c r="B3158" s="80" t="n">
        <x:v>0.7116700649578707</x:v>
      </x:c>
      <x:c r="C3158" s="84" t="n">
        <x:f>SQRT('Resumen'!$B$5^3/3)*B3158</x:f>
        <x:v>0.4108829035776251</x:v>
      </x:c>
      <x:c r="D3158" s="84" t="n">
        <x:f>C3158^2-'Resumen'!$B$5^3/3</x:f>
        <x:v>-0.16450857288095336</x:v>
      </x:c>
      <x:c r="E3158" s="85" t="n">
        <x:f>D3158+'Resumen'!$B$5^3/3</x:f>
        <x:v>0.16882476045237996</x:v>
      </x:c>
    </x:row>
    <x:row r="3159">
      <x:c r="A3159" s="89" t="n">
        <x:v>3157</x:v>
      </x:c>
      <x:c r="B3159" s="80" t="n">
        <x:v>1.0476452027619974</x:v>
      </x:c>
      <x:c r="C3159" s="84" t="n">
        <x:f>SQRT('Resumen'!$B$5^3/3)*B3159</x:f>
        <x:v>0.6048582398298592</x:v>
      </x:c>
      <x:c r="D3159" s="84" t="n">
        <x:f>C3159^2-'Resumen'!$B$5^3/3</x:f>
        <x:v>0.03252015695674215</x:v>
      </x:c>
      <x:c r="E3159" s="85" t="n">
        <x:f>D3159+'Resumen'!$B$5^3/3</x:f>
        <x:v>0.36585349029007547</x:v>
      </x:c>
    </x:row>
    <x:row r="3160">
      <x:c r="A3160" s="89" t="n">
        <x:v>3158</x:v>
      </x:c>
      <x:c r="B3160" s="80" t="n">
        <x:v>-0.9416693010110264</x:v>
      </x:c>
      <x:c r="C3160" s="84" t="n">
        <x:f>SQRT('Resumen'!$B$5^3/3)*B3160</x:f>
        <x:v>-0.5436730244263228</x:v>
      </x:c>
      <x:c r="D3160" s="84" t="n">
        <x:f>C3160^2-'Resumen'!$B$5^3/3</x:f>
        <x:v>-0.037752975844468295</x:v>
      </x:c>
      <x:c r="E3160" s="85" t="n">
        <x:f>D3160+'Resumen'!$B$5^3/3</x:f>
        <x:v>0.295580357488865</x:v>
      </x:c>
    </x:row>
    <x:row r="3161">
      <x:c r="A3161" s="89" t="n">
        <x:v>3159</x:v>
      </x:c>
      <x:c r="B3161" s="80" t="n">
        <x:v>-0.7682106303824247</x:v>
      </x:c>
      <x:c r="C3161" s="84" t="n">
        <x:f>SQRT('Resumen'!$B$5^3/3)*B3161</x:f>
        <x:v>-0.44352661424562495</x:v>
      </x:c>
      <x:c r="D3161" s="84" t="n">
        <x:f>C3161^2-'Resumen'!$B$5^3/3</x:f>
        <x:v>-0.1366174757891459</x:v>
      </x:c>
      <x:c r="E3161" s="85" t="n">
        <x:f>D3161+'Resumen'!$B$5^3/3</x:f>
        <x:v>0.1967158575441874</x:v>
      </x:c>
    </x:row>
    <x:row r="3162">
      <x:c r="A3162" s="89" t="n">
        <x:v>3160</x:v>
      </x:c>
      <x:c r="B3162" s="80" t="n">
        <x:v>-0.2994901574337795</x:v>
      </x:c>
      <x:c r="C3162" s="84" t="n">
        <x:f>SQRT('Resumen'!$B$5^3/3)*B3162</x:f>
        <x:v>-0.17291072301403598</x:v>
      </x:c>
      <x:c r="D3162" s="84" t="n">
        <x:f>C3162^2-'Resumen'!$B$5^3/3</x:f>
        <x:v>-0.30343521520009664</x:v>
      </x:c>
      <x:c r="E3162" s="85" t="n">
        <x:f>D3162+'Resumen'!$B$5^3/3</x:f>
        <x:v>0.029898118133236673</x:v>
      </x:c>
    </x:row>
    <x:row r="3163">
      <x:c r="A3163" s="89" t="n">
        <x:v>3161</x:v>
      </x:c>
      <x:c r="B3163" s="80" t="n">
        <x:v>-0.67124513984452</x:v>
      </x:c>
      <x:c r="C3163" s="84" t="n">
        <x:f>SQRT('Resumen'!$B$5^3/3)*B3163</x:f>
        <x:v>-0.3875435621814616</x:v>
      </x:c>
      <x:c r="D3163" s="84" t="n">
        <x:f>C3163^2-'Resumen'!$B$5^3/3</x:f>
        <x:v>-0.18314332074503695</x:v>
      </x:c>
      <x:c r="E3163" s="85" t="n">
        <x:f>D3163+'Resumen'!$B$5^3/3</x:f>
        <x:v>0.15019001258829637</x:v>
      </x:c>
    </x:row>
    <x:row r="3164">
      <x:c r="A3164" s="89" t="n">
        <x:v>3162</x:v>
      </x:c>
      <x:c r="B3164" s="80" t="n">
        <x:v>-0.40997013433897184</x:v>
      </x:c>
      <x:c r="C3164" s="84" t="n">
        <x:f>SQRT('Resumen'!$B$5^3/3)*B3164</x:f>
        <x:v>-0.23669636742031241</x:v>
      </x:c>
      <x:c r="D3164" s="84" t="n">
        <x:f>C3164^2-'Resumen'!$B$5^3/3</x:f>
        <x:v>-0.2773081629833618</x:v>
      </x:c>
      <x:c r="E3164" s="85" t="n">
        <x:f>D3164+'Resumen'!$B$5^3/3</x:f>
        <x:v>0.05602517034997151</x:v>
      </x:c>
    </x:row>
    <x:row r="3165">
      <x:c r="A3165" s="89" t="n">
        <x:v>3163</x:v>
      </x:c>
      <x:c r="B3165" s="80" t="n">
        <x:v>-0.25068606621302225</x:v>
      </x:c>
      <x:c r="C3165" s="84" t="n">
        <x:f>SQRT('Resumen'!$B$5^3/3)*B3165</x:f>
        <x:v>-0.14473366781017674</x:v>
      </x:c>
      <x:c r="D3165" s="84" t="n">
        <x:f>C3165^2-'Resumen'!$B$5^3/3</x:f>
        <x:v>-0.3123854987355467</x:v>
      </x:c>
      <x:c r="E3165" s="85" t="n">
        <x:f>D3165+'Resumen'!$B$5^3/3</x:f>
        <x:v>0.020947834597786597</x:v>
      </x:c>
    </x:row>
    <x:row r="3166">
      <x:c r="A3166" s="89" t="n">
        <x:v>3164</x:v>
      </x:c>
      <x:c r="B3166" s="80" t="n">
        <x:v>-0.5989170841729745</x:v>
      </x:c>
      <x:c r="C3166" s="84" t="n">
        <x:f>SQRT('Resumen'!$B$5^3/3)*B3166</x:f>
        <x:v>-0.34578493976953256</x:v>
      </x:c>
      <x:c r="D3166" s="84" t="n">
        <x:f>C3166^2-'Resumen'!$B$5^3/3</x:f>
        <x:v>-0.21376610876191404</x:v>
      </x:c>
      <x:c r="E3166" s="85" t="n">
        <x:f>D3166+'Resumen'!$B$5^3/3</x:f>
        <x:v>0.11956722457141927</x:v>
      </x:c>
    </x:row>
    <x:row r="3167">
      <x:c r="A3167" s="89" t="n">
        <x:v>3165</x:v>
      </x:c>
      <x:c r="B3167" s="80" t="n">
        <x:v>-1.4273520842909038</x:v>
      </x:c>
      <x:c r="C3167" s="84" t="n">
        <x:f>SQRT('Resumen'!$B$5^3/3)*B3167</x:f>
        <x:v>-0.8240821100937267</x:v>
      </x:c>
      <x:c r="D3167" s="84" t="n">
        <x:f>C3167^2-'Resumen'!$B$5^3/3</x:f>
        <x:v>0.34577799084319577</x:v>
      </x:c>
      <x:c r="E3167" s="85" t="n">
        <x:f>D3167+'Resumen'!$B$5^3/3</x:f>
        <x:v>0.6791113241765291</x:v>
      </x:c>
    </x:row>
    <x:row r="3168">
      <x:c r="A3168" s="89" t="n">
        <x:v>3166</x:v>
      </x:c>
      <x:c r="B3168" s="80" t="n">
        <x:v>-0.48419439958276544</x:v>
      </x:c>
      <x:c r="C3168" s="84" t="n">
        <x:f>SQRT('Resumen'!$B$5^3/3)*B3168</x:f>
        <x:v>-0.27954976693921885</x:v>
      </x:c>
      <x:c r="D3168" s="84" t="n">
        <x:f>C3168^2-'Resumen'!$B$5^3/3</x:f>
        <x:v>-0.25518526113756174</x:v>
      </x:c>
      <x:c r="E3168" s="85" t="n">
        <x:f>D3168+'Resumen'!$B$5^3/3</x:f>
        <x:v>0.07814807219577158</x:v>
      </x:c>
    </x:row>
    <x:row r="3169">
      <x:c r="A3169" s="89" t="n">
        <x:v>3167</x:v>
      </x:c>
      <x:c r="B3169" s="80" t="n">
        <x:v>-1.2282165785286563</x:v>
      </x:c>
      <x:c r="C3169" s="84" t="n">
        <x:f>SQRT('Resumen'!$B$5^3/3)*B3169</x:f>
        <x:v>-0.7091111722366809</x:v>
      </x:c>
      <x:c r="D3169" s="84" t="n">
        <x:f>C3169^2-'Resumen'!$B$5^3/3</x:f>
        <x:v>0.1695053212575463</x:v>
      </x:c>
      <x:c r="E3169" s="85" t="n">
        <x:f>D3169+'Resumen'!$B$5^3/3</x:f>
        <x:v>0.5028386545908796</x:v>
      </x:c>
    </x:row>
    <x:row r="3170">
      <x:c r="A3170" s="89" t="n">
        <x:v>3168</x:v>
      </x:c>
      <x:c r="B3170" s="80" t="n">
        <x:v>-0.5388381522357802</x:v>
      </x:c>
      <x:c r="C3170" s="84" t="n">
        <x:f>SQRT('Resumen'!$B$5^3/3)*B3170</x:f>
        <x:v>-0.3110983522429683</x:v>
      </x:c>
      <x:c r="D3170" s="84" t="n">
        <x:f>C3170^2-'Resumen'!$B$5^3/3</x:f>
        <x:v>-0.23655114856504333</x:v>
      </x:c>
      <x:c r="E3170" s="85" t="n">
        <x:f>D3170+'Resumen'!$B$5^3/3</x:f>
        <x:v>0.09678218476828998</x:v>
      </x:c>
    </x:row>
    <x:row r="3171">
      <x:c r="A3171" s="89" t="n">
        <x:v>3169</x:v>
      </x:c>
      <x:c r="B3171" s="80" t="n">
        <x:v>0.8080485179103087</x:v>
      </x:c>
      <x:c r="C3171" s="84" t="n">
        <x:f>SQRT('Resumen'!$B$5^3/3)*B3171</x:f>
        <x:v>0.46652702933379486</x:v>
      </x:c>
      <x:c r="D3171" s="84" t="n">
        <x:f>C3171^2-'Resumen'!$B$5^3/3</x:f>
        <x:v>-0.11568586423431781</x:v>
      </x:c>
      <x:c r="E3171" s="85" t="n">
        <x:f>D3171+'Resumen'!$B$5^3/3</x:f>
        <x:v>0.2176474690990155</x:v>
      </x:c>
    </x:row>
    <x:row r="3172">
      <x:c r="A3172" s="89" t="n">
        <x:v>3170</x:v>
      </x:c>
      <x:c r="B3172" s="80" t="n">
        <x:v>-1.8419806229244235</x:v>
      </x:c>
      <x:c r="C3172" s="84" t="n">
        <x:f>SQRT('Resumen'!$B$5^3/3)*B3172</x:f>
        <x:v>-1.0634680084874903</x:v>
      </x:c>
      <x:c r="D3172" s="84" t="n">
        <x:f>C3172^2-'Resumen'!$B$5^3/3</x:f>
        <x:v>0.7976308717430156</x:v>
      </x:c>
      <x:c r="E3172" s="85" t="n">
        <x:f>D3172+'Resumen'!$B$5^3/3</x:f>
        <x:v>1.1309642050763489</x:v>
      </x:c>
    </x:row>
    <x:row r="3173">
      <x:c r="A3173" s="89" t="n">
        <x:v>3171</x:v>
      </x:c>
      <x:c r="B3173" s="80" t="n">
        <x:v>-0.8627187669424119</x:v>
      </x:c>
      <x:c r="C3173" s="84" t="n">
        <x:f>SQRT('Resumen'!$B$5^3/3)*B3173</x:f>
        <x:v>-0.4980909123291435</x:v>
      </x:c>
      <x:c r="D3173" s="84" t="n">
        <x:f>C3173^2-'Resumen'!$B$5^3/3</x:f>
        <x:v>-0.08523877638845481</x:v>
      </x:c>
      <x:c r="E3173" s="85" t="n">
        <x:f>D3173+'Resumen'!$B$5^3/3</x:f>
        <x:v>0.2480945569448785</x:v>
      </x:c>
    </x:row>
    <x:row r="3174">
      <x:c r="A3174" s="89" t="n">
        <x:v>3172</x:v>
      </x:c>
      <x:c r="B3174" s="80" t="n">
        <x:v>-0.27784430838513086</x:v>
      </x:c>
      <x:c r="C3174" s="84" t="n">
        <x:f>SQRT('Resumen'!$B$5^3/3)*B3174</x:f>
        <x:v>-0.16041348623896068</x:v>
      </x:c>
      <x:c r="D3174" s="84" t="n">
        <x:f>C3174^2-'Resumen'!$B$5^3/3</x:f>
        <x:v>-0.3076008467659961</x:v>
      </x:c>
      <x:c r="E3174" s="85" t="n">
        <x:f>D3174+'Resumen'!$B$5^3/3</x:f>
        <x:v>0.02573248656733723</x:v>
      </x:c>
    </x:row>
    <x:row r="3175">
      <x:c r="A3175" s="89" t="n">
        <x:v>3173</x:v>
      </x:c>
      <x:c r="B3175" s="80" t="n">
        <x:v>1.1140126665941328</x:v>
      </x:c>
      <x:c r="C3175" s="84" t="n">
        <x:f>SQRT('Resumen'!$B$5^3/3)*B3175</x:f>
        <x:v>0.6431755129387754</x:v>
      </x:c>
      <x:c r="D3175" s="84" t="n">
        <x:f>C3175^2-'Resumen'!$B$5^3/3</x:f>
        <x:v>0.08034140711072352</x:v>
      </x:c>
      <x:c r="E3175" s="85" t="n">
        <x:f>D3175+'Resumen'!$B$5^3/3</x:f>
        <x:v>0.41367474044405683</x:v>
      </x:c>
    </x:row>
    <x:row r="3176">
      <x:c r="A3176" s="89" t="n">
        <x:v>3174</x:v>
      </x:c>
      <x:c r="B3176" s="80" t="n">
        <x:v>0.8089292339208045</x:v>
      </x:c>
      <x:c r="C3176" s="84" t="n">
        <x:f>SQRT('Resumen'!$B$5^3/3)*B3176</x:f>
        <x:v>0.4670355109595342</x:v>
      </x:c>
      <x:c r="D3176" s="84" t="n">
        <x:f>C3176^2-'Resumen'!$B$5^3/3</x:f>
        <x:v>-0.11521116483610011</x:v>
      </x:c>
      <x:c r="E3176" s="85" t="n">
        <x:f>D3176+'Resumen'!$B$5^3/3</x:f>
        <x:v>0.2181221684972332</x:v>
      </x:c>
    </x:row>
    <x:row r="3177">
      <x:c r="A3177" s="89" t="n">
        <x:v>3175</x:v>
      </x:c>
      <x:c r="B3177" s="80" t="n">
        <x:v>0.5776622008027563</x:v>
      </x:c>
      <x:c r="C3177" s="84" t="n">
        <x:f>SQRT('Resumen'!$B$5^3/3)*B3177</x:f>
        <x:v>0.333513427134143</x:v>
      </x:c>
      <x:c r="D3177" s="84" t="n">
        <x:f>C3177^2-'Resumen'!$B$5^3/3</x:f>
        <x:v>-0.222102127254572</x:v>
      </x:c>
      <x:c r="E3177" s="85" t="n">
        <x:f>D3177+'Resumen'!$B$5^3/3</x:f>
        <x:v>0.1112312060787613</x:v>
      </x:c>
    </x:row>
    <x:row r="3178">
      <x:c r="A3178" s="89" t="n">
        <x:v>3176</x:v>
      </x:c>
      <x:c r="B3178" s="80" t="n">
        <x:v>-0.39557114441877933</x:v>
      </x:c>
      <x:c r="C3178" s="84" t="n">
        <x:f>SQRT('Resumen'!$B$5^3/3)*B3178</x:f>
        <x:v>-0.22838310671383055</x:v>
      </x:c>
      <x:c r="D3178" s="84" t="n">
        <x:f>C3178^2-'Resumen'!$B$5^3/3</x:f>
        <x:v>-0.2811744899010724</x:v>
      </x:c>
      <x:c r="E3178" s="85" t="n">
        <x:f>D3178+'Resumen'!$B$5^3/3</x:f>
        <x:v>0.052158843432260904</x:v>
      </x:c>
    </x:row>
    <x:row r="3179">
      <x:c r="A3179" s="89" t="n">
        <x:v>3177</x:v>
      </x:c>
      <x:c r="B3179" s="80" t="n">
        <x:v>-1.5182181580808465</x:v>
      </x:c>
      <x:c r="C3179" s="84" t="n">
        <x:f>SQRT('Resumen'!$B$5^3/3)*B3179</x:f>
        <x:v>-0.8765436622565544</x:v>
      </x:c>
      <x:c r="D3179" s="84" t="n">
        <x:f>C3179^2-'Resumen'!$B$5^3/3</x:f>
        <x:v>0.4349954585087992</x:v>
      </x:c>
      <x:c r="E3179" s="85" t="n">
        <x:f>D3179+'Resumen'!$B$5^3/3</x:f>
        <x:v>0.7683287918421325</x:v>
      </x:c>
    </x:row>
    <x:row r="3180">
      <x:c r="A3180" s="89" t="n">
        <x:v>3178</x:v>
      </x:c>
      <x:c r="B3180" s="80" t="n">
        <x:v>0.5048888611290129</x:v>
      </x:c>
      <x:c r="C3180" s="84" t="n">
        <x:f>SQRT('Resumen'!$B$5^3/3)*B3180</x:f>
        <x:v>0.2914977198836792</x:v>
      </x:c>
      <x:c r="D3180" s="84" t="n">
        <x:f>C3180^2-'Resumen'!$B$5^3/3</x:f>
        <x:v>-0.24836241263594944</x:v>
      </x:c>
      <x:c r="E3180" s="85" t="n">
        <x:f>D3180+'Resumen'!$B$5^3/3</x:f>
        <x:v>0.08497092069738388</x:v>
      </x:c>
    </x:row>
    <x:row r="3181">
      <x:c r="A3181" s="89" t="n">
        <x:v>3179</x:v>
      </x:c>
      <x:c r="B3181" s="80" t="n">
        <x:v>0.2526096721874814</x:v>
      </x:c>
      <x:c r="C3181" s="84" t="n">
        <x:f>SQRT('Resumen'!$B$5^3/3)*B3181</x:f>
        <x:v>0.1458442622373455</x:v>
      </x:c>
      <x:c r="D3181" s="84" t="n">
        <x:f>C3181^2-'Resumen'!$B$5^3/3</x:f>
        <x:v>-0.31206278450577773</x:v>
      </x:c>
      <x:c r="E3181" s="85" t="n">
        <x:f>D3181+'Resumen'!$B$5^3/3</x:f>
        <x:v>0.02127054882755558</x:v>
      </x:c>
    </x:row>
    <x:row r="3182">
      <x:c r="A3182" s="89" t="n">
        <x:v>3180</x:v>
      </x:c>
      <x:c r="B3182" s="80" t="n">
        <x:v>0.3783907773654572</x:v>
      </x:c>
      <x:c r="C3182" s="84" t="n">
        <x:f>SQRT('Resumen'!$B$5^3/3)*B3182</x:f>
        <x:v>0.21846401717081845</x:v>
      </x:c>
      <x:c r="D3182" s="84" t="n">
        <x:f>C3182^2-'Resumen'!$B$5^3/3</x:f>
        <x:v>-0.28560680653492165</x:v>
      </x:c>
      <x:c r="E3182" s="85" t="n">
        <x:f>D3182+'Resumen'!$B$5^3/3</x:f>
        <x:v>0.04772652679841166</x:v>
      </x:c>
    </x:row>
    <x:row r="3183">
      <x:c r="A3183" s="89" t="n">
        <x:v>3181</x:v>
      </x:c>
      <x:c r="B3183" s="80" t="n">
        <x:v>0.4708141748581325</x:v>
      </x:c>
      <x:c r="C3183" s="84" t="n">
        <x:f>SQRT('Resumen'!$B$5^3/3)*B3183</x:f>
        <x:v>0.2718246905926343</x:v>
      </x:c>
      <x:c r="D3183" s="84" t="n">
        <x:f>C3183^2-'Resumen'!$B$5^3/3</x:f>
        <x:v>-0.25944467091755197</x:v>
      </x:c>
      <x:c r="E3183" s="85" t="n">
        <x:f>D3183+'Resumen'!$B$5^3/3</x:f>
        <x:v>0.07388866241578135</x:v>
      </x:c>
    </x:row>
    <x:row r="3184">
      <x:c r="A3184" s="89" t="n">
        <x:v>3182</x:v>
      </x:c>
      <x:c r="B3184" s="80" t="n">
        <x:v>-1.420509672382155</x:v>
      </x:c>
      <x:c r="C3184" s="84" t="n">
        <x:f>SQRT('Resumen'!$B$5^3/3)*B3184</x:f>
        <x:v>-0.8201316417363043</x:v>
      </x:c>
      <x:c r="D3184" s="84" t="n">
        <x:f>C3184^2-'Resumen'!$B$5^3/3</x:f>
        <x:v>0.3392825764437524</x:v>
      </x:c>
      <x:c r="E3184" s="85" t="n">
        <x:f>D3184+'Resumen'!$B$5^3/3</x:f>
        <x:v>0.6726159097770857</x:v>
      </x:c>
    </x:row>
    <x:row r="3185">
      <x:c r="A3185" s="89" t="n">
        <x:v>3183</x:v>
      </x:c>
      <x:c r="B3185" s="80" t="n">
        <x:v>-0.4208939450413864</x:v>
      </x:c>
      <x:c r="C3185" s="84" t="n">
        <x:f>SQRT('Resumen'!$B$5^3/3)*B3185</x:f>
        <x:v>-0.24300323246992797</x:v>
      </x:c>
      <x:c r="D3185" s="84" t="n">
        <x:f>C3185^2-'Resumen'!$B$5^3/3</x:f>
        <x:v>-0.2742827623424995</x:v>
      </x:c>
      <x:c r="E3185" s="85" t="n">
        <x:f>D3185+'Resumen'!$B$5^3/3</x:f>
        <x:v>0.05905057099083383</x:v>
      </x:c>
    </x:row>
    <x:row r="3186">
      <x:c r="A3186" s="89" t="n">
        <x:v>3184</x:v>
      </x:c>
      <x:c r="B3186" s="80" t="n">
        <x:v>0.23475407208896573</x:v>
      </x:c>
      <x:c r="C3186" s="84" t="n">
        <x:f>SQRT('Resumen'!$B$5^3/3)*B3186</x:f>
        <x:v>0.13553532671392518</x:v>
      </x:c>
      <x:c r="D3186" s="84" t="n">
        <x:f>C3186^2-'Resumen'!$B$5^3/3</x:f>
        <x:v>-0.3149635085458829</x:v>
      </x:c>
      <x:c r="E3186" s="85" t="n">
        <x:f>D3186+'Resumen'!$B$5^3/3</x:f>
        <x:v>0.018369824787450417</x:v>
      </x:c>
    </x:row>
    <x:row r="3187">
      <x:c r="A3187" s="89" t="n">
        <x:v>3185</x:v>
      </x:c>
      <x:c r="B3187" s="80" t="n">
        <x:v>0.5781259361099278</x:v>
      </x:c>
      <x:c r="C3187" s="84" t="n">
        <x:f>SQRT('Resumen'!$B$5^3/3)*B3187</x:f>
        <x:v>0.3337811648385712</x:v>
      </x:c>
      <x:c r="D3187" s="84" t="n">
        <x:f>C3187^2-'Resumen'!$B$5^3/3</x:f>
        <x:v>-0.2219234673323399</x:v>
      </x:c>
      <x:c r="E3187" s="85" t="n">
        <x:f>D3187+'Resumen'!$B$5^3/3</x:f>
        <x:v>0.11140986600099342</x:v>
      </x:c>
    </x:row>
    <x:row r="3188">
      <x:c r="A3188" s="89" t="n">
        <x:v>3186</x:v>
      </x:c>
      <x:c r="B3188" s="80" t="n">
        <x:v>0.6926138201913787</x:v>
      </x:c>
      <x:c r="C3188" s="84" t="n">
        <x:f>SQRT('Resumen'!$B$5^3/3)*B3188</x:f>
        <x:v>0.39988077553194756</x:v>
      </x:c>
      <x:c r="D3188" s="84" t="n">
        <x:f>C3188^2-'Resumen'!$B$5^3/3</x:f>
        <x:v>-0.1734286986933015</x:v>
      </x:c>
      <x:c r="E3188" s="85" t="n">
        <x:f>D3188+'Resumen'!$B$5^3/3</x:f>
        <x:v>0.15990463464003182</x:v>
      </x:c>
    </x:row>
    <x:row r="3189">
      <x:c r="A3189" s="89" t="n">
        <x:v>3187</x:v>
      </x:c>
      <x:c r="B3189" s="80" t="n">
        <x:v>-1.2404553282232262</x:v>
      </x:c>
      <x:c r="C3189" s="84" t="n">
        <x:f>SQRT('Resumen'!$B$5^3/3)*B3189</x:f>
        <x:v>-0.7161772176673852</x:v>
      </x:c>
      <x:c r="D3189" s="84" t="n">
        <x:f>C3189^2-'Resumen'!$B$5^3/3</x:f>
        <x:v>0.17957647377246394</x:v>
      </x:c>
      <x:c r="E3189" s="85" t="n">
        <x:f>D3189+'Resumen'!$B$5^3/3</x:f>
        <x:v>0.5129098071057973</x:v>
      </x:c>
    </x:row>
    <x:row r="3190">
      <x:c r="A3190" s="89" t="n">
        <x:v>3188</x:v>
      </x:c>
      <x:c r="B3190" s="80" t="n">
        <x:v>0.10444035833111286</x:v>
      </x:c>
      <x:c r="C3190" s="84" t="n">
        <x:f>SQRT('Resumen'!$B$5^3/3)*B3190</x:f>
        <x:v>0.06029866899672898</x:v>
      </x:c>
      <x:c r="D3190" s="84" t="n">
        <x:f>C3190^2-'Resumen'!$B$5^3/3</x:f>
        <x:v>-0.32969740385055624</x:v>
      </x:c>
      <x:c r="E3190" s="85" t="n">
        <x:f>D3190+'Resumen'!$B$5^3/3</x:f>
        <x:v>0.0036359294827770783</x:v>
      </x:c>
    </x:row>
    <x:row r="3191">
      <x:c r="A3191" s="89" t="n">
        <x:v>3189</x:v>
      </x:c>
      <x:c r="B3191" s="80" t="n">
        <x:v>0.8200763128646928</x:v>
      </x:c>
      <x:c r="C3191" s="84" t="n">
        <x:f>SQRT('Resumen'!$B$5^3/3)*B3191</x:f>
        <x:v>0.47347127998846616</x:v>
      </x:c>
      <x:c r="D3191" s="84" t="n">
        <x:f>C3191^2-'Resumen'!$B$5^3/3</x:f>
        <x:v>-0.1091582803594168</x:v>
      </x:c>
      <x:c r="E3191" s="85" t="n">
        <x:f>D3191+'Resumen'!$B$5^3/3</x:f>
        <x:v>0.22417505297391652</x:v>
      </x:c>
    </x:row>
    <x:row r="3192">
      <x:c r="A3192" s="89" t="n">
        <x:v>3190</x:v>
      </x:c>
      <x:c r="B3192" s="80" t="n">
        <x:v>0.27425469564295707</x:v>
      </x:c>
      <x:c r="C3192" s="84" t="n">
        <x:f>SQRT('Resumen'!$B$5^3/3)*B3192</x:f>
        <x:v>0.15834102235598013</x:v>
      </x:c>
      <x:c r="D3192" s="84" t="n">
        <x:f>C3192^2-'Resumen'!$B$5^3/3</x:f>
        <x:v>-0.3082614539725963</x:v>
      </x:c>
      <x:c r="E3192" s="85" t="n">
        <x:f>D3192+'Resumen'!$B$5^3/3</x:f>
        <x:v>0.025071879360737015</x:v>
      </x:c>
    </x:row>
    <x:row r="3193">
      <x:c r="A3193" s="89" t="n">
        <x:v>3191</x:v>
      </x:c>
      <x:c r="B3193" s="80" t="n">
        <x:v>1.9283520459295664</x:v>
      </x:c>
      <x:c r="C3193" s="84" t="n">
        <x:f>SQRT('Resumen'!$B$5^3/3)*B3193</x:f>
        <x:v>1.1133345728098007</x:v>
      </x:c>
      <x:c r="D3193" s="84" t="n">
        <x:f>C3193^2-'Resumen'!$B$5^3/3</x:f>
        <x:v>0.9061805376802483</x:v>
      </x:c>
      <x:c r="E3193" s="85" t="n">
        <x:f>D3193+'Resumen'!$B$5^3/3</x:f>
        <x:v>1.2395138710135816</x:v>
      </x:c>
    </x:row>
    <x:row r="3194">
      <x:c r="A3194" s="89" t="n">
        <x:v>3192</x:v>
      </x:c>
      <x:c r="B3194" s="80" t="n">
        <x:v>-0.23846314347902284</x:v>
      </x:c>
      <x:c r="C3194" s="84" t="n">
        <x:f>SQRT('Resumen'!$B$5^3/3)*B3194</x:f>
        <x:v>-0.13767676007941818</x:v>
      </x:c>
      <x:c r="D3194" s="84" t="n">
        <x:f>C3194^2-'Resumen'!$B$5^3/3</x:f>
        <x:v>-0.3143784430673676</x:v>
      </x:c>
      <x:c r="E3194" s="85" t="n">
        <x:f>D3194+'Resumen'!$B$5^3/3</x:f>
        <x:v>0.018954890265965696</x:v>
      </x:c>
    </x:row>
    <x:row r="3195">
      <x:c r="A3195" s="89" t="n">
        <x:v>3193</x:v>
      </x:c>
      <x:c r="B3195" s="80" t="n">
        <x:v>-0.7588824931027607</x:v>
      </x:c>
      <x:c r="C3195" s="84" t="n">
        <x:f>SQRT('Resumen'!$B$5^3/3)*B3195</x:f>
        <x:v>-0.4381410116761732</x:v>
      </x:c>
      <x:c r="D3195" s="84" t="n">
        <x:f>C3195^2-'Resumen'!$B$5^3/3</x:f>
        <x:v>-0.14136578722071277</x:v>
      </x:c>
      <x:c r="E3195" s="85" t="n">
        <x:f>D3195+'Resumen'!$B$5^3/3</x:f>
        <x:v>0.19196754611262054</x:v>
      </x:c>
    </x:row>
    <x:row r="3196">
      <x:c r="A3196" s="89" t="n">
        <x:v>3194</x:v>
      </x:c>
      <x:c r="B3196" s="80" t="n">
        <x:v>-0.10402049577912836</x:v>
      </x:c>
      <x:c r="C3196" s="84" t="n">
        <x:f>SQRT('Resumen'!$B$5^3/3)*B3196</x:f>
        <x:v>-0.060056261239318086</x:v>
      </x:c>
      <x:c r="D3196" s="84" t="n">
        <x:f>C3196^2-'Resumen'!$B$5^3/3</x:f>
        <x:v>-0.3297265788192881</x:v>
      </x:c>
      <x:c r="E3196" s="85" t="n">
        <x:f>D3196+'Resumen'!$B$5^3/3</x:f>
        <x:v>0.0036067545140452406</x:v>
      </x:c>
    </x:row>
    <x:row r="3197">
      <x:c r="A3197" s="89" t="n">
        <x:v>3195</x:v>
      </x:c>
      <x:c r="B3197" s="80" t="n">
        <x:v>0.20846218208728243</x:v>
      </x:c>
      <x:c r="C3197" s="84" t="n">
        <x:f>SQRT('Resumen'!$B$5^3/3)*B3197</x:f>
        <x:v>0.12035569694394928</x:v>
      </x:c>
      <x:c r="D3197" s="84" t="n">
        <x:f>C3197^2-'Resumen'!$B$5^3/3</x:f>
        <x:v>-0.31884783954646956</x:v>
      </x:c>
      <x:c r="E3197" s="85" t="n">
        <x:f>D3197+'Resumen'!$B$5^3/3</x:f>
        <x:v>0.014485493786863757</x:v>
      </x:c>
    </x:row>
    <x:row r="3198">
      <x:c r="A3198" s="89" t="n">
        <x:v>3196</x:v>
      </x:c>
      <x:c r="B3198" s="80" t="n">
        <x:v>0.374562769950274</x:v>
      </x:c>
      <x:c r="C3198" s="84" t="n">
        <x:f>SQRT('Resumen'!$B$5^3/3)*B3198</x:f>
        <x:v>0.21625391605920255</x:v>
      </x:c>
      <x:c r="D3198" s="84" t="n">
        <x:f>C3198^2-'Resumen'!$B$5^3/3</x:f>
        <x:v>-0.28656757712239267</x:v>
      </x:c>
      <x:c r="E3198" s="85" t="n">
        <x:f>D3198+'Resumen'!$B$5^3/3</x:f>
        <x:v>0.046765756210940645</x:v>
      </x:c>
    </x:row>
    <x:row r="3199">
      <x:c r="A3199" s="89" t="n">
        <x:v>3197</x:v>
      </x:c>
      <x:c r="B3199" s="80" t="n">
        <x:v>-0.39029514414867406</x:v>
      </x:c>
      <x:c r="C3199" s="84" t="n">
        <x:f>SQRT('Resumen'!$B$5^3/3)*B3199</x:f>
        <x:v>-0.22533700653764074</x:v>
      </x:c>
      <x:c r="D3199" s="84" t="n">
        <x:f>C3199^2-'Resumen'!$B$5^3/3</x:f>
        <x:v>-0.2825565668179886</x:v>
      </x:c>
      <x:c r="E3199" s="85" t="n">
        <x:f>D3199+'Resumen'!$B$5^3/3</x:f>
        <x:v>0.05077676651534474</x:v>
      </x:c>
    </x:row>
    <x:row r="3200">
      <x:c r="A3200" s="89" t="n">
        <x:v>3198</x:v>
      </x:c>
      <x:c r="B3200" s="80" t="n">
        <x:v>0.5450915630558775</x:v>
      </x:c>
      <x:c r="C3200" s="84" t="n">
        <x:f>SQRT('Resumen'!$B$5^3/3)*B3200</x:f>
        <x:v>0.3147087606633047</x:v>
      </x:c>
      <x:c r="D3200" s="84" t="n">
        <x:f>C3200^2-'Resumen'!$B$5^3/3</x:f>
        <x:v>-0.23429172929510012</x:v>
      </x:c>
      <x:c r="E3200" s="85" t="n">
        <x:f>D3200+'Resumen'!$B$5^3/3</x:f>
        <x:v>0.0990416040382332</x:v>
      </x:c>
    </x:row>
    <x:row r="3201">
      <x:c r="A3201" s="89" t="n">
        <x:v>3199</x:v>
      </x:c>
      <x:c r="B3201" s="80" t="n">
        <x:v>-1.3635490287958103</x:v>
      </x:c>
      <x:c r="C3201" s="84" t="n">
        <x:f>SQRT('Resumen'!$B$5^3/3)*B3201</x:f>
        <x:v>-0.7872453988285139</x:v>
      </x:c>
      <x:c r="D3201" s="84" t="n">
        <x:f>C3201^2-'Resumen'!$B$5^3/3</x:f>
        <x:v>0.2864219846433325</x:v>
      </x:c>
      <x:c r="E3201" s="85" t="n">
        <x:f>D3201+'Resumen'!$B$5^3/3</x:f>
        <x:v>0.6197553179766658</x:v>
      </x:c>
    </x:row>
    <x:row r="3202">
      <x:c r="A3202" s="89" t="n">
        <x:v>3200</x:v>
      </x:c>
      <x:c r="B3202" s="80" t="n">
        <x:v>2.3093609795159855</x:v>
      </x:c>
      <x:c r="C3202" s="84" t="n">
        <x:f>SQRT('Resumen'!$B$5^3/3)*B3202</x:f>
        <x:v>1.333310183179572</x:v>
      </x:c>
      <x:c r="D3202" s="84" t="n">
        <x:f>C3202^2-'Resumen'!$B$5^3/3</x:f>
        <x:v>1.4443827112370105</x:v>
      </x:c>
      <x:c r="E3202" s="85" t="n">
        <x:f>D3202+'Resumen'!$B$5^3/3</x:f>
        <x:v>1.7777160445703437</x:v>
      </x:c>
    </x:row>
    <x:row r="3203">
      <x:c r="A3203" s="89" t="n">
        <x:v>3201</x:v>
      </x:c>
      <x:c r="B3203" s="80" t="n">
        <x:v>2.8917554286940192</x:v>
      </x:c>
      <x:c r="C3203" s="84" t="n">
        <x:f>SQRT('Resumen'!$B$5^3/3)*B3203</x:f>
        <x:v>1.6695557751870536</x:v>
      </x:c>
      <x:c r="D3203" s="84" t="n">
        <x:f>C3203^2-'Resumen'!$B$5^3/3</x:f>
        <x:v>2.45408315312711</x:v>
      </x:c>
      <x:c r="E3203" s="85" t="n">
        <x:f>D3203+'Resumen'!$B$5^3/3</x:f>
        <x:v>2.7874164864604434</x:v>
      </x:c>
    </x:row>
    <x:row r="3204">
      <x:c r="A3204" s="89" t="n">
        <x:v>3202</x:v>
      </x:c>
      <x:c r="B3204" s="80" t="n">
        <x:v>-0.8989243729923827</x:v>
      </x:c>
      <x:c r="C3204" s="84" t="n">
        <x:f>SQRT('Resumen'!$B$5^3/3)*B3204</x:f>
        <x:v>-0.5189942287282677</x:v>
      </x:c>
      <x:c r="D3204" s="84" t="n">
        <x:f>C3204^2-'Resumen'!$B$5^3/3</x:f>
        <x:v>-0.06397832388008384</x:v>
      </x:c>
      <x:c r="E3204" s="85" t="n">
        <x:f>D3204+'Resumen'!$B$5^3/3</x:f>
        <x:v>0.26935500945324947</x:v>
      </x:c>
    </x:row>
    <x:row r="3205">
      <x:c r="A3205" s="89" t="n">
        <x:v>3203</x:v>
      </x:c>
      <x:c r="B3205" s="80" t="n">
        <x:v>-0.14040621646302065</x:v>
      </x:c>
      <x:c r="C3205" s="84" t="n">
        <x:f>SQRT('Resumen'!$B$5^3/3)*B3205</x:f>
        <x:v>-0.08106356687082183</x:v>
      </x:c>
      <x:c r="D3205" s="84" t="n">
        <x:f>C3205^2-'Resumen'!$B$5^3/3</x:f>
        <x:v>-0.3267620314595131</x:v>
      </x:c>
      <x:c r="E3205" s="85" t="n">
        <x:f>D3205+'Resumen'!$B$5^3/3</x:f>
        <x:v>0.006571301873820212</x:v>
      </x:c>
    </x:row>
    <x:row r="3206">
      <x:c r="A3206" s="89" t="n">
        <x:v>3204</x:v>
      </x:c>
      <x:c r="B3206" s="80" t="n">
        <x:v>0.6898295771468436</x:v>
      </x:c>
      <x:c r="C3206" s="84" t="n">
        <x:f>SQRT('Resumen'!$B$5^3/3)*B3206</x:f>
        <x:v>0.39827329206069584</x:v>
      </x:c>
      <x:c r="D3206" s="84" t="n">
        <x:f>C3206^2-'Resumen'!$B$5^3/3</x:f>
        <x:v>-0.17471171816446898</x:v>
      </x:c>
      <x:c r="E3206" s="85" t="n">
        <x:f>D3206+'Resumen'!$B$5^3/3</x:f>
        <x:v>0.15862161516886433</x:v>
      </x:c>
    </x:row>
    <x:row r="3207">
      <x:c r="A3207" s="89" t="n">
        <x:v>3205</x:v>
      </x:c>
      <x:c r="B3207" s="80" t="n">
        <x:v>0.6116381711961476</x:v>
      </x:c>
      <x:c r="C3207" s="84" t="n">
        <x:f>SQRT('Resumen'!$B$5^3/3)*B3207</x:f>
        <x:v>0.35312946278674623</x:v>
      </x:c>
      <x:c r="D3207" s="84" t="n">
        <x:f>C3207^2-'Resumen'!$B$5^3/3</x:f>
        <x:v>-0.20863291584527732</x:v>
      </x:c>
      <x:c r="E3207" s="85" t="n">
        <x:f>D3207+'Resumen'!$B$5^3/3</x:f>
        <x:v>0.12470041748805599</x:v>
      </x:c>
    </x:row>
    <x:row r="3208">
      <x:c r="A3208" s="89" t="n">
        <x:v>3206</x:v>
      </x:c>
      <x:c r="B3208" s="80" t="n">
        <x:v>-0.6605870575909394</x:v>
      </x:c>
      <x:c r="C3208" s="84" t="n">
        <x:f>SQRT('Resumen'!$B$5^3/3)*B3208</x:f>
        <x:v>-0.38139011552331165</x:v>
      </x:c>
      <x:c r="D3208" s="84" t="n">
        <x:f>C3208^2-'Resumen'!$B$5^3/3</x:f>
        <x:v>-0.18787491311444832</x:v>
      </x:c>
      <x:c r="E3208" s="85" t="n">
        <x:f>D3208+'Resumen'!$B$5^3/3</x:f>
        <x:v>0.145458420218885</x:v>
      </x:c>
    </x:row>
    <x:row r="3209">
      <x:c r="A3209" s="89" t="n">
        <x:v>3207</x:v>
      </x:c>
      <x:c r="B3209" s="80" t="n">
        <x:v>-0.7934221094307725</x:v>
      </x:c>
      <x:c r="C3209" s="84" t="n">
        <x:f>SQRT('Resumen'!$B$5^3/3)*B3209</x:f>
        <x:v>-0.4580824684608572</x:v>
      </x:c>
      <x:c r="D3209" s="84" t="n">
        <x:f>C3209^2-'Resumen'!$B$5^3/3</x:f>
        <x:v>-0.12349378542214107</x:v>
      </x:c>
      <x:c r="E3209" s="85" t="n">
        <x:f>D3209+'Resumen'!$B$5^3/3</x:f>
        <x:v>0.20983954791119225</x:v>
      </x:c>
    </x:row>
    <x:row r="3210">
      <x:c r="A3210" s="89" t="n">
        <x:v>3208</x:v>
      </x:c>
      <x:c r="B3210" s="80" t="n">
        <x:v>1.3305287052061459</x:v>
      </x:c>
      <x:c r="C3210" s="84" t="n">
        <x:f>SQRT('Resumen'!$B$5^3/3)*B3210</x:f>
        <x:v>0.7681811061152924</x:v>
      </x:c>
      <x:c r="D3210" s="84" t="n">
        <x:f>C3210^2-'Resumen'!$B$5^3/3</x:f>
        <x:v>0.2567688784591809</x:v>
      </x:c>
      <x:c r="E3210" s="85" t="n">
        <x:f>D3210+'Resumen'!$B$5^3/3</x:f>
        <x:v>0.5901022117925142</x:v>
      </x:c>
    </x:row>
    <x:row r="3211">
      <x:c r="A3211" s="89" t="n">
        <x:v>3209</x:v>
      </x:c>
      <x:c r="B3211" s="80" t="n">
        <x:v>1.873362139336448</x:v>
      </x:c>
      <x:c r="C3211" s="84" t="n">
        <x:f>SQRT('Resumen'!$B$5^3/3)*B3211</x:f>
        <x:v>1.0815861354355514</x:v>
      </x:c>
      <x:c r="D3211" s="84" t="n">
        <x:f>C3211^2-'Resumen'!$B$5^3/3</x:f>
        <x:v>0.8364952350330777</x:v>
      </x:c>
      <x:c r="E3211" s="85" t="n">
        <x:f>D3211+'Resumen'!$B$5^3/3</x:f>
        <x:v>1.169828568366411</x:v>
      </x:c>
    </x:row>
    <x:row r="3212">
      <x:c r="A3212" s="89" t="n">
        <x:v>3210</x:v>
      </x:c>
      <x:c r="B3212" s="80" t="n">
        <x:v>0.3968445993618377</x:v>
      </x:c>
      <x:c r="C3212" s="84" t="n">
        <x:f>SQRT('Resumen'!$B$5^3/3)*B3212</x:f>
        <x:v>0.22911833626800618</x:v>
      </x:c>
      <x:c r="D3212" s="84" t="n">
        <x:f>C3212^2-'Resumen'!$B$5^3/3</x:f>
        <x:v>-0.2808381213191142</x:v>
      </x:c>
      <x:c r="E3212" s="85" t="n">
        <x:f>D3212+'Resumen'!$B$5^3/3</x:f>
        <x:v>0.05249521201421914</x:v>
      </x:c>
    </x:row>
    <x:row r="3213">
      <x:c r="A3213" s="89" t="n">
        <x:v>3211</x:v>
      </x:c>
      <x:c r="B3213" s="80" t="n">
        <x:v>-0.27564402517823783</x:v>
      </x:c>
      <x:c r="C3213" s="84" t="n">
        <x:f>SQRT('Resumen'!$B$5^3/3)*B3213</x:f>
        <x:v>-0.1591431521371676</x:v>
      </x:c>
      <x:c r="D3213" s="84" t="n">
        <x:f>C3213^2-'Resumen'!$B$5^3/3</x:f>
        <x:v>-0.3080067904611796</x:v>
      </x:c>
      <x:c r="E3213" s="85" t="n">
        <x:f>D3213+'Resumen'!$B$5^3/3</x:f>
        <x:v>0.02532654287215369</x:v>
      </x:c>
    </x:row>
    <x:row r="3214">
      <x:c r="A3214" s="89" t="n">
        <x:v>3212</x:v>
      </x:c>
      <x:c r="B3214" s="80" t="n">
        <x:v>0.6060058908889909</x:v>
      </x:c>
      <x:c r="C3214" s="84" t="n">
        <x:f>SQRT('Resumen'!$B$5^3/3)*B3214</x:f>
        <x:v>0.34987766423525785</x:v>
      </x:c>
      <x:c r="D3214" s="84" t="n">
        <x:f>C3214^2-'Resumen'!$B$5^3/3</x:f>
        <x:v>-0.2109189534026135</x:v>
      </x:c>
      <x:c r="E3214" s="85" t="n">
        <x:f>D3214+'Resumen'!$B$5^3/3</x:f>
        <x:v>0.12241437993071982</x:v>
      </x:c>
    </x:row>
    <x:row r="3215">
      <x:c r="A3215" s="89" t="n">
        <x:v>3213</x:v>
      </x:c>
      <x:c r="B3215" s="80" t="n">
        <x:v>-0.4370136459028417</x:v>
      </x:c>
      <x:c r="C3215" s="84" t="n">
        <x:f>SQRT('Resumen'!$B$5^3/3)*B3215</x:f>
        <x:v>-0.25230994610154545</x:v>
      </x:c>
      <x:c r="D3215" s="84" t="n">
        <x:f>C3215^2-'Resumen'!$B$5^3/3</x:f>
        <x:v>-0.26967302443156854</x:v>
      </x:c>
      <x:c r="E3215" s="85" t="n">
        <x:f>D3215+'Resumen'!$B$5^3/3</x:f>
        <x:v>0.06366030890176477</x:v>
      </x:c>
    </x:row>
    <x:row r="3216">
      <x:c r="A3216" s="89" t="n">
        <x:v>3214</x:v>
      </x:c>
      <x:c r="B3216" s="80" t="n">
        <x:v>-1.946239914777293</x:v>
      </x:c>
      <x:c r="C3216" s="84" t="n">
        <x:f>SQRT('Resumen'!$B$5^3/3)*B3216</x:f>
        <x:v>-1.1236621387042645</x:v>
      </x:c>
      <x:c r="D3216" s="84" t="n">
        <x:f>C3216^2-'Resumen'!$B$5^3/3</x:f>
        <x:v>0.9292832686241084</x:v>
      </x:c>
      <x:c r="E3216" s="85" t="n">
        <x:f>D3216+'Resumen'!$B$5^3/3</x:f>
        <x:v>1.2626166019574416</x:v>
      </x:c>
    </x:row>
    <x:row r="3217">
      <x:c r="A3217" s="89" t="n">
        <x:v>3215</x:v>
      </x:c>
      <x:c r="B3217" s="80" t="n">
        <x:v>1.2692965673344743</x:v>
      </x:c>
      <x:c r="C3217" s="84" t="n">
        <x:f>SQRT('Resumen'!$B$5^3/3)*B3217</x:f>
        <x:v>0.7328287148320266</x:v>
      </x:c>
      <x:c r="D3217" s="84" t="n">
        <x:f>C3217^2-'Resumen'!$B$5^3/3</x:f>
        <x:v>0.2037045919490264</x:v>
      </x:c>
      <x:c r="E3217" s="85" t="n">
        <x:f>D3217+'Resumen'!$B$5^3/3</x:f>
        <x:v>0.5370379252823597</x:v>
      </x:c>
    </x:row>
    <x:row r="3218">
      <x:c r="A3218" s="89" t="n">
        <x:v>3216</x:v>
      </x:c>
      <x:c r="B3218" s="80" t="n">
        <x:v>0.6439888271924525</x:v>
      </x:c>
      <x:c r="C3218" s="84" t="n">
        <x:f>SQRT('Resumen'!$B$5^3/3)*B3218</x:f>
        <x:v>0.37180712273467387</x:v>
      </x:c>
      <x:c r="D3218" s="84" t="n">
        <x:f>C3218^2-'Resumen'!$B$5^3/3</x:f>
        <x:v>-0.1950927968170965</x:v>
      </x:c>
      <x:c r="E3218" s="85" t="n">
        <x:f>D3218+'Resumen'!$B$5^3/3</x:f>
        <x:v>0.13824053651623683</x:v>
      </x:c>
    </x:row>
    <x:row r="3219">
      <x:c r="A3219" s="89" t="n">
        <x:v>3217</x:v>
      </x:c>
      <x:c r="B3219" s="80" t="n">
        <x:v>0.7494123054929576</x:v>
      </x:c>
      <x:c r="C3219" s="84" t="n">
        <x:f>SQRT('Resumen'!$B$5^3/3)*B3219</x:f>
        <x:v>0.4326733963103771</x:v>
      </x:c>
      <x:c r="D3219" s="84" t="n">
        <x:f>C3219^2-'Resumen'!$B$5^3/3</x:f>
        <x:v>-0.14612706545857668</x:v>
      </x:c>
      <x:c r="E3219" s="85" t="n">
        <x:f>D3219+'Resumen'!$B$5^3/3</x:f>
        <x:v>0.18720626787475664</x:v>
      </x:c>
    </x:row>
    <x:row r="3220">
      <x:c r="A3220" s="89" t="n">
        <x:v>3218</x:v>
      </x:c>
      <x:c r="B3220" s="80" t="n">
        <x:v>-2.256394255008433</x:v>
      </x:c>
      <x:c r="C3220" s="84" t="n">
        <x:f>SQRT('Resumen'!$B$5^3/3)*B3220</x:f>
        <x:v>-1.3027298305270436</x:v>
      </x:c>
      <x:c r="D3220" s="84" t="n">
        <x:f>C3220^2-'Resumen'!$B$5^3/3</x:f>
        <x:v>1.3637716780116864</x:v>
      </x:c>
      <x:c r="E3220" s="85" t="n">
        <x:f>D3220+'Resumen'!$B$5^3/3</x:f>
        <x:v>1.6971050113450197</x:v>
      </x:c>
    </x:row>
    <x:row r="3221">
      <x:c r="A3221" s="89" t="n">
        <x:v>3219</x:v>
      </x:c>
      <x:c r="B3221" s="80" t="n">
        <x:v>-0.4571930989383645</x:v>
      </x:c>
      <x:c r="C3221" s="84" t="n">
        <x:f>SQRT('Resumen'!$B$5^3/3)*B3221</x:f>
        <x:v>-0.26396055874370394</x:v>
      </x:c>
      <x:c r="D3221" s="84" t="n">
        <x:f>C3221^2-'Resumen'!$B$5^3/3</x:f>
        <x:v>-0.2636581567610449</x:v>
      </x:c>
      <x:c r="E3221" s="85" t="n">
        <x:f>D3221+'Resumen'!$B$5^3/3</x:f>
        <x:v>0.06967517657228839</x:v>
      </x:c>
    </x:row>
    <x:row r="3222">
      <x:c r="A3222" s="89" t="n">
        <x:v>3220</x:v>
      </x:c>
      <x:c r="B3222" s="80" t="n">
        <x:v>-0.6480208814049077</x:v>
      </x:c>
      <x:c r="C3222" s="84" t="n">
        <x:f>SQRT('Resumen'!$B$5^3/3)*B3222</x:f>
        <x:v>-0.374135030319622</x:v>
      </x:c>
      <x:c r="D3222" s="84" t="n">
        <x:f>C3222^2-'Resumen'!$B$5^3/3</x:f>
        <x:v>-0.19335631242106885</x:v>
      </x:c>
      <x:c r="E3222" s="85" t="n">
        <x:f>D3222+'Resumen'!$B$5^3/3</x:f>
        <x:v>0.13997702091226447</x:v>
      </x:c>
    </x:row>
    <x:row r="3223">
      <x:c r="A3223" s="89" t="n">
        <x:v>3221</x:v>
      </x:c>
      <x:c r="B3223" s="80" t="n">
        <x:v>-2.3364479831264515</x:v>
      </x:c>
      <x:c r="C3223" s="84" t="n">
        <x:f>SQRT('Resumen'!$B$5^3/3)*B3223</x:f>
        <x:v>-1.3489488720056149</x:v>
      </x:c>
      <x:c r="D3223" s="84" t="n">
        <x:f>C3223^2-'Resumen'!$B$5^3/3</x:f>
        <x:v>1.4863297259518875</x:v>
      </x:c>
      <x:c r="E3223" s="85" t="n">
        <x:f>D3223+'Resumen'!$B$5^3/3</x:f>
        <x:v>1.8196630592852208</x:v>
      </x:c>
    </x:row>
    <x:row r="3224">
      <x:c r="A3224" s="89" t="n">
        <x:v>3222</x:v>
      </x:c>
      <x:c r="B3224" s="80" t="n">
        <x:v>2.3801549616729836</x:v>
      </x:c>
      <x:c r="C3224" s="84" t="n">
        <x:f>SQRT('Resumen'!$B$5^3/3)*B3224</x:f>
        <x:v>1.3741831078349205</x:v>
      </x:c>
      <x:c r="D3224" s="84" t="n">
        <x:f>C3224^2-'Resumen'!$B$5^3/3</x:f>
        <x:v>1.5550458805255074</x:v>
      </x:c>
      <x:c r="E3224" s="85" t="n">
        <x:f>D3224+'Resumen'!$B$5^3/3</x:f>
        <x:v>1.8883792138588407</x:v>
      </x:c>
    </x:row>
    <x:row r="3225">
      <x:c r="A3225" s="89" t="n">
        <x:v>3223</x:v>
      </x:c>
      <x:c r="B3225" s="80" t="n">
        <x:v>-1.4247218000677158</x:v>
      </x:c>
      <x:c r="C3225" s="84" t="n">
        <x:f>SQRT('Resumen'!$B$5^3/3)*B3225</x:f>
        <x:v>-0.8225635147894238</x:v>
      </x:c>
      <x:c r="D3225" s="84" t="n">
        <x:f>C3225^2-'Resumen'!$B$5^3/3</x:f>
        <x:v>0.34327740252939726</x:v>
      </x:c>
      <x:c r="E3225" s="85" t="n">
        <x:f>D3225+'Resumen'!$B$5^3/3</x:f>
        <x:v>0.6766107358627306</x:v>
      </x:c>
    </x:row>
    <x:row r="3226">
      <x:c r="A3226" s="89" t="n">
        <x:v>3224</x:v>
      </x:c>
      <x:c r="B3226" s="80" t="n">
        <x:v>-0.06395062463723236</x:v>
      </x:c>
      <x:c r="C3226" s="84" t="n">
        <x:f>SQRT('Resumen'!$B$5^3/3)*B3226</x:f>
        <x:v>-0.036921910349150815</x:v>
      </x:c>
      <x:c r="D3226" s="84" t="n">
        <x:f>C3226^2-'Resumen'!$B$5^3/3</x:f>
        <x:v>-0.3319701058695026</x:v>
      </x:c>
      <x:c r="E3226" s="85" t="n">
        <x:f>D3226+'Resumen'!$B$5^3/3</x:f>
        <x:v>0.0013632274638307185</x:v>
      </x:c>
    </x:row>
    <x:row r="3227">
      <x:c r="A3227" s="89" t="n">
        <x:v>3225</x:v>
      </x:c>
      <x:c r="B3227" s="80" t="n">
        <x:v>-0.8995099103106756</x:v>
      </x:c>
      <x:c r="C3227" s="84" t="n">
        <x:f>SQRT('Resumen'!$B$5^3/3)*B3227</x:f>
        <x:v>-0.5193322888566047</x:v>
      </x:c>
      <x:c r="D3227" s="84" t="n">
        <x:f>C3227^2-'Resumen'!$B$5^3/3</x:f>
        <x:v>-0.06362730708429348</x:v>
      </x:c>
      <x:c r="E3227" s="85" t="n">
        <x:f>D3227+'Resumen'!$B$5^3/3</x:f>
        <x:v>0.26970602624903983</x:v>
      </x:c>
    </x:row>
    <x:row r="3228">
      <x:c r="A3228" s="89" t="n">
        <x:v>3226</x:v>
      </x:c>
      <x:c r="B3228" s="80" t="n">
        <x:v>1.1486281347311156</x:v>
      </x:c>
      <x:c r="C3228" s="84" t="n">
        <x:f>SQRT('Resumen'!$B$5^3/3)*B3228</x:f>
        <x:v>0.6631607627857873</x:v>
      </x:c>
      <x:c r="D3228" s="84" t="n">
        <x:f>C3228^2-'Resumen'!$B$5^3/3</x:f>
        <x:v>0.1064488639652939</x:v>
      </x:c>
      <x:c r="E3228" s="85" t="n">
        <x:f>D3228+'Resumen'!$B$5^3/3</x:f>
        <x:v>0.4397821972986272</x:v>
      </x:c>
    </x:row>
    <x:row r="3229">
      <x:c r="A3229" s="89" t="n">
        <x:v>3227</x:v>
      </x:c>
      <x:c r="B3229" s="80" t="n">
        <x:v>-0.358217079756008</x:v>
      </x:c>
      <x:c r="C3229" s="84" t="n">
        <x:f>SQRT('Resumen'!$B$5^3/3)*B3229</x:f>
        <x:v>-0.20681672742545285</x:v>
      </x:c>
      <x:c r="D3229" s="84" t="n">
        <x:f>C3229^2-'Resumen'!$B$5^3/3</x:f>
        <x:v>-0.29056017459035927</x:v>
      </x:c>
      <x:c r="E3229" s="85" t="n">
        <x:f>D3229+'Resumen'!$B$5^3/3</x:f>
        <x:v>0.04277315874297405</x:v>
      </x:c>
    </x:row>
    <x:row r="3230">
      <x:c r="A3230" s="89" t="n">
        <x:v>3228</x:v>
      </x:c>
      <x:c r="B3230" s="80" t="n">
        <x:v>0.8918776730553306</x:v>
      </x:c>
      <x:c r="C3230" s="84" t="n">
        <x:f>SQRT('Resumen'!$B$5^3/3)*B3230</x:f>
        <x:v>0.5149258146227121</x:v>
      </x:c>
      <x:c r="D3230" s="84" t="n">
        <x:f>C3230^2-'Resumen'!$B$5^3/3</x:f>
        <x:v>-0.06818473876846959</x:v>
      </x:c>
      <x:c r="E3230" s="85" t="n">
        <x:f>D3230+'Resumen'!$B$5^3/3</x:f>
        <x:v>0.2651485945648637</x:v>
      </x:c>
    </x:row>
    <x:row r="3231">
      <x:c r="A3231" s="89" t="n">
        <x:v>3229</x:v>
      </x:c>
      <x:c r="B3231" s="80" t="n">
        <x:v>-0.9463543380862022</x:v>
      </x:c>
      <x:c r="C3231" s="84" t="n">
        <x:f>SQRT('Resumen'!$B$5^3/3)*B3231</x:f>
        <x:v>-0.5463779318428389</x:v>
      </x:c>
      <x:c r="D3231" s="84" t="n">
        <x:f>C3231^2-'Resumen'!$B$5^3/3</x:f>
        <x:v>-0.03480448892847543</x:v>
      </x:c>
      <x:c r="E3231" s="85" t="n">
        <x:f>D3231+'Resumen'!$B$5^3/3</x:f>
        <x:v>0.2985288444048579</x:v>
      </x:c>
    </x:row>
    <x:row r="3232">
      <x:c r="A3232" s="89" t="n">
        <x:v>3230</x:v>
      </x:c>
      <x:c r="B3232" s="80" t="n">
        <x:v>-0.23756098241708679</x:v>
      </x:c>
      <x:c r="C3232" s="84" t="n">
        <x:f>SQRT('Resumen'!$B$5^3/3)*B3232</x:f>
        <x:v>-0.137155897147457</x:v>
      </x:c>
      <x:c r="D3232" s="84" t="n">
        <x:f>C3232^2-'Resumen'!$B$5^3/3</x:f>
        <x:v>-0.31452159321100953</x:v>
      </x:c>
      <x:c r="E3232" s="85" t="n">
        <x:f>D3232+'Resumen'!$B$5^3/3</x:f>
        <x:v>0.018811740122323783</x:v>
      </x:c>
    </x:row>
    <x:row r="3233">
      <x:c r="A3233" s="89" t="n">
        <x:v>3231</x:v>
      </x:c>
      <x:c r="B3233" s="80" t="n">
        <x:v>-0.21948868197186833</x:v>
      </x:c>
      <x:c r="C3233" s="84" t="n">
        <x:f>SQRT('Resumen'!$B$5^3/3)*B3233</x:f>
        <x:v>-0.12672184962053434</x:v>
      </x:c>
      <x:c r="D3233" s="84" t="n">
        <x:f>C3233^2-'Resumen'!$B$5^3/3</x:f>
        <x:v>-0.317274906162084</x:v>
      </x:c>
      <x:c r="E3233" s="85" t="n">
        <x:f>D3233+'Resumen'!$B$5^3/3</x:f>
        <x:v>0.016058427171249334</x:v>
      </x:c>
    </x:row>
    <x:row r="3234">
      <x:c r="A3234" s="89" t="n">
        <x:v>3232</x:v>
      </x:c>
      <x:c r="B3234" s="80" t="n">
        <x:v>-0.1546880780970448</x:v>
      </x:c>
      <x:c r="C3234" s="84" t="n">
        <x:f>SQRT('Resumen'!$B$5^3/3)*B3234</x:f>
        <x:v>-0.08930920352975466</x:v>
      </x:c>
      <x:c r="D3234" s="84" t="n">
        <x:f>C3234^2-'Resumen'!$B$5^3/3</x:f>
        <x:v>-0.3253571994982142</x:v>
      </x:c>
      <x:c r="E3234" s="85" t="n">
        <x:f>D3234+'Resumen'!$B$5^3/3</x:f>
        <x:v>0.007976133835119137</x:v>
      </x:c>
    </x:row>
    <x:row r="3235">
      <x:c r="A3235" s="89" t="n">
        <x:v>3233</x:v>
      </x:c>
      <x:c r="B3235" s="80" t="n">
        <x:v>-0.968639296087485</x:v>
      </x:c>
      <x:c r="C3235" s="84" t="n">
        <x:f>SQRT('Resumen'!$B$5^3/3)*B3235</x:f>
        <x:v>-0.5592441583437591</x:v>
      </x:c>
      <x:c r="D3235" s="84" t="n">
        <x:f>C3235^2-'Resumen'!$B$5^3/3</x:f>
        <x:v>-0.020579304691713873</x:v>
      </x:c>
      <x:c r="E3235" s="85" t="n">
        <x:f>D3235+'Resumen'!$B$5^3/3</x:f>
        <x:v>0.31275402864161944</x:v>
      </x:c>
    </x:row>
    <x:row r="3236">
      <x:c r="A3236" s="89" t="n">
        <x:v>3234</x:v>
      </x:c>
      <x:c r="B3236" s="80" t="n">
        <x:v>0.17886865484044503</x:v>
      </x:c>
      <x:c r="C3236" s="84" t="n">
        <x:f>SQRT('Resumen'!$B$5^3/3)*B3236</x:f>
        <x:v>0.1032698660217172</x:v>
      </x:c>
      <x:c r="D3236" s="84" t="n">
        <x:f>C3236^2-'Resumen'!$B$5^3/3</x:f>
        <x:v>-0.3226686681051899</x:v>
      </x:c>
      <x:c r="E3236" s="85" t="n">
        <x:f>D3236+'Resumen'!$B$5^3/3</x:f>
        <x:v>0.01066466522814341</x:v>
      </x:c>
    </x:row>
    <x:row r="3237">
      <x:c r="A3237" s="89" t="n">
        <x:v>3235</x:v>
      </x:c>
      <x:c r="B3237" s="80" t="n">
        <x:v>1.4689584678781862</x:v>
      </x:c>
      <x:c r="C3237" s="84" t="n">
        <x:f>SQRT('Resumen'!$B$5^3/3)*B3237</x:f>
        <x:v>0.8481035668578509</x:v>
      </x:c>
      <x:c r="D3237" s="84" t="n">
        <x:f>C3237^2-'Resumen'!$B$5^3/3</x:f>
        <x:v>0.38594632678367596</x:v>
      </x:c>
      <x:c r="E3237" s="85" t="n">
        <x:f>D3237+'Resumen'!$B$5^3/3</x:f>
        <x:v>0.7192796601170093</x:v>
      </x:c>
    </x:row>
    <x:row r="3238">
      <x:c r="A3238" s="89" t="n">
        <x:v>3236</x:v>
      </x:c>
      <x:c r="B3238" s="80" t="n">
        <x:v>0.4147377128362208</x:v>
      </x:c>
      <x:c r="C3238" s="84" t="n">
        <x:f>SQRT('Resumen'!$B$5^3/3)*B3238</x:f>
        <x:v>0.23944893014908178</x:v>
      </x:c>
      <x:c r="D3238" s="84" t="n">
        <x:f>C3238^2-'Resumen'!$B$5^3/3</x:f>
        <x:v>-0.2759975431837935</x:v>
      </x:c>
      <x:c r="E3238" s="85" t="n">
        <x:f>D3238+'Resumen'!$B$5^3/3</x:f>
        <x:v>0.05733579014953982</x:v>
      </x:c>
    </x:row>
    <x:row r="3239">
      <x:c r="A3239" s="89" t="n">
        <x:v>3237</x:v>
      </x:c>
      <x:c r="B3239" s="80" t="n">
        <x:v>-3.184622519692961</x:v>
      </x:c>
      <x:c r="C3239" s="84" t="n">
        <x:f>SQRT('Resumen'!$B$5^3/3)*B3239</x:f>
        <x:v>-1.8386426690120754</x:v>
      </x:c>
      <x:c r="D3239" s="84" t="n">
        <x:f>C3239^2-'Resumen'!$B$5^3/3</x:f>
        <x:v>3.0472735309785146</x:v>
      </x:c>
      <x:c r="E3239" s="85" t="n">
        <x:f>D3239+'Resumen'!$B$5^3/3</x:f>
        <x:v>3.380606864311848</x:v>
      </x:c>
    </x:row>
    <x:row r="3240">
      <x:c r="A3240" s="89" t="n">
        <x:v>3238</x:v>
      </x:c>
      <x:c r="B3240" s="80" t="n">
        <x:v>-2.00939935618304</x:v>
      </x:c>
      <x:c r="C3240" s="84" t="n">
        <x:f>SQRT('Resumen'!$B$5^3/3)*B3240</x:f>
        <x:v>-1.1601272592017389</x:v>
      </x:c>
      <x:c r="D3240" s="84" t="n">
        <x:f>C3240^2-'Resumen'!$B$5^3/3</x:f>
        <x:v>1.0125619242096053</x:v>
      </x:c>
      <x:c r="E3240" s="85" t="n">
        <x:f>D3240+'Resumen'!$B$5^3/3</x:f>
        <x:v>1.3458952575429386</x:v>
      </x:c>
    </x:row>
    <x:row r="3241">
      <x:c r="A3241" s="89" t="n">
        <x:v>3239</x:v>
      </x:c>
      <x:c r="B3241" s="80" t="n">
        <x:v>-0.18824772978448773</x:v>
      </x:c>
      <x:c r="C3241" s="84" t="n">
        <x:f>SQRT('Resumen'!$B$5^3/3)*B3241</x:f>
        <x:v>-0.10868487746540992</x:v>
      </x:c>
      <x:c r="D3241" s="84" t="n">
        <x:f>C3241^2-'Resumen'!$B$5^3/3</x:f>
        <x:v>-0.32152093074366217</x:v>
      </x:c>
      <x:c r="E3241" s="85" t="n">
        <x:f>D3241+'Resumen'!$B$5^3/3</x:f>
        <x:v>0.011812402589671145</x:v>
      </x:c>
    </x:row>
    <x:row r="3242">
      <x:c r="A3242" s="89" t="n">
        <x:v>3240</x:v>
      </x:c>
      <x:c r="B3242" s="80" t="n">
        <x:v>0.6117561536191131</x:v>
      </x:c>
      <x:c r="C3242" s="84" t="n">
        <x:f>SQRT('Resumen'!$B$5^3/3)*B3242</x:f>
        <x:v>0.35319757997040496</x:v>
      </x:c>
      <x:c r="D3242" s="84" t="n">
        <x:f>C3242^2-'Resumen'!$B$5^3/3</x:f>
        <x:v>-0.2085848028363827</x:v>
      </x:c>
      <x:c r="E3242" s="85" t="n">
        <x:f>D3242+'Resumen'!$B$5^3/3</x:f>
        <x:v>0.12474853049695062</x:v>
      </x:c>
    </x:row>
    <x:row r="3243">
      <x:c r="A3243" s="89" t="n">
        <x:v>3241</x:v>
      </x:c>
      <x:c r="B3243" s="80" t="n">
        <x:v>0.5860366338189016</x:v>
      </x:c>
      <x:c r="C3243" s="84" t="n">
        <x:f>SQRT('Resumen'!$B$5^3/3)*B3243</x:f>
        <x:v>0.338348408290325</x:v>
      </x:c>
      <x:c r="D3243" s="84" t="n">
        <x:f>C3243^2-'Resumen'!$B$5^3/3</x:f>
        <x:v>-0.21885368794073687</x:v>
      </x:c>
      <x:c r="E3243" s="85" t="n">
        <x:f>D3243+'Resumen'!$B$5^3/3</x:f>
        <x:v>0.11447964539259645</x:v>
      </x:c>
    </x:row>
    <x:row r="3244">
      <x:c r="A3244" s="89" t="n">
        <x:v>3242</x:v>
      </x:c>
      <x:c r="B3244" s="80" t="n">
        <x:v>1.2385504339131348</x:v>
      </x:c>
      <x:c r="C3244" s="84" t="n">
        <x:f>SQRT('Resumen'!$B$5^3/3)*B3244</x:f>
        <x:v>0.7150774264246761</x:v>
      </x:c>
      <x:c r="D3244" s="84" t="n">
        <x:f>C3244^2-'Resumen'!$B$5^3/3</x:f>
        <x:v>0.17800239244880472</x:v>
      </x:c>
      <x:c r="E3244" s="85" t="n">
        <x:f>D3244+'Resumen'!$B$5^3/3</x:f>
        <x:v>0.511335725782138</x:v>
      </x:c>
    </x:row>
    <x:row r="3245">
      <x:c r="A3245" s="89" t="n">
        <x:v>3243</x:v>
      </x:c>
      <x:c r="B3245" s="80" t="n">
        <x:v>-0.8161650043298563</x:v>
      </x:c>
      <x:c r="C3245" s="84" t="n">
        <x:f>SQRT('Resumen'!$B$5^3/3)*B3245</x:f>
        <x:v>-0.4712130849529946</x:v>
      </x:c>
      <x:c r="D3245" s="84" t="n">
        <x:f>C3245^2-'Resumen'!$B$5^3/3</x:f>
        <x:v>-0.11129156190241524</x:v>
      </x:c>
      <x:c r="E3245" s="85" t="n">
        <x:f>D3245+'Resumen'!$B$5^3/3</x:f>
        <x:v>0.22204177143091808</x:v>
      </x:c>
    </x:row>
    <x:row r="3246">
      <x:c r="A3246" s="89" t="n">
        <x:v>3244</x:v>
      </x:c>
      <x:c r="B3246" s="80" t="n">
        <x:v>0.23568038276376446</x:v>
      </x:c>
      <x:c r="C3246" s="84" t="n">
        <x:f>SQRT('Resumen'!$B$5^3/3)*B3246</x:f>
        <x:v>0.13607013243137345</x:v>
      </x:c>
      <x:c r="D3246" s="84" t="n">
        <x:f>C3246^2-'Resumen'!$B$5^3/3</x:f>
        <x:v>-0.3148182523934418</x:v>
      </x:c>
      <x:c r="E3246" s="85" t="n">
        <x:f>D3246+'Resumen'!$B$5^3/3</x:f>
        <x:v>0.018515080939891515</x:v>
      </x:c>
    </x:row>
    <x:row r="3247">
      <x:c r="A3247" s="89" t="n">
        <x:v>3245</x:v>
      </x:c>
      <x:c r="B3247" s="80" t="n">
        <x:v>-0.6563402388737042</x:v>
      </x:c>
      <x:c r="C3247" s="84" t="n">
        <x:f>SQRT('Resumen'!$B$5^3/3)*B3247</x:f>
        <x:v>-0.3789382135937164</x:v>
      </x:c>
      <x:c r="D3247" s="84" t="n">
        <x:f>C3247^2-'Resumen'!$B$5^3/3</x:f>
        <x:v>-0.1897391636117363</x:v>
      </x:c>
      <x:c r="E3247" s="85" t="n">
        <x:f>D3247+'Resumen'!$B$5^3/3</x:f>
        <x:v>0.14359416972159703</x:v>
      </x:c>
    </x:row>
    <x:row r="3248">
      <x:c r="A3248" s="89" t="n">
        <x:v>3246</x:v>
      </x:c>
      <x:c r="B3248" s="80" t="n">
        <x:v>1.851308868760897</x:v>
      </x:c>
      <x:c r="C3248" s="84" t="n">
        <x:f>SQRT('Resumen'!$B$5^3/3)*B3248</x:f>
        <x:v>1.0688536737322454</x:v>
      </x:c>
      <x:c r="D3248" s="84" t="n">
        <x:f>C3248^2-'Resumen'!$B$5^3/3</x:f>
        <x:v>0.809114842517584</x:v>
      </x:c>
      <x:c r="E3248" s="85" t="n">
        <x:f>D3248+'Resumen'!$B$5^3/3</x:f>
        <x:v>1.1424481758509173</x:v>
      </x:c>
    </x:row>
    <x:row r="3249">
      <x:c r="A3249" s="89" t="n">
        <x:v>3247</x:v>
      </x:c>
      <x:c r="B3249" s="80" t="n">
        <x:v>-0.3119987717710791</x:v>
      </x:c>
      <x:c r="C3249" s="84" t="n">
        <x:f>SQRT('Resumen'!$B$5^3/3)*B3249</x:f>
        <x:v>-0.1801325748688651</x:v>
      </x:c>
      <x:c r="D3249" s="84" t="n">
        <x:f>C3249^2-'Resumen'!$B$5^3/3</x:f>
        <x:v>-0.30088558880444605</x:v>
      </x:c>
      <x:c r="E3249" s="85" t="n">
        <x:f>D3249+'Resumen'!$B$5^3/3</x:f>
        <x:v>0.03244774452888727</x:v>
      </x:c>
    </x:row>
    <x:row r="3250">
      <x:c r="A3250" s="89" t="n">
        <x:v>3248</x:v>
      </x:c>
      <x:c r="B3250" s="80" t="n">
        <x:v>-2.0788240703847234</x:v>
      </x:c>
      <x:c r="C3250" s="84" t="n">
        <x:f>SQRT('Resumen'!$B$5^3/3)*B3250</x:f>
        <x:v>-1.2002096366344934</x:v>
      </x:c>
      <x:c r="D3250" s="84" t="n">
        <x:f>C3250^2-'Resumen'!$B$5^3/3</x:f>
        <x:v>1.1071698385369695</x:v>
      </x:c>
      <x:c r="E3250" s="85" t="n">
        <x:f>D3250+'Resumen'!$B$5^3/3</x:f>
        <x:v>1.4405031718703027</x:v>
      </x:c>
    </x:row>
    <x:row r="3251">
      <x:c r="A3251" s="89" t="n">
        <x:v>3249</x:v>
      </x:c>
      <x:c r="B3251" s="80" t="n">
        <x:v>-1.2997940190796573</x:v>
      </x:c>
      <x:c r="C3251" s="84" t="n">
        <x:f>SQRT('Resumen'!$B$5^3/3)*B3251</x:f>
        <x:v>-0.7504364268067056</x:v>
      </x:c>
      <x:c r="D3251" s="84" t="n">
        <x:f>C3251^2-'Resumen'!$B$5^3/3</x:f>
        <x:v>0.22982149734508278</x:v>
      </x:c>
      <x:c r="E3251" s="85" t="n">
        <x:f>D3251+'Resumen'!$B$5^3/3</x:f>
        <x:v>0.5631548306784161</x:v>
      </x:c>
    </x:row>
    <x:row r="3252">
      <x:c r="A3252" s="89" t="n">
        <x:v>3250</x:v>
      </x:c>
      <x:c r="B3252" s="80" t="n">
        <x:v>0.4918923227448546</x:v>
      </x:c>
      <x:c r="C3252" s="84" t="n">
        <x:f>SQRT('Resumen'!$B$5^3/3)*B3252</x:f>
        <x:v>0.28399416494905205</x:v>
      </x:c>
      <x:c r="D3252" s="84" t="n">
        <x:f>C3252^2-'Resumen'!$B$5^3/3</x:f>
        <x:v>-0.25268064760822395</x:v>
      </x:c>
      <x:c r="E3252" s="85" t="n">
        <x:f>D3252+'Resumen'!$B$5^3/3</x:f>
        <x:v>0.08065268572510936</x:v>
      </x:c>
    </x:row>
    <x:row r="3253">
      <x:c r="A3253" s="89" t="n">
        <x:v>3251</x:v>
      </x:c>
      <x:c r="B3253" s="80" t="n">
        <x:v>0.7094581216011602</x:v>
      </x:c>
      <x:c r="C3253" s="84" t="n">
        <x:f>SQRT('Resumen'!$B$5^3/3)*B3253</x:f>
        <x:v>0.4096058374851961</x:v>
      </x:c>
      <x:c r="D3253" s="84" t="n">
        <x:f>C3253^2-'Resumen'!$B$5^3/3</x:f>
        <x:v>-0.16555639123138446</x:v>
      </x:c>
      <x:c r="E3253" s="85" t="n">
        <x:f>D3253+'Resumen'!$B$5^3/3</x:f>
        <x:v>0.16777694210194885</x:v>
      </x:c>
    </x:row>
    <x:row r="3254">
      <x:c r="A3254" s="89" t="n">
        <x:v>3252</x:v>
      </x:c>
      <x:c r="B3254" s="80" t="n">
        <x:v>1.473230315369064</x:v>
      </x:c>
      <x:c r="C3254" s="84" t="n">
        <x:f>SQRT('Resumen'!$B$5^3/3)*B3254</x:f>
        <x:v>0.8505699191566464</x:v>
      </x:c>
      <x:c r="D3254" s="84" t="n">
        <x:f>C3254^2-'Resumen'!$B$5^3/3</x:f>
        <x:v>0.3901358540408106</x:v>
      </x:c>
      <x:c r="E3254" s="85" t="n">
        <x:f>D3254+'Resumen'!$B$5^3/3</x:f>
        <x:v>0.7234691873741439</x:v>
      </x:c>
    </x:row>
    <x:row r="3255">
      <x:c r="A3255" s="89" t="n">
        <x:v>3253</x:v>
      </x:c>
      <x:c r="B3255" s="80" t="n">
        <x:v>-0.0855611281429878</x:v>
      </x:c>
      <x:c r="C3255" s="84" t="n">
        <x:f>SQRT('Resumen'!$B$5^3/3)*B3255</x:f>
        <x:v>-0.04939874036552207</x:v>
      </x:c>
      <x:c r="D3255" s="84" t="n">
        <x:f>C3255^2-'Resumen'!$B$5^3/3</x:f>
        <x:v>-0.33089309778363307</x:v>
      </x:c>
      <x:c r="E3255" s="85" t="n">
        <x:f>D3255+'Resumen'!$B$5^3/3</x:f>
        <x:v>0.0024402355497002426</x:v>
      </x:c>
    </x:row>
    <x:row r="3256">
      <x:c r="A3256" s="89" t="n">
        <x:v>3254</x:v>
      </x:c>
      <x:c r="B3256" s="80" t="n">
        <x:v>-0.03522548029162283</x:v>
      </x:c>
      <x:c r="C3256" s="84" t="n">
        <x:f>SQRT('Resumen'!$B$5^3/3)*B3256</x:f>
        <x:v>-0.020337440528702296</x:v>
      </x:c>
      <x:c r="D3256" s="84" t="n">
        <x:f>C3256^2-'Resumen'!$B$5^3/3</x:f>
        <x:v>-0.3329197218460748</x:v>
      </x:c>
      <x:c r="E3256" s="85" t="n">
        <x:f>D3256+'Resumen'!$B$5^3/3</x:f>
        <x:v>0.00041361148725849173</x:v>
      </x:c>
    </x:row>
    <x:row r="3257">
      <x:c r="A3257" s="89" t="n">
        <x:v>3255</x:v>
      </x:c>
      <x:c r="B3257" s="80" t="n">
        <x:v>-0.07464755036546734</x:v>
      </x:c>
      <x:c r="C3257" s="84" t="n">
        <x:f>SQRT('Resumen'!$B$5^3/3)*B3257</x:f>
        <x:v>-0.04309778329784872</x:v>
      </x:c>
      <x:c r="D3257" s="84" t="n">
        <x:f>C3257^2-'Resumen'!$B$5^3/3</x:f>
        <x:v>-0.331475914408145</x:v>
      </x:c>
      <x:c r="E3257" s="85" t="n">
        <x:f>D3257+'Resumen'!$B$5^3/3</x:f>
        <x:v>0.0018574189251883144</x:v>
      </x:c>
    </x:row>
    <x:row r="3258">
      <x:c r="A3258" s="89" t="n">
        <x:v>3256</x:v>
      </x:c>
      <x:c r="B3258" s="80" t="n">
        <x:v>0.004469896993551435</x:v>
      </x:c>
      <x:c r="C3258" s="84" t="n">
        <x:f>SQRT('Resumen'!$B$5^3/3)*B3258</x:f>
        <x:v>0.0025806962324768194</x:v>
      </x:c>
      <x:c r="D3258" s="84" t="n">
        <x:f>C3258^2-'Resumen'!$B$5^3/3</x:f>
        <x:v>-0.333326673340289</x:v>
      </x:c>
      <x:c r="E3258" s="85" t="n">
        <x:f>D3258+'Resumen'!$B$5^3/3</x:f>
        <x:v>0.000006659993044333401</x:v>
      </x:c>
    </x:row>
    <x:row r="3259">
      <x:c r="A3259" s="89" t="n">
        <x:v>3257</x:v>
      </x:c>
      <x:c r="B3259" s="80" t="n">
        <x:v>0.7063269889010194</x:v>
      </x:c>
      <x:c r="C3259" s="84" t="n">
        <x:f>SQRT('Resumen'!$B$5^3/3)*B3259</x:f>
        <x:v>0.40779807717790134</x:v>
      </x:c>
      <x:c r="D3259" s="84" t="n">
        <x:f>C3259^2-'Resumen'!$B$5^3/3</x:f>
        <x:v>-0.16703406158333975</x:v>
      </x:c>
      <x:c r="E3259" s="85" t="n">
        <x:f>D3259+'Resumen'!$B$5^3/3</x:f>
        <x:v>0.16629927174999357</x:v>
      </x:c>
    </x:row>
    <x:row r="3260">
      <x:c r="A3260" s="89" t="n">
        <x:v>3258</x:v>
      </x:c>
      <x:c r="B3260" s="80" t="n">
        <x:v>-1.5630673124690564</x:v>
      </x:c>
      <x:c r="C3260" s="84" t="n">
        <x:f>SQRT('Resumen'!$B$5^3/3)*B3260</x:f>
        <x:v>-0.9024373336155146</x:v>
      </x:c>
      <x:c r="D3260" s="84" t="n">
        <x:f>C3260^2-'Resumen'!$B$5^3/3</x:f>
        <x:v>0.4810598077697463</x:v>
      </x:c>
      <x:c r="E3260" s="85" t="n">
        <x:f>D3260+'Resumen'!$B$5^3/3</x:f>
        <x:v>0.8143931411030796</x:v>
      </x:c>
    </x:row>
    <x:row r="3261">
      <x:c r="A3261" s="89" t="n">
        <x:v>3259</x:v>
      </x:c>
      <x:c r="B3261" s="80" t="n">
        <x:v>-0.7385729705561033</x:v>
      </x:c>
      <x:c r="C3261" s="84" t="n">
        <x:f>SQRT('Resumen'!$B$5^3/3)*B3261</x:f>
        <x:v>-0.42641530336674777</x:v>
      </x:c>
      <x:c r="D3261" s="84" t="n">
        <x:f>C3261^2-'Resumen'!$B$5^3/3</x:f>
        <x:v>-0.15150332238797778</x:v>
      </x:c>
      <x:c r="E3261" s="85" t="n">
        <x:f>D3261+'Resumen'!$B$5^3/3</x:f>
        <x:v>0.18183001094535553</x:v>
      </x:c>
    </x:row>
    <x:row r="3262">
      <x:c r="A3262" s="89" t="n">
        <x:v>3260</x:v>
      </x:c>
      <x:c r="B3262" s="80" t="n">
        <x:v>-0.15661425199334822</x:v>
      </x:c>
      <x:c r="C3262" s="84" t="n">
        <x:f>SQRT('Resumen'!$B$5^3/3)*B3262</x:f>
        <x:v>-0.09042128054729147</x:v>
      </x:c>
      <x:c r="D3262" s="84" t="n">
        <x:f>C3262^2-'Resumen'!$B$5^3/3</x:f>
        <x:v>-0.32515732535752134</x:v>
      </x:c>
      <x:c r="E3262" s="85" t="n">
        <x:f>D3262+'Resumen'!$B$5^3/3</x:f>
        <x:v>0.008176007975811972</x:v>
      </x:c>
    </x:row>
    <x:row r="3263">
      <x:c r="A3263" s="89" t="n">
        <x:v>3261</x:v>
      </x:c>
      <x:c r="B3263" s="80" t="n">
        <x:v>1.4510559220518762</x:v>
      </x:c>
      <x:c r="C3263" s="84" t="n">
        <x:f>SQRT('Resumen'!$B$5^3/3)*B3263</x:f>
        <x:v>0.8377675272058512</x:v>
      </x:c>
      <x:c r="D3263" s="84" t="n">
        <x:f>C3263^2-'Resumen'!$B$5^3/3</x:f>
        <x:v>0.3685210963072734</x:v>
      </x:c>
      <x:c r="E3263" s="85" t="n">
        <x:f>D3263+'Resumen'!$B$5^3/3</x:f>
        <x:v>0.7018544296406067</x:v>
      </x:c>
    </x:row>
    <x:row r="3264">
      <x:c r="A3264" s="89" t="n">
        <x:v>3262</x:v>
      </x:c>
      <x:c r="B3264" s="80" t="n">
        <x:v>-0.2973319432435218</x:v>
      </x:c>
      <x:c r="C3264" s="84" t="n">
        <x:f>SQRT('Resumen'!$B$5^3/3)*B3264</x:f>
        <x:v>-0.17166467747032182</x:v>
      </x:c>
      <x:c r="D3264" s="84" t="n">
        <x:f>C3264^2-'Resumen'!$B$5^3/3</x:f>
        <x:v>-0.3038645718423437</x:v>
      </x:c>
      <x:c r="E3264" s="85" t="n">
        <x:f>D3264+'Resumen'!$B$5^3/3</x:f>
        <x:v>0.029468761490989592</x:v>
      </x:c>
    </x:row>
    <x:row r="3265">
      <x:c r="A3265" s="89" t="n">
        <x:v>3263</x:v>
      </x:c>
      <x:c r="B3265" s="80" t="n">
        <x:v>-0.3076590273908037</x:v>
      </x:c>
      <x:c r="C3265" s="84" t="n">
        <x:f>SQRT('Resumen'!$B$5^3/3)*B3265</x:f>
        <x:v>-0.17762702228269894</x:v>
      </x:c>
      <x:c r="D3265" s="84" t="n">
        <x:f>C3265^2-'Resumen'!$B$5^3/3</x:f>
        <x:v>-0.3017819742883149</x:v>
      </x:c>
      <x:c r="E3265" s="85" t="n">
        <x:f>D3265+'Resumen'!$B$5^3/3</x:f>
        <x:v>0.031551359045018434</x:v>
      </x:c>
    </x:row>
    <x:row r="3266">
      <x:c r="A3266" s="89" t="n">
        <x:v>3264</x:v>
      </x:c>
      <x:c r="B3266" s="80" t="n">
        <x:v>-0.9606455770054814</x:v>
      </x:c>
      <x:c r="C3266" s="84" t="n">
        <x:f>SQRT('Resumen'!$B$5^3/3)*B3266</x:f>
        <x:v>-0.554628982479938</x:v>
      </x:c>
      <x:c r="D3266" s="84" t="n">
        <x:f>C3266^2-'Resumen'!$B$5^3/3</x:f>
        <x:v>-0.025720025126601986</x:v>
      </x:c>
      <x:c r="E3266" s="85" t="n">
        <x:f>D3266+'Resumen'!$B$5^3/3</x:f>
        <x:v>0.30761330820673133</x:v>
      </x:c>
    </x:row>
    <x:row r="3267">
      <x:c r="A3267" s="89" t="n">
        <x:v>3265</x:v>
      </x:c>
      <x:c r="B3267" s="80" t="n">
        <x:v>-1.137686526582714</x:v>
      </x:c>
      <x:c r="C3267" s="84" t="n">
        <x:f>SQRT('Resumen'!$B$5^3/3)*B3267</x:f>
        <x:v>-0.6568436223759403</x:v>
      </x:c>
      <x:c r="D3267" s="84" t="n">
        <x:f>C3267^2-'Resumen'!$B$5^3/3</x:f>
        <x:v>0.09811021092261352</x:v>
      </x:c>
      <x:c r="E3267" s="85" t="n">
        <x:f>D3267+'Resumen'!$B$5^3/3</x:f>
        <x:v>0.43144354425594683</x:v>
      </x:c>
    </x:row>
    <x:row r="3268">
      <x:c r="A3268" s="89" t="n">
        <x:v>3266</x:v>
      </x:c>
      <x:c r="B3268" s="80" t="n">
        <x:v>2.011949727599904</x:v>
      </x:c>
      <x:c r="C3268" s="84" t="n">
        <x:f>SQRT('Resumen'!$B$5^3/3)*B3268</x:f>
        <x:v>1.1615997168257988</x:v>
      </x:c>
      <x:c r="D3268" s="84" t="n">
        <x:f>C3268^2-'Resumen'!$B$5^3/3</x:f>
        <x:v>1.0159805687964427</x:v>
      </x:c>
      <x:c r="E3268" s="85" t="n">
        <x:f>D3268+'Resumen'!$B$5^3/3</x:f>
        <x:v>1.349313902129776</x:v>
      </x:c>
    </x:row>
    <x:row r="3269">
      <x:c r="A3269" s="89" t="n">
        <x:v>3267</x:v>
      </x:c>
      <x:c r="B3269" s="80" t="n">
        <x:v>-1.7100127067271191</x:v>
      </x:c>
      <x:c r="C3269" s="84" t="n">
        <x:f>SQRT('Resumen'!$B$5^3/3)*B3269</x:f>
        <x:v>-0.9872762965465828</x:v>
      </x:c>
      <x:c r="D3269" s="84" t="n">
        <x:f>C3269^2-'Resumen'!$B$5^3/3</x:f>
        <x:v>0.6413811523894026</x:v>
      </x:c>
      <x:c r="E3269" s="85" t="n">
        <x:f>D3269+'Resumen'!$B$5^3/3</x:f>
        <x:v>0.9747144857227359</x:v>
      </x:c>
    </x:row>
    <x:row r="3270">
      <x:c r="A3270" s="89" t="n">
        <x:v>3268</x:v>
      </x:c>
      <x:c r="B3270" s="80" t="n">
        <x:v>1.199276101044031</x:v>
      </x:c>
      <x:c r="C3270" s="84" t="n">
        <x:f>SQRT('Resumen'!$B$5^3/3)*B3270</x:f>
        <x:v>0.692402379770456</x:v>
      </x:c>
      <x:c r="D3270" s="84" t="n">
        <x:f>C3270^2-'Resumen'!$B$5^3/3</x:f>
        <x:v>0.1460877221784575</x:v>
      </x:c>
      <x:c r="E3270" s="85" t="n">
        <x:f>D3270+'Resumen'!$B$5^3/3</x:f>
        <x:v>0.4794210555117908</x:v>
      </x:c>
    </x:row>
    <x:row r="3271">
      <x:c r="A3271" s="89" t="n">
        <x:v>3269</x:v>
      </x:c>
      <x:c r="B3271" s="80" t="n">
        <x:v>0.8987772664318036</x:v>
      </x:c>
      <x:c r="C3271" s="84" t="n">
        <x:f>SQRT('Resumen'!$B$5^3/3)*B3271</x:f>
        <x:v>0.5189092967159178</x:v>
      </x:c>
      <x:c r="D3271" s="84" t="n">
        <x:f>C3271^2-'Resumen'!$B$5^3/3</x:f>
        <x:v>-0.06406647511512492</x:v>
      </x:c>
      <x:c r="E3271" s="85" t="n">
        <x:f>D3271+'Resumen'!$B$5^3/3</x:f>
        <x:v>0.2692668582182084</x:v>
      </x:c>
    </x:row>
    <x:row r="3272">
      <x:c r="A3272" s="89" t="n">
        <x:v>3270</x:v>
      </x:c>
      <x:c r="B3272" s="80" t="n">
        <x:v>-0.23358351978165767</x:v>
      </x:c>
      <x:c r="C3272" s="84" t="n">
        <x:f>SQRT('Resumen'!$B$5^3/3)*B3272</x:f>
        <x:v>-0.13485950802420033</x:v>
      </x:c>
      <x:c r="D3272" s="84" t="n">
        <x:f>C3272^2-'Resumen'!$B$5^3/3</x:f>
        <x:v>-0.31514624642880396</x:v>
      </x:c>
      <x:c r="E3272" s="85" t="n">
        <x:f>D3272+'Resumen'!$B$5^3/3</x:f>
        <x:v>0.01818708690452936</x:v>
      </x:c>
    </x:row>
    <x:row r="3273">
      <x:c r="A3273" s="89" t="n">
        <x:v>3271</x:v>
      </x:c>
      <x:c r="B3273" s="80" t="n">
        <x:v>-0.32206533087956424</x:v>
      </x:c>
      <x:c r="C3273" s="84" t="n">
        <x:f>SQRT('Resumen'!$B$5^3/3)*B3273</x:f>
        <x:v>-0.1859445054799623</x:v>
      </x:c>
      <x:c r="D3273" s="84" t="n">
        <x:f>C3273^2-'Resumen'!$B$5^3/3</x:f>
        <x:v>-0.2987579742151456</x:v>
      </x:c>
      <x:c r="E3273" s="85" t="n">
        <x:f>D3273+'Resumen'!$B$5^3/3</x:f>
        <x:v>0.03457535911818771</x:v>
      </x:c>
    </x:row>
    <x:row r="3274">
      <x:c r="A3274" s="89" t="n">
        <x:v>3272</x:v>
      </x:c>
      <x:c r="B3274" s="80" t="n">
        <x:v>-0.3144441053814197</x:v>
      </x:c>
      <x:c r="C3274" s="84" t="n">
        <x:f>SQRT('Resumen'!$B$5^3/3)*B3274</x:f>
        <x:v>-0.1815443888870537</x:v>
      </x:c>
      <x:c r="D3274" s="84" t="n">
        <x:f>C3274^2-'Resumen'!$B$5^3/3</x:f>
        <x:v>-0.3003749681969595</x:v>
      </x:c>
      <x:c r="E3274" s="85" t="n">
        <x:f>D3274+'Resumen'!$B$5^3/3</x:f>
        <x:v>0.03295836513637379</x:v>
      </x:c>
    </x:row>
    <x:row r="3275">
      <x:c r="A3275" s="89" t="n">
        <x:v>3273</x:v>
      </x:c>
      <x:c r="B3275" s="80" t="n">
        <x:v>-0.021445085712996668</x:v>
      </x:c>
      <x:c r="C3275" s="84" t="n">
        <x:f>SQRT('Resumen'!$B$5^3/3)*B3275</x:f>
        <x:v>-0.012381326009193222</x:v>
      </x:c>
      <x:c r="D3275" s="84" t="n">
        <x:f>C3275^2-'Resumen'!$B$5^3/3</x:f>
        <x:v>-0.3331800360995874</x:v>
      </x:c>
      <x:c r="E3275" s="85" t="n">
        <x:f>D3275+'Resumen'!$B$5^3/3</x:f>
        <x:v>0.0001532972337459082</x:v>
      </x:c>
    </x:row>
    <x:row r="3276">
      <x:c r="A3276" s="89" t="n">
        <x:v>3274</x:v>
      </x:c>
      <x:c r="B3276" s="80" t="n">
        <x:v>-0.10782723817246974</x:v>
      </x:c>
      <x:c r="C3276" s="84" t="n">
        <x:f>SQRT('Resumen'!$B$5^3/3)*B3276</x:f>
        <x:v>-0.062254084984849294</x:v>
      </x:c>
      <x:c r="D3276" s="84" t="n">
        <x:f>C3276^2-'Resumen'!$B$5^3/3</x:f>
        <x:v>-0.32945776223603246</x:v>
      </x:c>
      <x:c r="E3276" s="85" t="n">
        <x:f>D3276+'Resumen'!$B$5^3/3</x:f>
        <x:v>0.003875571097300856</x:v>
      </x:c>
    </x:row>
    <x:row r="3277">
      <x:c r="A3277" s="89" t="n">
        <x:v>3275</x:v>
      </x:c>
      <x:c r="B3277" s="80" t="n">
        <x:v>-0.23186377867423325</x:v>
      </x:c>
      <x:c r="C3277" s="84" t="n">
        <x:f>SQRT('Resumen'!$B$5^3/3)*B3277</x:f>
        <x:v>-0.13386661503289238</x:v>
      </x:c>
      <x:c r="D3277" s="84" t="n">
        <x:f>C3277^2-'Resumen'!$B$5^3/3</x:f>
        <x:v>-0.3154130627129687</x:v>
      </x:c>
      <x:c r="E3277" s="85" t="n">
        <x:f>D3277+'Resumen'!$B$5^3/3</x:f>
        <x:v>0.01792027062036461</x:v>
      </x:c>
    </x:row>
    <x:row r="3278">
      <x:c r="A3278" s="89" t="n">
        <x:v>3276</x:v>
      </x:c>
      <x:c r="B3278" s="80" t="n">
        <x:v>0.16289984416617412</x:v>
      </x:c>
      <x:c r="C3278" s="84" t="n">
        <x:f>SQRT('Resumen'!$B$5^3/3)*B3278</x:f>
        <x:v>0.09405026888028871</x:v>
      </x:c>
      <x:c r="D3278" s="84" t="n">
        <x:f>C3278^2-'Resumen'!$B$5^3/3</x:f>
        <x:v>-0.3244878802568787</x:v>
      </x:c>
      <x:c r="E3278" s="85" t="n">
        <x:f>D3278+'Resumen'!$B$5^3/3</x:f>
        <x:v>0.008845453076454624</x:v>
      </x:c>
    </x:row>
    <x:row r="3279">
      <x:c r="A3279" s="89" t="n">
        <x:v>3277</x:v>
      </x:c>
      <x:c r="B3279" s="80" t="n">
        <x:v>-0.34194850206670757</x:v>
      </x:c>
      <x:c r="C3279" s="84" t="n">
        <x:f>SQRT('Resumen'!$B$5^3/3)*B3279</x:f>
        <x:v>-0.1974240597172029</x:v>
      </x:c>
      <x:c r="D3279" s="84" t="n">
        <x:f>C3279^2-'Resumen'!$B$5^3/3</x:f>
        <x:v>-0.2943570739781116</x:v>
      </x:c>
      <x:c r="E3279" s="85" t="n">
        <x:f>D3279+'Resumen'!$B$5^3/3</x:f>
        <x:v>0.0389762593552217</x:v>
      </x:c>
    </x:row>
    <x:row r="3280">
      <x:c r="A3280" s="89" t="n">
        <x:v>3278</x:v>
      </x:c>
      <x:c r="B3280" s="80" t="n">
        <x:v>-0.4180617849559668</x:v>
      </x:c>
      <x:c r="C3280" s="84" t="n">
        <x:f>SQRT('Resumen'!$B$5^3/3)*B3280</x:f>
        <x:v>-0.24136808408222285</x:v>
      </x:c>
      <x:c r="D3280" s="84" t="n">
        <x:f>C3280^2-'Resumen'!$B$5^3/3</x:f>
        <x:v>-0.27507478131981034</x:v>
      </x:c>
      <x:c r="E3280" s="85" t="n">
        <x:f>D3280+'Resumen'!$B$5^3/3</x:f>
        <x:v>0.05825855201352298</x:v>
      </x:c>
    </x:row>
    <x:row r="3281">
      <x:c r="A3281" s="89" t="n">
        <x:v>3279</x:v>
      </x:c>
      <x:c r="B3281" s="80" t="n">
        <x:v>-0.11682820224848475</x:v>
      </x:c>
      <x:c r="C3281" s="84" t="n">
        <x:f>SQRT('Resumen'!$B$5^3/3)*B3281</x:f>
        <x:v>-0.06745079401710272</x:v>
      </x:c>
      <x:c r="D3281" s="84" t="n">
        <x:f>C3281^2-'Resumen'!$B$5^3/3</x:f>
        <x:v>-0.3287837237197957</x:v>
      </x:c>
      <x:c r="E3281" s="85" t="n">
        <x:f>D3281+'Resumen'!$B$5^3/3</x:f>
        <x:v>0.00454960961353762</x:v>
      </x:c>
    </x:row>
    <x:row r="3282">
      <x:c r="A3282" s="89" t="n">
        <x:v>3280</x:v>
      </x:c>
      <x:c r="B3282" s="80" t="n">
        <x:v>0.3338720404566546</x:v>
      </x:c>
      <x:c r="C3282" s="84" t="n">
        <x:f>SQRT('Resumen'!$B$5^3/3)*B3282</x:f>
        <x:v>0.19276111243253913</x:v>
      </x:c>
      <x:c r="D3282" s="84" t="n">
        <x:f>C3282^2-'Resumen'!$B$5^3/3</x:f>
        <x:v>-0.2961764868671033</x:v>
      </x:c>
      <x:c r="E3282" s="85" t="n">
        <x:f>D3282+'Resumen'!$B$5^3/3</x:f>
        <x:v>0.03715684646623002</x:v>
      </x:c>
    </x:row>
    <x:row r="3283">
      <x:c r="A3283" s="89" t="n">
        <x:v>3281</x:v>
      </x:c>
      <x:c r="B3283" s="80" t="n">
        <x:v>0.08176758113831062</x:v>
      </x:c>
      <x:c r="C3283" s="84" t="n">
        <x:f>SQRT('Resumen'!$B$5^3/3)*B3283</x:f>
        <x:v>0.0472085349811882</x:v>
      </x:c>
      <x:c r="D3283" s="84" t="n">
        <x:f>C3283^2-'Resumen'!$B$5^3/3</x:f>
        <x:v>-0.3311046875582632</x:v>
      </x:c>
      <x:c r="E3283" s="85" t="n">
        <x:f>D3283+'Resumen'!$B$5^3/3</x:f>
        <x:v>0.0022286457750700928</x:v>
      </x:c>
    </x:row>
    <x:row r="3284">
      <x:c r="A3284" s="89" t="n">
        <x:v>3282</x:v>
      </x:c>
      <x:c r="B3284" s="80" t="n">
        <x:v>1.386103347259338</x:v>
      </x:c>
      <x:c r="C3284" s="84" t="n">
        <x:f>SQRT('Resumen'!$B$5^3/3)*B3284</x:f>
        <x:v>0.8002671406648201</x:v>
      </x:c>
      <x:c r="D3284" s="84" t="n">
        <x:f>C3284^2-'Resumen'!$B$5^3/3</x:f>
        <x:v>0.3070941630945136</x:v>
      </x:c>
      <x:c r="E3284" s="85" t="n">
        <x:f>D3284+'Resumen'!$B$5^3/3</x:f>
        <x:v>0.6404274964278469</x:v>
      </x:c>
    </x:row>
    <x:row r="3285">
      <x:c r="A3285" s="89" t="n">
        <x:v>3283</x:v>
      </x:c>
      <x:c r="B3285" s="80" t="n">
        <x:v>3.0090222767002963</x:v>
      </x:c>
      <x:c r="C3285" s="84" t="n">
        <x:f>SQRT('Resumen'!$B$5^3/3)*B3285</x:f>
        <x:v>1.7372598214504966</x:v>
      </x:c>
      <x:c r="D3285" s="84" t="n">
        <x:f>C3285^2-'Resumen'!$B$5^3/3</x:f>
        <x:v>2.684738353892878</x:v>
      </x:c>
      <x:c r="E3285" s="85" t="n">
        <x:f>D3285+'Resumen'!$B$5^3/3</x:f>
        <x:v>3.0180716872262114</x:v>
      </x:c>
    </x:row>
    <x:row r="3286">
      <x:c r="A3286" s="89" t="n">
        <x:v>3284</x:v>
      </x:c>
      <x:c r="B3286" s="80" t="n">
        <x:v>-0.9644699825689069</x:v>
      </x:c>
      <x:c r="C3286" s="84" t="n">
        <x:f>SQRT('Resumen'!$B$5^3/3)*B3286</x:f>
        <x:v>-0.5568370040614721</x:v>
      </x:c>
      <x:c r="D3286" s="84" t="n">
        <x:f>C3286^2-'Resumen'!$B$5^3/3</x:f>
        <x:v>-0.023265884241177426</x:v>
      </x:c>
      <x:c r="E3286" s="85" t="n">
        <x:f>D3286+'Resumen'!$B$5^3/3</x:f>
        <x:v>0.3100674490921559</x:v>
      </x:c>
    </x:row>
    <x:row r="3287">
      <x:c r="A3287" s="89" t="n">
        <x:v>3285</x:v>
      </x:c>
      <x:c r="B3287" s="80" t="n">
        <x:v>-0.11454799257974287</x:v>
      </x:c>
      <x:c r="C3287" s="84" t="n">
        <x:f>SQRT('Resumen'!$B$5^3/3)*B3287</x:f>
        <x:v>-0.06613431435104579</x:v>
      </x:c>
      <x:c r="D3287" s="84" t="n">
        <x:f>C3287^2-'Resumen'!$B$5^3/3</x:f>
        <x:v>-0.32895958579865037</x:v>
      </x:c>
      <x:c r="E3287" s="85" t="n">
        <x:f>D3287+'Resumen'!$B$5^3/3</x:f>
        <x:v>0.004373747534682948</x:v>
      </x:c>
    </x:row>
    <x:row r="3288">
      <x:c r="A3288" s="89" t="n">
        <x:v>3286</x:v>
      </x:c>
      <x:c r="B3288" s="80" t="n">
        <x:v>0.23763134074864387</x:v>
      </x:c>
      <x:c r="C3288" s="84" t="n">
        <x:f>SQRT('Resumen'!$B$5^3/3)*B3288</x:f>
        <x:v>0.1371965185491212</x:v>
      </x:c>
      <x:c r="D3288" s="84" t="n">
        <x:f>C3288^2-'Resumen'!$B$5^3/3</x:f>
        <x:v>-0.3145104486313339</x:v>
      </x:c>
      <x:c r="E3288" s="85" t="n">
        <x:f>D3288+'Resumen'!$B$5^3/3</x:f>
        <x:v>0.018822884701999387</x:v>
      </x:c>
    </x:row>
    <x:row r="3289">
      <x:c r="A3289" s="89" t="n">
        <x:v>3287</x:v>
      </x:c>
      <x:c r="B3289" s="80" t="n">
        <x:v>0.26085091476577005</x:v>
      </x:c>
      <x:c r="C3289" s="84" t="n">
        <x:f>SQRT('Resumen'!$B$5^3/3)*B3289</x:f>
        <x:v>0.15060234585837745</x:v>
      </x:c>
      <x:c r="D3289" s="84" t="n">
        <x:f>C3289^2-'Resumen'!$B$5^3/3</x:f>
        <x:v>-0.31065226675528695</x:v>
      </x:c>
      <x:c r="E3289" s="85" t="n">
        <x:f>D3289+'Resumen'!$B$5^3/3</x:f>
        <x:v>0.02268106657804636</x:v>
      </x:c>
    </x:row>
    <x:row r="3290">
      <x:c r="A3290" s="89" t="n">
        <x:v>3288</x:v>
      </x:c>
      <x:c r="B3290" s="80" t="n">
        <x:v>-0.884201421683223</x:v>
      </x:c>
      <x:c r="C3290" s="84" t="n">
        <x:f>SQRT('Resumen'!$B$5^3/3)*B3290</x:f>
        <x:v>-0.5104939288266586</x:v>
      </x:c>
      <x:c r="D3290" s="84" t="n">
        <x:f>C3290^2-'Resumen'!$B$5^3/3</x:f>
        <x:v>-0.07272928196445577</x:v>
      </x:c>
      <x:c r="E3290" s="85" t="n">
        <x:f>D3290+'Resumen'!$B$5^3/3</x:f>
        <x:v>0.26060405136887754</x:v>
      </x:c>
    </x:row>
    <x:row r="3291">
      <x:c r="A3291" s="89" t="n">
        <x:v>3289</x:v>
      </x:c>
      <x:c r="B3291" s="80" t="n">
        <x:v>0.4850205180510689</x:v>
      </x:c>
      <x:c r="C3291" s="84" t="n">
        <x:f>SQRT('Resumen'!$B$5^3/3)*B3291</x:f>
        <x:v>0.28002672665927636</x:v>
      </x:c>
      <x:c r="D3291" s="84" t="n">
        <x:f>C3291^2-'Resumen'!$B$5^3/3</x:f>
        <x:v>-0.25491836568982423</x:v>
      </x:c>
      <x:c r="E3291" s="85" t="n">
        <x:f>D3291+'Resumen'!$B$5^3/3</x:f>
        <x:v>0.07841496764350908</x:v>
      </x:c>
    </x:row>
    <x:row r="3292">
      <x:c r="A3292" s="89" t="n">
        <x:v>3290</x:v>
      </x:c>
      <x:c r="B3292" s="80" t="n">
        <x:v>0.8122098133331093</x:v>
      </x:c>
      <x:c r="C3292" s="84" t="n">
        <x:f>SQRT('Resumen'!$B$5^3/3)*B3292</x:f>
        <x:v>0.4689295543663263</x:v>
      </x:c>
      <x:c r="D3292" s="84" t="n">
        <x:f>C3292^2-'Resumen'!$B$5^3/3</x:f>
        <x:v>-0.11343840637513197</x:v>
      </x:c>
      <x:c r="E3292" s="85" t="n">
        <x:f>D3292+'Resumen'!$B$5^3/3</x:f>
        <x:v>0.21989492695820134</x:v>
      </x:c>
    </x:row>
    <x:row r="3293">
      <x:c r="A3293" s="89" t="n">
        <x:v>3291</x:v>
      </x:c>
      <x:c r="B3293" s="80" t="n">
        <x:v>0.9630678870444972</x:v>
      </x:c>
      <x:c r="C3293" s="84" t="n">
        <x:f>SQRT('Resumen'!$B$5^3/3)*B3293</x:f>
        <x:v>0.5560275038330246</x:v>
      </x:c>
      <x:c r="D3293" s="84" t="n">
        <x:f>C3293^2-'Resumen'!$B$5^3/3</x:f>
        <x:v>-0.02416674831454918</x:v>
      </x:c>
      <x:c r="E3293" s="85" t="n">
        <x:f>D3293+'Resumen'!$B$5^3/3</x:f>
        <x:v>0.30916658501878413</x:v>
      </x:c>
    </x:row>
    <x:row r="3294">
      <x:c r="A3294" s="89" t="n">
        <x:v>3292</x:v>
      </x:c>
      <x:c r="B3294" s="80" t="n">
        <x:v>0.34888818912186587</x:v>
      </x:c>
      <x:c r="C3294" s="84" t="n">
        <x:f>SQRT('Resumen'!$B$5^3/3)*B3294</x:f>
        <x:v>0.2014306899065903</x:v>
      </x:c>
      <x:c r="D3294" s="84" t="n">
        <x:f>C3294^2-'Resumen'!$B$5^3/3</x:f>
        <x:v>-0.29275901049708836</x:v>
      </x:c>
      <x:c r="E3294" s="85" t="n">
        <x:f>D3294+'Resumen'!$B$5^3/3</x:f>
        <x:v>0.04057432283624496</x:v>
      </x:c>
    </x:row>
    <x:row r="3295">
      <x:c r="A3295" s="89" t="n">
        <x:v>3293</x:v>
      </x:c>
      <x:c r="B3295" s="80" t="n">
        <x:v>0.40174096434968043</x:v>
      </x:c>
      <x:c r="C3295" s="84" t="n">
        <x:f>SQRT('Resumen'!$B$5^3/3)*B3295</x:f>
        <x:v>0.23194525391178783</x:v>
      </x:c>
      <x:c r="D3295" s="84" t="n">
        <x:f>C3295^2-'Resumen'!$B$5^3/3</x:f>
        <x:v>-0.2795347325211296</x:v>
      </x:c>
      <x:c r="E3295" s="85" t="n">
        <x:f>D3295+'Resumen'!$B$5^3/3</x:f>
        <x:v>0.05379860081220372</x:v>
      </x:c>
    </x:row>
    <x:row r="3296">
      <x:c r="A3296" s="89" t="n">
        <x:v>3294</x:v>
      </x:c>
      <x:c r="B3296" s="80" t="n">
        <x:v>-1.1694065063153605</x:v>
      </x:c>
      <x:c r="C3296" s="84" t="n">
        <x:f>SQRT('Resumen'!$B$5^3/3)*B3296</x:f>
        <x:v>-0.6751571612132732</x:v>
      </x:c>
      <x:c r="D3296" s="84" t="n">
        <x:f>C3296^2-'Resumen'!$B$5^3/3</x:f>
        <x:v>0.12250385900423244</x:v>
      </x:c>
      <x:c r="E3296" s="85" t="n">
        <x:f>D3296+'Resumen'!$B$5^3/3</x:f>
        <x:v>0.45583719233756576</x:v>
      </x:c>
    </x:row>
    <x:row r="3297">
      <x:c r="A3297" s="89" t="n">
        <x:v>3295</x:v>
      </x:c>
      <x:c r="B3297" s="80" t="n">
        <x:v>-0.3328213540715199</x:v>
      </x:c>
      <x:c r="C3297" s="84" t="n">
        <x:f>SQRT('Resumen'!$B$5^3/3)*B3297</x:f>
        <x:v>-0.19215449836524776</x:v>
      </x:c>
      <x:c r="D3297" s="84" t="n">
        <x:f>C3297^2-'Resumen'!$B$5^3/3</x:f>
        <x:v>-0.2964099820913333</x:v>
      </x:c>
      <x:c r="E3297" s="85" t="n">
        <x:f>D3297+'Resumen'!$B$5^3/3</x:f>
        <x:v>0.036923351242000024</x:v>
      </x:c>
    </x:row>
    <x:row r="3298">
      <x:c r="A3298" s="89" t="n">
        <x:v>3296</x:v>
      </x:c>
      <x:c r="B3298" s="80" t="n">
        <x:v>0.7801308568460587</x:v>
      </x:c>
      <x:c r="C3298" s="84" t="n">
        <x:f>SQRT('Resumen'!$B$5^3/3)*B3298</x:f>
        <x:v>0.45040876020320536</x:v>
      </x:c>
      <x:c r="D3298" s="84" t="n">
        <x:f>C3298^2-'Resumen'!$B$5^3/3</x:f>
        <x:v>-0.13046528206554475</x:v>
      </x:c>
      <x:c r="E3298" s="85" t="n">
        <x:f>D3298+'Resumen'!$B$5^3/3</x:f>
        <x:v>0.20286805126778856</x:v>
      </x:c>
    </x:row>
    <x:row r="3299">
      <x:c r="A3299" s="89" t="n">
        <x:v>3297</x:v>
      </x:c>
      <x:c r="B3299" s="80" t="n">
        <x:v>-1.592905701102347</x:v>
      </x:c>
      <x:c r="C3299" s="84" t="n">
        <x:f>SQRT('Resumen'!$B$5^3/3)*B3299</x:f>
        <x:v>-0.9196645353251296</x:v>
      </x:c>
      <x:c r="D3299" s="84" t="n">
        <x:f>C3299^2-'Resumen'!$B$5^3/3</x:f>
        <x:v>0.5124495242014533</x:v>
      </x:c>
      <x:c r="E3299" s="85" t="n">
        <x:f>D3299+'Resumen'!$B$5^3/3</x:f>
        <x:v>0.8457828575347865</x:v>
      </x:c>
    </x:row>
    <x:row r="3300">
      <x:c r="A3300" s="89" t="n">
        <x:v>3298</x:v>
      </x:c>
      <x:c r="B3300" s="80" t="n">
        <x:v>-0.07630220496784318</x:v>
      </x:c>
      <x:c r="C3300" s="84" t="n">
        <x:f>SQRT('Resumen'!$B$5^3/3)*B3300</x:f>
        <x:v>-0.04405309857794626</x:v>
      </x:c>
      <x:c r="D3300" s="84" t="n">
        <x:f>C3300^2-'Resumen'!$B$5^3/3</x:f>
        <x:v>-0.33139265783901506</x:v>
      </x:c>
      <x:c r="E3300" s="85" t="n">
        <x:f>D3300+'Resumen'!$B$5^3/3</x:f>
        <x:v>0.0019406754943182558</x:v>
      </x:c>
    </x:row>
    <x:row r="3301">
      <x:c r="A3301" s="89" t="n">
        <x:v>3299</x:v>
      </x:c>
      <x:c r="B3301" s="80" t="n">
        <x:v>-0.9454380208291311</x:v>
      </x:c>
      <x:c r="C3301" s="84" t="n">
        <x:f>SQRT('Resumen'!$B$5^3/3)*B3301</x:f>
        <x:v>-0.5458488958278058</x:v>
      </x:c>
      <x:c r="D3301" s="84" t="n">
        <x:f>C3301^2-'Resumen'!$B$5^3/3</x:f>
        <x:v>-0.03538231625689853</x:v>
      </x:c>
      <x:c r="E3301" s="85" t="n">
        <x:f>D3301+'Resumen'!$B$5^3/3</x:f>
        <x:v>0.2979510170764348</x:v>
      </x:c>
    </x:row>
    <x:row r="3302">
      <x:c r="A3302" s="89" t="n">
        <x:v>3300</x:v>
      </x:c>
      <x:c r="B3302" s="80" t="n">
        <x:v>-1.2330985507195944</x:v>
      </x:c>
      <x:c r="C3302" s="84" t="n">
        <x:f>SQRT('Resumen'!$B$5^3/3)*B3302</x:f>
        <x:v>-0.7119297801952952</x:v>
      </x:c>
      <x:c r="D3302" s="84" t="n">
        <x:f>C3302^2-'Resumen'!$B$5^3/3</x:f>
        <x:v>0.17351067859558794</x:v>
      </x:c>
      <x:c r="E3302" s="85" t="n">
        <x:f>D3302+'Resumen'!$B$5^3/3</x:f>
        <x:v>0.5068440119289213</x:v>
      </x:c>
    </x:row>
    <x:row r="3303">
      <x:c r="A3303" s="89" t="n">
        <x:v>3301</x:v>
      </x:c>
      <x:c r="B3303" s="80" t="n">
        <x:v>0.21823828976593262</x:v>
      </x:c>
      <x:c r="C3303" s="84" t="n">
        <x:f>SQRT('Resumen'!$B$5^3/3)*B3303</x:f>
        <x:v>0.12599993534384474</x:v>
      </x:c>
      <x:c r="D3303" s="84" t="n">
        <x:f>C3303^2-'Resumen'!$B$5^3/3</x:f>
        <x:v>-0.31745734962668026</x:v>
      </x:c>
      <x:c r="E3303" s="85" t="n">
        <x:f>D3303+'Resumen'!$B$5^3/3</x:f>
        <x:v>0.015875983706653052</x:v>
      </x:c>
    </x:row>
    <x:row r="3304">
      <x:c r="A3304" s="89" t="n">
        <x:v>3302</x:v>
      </x:c>
      <x:c r="B3304" s="80" t="n">
        <x:v>-1.8528881387738154</x:v>
      </x:c>
      <x:c r="C3304" s="84" t="n">
        <x:f>SQRT('Resumen'!$B$5^3/3)*B3304</x:f>
        <x:v>-1.069765465699327</x:v>
      </x:c>
      <x:c r="D3304" s="84" t="n">
        <x:f>C3304^2-'Resumen'!$B$5^3/3</x:f>
        <x:v>0.8110648182695646</x:v>
      </x:c>
      <x:c r="E3304" s="85" t="n">
        <x:f>D3304+'Resumen'!$B$5^3/3</x:f>
        <x:v>1.1443981516028978</x:v>
      </x:c>
    </x:row>
    <x:row r="3305">
      <x:c r="A3305" s="89" t="n">
        <x:v>3303</x:v>
      </x:c>
      <x:c r="B3305" s="80" t="n">
        <x:v>0.18766105496522617</x:v>
      </x:c>
      <x:c r="C3305" s="84" t="n">
        <x:f>SQRT('Resumen'!$B$5^3/3)*B3305</x:f>
        <x:v>0.10834616060058248</x:v>
      </x:c>
      <x:c r="D3305" s="84" t="n">
        <x:f>C3305^2-'Resumen'!$B$5^3/3</x:f>
        <x:v>-0.3215944428164461</x:v>
      </x:c>
      <x:c r="E3305" s="85" t="n">
        <x:f>D3305+'Resumen'!$B$5^3/3</x:f>
        <x:v>0.011738890516887202</x:v>
      </x:c>
    </x:row>
    <x:row r="3306">
      <x:c r="A3306" s="89" t="n">
        <x:v>3304</x:v>
      </x:c>
      <x:c r="B3306" s="80" t="n">
        <x:v>-0.1760558415801477</x:v>
      </x:c>
      <x:c r="C3306" s="84" t="n">
        <x:f>SQRT('Resumen'!$B$5^3/3)*B3306</x:f>
        <x:v>-0.10164588752870438</x:v>
      </x:c>
      <x:c r="D3306" s="84" t="n">
        <x:f>C3306^2-'Resumen'!$B$5^3/3</x:f>
        <x:v>-0.3230014468818353</x:v>
      </x:c>
      <x:c r="E3306" s="85" t="n">
        <x:f>D3306+'Resumen'!$B$5^3/3</x:f>
        <x:v>0.010331886451498018</x:v>
      </x:c>
    </x:row>
    <x:row r="3307">
      <x:c r="A3307" s="89" t="n">
        <x:v>3305</x:v>
      </x:c>
      <x:c r="B3307" s="80" t="n">
        <x:v>-1.6413925049473237</x:v>
      </x:c>
      <x:c r="C3307" s="84" t="n">
        <x:f>SQRT('Resumen'!$B$5^3/3)*B3307</x:f>
        <x:v>-0.9476584045771714</x:v>
      </x:c>
      <x:c r="D3307" s="84" t="n">
        <x:f>C3307^2-'Resumen'!$B$5^3/3</x:f>
        <x:v>0.5647231184324166</x:v>
      </x:c>
      <x:c r="E3307" s="85" t="n">
        <x:f>D3307+'Resumen'!$B$5^3/3</x:f>
        <x:v>0.8980564517657499</x:v>
      </x:c>
    </x:row>
    <x:row r="3308">
      <x:c r="A3308" s="89" t="n">
        <x:v>3306</x:v>
      </x:c>
      <x:c r="B3308" s="80" t="n">
        <x:v>-0.773470317538301</x:v>
      </x:c>
      <x:c r="C3308" s="84" t="n">
        <x:f>SQRT('Resumen'!$B$5^3/3)*B3308</x:f>
        <x:v>-0.4465632960409234</x:v>
      </x:c>
      <x:c r="D3308" s="84" t="n">
        <x:f>C3308^2-'Resumen'!$B$5^3/3</x:f>
        <x:v>-0.13391455596239996</x:v>
      </x:c>
      <x:c r="E3308" s="85" t="n">
        <x:f>D3308+'Resumen'!$B$5^3/3</x:f>
        <x:v>0.19941877737093336</x:v>
      </x:c>
    </x:row>
    <x:row r="3309">
      <x:c r="A3309" s="89" t="n">
        <x:v>3307</x:v>
      </x:c>
      <x:c r="B3309" s="80" t="n">
        <x:v>-0.8210438096251991</x:v>
      </x:c>
      <x:c r="C3309" s="84" t="n">
        <x:f>SQRT('Resumen'!$B$5^3/3)*B3309</x:f>
        <x:v>-0.47402986450358453</x:v>
      </x:c>
      <x:c r="D3309" s="84" t="n">
        <x:f>C3309^2-'Resumen'!$B$5^3/3</x:f>
        <x:v>-0.1086290208920466</x:v>
      </x:c>
      <x:c r="E3309" s="85" t="n">
        <x:f>D3309+'Resumen'!$B$5^3/3</x:f>
        <x:v>0.22470431244128672</x:v>
      </x:c>
    </x:row>
    <x:row r="3310">
      <x:c r="A3310" s="89" t="n">
        <x:v>3308</x:v>
      </x:c>
      <x:c r="B3310" s="80" t="n">
        <x:v>-0.35992794810911766</x:v>
      </x:c>
      <x:c r="C3310" s="84" t="n">
        <x:f>SQRT('Resumen'!$B$5^3/3)*B3310</x:f>
        <x:v>-0.20780449772966872</x:v>
      </x:c>
      <x:c r="D3310" s="84" t="n">
        <x:f>C3310^2-'Resumen'!$B$5^3/3</x:f>
        <x:v>-0.29015062405665343</x:v>
      </x:c>
      <x:c r="E3310" s="85" t="n">
        <x:f>D3310+'Resumen'!$B$5^3/3</x:f>
        <x:v>0.04318270927667989</x:v>
      </x:c>
    </x:row>
    <x:row r="3311">
      <x:c r="A3311" s="89" t="n">
        <x:v>3309</x:v>
      </x:c>
      <x:c r="B3311" s="80" t="n">
        <x:v>0.8841192235695985</x:v>
      </x:c>
      <x:c r="C3311" s="84" t="n">
        <x:f>SQRT('Resumen'!$B$5^3/3)*B3311</x:f>
        <x:v>0.5104464717236306</x:v>
      </x:c>
      <x:c r="D3311" s="84" t="n">
        <x:f>C3311^2-'Resumen'!$B$5^3/3</x:f>
        <x:v>-0.07277773283823014</x:v>
      </x:c>
      <x:c r="E3311" s="85" t="n">
        <x:f>D3311+'Resumen'!$B$5^3/3</x:f>
        <x:v>0.2605556004951032</x:v>
      </x:c>
    </x:row>
    <x:row r="3312">
      <x:c r="A3312" s="89" t="n">
        <x:v>3310</x:v>
      </x:c>
      <x:c r="B3312" s="80" t="n">
        <x:v>1.01087213415218</x:v>
      </x:c>
      <x:c r="C3312" s="84" t="n">
        <x:f>SQRT('Resumen'!$B$5^3/3)*B3312</x:f>
        <x:v>0.5836272987690526</x:v>
      </x:c>
      <x:c r="D3312" s="84" t="n">
        <x:f>C3312^2-'Resumen'!$B$5^3/3</x:f>
        <x:v>0.007287490535127672</x:v>
      </x:c>
      <x:c r="E3312" s="85" t="n">
        <x:f>D3312+'Resumen'!$B$5^3/3</x:f>
        <x:v>0.340620823868461</x:v>
      </x:c>
    </x:row>
    <x:row r="3313">
      <x:c r="A3313" s="89" t="n">
        <x:v>3311</x:v>
      </x:c>
      <x:c r="B3313" s="80" t="n">
        <x:v>-0.14015161915769786</x:v>
      </x:c>
      <x:c r="C3313" s="84" t="n">
        <x:f>SQRT('Resumen'!$B$5^3/3)*B3313</x:f>
        <x:v>-0.08091657504805877</x:v>
      </x:c>
      <x:c r="D3313" s="84" t="n">
        <x:f>C3313^2-'Resumen'!$B$5^3/3</x:f>
        <x:v>-0.3267858412158252</x:v>
      </x:c>
      <x:c r="E3313" s="85" t="n">
        <x:f>D3313+'Resumen'!$B$5^3/3</x:f>
        <x:v>0.0065474921175081024</x:v>
      </x:c>
    </x:row>
    <x:row r="3314">
      <x:c r="A3314" s="89" t="n">
        <x:v>3312</x:v>
      </x:c>
      <x:c r="B3314" s="80" t="n">
        <x:v>-1.2870477450192745</x:v>
      </x:c>
      <x:c r="C3314" s="84" t="n">
        <x:f>SQRT('Resumen'!$B$5^3/3)*B3314</x:f>
        <x:v>-0.743077362046779</x:v>
      </x:c>
      <x:c r="D3314" s="84" t="n">
        <x:f>C3314^2-'Resumen'!$B$5^3/3</x:f>
        <x:v>0.21883063265306651</x:v>
      </x:c>
      <x:c r="E3314" s="85" t="n">
        <x:f>D3314+'Resumen'!$B$5^3/3</x:f>
        <x:v>0.5521639659863998</x:v>
      </x:c>
    </x:row>
    <x:row r="3315">
      <x:c r="A3315" s="89" t="n">
        <x:v>3313</x:v>
      </x:c>
      <x:c r="B3315" s="80" t="n">
        <x:v>-1.5542374994478156</x:v>
      </x:c>
      <x:c r="C3315" s="84" t="n">
        <x:f>SQRT('Resumen'!$B$5^3/3)*B3315</x:f>
        <x:v>-0.8973394386908071</x:v>
      </x:c>
      <x:c r="D3315" s="84" t="n">
        <x:f>C3315^2-'Resumen'!$B$5^3/3</x:f>
        <x:v>0.4718847348965995</x:v>
      </x:c>
      <x:c r="E3315" s="85" t="n">
        <x:f>D3315+'Resumen'!$B$5^3/3</x:f>
        <x:v>0.8052180682299328</x:v>
      </x:c>
    </x:row>
    <x:row r="3316">
      <x:c r="A3316" s="89" t="n">
        <x:v>3314</x:v>
      </x:c>
      <x:c r="B3316" s="80" t="n">
        <x:v>-1.4432520496439065</x:v>
      </x:c>
      <x:c r="C3316" s="84" t="n">
        <x:f>SQRT('Resumen'!$B$5^3/3)*B3316</x:f>
        <x:v>-0.8332619593703885</x:v>
      </x:c>
      <x:c r="D3316" s="84" t="n">
        <x:f>C3316^2-'Resumen'!$B$5^3/3</x:f>
        <x:v>0.3609921596004457</x:v>
      </x:c>
      <x:c r="E3316" s="85" t="n">
        <x:f>D3316+'Resumen'!$B$5^3/3</x:f>
        <x:v>0.694325492933779</x:v>
      </x:c>
    </x:row>
    <x:row r="3317">
      <x:c r="A3317" s="89" t="n">
        <x:v>3315</x:v>
      </x:c>
      <x:c r="B3317" s="80" t="n">
        <x:v>-1.3745553682276688</x:v>
      </x:c>
      <x:c r="C3317" s="84" t="n">
        <x:f>SQRT('Resumen'!$B$5^3/3)*B3317</x:f>
        <x:v>-0.7935999118622897</x:v>
      </x:c>
      <x:c r="D3317" s="84" t="n">
        <x:f>C3317^2-'Resumen'!$B$5^3/3</x:f>
        <x:v>0.2964674867745007</x:v>
      </x:c>
      <x:c r="E3317" s="85" t="n">
        <x:f>D3317+'Resumen'!$B$5^3/3</x:f>
        <x:v>0.629800820107834</x:v>
      </x:c>
    </x:row>
    <x:row r="3318">
      <x:c r="A3318" s="89" t="n">
        <x:v>3316</x:v>
      </x:c>
      <x:c r="B3318" s="80" t="n">
        <x:v>-0.146063170478555</x:v>
      </x:c>
      <x:c r="C3318" s="84" t="n">
        <x:f>SQRT('Resumen'!$B$5^3/3)*B3318</x:f>
        <x:v>-0.08432961079448392</x:v>
      </x:c>
      <x:c r="D3318" s="84" t="n">
        <x:f>C3318^2-'Resumen'!$B$5^3/3</x:f>
        <x:v>-0.32622185007658416</x:v>
      </x:c>
      <x:c r="E3318" s="85" t="n">
        <x:f>D3318+'Resumen'!$B$5^3/3</x:f>
        <x:v>0.0071114832567491515</x:v>
      </x:c>
    </x:row>
    <x:row r="3319">
      <x:c r="A3319" s="89" t="n">
        <x:v>3317</x:v>
      </x:c>
      <x:c r="B3319" s="80" t="n">
        <x:v>-0.5392838610221187</x:v>
      </x:c>
      <x:c r="C3319" s="84" t="n">
        <x:f>SQRT('Resumen'!$B$5^3/3)*B3319</x:f>
        <x:v>-0.3113556823307409</x:v>
      </x:c>
      <x:c r="D3319" s="84" t="n">
        <x:f>C3319^2-'Resumen'!$B$5^3/3</x:f>
        <x:v>-0.23639097241369206</x:v>
      </x:c>
      <x:c r="E3319" s="85" t="n">
        <x:f>D3319+'Resumen'!$B$5^3/3</x:f>
        <x:v>0.09694236091964126</x:v>
      </x:c>
    </x:row>
    <x:row r="3320">
      <x:c r="A3320" s="89" t="n">
        <x:v>3318</x:v>
      </x:c>
      <x:c r="B3320" s="80" t="n">
        <x:v>0.4305400529050623</x:v>
      </x:c>
      <x:c r="C3320" s="84" t="n">
        <x:f>SQRT('Resumen'!$B$5^3/3)*B3320</x:f>
        <x:v>0.24857241544165343</x:v>
      </x:c>
      <x:c r="D3320" s="84" t="n">
        <x:f>C3320^2-'Resumen'!$B$5^3/3</x:f>
        <x:v>-0.27154508761483537</x:v>
      </x:c>
      <x:c r="E3320" s="85" t="n">
        <x:f>D3320+'Resumen'!$B$5^3/3</x:f>
        <x:v>0.06178824571849795</x:v>
      </x:c>
    </x:row>
    <x:row r="3321">
      <x:c r="A3321" s="89" t="n">
        <x:v>3319</x:v>
      </x:c>
      <x:c r="B3321" s="80" t="n">
        <x:v>0.13922347015359993</x:v>
      </x:c>
      <x:c r="C3321" s="84" t="n">
        <x:f>SQRT('Resumen'!$B$5^3/3)*B3321</x:f>
        <x:v>0.08038070797069474</x:v>
      </x:c>
      <x:c r="D3321" s="84" t="n">
        <x:f>C3321^2-'Resumen'!$B$5^3/3</x:f>
        <x:v>-0.3268722751194632</x:v>
      </x:c>
      <x:c r="E3321" s="85" t="n">
        <x:f>D3321+'Resumen'!$B$5^3/3</x:f>
        <x:v>0.006461058213870108</x:v>
      </x:c>
    </x:row>
    <x:row r="3322">
      <x:c r="A3322" s="89" t="n">
        <x:v>3320</x:v>
      </x:c>
      <x:c r="B3322" s="80" t="n">
        <x:v>0.8549928410364798</x:v>
      </x:c>
      <x:c r="C3322" s="84" t="n">
        <x:f>SQRT('Resumen'!$B$5^3/3)*B3322</x:f>
        <x:v>0.4936303469276145</x:v>
      </x:c>
      <x:c r="D3322" s="84" t="n">
        <x:f>C3322^2-'Resumen'!$B$5^3/3</x:f>
        <x:v>-0.08966241392545629</x:v>
      </x:c>
      <x:c r="E3322" s="85" t="n">
        <x:f>D3322+'Resumen'!$B$5^3/3</x:f>
        <x:v>0.24367091940787702</x:v>
      </x:c>
    </x:row>
    <x:row r="3323">
      <x:c r="A3323" s="89" t="n">
        <x:v>3321</x:v>
      </x:c>
      <x:c r="B3323" s="80" t="n">
        <x:v>-2.3419991524967956</x:v>
      </x:c>
      <x:c r="C3323" s="84" t="n">
        <x:f>SQRT('Resumen'!$B$5^3/3)*B3323</x:f>
        <x:v>-1.3521538411359002</x:v>
      </x:c>
      <x:c r="D3323" s="84" t="n">
        <x:f>C3323^2-'Resumen'!$B$5^3/3</x:f>
        <x:v>1.494986676765236</x:v>
      </x:c>
      <x:c r="E3323" s="85" t="n">
        <x:f>D3323+'Resumen'!$B$5^3/3</x:f>
        <x:v>1.8283200100985693</x:v>
      </x:c>
    </x:row>
    <x:row r="3324">
      <x:c r="A3324" s="89" t="n">
        <x:v>3322</x:v>
      </x:c>
      <x:c r="B3324" s="80" t="n">
        <x:v>1.6470322015185828</x:v>
      </x:c>
      <x:c r="C3324" s="84" t="n">
        <x:f>SQRT('Resumen'!$B$5^3/3)*B3324</x:f>
        <x:v>0.9509144849107356</x:v>
      </x:c>
      <x:c r="D3324" s="84" t="n">
        <x:f>C3324^2-'Resumen'!$B$5^3/3</x:f>
        <x:v>0.5709050242797162</x:v>
      </x:c>
      <x:c r="E3324" s="85" t="n">
        <x:f>D3324+'Resumen'!$B$5^3/3</x:f>
        <x:v>0.9042383576130495</x:v>
      </x:c>
    </x:row>
    <x:row r="3325">
      <x:c r="A3325" s="89" t="n">
        <x:v>3323</x:v>
      </x:c>
      <x:c r="B3325" s="80" t="n">
        <x:v>-1.7909655957298976</x:v>
      </x:c>
      <x:c r="C3325" s="84" t="n">
        <x:f>SQRT('Resumen'!$B$5^3/3)*B3325</x:f>
        <x:v>-1.0340144688040147</x:v>
      </x:c>
      <x:c r="D3325" s="84" t="n">
        <x:f>C3325^2-'Resumen'!$B$5^3/3</x:f>
        <x:v>0.7358525883627154</x:v>
      </x:c>
      <x:c r="E3325" s="85" t="n">
        <x:f>D3325+'Resumen'!$B$5^3/3</x:f>
        <x:v>1.0691859216960486</x:v>
      </x:c>
    </x:row>
    <x:row r="3326">
      <x:c r="A3326" s="89" t="n">
        <x:v>3324</x:v>
      </x:c>
      <x:c r="B3326" s="80" t="n">
        <x:v>-0.7651686435396934</x:v>
      </x:c>
      <x:c r="C3326" s="84" t="n">
        <x:f>SQRT('Resumen'!$B$5^3/3)*B3326</x:f>
        <x:v>-0.44177032232310276</x:v>
      </x:c>
      <x:c r="D3326" s="84" t="n">
        <x:f>C3326^2-'Resumen'!$B$5^3/3</x:f>
        <x:v>-0.13817231564787522</x:v>
      </x:c>
      <x:c r="E3326" s="85" t="n">
        <x:f>D3326+'Resumen'!$B$5^3/3</x:f>
        <x:v>0.1951610176854581</x:v>
      </x:c>
    </x:row>
    <x:row r="3327">
      <x:c r="A3327" s="89" t="n">
        <x:v>3325</x:v>
      </x:c>
      <x:c r="B3327" s="80" t="n">
        <x:v>-0.23448013638498397</x:v>
      </x:c>
      <x:c r="C3327" s="84" t="n">
        <x:f>SQRT('Resumen'!$B$5^3/3)*B3327</x:f>
        <x:v>-0.13537716986149065</x:v>
      </x:c>
      <x:c r="D3327" s="84" t="n">
        <x:f>C3327^2-'Resumen'!$B$5^3/3</x:f>
        <x:v>-0.3150063552136264</x:v>
      </x:c>
      <x:c r="E3327" s="85" t="n">
        <x:f>D3327+'Resumen'!$B$5^3/3</x:f>
        <x:v>0.018326978119706905</x:v>
      </x:c>
    </x:row>
    <x:row r="3328">
      <x:c r="A3328" s="89" t="n">
        <x:v>3326</x:v>
      </x:c>
      <x:c r="B3328" s="80" t="n">
        <x:v>0.0785103065478114</x:v>
      </x:c>
      <x:c r="C3328" s="84" t="n">
        <x:f>SQRT('Resumen'!$B$5^3/3)*B3328</x:f>
        <x:v>0.04532794661953894</x:v>
      </x:c>
      <x:c r="D3328" s="84" t="n">
        <x:f>C3328^2-'Resumen'!$B$5^3/3</x:f>
        <x:v>-0.33127871058858954</x:v>
      </x:c>
      <x:c r="E3328" s="85" t="n">
        <x:f>D3328+'Resumen'!$B$5^3/3</x:f>
        <x:v>0.0020546227447437726</x:v>
      </x:c>
    </x:row>
    <x:row r="3329">
      <x:c r="A3329" s="89" t="n">
        <x:v>3327</x:v>
      </x:c>
      <x:c r="B3329" s="80" t="n">
        <x:v>0.2912623399171903</x:v>
      </x:c>
      <x:c r="C3329" s="84" t="n">
        <x:f>SQRT('Resumen'!$B$5^3/3)*B3329</x:f>
        <x:v>0.1681603903559901</x:v>
      </x:c>
      <x:c r="D3329" s="84" t="n">
        <x:f>C3329^2-'Resumen'!$B$5^3/3</x:f>
        <x:v>-0.30505541644865436</x:v>
      </x:c>
      <x:c r="E3329" s="85" t="n">
        <x:f>D3329+'Resumen'!$B$5^3/3</x:f>
        <x:v>0.028277916884678955</x:v>
      </x:c>
    </x:row>
    <x:row r="3330">
      <x:c r="A3330" s="89" t="n">
        <x:v>3328</x:v>
      </x:c>
      <x:c r="B3330" s="80" t="n">
        <x:v>-0.9485282420649209</x:v>
      </x:c>
      <x:c r="C3330" s="84" t="n">
        <x:f>SQRT('Resumen'!$B$5^3/3)*B3330</x:f>
        <x:v>-0.5476330358901446</x:v>
      </x:c>
      <x:c r="D3330" s="84" t="n">
        <x:f>C3330^2-'Resumen'!$B$5^3/3</x:f>
        <x:v>-0.03343139133507694</x:v>
      </x:c>
      <x:c r="E3330" s="85" t="n">
        <x:f>D3330+'Resumen'!$B$5^3/3</x:f>
        <x:v>0.29990194199825637</x:v>
      </x:c>
    </x:row>
    <x:row r="3331">
      <x:c r="A3331" s="89" t="n">
        <x:v>3329</x:v>
      </x:c>
      <x:c r="B3331" s="80" t="n">
        <x:v>-0.3758131621099161</x:v>
      </x:c>
      <x:c r="C3331" s="84" t="n">
        <x:f>SQRT('Resumen'!$B$5^3/3)*B3331</x:f>
        <x:v>-0.2169758303091645</x:v>
      </x:c>
      <x:c r="D3331" s="84" t="n">
        <x:f>C3331^2-'Resumen'!$B$5^3/3</x:f>
        <x:v>-0.28625482239498196</x:v>
      </x:c>
      <x:c r="E3331" s="85" t="n">
        <x:f>D3331+'Resumen'!$B$5^3/3</x:f>
        <x:v>0.04707851093835136</x:v>
      </x:c>
    </x:row>
    <x:row r="3332">
      <x:c r="A3332" s="89" t="n">
        <x:v>3330</x:v>
      </x:c>
      <x:c r="B3332" s="80" t="n">
        <x:v>0.17656315159970737</x:v>
      </x:c>
      <x:c r="C3332" s="84" t="n">
        <x:f>SQRT('Resumen'!$B$5^3/3)*B3332</x:f>
        <x:v>0.10193878310505974</x:v>
      </x:c>
      <x:c r="D3332" s="84" t="n">
        <x:f>C3332^2-'Resumen'!$B$5^3/3</x:f>
        <x:v>-0.3229418178323929</x:v>
      </x:c>
      <x:c r="E3332" s="85" t="n">
        <x:f>D3332+'Resumen'!$B$5^3/3</x:f>
        <x:v>0.010391515500940418</x:v>
      </x:c>
    </x:row>
    <x:row r="3333">
      <x:c r="A3333" s="89" t="n">
        <x:v>3331</x:v>
      </x:c>
      <x:c r="B3333" s="80" t="n">
        <x:v>0.8689145341594134</x:v>
      </x:c>
      <x:c r="C3333" s="84" t="n">
        <x:f>SQRT('Resumen'!$B$5^3/3)*B3333</x:f>
        <x:v>0.5016680401997156</x:v>
      </x:c>
      <x:c r="D3333" s="84" t="n">
        <x:f>C3333^2-'Resumen'!$B$5^3/3</x:f>
        <x:v>-0.0816625107755099</x:v>
      </x:c>
      <x:c r="E3333" s="85" t="n">
        <x:f>D3333+'Resumen'!$B$5^3/3</x:f>
        <x:v>0.2516708225578234</x:v>
      </x:c>
    </x:row>
    <x:row r="3334">
      <x:c r="A3334" s="89" t="n">
        <x:v>3332</x:v>
      </x:c>
      <x:c r="B3334" s="80" t="n">
        <x:v>-0.680389376811421</x:v>
      </x:c>
      <x:c r="C3334" s="84" t="n">
        <x:f>SQRT('Resumen'!$B$5^3/3)*B3334</x:f>
        <x:v>-0.3928229898558356</x:v>
      </x:c>
      <x:c r="D3334" s="84" t="n">
        <x:f>C3334^2-'Resumen'!$B$5^3/3</x:f>
        <x:v>-0.1790234319740554</x:v>
      </x:c>
      <x:c r="E3334" s="85" t="n">
        <x:f>D3334+'Resumen'!$B$5^3/3</x:f>
        <x:v>0.1543099013592779</x:v>
      </x:c>
    </x:row>
    <x:row r="3335">
      <x:c r="A3335" s="89" t="n">
        <x:v>3333</x:v>
      </x:c>
      <x:c r="B3335" s="80" t="n">
        <x:v>-0.7172333444412878</x:v>
      </x:c>
      <x:c r="C3335" s="84" t="n">
        <x:f>SQRT('Resumen'!$B$5^3/3)*B3335</x:f>
        <x:v>-0.4140948644849531</x:v>
      </x:c>
      <x:c r="D3335" s="84" t="n">
        <x:f>C3335^2-'Resumen'!$B$5^3/3</x:f>
        <x:v>-0.16185877654052166</x:v>
      </x:c>
      <x:c r="E3335" s="85" t="n">
        <x:f>D3335+'Resumen'!$B$5^3/3</x:f>
        <x:v>0.17147455679281165</x:v>
      </x:c>
    </x:row>
    <x:row r="3336">
      <x:c r="A3336" s="89" t="n">
        <x:v>3334</x:v>
      </x:c>
      <x:c r="B3336" s="80" t="n">
        <x:v>1.5384649806054975</x:v>
      </x:c>
      <x:c r="C3336" s="84" t="n">
        <x:f>SQRT('Resumen'!$B$5^3/3)*B3336</x:f>
        <x:v>0.8882331706913963</x:v>
      </x:c>
      <x:c r="D3336" s="84" t="n">
        <x:f>C3336^2-'Resumen'!$B$5^3/3</x:f>
        <x:v>0.4556248321831578</x:v>
      </x:c>
      <x:c r="E3336" s="85" t="n">
        <x:f>D3336+'Resumen'!$B$5^3/3</x:f>
        <x:v>0.7889581655164911</x:v>
      </x:c>
    </x:row>
    <x:row r="3337">
      <x:c r="A3337" s="89" t="n">
        <x:v>3335</x:v>
      </x:c>
      <x:c r="B3337" s="80" t="n">
        <x:v>1.8399374395368595</x:v>
      </x:c>
      <x:c r="C3337" s="84" t="n">
        <x:f>SQRT('Resumen'!$B$5^3/3)*B3337</x:f>
        <x:v>1.0622883760086765</x:v>
      </x:c>
      <x:c r="D3337" s="84" t="n">
        <x:f>C3337^2-'Resumen'!$B$5^3/3</x:f>
        <x:v>0.7951232604698182</x:v>
      </x:c>
      <x:c r="E3337" s="85" t="n">
        <x:f>D3337+'Resumen'!$B$5^3/3</x:f>
        <x:v>1.1284565938031514</x:v>
      </x:c>
    </x:row>
    <x:row r="3338">
      <x:c r="A3338" s="89" t="n">
        <x:v>3336</x:v>
      </x:c>
      <x:c r="B3338" s="80" t="n">
        <x:v>-0.18122138513215794</x:v>
      </x:c>
      <x:c r="C3338" s="84" t="n">
        <x:f>SQRT('Resumen'!$B$5^3/3)*B3338</x:f>
        <x:v>-0.10462821548896822</x:v>
      </x:c>
      <x:c r="D3338" s="84" t="n">
        <x:f>C3338^2-'Resumen'!$B$5^3/3</x:f>
        <x:v>-0.32238626985692737</x:v>
      </x:c>
      <x:c r="E3338" s="85" t="n">
        <x:f>D3338+'Resumen'!$B$5^3/3</x:f>
        <x:v>0.01094706347640595</x:v>
      </x:c>
    </x:row>
    <x:row r="3339">
      <x:c r="A3339" s="89" t="n">
        <x:v>3337</x:v>
      </x:c>
      <x:c r="B3339" s="80" t="n">
        <x:v>0.29311080227040226</x:v>
      </x:c>
      <x:c r="C3339" s="84" t="n">
        <x:f>SQRT('Resumen'!$B$5^3/3)*B3339</x:f>
        <x:v>0.1692276005932039</x:v>
      </x:c>
      <x:c r="D3339" s="84" t="n">
        <x:f>C3339^2-'Resumen'!$B$5^3/3</x:f>
        <x:v>-0.3046953525308004</x:v>
      </x:c>
      <x:c r="E3339" s="85" t="n">
        <x:f>D3339+'Resumen'!$B$5^3/3</x:f>
        <x:v>0.028637980802532936</x:v>
      </x:c>
    </x:row>
    <x:row r="3340">
      <x:c r="A3340" s="89" t="n">
        <x:v>3338</x:v>
      </x:c>
      <x:c r="B3340" s="80" t="n">
        <x:v>-1.568031826725107</x:v>
      </x:c>
      <x:c r="C3340" s="84" t="n">
        <x:f>SQRT('Resumen'!$B$5^3/3)*B3340</x:f>
        <x:v>-0.9053035972576411</x:v>
      </x:c>
      <x:c r="D3340" s="84" t="n">
        <x:f>C3340^2-'Resumen'!$B$5^3/3</x:f>
        <x:v>0.4862412698742919</x:v>
      </x:c>
      <x:c r="E3340" s="85" t="n">
        <x:f>D3340+'Resumen'!$B$5^3/3</x:f>
        <x:v>0.8195746032076252</x:v>
      </x:c>
    </x:row>
    <x:row r="3341">
      <x:c r="A3341" s="89" t="n">
        <x:v>3339</x:v>
      </x:c>
      <x:c r="B3341" s="80" t="n">
        <x:v>-0.942967681094732</x:v>
      </x:c>
      <x:c r="C3341" s="84" t="n">
        <x:f>SQRT('Resumen'!$B$5^3/3)*B3341</x:f>
        <x:v>-0.5444226445171606</x:v>
      </x:c>
      <x:c r="D3341" s="84" t="n">
        <x:f>C3341^2-'Resumen'!$B$5^3/3</x:f>
        <x:v>-0.03693731747027468</x:v>
      </x:c>
      <x:c r="E3341" s="85" t="n">
        <x:f>D3341+'Resumen'!$B$5^3/3</x:f>
        <x:v>0.29639601586305864</x:v>
      </x:c>
    </x:row>
    <x:row r="3342">
      <x:c r="A3342" s="89" t="n">
        <x:v>3340</x:v>
      </x:c>
      <x:c r="B3342" s="80" t="n">
        <x:v>2.1020090191330545</x:v>
      </x:c>
      <x:c r="C3342" s="84" t="n">
        <x:f>SQRT('Resumen'!$B$5^3/3)*B3342</x:f>
        <x:v>1.21359547303549</x:v>
      </x:c>
      <x:c r="D3342" s="84" t="n">
        <x:f>C3342^2-'Resumen'!$B$5^3/3</x:f>
        <x:v>1.1394806388389016</x:v>
      </x:c>
      <x:c r="E3342" s="85" t="n">
        <x:f>D3342+'Resumen'!$B$5^3/3</x:f>
        <x:v>1.4728139721722349</x:v>
      </x:c>
    </x:row>
    <x:row r="3343">
      <x:c r="A3343" s="89" t="n">
        <x:v>3341</x:v>
      </x:c>
      <x:c r="B3343" s="80" t="n">
        <x:v>-0.07927689544210352</x:v>
      </x:c>
      <x:c r="C3343" s="84" t="n">
        <x:f>SQRT('Resumen'!$B$5^3/3)*B3343</x:f>
        <x:v>-0.04577053692401628</x:v>
      </x:c>
      <x:c r="D3343" s="84" t="n">
        <x:f>C3343^2-'Resumen'!$B$5^3/3</x:f>
        <x:v>-0.3312383912830206</x:v>
      </x:c>
      <x:c r="E3343" s="85" t="n">
        <x:f>D3343+'Resumen'!$B$5^3/3</x:f>
        <x:v>0.0020949420503127425</x:v>
      </x:c>
    </x:row>
    <x:row r="3344">
      <x:c r="A3344" s="89" t="n">
        <x:v>3342</x:v>
      </x:c>
      <x:c r="B3344" s="80" t="n">
        <x:v>0.0055437461843697924</x:v>
      </x:c>
      <x:c r="C3344" s="84" t="n">
        <x:f>SQRT('Resumen'!$B$5^3/3)*B3344</x:f>
        <x:v>0.0032006833518648603</x:v>
      </x:c>
      <x:c r="D3344" s="84" t="n">
        <x:f>C3344^2-'Resumen'!$B$5^3/3</x:f>
        <x:v>-0.3333230889594144</x:v>
      </x:c>
      <x:c r="E3344" s="85" t="n">
        <x:f>D3344+'Resumen'!$B$5^3/3</x:f>
        <x:v>0.000010244373918888439</x:v>
      </x:c>
    </x:row>
    <x:row r="3345">
      <x:c r="A3345" s="89" t="n">
        <x:v>3343</x:v>
      </x:c>
      <x:c r="B3345" s="80" t="n">
        <x:v>1.8748417825411128</x:v>
      </x:c>
      <x:c r="C3345" s="84" t="n">
        <x:f>SQRT('Resumen'!$B$5^3/3)*B3345</x:f>
        <x:v>1.0824404078380692</x:v>
      </x:c>
      <x:c r="D3345" s="84" t="n">
        <x:f>C3345^2-'Resumen'!$B$5^3/3</x:f>
        <x:v>0.8383439031873123</x:v>
      </x:c>
      <x:c r="E3345" s="85" t="n">
        <x:f>D3345+'Resumen'!$B$5^3/3</x:f>
        <x:v>1.1716772365206456</x:v>
      </x:c>
    </x:row>
    <x:row r="3346">
      <x:c r="A3346" s="89" t="n">
        <x:v>3344</x:v>
      </x:c>
      <x:c r="B3346" s="80" t="n">
        <x:v>-0.6261239857229235</x:v>
      </x:c>
      <x:c r="C3346" s="84" t="n">
        <x:f>SQRT('Resumen'!$B$5^3/3)*B3346</x:f>
        <x:v>-0.36149285170321127</x:v>
      </x:c>
      <x:c r="D3346" s="84" t="n">
        <x:f>C3346^2-'Resumen'!$B$5^3/3</x:f>
        <x:v>-0.20265625150081343</x:v>
      </x:c>
      <x:c r="E3346" s="85" t="n">
        <x:f>D3346+'Resumen'!$B$5^3/3</x:f>
        <x:v>0.1306770818325199</x:v>
      </x:c>
    </x:row>
    <x:row r="3347">
      <x:c r="A3347" s="89" t="n">
        <x:v>3345</x:v>
      </x:c>
      <x:c r="B3347" s="80" t="n">
        <x:v>1.3263868090091109</x:v>
      </x:c>
      <x:c r="C3347" s="84" t="n">
        <x:f>SQRT('Resumen'!$B$5^3/3)*B3347</x:f>
        <x:v>0.7657897812309788</x:v>
      </x:c>
      <x:c r="D3347" s="84" t="n">
        <x:f>C3347^2-'Resumen'!$B$5^3/3</x:f>
        <x:v>0.2531006557044571</x:v>
      </x:c>
      <x:c r="E3347" s="85" t="n">
        <x:f>D3347+'Resumen'!$B$5^3/3</x:f>
        <x:v>0.5864339890377904</x:v>
      </x:c>
    </x:row>
    <x:row r="3348">
      <x:c r="A3348" s="89" t="n">
        <x:v>3346</x:v>
      </x:c>
      <x:c r="B3348" s="80" t="n">
        <x:v>0.9256671142870935</x:v>
      </x:c>
      <x:c r="C3348" s="84" t="n">
        <x:f>SQRT('Resumen'!$B$5^3/3)*B3348</x:f>
        <x:v>0.5344341576136374</x:v>
      </x:c>
      <x:c r="D3348" s="84" t="n">
        <x:f>C3348^2-'Resumen'!$B$5^3/3</x:f>
        <x:v>-0.04771346450913505</x:v>
      </x:c>
      <x:c r="E3348" s="85" t="n">
        <x:f>D3348+'Resumen'!$B$5^3/3</x:f>
        <x:v>0.28561986882419826</x:v>
      </x:c>
    </x:row>
    <x:row r="3349">
      <x:c r="A3349" s="89" t="n">
        <x:v>3347</x:v>
      </x:c>
      <x:c r="B3349" s="80" t="n">
        <x:v>-0.03358334668423143</x:v>
      </x:c>
      <x:c r="C3349" s="84" t="n">
        <x:f>SQRT('Resumen'!$B$5^3/3)*B3349</x:f>
        <x:v>-0.01938935424842954</x:v>
      </x:c>
      <x:c r="D3349" s="84" t="n">
        <x:f>C3349^2-'Resumen'!$B$5^3/3</x:f>
        <x:v>-0.33295738627516225</x:v>
      </x:c>
      <x:c r="E3349" s="85" t="n">
        <x:f>D3349+'Resumen'!$B$5^3/3</x:f>
        <x:v>0.00037594705817106666</x:v>
      </x:c>
    </x:row>
    <x:row r="3350">
      <x:c r="A3350" s="89" t="n">
        <x:v>3348</x:v>
      </x:c>
      <x:c r="B3350" s="80" t="n">
        <x:v>1.3180780486631754</x:v>
      </x:c>
      <x:c r="C3350" s="84" t="n">
        <x:f>SQRT('Resumen'!$B$5^3/3)*B3350</x:f>
        <x:v>0.7609927162086209</x:v>
      </x:c>
      <x:c r="D3350" s="84" t="n">
        <x:f>C3350^2-'Resumen'!$B$5^3/3</x:f>
        <x:v>0.2457765807892412</x:v>
      </x:c>
      <x:c r="E3350" s="85" t="n">
        <x:f>D3350+'Resumen'!$B$5^3/3</x:f>
        <x:v>0.5791099141225745</x:v>
      </x:c>
    </x:row>
    <x:row r="3351">
      <x:c r="A3351" s="89" t="n">
        <x:v>3349</x:v>
      </x:c>
      <x:c r="B3351" s="80" t="n">
        <x:v>-0.39250114124436236</x:v>
      </x:c>
      <x:c r="C3351" s="84" t="n">
        <x:f>SQRT('Resumen'!$B$5^3/3)*B3351</x:f>
        <x:v>-0.22661063955466793</x:v>
      </x:c>
      <x:c r="D3351" s="84" t="n">
        <x:f>C3351^2-'Resumen'!$B$5^3/3</x:f>
        <x:v>-0.2819809513739577</x:v>
      </x:c>
      <x:c r="E3351" s="85" t="n">
        <x:f>D3351+'Resumen'!$B$5^3/3</x:f>
        <x:v>0.05135238195937564</x:v>
      </x:c>
    </x:row>
    <x:row r="3352">
      <x:c r="A3352" s="89" t="n">
        <x:v>3350</x:v>
      </x:c>
      <x:c r="B3352" s="80" t="n">
        <x:v>-1.114336426897788</x:v>
      </x:c>
      <x:c r="C3352" s="84" t="n">
        <x:f>SQRT('Resumen'!$B$5^3/3)*B3352</x:f>
        <x:v>-0.6433624360372436</x:v>
      </x:c>
      <x:c r="D3352" s="84" t="n">
        <x:f>C3352^2-'Resumen'!$B$5^3/3</x:f>
        <x:v>0.08058189077044309</x:v>
      </x:c>
      <x:c r="E3352" s="85" t="n">
        <x:f>D3352+'Resumen'!$B$5^3/3</x:f>
        <x:v>0.4139152241037764</x:v>
      </x:c>
    </x:row>
    <x:row r="3353">
      <x:c r="A3353" s="89" t="n">
        <x:v>3351</x:v>
      </x:c>
      <x:c r="B3353" s="80" t="n">
        <x:v>-0.19713658285049993</x:v>
      </x:c>
      <x:c r="C3353" s="84" t="n">
        <x:f>SQRT('Resumen'!$B$5^3/3)*B3353</x:f>
        <x:v>-0.11381685917585908</x:v>
      </x:c>
      <x:c r="D3353" s="84" t="n">
        <x:f>C3353^2-'Resumen'!$B$5^3/3</x:f>
        <x:v>-0.320379055900676</x:v>
      </x:c>
      <x:c r="E3353" s="85" t="n">
        <x:f>D3353+'Resumen'!$B$5^3/3</x:f>
        <x:v>0.012954277432657313</x:v>
      </x:c>
    </x:row>
    <x:row r="3354">
      <x:c r="A3354" s="89" t="n">
        <x:v>3352</x:v>
      </x:c>
      <x:c r="B3354" s="80" t="n">
        <x:v>-1.0709986894788996</x:v>
      </x:c>
      <x:c r="C3354" s="84" t="n">
        <x:f>SQRT('Resumen'!$B$5^3/3)*B3354</x:f>
        <x:v>-0.6183413816723791</x:v>
      </x:c>
      <x:c r="D3354" s="84" t="n">
        <x:f>C3354^2-'Resumen'!$B$5^3/3</x:f>
        <x:v>0.049012730955173445</x:v>
      </x:c>
      <x:c r="E3354" s="85" t="n">
        <x:f>D3354+'Resumen'!$B$5^3/3</x:f>
        <x:v>0.38234606428850676</x:v>
      </x:c>
    </x:row>
    <x:row r="3355">
      <x:c r="A3355" s="89" t="n">
        <x:v>3353</x:v>
      </x:c>
      <x:c r="B3355" s="80" t="n">
        <x:v>0.7180261324606361</x:v>
      </x:c>
      <x:c r="C3355" s="84" t="n">
        <x:f>SQRT('Resumen'!$B$5^3/3)*B3355</x:f>
        <x:v>0.4145525808613341</x:v>
      </x:c>
      <x:c r="D3355" s="84" t="n">
        <x:f>C3355^2-'Resumen'!$B$5^3/3</x:f>
        <x:v>-0.16147949103454035</x:v>
      </x:c>
      <x:c r="E3355" s="85" t="n">
        <x:f>D3355+'Resumen'!$B$5^3/3</x:f>
        <x:v>0.17185384229879297</x:v>
      </x:c>
    </x:row>
    <x:row r="3356">
      <x:c r="A3356" s="89" t="n">
        <x:v>3354</x:v>
      </x:c>
      <x:c r="B3356" s="80" t="n">
        <x:v>-0.31848246236627487</x:v>
      </x:c>
      <x:c r="C3356" s="84" t="n">
        <x:f>SQRT('Resumen'!$B$5^3/3)*B3356</x:f>
        <x:v>-0.18387593537934363</x:v>
      </x:c>
      <x:c r="D3356" s="84" t="n">
        <x:f>C3356^2-'Resumen'!$B$5^3/3</x:f>
        <x:v>-0.2995229737217048</x:v>
      </x:c>
      <x:c r="E3356" s="85" t="n">
        <x:f>D3356+'Resumen'!$B$5^3/3</x:f>
        <x:v>0.03381035961162854</x:v>
      </x:c>
    </x:row>
    <x:row r="3357">
      <x:c r="A3357" s="89" t="n">
        <x:v>3355</x:v>
      </x:c>
      <x:c r="B3357" s="80" t="n">
        <x:v>-0.7280835659718662</x:v>
      </x:c>
      <x:c r="C3357" s="84" t="n">
        <x:f>SQRT('Resumen'!$B$5^3/3)*B3357</x:f>
        <x:v>-0.4203592428063996</x:v>
      </x:c>
      <x:c r="D3357" s="84" t="n">
        <x:f>C3357^2-'Resumen'!$B$5^3/3</x:f>
        <x:v>-0.15663144032056373</x:v>
      </x:c>
      <x:c r="E3357" s="85" t="n">
        <x:f>D3357+'Resumen'!$B$5^3/3</x:f>
        <x:v>0.1767018930127696</x:v>
      </x:c>
    </x:row>
    <x:row r="3358">
      <x:c r="A3358" s="89" t="n">
        <x:v>3356</x:v>
      </x:c>
      <x:c r="B3358" s="80" t="n">
        <x:v>-2.360378431378232</x:v>
      </x:c>
      <x:c r="C3358" s="84" t="n">
        <x:f>SQRT('Resumen'!$B$5^3/3)*B3358</x:f>
        <x:v>-1.3627651227456088</x:v>
      </x:c>
      <x:c r="D3358" s="84" t="n">
        <x:f>C3358^2-'Resumen'!$B$5^3/3</x:f>
        <x:v>1.5237954464385208</x:v>
      </x:c>
      <x:c r="E3358" s="85" t="n">
        <x:f>D3358+'Resumen'!$B$5^3/3</x:f>
        <x:v>1.857128779771854</x:v>
      </x:c>
    </x:row>
    <x:row r="3359">
      <x:c r="A3359" s="89" t="n">
        <x:v>3357</x:v>
      </x:c>
      <x:c r="B3359" s="80" t="n">
        <x:v>-0.8048717750510531</x:v>
      </x:c>
      <x:c r="C3359" s="84" t="n">
        <x:f>SQRT('Resumen'!$B$5^3/3)*B3359</x:f>
        <x:v>-0.4646929359888574</x:v>
      </x:c>
      <x:c r="D3359" s="84" t="n">
        <x:f>C3359^2-'Resumen'!$B$5^3/3</x:f>
        <x:v>-0.11739380857538897</x:v>
      </x:c>
      <x:c r="E3359" s="85" t="n">
        <x:f>D3359+'Resumen'!$B$5^3/3</x:f>
        <x:v>0.21593952475794434</x:v>
      </x:c>
    </x:row>
    <x:row r="3360">
      <x:c r="A3360" s="89" t="n">
        <x:v>3358</x:v>
      </x:c>
      <x:c r="B3360" s="80" t="n">
        <x:v>-0.3864301645759459</x:v>
      </x:c>
      <x:c r="C3360" s="84" t="n">
        <x:f>SQRT('Resumen'!$B$5^3/3)*B3360</x:f>
        <x:v>-0.22310555954091374</x:v>
      </x:c>
      <x:c r="D3360" s="84" t="n">
        <x:f>C3360^2-'Resumen'!$B$5^3/3</x:f>
        <x:v>-0.2835572426352691</x:v>
      </x:c>
      <x:c r="E3360" s="85" t="n">
        <x:f>D3360+'Resumen'!$B$5^3/3</x:f>
        <x:v>0.04977609069806421</x:v>
      </x:c>
    </x:row>
    <x:row r="3361">
      <x:c r="A3361" s="89" t="n">
        <x:v>3359</x:v>
      </x:c>
      <x:c r="B3361" s="80" t="n">
        <x:v>-0.1008544438712046</x:v>
      </x:c>
      <x:c r="C3361" s="84" t="n">
        <x:f>SQRT('Resumen'!$B$5^3/3)*B3361</x:f>
        <x:v>-0.058228340318009976</x:v>
      </x:c>
      <x:c r="D3361" s="84" t="n">
        <x:f>C3361^2-'Resumen'!$B$5^3/3</x:f>
        <x:v>-0.3299427937171433</x:v>
      </x:c>
      <x:c r="E3361" s="85" t="n">
        <x:f>D3361+'Resumen'!$B$5^3/3</x:f>
        <x:v>0.0033905396161900136</x:v>
      </x:c>
    </x:row>
    <x:row r="3362">
      <x:c r="A3362" s="89" t="n">
        <x:v>3360</x:v>
      </x:c>
      <x:c r="B3362" s="80" t="n">
        <x:v>-0.8502523434058137</x:v>
      </x:c>
      <x:c r="C3362" s="84" t="n">
        <x:f>SQRT('Resumen'!$B$5^3/3)*B3362</x:f>
        <x:v>-0.4908934193444566</x:v>
      </x:c>
      <x:c r="D3362" s="84" t="n">
        <x:f>C3362^2-'Resumen'!$B$5^3/3</x:f>
        <x:v>-0.09235698417764077</x:v>
      </x:c>
      <x:c r="E3362" s="85" t="n">
        <x:f>D3362+'Resumen'!$B$5^3/3</x:f>
        <x:v>0.24097634915569255</x:v>
      </x:c>
    </x:row>
    <x:row r="3363">
      <x:c r="A3363" s="89" t="n">
        <x:v>3361</x:v>
      </x:c>
      <x:c r="B3363" s="80" t="n">
        <x:v>-0.4025181672910218</x:v>
      </x:c>
      <x:c r="C3363" s="84" t="n">
        <x:f>SQRT('Resumen'!$B$5^3/3)*B3363</x:f>
        <x:v>-0.23239397223918623</x:v>
      </x:c>
      <x:c r="D3363" s="84" t="n">
        <x:f>C3363^2-'Resumen'!$B$5^3/3</x:f>
        <x:v>-0.27932637500022567</x:v>
      </x:c>
      <x:c r="E3363" s="85" t="n">
        <x:f>D3363+'Resumen'!$B$5^3/3</x:f>
        <x:v>0.054006958333107646</x:v>
      </x:c>
    </x:row>
    <x:row r="3364">
      <x:c r="A3364" s="89" t="n">
        <x:v>3362</x:v>
      </x:c>
      <x:c r="B3364" s="80" t="n">
        <x:v>0.5105683788228603</x:v>
      </x:c>
      <x:c r="C3364" s="84" t="n">
        <x:f>SQRT('Resumen'!$B$5^3/3)*B3364</x:f>
        <x:v>0.29477679095308923</x:v>
      </x:c>
      <x:c r="D3364" s="84" t="n">
        <x:f>C3364^2-'Resumen'!$B$5^3/3</x:f>
        <x:v>-0.24643997684873203</x:v>
      </x:c>
      <x:c r="E3364" s="85" t="n">
        <x:f>D3364+'Resumen'!$B$5^3/3</x:f>
        <x:v>0.08689335648460128</x:v>
      </x:c>
    </x:row>
    <x:row r="3365">
      <x:c r="A3365" s="89" t="n">
        <x:v>3363</x:v>
      </x:c>
      <x:c r="B3365" s="80" t="n">
        <x:v>-0.645933848876815</x:v>
      </x:c>
      <x:c r="C3365" s="84" t="n">
        <x:f>SQRT('Resumen'!$B$5^3/3)*B3365</x:f>
        <x:v>-0.37293008152772017</x:v>
      </x:c>
      <x:c r="D3365" s="84" t="n">
        <x:f>C3365^2-'Resumen'!$B$5^3/3</x:f>
        <x:v>-0.1942564876250613</x:v>
      </x:c>
      <x:c r="E3365" s="85" t="n">
        <x:f>D3365+'Resumen'!$B$5^3/3</x:f>
        <x:v>0.139076845708272</x:v>
      </x:c>
    </x:row>
    <x:row r="3366">
      <x:c r="A3366" s="89" t="n">
        <x:v>3364</x:v>
      </x:c>
      <x:c r="B3366" s="80" t="n">
        <x:v>0.4281219465075301</x:v>
      </x:c>
      <x:c r="C3366" s="84" t="n">
        <x:f>SQRT('Resumen'!$B$5^3/3)*B3366</x:f>
        <x:v>0.24717632106210904</x:v>
      </x:c>
      <x:c r="D3366" s="84" t="n">
        <x:f>C3366^2-'Resumen'!$B$5^3/3</x:f>
        <x:v>-0.2722371996395345</x:v>
      </x:c>
      <x:c r="E3366" s="85" t="n">
        <x:f>D3366+'Resumen'!$B$5^3/3</x:f>
        <x:v>0.06109613369379879</x:v>
      </x:c>
    </x:row>
    <x:row r="3367">
      <x:c r="A3367" s="89" t="n">
        <x:v>3365</x:v>
      </x:c>
      <x:c r="B3367" s="80" t="n">
        <x:v>-0.07028976961579775</x:v>
      </x:c>
      <x:c r="C3367" s="84" t="n">
        <x:f>SQRT('Resumen'!$B$5^3/3)*B3367</x:f>
        <x:v>-0.0405818174089576</x:v>
      </x:c>
      <x:c r="D3367" s="84" t="n">
        <x:f>C3367^2-'Resumen'!$B$5^3/3</x:f>
        <x:v>-0.33168644942911935</x:v>
      </x:c>
      <x:c r="E3367" s="85" t="n">
        <x:f>D3367+'Resumen'!$B$5^3/3</x:f>
        <x:v>0.0016468839042139694</x:v>
      </x:c>
    </x:row>
    <x:row r="3368">
      <x:c r="A3368" s="89" t="n">
        <x:v>3366</x:v>
      </x:c>
      <x:c r="B3368" s="80" t="n">
        <x:v>1.3694305850991</x:v>
      </x:c>
      <x:c r="C3368" s="84" t="n">
        <x:f>SQRT('Resumen'!$B$5^3/3)*B3368</x:f>
        <x:v>0.790641116943472</x:v>
      </x:c>
      <x:c r="D3368" s="84" t="n">
        <x:f>C3368^2-'Resumen'!$B$5^3/3</x:f>
        <x:v>0.29178004246828776</x:v>
      </x:c>
      <x:c r="E3368" s="85" t="n">
        <x:f>D3368+'Resumen'!$B$5^3/3</x:f>
        <x:v>0.6251133758016211</x:v>
      </x:c>
    </x:row>
    <x:row r="3369">
      <x:c r="A3369" s="89" t="n">
        <x:v>3367</x:v>
      </x:c>
      <x:c r="B3369" s="80" t="n">
        <x:v>0.2458677393440586</x:v>
      </x:c>
      <x:c r="C3369" s="84" t="n">
        <x:f>SQRT('Resumen'!$B$5^3/3)*B3369</x:f>
        <x:v>0.14195180549533695</x:v>
      </x:c>
      <x:c r="D3369" s="84" t="n">
        <x:f>C3369^2-'Resumen'!$B$5^3/3</x:f>
        <x:v>-0.3131830182499473</x:v>
      </x:c>
      <x:c r="E3369" s="85" t="n">
        <x:f>D3369+'Resumen'!$B$5^3/3</x:f>
        <x:v>0.020150315083385995</x:v>
      </x:c>
    </x:row>
    <x:row r="3370">
      <x:c r="A3370" s="89" t="n">
        <x:v>3368</x:v>
      </x:c>
      <x:c r="B3370" s="80" t="n">
        <x:v>-0.45646651007401057</x:v>
      </x:c>
      <x:c r="C3370" s="84" t="n">
        <x:f>SQRT('Resumen'!$B$5^3/3)*B3370</x:f>
        <x:v>-0.263541062467279</x:v>
      </x:c>
      <x:c r="D3370" s="84" t="n">
        <x:f>C3370^2-'Resumen'!$B$5^3/3</x:f>
        <x:v>-0.2638794417269511</x:v>
      </x:c>
      <x:c r="E3370" s="85" t="n">
        <x:f>D3370+'Resumen'!$B$5^3/3</x:f>
        <x:v>0.06945389160638221</x:v>
      </x:c>
    </x:row>
    <x:row r="3371">
      <x:c r="A3371" s="89" t="n">
        <x:v>3369</x:v>
      </x:c>
      <x:c r="B3371" s="80" t="n">
        <x:v>-1.3192812758159393</x:v>
      </x:c>
      <x:c r="C3371" s="84" t="n">
        <x:f>SQRT('Resumen'!$B$5^3/3)*B3371</x:f>
        <x:v>-0.7616873997291654</x:v>
      </x:c>
      <x:c r="D3371" s="84" t="n">
        <x:f>C3371^2-'Resumen'!$B$5^3/3</x:f>
        <x:v>0.24683436157284416</x:v>
      </x:c>
      <x:c r="E3371" s="85" t="n">
        <x:f>D3371+'Resumen'!$B$5^3/3</x:f>
        <x:v>0.5801676949061775</x:v>
      </x:c>
    </x:row>
    <x:row r="3372">
      <x:c r="A3372" s="89" t="n">
        <x:v>3370</x:v>
      </x:c>
      <x:c r="B3372" s="80" t="n">
        <x:v>-0.3385700896077304</x:v>
      </x:c>
      <x:c r="C3372" s="84" t="n">
        <x:f>SQRT('Resumen'!$B$5^3/3)*B3372</x:f>
        <x:v>-0.19547353237457885</x:v>
      </x:c>
      <x:c r="D3372" s="84" t="n">
        <x:f>C3372^2-'Resumen'!$B$5^3/3</x:f>
        <x:v>-0.2951234314743378</x:v>
      </x:c>
      <x:c r="E3372" s="85" t="n">
        <x:f>D3372+'Resumen'!$B$5^3/3</x:f>
        <x:v>0.03820990185899553</x:v>
      </x:c>
    </x:row>
    <x:row r="3373">
      <x:c r="A3373" s="89" t="n">
        <x:v>3371</x:v>
      </x:c>
      <x:c r="B3373" s="80" t="n">
        <x:v>-0.38910505927537825</x:v>
      </x:c>
      <x:c r="C3373" s="84" t="n">
        <x:f>SQRT('Resumen'!$B$5^3/3)*B3373</x:f>
        <x:v>-0.2246499107156849</x:v>
      </x:c>
      <x:c r="D3373" s="84" t="n">
        <x:f>C3373^2-'Resumen'!$B$5^3/3</x:f>
        <x:v>-0.2828657509487681</x:v>
      </x:c>
      <x:c r="E3373" s="85" t="n">
        <x:f>D3373+'Resumen'!$B$5^3/3</x:f>
        <x:v>0.050467582384565224</x:v>
      </x:c>
    </x:row>
    <x:row r="3374">
      <x:c r="A3374" s="89" t="n">
        <x:v>3372</x:v>
      </x:c>
      <x:c r="B3374" s="80" t="n">
        <x:v>2.0218720594694397</x:v>
      </x:c>
      <x:c r="C3374" s="84" t="n">
        <x:f>SQRT('Resumen'!$B$5^3/3)*B3374</x:f>
        <x:v>1.1673283778016639</x:v>
      </x:c>
      <x:c r="D3374" s="84" t="n">
        <x:f>C3374^2-'Resumen'!$B$5^3/3</x:f>
        <x:v>1.029322208287731</x:v>
      </x:c>
      <x:c r="E3374" s="85" t="n">
        <x:f>D3374+'Resumen'!$B$5^3/3</x:f>
        <x:v>1.3626555416210642</x:v>
      </x:c>
    </x:row>
    <x:row r="3375">
      <x:c r="A3375" s="89" t="n">
        <x:v>3373</x:v>
      </x:c>
      <x:c r="B3375" s="80" t="n">
        <x:v>-0.5238389590914749</x:v>
      </x:c>
      <x:c r="C3375" s="84" t="n">
        <x:f>SQRT('Resumen'!$B$5^3/3)*B3375</x:f>
        <x:v>-0.3024385640434764</x:v>
      </x:c>
      <x:c r="D3375" s="84" t="n">
        <x:f>C3375^2-'Resumen'!$B$5^3/3</x:f>
        <x:v>-0.24186424831265335</x:v>
      </x:c>
      <x:c r="E3375" s="85" t="n">
        <x:f>D3375+'Resumen'!$B$5^3/3</x:f>
        <x:v>0.09146908502067996</x:v>
      </x:c>
    </x:row>
    <x:row r="3376">
      <x:c r="A3376" s="89" t="n">
        <x:v>3374</x:v>
      </x:c>
      <x:c r="B3376" s="80" t="n">
        <x:v>-0.010935815268213973</x:v>
      </x:c>
      <x:c r="C3376" s="84" t="n">
        <x:f>SQRT('Resumen'!$B$5^3/3)*B3376</x:f>
        <x:v>-0.0063137958889113565</x:v>
      </x:c>
      <x:c r="D3376" s="84" t="n">
        <x:f>C3376^2-'Resumen'!$B$5^3/3</x:f>
        <x:v>-0.33329346931480647</x:v>
      </x:c>
      <x:c r="E3376" s="85" t="n">
        <x:f>D3376+'Resumen'!$B$5^3/3</x:f>
        <x:v>0.00003986401852684729</x:v>
      </x:c>
    </x:row>
    <x:row r="3377">
      <x:c r="A3377" s="89" t="n">
        <x:v>3375</x:v>
      </x:c>
      <x:c r="B3377" s="80" t="n">
        <x:v>0.29472527417321537</x:v>
      </x:c>
      <x:c r="C3377" s="84" t="n">
        <x:f>SQRT('Resumen'!$B$5^3/3)*B3377</x:f>
        <x:v>0.17015971638089214</x:v>
      </x:c>
      <x:c r="D3377" s="84" t="n">
        <x:f>C3377^2-'Resumen'!$B$5^3/3</x:f>
        <x:v>-0.30437900425450765</x:v>
      </x:c>
      <x:c r="E3377" s="85" t="n">
        <x:f>D3377+'Resumen'!$B$5^3/3</x:f>
        <x:v>0.02895432907882567</x:v>
      </x:c>
    </x:row>
    <x:row r="3378">
      <x:c r="A3378" s="89" t="n">
        <x:v>3376</x:v>
      </x:c>
      <x:c r="B3378" s="80" t="n">
        <x:v>-1.2475331991623129</x:v>
      </x:c>
      <x:c r="C3378" s="84" t="n">
        <x:f>SQRT('Resumen'!$B$5^3/3)*B3378</x:f>
        <x:v>-0.7202636283593563</x:v>
      </x:c>
      <x:c r="D3378" s="84" t="n">
        <x:f>C3378^2-'Resumen'!$B$5^3/3</x:f>
        <x:v>0.1854463610040516</x:v>
      </x:c>
      <x:c r="E3378" s="85" t="n">
        <x:f>D3378+'Resumen'!$B$5^3/3</x:f>
        <x:v>0.5187796943373849</x:v>
      </x:c>
    </x:row>
    <x:row r="3379">
      <x:c r="A3379" s="89" t="n">
        <x:v>3377</x:v>
      </x:c>
      <x:c r="B3379" s="80" t="n">
        <x:v>-0.27635973674441033</x:v>
      </x:c>
      <x:c r="C3379" s="84" t="n">
        <x:f>SQRT('Resumen'!$B$5^3/3)*B3379</x:f>
        <x:v>-0.1595563684025594</x:v>
      </x:c>
      <x:c r="D3379" s="84" t="n">
        <x:f>C3379^2-'Resumen'!$B$5^3/3</x:f>
        <x:v>-0.30787509863552004</x:v>
      </x:c>
      <x:c r="E3379" s="85" t="n">
        <x:f>D3379+'Resumen'!$B$5^3/3</x:f>
        <x:v>0.025458234697813276</x:v>
      </x:c>
    </x:row>
    <x:row r="3380">
      <x:c r="A3380" s="89" t="n">
        <x:v>3378</x:v>
      </x:c>
      <x:c r="B3380" s="80" t="n">
        <x:v>-0.7474231001907425</x:v>
      </x:c>
      <x:c r="C3380" s="84" t="n">
        <x:f>SQRT('Resumen'!$B$5^3/3)*B3380</x:f>
        <x:v>-0.4315249280936698</x:v>
      </x:c>
      <x:c r="D3380" s="84" t="n">
        <x:f>C3380^2-'Resumen'!$B$5^3/3</x:f>
        <x:v>-0.1471195697670864</x:v>
      </x:c>
      <x:c r="E3380" s="85" t="n">
        <x:f>D3380+'Resumen'!$B$5^3/3</x:f>
        <x:v>0.18621376356624691</x:v>
      </x:c>
    </x:row>
    <x:row r="3381">
      <x:c r="A3381" s="89" t="n">
        <x:v>3379</x:v>
      </x:c>
      <x:c r="B3381" s="80" t="n">
        <x:v>-2.4372799119832242</x:v>
      </x:c>
      <x:c r="C3381" s="84" t="n">
        <x:f>SQRT('Resumen'!$B$5^3/3)*B3381</x:f>
        <x:v>-1.407164213273982</x:v>
      </x:c>
      <x:c r="D3381" s="84" t="n">
        <x:f>C3381^2-'Resumen'!$B$5^3/3</x:f>
        <x:v>1.646777789785651</x:v>
      </x:c>
      <x:c r="E3381" s="85" t="n">
        <x:f>D3381+'Resumen'!$B$5^3/3</x:f>
        <x:v>1.9801111231189843</x:v>
      </x:c>
    </x:row>
    <x:row r="3382">
      <x:c r="A3382" s="89" t="n">
        <x:v>3380</x:v>
      </x:c>
      <x:c r="B3382" s="80" t="n">
        <x:v>-1.803679457652252</x:v>
      </x:c>
      <x:c r="C3382" s="84" t="n">
        <x:f>SQRT('Resumen'!$B$5^3/3)*B3382</x:f>
        <x:v>-1.0413548204073257</x:v>
      </x:c>
      <x:c r="D3382" s="84" t="n">
        <x:f>C3382^2-'Resumen'!$B$5^3/3</x:f>
        <x:v>0.7510865286522403</x:v>
      </x:c>
      <x:c r="E3382" s="85" t="n">
        <x:f>D3382+'Resumen'!$B$5^3/3</x:f>
        <x:v>1.0844198619855736</x:v>
      </x:c>
    </x:row>
    <x:row r="3383">
      <x:c r="A3383" s="89" t="n">
        <x:v>3381</x:v>
      </x:c>
      <x:c r="B3383" s="80" t="n">
        <x:v>0.26846940906805766</x:v>
      </x:c>
      <x:c r="C3383" s="84" t="n">
        <x:f>SQRT('Resumen'!$B$5^3/3)*B3383</x:f>
        <x:v>0.15500088559462283</x:v>
      </x:c>
      <x:c r="D3383" s="84" t="n">
        <x:f>C3383^2-'Resumen'!$B$5^3/3</x:f>
        <x:v>-0.30930805879821593</x:v>
      </x:c>
      <x:c r="E3383" s="85" t="n">
        <x:f>D3383+'Resumen'!$B$5^3/3</x:f>
        <x:v>0.02402527453511738</x:v>
      </x:c>
    </x:row>
    <x:row r="3384">
      <x:c r="A3384" s="89" t="n">
        <x:v>3382</x:v>
      </x:c>
      <x:c r="B3384" s="80" t="n">
        <x:v>-0.3963441251487044</x:v>
      </x:c>
      <x:c r="C3384" s="84" t="n">
        <x:f>SQRT('Resumen'!$B$5^3/3)*B3384</x:f>
        <x:v>-0.22882938734633118</x:v>
      </x:c>
      <x:c r="D3384" s="84" t="n">
        <x:f>C3384^2-'Resumen'!$B$5^3/3</x:f>
        <x:v>-0.280970444820036</x:v>
      </x:c>
      <x:c r="E3384" s="85" t="n">
        <x:f>D3384+'Resumen'!$B$5^3/3</x:f>
        <x:v>0.05236288851329729</x:v>
      </x:c>
    </x:row>
    <x:row r="3385">
      <x:c r="A3385" s="89" t="n">
        <x:v>3383</x:v>
      </x:c>
      <x:c r="B3385" s="80" t="n">
        <x:v>1.5146420106966607</x:v>
      </x:c>
      <x:c r="C3385" s="84" t="n">
        <x:f>SQRT('Resumen'!$B$5^3/3)*B3385</x:f>
        <x:v>0.874478972601633</x:v>
      </x:c>
      <x:c r="D3385" s="84" t="n">
        <x:f>C3385^2-'Resumen'!$B$5^3/3</x:f>
        <x:v>0.4313801401890743</x:v>
      </x:c>
      <x:c r="E3385" s="85" t="n">
        <x:f>D3385+'Resumen'!$B$5^3/3</x:f>
        <x:v>0.7647134735224076</x:v>
      </x:c>
    </x:row>
    <x:row r="3386">
      <x:c r="A3386" s="89" t="n">
        <x:v>3384</x:v>
      </x:c>
      <x:c r="B3386" s="80" t="n">
        <x:v>-0.6231025744656743</x:v>
      </x:c>
      <x:c r="C3386" s="84" t="n">
        <x:f>SQRT('Resumen'!$B$5^3/3)*B3386</x:f>
        <x:v>-0.35974843910050586</x:v>
      </x:c>
      <x:c r="D3386" s="84" t="n">
        <x:f>C3386^2-'Resumen'!$B$5^3/3</x:f>
        <x:v>-0.20391439389808294</x:v>
      </x:c>
      <x:c r="E3386" s="85" t="n">
        <x:f>D3386+'Resumen'!$B$5^3/3</x:f>
        <x:v>0.12941893943525037</x:v>
      </x:c>
    </x:row>
    <x:row r="3387">
      <x:c r="A3387" s="89" t="n">
        <x:v>3385</x:v>
      </x:c>
      <x:c r="B3387" s="80" t="n">
        <x:v>0.7523198234388413</x:v>
      </x:c>
      <x:c r="C3387" s="84" t="n">
        <x:f>SQRT('Resumen'!$B$5^3/3)*B3387</x:f>
        <x:v>0.43435205257910675</x:v>
      </x:c>
      <x:c r="D3387" s="84" t="n">
        <x:f>C3387^2-'Resumen'!$B$5^3/3</x:f>
        <x:v>-0.1446716277536502</x:v>
      </x:c>
      <x:c r="E3387" s="85" t="n">
        <x:f>D3387+'Resumen'!$B$5^3/3</x:f>
        <x:v>0.18866170557968312</x:v>
      </x:c>
    </x:row>
    <x:row r="3388">
      <x:c r="A3388" s="89" t="n">
        <x:v>3386</x:v>
      </x:c>
      <x:c r="B3388" s="80" t="n">
        <x:v>0.04483548361227802</x:v>
      </x:c>
      <x:c r="C3388" s="84" t="n">
        <x:f>SQRT('Resumen'!$B$5^3/3)*B3388</x:f>
        <x:v>0.02588577853279577</x:v>
      </x:c>
      <x:c r="D3388" s="84" t="n">
        <x:f>C3388^2-'Resumen'!$B$5^3/3</x:f>
        <x:v>-0.33266325980308437</x:v>
      </x:c>
      <x:c r="E3388" s="85" t="n">
        <x:f>D3388+'Resumen'!$B$5^3/3</x:f>
        <x:v>0.0006700735302489491</x:v>
      </x:c>
    </x:row>
    <x:row r="3389">
      <x:c r="A3389" s="89" t="n">
        <x:v>3387</x:v>
      </x:c>
      <x:c r="B3389" s="80" t="n">
        <x:v>-0.2825569866950731</x:v>
      </x:c>
      <x:c r="C3389" s="84" t="n">
        <x:f>SQRT('Resumen'!$B$5^3/3)*B3389</x:f>
        <x:v>-0.16313435232980997</x:v>
      </x:c>
      <x:c r="D3389" s="84" t="n">
        <x:f>C3389^2-'Resumen'!$B$5^3/3</x:f>
        <x:v>-0.30672051642326675</x:v>
      </x:c>
      <x:c r="E3389" s="85" t="n">
        <x:f>D3389+'Resumen'!$B$5^3/3</x:f>
        <x:v>0.02661281691006656</x:v>
      </x:c>
    </x:row>
    <x:row r="3390">
      <x:c r="A3390" s="89" t="n">
        <x:v>3388</x:v>
      </x:c>
      <x:c r="B3390" s="80" t="n">
        <x:v>-0.1694318251368005</x:v>
      </x:c>
      <x:c r="C3390" s="84" t="n">
        <x:f>SQRT('Resumen'!$B$5^3/3)*B3390</x:f>
        <x:v>-0.09782150985202136</x:v>
      </x:c>
      <x:c r="D3390" s="84" t="n">
        <x:f>C3390^2-'Resumen'!$B$5^3/3</x:f>
        <x:v>-0.3237642855436042</x:v>
      </x:c>
      <x:c r="E3390" s="85" t="n">
        <x:f>D3390+'Resumen'!$B$5^3/3</x:f>
        <x:v>0.009569047789729113</x:v>
      </x:c>
    </x:row>
    <x:row r="3391">
      <x:c r="A3391" s="89" t="n">
        <x:v>3389</x:v>
      </x:c>
      <x:c r="B3391" s="80" t="n">
        <x:v>-1.6786573442863322</x:v>
      </x:c>
      <x:c r="C3391" s="84" t="n">
        <x:f>SQRT('Resumen'!$B$5^3/3)*B3391</x:f>
        <x:v>-0.9691732696008561</x:v>
      </x:c>
      <x:c r="D3391" s="84" t="n">
        <x:f>C3391^2-'Resumen'!$B$5^3/3</x:f>
        <x:v>0.6059634931754805</x:v>
      </x:c>
      <x:c r="E3391" s="85" t="n">
        <x:f>D3391+'Resumen'!$B$5^3/3</x:f>
        <x:v>0.9392968265088137</x:v>
      </x:c>
    </x:row>
    <x:row r="3392">
      <x:c r="A3392" s="89" t="n">
        <x:v>3390</x:v>
      </x:c>
      <x:c r="B3392" s="80" t="n">
        <x:v>-1.3983633183680695</x:v>
      </x:c>
      <x:c r="C3392" s="84" t="n">
        <x:f>SQRT('Resumen'!$B$5^3/3)*B3392</x:f>
        <x:v>-0.8073454382847032</x:v>
      </x:c>
      <x:c r="D3392" s="84" t="n">
        <x:f>C3392^2-'Resumen'!$B$5^3/3</x:f>
        <x:v>0.3184733233857861</x:v>
      </x:c>
      <x:c r="E3392" s="85" t="n">
        <x:f>D3392+'Resumen'!$B$5^3/3</x:f>
        <x:v>0.6518066567191194</x:v>
      </x:c>
    </x:row>
    <x:row r="3393">
      <x:c r="A3393" s="89" t="n">
        <x:v>3391</x:v>
      </x:c>
      <x:c r="B3393" s="80" t="n">
        <x:v>-0.10247603977069573</x:v>
      </x:c>
      <x:c r="C3393" s="84" t="n">
        <x:f>SQRT('Resumen'!$B$5^3/3)*B3393</x:f>
        <x:v>-0.05916456914709797</x:v>
      </x:c>
      <x:c r="D3393" s="84" t="n">
        <x:f>C3393^2-'Resumen'!$B$5^3/3</x:f>
        <x:v>-0.3298328870909716</x:v>
      </x:c>
      <x:c r="E3393" s="85" t="n">
        <x:f>D3393+'Resumen'!$B$5^3/3</x:f>
        <x:v>0.003500446242361732</x:v>
      </x:c>
    </x:row>
    <x:row r="3394">
      <x:c r="A3394" s="89" t="n">
        <x:v>3392</x:v>
      </x:c>
      <x:c r="B3394" s="80" t="n">
        <x:v>0.6589983942067703</x:v>
      </x:c>
      <x:c r="C3394" s="84" t="n">
        <x:f>SQRT('Resumen'!$B$5^3/3)*B3394</x:f>
        <x:v>0.38047290029080993</x:v>
      </x:c>
      <x:c r="D3394" s="84" t="n">
        <x:f>C3394^2-'Resumen'!$B$5^3/3</x:f>
        <x:v>-0.18857370547763272</x:v>
      </x:c>
      <x:c r="E3394" s="85" t="n">
        <x:f>D3394+'Resumen'!$B$5^3/3</x:f>
        <x:v>0.1447596278557006</x:v>
      </x:c>
    </x:row>
    <x:row r="3395">
      <x:c r="A3395" s="89" t="n">
        <x:v>3393</x:v>
      </x:c>
      <x:c r="B3395" s="80" t="n">
        <x:v>-2.203336807654138</x:v>
      </x:c>
      <x:c r="C3395" s="84" t="n">
        <x:f>SQRT('Resumen'!$B$5^3/3)*B3395</x:f>
        <x:v>-1.2720970990145273</x:v>
      </x:c>
      <x:c r="D3395" s="84" t="n">
        <x:f>C3395^2-'Resumen'!$B$5^3/3</x:f>
        <x:v>1.2848976959878426</x:v>
      </x:c>
      <x:c r="E3395" s="85" t="n">
        <x:f>D3395+'Resumen'!$B$5^3/3</x:f>
        <x:v>1.618231029321176</x:v>
      </x:c>
    </x:row>
    <x:row r="3396">
      <x:c r="A3396" s="89" t="n">
        <x:v>3394</x:v>
      </x:c>
      <x:c r="B3396" s="80" t="n">
        <x:v>1.156721143117226</x:v>
      </x:c>
      <x:c r="C3396" s="84" t="n">
        <x:f>SQRT('Resumen'!$B$5^3/3)*B3396</x:f>
        <x:v>0.667833263356062</x:v>
      </x:c>
      <x:c r="D3396" s="84" t="n">
        <x:f>C3396^2-'Resumen'!$B$5^3/3</x:f>
        <x:v>0.11266793431147393</x:v>
      </x:c>
      <x:c r="E3396" s="85" t="n">
        <x:f>D3396+'Resumen'!$B$5^3/3</x:f>
        <x:v>0.44600126764480724</x:v>
      </x:c>
    </x:row>
    <x:row r="3397">
      <x:c r="A3397" s="89" t="n">
        <x:v>3395</x:v>
      </x:c>
      <x:c r="B3397" s="80" t="n">
        <x:v>-0.4913742877486999</x:v>
      </x:c>
      <x:c r="C3397" s="84" t="n">
        <x:f>SQRT('Resumen'!$B$5^3/3)*B3397</x:f>
        <x:v>-0.2836950773045725</x:v>
      </x:c>
      <x:c r="D3397" s="84" t="n">
        <x:f>C3397^2-'Resumen'!$B$5^3/3</x:f>
        <x:v>-0.25285043644648597</x:v>
      </x:c>
      <x:c r="E3397" s="85" t="n">
        <x:f>D3397+'Resumen'!$B$5^3/3</x:f>
        <x:v>0.08048289688684734</x:v>
      </x:c>
    </x:row>
    <x:row r="3398">
      <x:c r="A3398" s="89" t="n">
        <x:v>3396</x:v>
      </x:c>
      <x:c r="B3398" s="80" t="n">
        <x:v>-0.474395892226154</x:v>
      </x:c>
      <x:c r="C3398" s="84" t="n">
        <x:f>SQRT('Resumen'!$B$5^3/3)*B3398</x:f>
        <x:v>-0.2738925960792227</x:v>
      </x:c>
      <x:c r="D3398" s="84" t="n">
        <x:f>C3398^2-'Resumen'!$B$5^3/3</x:f>
        <x:v>-0.25831617914631705</x:v>
      </x:c>
      <x:c r="E3398" s="85" t="n">
        <x:f>D3398+'Resumen'!$B$5^3/3</x:f>
        <x:v>0.07501715418701627</x:v>
      </x:c>
    </x:row>
    <x:row r="3399">
      <x:c r="A3399" s="89" t="n">
        <x:v>3397</x:v>
      </x:c>
      <x:c r="B3399" s="80" t="n">
        <x:v>-0.2756214539153945</x:v>
      </x:c>
      <x:c r="C3399" s="84" t="n">
        <x:f>SQRT('Resumen'!$B$5^3/3)*B3399</x:f>
        <x:v>-0.15913012061248905</x:v>
      </x:c>
      <x:c r="D3399" s="84" t="n">
        <x:f>C3399^2-'Resumen'!$B$5^3/3</x:f>
        <x:v>-0.308010938047188</x:v>
      </x:c>
      <x:c r="E3399" s="85" t="n">
        <x:f>D3399+'Resumen'!$B$5^3/3</x:f>
        <x:v>0.025322395286145327</x:v>
      </x:c>
    </x:row>
    <x:row r="3400">
      <x:c r="A3400" s="89" t="n">
        <x:v>3398</x:v>
      </x:c>
      <x:c r="B3400" s="80" t="n">
        <x:v>-0.03145366766387556</x:v>
      </x:c>
      <x:c r="C3400" s="84" t="n">
        <x:f>SQRT('Resumen'!$B$5^3/3)*B3400</x:f>
        <x:v>-0.018159783492739584</x:v>
      </x:c>
      <x:c r="D3400" s="84" t="n">
        <x:f>C3400^2-'Resumen'!$B$5^3/3</x:f>
        <x:v>-0.33300355559683015</x:v>
      </x:c>
      <x:c r="E3400" s="85" t="n">
        <x:f>D3400+'Resumen'!$B$5^3/3</x:f>
        <x:v>0.00032977773650316733</x:v>
      </x:c>
    </x:row>
    <x:row r="3401">
      <x:c r="A3401" s="89" t="n">
        <x:v>3399</x:v>
      </x:c>
      <x:c r="B3401" s="80" t="n">
        <x:v>0.6014243614762216</x:v>
      </x:c>
      <x:c r="C3401" s="84" t="n">
        <x:f>SQRT('Resumen'!$B$5^3/3)*B3401</x:f>
        <x:v>0.3472325169954953</x:v>
      </x:c>
      <x:c r="D3401" s="84" t="n">
        <x:f>C3401^2-'Resumen'!$B$5^3/3</x:f>
        <x:v>-0.2127629124743064</x:v>
      </x:c>
      <x:c r="E3401" s="85" t="n">
        <x:f>D3401+'Resumen'!$B$5^3/3</x:f>
        <x:v>0.12057042085902692</x:v>
      </x:c>
    </x:row>
    <x:row r="3402">
      <x:c r="A3402" s="89" t="n">
        <x:v>3400</x:v>
      </x:c>
      <x:c r="B3402" s="80" t="n">
        <x:v>0.8126154732924897</x:v>
      </x:c>
      <x:c r="C3402" s="84" t="n">
        <x:f>SQRT('Resumen'!$B$5^3/3)*B3402</x:f>
        <x:v>0.46916376225307405</x:v>
      </x:c>
      <x:c r="D3402" s="84" t="n">
        <x:f>C3402^2-'Resumen'!$B$5^3/3</x:f>
        <x:v>-0.11321869752187433</x:v>
      </x:c>
      <x:c r="E3402" s="85" t="n">
        <x:f>D3402+'Resumen'!$B$5^3/3</x:f>
        <x:v>0.220114635811459</x:v>
      </x:c>
    </x:row>
    <x:row r="3403">
      <x:c r="A3403" s="89" t="n">
        <x:v>3401</x:v>
      </x:c>
      <x:c r="B3403" s="80" t="n">
        <x:v>1.029616944910766</x:v>
      </x:c>
      <x:c r="C3403" s="84" t="n">
        <x:f>SQRT('Resumen'!$B$5^3/3)*B3403</x:f>
        <x:v>0.5944496203064308</x:v>
      </x:c>
      <x:c r="D3403" s="84" t="n">
        <x:f>C3403^2-'Resumen'!$B$5^3/3</x:f>
        <x:v>0.020037017749126418</x:v>
      </x:c>
      <x:c r="E3403" s="85" t="n">
        <x:f>D3403+'Resumen'!$B$5^3/3</x:f>
        <x:v>0.35337035108245973</x:v>
      </x:c>
    </x:row>
    <x:row r="3404">
      <x:c r="A3404" s="89" t="n">
        <x:v>3402</x:v>
      </x:c>
      <x:c r="B3404" s="80" t="n">
        <x:v>0.05871919774463337</x:v>
      </x:c>
      <x:c r="C3404" s="84" t="n">
        <x:f>SQRT('Resumen'!$B$5^3/3)*B3404</x:f>
        <x:v>0.03390154462446294</x:v>
      </x:c>
      <x:c r="D3404" s="84" t="n">
        <x:f>C3404^2-'Resumen'!$B$5^3/3</x:f>
        <x:v>-0.33218401860540886</x:v>
      </x:c>
      <x:c r="E3404" s="85" t="n">
        <x:f>D3404+'Resumen'!$B$5^3/3</x:f>
        <x:v>0.0011493147279244553</x:v>
      </x:c>
    </x:row>
    <x:row r="3405">
      <x:c r="A3405" s="89" t="n">
        <x:v>3403</x:v>
      </x:c>
      <x:c r="B3405" s="80" t="n">
        <x:v>1.4036547342283403</x:v>
      </x:c>
      <x:c r="C3405" s="84" t="n">
        <x:f>SQRT('Resumen'!$B$5^3/3)*B3405</x:f>
        <x:v>0.8104004386560248</x:v>
      </x:c>
      <x:c r="D3405" s="84" t="n">
        <x:f>C3405^2-'Resumen'!$B$5^3/3</x:f>
        <x:v>0.32341553764054415</x:v>
      </x:c>
      <x:c r="E3405" s="85" t="n">
        <x:f>D3405+'Resumen'!$B$5^3/3</x:f>
        <x:v>0.6567488709738775</x:v>
      </x:c>
    </x:row>
    <x:row r="3406">
      <x:c r="A3406" s="89" t="n">
        <x:v>3404</x:v>
      </x:c>
      <x:c r="B3406" s="80" t="n">
        <x:v>-0.1949542282242877</x:v>
      </x:c>
      <x:c r="C3406" s="84" t="n">
        <x:f>SQRT('Resumen'!$B$5^3/3)*B3406</x:f>
        <x:v>-0.11255687614494823</x:v>
      </x:c>
      <x:c r="D3406" s="84" t="n">
        <x:f>C3406^2-'Resumen'!$B$5^3/3</x:f>
        <x:v>-0.3206642829658241</x:v>
      </x:c>
      <x:c r="E3406" s="85" t="n">
        <x:f>D3406+'Resumen'!$B$5^3/3</x:f>
        <x:v>0.012669050367509205</x:v>
      </x:c>
    </x:row>
    <x:row r="3407">
      <x:c r="A3407" s="89" t="n">
        <x:v>3405</x:v>
      </x:c>
      <x:c r="B3407" s="80" t="n">
        <x:v>-0.45378834388557865</x:v>
      </x:c>
      <x:c r="C3407" s="84" t="n">
        <x:f>SQRT('Resumen'!$B$5^3/3)*B3407</x:f>
        <x:v>-0.26199482249745326</x:v>
      </x:c>
      <x:c r="D3407" s="84" t="n">
        <x:f>C3407^2-'Resumen'!$B$5^3/3</x:f>
        <x:v>-0.26469204631786125</x:v>
      </x:c>
      <x:c r="E3407" s="85" t="n">
        <x:f>D3407+'Resumen'!$B$5^3/3</x:f>
        <x:v>0.06864128701547206</x:v>
      </x:c>
    </x:row>
    <x:row r="3408">
      <x:c r="A3408" s="89" t="n">
        <x:v>3406</x:v>
      </x:c>
      <x:c r="B3408" s="80" t="n">
        <x:v>2.596265033024405</x:v>
      </x:c>
      <x:c r="C3408" s="84" t="n">
        <x:f>SQRT('Resumen'!$B$5^3/3)*B3408</x:f>
        <x:v>1.4989543157042526</x:v>
      </x:c>
      <x:c r="D3408" s="84" t="n">
        <x:f>C3408^2-'Resumen'!$B$5^3/3</x:f>
        <x:v>1.913530707235071</x:v>
      </x:c>
      <x:c r="E3408" s="85" t="n">
        <x:f>D3408+'Resumen'!$B$5^3/3</x:f>
        <x:v>2.246864040568404</x:v>
      </x:c>
    </x:row>
    <x:row r="3409">
      <x:c r="A3409" s="89" t="n">
        <x:v>3407</x:v>
      </x:c>
      <x:c r="B3409" s="80" t="n">
        <x:v>0.24646359054401099</x:v>
      </x:c>
      <x:c r="C3409" s="84" t="n">
        <x:f>SQRT('Resumen'!$B$5^3/3)*B3409</x:f>
        <x:v>0.14229582034602645</x:v>
      </x:c>
      <x:c r="D3409" s="84" t="n">
        <x:f>C3409^2-'Resumen'!$B$5^3/3</x:f>
        <x:v>-0.3130852328453847</x:v>
      </x:c>
      <x:c r="E3409" s="85" t="n">
        <x:f>D3409+'Resumen'!$B$5^3/3</x:f>
        <x:v>0.020248100487948617</x:v>
      </x:c>
    </x:row>
    <x:row r="3410">
      <x:c r="A3410" s="89" t="n">
        <x:v>3408</x:v>
      </x:c>
      <x:c r="B3410" s="80" t="n">
        <x:v>-0.25055089215386656</x:v>
      </x:c>
      <x:c r="C3410" s="84" t="n">
        <x:f>SQRT('Resumen'!$B$5^3/3)*B3410</x:f>
        <x:v>-0.14465562503073573</x:v>
      </x:c>
      <x:c r="D3410" s="84" t="n">
        <x:f>C3410^2-'Resumen'!$B$5^3/3</x:f>
        <x:v>-0.31240808348030047</x:v>
      </x:c>
      <x:c r="E3410" s="85" t="n">
        <x:f>D3410+'Resumen'!$B$5^3/3</x:f>
        <x:v>0.020925249853032846</x:v>
      </x:c>
    </x:row>
    <x:row r="3411">
      <x:c r="A3411" s="89" t="n">
        <x:v>3409</x:v>
      </x:c>
      <x:c r="B3411" s="80" t="n">
        <x:v>0.36602982697450087</x:v>
      </x:c>
      <x:c r="C3411" s="84" t="n">
        <x:f>SQRT('Resumen'!$B$5^3/3)*B3411</x:f>
        <x:v>0.2113274191351602</x:v>
      </x:c>
      <x:c r="D3411" s="84" t="n">
        <x:f>C3411^2-'Resumen'!$B$5^3/3</x:f>
        <x:v>-0.28867405525500567</x:v>
      </x:c>
      <x:c r="E3411" s="85" t="n">
        <x:f>D3411+'Resumen'!$B$5^3/3</x:f>
        <x:v>0.04465927807832765</x:v>
      </x:c>
    </x:row>
    <x:row r="3412">
      <x:c r="A3412" s="89" t="n">
        <x:v>3410</x:v>
      </x:c>
      <x:c r="B3412" s="80" t="n">
        <x:v>-0.7464680342641024</x:v>
      </x:c>
      <x:c r="C3412" s="84" t="n">
        <x:f>SQRT('Resumen'!$B$5^3/3)*B3412</x:f>
        <x:v>-0.43097352052383026</x:v>
      </x:c>
      <x:c r="D3412" s="84" t="n">
        <x:f>C3412^2-'Resumen'!$B$5^3/3</x:f>
        <x:v>-0.14759515794062897</x:v>
      </x:c>
      <x:c r="E3412" s="85" t="n">
        <x:f>D3412+'Resumen'!$B$5^3/3</x:f>
        <x:v>0.18573817539270435</x:v>
      </x:c>
    </x:row>
    <x:row r="3413">
      <x:c r="A3413" s="89" t="n">
        <x:v>3411</x:v>
      </x:c>
      <x:c r="B3413" s="80" t="n">
        <x:v>1.4981495312873414</x:v>
      </x:c>
      <x:c r="C3413" s="84" t="n">
        <x:f>SQRT('Resumen'!$B$5^3/3)*B3413</x:f>
        <x:v>0.8649570351750582</x:v>
      </x:c>
      <x:c r="D3413" s="84" t="n">
        <x:f>C3413^2-'Resumen'!$B$5^3/3</x:f>
        <x:v>0.41481733936549353</x:v>
      </x:c>
      <x:c r="E3413" s="85" t="n">
        <x:f>D3413+'Resumen'!$B$5^3/3</x:f>
        <x:v>0.7481506726988268</x:v>
      </x:c>
    </x:row>
    <x:row r="3414">
      <x:c r="A3414" s="89" t="n">
        <x:v>3412</x:v>
      </x:c>
      <x:c r="B3414" s="80" t="n">
        <x:v>-0.7448383327771725</x:v>
      </x:c>
      <x:c r="C3414" s="84" t="n">
        <x:f>SQRT('Resumen'!$B$5^3/3)*B3414</x:f>
        <x:v>-0.43003261193165254</x:v>
      </x:c>
      <x:c r="D3414" s="84" t="n">
        <x:f>C3414^2-'Resumen'!$B$5^3/3</x:f>
        <x:v>-0.14840528600857406</x:v>
      </x:c>
      <x:c r="E3414" s="85" t="n">
        <x:f>D3414+'Resumen'!$B$5^3/3</x:f>
        <x:v>0.18492804732475926</x:v>
      </x:c>
    </x:row>
    <x:row r="3415">
      <x:c r="A3415" s="89" t="n">
        <x:v>3413</x:v>
      </x:c>
      <x:c r="B3415" s="80" t="n">
        <x:v>0.5921487952920284</x:v>
      </x:c>
      <x:c r="C3415" s="84" t="n">
        <x:f>SQRT('Resumen'!$B$5^3/3)*B3415</x:f>
        <x:v>0.34187726636216514</x:v>
      </x:c>
      <x:c r="D3415" s="84" t="n">
        <x:f>C3415^2-'Resumen'!$B$5^3/3</x:f>
        <x:v>-0.2164532680780665</x:v>
      </x:c>
      <x:c r="E3415" s="85" t="n">
        <x:f>D3415+'Resumen'!$B$5^3/3</x:f>
        <x:v>0.11688006525526681</x:v>
      </x:c>
    </x:row>
    <x:row r="3416">
      <x:c r="A3416" s="89" t="n">
        <x:v>3414</x:v>
      </x:c>
      <x:c r="B3416" s="80" t="n">
        <x:v>1.5047804141094383</x:v>
      </x:c>
      <x:c r="C3416" s="84" t="n">
        <x:f>SQRT('Resumen'!$B$5^3/3)*B3416</x:f>
        <x:v>0.8687853771573607</x:v>
      </x:c>
      <x:c r="D3416" s="84" t="n">
        <x:f>C3416^2-'Resumen'!$B$5^3/3</x:f>
        <x:v>0.4214546982291241</x:v>
      </x:c>
      <x:c r="E3416" s="85" t="n">
        <x:f>D3416+'Resumen'!$B$5^3/3</x:f>
        <x:v>0.7547880315624574</x:v>
      </x:c>
    </x:row>
    <x:row r="3417">
      <x:c r="A3417" s="89" t="n">
        <x:v>3415</x:v>
      </x:c>
      <x:c r="B3417" s="80" t="n">
        <x:v>0.7904809535306092</x:v>
      </x:c>
      <x:c r="C3417" s="84" t="n">
        <x:f>SQRT('Resumen'!$B$5^3/3)*B3417</x:f>
        <x:v>0.4563843913101693</x:v>
      </x:c>
      <x:c r="D3417" s="84" t="n">
        <x:f>C3417^2-'Resumen'!$B$5^3/3</x:f>
        <x:v>-0.1250466207017796</x:v>
      </x:c>
      <x:c r="E3417" s="85" t="n">
        <x:f>D3417+'Resumen'!$B$5^3/3</x:f>
        <x:v>0.2082867126315537</x:v>
      </x:c>
    </x:row>
    <x:row r="3418">
      <x:c r="A3418" s="89" t="n">
        <x:v>3416</x:v>
      </x:c>
      <x:c r="B3418" s="80" t="n">
        <x:v>-0.1237557943248565</x:v>
      </x:c>
      <x:c r="C3418" s="84" t="n">
        <x:f>SQRT('Resumen'!$B$5^3/3)*B3418</x:f>
        <x:v>-0.07145044116723186</x:v>
      </x:c>
      <x:c r="D3418" s="84" t="n">
        <x:f>C3418^2-'Resumen'!$B$5^3/3</x:f>
        <x:v>-0.32822816779034125</x:v>
      </x:c>
      <x:c r="E3418" s="85" t="n">
        <x:f>D3418+'Resumen'!$B$5^3/3</x:f>
        <x:v>0.005105165542992063</x:v>
      </x:c>
    </x:row>
    <x:row r="3419">
      <x:c r="A3419" s="89" t="n">
        <x:v>3417</x:v>
      </x:c>
      <x:c r="B3419" s="80" t="n">
        <x:v>-0.015283226840673817</x:v>
      </x:c>
      <x:c r="C3419" s="84" t="n">
        <x:f>SQRT('Resumen'!$B$5^3/3)*B3419</x:f>
        <x:v>-0.008823775130549142</x:v>
      </x:c>
      <x:c r="D3419" s="84" t="n">
        <x:f>C3419^2-'Resumen'!$B$5^3/3</x:f>
        <x:v>-0.33325547432577884</x:v>
      </x:c>
      <x:c r="E3419" s="85" t="n">
        <x:f>D3419+'Resumen'!$B$5^3/3</x:f>
        <x:v>0.0000778590075544705</x:v>
      </x:c>
    </x:row>
    <x:row r="3420">
      <x:c r="A3420" s="89" t="n">
        <x:v>3418</x:v>
      </x:c>
      <x:c r="B3420" s="80" t="n">
        <x:v>-0.04675105740477382</x:v>
      </x:c>
      <x:c r="C3420" s="84" t="n">
        <x:f>SQRT('Resumen'!$B$5^3/3)*B3420</x:f>
        <x:v>-0.02699173557754581</x:v>
      </x:c>
      <x:c r="D3420" s="84" t="n">
        <x:f>C3420^2-'Resumen'!$B$5^3/3</x:f>
        <x:v>-0.33260477954384515</x:v>
      </x:c>
      <x:c r="E3420" s="85" t="n">
        <x:f>D3420+'Resumen'!$B$5^3/3</x:f>
        <x:v>0.0007285537894881622</x:v>
      </x:c>
    </x:row>
    <x:row r="3421">
      <x:c r="A3421" s="89" t="n">
        <x:v>3419</x:v>
      </x:c>
      <x:c r="B3421" s="80" t="n">
        <x:v>-1.1085845964270098</x:v>
      </x:c>
      <x:c r="C3421" s="84" t="n">
        <x:f>SQRT('Resumen'!$B$5^3/3)*B3421</x:f>
        <x:v>-0.6400416151666067</x:v>
      </x:c>
      <x:c r="D3421" s="84" t="n">
        <x:f>C3421^2-'Resumen'!$B$5^3/3</x:f>
        <x:v>0.0763199358117454</x:v>
      </x:c>
      <x:c r="E3421" s="85" t="n">
        <x:f>D3421+'Resumen'!$B$5^3/3</x:f>
        <x:v>0.4096532691450787</x:v>
      </x:c>
    </x:row>
    <x:row r="3422">
      <x:c r="A3422" s="89" t="n">
        <x:v>3420</x:v>
      </x:c>
      <x:c r="B3422" s="80" t="n">
        <x:v>-1.098396101280069</x:v>
      </x:c>
      <x:c r="C3422" s="84" t="n">
        <x:f>SQRT('Resumen'!$B$5^3/3)*B3422</x:f>
        <x:v>-0.6341592847508832</x:v>
      </x:c>
      <x:c r="D3422" s="84" t="n">
        <x:f>C3422^2-'Resumen'!$B$5^3/3</x:f>
        <x:v>0.06882466510241847</x:v>
      </x:c>
      <x:c r="E3422" s="85" t="n">
        <x:f>D3422+'Resumen'!$B$5^3/3</x:f>
        <x:v>0.4021579984357518</x:v>
      </x:c>
    </x:row>
    <x:row r="3423">
      <x:c r="A3423" s="89" t="n">
        <x:v>3421</x:v>
      </x:c>
      <x:c r="B3423" s="80" t="n">
        <x:v>-1.082136346038554</x:v>
      </x:c>
      <x:c r="C3423" s="84" t="n">
        <x:f>SQRT('Resumen'!$B$5^3/3)*B3423</x:f>
        <x:v>-0.6247717106852372</x:v>
      </x:c>
      <x:c r="D3423" s="84" t="n">
        <x:f>C3423^2-'Resumen'!$B$5^3/3</x:f>
        <x:v>0.05700635713922442</x:v>
      </x:c>
      <x:c r="E3423" s="85" t="n">
        <x:f>D3423+'Resumen'!$B$5^3/3</x:f>
        <x:v>0.39033969047255773</x:v>
      </x:c>
    </x:row>
    <x:row r="3424">
      <x:c r="A3424" s="89" t="n">
        <x:v>3422</x:v>
      </x:c>
      <x:c r="B3424" s="80" t="n">
        <x:v>-0.23152747558976425</x:v>
      </x:c>
      <x:c r="C3424" s="84" t="n">
        <x:f>SQRT('Resumen'!$B$5^3/3)*B3424</x:f>
        <x:v>-0.13367245035654488</x:v>
      </x:c>
      <x:c r="D3424" s="84" t="n">
        <x:f>C3424^2-'Resumen'!$B$5^3/3</x:f>
        <x:v>-0.31546500934901034</x:v>
      </x:c>
      <x:c r="E3424" s="85" t="n">
        <x:f>D3424+'Resumen'!$B$5^3/3</x:f>
        <x:v>0.017868323984322976</x:v>
      </x:c>
    </x:row>
    <x:row r="3425">
      <x:c r="A3425" s="89" t="n">
        <x:v>3423</x:v>
      </x:c>
      <x:c r="B3425" s="80" t="n">
        <x:v>0.1777668209625807</x:v>
      </x:c>
      <x:c r="C3425" s="84" t="n">
        <x:f>SQRT('Resumen'!$B$5^3/3)*B3425</x:f>
        <x:v>0.10263372193572998</x:v>
      </x:c>
      <x:c r="D3425" s="84" t="n">
        <x:f>C3425^2-'Resumen'!$B$5^3/3</x:f>
        <x:v>-0.32279965245495257</x:v>
      </x:c>
      <x:c r="E3425" s="85" t="n">
        <x:f>D3425+'Resumen'!$B$5^3/3</x:f>
        <x:v>0.010533680878380747</x:v>
      </x:c>
    </x:row>
    <x:row r="3426">
      <x:c r="A3426" s="89" t="n">
        <x:v>3424</x:v>
      </x:c>
      <x:c r="B3426" s="80" t="n">
        <x:v>0.5107539243346361</x:v>
      </x:c>
      <x:c r="C3426" s="84" t="n">
        <x:f>SQRT('Resumen'!$B$5^3/3)*B3426</x:f>
        <x:v>0.29488391570425987</x:v>
      </x:c>
      <x:c r="D3426" s="84" t="n">
        <x:f>C3426^2-'Resumen'!$B$5^3/3</x:f>
        <x:v>-0.24637680959225627</x:v>
      </x:c>
      <x:c r="E3426" s="85" t="n">
        <x:f>D3426+'Resumen'!$B$5^3/3</x:f>
        <x:v>0.08695652374107704</x:v>
      </x:c>
    </x:row>
    <x:row r="3427">
      <x:c r="A3427" s="89" t="n">
        <x:v>3425</x:v>
      </x:c>
      <x:c r="B3427" s="80" t="n">
        <x:v>-0.2812255115647619</x:v>
      </x:c>
      <x:c r="C3427" s="84" t="n">
        <x:f>SQRT('Resumen'!$B$5^3/3)*B3427</x:f>
        <x:v>-0.1623656248049055</x:v>
      </x:c>
      <x:c r="D3427" s="84" t="n">
        <x:f>C3427^2-'Resumen'!$B$5^3/3</x:f>
        <x:v>-0.306970737215046</x:v>
      </x:c>
      <x:c r="E3427" s="85" t="n">
        <x:f>D3427+'Resumen'!$B$5^3/3</x:f>
        <x:v>0.02636259611828734</x:v>
      </x:c>
    </x:row>
    <x:row r="3428">
      <x:c r="A3428" s="89" t="n">
        <x:v>3426</x:v>
      </x:c>
      <x:c r="B3428" s="80" t="n">
        <x:v>1.4434211826989236</x:v>
      </x:c>
      <x:c r="C3428" s="84" t="n">
        <x:f>SQRT('Resumen'!$B$5^3/3)*B3428</x:f>
        <x:v>0.8333596083852315</x:v>
      </x:c>
      <x:c r="D3428" s="84" t="n">
        <x:f>C3428^2-'Resumen'!$B$5^3/3</x:f>
        <x:v>0.361154903554653</x:v>
      </x:c>
      <x:c r="E3428" s="85" t="n">
        <x:f>D3428+'Resumen'!$B$5^3/3</x:f>
        <x:v>0.6944882368879863</x:v>
      </x:c>
    </x:row>
    <x:row r="3429">
      <x:c r="A3429" s="89" t="n">
        <x:v>3427</x:v>
      </x:c>
      <x:c r="B3429" s="80" t="n">
        <x:v>-0.17548632260301933</x:v>
      </x:c>
      <x:c r="C3429" s="84" t="n">
        <x:f>SQRT('Resumen'!$B$5^3/3)*B3429</x:f>
        <x:v>-0.10131707559395071</x:v>
      </x:c>
      <x:c r="D3429" s="84" t="n">
        <x:f>C3429^2-'Resumen'!$B$5^3/3</x:f>
        <x:v>-0.32306818352642297</x:v>
      </x:c>
      <x:c r="E3429" s="85" t="n">
        <x:f>D3429+'Resumen'!$B$5^3/3</x:f>
        <x:v>0.010265149806910345</x:v>
      </x:c>
    </x:row>
    <x:row r="3430">
      <x:c r="A3430" s="89" t="n">
        <x:v>3428</x:v>
      </x:c>
      <x:c r="B3430" s="80" t="n">
        <x:v>0.22496421941731792</x:v>
      </x:c>
      <x:c r="C3430" s="84" t="n">
        <x:f>SQRT('Resumen'!$B$5^3/3)*B3430</x:f>
        <x:v>0.12988315263862252</x:v>
      </x:c>
      <x:c r="D3430" s="84" t="n">
        <x:f>C3430^2-'Resumen'!$B$5^3/3</x:f>
        <x:v>-0.3164636999939856</x:v>
      </x:c>
      <x:c r="E3430" s="85" t="n">
        <x:f>D3430+'Resumen'!$B$5^3/3</x:f>
        <x:v>0.01686963333934771</x:v>
      </x:c>
    </x:row>
    <x:row r="3431">
      <x:c r="A3431" s="89" t="n">
        <x:v>3429</x:v>
      </x:c>
      <x:c r="B3431" s="80" t="n">
        <x:v>0.9649280158685891</x:v>
      </x:c>
      <x:c r="C3431" s="84" t="n">
        <x:f>SQRT('Resumen'!$B$5^3/3)*B3431</x:f>
        <x:v>0.5571014497103414</x:v>
      </x:c>
      <x:c r="D3431" s="84" t="n">
        <x:f>C3431^2-'Resumen'!$B$5^3/3</x:f>
        <x:v>-0.022971308063969298</x:v>
      </x:c>
      <x:c r="E3431" s="85" t="n">
        <x:f>D3431+'Resumen'!$B$5^3/3</x:f>
        <x:v>0.310362025269364</x:v>
      </x:c>
    </x:row>
    <x:row r="3432">
      <x:c r="A3432" s="89" t="n">
        <x:v>3430</x:v>
      </x:c>
      <x:c r="B3432" s="80" t="n">
        <x:v>0.29244930853140794</x:v>
      </x:c>
      <x:c r="C3432" s="84" t="n">
        <x:f>SQRT('Resumen'!$B$5^3/3)*B3432</x:f>
        <x:v>0.16884568700492827</x:v>
      </x:c>
      <x:c r="D3432" s="84" t="n">
        <x:f>C3432^2-'Resumen'!$B$5^3/3</x:f>
        <x:v>-0.3048244673131671</x:v>
      </x:c>
      <x:c r="E3432" s="85" t="n">
        <x:f>D3432+'Resumen'!$B$5^3/3</x:f>
        <x:v>0.028508866020166224</x:v>
      </x:c>
    </x:row>
    <x:row r="3433">
      <x:c r="A3433" s="89" t="n">
        <x:v>3431</x:v>
      </x:c>
      <x:c r="B3433" s="80" t="n">
        <x:v>0.3126776841235393</x:v>
      </x:c>
      <x:c r="C3433" s="84" t="n">
        <x:f>SQRT('Resumen'!$B$5^3/3)*B3433</x:f>
        <x:v>0.18052454509831417</x:v>
      </x:c>
      <x:c r="D3433" s="84" t="n">
        <x:f>C3433^2-'Resumen'!$B$5^3/3</x:f>
        <x:v>-0.30074422195038003</x:v>
      </x:c>
      <x:c r="E3433" s="85" t="n">
        <x:f>D3433+'Resumen'!$B$5^3/3</x:f>
        <x:v>0.032589111382953284</x:v>
      </x:c>
    </x:row>
    <x:row r="3434">
      <x:c r="A3434" s="89" t="n">
        <x:v>3432</x:v>
      </x:c>
      <x:c r="B3434" s="80" t="n">
        <x:v>2.0976534962358566</x:v>
      </x:c>
      <x:c r="C3434" s="84" t="n">
        <x:f>SQRT('Resumen'!$B$5^3/3)*B3434</x:f>
        <x:v>1.2110808107183313</x:v>
      </x:c>
      <x:c r="D3434" s="84" t="n">
        <x:f>C3434^2-'Resumen'!$B$5^3/3</x:f>
        <x:v>1.1333833967568374</x:v>
      </x:c>
      <x:c r="E3434" s="85" t="n">
        <x:f>D3434+'Resumen'!$B$5^3/3</x:f>
        <x:v>1.4667167300901707</x:v>
      </x:c>
    </x:row>
    <x:row r="3435">
      <x:c r="A3435" s="89" t="n">
        <x:v>3433</x:v>
      </x:c>
      <x:c r="B3435" s="80" t="n">
        <x:v>0.46916509066342205</x:v>
      </x:c>
      <x:c r="C3435" s="84" t="n">
        <x:f>SQRT('Resumen'!$B$5^3/3)*B3435</x:f>
        <x:v>0.2708725913889019</x:v>
      </x:c>
      <x:c r="D3435" s="84" t="n">
        <x:f>C3435^2-'Resumen'!$B$5^3/3</x:f>
        <x:v>-0.25996137256759433</x:v>
      </x:c>
      <x:c r="E3435" s="85" t="n">
        <x:f>D3435+'Resumen'!$B$5^3/3</x:f>
        <x:v>0.07337196076573899</x:v>
      </x:c>
    </x:row>
    <x:row r="3436">
      <x:c r="A3436" s="89" t="n">
        <x:v>3434</x:v>
      </x:c>
      <x:c r="B3436" s="80" t="n">
        <x:v>2.627151942451207</x:v>
      </x:c>
      <x:c r="C3436" s="84" t="n">
        <x:f>SQRT('Resumen'!$B$5^3/3)*B3436</x:f>
        <x:v>1.5167868811762524</x:v>
      </x:c>
      <x:c r="D3436" s="84" t="n">
        <x:f>C3436^2-'Resumen'!$B$5^3/3</x:f>
        <x:v>1.9673091095750495</x:v>
      </x:c>
      <x:c r="E3436" s="85" t="n">
        <x:f>D3436+'Resumen'!$B$5^3/3</x:f>
        <x:v>2.3006424429083827</x:v>
      </x:c>
    </x:row>
    <x:row r="3437">
      <x:c r="A3437" s="89" t="n">
        <x:v>3435</x:v>
      </x:c>
      <x:c r="B3437" s="80" t="n">
        <x:v>0.07966738381354323</x:v>
      </x:c>
      <x:c r="C3437" s="84" t="n">
        <x:f>SQRT('Resumen'!$B$5^3/3)*B3437</x:f>
        <x:v>0.04599598549038241</x:v>
      </x:c>
      <x:c r="D3437" s="84" t="n">
        <x:f>C3437^2-'Resumen'!$B$5^3/3</x:f>
        <x:v>-0.3312177026521018</x:v>
      </x:c>
      <x:c r="E3437" s="85" t="n">
        <x:f>D3437+'Resumen'!$B$5^3/3</x:f>
        <x:v>0.002115630681231495</x:v>
      </x:c>
    </x:row>
    <x:row r="3438">
      <x:c r="A3438" s="89" t="n">
        <x:v>3436</x:v>
      </x:c>
      <x:c r="B3438" s="80" t="n">
        <x:v>2.570652240239481</x:v>
      </x:c>
      <x:c r="C3438" s="84" t="n">
        <x:f>SQRT('Resumen'!$B$5^3/3)*B3438</x:f>
        <x:v>1.484166762895179</x:v>
      </x:c>
      <x:c r="D3438" s="84" t="n">
        <x:f>C3438^2-'Resumen'!$B$5^3/3</x:f>
        <x:v>1.8694176467494208</x:v>
      </x:c>
      <x:c r="E3438" s="85" t="n">
        <x:f>D3438+'Resumen'!$B$5^3/3</x:f>
        <x:v>2.202750980082754</x:v>
      </x:c>
    </x:row>
    <x:row r="3439">
      <x:c r="A3439" s="89" t="n">
        <x:v>3437</x:v>
      </x:c>
      <x:c r="B3439" s="80" t="n">
        <x:v>1.6284637135580924</x:v>
      </x:c>
      <x:c r="C3439" s="84" t="n">
        <x:f>SQRT('Resumen'!$B$5^3/3)*B3439</x:f>
        <x:v>0.9401939633883022</x:v>
      </x:c>
      <x:c r="D3439" s="84" t="n">
        <x:f>C3439^2-'Resumen'!$B$5^3/3</x:f>
        <x:v>0.5506313554584708</x:v>
      </x:c>
      <x:c r="E3439" s="85" t="n">
        <x:f>D3439+'Resumen'!$B$5^3/3</x:f>
        <x:v>0.883964688791804</x:v>
      </x:c>
    </x:row>
    <x:row r="3440">
      <x:c r="A3440" s="89" t="n">
        <x:v>3438</x:v>
      </x:c>
      <x:c r="B3440" s="80" t="n">
        <x:v>0.36864555580547576</x:v>
      </x:c>
      <x:c r="C3440" s="84" t="n">
        <x:f>SQRT('Resumen'!$B$5^3/3)*B3440</x:f>
        <x:v>0.21283761087985062</x:v>
      </x:c>
      <x:c r="D3440" s="84" t="n">
        <x:f>C3440^2-'Resumen'!$B$5^3/3</x:f>
        <x:v>-0.2880334847282906</x:v>
      </x:c>
      <x:c r="E3440" s="85" t="n">
        <x:f>D3440+'Resumen'!$B$5^3/3</x:f>
        <x:v>0.045299848605042714</x:v>
      </x:c>
    </x:row>
    <x:row r="3441">
      <x:c r="A3441" s="89" t="n">
        <x:v>3439</x:v>
      </x:c>
      <x:c r="B3441" s="80" t="n">
        <x:v>-0.07577300927661162</x:v>
      </x:c>
      <x:c r="C3441" s="84" t="n">
        <x:f>SQRT('Resumen'!$B$5^3/3)*B3441</x:f>
        <x:v>-0.04374756730315973</x:v>
      </x:c>
      <x:c r="D3441" s="84" t="n">
        <x:f>C3441^2-'Resumen'!$B$5^3/3</x:f>
        <x:v>-0.3314194836883888</x:v>
      </x:c>
      <x:c r="E3441" s="85" t="n">
        <x:f>D3441+'Resumen'!$B$5^3/3</x:f>
        <x:v>0.0019138496449445097</x:v>
      </x:c>
    </x:row>
    <x:row r="3442">
      <x:c r="A3442" s="89" t="n">
        <x:v>3440</x:v>
      </x:c>
      <x:c r="B3442" s="80" t="n">
        <x:v>-1.5796037820567672</x:v>
      </x:c>
      <x:c r="C3442" s="84" t="n">
        <x:f>SQRT('Resumen'!$B$5^3/3)*B3442</x:f>
        <x:v>-0.9119846687834254</x:v>
      </x:c>
      <x:c r="D3442" s="84" t="n">
        <x:f>C3442^2-'Resumen'!$B$5^3/3</x:f>
        <x:v>0.4983827027626809</x:v>
      </x:c>
      <x:c r="E3442" s="85" t="n">
        <x:f>D3442+'Resumen'!$B$5^3/3</x:f>
        <x:v>0.8317160360960142</x:v>
      </x:c>
    </x:row>
    <x:row r="3443">
      <x:c r="A3443" s="89" t="n">
        <x:v>3441</x:v>
      </x:c>
      <x:c r="B3443" s="80" t="n">
        <x:v>0.8394929121796483</x:v>
      </x:c>
      <x:c r="C3443" s="84" t="n">
        <x:f>SQRT('Resumen'!$B$5^3/3)*B3443</x:f>
        <x:v>0.48468145882970276</x:v>
      </x:c>
      <x:c r="D3443" s="84" t="n">
        <x:f>C3443^2-'Resumen'!$B$5^3/3</x:f>
        <x:v>-0.09841721680004445</x:v>
      </x:c>
      <x:c r="E3443" s="85" t="n">
        <x:f>D3443+'Resumen'!$B$5^3/3</x:f>
        <x:v>0.23491611653328887</x:v>
      </x:c>
    </x:row>
    <x:row r="3444">
      <x:c r="A3444" s="89" t="n">
        <x:v>3442</x:v>
      </x:c>
      <x:c r="B3444" s="80" t="n">
        <x:v>0.5425894302399503</x:v>
      </x:c>
      <x:c r="C3444" s="84" t="n">
        <x:f>SQRT('Resumen'!$B$5^3/3)*B3444</x:f>
        <x:v>0.313264153608481</x:v>
      </x:c>
      <x:c r="D3444" s="84" t="n">
        <x:f>C3444^2-'Resumen'!$B$5^3/3</x:f>
        <x:v>-0.23519890339729535</x:v>
      </x:c>
      <x:c r="E3444" s="85" t="n">
        <x:f>D3444+'Resumen'!$B$5^3/3</x:f>
        <x:v>0.09813442993603796</x:v>
      </x:c>
    </x:row>
    <x:row r="3445">
      <x:c r="A3445" s="89" t="n">
        <x:v>3443</x:v>
      </x:c>
      <x:c r="B3445" s="80" t="n">
        <x:v>0.6061814825537564</x:v>
      </x:c>
      <x:c r="C3445" s="84" t="n">
        <x:f>SQRT('Resumen'!$B$5^3/3)*B3445</x:f>
        <x:v>0.34997904213017766</x:v>
      </x:c>
      <x:c r="D3445" s="84" t="n">
        <x:f>C3445^2-'Resumen'!$B$5^3/3</x:f>
        <x:v>-0.21084800340297666</x:v>
      </x:c>
      <x:c r="E3445" s="85" t="n">
        <x:f>D3445+'Resumen'!$B$5^3/3</x:f>
        <x:v>0.12248532993035666</x:v>
      </x:c>
    </x:row>
    <x:row r="3446">
      <x:c r="A3446" s="89" t="n">
        <x:v>3444</x:v>
      </x:c>
      <x:c r="B3446" s="80" t="n">
        <x:v>-1.2398825982316393</x:v>
      </x:c>
      <x:c r="C3446" s="84" t="n">
        <x:f>SQRT('Resumen'!$B$5^3/3)*B3446</x:f>
        <x:v>-0.7158465518525695</x:v>
      </x:c>
      <x:c r="D3446" s="84" t="n">
        <x:f>C3446^2-'Resumen'!$B$5^3/3</x:f>
        <x:v>0.1791029524658802</x:v>
      </x:c>
      <x:c r="E3446" s="85" t="n">
        <x:f>D3446+'Resumen'!$B$5^3/3</x:f>
        <x:v>0.5124362857992135</x:v>
      </x:c>
    </x:row>
    <x:row r="3447">
      <x:c r="A3447" s="89" t="n">
        <x:v>3445</x:v>
      </x:c>
      <x:c r="B3447" s="80" t="n">
        <x:v>0.7598363308194734</x:v>
      </x:c>
      <x:c r="C3447" s="84" t="n">
        <x:f>SQRT('Resumen'!$B$5^3/3)*B3447</x:f>
        <x:v>0.4386917101386805</x:v>
      </x:c>
      <x:c r="D3447" s="84" t="n">
        <x:f>C3447^2-'Resumen'!$B$5^3/3</x:f>
        <x:v>-0.14088291678893322</x:v>
      </x:c>
      <x:c r="E3447" s="85" t="n">
        <x:f>D3447+'Resumen'!$B$5^3/3</x:f>
        <x:v>0.1924504165444001</x:v>
      </x:c>
    </x:row>
    <x:row r="3448">
      <x:c r="A3448" s="89" t="n">
        <x:v>3446</x:v>
      </x:c>
      <x:c r="B3448" s="80" t="n">
        <x:v>0.6551898147902051</x:v>
      </x:c>
      <x:c r="C3448" s="84" t="n">
        <x:f>SQRT('Resumen'!$B$5^3/3)*B3448</x:f>
        <x:v>0.37827401593942594</x:v>
      </x:c>
      <x:c r="D3448" s="84" t="n">
        <x:f>C3448^2-'Resumen'!$B$5^3/3</x:f>
        <x:v>-0.19024210219839224</x:v>
      </x:c>
      <x:c r="E3448" s="85" t="n">
        <x:f>D3448+'Resumen'!$B$5^3/3</x:f>
        <x:v>0.14309123113494107</x:v>
      </x:c>
    </x:row>
    <x:row r="3449">
      <x:c r="A3449" s="89" t="n">
        <x:v>3447</x:v>
      </x:c>
      <x:c r="B3449" s="80" t="n">
        <x:v>-1.485678064346087</x:v>
      </x:c>
      <x:c r="C3449" s="84" t="n">
        <x:f>SQRT('Resumen'!$B$5^3/3)*B3449</x:f>
        <x:v>-0.8577566303793354</x:v>
      </x:c>
      <x:c r="D3449" s="84" t="n">
        <x:f>C3449^2-'Resumen'!$B$5^3/3</x:f>
        <x:v>0.40241310362637844</x:v>
      </x:c>
      <x:c r="E3449" s="85" t="n">
        <x:f>D3449+'Resumen'!$B$5^3/3</x:f>
        <x:v>0.7357464369597118</x:v>
      </x:c>
    </x:row>
    <x:row r="3450">
      <x:c r="A3450" s="89" t="n">
        <x:v>3448</x:v>
      </x:c>
      <x:c r="B3450" s="80" t="n">
        <x:v>-1.8885442014933662</x:v>
      </x:c>
      <x:c r="C3450" s="84" t="n">
        <x:f>SQRT('Resumen'!$B$5^3/3)*B3450</x:f>
        <x:v>-1.0903515031087017</x:v>
      </x:c>
      <x:c r="D3450" s="84" t="n">
        <x:f>C3450^2-'Resumen'!$B$5^3/3</x:f>
        <x:v>0.8555330669980719</x:v>
      </x:c>
      <x:c r="E3450" s="85" t="n">
        <x:f>D3450+'Resumen'!$B$5^3/3</x:f>
        <x:v>1.1888664003314051</x:v>
      </x:c>
    </x:row>
    <x:row r="3451">
      <x:c r="A3451" s="89" t="n">
        <x:v>3449</x:v>
      </x:c>
      <x:c r="B3451" s="80" t="n">
        <x:v>1.0677200871177916</x:v>
      </x:c>
      <x:c r="C3451" s="84" t="n">
        <x:f>SQRT('Resumen'!$B$5^3/3)*B3451</x:f>
        <x:v>0.6164484797166276</x:v>
      </x:c>
      <x:c r="D3451" s="84" t="n">
        <x:f>C3451^2-'Resumen'!$B$5^3/3</x:f>
        <x:v>0.04667539481160815</x:v>
      </x:c>
      <x:c r="E3451" s="85" t="n">
        <x:f>D3451+'Resumen'!$B$5^3/3</x:f>
        <x:v>0.38000872814494147</x:v>
      </x:c>
    </x:row>
    <x:row r="3452">
      <x:c r="A3452" s="89" t="n">
        <x:v>3450</x:v>
      </x:c>
      <x:c r="B3452" s="80" t="n">
        <x:v>-0.25729214906832165</x:v>
      </x:c>
      <x:c r="C3452" s="84" t="n">
        <x:f>SQRT('Resumen'!$B$5^3/3)*B3452</x:f>
        <x:v>-0.14854769152497282</x:v>
      </x:c>
      <x:c r="D3452" s="84" t="n">
        <x:f>C3452^2-'Resumen'!$B$5^3/3</x:f>
        <x:v>-0.3112669166759348</x:v>
      </x:c>
      <x:c r="E3452" s="85" t="n">
        <x:f>D3452+'Resumen'!$B$5^3/3</x:f>
        <x:v>0.022066416657398502</x:v>
      </x:c>
    </x:row>
    <x:row r="3453">
      <x:c r="A3453" s="89" t="n">
        <x:v>3451</x:v>
      </x:c>
      <x:c r="B3453" s="80" t="n">
        <x:v>-1.4486047506161444</x:v>
      </x:c>
      <x:c r="C3453" s="84" t="n">
        <x:f>SQRT('Resumen'!$B$5^3/3)*B3453</x:f>
        <x:v>-0.8363523427176016</x:v>
      </x:c>
      <x:c r="D3453" s="84" t="n">
        <x:f>C3453^2-'Resumen'!$B$5^3/3</x:f>
        <x:v>0.3661519078358872</x:v>
      </x:c>
      <x:c r="E3453" s="85" t="n">
        <x:f>D3453+'Resumen'!$B$5^3/3</x:f>
        <x:v>0.6994852411692205</x:v>
      </x:c>
    </x:row>
    <x:row r="3454">
      <x:c r="A3454" s="89" t="n">
        <x:v>3452</x:v>
      </x:c>
      <x:c r="B3454" s="80" t="n">
        <x:v>-1.2650443009875152</x:v>
      </x:c>
      <x:c r="C3454" s="84" t="n">
        <x:f>SQRT('Resumen'!$B$5^3/3)*B3454</x:f>
        <x:v>-0.7303736677119438</x:v>
      </x:c>
      <x:c r="D3454" s="84" t="n">
        <x:f>C3454^2-'Resumen'!$B$5^3/3</x:f>
        <x:v>0.20011236115366354</x:v>
      </x:c>
      <x:c r="E3454" s="85" t="n">
        <x:f>D3454+'Resumen'!$B$5^3/3</x:f>
        <x:v>0.5334456944869969</x:v>
      </x:c>
    </x:row>
    <x:row r="3455">
      <x:c r="A3455" s="89" t="n">
        <x:v>3453</x:v>
      </x:c>
      <x:c r="B3455" s="80" t="n">
        <x:v>-1.3779736526123763</x:v>
      </x:c>
      <x:c r="C3455" s="84" t="n">
        <x:f>SQRT('Resumen'!$B$5^3/3)*B3455</x:f>
        <x:v>-0.7955734592719672</x:v>
      </x:c>
      <x:c r="D3455" s="84" t="n">
        <x:f>C3455^2-'Resumen'!$B$5^3/3</x:f>
        <x:v>0.2996037957646312</x:v>
      </x:c>
      <x:c r="E3455" s="85" t="n">
        <x:f>D3455+'Resumen'!$B$5^3/3</x:f>
        <x:v>0.6329371290979645</x:v>
      </x:c>
    </x:row>
    <x:row r="3456">
      <x:c r="A3456" s="89" t="n">
        <x:v>3454</x:v>
      </x:c>
      <x:c r="B3456" s="80" t="n">
        <x:v>-0.1316109561396226</x:v>
      </x:c>
      <x:c r="C3456" s="84" t="n">
        <x:f>SQRT('Resumen'!$B$5^3/3)*B3456</x:f>
        <x:v>-0.07598562095551513</x:v>
      </x:c>
      <x:c r="D3456" s="84" t="n">
        <x:f>C3456^2-'Resumen'!$B$5^3/3</x:f>
        <x:v>-0.3275595187413381</x:v>
      </x:c>
      <x:c r="E3456" s="85" t="n">
        <x:f>D3456+'Resumen'!$B$5^3/3</x:f>
        <x:v>0.005773814591995219</x:v>
      </x:c>
    </x:row>
    <x:row r="3457">
      <x:c r="A3457" s="89" t="n">
        <x:v>3455</x:v>
      </x:c>
      <x:c r="B3457" s="80" t="n">
        <x:v>-0.38006525284049736</x:v>
      </x:c>
      <x:c r="C3457" s="84" t="n">
        <x:f>SQRT('Resumen'!$B$5^3/3)*B3457</x:f>
        <x:v>-0.2194307760370843</x:v>
      </x:c>
      <x:c r="D3457" s="84" t="n">
        <x:f>C3457^2-'Resumen'!$B$5^3/3</x:f>
        <x:v>-0.2851834678610963</x:v>
      </x:c>
      <x:c r="E3457" s="85" t="n">
        <x:f>D3457+'Resumen'!$B$5^3/3</x:f>
        <x:v>0.04814986547223704</x:v>
      </x:c>
    </x:row>
    <x:row r="3458">
      <x:c r="A3458" s="89" t="n">
        <x:v>3456</x:v>
      </x:c>
      <x:c r="B3458" s="80" t="n">
        <x:v>1.413672902391131</x:v>
      </x:c>
      <x:c r="C3458" s="84" t="n">
        <x:f>SQRT('Resumen'!$B$5^3/3)*B3458</x:f>
        <x:v>0.816184430741599</x:v>
      </x:c>
      <x:c r="D3458" s="84" t="n">
        <x:f>C3458^2-'Resumen'!$B$5^3/3</x:f>
        <x:v>0.33282369165165465</x:v>
      </x:c>
      <x:c r="E3458" s="85" t="n">
        <x:f>D3458+'Resumen'!$B$5^3/3</x:f>
        <x:v>0.666157024984988</x:v>
      </x:c>
    </x:row>
    <x:row r="3459">
      <x:c r="A3459" s="89" t="n">
        <x:v>3457</x:v>
      </x:c>
      <x:c r="B3459" s="80" t="n">
        <x:v>0.5690649030980589</x:v>
      </x:c>
      <x:c r="C3459" s="84" t="n">
        <x:f>SQRT('Resumen'!$B$5^3/3)*B3459</x:f>
        <x:v>0.3285497749900326</x:v>
      </x:c>
      <x:c r="D3459" s="84" t="n">
        <x:f>C3459^2-'Resumen'!$B$5^3/3</x:f>
        <x:v>-0.2253883786873323</x:v>
      </x:c>
      <x:c r="E3459" s="85" t="n">
        <x:f>D3459+'Resumen'!$B$5^3/3</x:f>
        <x:v>0.10794495464600101</x:v>
      </x:c>
    </x:row>
    <x:row r="3460">
      <x:c r="A3460" s="89" t="n">
        <x:v>3458</x:v>
      </x:c>
      <x:c r="B3460" s="80" t="n">
        <x:v>0.7325702146559585</x:v>
      </x:c>
      <x:c r="C3460" s="84" t="n">
        <x:f>SQRT('Resumen'!$B$5^3/3)*B3460</x:f>
        <x:v>0.42294961063191955</x:v>
      </x:c>
      <x:c r="D3460" s="84" t="n">
        <x:f>C3460^2-'Resumen'!$B$5^3/3</x:f>
        <x:v>-0.15444696019964096</x:v>
      </x:c>
      <x:c r="E3460" s="85" t="n">
        <x:f>D3460+'Resumen'!$B$5^3/3</x:f>
        <x:v>0.17888637313369235</x:v>
      </x:c>
    </x:row>
    <x:row r="3461">
      <x:c r="A3461" s="89" t="n">
        <x:v>3459</x:v>
      </x:c>
      <x:c r="B3461" s="80" t="n">
        <x:v>-1.257639551940814</x:v>
      </x:c>
      <x:c r="C3461" s="84" t="n">
        <x:f>SQRT('Resumen'!$B$5^3/3)*B3461</x:f>
        <x:v>-0.7260985338565492</x:v>
      </x:c>
      <x:c r="D3461" s="84" t="n">
        <x:f>C3461^2-'Resumen'!$B$5^3/3</x:f>
        <x:v>0.19388574753529703</x:v>
      </x:c>
      <x:c r="E3461" s="85" t="n">
        <x:f>D3461+'Resumen'!$B$5^3/3</x:f>
        <x:v>0.5272190808686303</x:v>
      </x:c>
    </x:row>
    <x:row r="3462">
      <x:c r="A3462" s="89" t="n">
        <x:v>3460</x:v>
      </x:c>
      <x:c r="B3462" s="80" t="n">
        <x:v>-0.4530485511312239</x:v>
      </x:c>
      <x:c r="C3462" s="84" t="n">
        <x:f>SQRT('Resumen'!$B$5^3/3)*B3462</x:f>
        <x:v>-0.26156770295158205</x:v>
      </x:c>
      <x:c r="D3462" s="84" t="n">
        <x:f>C3462^2-'Resumen'!$B$5^3/3</x:f>
        <x:v>-0.2649156701059663</x:v>
      </x:c>
      <x:c r="E3462" s="85" t="n">
        <x:f>D3462+'Resumen'!$B$5^3/3</x:f>
        <x:v>0.06841766322736703</x:v>
      </x:c>
    </x:row>
    <x:row r="3463">
      <x:c r="A3463" s="89" t="n">
        <x:v>3461</x:v>
      </x:c>
      <x:c r="B3463" s="80" t="n">
        <x:v>-0.1251748476238646</x:v>
      </x:c>
      <x:c r="C3463" s="84" t="n">
        <x:f>SQRT('Resumen'!$B$5^3/3)*B3463</x:f>
        <x:v>-0.07226973197140861</x:v>
      </x:c>
      <x:c r="D3463" s="84" t="n">
        <x:f>C3463^2-'Resumen'!$B$5^3/3</x:f>
        <x:v>-0.3281104191741141</x:v>
      </x:c>
      <x:c r="E3463" s="85" t="n">
        <x:f>D3463+'Resumen'!$B$5^3/3</x:f>
        <x:v>0.005222914159219216</x:v>
      </x:c>
    </x:row>
    <x:row r="3464">
      <x:c r="A3464" s="89" t="n">
        <x:v>3462</x:v>
      </x:c>
      <x:c r="B3464" s="80" t="n">
        <x:v>-0.10045060993436392</x:v>
      </x:c>
      <x:c r="C3464" s="84" t="n">
        <x:f>SQRT('Resumen'!$B$5^3/3)*B3464</x:f>
        <x:v>-0.057995186685867096</x:v>
      </x:c>
      <x:c r="D3464" s="84" t="n">
        <x:f>C3464^2-'Resumen'!$B$5^3/3</x:f>
        <x:v>-0.3299698916546047</x:v>
      </x:c>
      <x:c r="E3464" s="85" t="n">
        <x:f>D3464+'Resumen'!$B$5^3/3</x:f>
        <x:v>0.003363441678728596</x:v>
      </x:c>
    </x:row>
    <x:row r="3465">
      <x:c r="A3465" s="89" t="n">
        <x:v>3463</x:v>
      </x:c>
      <x:c r="B3465" s="80" t="n">
        <x:v>2.092617052543526</x:v>
      </x:c>
      <x:c r="C3465" s="84" t="n">
        <x:f>SQRT('Resumen'!$B$5^3/3)*B3465</x:f>
        <x:v>1.208173018596806</x:v>
      </x:c>
      <x:c r="D3465" s="84" t="n">
        <x:f>C3465^2-'Resumen'!$B$5^3/3</x:f>
        <x:v>1.126348709531985</x:v>
      </x:c>
      <x:c r="E3465" s="85" t="n">
        <x:f>D3465+'Resumen'!$B$5^3/3</x:f>
        <x:v>1.4596820428653183</x:v>
      </x:c>
    </x:row>
    <x:row r="3466">
      <x:c r="A3466" s="89" t="n">
        <x:v>3464</x:v>
      </x:c>
      <x:c r="B3466" s="80" t="n">
        <x:v>1.0466728395789933</x:v>
      </x:c>
      <x:c r="C3466" s="84" t="n">
        <x:f>SQRT('Resumen'!$B$5^3/3)*B3466</x:f>
        <x:v>0.6042968456844017</x:v>
      </x:c>
      <x:c r="D3466" s="84" t="n">
        <x:f>C3466^2-'Resumen'!$B$5^3/3</x:f>
        <x:v>0.03184134437078423</x:v>
      </x:c>
      <x:c r="E3466" s="85" t="n">
        <x:f>D3466+'Resumen'!$B$5^3/3</x:f>
        <x:v>0.36517467770411755</x:v>
      </x:c>
    </x:row>
    <x:row r="3467">
      <x:c r="A3467" s="89" t="n">
        <x:v>3465</x:v>
      </x:c>
      <x:c r="B3467" s="80" t="n">
        <x:v>-1.0612610026654077</x:v>
      </x:c>
      <x:c r="C3467" s="84" t="n">
        <x:f>SQRT('Resumen'!$B$5^3/3)*B3467</x:f>
        <x:v>-0.6127193255693253</x:v>
      </x:c>
      <x:c r="D3467" s="84" t="n">
        <x:f>C3467^2-'Resumen'!$B$5^3/3</x:f>
        <x:v>0.04209163859279552</x:v>
      </x:c>
      <x:c r="E3467" s="85" t="n">
        <x:f>D3467+'Resumen'!$B$5^3/3</x:f>
        <x:v>0.37542497192612884</x:v>
      </x:c>
    </x:row>
    <x:row r="3468">
      <x:c r="A3468" s="89" t="n">
        <x:v>3466</x:v>
      </x:c>
      <x:c r="B3468" s="80" t="n">
        <x:v>2.0574882044407934</x:v>
      </x:c>
      <x:c r="C3468" s="84" t="n">
        <x:f>SQRT('Resumen'!$B$5^3/3)*B3468</x:f>
        <x:v>1.1878913686883719</x:v>
      </x:c>
      <x:c r="D3468" s="84" t="n">
        <x:f>C3468^2-'Resumen'!$B$5^3/3</x:f>
        <x:v>1.0777525704710003</x:v>
      </x:c>
      <x:c r="E3468" s="85" t="n">
        <x:f>D3468+'Resumen'!$B$5^3/3</x:f>
        <x:v>1.4110859038043335</x:v>
      </x:c>
    </x:row>
    <x:row r="3469">
      <x:c r="A3469" s="89" t="n">
        <x:v>3467</x:v>
      </x:c>
      <x:c r="B3469" s="80" t="n">
        <x:v>0.04253221964487989</x:v>
      </x:c>
      <x:c r="C3469" s="84" t="n">
        <x:f>SQRT('Resumen'!$B$5^3/3)*B3469</x:f>
        <x:v>0.02455598846120369</x:v>
      </x:c>
      <x:c r="D3469" s="84" t="n">
        <x:f>C3469^2-'Resumen'!$B$5^3/3</x:f>
        <x:v>-0.3327303367640265</x:v>
      </x:c>
      <x:c r="E3469" s="85" t="n">
        <x:f>D3469+'Resumen'!$B$5^3/3</x:f>
        <x:v>0.0006029965693067907</x:v>
      </x:c>
    </x:row>
    <x:row r="3470">
      <x:c r="A3470" s="89" t="n">
        <x:v>3468</x:v>
      </x:c>
      <x:c r="B3470" s="80" t="n">
        <x:v>0.2450221080302171</x:v>
      </x:c>
      <x:c r="C3470" s="84" t="n">
        <x:f>SQRT('Resumen'!$B$5^3/3)*B3470</x:f>
        <x:v>0.1414635800286554</x:v>
      </x:c>
      <x:c r="D3470" s="84" t="n">
        <x:f>C3470^2-'Resumen'!$B$5^3/3</x:f>
        <x:v>-0.3133213888588095</x:v>
      </x:c>
      <x:c r="E3470" s="85" t="n">
        <x:f>D3470+'Resumen'!$B$5^3/3</x:f>
        <x:v>0.020011944474523813</x:v>
      </x:c>
    </x:row>
    <x:row r="3471">
      <x:c r="A3471" s="89" t="n">
        <x:v>3469</x:v>
      </x:c>
      <x:c r="B3471" s="80" t="n">
        <x:v>-0.7617422333568096</x:v>
      </x:c>
      <x:c r="C3471" s="84" t="n">
        <x:f>SQRT('Resumen'!$B$5^3/3)*B3471</x:f>
        <x:v>-0.4397920834816607</x:v>
      </x:c>
      <x:c r="D3471" s="84" t="n">
        <x:f>C3471^2-'Resumen'!$B$5^3/3</x:f>
        <x:v>-0.1399162566401933</x:v>
      </x:c>
      <x:c r="E3471" s="85" t="n">
        <x:f>D3471+'Resumen'!$B$5^3/3</x:f>
        <x:v>0.19341707669314</x:v>
      </x:c>
    </x:row>
    <x:row r="3472">
      <x:c r="A3472" s="89" t="n">
        <x:v>3470</x:v>
      </x:c>
      <x:c r="B3472" s="80" t="n">
        <x:v>0.919043769613841</x:v>
      </x:c>
      <x:c r="C3472" s="84" t="n">
        <x:f>SQRT('Resumen'!$B$5^3/3)*B3472</x:f>
        <x:v>0.5306101677835995</x:v>
      </x:c>
      <x:c r="D3472" s="84" t="n">
        <x:f>C3472^2-'Resumen'!$B$5^3/3</x:f>
        <x:v>-0.051786183177993717</x:v>
      </x:c>
      <x:c r="E3472" s="85" t="n">
        <x:f>D3472+'Resumen'!$B$5^3/3</x:f>
        <x:v>0.2815471501553396</x:v>
      </x:c>
    </x:row>
    <x:row r="3473">
      <x:c r="A3473" s="89" t="n">
        <x:v>3471</x:v>
      </x:c>
      <x:c r="B3473" s="80" t="n">
        <x:v>0.09760814231433125</x:v>
      </x:c>
      <x:c r="C3473" s="84" t="n">
        <x:f>SQRT('Resumen'!$B$5^3/3)*B3473</x:f>
        <x:v>0.05635408724027845</x:v>
      </x:c>
      <x:c r="D3473" s="84" t="n">
        <x:f>C3473^2-'Resumen'!$B$5^3/3</x:f>
        <x:v>-0.3301575501846484</x:v>
      </x:c>
      <x:c r="E3473" s="85" t="n">
        <x:f>D3473+'Resumen'!$B$5^3/3</x:f>
        <x:v>0.003175783148684941</x:v>
      </x:c>
    </x:row>
    <x:row r="3474">
      <x:c r="A3474" s="89" t="n">
        <x:v>3472</x:v>
      </x:c>
      <x:c r="B3474" s="80" t="n">
        <x:v>0.7423148604342659</x:v>
      </x:c>
      <x:c r="C3474" s="84" t="n">
        <x:f>SQRT('Resumen'!$B$5^3/3)*B3474</x:f>
        <x:v>0.42857568449518285</x:v>
      </x:c>
      <x:c r="D3474" s="84" t="n">
        <x:f>C3474^2-'Resumen'!$B$5^3/3</x:f>
        <x:v>-0.1496562159928188</x:v>
      </x:c>
      <x:c r="E3474" s="85" t="n">
        <x:f>D3474+'Resumen'!$B$5^3/3</x:f>
        <x:v>0.1836771173405145</x:v>
      </x:c>
    </x:row>
    <x:row r="3475">
      <x:c r="A3475" s="89" t="n">
        <x:v>3473</x:v>
      </x:c>
      <x:c r="B3475" s="80" t="n">
        <x:v>-0.87951049647912</x:v>
      </x:c>
      <x:c r="C3475" s="84" t="n">
        <x:f>SQRT('Resumen'!$B$5^3/3)*B3475</x:f>
        <x:v>-0.5077856218973213</x:v>
      </x:c>
      <x:c r="D3475" s="84" t="n">
        <x:f>C3475^2-'Resumen'!$B$5^3/3</x:f>
        <x:v>-0.0754870955276839</x:v>
      </x:c>
      <x:c r="E3475" s="85" t="n">
        <x:f>D3475+'Resumen'!$B$5^3/3</x:f>
        <x:v>0.2578462378056494</x:v>
      </x:c>
    </x:row>
    <x:row r="3476">
      <x:c r="A3476" s="89" t="n">
        <x:v>3474</x:v>
      </x:c>
      <x:c r="B3476" s="80" t="n">
        <x:v>0.20565888733562657</x:v>
      </x:c>
      <x:c r="C3476" s="84" t="n">
        <x:f>SQRT('Resumen'!$B$5^3/3)*B3476</x:f>
        <x:v>0.1187372139644629</x:v>
      </x:c>
      <x:c r="D3476" s="84" t="n">
        <x:f>C3476^2-'Resumen'!$B$5^3/3</x:f>
        <x:v>-0.3192348073532907</x:v>
      </x:c>
      <x:c r="E3476" s="85" t="n">
        <x:f>D3476+'Resumen'!$B$5^3/3</x:f>
        <x:v>0.014098525980042631</x:v>
      </x:c>
    </x:row>
    <x:row r="3477">
      <x:c r="A3477" s="89" t="n">
        <x:v>3475</x:v>
      </x:c>
      <x:c r="B3477" s="80" t="n">
        <x:v>-0.22111589303527376</x:v>
      </x:c>
      <x:c r="C3477" s="84" t="n">
        <x:f>SQRT('Resumen'!$B$5^3/3)*B3477</x:f>
        <x:v>-0.1276613203660198</x:v>
      </x:c>
      <x:c r="D3477" s="84" t="n">
        <x:f>C3477^2-'Resumen'!$B$5^3/3</x:f>
        <x:v>-0.31703592061573777</x:v>
      </x:c>
      <x:c r="E3477" s="85" t="n">
        <x:f>D3477+'Resumen'!$B$5^3/3</x:f>
        <x:v>0.01629741271759555</x:v>
      </x:c>
    </x:row>
    <x:row r="3478">
      <x:c r="A3478" s="89" t="n">
        <x:v>3476</x:v>
      </x:c>
      <x:c r="B3478" s="80" t="n">
        <x:v>-1.6351889833585649</x:v>
      </x:c>
      <x:c r="C3478" s="84" t="n">
        <x:f>SQRT('Resumen'!$B$5^3/3)*B3478</x:f>
        <x:v>-0.9440767997179779</x:v>
      </x:c>
      <x:c r="D3478" s="84" t="n">
        <x:f>C3478^2-'Resumen'!$B$5^3/3</x:f>
        <x:v>0.5579476704324056</x:v>
      </x:c>
      <x:c r="E3478" s="85" t="n">
        <x:f>D3478+'Resumen'!$B$5^3/3</x:f>
        <x:v>0.8912810037657388</x:v>
      </x:c>
    </x:row>
    <x:row r="3479">
      <x:c r="A3479" s="89" t="n">
        <x:v>3477</x:v>
      </x:c>
      <x:c r="B3479" s="80" t="n">
        <x:v>0.5742547529567494</x:v>
      </x:c>
      <x:c r="C3479" s="84" t="n">
        <x:f>SQRT('Resumen'!$B$5^3/3)*B3479</x:f>
        <x:v>0.33154613620300133</x:v>
      </x:c>
      <x:c r="D3479" s="84" t="n">
        <x:f>C3479^2-'Resumen'!$B$5^3/3</x:f>
        <x:v>-0.22341049290219422</x:v>
      </x:c>
      <x:c r="E3479" s="85" t="n">
        <x:f>D3479+'Resumen'!$B$5^3/3</x:f>
        <x:v>0.10992284043113909</x:v>
      </x:c>
    </x:row>
    <x:row r="3480">
      <x:c r="A3480" s="89" t="n">
        <x:v>3478</x:v>
      </x:c>
      <x:c r="B3480" s="80" t="n">
        <x:v>-1.5278301902772513</x:v>
      </x:c>
      <x:c r="C3480" s="84" t="n">
        <x:f>SQRT('Resumen'!$B$5^3/3)*B3480</x:f>
        <x:v>-0.8820931716326081</x:v>
      </x:c>
      <x:c r="D3480" s="84" t="n">
        <x:f>C3480^2-'Resumen'!$B$5^3/3</x:f>
        <x:v>0.4447550301075405</x:v>
      </x:c>
      <x:c r="E3480" s="85" t="n">
        <x:f>D3480+'Resumen'!$B$5^3/3</x:f>
        <x:v>0.7780883634408738</x:v>
      </x:c>
    </x:row>
    <x:row r="3481">
      <x:c r="A3481" s="89" t="n">
        <x:v>3479</x:v>
      </x:c>
      <x:c r="B3481" s="80" t="n">
        <x:v>0.04343148318384733</x:v>
      </x:c>
      <x:c r="C3481" s="84" t="n">
        <x:f>SQRT('Resumen'!$B$5^3/3)*B3481</x:f>
        <x:v>0.02507517850749896</x:v>
      </x:c>
      <x:c r="D3481" s="84" t="n">
        <x:f>C3481^2-'Resumen'!$B$5^3/3</x:f>
        <x:v>-0.3327045687561504</x:v>
      </x:c>
      <x:c r="E3481" s="85" t="n">
        <x:f>D3481+'Resumen'!$B$5^3/3</x:f>
        <x:v>0.0006287645771829165</x:v>
      </x:c>
    </x:row>
    <x:row r="3482">
      <x:c r="A3482" s="89" t="n">
        <x:v>3480</x:v>
      </x:c>
      <x:c r="B3482" s="80" t="n">
        <x:v>-0.5838326251013927</x:v>
      </x:c>
      <x:c r="C3482" s="84" t="n">
        <x:f>SQRT('Resumen'!$B$5^3/3)*B3482</x:f>
        <x:v>-0.3370759232639749</x:v>
      </x:c>
      <x:c r="D3482" s="84" t="n">
        <x:f>C3482^2-'Resumen'!$B$5^3/3</x:f>
        <x:v>-0.2197131552890722</x:v>
      </x:c>
      <x:c r="E3482" s="85" t="n">
        <x:f>D3482+'Resumen'!$B$5^3/3</x:f>
        <x:v>0.11362017804426111</x:v>
      </x:c>
    </x:row>
    <x:row r="3483">
      <x:c r="A3483" s="89" t="n">
        <x:v>3481</x:v>
      </x:c>
      <x:c r="B3483" s="80" t="n">
        <x:v>0.10206237580520766</x:v>
      </x:c>
      <x:c r="C3483" s="84" t="n">
        <x:f>SQRT('Resumen'!$B$5^3/3)*B3483</x:f>
        <x:v>0.058925740145269384</x:v>
      </x:c>
      <x:c r="D3483" s="84" t="n">
        <x:f>C3483^2-'Resumen'!$B$5^3/3</x:f>
        <x:v>-0.3298610904816655</x:v>
      </x:c>
      <x:c r="E3483" s="85" t="n">
        <x:f>D3483+'Resumen'!$B$5^3/3</x:f>
        <x:v>0.003472242851667806</x:v>
      </x:c>
    </x:row>
    <x:row r="3484">
      <x:c r="A3484" s="89" t="n">
        <x:v>3482</x:v>
      </x:c>
      <x:c r="B3484" s="80" t="n">
        <x:v>-0.30768988761201205</x:v>
      </x:c>
      <x:c r="C3484" s="84" t="n">
        <x:f>SQRT('Resumen'!$B$5^3/3)*B3484</x:f>
        <x:v>-0.17764483943972084</x:v>
      </x:c>
      <x:c r="D3484" s="84" t="n">
        <x:f>C3484^2-'Resumen'!$B$5^3/3</x:f>
        <x:v>-0.30177564435376913</x:v>
      </x:c>
      <x:c r="E3484" s="85" t="n">
        <x:f>D3484+'Resumen'!$B$5^3/3</x:f>
        <x:v>0.03155768897956418</x:v>
      </x:c>
    </x:row>
    <x:row r="3485">
      <x:c r="A3485" s="89" t="n">
        <x:v>3483</x:v>
      </x:c>
      <x:c r="B3485" s="80" t="n">
        <x:v>-0.3165209576690278</x:v>
      </x:c>
      <x:c r="C3485" s="84" t="n">
        <x:f>SQRT('Resumen'!$B$5^3/3)*B3485</x:f>
        <x:v>-0.18274346011437134</x:v>
      </x:c>
      <x:c r="D3485" s="84" t="n">
        <x:f>C3485^2-'Resumen'!$B$5^3/3</x:f>
        <x:v>-0.2999381611187605</x:v>
      </x:c>
      <x:c r="E3485" s="85" t="n">
        <x:f>D3485+'Resumen'!$B$5^3/3</x:f>
        <x:v>0.03339517221457283</x:v>
      </x:c>
    </x:row>
    <x:row r="3486">
      <x:c r="A3486" s="89" t="n">
        <x:v>3484</x:v>
      </x:c>
      <x:c r="B3486" s="80" t="n">
        <x:v>-0.6288998104314047</x:v>
      </x:c>
      <x:c r="C3486" s="84" t="n">
        <x:f>SQRT('Resumen'!$B$5^3/3)*B3486</x:f>
        <x:v>-0.3630954748458761</x:v>
      </x:c>
      <x:c r="D3486" s="84" t="n">
        <x:f>C3486^2-'Resumen'!$B$5^3/3</x:f>
        <x:v>-0.20149500947978105</x:v>
      </x:c>
      <x:c r="E3486" s="85" t="n">
        <x:f>D3486+'Resumen'!$B$5^3/3</x:f>
        <x:v>0.13183832385355226</x:v>
      </x:c>
    </x:row>
    <x:row r="3487">
      <x:c r="A3487" s="89" t="n">
        <x:v>3485</x:v>
      </x:c>
      <x:c r="B3487" s="80" t="n">
        <x:v>0.6195504461736325</x:v>
      </x:c>
      <x:c r="C3487" s="84" t="n">
        <x:f>SQRT('Resumen'!$B$5^3/3)*B3487</x:f>
        <x:v>0.3576976168748995</x:v>
      </x:c>
      <x:c r="D3487" s="84" t="n">
        <x:f>C3487^2-'Resumen'!$B$5^3/3</x:f>
        <x:v>-0.20538574821535094</x:v>
      </x:c>
      <x:c r="E3487" s="85" t="n">
        <x:f>D3487+'Resumen'!$B$5^3/3</x:f>
        <x:v>0.12794758511798238</x:v>
      </x:c>
    </x:row>
    <x:row r="3488">
      <x:c r="A3488" s="89" t="n">
        <x:v>3486</x:v>
      </x:c>
      <x:c r="B3488" s="80" t="n">
        <x:v>0.6768415954565018</x:v>
      </x:c>
      <x:c r="C3488" s="84" t="n">
        <x:f>SQRT('Resumen'!$B$5^3/3)*B3488</x:f>
        <x:v>0.39077467733554705</x:v>
      </x:c>
      <x:c r="D3488" s="84" t="n">
        <x:f>C3488^2-'Resumen'!$B$5^3/3</x:f>
        <x:v>-0.1806284848866324</x:v>
      </x:c>
      <x:c r="E3488" s="85" t="n">
        <x:f>D3488+'Resumen'!$B$5^3/3</x:f>
        <x:v>0.1527048484467009</x:v>
      </x:c>
    </x:row>
    <x:row r="3489">
      <x:c r="A3489" s="89" t="n">
        <x:v>3487</x:v>
      </x:c>
      <x:c r="B3489" s="80" t="n">
        <x:v>1.3474097039553476</x:v>
      </x:c>
      <x:c r="C3489" s="84" t="n">
        <x:f>SQRT('Resumen'!$B$5^3/3)*B3489</x:f>
        <x:v>0.7779273552873339</x:v>
      </x:c>
      <x:c r="D3489" s="84" t="n">
        <x:f>C3489^2-'Resumen'!$B$5^3/3</x:f>
        <x:v>0.2718376367710125</x:v>
      </x:c>
      <x:c r="E3489" s="85" t="n">
        <x:f>D3489+'Resumen'!$B$5^3/3</x:f>
        <x:v>0.6051709701043458</x:v>
      </x:c>
    </x:row>
    <x:row r="3490">
      <x:c r="A3490" s="89" t="n">
        <x:v>3488</x:v>
      </x:c>
      <x:c r="B3490" s="80" t="n">
        <x:v>-0.5754442587797536</x:v>
      </x:c>
      <x:c r="C3490" s="84" t="n">
        <x:f>SQRT('Resumen'!$B$5^3/3)*B3490</x:f>
        <x:v>-0.3322328977101154</x:v>
      </x:c>
      <x:c r="D3490" s="84" t="n">
        <x:f>C3490^2-'Resumen'!$B$5^3/3</x:f>
        <x:v>-0.2229546350124733</x:v>
      </x:c>
      <x:c r="E3490" s="85" t="n">
        <x:f>D3490+'Resumen'!$B$5^3/3</x:f>
        <x:v>0.11037869832086</x:v>
      </x:c>
    </x:row>
    <x:row r="3491">
      <x:c r="A3491" s="89" t="n">
        <x:v>3489</x:v>
      </x:c>
      <x:c r="B3491" s="80" t="n">
        <x:v>-0.6721079863632258</x:v>
      </x:c>
      <x:c r="C3491" s="84" t="n">
        <x:f>SQRT('Resumen'!$B$5^3/3)*B3491</x:f>
        <x:v>-0.3880417268513057</x:v>
      </x:c>
      <x:c r="D3491" s="84" t="n">
        <x:f>C3491^2-'Resumen'!$B$5^3/3</x:f>
        <x:v>-0.18275695155558996</x:v>
      </x:c>
      <x:c r="E3491" s="85" t="n">
        <x:f>D3491+'Resumen'!$B$5^3/3</x:f>
        <x:v>0.15057638177774335</x:v>
      </x:c>
    </x:row>
    <x:row r="3492">
      <x:c r="A3492" s="89" t="n">
        <x:v>3490</x:v>
      </x:c>
      <x:c r="B3492" s="80" t="n">
        <x:v>0.24624583558493604</x:v>
      </x:c>
      <x:c r="C3492" s="84" t="n">
        <x:f>SQRT('Resumen'!$B$5^3/3)*B3492</x:f>
        <x:v>0.14217009946178713</x:v>
      </x:c>
      <x:c r="D3492" s="84" t="n">
        <x:f>C3492^2-'Resumen'!$B$5^3/3</x:f>
        <x:v>-0.3131209961523589</x:v>
      </x:c>
      <x:c r="E3492" s="85" t="n">
        <x:f>D3492+'Resumen'!$B$5^3/3</x:f>
        <x:v>0.020212337180974427</x:v>
      </x:c>
    </x:row>
    <x:row r="3493">
      <x:c r="A3493" s="89" t="n">
        <x:v>3491</x:v>
      </x:c>
      <x:c r="B3493" s="80" t="n">
        <x:v>-1.3396285532404146</x:v>
      </x:c>
      <x:c r="C3493" s="84" t="n">
        <x:f>SQRT('Resumen'!$B$5^3/3)*B3493</x:f>
        <x:v>-0.7734349058274622</x:v>
      </x:c>
      <x:c r="D3493" s="84" t="n">
        <x:f>C3493^2-'Resumen'!$B$5^3/3</x:f>
        <x:v>0.2648682202190021</x:v>
      </x:c>
      <x:c r="E3493" s="85" t="n">
        <x:f>D3493+'Resumen'!$B$5^3/3</x:f>
        <x:v>0.5982015535523354</x:v>
      </x:c>
    </x:row>
    <x:row r="3494">
      <x:c r="A3494" s="89" t="n">
        <x:v>3492</x:v>
      </x:c>
      <x:c r="B3494" s="80" t="n">
        <x:v>0.9667105457178282</x:v>
      </x:c>
      <x:c r="C3494" s="84" t="n">
        <x:f>SQRT('Resumen'!$B$5^3/3)*B3494</x:f>
        <x:v>0.5581305937986382</x:v>
      </x:c>
      <x:c r="D3494" s="84" t="n">
        <x:f>C3494^2-'Resumen'!$B$5^3/3</x:f>
        <x:v>-0.021823573599312862</x:v>
      </x:c>
      <x:c r="E3494" s="85" t="n">
        <x:f>D3494+'Resumen'!$B$5^3/3</x:f>
        <x:v>0.31150975973402045</x:v>
      </x:c>
    </x:row>
    <x:row r="3495">
      <x:c r="A3495" s="89" t="n">
        <x:v>3493</x:v>
      </x:c>
      <x:c r="B3495" s="80" t="n">
        <x:v>0.23226287785616268</x:v>
      </x:c>
      <x:c r="C3495" s="84" t="n">
        <x:f>SQRT('Resumen'!$B$5^3/3)*B3495</x:f>
        <x:v>0.13409703505301268</x:v>
      </x:c>
      <x:c r="D3495" s="84" t="n">
        <x:f>C3495^2-'Resumen'!$B$5^3/3</x:f>
        <x:v>-0.31535131852332443</x:v>
      </x:c>
      <x:c r="E3495" s="85" t="n">
        <x:f>D3495+'Resumen'!$B$5^3/3</x:f>
        <x:v>0.017982014810008884</x:v>
      </x:c>
    </x:row>
    <x:row r="3496">
      <x:c r="A3496" s="89" t="n">
        <x:v>3494</x:v>
      </x:c>
      <x:c r="B3496" s="80" t="n">
        <x:v>-0.2825878422365698</x:v>
      </x:c>
      <x:c r="C3496" s="84" t="n">
        <x:f>SQRT('Resumen'!$B$5^3/3)*B3496</x:f>
        <x:v>-0.16315216678499905</x:v>
      </x:c>
      <x:c r="D3496" s="84" t="n">
        <x:f>C3496^2-'Resumen'!$B$5^3/3</x:f>
        <x:v>-0.3067147038066932</x:v>
      </x:c>
      <x:c r="E3496" s="85" t="n">
        <x:f>D3496+'Resumen'!$B$5^3/3</x:f>
        <x:v>0.026618629526640125</x:v>
      </x:c>
    </x:row>
    <x:row r="3497">
      <x:c r="A3497" s="89" t="n">
        <x:v>3495</x:v>
      </x:c>
      <x:c r="B3497" s="80" t="n">
        <x:v>0.39371375165287853</x:v>
      </x:c>
      <x:c r="C3497" s="84" t="n">
        <x:f>SQRT('Resumen'!$B$5^3/3)*B3497</x:f>
        <x:v>0.22731074050044686</x:v>
      </x:c>
      <x:c r="D3497" s="84" t="n">
        <x:f>C3497^2-'Resumen'!$B$5^3/3</x:f>
        <x:v>-0.28166316058647184</x:v>
      </x:c>
      <x:c r="E3497" s="85" t="n">
        <x:f>D3497+'Resumen'!$B$5^3/3</x:f>
        <x:v>0.051670172746861476</x:v>
      </x:c>
    </x:row>
    <x:row r="3498">
      <x:c r="A3498" s="89" t="n">
        <x:v>3496</x:v>
      </x:c>
      <x:c r="B3498" s="80" t="n">
        <x:v>-0.5301034789472564</x:v>
      </x:c>
      <x:c r="C3498" s="84" t="n">
        <x:f>SQRT('Resumen'!$B$5^3/3)*B3498</x:f>
        <x:v>-0.3060553862685556</x:v>
      </x:c>
      <x:c r="D3498" s="84" t="n">
        <x:f>C3498^2-'Resumen'!$B$5^3/3</x:f>
        <x:v>-0.23966343386933853</x:v>
      </x:c>
      <x:c r="E3498" s="85" t="n">
        <x:f>D3498+'Resumen'!$B$5^3/3</x:f>
        <x:v>0.09366989946399479</x:v>
      </x:c>
    </x:row>
    <x:row r="3499">
      <x:c r="A3499" s="89" t="n">
        <x:v>3497</x:v>
      </x:c>
      <x:c r="B3499" s="80" t="n">
        <x:v>0.16809279151807255</x:v>
      </x:c>
      <x:c r="C3499" s="84" t="n">
        <x:f>SQRT('Resumen'!$B$5^3/3)*B3499</x:f>
        <x:v>0.09704841843179482</x:v>
      </x:c>
      <x:c r="D3499" s="84" t="n">
        <x:f>C3499^2-'Resumen'!$B$5^3/3</x:f>
        <x:v>-0.32391493781322056</x:v>
      </x:c>
      <x:c r="E3499" s="85" t="n">
        <x:f>D3499+'Resumen'!$B$5^3/3</x:f>
        <x:v>0.009418395520112754</x:v>
      </x:c>
    </x:row>
    <x:row r="3500">
      <x:c r="A3500" s="89" t="n">
        <x:v>3498</x:v>
      </x:c>
      <x:c r="B3500" s="80" t="n">
        <x:v>-0.058540427352654516</x:v>
      </x:c>
      <x:c r="C3500" s="84" t="n">
        <x:f>SQRT('Resumen'!$B$5^3/3)*B3500</x:f>
        <x:v>-0.03379833149053081</x:v>
      </x:c>
      <x:c r="D3500" s="84" t="n">
        <x:f>C3500^2-'Resumen'!$B$5^3/3</x:f>
        <x:v>-0.33219100612178953</x:v>
      </x:c>
      <x:c r="E3500" s="85" t="n">
        <x:f>D3500+'Resumen'!$B$5^3/3</x:f>
        <x:v>0.001142327211543781</x:v>
      </x:c>
    </x:row>
    <x:row r="3501">
      <x:c r="A3501" s="89" t="n">
        <x:v>3499</x:v>
      </x:c>
      <x:c r="B3501" s="80" t="n">
        <x:v>0.14382419917135586</x:v>
      </x:c>
      <x:c r="C3501" s="84" t="n">
        <x:f>SQRT('Resumen'!$B$5^3/3)*B3501</x:f>
        <x:v>0.08303694010756466</x:v>
      </x:c>
      <x:c r="D3501" s="84" t="n">
        <x:f>C3501^2-'Resumen'!$B$5^3/3</x:f>
        <x:v>-0.32643819991090606</x:v>
      </x:c>
      <x:c r="E3501" s="85" t="n">
        <x:f>D3501+'Resumen'!$B$5^3/3</x:f>
        <x:v>0.006895133422427258</x:v>
      </x:c>
    </x:row>
    <x:row r="3502">
      <x:c r="A3502" s="89" t="n">
        <x:v>3500</x:v>
      </x:c>
      <x:c r="B3502" s="80" t="n">
        <x:v>0.18246522254968636</x:v>
      </x:c>
      <x:c r="C3502" s="84" t="n">
        <x:f>SQRT('Resumen'!$B$5^3/3)*B3502</x:f>
        <x:v>0.10534634535680638</x:v>
      </x:c>
      <x:c r="D3502" s="84" t="n">
        <x:f>C3502^2-'Resumen'!$B$5^3/3</x:f>
        <x:v>-0.3222354808532978</x:v>
      </x:c>
      <x:c r="E3502" s="85" t="n">
        <x:f>D3502+'Resumen'!$B$5^3/3</x:f>
        <x:v>0.01109785248003553</x:v>
      </x:c>
    </x:row>
    <x:row r="3503">
      <x:c r="A3503" s="89" t="n">
        <x:v>3501</x:v>
      </x:c>
      <x:c r="B3503" s="80" t="n">
        <x:v>0.2622274985265402</x:v>
      </x:c>
      <x:c r="C3503" s="84" t="n">
        <x:f>SQRT('Resumen'!$B$5^3/3)*B3503</x:f>
        <x:v>0.15139711686322016</x:v>
      </x:c>
      <x:c r="D3503" s="84" t="n">
        <x:f>C3503^2-'Resumen'!$B$5^3/3</x:f>
        <x:v>-0.3104122463388378</x:v>
      </x:c>
      <x:c r="E3503" s="85" t="n">
        <x:f>D3503+'Resumen'!$B$5^3/3</x:f>
        <x:v>0.02292108699449552</x:v>
      </x:c>
    </x:row>
    <x:row r="3504">
      <x:c r="A3504" s="89" t="n">
        <x:v>3502</x:v>
      </x:c>
      <x:c r="B3504" s="80" t="n">
        <x:v>-2.511366275752854</x:v>
      </x:c>
      <x:c r="C3504" s="84" t="n">
        <x:f>SQRT('Resumen'!$B$5^3/3)*B3504</x:f>
        <x:v>-1.449937995339658</x:v>
      </x:c>
      <x:c r="D3504" s="84" t="n">
        <x:f>C3504^2-'Resumen'!$B$5^3/3</x:f>
        <x:v>1.7689868569962528</x:v>
      </x:c>
      <x:c r="E3504" s="85" t="n">
        <x:f>D3504+'Resumen'!$B$5^3/3</x:f>
        <x:v>2.102320190329586</x:v>
      </x:c>
    </x:row>
    <x:row r="3505">
      <x:c r="A3505" s="89" t="n">
        <x:v>3503</x:v>
      </x:c>
      <x:c r="B3505" s="80" t="n">
        <x:v>-0.1524210802286233</x:v>
      </x:c>
      <x:c r="C3505" s="84" t="n">
        <x:f>SQRT('Resumen'!$B$5^3/3)*B3505</x:f>
        <x:v>-0.0880003517001692</x:v>
      </x:c>
      <x:c r="D3505" s="84" t="n">
        <x:f>C3505^2-'Resumen'!$B$5^3/3</x:f>
        <x:v>-0.32558927143397987</x:v>
      </x:c>
      <x:c r="E3505" s="85" t="n">
        <x:f>D3505+'Resumen'!$B$5^3/3</x:f>
        <x:v>0.007744061899353449</x:v>
      </x:c>
    </x:row>
    <x:row r="3506">
      <x:c r="A3506" s="89" t="n">
        <x:v>3504</x:v>
      </x:c>
      <x:c r="B3506" s="80" t="n">
        <x:v>1.2735013880608899</x:v>
      </x:c>
      <x:c r="C3506" s="84" t="n">
        <x:f>SQRT('Resumen'!$B$5^3/3)*B3506</x:f>
        <x:v>0.7352563692103168</x:v>
      </x:c>
      <x:c r="D3506" s="84" t="n">
        <x:f>C3506^2-'Resumen'!$B$5^3/3</x:f>
        <x:v>0.20726859513100432</x:v>
      </x:c>
      <x:c r="E3506" s="85" t="n">
        <x:f>D3506+'Resumen'!$B$5^3/3</x:f>
        <x:v>0.5406019284643376</x:v>
      </x:c>
    </x:row>
    <x:row r="3507">
      <x:c r="A3507" s="89" t="n">
        <x:v>3505</x:v>
      </x:c>
      <x:c r="B3507" s="80" t="n">
        <x:v>-1.6465726224216284</x:v>
      </x:c>
      <x:c r="C3507" s="84" t="n">
        <x:f>SQRT('Resumen'!$B$5^3/3)*B3507</x:f>
        <x:v>-0.9506491467953951</x:v>
      </x:c>
      <x:c r="D3507" s="84" t="n">
        <x:f>C3507^2-'Resumen'!$B$5^3/3</x:f>
        <x:v>0.5704004669694793</x:v>
      </x:c>
      <x:c r="E3507" s="85" t="n">
        <x:f>D3507+'Resumen'!$B$5^3/3</x:f>
        <x:v>0.9037338003028126</x:v>
      </x:c>
    </x:row>
    <x:row r="3508">
      <x:c r="A3508" s="89" t="n">
        <x:v>3506</x:v>
      </x:c>
      <x:c r="B3508" s="80" t="n">
        <x:v>-0.8694916061558916</x:v>
      </x:c>
      <x:c r="C3508" s="84" t="n">
        <x:f>SQRT('Resumen'!$B$5^3/3)*B3508</x:f>
        <x:v>-0.5020012128722241</x:v>
      </x:c>
      <x:c r="D3508" s="84" t="n">
        <x:f>C3508^2-'Resumen'!$B$5^3/3</x:f>
        <x:v>-0.08132811560814923</x:v>
      </x:c>
      <x:c r="E3508" s="85" t="n">
        <x:f>D3508+'Resumen'!$B$5^3/3</x:f>
        <x:v>0.2520052177251841</x:v>
      </x:c>
    </x:row>
    <x:row r="3509">
      <x:c r="A3509" s="89" t="n">
        <x:v>3507</x:v>
      </x:c>
      <x:c r="B3509" s="80" t="n">
        <x:v>0.5564302678873199</x:v>
      </x:c>
      <x:c r="C3509" s="84" t="n">
        <x:f>SQRT('Resumen'!$B$5^3/3)*B3509</x:f>
        <x:v>0.32125516494999967</x:v>
      </x:c>
      <x:c r="D3509" s="84" t="n">
        <x:f>C3509^2-'Resumen'!$B$5^3/3</x:f>
        <x:v>-0.23012845232628182</x:v>
      </x:c>
      <x:c r="E3509" s="85" t="n">
        <x:f>D3509+'Resumen'!$B$5^3/3</x:f>
        <x:v>0.1032048810070515</x:v>
      </x:c>
    </x:row>
    <x:row r="3510">
      <x:c r="A3510" s="89" t="n">
        <x:v>3508</x:v>
      </x:c>
      <x:c r="B3510" s="80" t="n">
        <x:v>1.007694449752969</x:v>
      </x:c>
      <x:c r="C3510" s="84" t="n">
        <x:f>SQRT('Resumen'!$B$5^3/3)*B3510</x:f>
        <x:v>0.5817926618257684</x:v>
      </x:c>
      <x:c r="D3510" s="84" t="n">
        <x:f>C3510^2-'Resumen'!$B$5^3/3</x:f>
        <x:v>0.0051493680209795945</x:v>
      </x:c>
      <x:c r="E3510" s="85" t="n">
        <x:f>D3510+'Resumen'!$B$5^3/3</x:f>
        <x:v>0.3384827013543129</x:v>
      </x:c>
    </x:row>
    <x:row r="3511">
      <x:c r="A3511" s="89" t="n">
        <x:v>3509</x:v>
      </x:c>
      <x:c r="B3511" s="80" t="n">
        <x:v>-1.5649405097039901</x:v>
      </x:c>
      <x:c r="C3511" s="84" t="n">
        <x:f>SQRT('Resumen'!$B$5^3/3)*B3511</x:f>
        <x:v>-0.9035188245433488</x:v>
      </x:c>
      <x:c r="D3511" s="84" t="n">
        <x:f>C3511^2-'Resumen'!$B$5^3/3</x:f>
        <x:v>0.4830129329708613</x:v>
      </x:c>
      <x:c r="E3511" s="85" t="n">
        <x:f>D3511+'Resumen'!$B$5^3/3</x:f>
        <x:v>0.8163462663041946</x:v>
      </x:c>
    </x:row>
    <x:row r="3512">
      <x:c r="A3512" s="89" t="n">
        <x:v>3510</x:v>
      </x:c>
      <x:c r="B3512" s="80" t="n">
        <x:v>-0.7734738669232349</x:v>
      </x:c>
      <x:c r="C3512" s="84" t="n">
        <x:f>SQRT('Resumen'!$B$5^3/3)*B3512</x:f>
        <x:v>-0.44656534527927044</x:v>
      </x:c>
      <x:c r="D3512" s="84" t="n">
        <x:f>C3512^2-'Resumen'!$B$5^3/3</x:f>
        <x:v>-0.13391272572893928</x:v>
      </x:c>
      <x:c r="E3512" s="85" t="n">
        <x:f>D3512+'Resumen'!$B$5^3/3</x:f>
        <x:v>0.19942060760439403</x:v>
      </x:c>
    </x:row>
    <x:row r="3513">
      <x:c r="A3513" s="89" t="n">
        <x:v>3511</x:v>
      </x:c>
      <x:c r="B3513" s="80" t="n">
        <x:v>-0.08403012219189826</x:v>
      </x:c>
      <x:c r="C3513" s="84" t="n">
        <x:f>SQRT('Resumen'!$B$5^3/3)*B3513</x:f>
        <x:v>-0.048514813667529605</x:v>
      </x:c>
      <x:c r="D3513" s="84" t="n">
        <x:f>C3513^2-'Resumen'!$B$5^3/3</x:f>
        <x:v>-0.3309796461881382</x:v>
      </x:c>
      <x:c r="E3513" s="85" t="n">
        <x:f>D3513+'Resumen'!$B$5^3/3</x:f>
        <x:v>0.002353687145195127</x:v>
      </x:c>
    </x:row>
    <x:row r="3514">
      <x:c r="A3514" s="89" t="n">
        <x:v>3512</x:v>
      </x:c>
      <x:c r="B3514" s="80" t="n">
        <x:v>0.06154672153215367</x:v>
      </x:c>
      <x:c r="C3514" s="84" t="n">
        <x:f>SQRT('Resumen'!$B$5^3/3)*B3514</x:f>
        <x:v>0.03553401624432785</x:v>
      </x:c>
      <x:c r="D3514" s="84" t="n">
        <x:f>C3514^2-'Resumen'!$B$5^3/3</x:f>
        <x:v>-0.3320706670228812</x:v>
      </x:c>
      <x:c r="E3514" s="85" t="n">
        <x:f>D3514+'Resumen'!$B$5^3/3</x:f>
        <x:v>0.0012626663104521318</x:v>
      </x:c>
    </x:row>
    <x:row r="3515">
      <x:c r="A3515" s="89" t="n">
        <x:v>3513</x:v>
      </x:c>
      <x:c r="B3515" s="80" t="n">
        <x:v>1.7957214079039252</x:v>
      </x:c>
      <x:c r="C3515" s="84" t="n">
        <x:f>SQRT('Resumen'!$B$5^3/3)*B3515</x:f>
        <x:v>1.0367602382429049</x:v>
      </x:c>
      <x:c r="D3515" s="84" t="n">
        <x:f>C3515^2-'Resumen'!$B$5^3/3</x:f>
        <x:v>0.7415384582681517</x:v>
      </x:c>
      <x:c r="E3515" s="85" t="n">
        <x:f>D3515+'Resumen'!$B$5^3/3</x:f>
        <x:v>1.074871791601485</x:v>
      </x:c>
    </x:row>
    <x:row r="3516">
      <x:c r="A3516" s="89" t="n">
        <x:v>3514</x:v>
      </x:c>
      <x:c r="B3516" s="80" t="n">
        <x:v>-0.45872959306487154</x:v>
      </x:c>
      <x:c r="C3516" s="84" t="n">
        <x:f>SQRT('Resumen'!$B$5^3/3)*B3516</x:f>
        <x:v>-0.26484765404125105</x:v>
      </x:c>
      <x:c r="D3516" s="84" t="n">
        <x:f>C3516^2-'Resumen'!$B$5^3/3</x:f>
        <x:v>-0.26318905348217914</x:v>
      </x:c>
      <x:c r="E3516" s="85" t="n">
        <x:f>D3516+'Resumen'!$B$5^3/3</x:f>
        <x:v>0.07014427985115418</x:v>
      </x:c>
    </x:row>
    <x:row r="3517">
      <x:c r="A3517" s="89" t="n">
        <x:v>3515</x:v>
      </x:c>
      <x:c r="B3517" s="80" t="n">
        <x:v>-0.12642601507917073</x:v>
      </x:c>
      <x:c r="C3517" s="84" t="n">
        <x:f>SQRT('Resumen'!$B$5^3/3)*B3517</x:f>
        <x:v>-0.0729920938385309</x:v>
      </x:c>
      <x:c r="D3517" s="84" t="n">
        <x:f>C3517^2-'Resumen'!$B$5^3/3</x:f>
        <x:v>-0.32800548757040043</x:v>
      </x:c>
      <x:c r="E3517" s="85" t="n">
        <x:f>D3517+'Resumen'!$B$5^3/3</x:f>
        <x:v>0.005327845762932881</x:v>
      </x:c>
    </x:row>
    <x:row r="3518">
      <x:c r="A3518" s="89" t="n">
        <x:v>3516</x:v>
      </x:c>
      <x:c r="B3518" s="80" t="n">
        <x:v>0.9160571565152176</x:v>
      </x:c>
      <x:c r="C3518" s="84" t="n">
        <x:f>SQRT('Resumen'!$B$5^3/3)*B3518</x:f>
        <x:v>0.5288858459071439</x:v>
      </x:c>
      <x:c r="D3518" s="84" t="n">
        <x:f>C3518^2-'Resumen'!$B$5^3/3</x:f>
        <x:v>-0.05361309533241809</x:v>
      </x:c>
      <x:c r="E3518" s="85" t="n">
        <x:f>D3518+'Resumen'!$B$5^3/3</x:f>
        <x:v>0.2797202380009152</x:v>
      </x:c>
    </x:row>
    <x:row r="3519">
      <x:c r="A3519" s="89" t="n">
        <x:v>3517</x:v>
      </x:c>
      <x:c r="B3519" s="80" t="n">
        <x:v>0.07912744020563602</x:v>
      </x:c>
      <x:c r="C3519" s="84" t="n">
        <x:f>SQRT('Resumen'!$B$5^3/3)*B3519</x:f>
        <x:v>0.04568424890300997</x:v>
      </x:c>
      <x:c r="D3519" s="84" t="n">
        <x:f>C3519^2-'Resumen'!$B$5^3/3</x:f>
        <x:v>-0.33124628273550116</x:v>
      </x:c>
      <x:c r="E3519" s="85" t="n">
        <x:f>D3519+'Resumen'!$B$5^3/3</x:f>
        <x:v>0.002087050597832152</x:v>
      </x:c>
    </x:row>
    <x:row r="3520">
      <x:c r="A3520" s="89" t="n">
        <x:v>3518</x:v>
      </x:c>
      <x:c r="B3520" s="80" t="n">
        <x:v>-0.5924216998400371</x:v>
      </x:c>
      <x:c r="C3520" s="84" t="n">
        <x:f>SQRT('Resumen'!$B$5^3/3)*B3520</x:f>
        <x:v>-0.3420348278764211</x:v>
      </x:c>
      <x:c r="D3520" s="84" t="n">
        <x:f>C3520^2-'Resumen'!$B$5^3/3</x:f>
        <x:v>-0.2163455098528803</x:v>
      </x:c>
      <x:c r="E3520" s="85" t="n">
        <x:f>D3520+'Resumen'!$B$5^3/3</x:f>
        <x:v>0.116987823480453</x:v>
      </x:c>
    </x:row>
    <x:row r="3521">
      <x:c r="A3521" s="89" t="n">
        <x:v>3519</x:v>
      </x:c>
      <x:c r="B3521" s="80" t="n">
        <x:v>-0.04300350449915057</x:v>
      </x:c>
      <x:c r="C3521" s="84" t="n">
        <x:f>SQRT('Resumen'!$B$5^3/3)*B3521</x:f>
        <x:v>-0.024828084898681865</x:v>
      </x:c>
      <x:c r="D3521" s="84" t="n">
        <x:f>C3521^2-'Resumen'!$B$5^3/3</x:f>
        <x:v>-0.3327168995335972</x:v>
      </x:c>
      <x:c r="E3521" s="85" t="n">
        <x:f>D3521+'Resumen'!$B$5^3/3</x:f>
        <x:v>0.000616433799736138</x:v>
      </x:c>
    </x:row>
    <x:row r="3522">
      <x:c r="A3522" s="89" t="n">
        <x:v>3520</x:v>
      </x:c>
      <x:c r="B3522" s="80" t="n">
        <x:v>2.80739798895079</x:v>
      </x:c>
      <x:c r="C3522" s="84" t="n">
        <x:f>SQRT('Resumen'!$B$5^3/3)*B3522</x:f>
        <x:v>1.6208519846431526</x:v>
      </x:c>
      <x:c r="D3522" s="84" t="n">
        <x:f>C3522^2-'Resumen'!$B$5^3/3</x:f>
        <x:v>2.2938278227883133</x:v>
      </x:c>
      <x:c r="E3522" s="85" t="n">
        <x:f>D3522+'Resumen'!$B$5^3/3</x:f>
        <x:v>2.627161156121647</x:v>
      </x:c>
    </x:row>
    <x:row r="3523">
      <x:c r="A3523" s="89" t="n">
        <x:v>3521</x:v>
      </x:c>
      <x:c r="B3523" s="80" t="n">
        <x:v>0.9560249606622134</x:v>
      </x:c>
      <x:c r="C3523" s="84" t="n">
        <x:f>SQRT('Resumen'!$B$5^3/3)*B3523</x:f>
        <x:v>0.5519612683903303</x:v>
      </x:c>
      <x:c r="D3523" s="84" t="n">
        <x:f>C3523^2-'Resumen'!$B$5^3/3</x:f>
        <x:v>-0.02867209153027106</x:v>
      </x:c>
      <x:c r="E3523" s="85" t="n">
        <x:f>D3523+'Resumen'!$B$5^3/3</x:f>
        <x:v>0.30466124180306225</x:v>
      </x:c>
    </x:row>
    <x:row r="3524">
      <x:c r="A3524" s="89" t="n">
        <x:v>3522</x:v>
      </x:c>
      <x:c r="B3524" s="80" t="n">
        <x:v>-0.6163642935702424</x:v>
      </x:c>
      <x:c r="C3524" s="84" t="n">
        <x:f>SQRT('Resumen'!$B$5^3/3)*B3524</x:f>
        <x:v>-0.3558580908116529</x:v>
      </x:c>
      <x:c r="D3524" s="84" t="n">
        <x:f>C3524^2-'Resumen'!$B$5^3/3</x:f>
        <x:v>-0.2066983525372187</x:v>
      </x:c>
      <x:c r="E3524" s="85" t="n">
        <x:f>D3524+'Resumen'!$B$5^3/3</x:f>
        <x:v>0.12663498079611463</x:v>
      </x:c>
    </x:row>
    <x:row r="3525">
      <x:c r="A3525" s="89" t="n">
        <x:v>3523</x:v>
      </x:c>
      <x:c r="B3525" s="80" t="n">
        <x:v>-0.3123532976302623</x:v>
      </x:c>
      <x:c r="C3525" s="84" t="n">
        <x:f>SQRT('Resumen'!$B$5^3/3)*B3525</x:f>
        <x:v>-0.18033726046909923</x:v>
      </x:c>
      <x:c r="D3525" s="84" t="n">
        <x:f>C3525^2-'Resumen'!$B$5^3/3</x:f>
        <x:v>-0.3008118058198336</x:v>
      </x:c>
      <x:c r="E3525" s="85" t="n">
        <x:f>D3525+'Resumen'!$B$5^3/3</x:f>
        <x:v>0.03252152751349974</x:v>
      </x:c>
    </x:row>
    <x:row r="3526">
      <x:c r="A3526" s="89" t="n">
        <x:v>3524</x:v>
      </x:c>
      <x:c r="B3526" s="80" t="n">
        <x:v>0.4340606204259978</x:v>
      </x:c>
      <x:c r="C3526" s="84" t="n">
        <x:f>SQRT('Resumen'!$B$5^3/3)*B3526</x:f>
        <x:v>0.2506050160475658</x:v>
      </x:c>
      <x:c r="D3526" s="84" t="n">
        <x:f>C3526^2-'Resumen'!$B$5^3/3</x:f>
        <x:v>-0.2705304592651326</x:v>
      </x:c>
      <x:c r="E3526" s="85" t="n">
        <x:f>D3526+'Resumen'!$B$5^3/3</x:f>
        <x:v>0.06280287406820073</x:v>
      </x:c>
    </x:row>
    <x:row r="3527">
      <x:c r="A3527" s="89" t="n">
        <x:v>3525</x:v>
      </x:c>
      <x:c r="B3527" s="80" t="n">
        <x:v>-1.7412924270596657</x:v>
      </x:c>
      <x:c r="C3527" s="84" t="n">
        <x:f>SQRT('Resumen'!$B$5^3/3)*B3527</x:f>
        <x:v>-1.0053356515007548</x:v>
      </x:c>
      <x:c r="D3527" s="84" t="n">
        <x:f>C3527^2-'Resumen'!$B$5^3/3</x:f>
        <x:v>0.6773664388451137</x:v>
      </x:c>
      <x:c r="E3527" s="85" t="n">
        <x:f>D3527+'Resumen'!$B$5^3/3</x:f>
        <x:v>1.010699772178447</x:v>
      </x:c>
    </x:row>
    <x:row r="3528">
      <x:c r="A3528" s="89" t="n">
        <x:v>3526</x:v>
      </x:c>
      <x:c r="B3528" s="80" t="n">
        <x:v>-0.08913395718635213</x:v>
      </x:c>
      <x:c r="C3528" s="84" t="n">
        <x:f>SQRT('Resumen'!$B$5^3/3)*B3528</x:f>
        <x:v>-0.05146151417547697</x:v>
      </x:c>
      <x:c r="D3528" s="84" t="n">
        <x:f>C3528^2-'Resumen'!$B$5^3/3</x:f>
        <x:v>-0.3306850458921005</x:v>
      </x:c>
      <x:c r="E3528" s="85" t="n">
        <x:f>D3528+'Resumen'!$B$5^3/3</x:f>
        <x:v>0.0026482874412327995</x:v>
      </x:c>
    </x:row>
    <x:row r="3529">
      <x:c r="A3529" s="89" t="n">
        <x:v>3527</x:v>
      </x:c>
      <x:c r="B3529" s="80" t="n">
        <x:v>-0.3094859227558034</x:v>
      </x:c>
      <x:c r="C3529" s="84" t="n">
        <x:f>SQRT('Resumen'!$B$5^3/3)*B3529</x:f>
        <x:v>-0.1786817808134628</x:v>
      </x:c>
      <x:c r="D3529" s="84" t="n">
        <x:f>C3529^2-'Resumen'!$B$5^3/3</x:f>
        <x:v>-0.30140615453866293</x:v>
      </x:c>
      <x:c r="E3529" s="85" t="n">
        <x:f>D3529+'Resumen'!$B$5^3/3</x:f>
        <x:v>0.031927178794670386</x:v>
      </x:c>
    </x:row>
    <x:row r="3530">
      <x:c r="A3530" s="89" t="n">
        <x:v>3528</x:v>
      </x:c>
      <x:c r="B3530" s="80" t="n">
        <x:v>-0.004000345436086792</x:v>
      </x:c>
      <x:c r="C3530" s="84" t="n">
        <x:f>SQRT('Resumen'!$B$5^3/3)*B3530</x:f>
        <x:v>-0.0023096005143762002</x:v>
      </x:c>
      <x:c r="D3530" s="84" t="n">
        <x:f>C3530^2-'Resumen'!$B$5^3/3</x:f>
        <x:v>-0.3333279990787973</x:v>
      </x:c>
      <x:c r="E3530" s="85" t="n">
        <x:f>D3530+'Resumen'!$B$5^3/3</x:f>
        <x:v>0.000005334254536026872</x:v>
      </x:c>
    </x:row>
    <x:row r="3531">
      <x:c r="A3531" s="89" t="n">
        <x:v>3529</x:v>
      </x:c>
      <x:c r="B3531" s="80" t="n">
        <x:v>0.14515153097171918</x:v>
      </x:c>
      <x:c r="C3531" s="84" t="n">
        <x:f>SQRT('Resumen'!$B$5^3/3)*B3531</x:f>
        <x:v>0.08380327547980837</x:v>
      </x:c>
      <x:c r="D3531" s="84" t="n">
        <x:f>C3531^2-'Resumen'!$B$5^3/3</x:f>
        <x:v>-0.32631034435218864</x:v>
      </x:c>
      <x:c r="E3531" s="85" t="n">
        <x:f>D3531+'Resumen'!$B$5^3/3</x:f>
        <x:v>0.007022988981144673</x:v>
      </x:c>
    </x:row>
    <x:row r="3532">
      <x:c r="A3532" s="89" t="n">
        <x:v>3530</x:v>
      </x:c>
      <x:c r="B3532" s="80" t="n">
        <x:v>0.21381923066794395</x:v>
      </x:c>
      <x:c r="C3532" s="84" t="n">
        <x:f>SQRT('Resumen'!$B$5^3/3)*B3532</x:f>
        <x:v>0.12344859038405612</x:v>
      </x:c>
      <x:c r="D3532" s="84" t="n">
        <x:f>C3532^2-'Resumen'!$B$5^3/3</x:f>
        <x:v>-0.3180937788655228</x:v>
      </x:c>
      <x:c r="E3532" s="85" t="n">
        <x:f>D3532+'Resumen'!$B$5^3/3</x:f>
        <x:v>0.015239554467810501</x:v>
      </x:c>
    </x:row>
    <x:row r="3533">
      <x:c r="A3533" s="89" t="n">
        <x:v>3531</x:v>
      </x:c>
      <x:c r="B3533" s="80" t="n">
        <x:v>1.2142821706715718</x:v>
      </x:c>
      <x:c r="C3533" s="84" t="n">
        <x:f>SQRT('Resumen'!$B$5^3/3)*B3533</x:f>
        <x:v>0.7010661381093951</x:v>
      </x:c>
      <x:c r="D3533" s="84" t="n">
        <x:f>C3533^2-'Resumen'!$B$5^3/3</x:f>
        <x:v>0.15816039667028814</x:v>
      </x:c>
      <x:c r="E3533" s="85" t="n">
        <x:f>D3533+'Resumen'!$B$5^3/3</x:f>
        <x:v>0.49149373000362145</x:v>
      </x:c>
    </x:row>
    <x:row r="3534">
      <x:c r="A3534" s="89" t="n">
        <x:v>3532</x:v>
      </x:c>
      <x:c r="B3534" s="80" t="n">
        <x:v>-1.105145876799849</x:v>
      </x:c>
      <x:c r="C3534" s="84" t="n">
        <x:f>SQRT('Resumen'!$B$5^3/3)*B3534</x:f>
        <x:v>-0.6380562694641978</x:v>
      </x:c>
      <x:c r="D3534" s="84" t="n">
        <x:f>C3534^2-'Resumen'!$B$5^3/3</x:f>
        <x:v>0.07378246966923568</x:v>
      </x:c>
      <x:c r="E3534" s="85" t="n">
        <x:f>D3534+'Resumen'!$B$5^3/3</x:f>
        <x:v>0.407115803002569</x:v>
      </x:c>
    </x:row>
    <x:row r="3535">
      <x:c r="A3535" s="89" t="n">
        <x:v>3533</x:v>
      </x:c>
      <x:c r="B3535" s="80" t="n">
        <x:v>0.2664180551684488</x:v>
      </x:c>
      <x:c r="C3535" s="84" t="n">
        <x:f>SQRT('Resumen'!$B$5^3/3)*B3535</x:f>
        <x:v>0.15381653586848046</x:v>
      </x:c>
      <x:c r="D3535" s="84" t="n">
        <x:f>C3535^2-'Resumen'!$B$5^3/3</x:f>
        <x:v>-0.30967380662675376</x:v>
      </x:c>
      <x:c r="E3535" s="85" t="n">
        <x:f>D3535+'Resumen'!$B$5^3/3</x:f>
        <x:v>0.02365952670657956</x:v>
      </x:c>
    </x:row>
    <x:row r="3536">
      <x:c r="A3536" s="89" t="n">
        <x:v>3534</x:v>
      </x:c>
      <x:c r="B3536" s="80" t="n">
        <x:v>-0.6461258488197198</x:v>
      </x:c>
      <x:c r="C3536" s="84" t="n">
        <x:f>SQRT('Resumen'!$B$5^3/3)*B3536</x:f>
        <x:v>-0.3730409327464406</x:v>
      </x:c>
      <x:c r="D3536" s="84" t="n">
        <x:f>C3536^2-'Resumen'!$B$5^3/3</x:f>
        <x:v>-0.19417379582899888</x:v>
      </x:c>
      <x:c r="E3536" s="85" t="n">
        <x:f>D3536+'Resumen'!$B$5^3/3</x:f>
        <x:v>0.13915953750433444</x:v>
      </x:c>
    </x:row>
    <x:row r="3537">
      <x:c r="A3537" s="89" t="n">
        <x:v>3535</x:v>
      </x:c>
      <x:c r="B3537" s="80" t="n">
        <x:v>1.318500508045589</x:v>
      </x:c>
      <x:c r="C3537" s="84" t="n">
        <x:f>SQRT('Resumen'!$B$5^3/3)*B3537</x:f>
        <x:v>0.7612366232467791</x:v>
      </x:c>
      <x:c r="D3537" s="84" t="n">
        <x:f>C3537^2-'Resumen'!$B$5^3/3</x:f>
        <x:v>0.24614786323882537</x:v>
      </x:c>
      <x:c r="E3537" s="85" t="n">
        <x:f>D3537+'Resumen'!$B$5^3/3</x:f>
        <x:v>0.5794811965721587</x:v>
      </x:c>
    </x:row>
    <x:row r="3538">
      <x:c r="A3538" s="89" t="n">
        <x:v>3536</x:v>
      </x:c>
      <x:c r="B3538" s="80" t="n">
        <x:v>-0.35175620789806694</x:v>
      </x:c>
      <x:c r="C3538" s="84" t="n">
        <x:f>SQRT('Resumen'!$B$5^3/3)*B3538</x:f>
        <x:v>-0.2030865413190709</x:v>
      </x:c>
      <x:c r="D3538" s="84" t="n">
        <x:f>C3538^2-'Resumen'!$B$5^3/3</x:f>
        <x:v>-0.2920891900683906</x:v>
      </x:c>
      <x:c r="E3538" s="85" t="n">
        <x:f>D3538+'Resumen'!$B$5^3/3</x:f>
        <x:v>0.04124414326494269</x:v>
      </x:c>
    </x:row>
    <x:row r="3539">
      <x:c r="A3539" s="89" t="n">
        <x:v>3537</x:v>
      </x:c>
      <x:c r="B3539" s="80" t="n">
        <x:v>-0.23608991227040751</x:v>
      </x:c>
      <x:c r="C3539" s="84" t="n">
        <x:f>SQRT('Resumen'!$B$5^3/3)*B3539</x:f>
        <x:v>-0.1363065744022749</x:v>
      </x:c>
      <x:c r="D3539" s="84" t="n">
        <x:f>C3539^2-'Resumen'!$B$5^3/3</x:f>
        <x:v>-0.31475385110805043</x:v>
      </x:c>
      <x:c r="E3539" s="85" t="n">
        <x:f>D3539+'Resumen'!$B$5^3/3</x:f>
        <x:v>0.018579482225282884</x:v>
      </x:c>
    </x:row>
    <x:row r="3540">
      <x:c r="A3540" s="89" t="n">
        <x:v>3538</x:v>
      </x:c>
      <x:c r="B3540" s="80" t="n">
        <x:v>1.0785150022616814</x:v>
      </x:c>
      <x:c r="C3540" s="84" t="n">
        <x:f>SQRT('Resumen'!$B$5^3/3)*B3540</x:f>
        <x:v>0.6226809268808315</x:v>
      </x:c>
      <x:c r="D3540" s="84" t="n">
        <x:f>C3540^2-'Resumen'!$B$5^3/3</x:f>
        <x:v>0.05439820336783818</x:v>
      </x:c>
      <x:c r="E3540" s="85" t="n">
        <x:f>D3540+'Resumen'!$B$5^3/3</x:f>
        <x:v>0.3877315367011715</x:v>
      </x:c>
    </x:row>
    <x:row r="3541">
      <x:c r="A3541" s="89" t="n">
        <x:v>3539</x:v>
      </x:c>
      <x:c r="B3541" s="80" t="n">
        <x:v>2.007528461138628</x:v>
      </x:c>
      <x:c r="C3541" s="84" t="n">
        <x:f>SQRT('Resumen'!$B$5^3/3)*B3541</x:f>
        <x:v>1.159047097444222</x:v>
      </x:c>
      <x:c r="D3541" s="84" t="n">
        <x:f>C3541^2-'Resumen'!$B$5^3/3</x:f>
        <x:v>1.0100568407605426</x:v>
      </x:c>
      <x:c r="E3541" s="85" t="n">
        <x:f>D3541+'Resumen'!$B$5^3/3</x:f>
        <x:v>1.3433901740938758</x:v>
      </x:c>
    </x:row>
    <x:row r="3542">
      <x:c r="A3542" s="89" t="n">
        <x:v>3540</x:v>
      </x:c>
      <x:c r="B3542" s="80" t="n">
        <x:v>1.2575667942322881</x:v>
      </x:c>
      <x:c r="C3542" s="84" t="n">
        <x:f>SQRT('Resumen'!$B$5^3/3)*B3542</x:f>
        <x:v>0.7260565271739462</x:v>
      </x:c>
      <x:c r="D3542" s="84" t="n">
        <x:f>C3542^2-'Resumen'!$B$5^3/3</x:f>
        <x:v>0.19382474731855798</x:v>
      </x:c>
      <x:c r="E3542" s="85" t="n">
        <x:f>D3542+'Resumen'!$B$5^3/3</x:f>
        <x:v>0.5271580806518913</x:v>
      </x:c>
    </x:row>
    <x:row r="3543">
      <x:c r="A3543" s="89" t="n">
        <x:v>3541</x:v>
      </x:c>
      <x:c r="B3543" s="80" t="n">
        <x:v>-0.8020487789302028</x:v>
      </x:c>
      <x:c r="C3543" s="84" t="n">
        <x:f>SQRT('Resumen'!$B$5^3/3)*B3543</x:f>
        <x:v>-0.4630630784185632</x:v>
      </x:c>
      <x:c r="D3543" s="84" t="n">
        <x:f>C3543^2-'Resumen'!$B$5^3/3</x:f>
        <x:v>-0.11890591873885689</x:v>
      </x:c>
      <x:c r="E3543" s="85" t="n">
        <x:f>D3543+'Resumen'!$B$5^3/3</x:f>
        <x:v>0.21442741459447642</x:v>
      </x:c>
    </x:row>
    <x:row r="3544">
      <x:c r="A3544" s="89" t="n">
        <x:v>3542</x:v>
      </x:c>
      <x:c r="B3544" s="80" t="n">
        <x:v>0.9369803411176805</x:v>
      </x:c>
      <x:c r="C3544" s="84" t="n">
        <x:f>SQRT('Resumen'!$B$5^3/3)*B3544</x:f>
        <x:v>0.5409658521696802</x:v>
      </x:c>
      <x:c r="D3544" s="84" t="n">
        <x:f>C3544^2-'Resumen'!$B$5^3/3</x:f>
        <x:v>-0.04068928011966505</x:v>
      </x:c>
      <x:c r="E3544" s="85" t="n">
        <x:f>D3544+'Resumen'!$B$5^3/3</x:f>
        <x:v>0.29264405321366826</x:v>
      </x:c>
    </x:row>
    <x:row r="3545">
      <x:c r="A3545" s="89" t="n">
        <x:v>3543</x:v>
      </x:c>
      <x:c r="B3545" s="80" t="n">
        <x:v>1.4036706025027381</x:v>
      </x:c>
      <x:c r="C3545" s="84" t="n">
        <x:f>SQRT('Resumen'!$B$5^3/3)*B3545</x:f>
        <x:v>0.81040960020852</x:v>
      </x:c>
      <x:c r="D3545" s="84" t="n">
        <x:f>C3545^2-'Resumen'!$B$5^3/3</x:f>
        <x:v>0.32343038677679997</x:v>
      </x:c>
      <x:c r="E3545" s="85" t="n">
        <x:f>D3545+'Resumen'!$B$5^3/3</x:f>
        <x:v>0.6567637201101333</x:v>
      </x:c>
    </x:row>
    <x:row r="3546">
      <x:c r="A3546" s="89" t="n">
        <x:v>3544</x:v>
      </x:c>
      <x:c r="B3546" s="80" t="n">
        <x:v>0.12586937137243095</x:v>
      </x:c>
      <x:c r="C3546" s="84" t="n">
        <x:f>SQRT('Resumen'!$B$5^3/3)*B3546</x:f>
        <x:v>0.07267071544460198</x:v>
      </x:c>
      <x:c r="D3546" s="84" t="n">
        <x:f>C3546^2-'Resumen'!$B$5^3/3</x:f>
        <x:v>-0.32805230045010303</x:v>
      </x:c>
      <x:c r="E3546" s="85" t="n">
        <x:f>D3546+'Resumen'!$B$5^3/3</x:f>
        <x:v>0.0052810328832302855</x:v>
      </x:c>
    </x:row>
    <x:row r="3547">
      <x:c r="A3547" s="89" t="n">
        <x:v>3545</x:v>
      </x:c>
      <x:c r="B3547" s="80" t="n">
        <x:v>0.8458665247878636</x:v>
      </x:c>
      <x:c r="C3547" s="84" t="n">
        <x:f>SQRT('Resumen'!$B$5^3/3)*B3547</x:f>
        <x:v>0.4883612657847663</x:v>
      </x:c>
      <x:c r="D3547" s="84" t="n">
        <x:f>C3547^2-'Resumen'!$B$5^3/3</x:f>
        <x:v>-0.09483660741443417</x:v>
      </x:c>
      <x:c r="E3547" s="85" t="n">
        <x:f>D3547+'Resumen'!$B$5^3/3</x:f>
        <x:v>0.23849672591889914</x:v>
      </x:c>
    </x:row>
    <x:row r="3548">
      <x:c r="A3548" s="89" t="n">
        <x:v>3546</x:v>
      </x:c>
      <x:c r="B3548" s="80" t="n">
        <x:v>-0.6135661579167516</x:v>
      </x:c>
      <x:c r="C3548" s="84" t="n">
        <x:f>SQRT('Resumen'!$B$5^3/3)*B3548</x:f>
        <x:v>-0.35424258643888096</x:v>
      </x:c>
      <x:c r="D3548" s="84" t="n">
        <x:f>C3548^2-'Resumen'!$B$5^3/3</x:f>
        <x:v>-0.20784552328642528</x:v>
      </x:c>
      <x:c r="E3548" s="85" t="n">
        <x:f>D3548+'Resumen'!$B$5^3/3</x:f>
        <x:v>0.12548781004690804</x:v>
      </x:c>
    </x:row>
    <x:row r="3549">
      <x:c r="A3549" s="89" t="n">
        <x:v>3547</x:v>
      </x:c>
      <x:c r="B3549" s="80" t="n">
        <x:v>-0.6045111267480955</x:v>
      </x:c>
      <x:c r="C3549" s="84" t="n">
        <x:f>SQRT('Resumen'!$B$5^3/3)*B3549</x:f>
        <x:v>-0.3490146617561369</x:v>
      </x:c>
      <x:c r="D3549" s="84" t="n">
        <x:f>C3549^2-'Resumen'!$B$5^3/3</x:f>
        <x:v>-0.2115220992125827</x:v>
      </x:c>
      <x:c r="E3549" s="85" t="n">
        <x:f>D3549+'Resumen'!$B$5^3/3</x:f>
        <x:v>0.12181123412075062</x:v>
      </x:c>
    </x:row>
    <x:row r="3550">
      <x:c r="A3550" s="89" t="n">
        <x:v>3548</x:v>
      </x:c>
      <x:c r="B3550" s="80" t="n">
        <x:v>1.7170453919240984</x:v>
      </x:c>
      <x:c r="C3550" s="84" t="n">
        <x:f>SQRT('Resumen'!$B$5^3/3)*B3550</x:f>
        <x:v>0.9913366192381846</x:v>
      </x:c>
      <x:c r="D3550" s="84" t="n">
        <x:f>C3550^2-'Resumen'!$B$5^3/3</x:f>
        <x:v>0.6494149593092602</x:v>
      </x:c>
      <x:c r="E3550" s="85" t="n">
        <x:f>D3550+'Resumen'!$B$5^3/3</x:f>
        <x:v>0.9827482926425934</x:v>
      </x:c>
    </x:row>
    <x:row r="3551">
      <x:c r="A3551" s="89" t="n">
        <x:v>3549</x:v>
      </x:c>
      <x:c r="B3551" s="80" t="n">
        <x:v>-0.9037003985610635</x:v>
      </x:c>
      <x:c r="C3551" s="84" t="n">
        <x:f>SQRT('Resumen'!$B$5^3/3)*B3551</x:f>
        <x:v>-0.5217516683760021</x:v>
      </x:c>
      <x:c r="D3551" s="84" t="n">
        <x:f>C3551^2-'Resumen'!$B$5^3/3</x:f>
        <x:v>-0.061108529880191664</x:v>
      </x:c>
      <x:c r="E3551" s="85" t="n">
        <x:f>D3551+'Resumen'!$B$5^3/3</x:f>
        <x:v>0.27222480345314165</x:v>
      </x:c>
    </x:row>
    <x:row r="3552">
      <x:c r="A3552" s="89" t="n">
        <x:v>3550</x:v>
      </x:c>
      <x:c r="B3552" s="80" t="n">
        <x:v>-0.9607311448654815</x:v>
      </x:c>
      <x:c r="C3552" s="84" t="n">
        <x:f>SQRT('Resumen'!$B$5^3/3)*B3552</x:f>
        <x:v>-0.554678385106943</x:v>
      </x:c>
      <x:c r="D3552" s="84" t="n">
        <x:f>C3552^2-'Resumen'!$B$5^3/3</x:f>
        <x:v>-0.025665222428487122</x:v>
      </x:c>
      <x:c r="E3552" s="85" t="n">
        <x:f>D3552+'Resumen'!$B$5^3/3</x:f>
        <x:v>0.3076681109048462</x:v>
      </x:c>
    </x:row>
    <x:row r="3553">
      <x:c r="A3553" s="89" t="n">
        <x:v>3551</x:v>
      </x:c>
      <x:c r="B3553" s="80" t="n">
        <x:v>2.1124730279061303</x:v>
      </x:c>
      <x:c r="C3553" s="84" t="n">
        <x:f>SQRT('Resumen'!$B$5^3/3)*B3553</x:f>
        <x:v>1.2196368713174282</x:v>
      </x:c>
      <x:c r="D3553" s="84" t="n">
        <x:f>C3553^2-'Resumen'!$B$5^3/3</x:f>
        <x:v>1.1541807645436315</x:v>
      </x:c>
      <x:c r="E3553" s="85" t="n">
        <x:f>D3553+'Resumen'!$B$5^3/3</x:f>
        <x:v>1.4875140978769648</x:v>
      </x:c>
    </x:row>
    <x:row r="3554">
      <x:c r="A3554" s="89" t="n">
        <x:v>3552</x:v>
      </x:c>
      <x:c r="B3554" s="80" t="n">
        <x:v>1.2422024124946374</x:v>
      </x:c>
      <x:c r="C3554" s="84" t="n">
        <x:f>SQRT('Resumen'!$B$5^3/3)*B3554</x:f>
        <x:v>0.7171858972417814</x:v>
      </x:c>
      <x:c r="D3554" s="84" t="n">
        <x:f>C3554^2-'Resumen'!$B$5^3/3</x:f>
        <x:v>0.18102227786916575</x:v>
      </x:c>
      <x:c r="E3554" s="85" t="n">
        <x:f>D3554+'Resumen'!$B$5^3/3</x:f>
        <x:v>0.5143556112024991</x:v>
      </x:c>
    </x:row>
    <x:row r="3555">
      <x:c r="A3555" s="89" t="n">
        <x:v>3553</x:v>
      </x:c>
      <x:c r="B3555" s="80" t="n">
        <x:v>-0.2158718096903527</x:v>
      </x:c>
      <x:c r="C3555" s="84" t="n">
        <x:f>SQRT('Resumen'!$B$5^3/3)*B3555</x:f>
        <x:v>-0.12463364743517678</x:v>
      </x:c>
      <x:c r="D3555" s="84" t="n">
        <x:f>C3555^2-'Resumen'!$B$5^3/3</x:f>
        <x:v>-0.31779978726033736</x:v>
      </x:c>
      <x:c r="E3555" s="85" t="n">
        <x:f>D3555+'Resumen'!$B$5^3/3</x:f>
        <x:v>0.015533546072995952</x:v>
      </x:c>
    </x:row>
    <x:row r="3556">
      <x:c r="A3556" s="89" t="n">
        <x:v>3554</x:v>
      </x:c>
      <x:c r="B3556" s="80" t="n">
        <x:v>0.6729094178819472</x:v>
      </x:c>
      <x:c r="C3556" s="84" t="n">
        <x:f>SQRT('Resumen'!$B$5^3/3)*B3556</x:f>
        <x:v>0.3885044335543766</x:v>
      </x:c>
      <x:c r="D3556" s="84" t="n">
        <x:f>C3556^2-'Resumen'!$B$5^3/3</x:f>
        <x:v>-0.1823976384419263</x:v>
      </x:c>
      <x:c r="E3556" s="85" t="n">
        <x:f>D3556+'Resumen'!$B$5^3/3</x:f>
        <x:v>0.150935694891407</x:v>
      </x:c>
    </x:row>
    <x:row r="3557">
      <x:c r="A3557" s="89" t="n">
        <x:v>3555</x:v>
      </x:c>
      <x:c r="B3557" s="80" t="n">
        <x:v>0.19316534237584582</x:v>
      </x:c>
      <x:c r="C3557" s="84" t="n">
        <x:f>SQRT('Resumen'!$B$5^3/3)*B3557</x:f>
        <x:v>0.1115240624188008</x:v>
      </x:c>
      <x:c r="D3557" s="84" t="n">
        <x:f>C3557^2-'Resumen'!$B$5^3/3</x:f>
        <x:v>-0.3208957168349407</x:v>
      </x:c>
      <x:c r="E3557" s="85" t="n">
        <x:f>D3557+'Resumen'!$B$5^3/3</x:f>
        <x:v>0.01243761649839259</x:v>
      </x:c>
    </x:row>
    <x:row r="3558">
      <x:c r="A3558" s="89" t="n">
        <x:v>3556</x:v>
      </x:c>
      <x:c r="B3558" s="80" t="n">
        <x:v>-1.1764935511409436</x:v>
      </x:c>
      <x:c r="C3558" s="84" t="n">
        <x:f>SQRT('Resumen'!$B$5^3/3)*B3558</x:f>
        <x:v>-0.6792488684510825</x:v>
      </x:c>
      <x:c r="D3558" s="84" t="n">
        <x:f>C3558^2-'Resumen'!$B$5^3/3</x:f>
        <x:v>0.1280456919587426</x:v>
      </x:c>
      <x:c r="E3558" s="85" t="n">
        <x:f>D3558+'Resumen'!$B$5^3/3</x:f>
        <x:v>0.4613790252920759</x:v>
      </x:c>
    </x:row>
    <x:row r="3559">
      <x:c r="A3559" s="89" t="n">
        <x:v>3557</x:v>
      </x:c>
      <x:c r="B3559" s="80" t="n">
        <x:v>0.6098261763324225</x:v>
      </x:c>
      <x:c r="C3559" s="84" t="n">
        <x:f>SQRT('Resumen'!$B$5^3/3)*B3559</x:f>
        <x:v>0.3520833070644043</x:v>
      </x:c>
      <x:c r="D3559" s="84" t="n">
        <x:f>C3559^2-'Resumen'!$B$5^3/3</x:f>
        <x:v>-0.2093706782199257</x:v>
      </x:c>
      <x:c r="E3559" s="85" t="n">
        <x:f>D3559+'Resumen'!$B$5^3/3</x:f>
        <x:v>0.12396265511340762</x:v>
      </x:c>
    </x:row>
    <x:row r="3560">
      <x:c r="A3560" s="89" t="n">
        <x:v>3558</x:v>
      </x:c>
      <x:c r="B3560" s="80" t="n">
        <x:v>-1.5859612268739325</x:v>
      </x:c>
      <x:c r="C3560" s="84" t="n">
        <x:f>SQRT('Resumen'!$B$5^3/3)*B3560</x:f>
        <x:v>-0.915655141259974</x:v>
      </x:c>
      <x:c r="D3560" s="84" t="n">
        <x:f>C3560^2-'Resumen'!$B$5^3/3</x:f>
        <x:v>0.5050910043824897</x:v>
      </x:c>
      <x:c r="E3560" s="85" t="n">
        <x:f>D3560+'Resumen'!$B$5^3/3</x:f>
        <x:v>0.8384243377158229</x:v>
      </x:c>
    </x:row>
    <x:row r="3561">
      <x:c r="A3561" s="89" t="n">
        <x:v>3559</x:v>
      </x:c>
      <x:c r="B3561" s="80" t="n">
        <x:v>1.5078034690149817</x:v>
      </x:c>
      <x:c r="C3561" s="84" t="n">
        <x:f>SQRT('Resumen'!$B$5^3/3)*B3561</x:f>
        <x:v>0.8705307387208512</x:v>
      </x:c>
      <x:c r="D3561" s="84" t="n">
        <x:f>C3561^2-'Resumen'!$B$5^3/3</x:f>
        <x:v>0.4244904337245376</x:v>
      </x:c>
      <x:c r="E3561" s="85" t="n">
        <x:f>D3561+'Resumen'!$B$5^3/3</x:f>
        <x:v>0.7578237670578709</x:v>
      </x:c>
    </x:row>
    <x:row r="3562">
      <x:c r="A3562" s="89" t="n">
        <x:v>3560</x:v>
      </x:c>
      <x:c r="B3562" s="80" t="n">
        <x:v>1.6492539829765733</x:v>
      </x:c>
      <x:c r="C3562" s="84" t="n">
        <x:f>SQRT('Resumen'!$B$5^3/3)*B3562</x:f>
        <x:v>0.952197231033587</x:v>
      </x:c>
      <x:c r="D3562" s="84" t="n">
        <x:f>C3562^2-'Resumen'!$B$5^3/3</x:f>
        <x:v>0.573346233454697</x:v>
      </x:c>
      <x:c r="E3562" s="85" t="n">
        <x:f>D3562+'Resumen'!$B$5^3/3</x:f>
        <x:v>0.9066795667880303</x:v>
      </x:c>
    </x:row>
    <x:row r="3563">
      <x:c r="A3563" s="89" t="n">
        <x:v>3561</x:v>
      </x:c>
      <x:c r="B3563" s="80" t="n">
        <x:v>-0.4766027837957909</x:v>
      </x:c>
      <x:c r="C3563" s="84" t="n">
        <x:f>SQRT('Resumen'!$B$5^3/3)*B3563</x:f>
        <x:v>-0.2751667455210249</x:v>
      </x:c>
      <x:c r="D3563" s="84" t="n">
        <x:f>C3563^2-'Resumen'!$B$5^3/3</x:f>
        <x:v>-0.25761659549270083</x:v>
      </x:c>
      <x:c r="E3563" s="85" t="n">
        <x:f>D3563+'Resumen'!$B$5^3/3</x:f>
        <x:v>0.07571673784063249</x:v>
      </x:c>
    </x:row>
    <x:row r="3564">
      <x:c r="A3564" s="89" t="n">
        <x:v>3562</x:v>
      </x:c>
      <x:c r="B3564" s="80" t="n">
        <x:v>0.14975319619024366</x:v>
      </x:c>
      <x:c r="C3564" s="84" t="n">
        <x:f>SQRT('Resumen'!$B$5^3/3)*B3564</x:f>
        <x:v>0.08646004813244401</x:v>
      </x:c>
      <x:c r="D3564" s="84" t="n">
        <x:f>C3564^2-'Resumen'!$B$5^3/3</x:f>
        <x:v>-0.3258579934102688</x:v>
      </x:c>
      <x:c r="E3564" s="85" t="n">
        <x:f>D3564+'Resumen'!$B$5^3/3</x:f>
        <x:v>0.007475339923064539</x:v>
      </x:c>
    </x:row>
    <x:row r="3565">
      <x:c r="A3565" s="89" t="n">
        <x:v>3563</x:v>
      </x:c>
      <x:c r="B3565" s="80" t="n">
        <x:v>1.2316858010845892</x:v>
      </x:c>
      <x:c r="C3565" s="84" t="n">
        <x:f>SQRT('Resumen'!$B$5^3/3)*B3565</x:f>
        <x:v>0.7111141288132274</x:v>
      </x:c>
      <x:c r="D3565" s="84" t="n">
        <x:f>C3565^2-'Resumen'!$B$5^3/3</x:f>
        <x:v>0.17234997086446208</x:v>
      </x:c>
      <x:c r="E3565" s="85" t="n">
        <x:f>D3565+'Resumen'!$B$5^3/3</x:f>
        <x:v>0.5056833041977954</x:v>
      </x:c>
    </x:row>
    <x:row r="3566">
      <x:c r="A3566" s="89" t="n">
        <x:v>3564</x:v>
      </x:c>
      <x:c r="B3566" s="80" t="n">
        <x:v>0.07931434525363087</x:v>
      </x:c>
      <x:c r="C3566" s="84" t="n">
        <x:f>SQRT('Resumen'!$B$5^3/3)*B3566</x:f>
        <x:v>0.0457921585827827</x:v>
      </x:c>
      <x:c r="D3566" s="84" t="n">
        <x:f>C3566^2-'Resumen'!$B$5^3/3</x:f>
        <x:v>-0.3312364115456626</x:v>
      </x:c>
      <x:c r="E3566" s="85" t="n">
        <x:f>D3566+'Resumen'!$B$5^3/3</x:f>
        <x:v>0.0020969217876707358</x:v>
      </x:c>
    </x:row>
    <x:row r="3567">
      <x:c r="A3567" s="89" t="n">
        <x:v>3565</x:v>
      </x:c>
      <x:c r="B3567" s="80" t="n">
        <x:v>-1.64098131366577</x:v>
      </x:c>
      <x:c r="C3567" s="84" t="n">
        <x:f>SQRT('Resumen'!$B$5^3/3)*B3567</x:f>
        <x:v>-0.947421003180078</x:v>
      </x:c>
      <x:c r="D3567" s="84" t="n">
        <x:f>C3567^2-'Resumen'!$B$5^3/3</x:f>
        <x:v>0.5642732239334121</x:v>
      </x:c>
      <x:c r="E3567" s="85" t="n">
        <x:f>D3567+'Resumen'!$B$5^3/3</x:f>
        <x:v>0.8976065572667453</x:v>
      </x:c>
    </x:row>
    <x:row r="3568">
      <x:c r="A3568" s="89" t="n">
        <x:v>3566</x:v>
      </x:c>
      <x:c r="B3568" s="80" t="n">
        <x:v>1.57879897004374</x:v>
      </x:c>
      <x:c r="C3568" s="84" t="n">
        <x:f>SQRT('Resumen'!$B$5^3/3)*B3568</x:f>
        <x:v>0.9115200103510571</x:v>
      </x:c>
      <x:c r="D3568" s="84" t="n">
        <x:f>C3568^2-'Resumen'!$B$5^3/3</x:f>
        <x:v>0.4975353959370579</x:v>
      </x:c>
      <x:c r="E3568" s="85" t="n">
        <x:f>D3568+'Resumen'!$B$5^3/3</x:f>
        <x:v>0.8308687292703912</x:v>
      </x:c>
    </x:row>
    <x:row r="3569">
      <x:c r="A3569" s="89" t="n">
        <x:v>3567</x:v>
      </x:c>
      <x:c r="B3569" s="80" t="n">
        <x:v>-0.12061703545575014</x:v>
      </x:c>
      <x:c r="C3569" s="84" t="n">
        <x:f>SQRT('Resumen'!$B$5^3/3)*B3569</x:f>
        <x:v>-0.06963827788923198</x:v>
      </x:c>
      <x:c r="D3569" s="84" t="n">
        <x:f>C3569^2-'Resumen'!$B$5^3/3</x:f>
        <x:v>-0.3284838435859554</x:v>
      </x:c>
      <x:c r="E3569" s="85" t="n">
        <x:f>D3569+'Resumen'!$B$5^3/3</x:f>
        <x:v>0.004849489747377922</x:v>
      </x:c>
    </x:row>
    <x:row r="3570">
      <x:c r="A3570" s="89" t="n">
        <x:v>3568</x:v>
      </x:c>
      <x:c r="B3570" s="80" t="n">
        <x:v>-1.540586463888898</x:v>
      </x:c>
      <x:c r="C3570" s="84" t="n">
        <x:f>SQRT('Resumen'!$B$5^3/3)*B3570</x:f>
        <x:v>-0.8894580096361488</x:v>
      </x:c>
      <x:c r="D3570" s="84" t="n">
        <x:f>C3570^2-'Resumen'!$B$5^3/3</x:f>
        <x:v>0.4578022175725662</x:v>
      </x:c>
      <x:c r="E3570" s="85" t="n">
        <x:f>D3570+'Resumen'!$B$5^3/3</x:f>
        <x:v>0.7911355509058995</x:v>
      </x:c>
    </x:row>
    <x:row r="3571">
      <x:c r="A3571" s="89" t="n">
        <x:v>3569</x:v>
      </x:c>
      <x:c r="B3571" s="80" t="n">
        <x:v>0.23363278944165897</x:v>
      </x:c>
      <x:c r="C3571" s="84" t="n">
        <x:f>SQRT('Resumen'!$B$5^3/3)*B3571</x:f>
        <x:v>0.13488795387566496</x:v>
      </x:c>
      <x:c r="D3571" s="84" t="n">
        <x:f>C3571^2-'Resumen'!$B$5^3/3</x:f>
        <x:v>-0.3151385732325698</x:v>
      </x:c>
      <x:c r="E3571" s="85" t="n">
        <x:f>D3571+'Resumen'!$B$5^3/3</x:f>
        <x:v>0.01819476010076354</x:v>
      </x:c>
    </x:row>
    <x:row r="3572">
      <x:c r="A3572" s="89" t="n">
        <x:v>3570</x:v>
      </x:c>
      <x:c r="B3572" s="80" t="n">
        <x:v>1.1301229264254775</x:v>
      </x:c>
      <x:c r="C3572" s="84" t="n">
        <x:f>SQRT('Resumen'!$B$5^3/3)*B3572</x:f>
        <x:v>0.652476775789117</x:v>
      </x:c>
      <x:c r="D3572" s="84" t="n">
        <x:f>C3572^2-'Resumen'!$B$5^3/3</x:f>
        <x:v>0.09239260961082835</x:v>
      </x:c>
      <x:c r="E3572" s="85" t="n">
        <x:f>D3572+'Resumen'!$B$5^3/3</x:f>
        <x:v>0.42572594294416166</x:v>
      </x:c>
    </x:row>
    <x:row r="3573">
      <x:c r="A3573" s="89" t="n">
        <x:v>3571</x:v>
      </x:c>
      <x:c r="B3573" s="80" t="n">
        <x:v>0.020578207414472523</x:v>
      </x:c>
      <x:c r="C3573" s="84" t="n">
        <x:f>SQRT('Resumen'!$B$5^3/3)*B3573</x:f>
        <x:v>0.011880833590185663</x:v>
      </x:c>
      <x:c r="D3573" s="84" t="n">
        <x:f>C3573^2-'Resumen'!$B$5^3/3</x:f>
        <x:v>-0.33319217912653565</x:v>
      </x:c>
      <x:c r="E3573" s="85" t="n">
        <x:f>D3573+'Resumen'!$B$5^3/3</x:f>
        <x:v>0.00014115420679766677</x:v>
      </x:c>
    </x:row>
    <x:row r="3574">
      <x:c r="A3574" s="89" t="n">
        <x:v>3572</x:v>
      </x:c>
      <x:c r="B3574" s="80" t="n">
        <x:v>0.7537319896435546</x:v>
      </x:c>
      <x:c r="C3574" s="84" t="n">
        <x:f>SQRT('Resumen'!$B$5^3/3)*B3574</x:f>
        <x:v>0.43516736711753845</x:v>
      </x:c>
      <x:c r="D3574" s="84" t="n">
        <x:f>C3574^2-'Resumen'!$B$5^3/3</x:f>
        <x:v>-0.14396269592932284</x:v>
      </x:c>
      <x:c r="E3574" s="85" t="n">
        <x:f>D3574+'Resumen'!$B$5^3/3</x:f>
        <x:v>0.18937063740401047</x:v>
      </x:c>
    </x:row>
    <x:row r="3575">
      <x:c r="A3575" s="89" t="n">
        <x:v>3573</x:v>
      </x:c>
      <x:c r="B3575" s="80" t="n">
        <x:v>-0.6809885202290213</x:v>
      </x:c>
      <x:c r="C3575" s="84" t="n">
        <x:f>SQRT('Resumen'!$B$5^3/3)*B3575</x:f>
        <x:v>-0.39316890546927036</x:v>
      </x:c>
      <x:c r="D3575" s="84" t="n">
        <x:f>C3575^2-'Resumen'!$B$5^3/3</x:f>
        <x:v>-0.17875154510542926</x:v>
      </x:c>
      <x:c r="E3575" s="85" t="n">
        <x:f>D3575+'Resumen'!$B$5^3/3</x:f>
        <x:v>0.15458178822790405</x:v>
      </x:c>
    </x:row>
    <x:row r="3576">
      <x:c r="A3576" s="89" t="n">
        <x:v>3574</x:v>
      </x:c>
      <x:c r="B3576" s="80" t="n">
        <x:v>0.13884563271918127</x:v>
      </x:c>
      <x:c r="C3576" s="84" t="n">
        <x:f>SQRT('Resumen'!$B$5^3/3)*B3576</x:f>
        <x:v>0.08016256342622322</x:v>
      </x:c>
      <x:c r="D3576" s="84" t="n">
        <x:f>C3576^2-'Resumen'!$B$5^3/3</x:f>
        <x:v>-0.32690729675827007</x:v>
      </x:c>
      <x:c r="E3576" s="85" t="n">
        <x:f>D3576+'Resumen'!$B$5^3/3</x:f>
        <x:v>0.006426036575063243</x:v>
      </x:c>
    </x:row>
    <x:row r="3577">
      <x:c r="A3577" s="89" t="n">
        <x:v>3575</x:v>
      </x:c>
      <x:c r="B3577" s="80" t="n">
        <x:v>-0.9344996023169332</x:v>
      </x:c>
      <x:c r="C3577" s="84" t="n">
        <x:f>SQRT('Resumen'!$B$5^3/3)*B3577</x:f>
        <x:v>-0.5395335969552796</x:v>
      </x:c>
      <x:c r="D3577" s="84" t="n">
        <x:f>C3577^2-'Resumen'!$B$5^3/3</x:f>
        <x:v>-0.04223683108983123</x:v>
      </x:c>
      <x:c r="E3577" s="85" t="n">
        <x:f>D3577+'Resumen'!$B$5^3/3</x:f>
        <x:v>0.2910965022435021</x:v>
      </x:c>
    </x:row>
    <x:row r="3578">
      <x:c r="A3578" s="89" t="n">
        <x:v>3576</x:v>
      </x:c>
      <x:c r="B3578" s="80" t="n">
        <x:v>0.9161437226767452</x:v>
      </x:c>
      <x:c r="C3578" s="84" t="n">
        <x:f>SQRT('Resumen'!$B$5^3/3)*B3578</x:f>
        <x:v>0.5289358249038046</x:v>
      </x:c>
      <x:c r="D3578" s="84" t="n">
        <x:f>C3578^2-'Resumen'!$B$5^3/3</x:f>
        <x:v>-0.05356022646666503</x:v>
      </x:c>
      <x:c r="E3578" s="85" t="n">
        <x:f>D3578+'Resumen'!$B$5^3/3</x:f>
        <x:v>0.2797731068666683</x:v>
      </x:c>
    </x:row>
    <x:row r="3579">
      <x:c r="A3579" s="89" t="n">
        <x:v>3577</x:v>
      </x:c>
      <x:c r="B3579" s="80" t="n">
        <x:v>1.4821701153625184</x:v>
      </x:c>
      <x:c r="C3579" s="84" t="n">
        <x:f>SQRT('Resumen'!$B$5^3/3)*B3579</x:f>
        <x:v>0.8557313150893686</x:v>
      </x:c>
      <x:c r="D3579" s="84" t="n">
        <x:f>C3579^2-'Resumen'!$B$5^3/3</x:f>
        <x:v>0.398942750291247</x:v>
      </x:c>
      <x:c r="E3579" s="85" t="n">
        <x:f>D3579+'Resumen'!$B$5^3/3</x:f>
        <x:v>0.7322760836245803</x:v>
      </x:c>
    </x:row>
    <x:row r="3580">
      <x:c r="A3580" s="89" t="n">
        <x:v>3578</x:v>
      </x:c>
      <x:c r="B3580" s="80" t="n">
        <x:v>-0.4943272136196538</x:v>
      </x:c>
      <x:c r="C3580" s="84" t="n">
        <x:f>SQRT('Resumen'!$B$5^3/3)*B3580</x:f>
        <x:v>-0.28539994985106476</x:v>
      </x:c>
      <x:c r="D3580" s="84" t="n">
        <x:f>C3580^2-'Resumen'!$B$5^3/3</x:f>
        <x:v>-0.25188020195834304</x:v>
      </x:c>
      <x:c r="E3580" s="85" t="n">
        <x:f>D3580+'Resumen'!$B$5^3/3</x:f>
        <x:v>0.08145313137499027</x:v>
      </x:c>
    </x:row>
    <x:row r="3581">
      <x:c r="A3581" s="89" t="n">
        <x:v>3579</x:v>
      </x:c>
      <x:c r="B3581" s="80" t="n">
        <x:v>0.11691513169099782</x:v>
      </x:c>
      <x:c r="C3581" s="84" t="n">
        <x:f>SQRT('Resumen'!$B$5^3/3)*B3581</x:f>
        <x:v>0.06750098275413813</x:v>
      </x:c>
      <x:c r="D3581" s="84" t="n">
        <x:f>C3581^2-'Resumen'!$B$5^3/3</x:f>
        <x:v>-0.32877695066055884</x:v>
      </x:c>
      <x:c r="E3581" s="85" t="n">
        <x:f>D3581+'Resumen'!$B$5^3/3</x:f>
        <x:v>0.004556382672774473</x:v>
      </x:c>
    </x:row>
    <x:row r="3582">
      <x:c r="A3582" s="89" t="n">
        <x:v>3580</x:v>
      </x:c>
      <x:c r="B3582" s="80" t="n">
        <x:v>-0.5432752145406319</x:v>
      </x:c>
      <x:c r="C3582" s="84" t="n">
        <x:f>SQRT('Resumen'!$B$5^3/3)*B3582</x:f>
        <x:v>-0.3136600913590855</x:v>
      </x:c>
      <x:c r="D3582" s="84" t="n">
        <x:f>C3582^2-'Resumen'!$B$5^3/3</x:f>
        <x:v>-0.23495068042194345</x:v>
      </x:c>
      <x:c r="E3582" s="85" t="n">
        <x:f>D3582+'Resumen'!$B$5^3/3</x:f>
        <x:v>0.09838265291138987</x:v>
      </x:c>
    </x:row>
    <x:row r="3583">
      <x:c r="A3583" s="89" t="n">
        <x:v>3581</x:v>
      </x:c>
      <x:c r="B3583" s="80" t="n">
        <x:v>1.4478858191603794</x:v>
      </x:c>
      <x:c r="C3583" s="84" t="n">
        <x:f>SQRT('Resumen'!$B$5^3/3)*B3583</x:f>
        <x:v>0.8359372674480868</x:v>
      </x:c>
      <x:c r="D3583" s="84" t="n">
        <x:f>C3583^2-'Resumen'!$B$5^3/3</x:f>
        <x:v>0.36545778177524096</x:v>
      </x:c>
      <x:c r="E3583" s="85" t="n">
        <x:f>D3583+'Resumen'!$B$5^3/3</x:f>
        <x:v>0.6987911151085743</x:v>
      </x:c>
    </x:row>
    <x:row r="3584">
      <x:c r="A3584" s="89" t="n">
        <x:v>3582</x:v>
      </x:c>
      <x:c r="B3584" s="80" t="n">
        <x:v>0.7258306932168215</x:v>
      </x:c>
      <x:c r="C3584" s="84" t="n">
        <x:f>SQRT('Resumen'!$B$5^3/3)*B3584</x:f>
        <x:v>0.4190585461148245</x:v>
      </x:c>
      <x:c r="D3584" s="84" t="n">
        <x:f>C3584^2-'Resumen'!$B$5^3/3</x:f>
        <x:v>-0.15772326826146282</x:v>
      </x:c>
      <x:c r="E3584" s="85" t="n">
        <x:f>D3584+'Resumen'!$B$5^3/3</x:f>
        <x:v>0.1756100650718705</x:v>
      </x:c>
    </x:row>
    <x:row r="3585">
      <x:c r="A3585" s="89" t="n">
        <x:v>3583</x:v>
      </x:c>
      <x:c r="B3585" s="80" t="n">
        <x:v>-1.0099312685413298</x:v>
      </x:c>
      <x:c r="C3585" s="84" t="n">
        <x:f>SQRT('Resumen'!$B$5^3/3)*B3585</x:f>
        <x:v>-0.583084089755357</x:v>
      </x:c>
      <x:c r="D3585" s="84" t="n">
        <x:f>C3585^2-'Resumen'!$B$5^3/3</x:f>
        <x:v>0.0066537223924998945</x:v>
      </x:c>
      <x:c r="E3585" s="85" t="n">
        <x:f>D3585+'Resumen'!$B$5^3/3</x:f>
        <x:v>0.3399870557258332</x:v>
      </x:c>
    </x:row>
    <x:row r="3586">
      <x:c r="A3586" s="89" t="n">
        <x:v>3584</x:v>
      </x:c>
      <x:c r="B3586" s="80" t="n">
        <x:v>-1.1004031326328274</x:v>
      </x:c>
      <x:c r="C3586" s="84" t="n">
        <x:f>SQRT('Resumen'!$B$5^3/3)*B3586</x:f>
        <x:v>-0.6353180448426703</x:v>
      </x:c>
      <x:c r="D3586" s="84" t="n">
        <x:f>C3586^2-'Resumen'!$B$5^3/3</x:f>
        <x:v>0.07029568476937992</x:v>
      </x:c>
      <x:c r="E3586" s="85" t="n">
        <x:f>D3586+'Resumen'!$B$5^3/3</x:f>
        <x:v>0.40362901810271323</x:v>
      </x:c>
    </x:row>
    <x:row r="3587">
      <x:c r="A3587" s="89" t="n">
        <x:v>3585</x:v>
      </x:c>
      <x:c r="B3587" s="80" t="n">
        <x:v>0.24650414171838472</x:v>
      </x:c>
      <x:c r="C3587" s="84" t="n">
        <x:f>SQRT('Resumen'!$B$5^3/3)*B3587</x:f>
        <x:v>0.14231923257746706</x:v>
      </x:c>
      <x:c r="D3587" s="84" t="n">
        <x:f>C3587^2-'Resumen'!$B$5^3/3</x:f>
        <x:v>-0.31307856937189416</x:v>
      </x:c>
      <x:c r="E3587" s="85" t="n">
        <x:f>D3587+'Resumen'!$B$5^3/3</x:f>
        <x:v>0.02025476396143916</x:v>
      </x:c>
    </x:row>
    <x:row r="3588">
      <x:c r="A3588" s="89" t="n">
        <x:v>3586</x:v>
      </x:c>
      <x:c r="B3588" s="80" t="n">
        <x:v>1.4510995296295024</x:v>
      </x:c>
      <x:c r="C3588" s="84" t="n">
        <x:f>SQRT('Resumen'!$B$5^3/3)*B3588</x:f>
        <x:v>0.8377927040525325</x:v>
      </x:c>
      <x:c r="D3588" s="84" t="n">
        <x:f>C3588^2-'Resumen'!$B$5^3/3</x:f>
        <x:v>0.368563281630321</x:v>
      </x:c>
      <x:c r="E3588" s="85" t="n">
        <x:f>D3588+'Resumen'!$B$5^3/3</x:f>
        <x:v>0.7018966149636543</x:v>
      </x:c>
    </x:row>
    <x:row r="3589">
      <x:c r="A3589" s="89" t="n">
        <x:v>3587</x:v>
      </x:c>
      <x:c r="B3589" s="80" t="n">
        <x:v>-0.18382383785933332</x:v>
      </x:c>
      <x:c r="C3589" s="84" t="n">
        <x:f>SQRT('Resumen'!$B$5^3/3)*B3589</x:f>
        <x:v>-0.10613074227155621</x:v>
      </x:c>
      <x:c r="D3589" s="84" t="n">
        <x:f>C3589^2-'Resumen'!$B$5^3/3</x:f>
        <x:v>-0.32206959887822184</x:v>
      </x:c>
      <x:c r="E3589" s="85" t="n">
        <x:f>D3589+'Resumen'!$B$5^3/3</x:f>
        <x:v>0.011263734455111474</x:v>
      </x:c>
    </x:row>
    <x:row r="3590">
      <x:c r="A3590" s="89" t="n">
        <x:v>3588</x:v>
      </x:c>
      <x:c r="B3590" s="80" t="n">
        <x:v>-0.32929253137881115</x:v>
      </x:c>
      <x:c r="C3590" s="84" t="n">
        <x:f>SQRT('Resumen'!$B$5^3/3)*B3590</x:f>
        <x:v>-0.1901171316336899</x:v>
      </x:c>
      <x:c r="D3590" s="84" t="n">
        <x:f>C3590^2-'Resumen'!$B$5^3/3</x:f>
        <x:v>-0.29718880959271154</x:v>
      </x:c>
      <x:c r="E3590" s="85" t="n">
        <x:f>D3590+'Resumen'!$B$5^3/3</x:f>
        <x:v>0.03614452374062177</x:v>
      </x:c>
    </x:row>
    <x:row r="3591">
      <x:c r="A3591" s="89" t="n">
        <x:v>3589</x:v>
      </x:c>
      <x:c r="B3591" s="80" t="n">
        <x:v>-1.6217230135721787</x:v>
      </x:c>
      <x:c r="C3591" s="84" t="n">
        <x:f>SQRT('Resumen'!$B$5^3/3)*B3591</x:f>
        <x:v>-0.9363022184369084</x:v>
      </x:c>
      <x:c r="D3591" s="84" t="n">
        <x:f>C3591^2-'Resumen'!$B$5^3/3</x:f>
        <x:v>0.5433285109165429</x:v>
      </x:c>
      <x:c r="E3591" s="85" t="n">
        <x:f>D3591+'Resumen'!$B$5^3/3</x:f>
        <x:v>0.8766618442498761</x:v>
      </x:c>
    </x:row>
    <x:row r="3592">
      <x:c r="A3592" s="89" t="n">
        <x:v>3590</x:v>
      </x:c>
      <x:c r="B3592" s="80" t="n">
        <x:v>0.18313812088994838</x:v>
      </x:c>
      <x:c r="C3592" s="84" t="n">
        <x:f>SQRT('Resumen'!$B$5^3/3)*B3592</x:f>
        <x:v>0.10573484339469391</x:v>
      </x:c>
      <x:c r="D3592" s="84" t="n">
        <x:f>C3592^2-'Resumen'!$B$5^3/3</x:f>
        <x:v>-0.32215347622563284</x:v>
      </x:c>
      <x:c r="E3592" s="85" t="n">
        <x:f>D3592+'Resumen'!$B$5^3/3</x:f>
        <x:v>0.011179857107700475</x:v>
      </x:c>
    </x:row>
    <x:row r="3593">
      <x:c r="A3593" s="89" t="n">
        <x:v>3591</x:v>
      </x:c>
      <x:c r="B3593" s="80" t="n">
        <x:v>-1.1700259636171648</x:v>
      </x:c>
      <x:c r="C3593" s="84" t="n">
        <x:f>SQRT('Resumen'!$B$5^3/3)*B3593</x:f>
        <x:v>-0.6755148050532214</x:v>
      </x:c>
      <x:c r="D3593" s="84" t="n">
        <x:f>C3593^2-'Resumen'!$B$5^3/3</x:f>
        <x:v>0.12298691851275834</x:v>
      </x:c>
      <x:c r="E3593" s="85" t="n">
        <x:f>D3593+'Resumen'!$B$5^3/3</x:f>
        <x:v>0.45632025184609165</x:v>
      </x:c>
    </x:row>
    <x:row r="3594">
      <x:c r="A3594" s="89" t="n">
        <x:v>3592</x:v>
      </x:c>
      <x:c r="B3594" s="80" t="n">
        <x:v>-0.8161570566952883</x:v>
      </x:c>
      <x:c r="C3594" s="84" t="n">
        <x:f>SQRT('Resumen'!$B$5^3/3)*B3594</x:f>
        <x:v>-0.47120849638403733</x:v>
      </x:c>
      <x:c r="D3594" s="84" t="n">
        <x:f>C3594^2-'Resumen'!$B$5^3/3</x:f>
        <x:v>-0.111295886268828</x:v>
      </x:c>
      <x:c r="E3594" s="85" t="n">
        <x:f>D3594+'Resumen'!$B$5^3/3</x:f>
        <x:v>0.22203744706450532</x:v>
      </x:c>
    </x:row>
    <x:row r="3595">
      <x:c r="A3595" s="89" t="n">
        <x:v>3593</x:v>
      </x:c>
      <x:c r="B3595" s="80" t="n">
        <x:v>-1.9578880717628975</x:v>
      </x:c>
      <x:c r="C3595" s="84" t="n">
        <x:f>SQRT('Resumen'!$B$5^3/3)*B3595</x:f>
        <x:v>-1.1303872052754662</x:v>
      </x:c>
      <x:c r="D3595" s="84" t="n">
        <x:f>C3595^2-'Resumen'!$B$5^3/3</x:f>
        <x:v>0.9444419005171458</x:v>
      </x:c>
      <x:c r="E3595" s="85" t="n">
        <x:f>D3595+'Resumen'!$B$5^3/3</x:f>
        <x:v>1.277775233850479</x:v>
      </x:c>
    </x:row>
    <x:row r="3596">
      <x:c r="A3596" s="89" t="n">
        <x:v>3594</x:v>
      </x:c>
      <x:c r="B3596" s="80" t="n">
        <x:v>-1.6914877829594939</x:v>
      </x:c>
      <x:c r="C3596" s="84" t="n">
        <x:f>SQRT('Resumen'!$B$5^3/3)*B3596</x:f>
        <x:v>-0.976580926822627</x:v>
      </x:c>
      <x:c r="D3596" s="84" t="n">
        <x:f>C3596^2-'Resumen'!$B$5^3/3</x:f>
        <x:v>0.6203769733004079</x:v>
      </x:c>
      <x:c r="E3596" s="85" t="n">
        <x:f>D3596+'Resumen'!$B$5^3/3</x:f>
        <x:v>0.9537103066337411</x:v>
      </x:c>
    </x:row>
    <x:row r="3597">
      <x:c r="A3597" s="89" t="n">
        <x:v>3595</x:v>
      </x:c>
      <x:c r="B3597" s="80" t="n">
        <x:v>-0.6936818361398516</x:v>
      </x:c>
      <x:c r="C3597" s="84" t="n">
        <x:f>SQRT('Resumen'!$B$5^3/3)*B3597</x:f>
        <x:v>-0.4004973948272971</x:v>
      </x:c>
      <x:c r="D3597" s="84" t="n">
        <x:f>C3597^2-'Resumen'!$B$5^3/3</x:f>
        <x:v>-0.1729351700698814</x:v>
      </x:c>
      <x:c r="E3597" s="85" t="n">
        <x:f>D3597+'Resumen'!$B$5^3/3</x:f>
        <x:v>0.1603981632634519</x:v>
      </x:c>
    </x:row>
    <x:row r="3598">
      <x:c r="A3598" s="89" t="n">
        <x:v>3596</x:v>
      </x:c>
      <x:c r="B3598" s="80" t="n">
        <x:v>-0.645549583214582</x:v>
      </x:c>
      <x:c r="C3598" s="84" t="n">
        <x:f>SQRT('Resumen'!$B$5^3/3)*B3598</x:f>
        <x:v>-0.3727082256441896</x:v>
      </x:c>
      <x:c r="D3598" s="84" t="n">
        <x:f>C3598^2-'Resumen'!$B$5^3/3</x:f>
        <x:v>-0.19442191187049318</x:v>
      </x:c>
      <x:c r="E3598" s="85" t="n">
        <x:f>D3598+'Resumen'!$B$5^3/3</x:f>
        <x:v>0.13891142146284013</x:v>
      </x:c>
    </x:row>
    <x:row r="3599">
      <x:c r="A3599" s="89" t="n">
        <x:v>3597</x:v>
      </x:c>
      <x:c r="B3599" s="80" t="n">
        <x:v>-0.2735763630405645</x:v>
      </x:c>
      <x:c r="C3599" s="84" t="n">
        <x:f>SQRT('Resumen'!$B$5^3/3)*B3599</x:f>
        <x:v>-0.15794938684538867</x:v>
      </x:c>
      <x:c r="D3599" s="84" t="n">
        <x:f>C3599^2-'Resumen'!$B$5^3/3</x:f>
        <x:v>-0.3083853245284991</x:v>
      </x:c>
      <x:c r="E3599" s="85" t="n">
        <x:f>D3599+'Resumen'!$B$5^3/3</x:f>
        <x:v>0.02494800880483422</x:v>
      </x:c>
    </x:row>
    <x:row r="3600">
      <x:c r="A3600" s="89" t="n">
        <x:v>3598</x:v>
      </x:c>
      <x:c r="B3600" s="80" t="n">
        <x:v>-1.950491022631103</x:v>
      </x:c>
      <x:c r="C3600" s="84" t="n">
        <x:f>SQRT('Resumen'!$B$5^3/3)*B3600</x:f>
        <x:v>-1.1261165169680156</x:v>
      </x:c>
      <x:c r="D3600" s="84" t="n">
        <x:f>C3600^2-'Resumen'!$B$5^3/3</x:f>
        <x:v>0.9348050764548417</x:v>
      </x:c>
      <x:c r="E3600" s="85" t="n">
        <x:f>D3600+'Resumen'!$B$5^3/3</x:f>
        <x:v>1.268138409788175</x:v>
      </x:c>
    </x:row>
    <x:row r="3601">
      <x:c r="A3601" s="89" t="n">
        <x:v>3599</x:v>
      </x:c>
      <x:c r="B3601" s="80" t="n">
        <x:v>-1.5909001751787364</x:v>
      </x:c>
      <x:c r="C3601" s="84" t="n">
        <x:f>SQRT('Resumen'!$B$5^3/3)*B3601</x:f>
        <x:v>-0.9185066443932662</x:v>
      </x:c>
      <x:c r="D3601" s="84" t="n">
        <x:f>C3601^2-'Resumen'!$B$5^3/3</x:f>
        <x:v>0.5103211224612447</x:v>
      </x:c>
      <x:c r="E3601" s="85" t="n">
        <x:f>D3601+'Resumen'!$B$5^3/3</x:f>
        <x:v>0.843654455794578</x:v>
      </x:c>
    </x:row>
    <x:row r="3602">
      <x:c r="A3602" s="89" t="n">
        <x:v>3600</x:v>
      </x:c>
      <x:c r="B3602" s="80" t="n">
        <x:v>0.6761634238663381</x:v>
      </x:c>
      <x:c r="C3602" s="84" t="n">
        <x:f>SQRT('Resumen'!$B$5^3/3)*B3602</x:f>
        <x:v>0.3903831347854093</x:v>
      </x:c>
      <x:c r="D3602" s="84" t="n">
        <x:f>C3602^2-'Resumen'!$B$5^3/3</x:f>
        <x:v>-0.18093434140845027</x:v>
      </x:c>
      <x:c r="E3602" s="85" t="n">
        <x:f>D3602+'Resumen'!$B$5^3/3</x:f>
        <x:v>0.15239899192488304</x:v>
      </x:c>
    </x:row>
    <x:row r="3603">
      <x:c r="A3603" s="89" t="n">
        <x:v>3601</x:v>
      </x:c>
      <x:c r="B3603" s="80" t="n">
        <x:v>-1.409768257101689</x:v>
      </x:c>
      <x:c r="C3603" s="84" t="n">
        <x:f>SQRT('Resumen'!$B$5^3/3)*B3603</x:f>
        <x:v>-0.8139300827326497</x:v>
      </x:c>
      <x:c r="D3603" s="84" t="n">
        <x:f>C3603^2-'Resumen'!$B$5^3/3</x:f>
        <x:v>0.3291488462438446</x:v>
      </x:c>
      <x:c r="E3603" s="85" t="n">
        <x:f>D3603+'Resumen'!$B$5^3/3</x:f>
        <x:v>0.6624821795771779</x:v>
      </x:c>
    </x:row>
    <x:row r="3604">
      <x:c r="A3604" s="89" t="n">
        <x:v>3602</x:v>
      </x:c>
      <x:c r="B3604" s="80" t="n">
        <x:v>0.43637994945004077</x:v>
      </x:c>
      <x:c r="C3604" s="84" t="n">
        <x:f>SQRT('Resumen'!$B$5^3/3)*B3604</x:f>
        <x:v>0.2519440812839363</x:v>
      </x:c>
      <x:c r="D3604" s="84" t="n">
        <x:f>C3604^2-'Resumen'!$B$5^3/3</x:f>
        <x:v>-0.2698575132393266</x:v>
      </x:c>
      <x:c r="E3604" s="85" t="n">
        <x:f>D3604+'Resumen'!$B$5^3/3</x:f>
        <x:v>0.06347582009400671</x:v>
      </x:c>
    </x:row>
    <x:row r="3605">
      <x:c r="A3605" s="89" t="n">
        <x:v>3603</x:v>
      </x:c>
      <x:c r="B3605" s="80" t="n">
        <x:v>0.3145491200274218</x:v>
      </x:c>
      <x:c r="C3605" s="84" t="n">
        <x:f>SQRT('Resumen'!$B$5^3/3)*B3605</x:f>
        <x:v>0.18160501912119187</x:v>
      </x:c>
      <x:c r="D3605" s="84" t="n">
        <x:f>C3605^2-'Resumen'!$B$5^3/3</x:f>
        <x:v>-0.3003529503633249</x:v>
      </x:c>
      <x:c r="E3605" s="85" t="n">
        <x:f>D3605+'Resumen'!$B$5^3/3</x:f>
        <x:v>0.03298038297000844</x:v>
      </x:c>
    </x:row>
    <x:row r="3606">
      <x:c r="A3606" s="89" t="n">
        <x:v>3604</x:v>
      </x:c>
      <x:c r="B3606" s="80" t="n">
        <x:v>0.13801807772868518</x:v>
      </x:c>
      <x:c r="C3606" s="84" t="n">
        <x:f>SQRT('Resumen'!$B$5^3/3)*B3606</x:f>
        <x:v>0.07968477432969108</x:v>
      </x:c>
      <x:c r="D3606" s="84" t="n">
        <x:f>C3606^2-'Resumen'!$B$5^3/3</x:f>
        <x:v>-0.32698367007335954</x:v>
      </x:c>
      <x:c r="E3606" s="85" t="n">
        <x:f>D3606+'Resumen'!$B$5^3/3</x:f>
        <x:v>0.00634966325997377</x:v>
      </x:c>
    </x:row>
    <x:row r="3607">
      <x:c r="A3607" s="89" t="n">
        <x:v>3605</x:v>
      </x:c>
      <x:c r="B3607" s="80" t="n">
        <x:v>0.708613130767245</x:v>
      </x:c>
      <x:c r="C3607" s="84" t="n">
        <x:f>SQRT('Resumen'!$B$5^3/3)*B3607</x:f>
        <x:v>0.4091179817997723</x:v>
      </x:c>
      <x:c r="D3607" s="84" t="n">
        <x:f>C3607^2-'Resumen'!$B$5^3/3</x:f>
        <x:v>-0.16595581030141449</x:v>
      </x:c>
      <x:c r="E3607" s="85" t="n">
        <x:f>D3607+'Resumen'!$B$5^3/3</x:f>
        <x:v>0.16737752303191883</x:v>
      </x:c>
    </x:row>
    <x:row r="3608">
      <x:c r="A3608" s="89" t="n">
        <x:v>3606</x:v>
      </x:c>
      <x:c r="B3608" s="80" t="n">
        <x:v>0.8348077796799757</x:v>
      </x:c>
      <x:c r="C3608" s="84" t="n">
        <x:f>SQRT('Resumen'!$B$5^3/3)*B3608</x:f>
        <x:v>0.4819764963198277</x:v>
      </x:c>
      <x:c r="D3608" s="84" t="n">
        <x:f>C3608^2-'Resumen'!$B$5^3/3</x:f>
        <x:v>-0.10103199032859644</x:v>
      </x:c>
      <x:c r="E3608" s="85" t="n">
        <x:f>D3608+'Resumen'!$B$5^3/3</x:f>
        <x:v>0.23230134300473687</x:v>
      </x:c>
    </x:row>
    <x:row r="3609">
      <x:c r="A3609" s="89" t="n">
        <x:v>3607</x:v>
      </x:c>
      <x:c r="B3609" s="80" t="n">
        <x:v>1.5592328708340994</x:v>
      </x:c>
      <x:c r="C3609" s="84" t="n">
        <x:f>SQRT('Resumen'!$B$5^3/3)*B3609</x:f>
        <x:v>0.9002235177053802</x:v>
      </x:c>
      <x:c r="D3609" s="84" t="n">
        <x:f>C3609^2-'Resumen'!$B$5^3/3</x:f>
        <x:v>0.4770690484965157</x:v>
      </x:c>
      <x:c r="E3609" s="85" t="n">
        <x:f>D3609+'Resumen'!$B$5^3/3</x:f>
        <x:v>0.810402381829849</x:v>
      </x:c>
    </x:row>
    <x:row r="3610">
      <x:c r="A3610" s="89" t="n">
        <x:v>3608</x:v>
      </x:c>
      <x:c r="B3610" s="80" t="n">
        <x:v>0.1120670420113117</x:v>
      </x:c>
      <x:c r="C3610" s="84" t="n">
        <x:f>SQRT('Resumen'!$B$5^3/3)*B3610</x:f>
        <x:v>0.06470193687251591</x:v>
      </x:c>
      <x:c r="D3610" s="84" t="n">
        <x:f>C3610^2-'Resumen'!$B$5^3/3</x:f>
        <x:v>-0.3291469926982783</x:v>
      </x:c>
      <x:c r="E3610" s="85" t="n">
        <x:f>D3610+'Resumen'!$B$5^3/3</x:f>
        <x:v>0.004186340635055019</x:v>
      </x:c>
    </x:row>
    <x:row r="3611">
      <x:c r="A3611" s="89" t="n">
        <x:v>3609</x:v>
      </x:c>
      <x:c r="B3611" s="80" t="n">
        <x:v>1.3602746183431245</x:v>
      </x:c>
      <x:c r="C3611" s="84" t="n">
        <x:f>SQRT('Resumen'!$B$5^3/3)*B3611</x:f>
        <x:v>0.7853549170722183</x:v>
      </x:c>
      <x:c r="D3611" s="84" t="n">
        <x:f>C3611^2-'Resumen'!$B$5^3/3</x:f>
        <x:v>0.28344901243617754</x:v>
      </x:c>
      <x:c r="E3611" s="85" t="n">
        <x:f>D3611+'Resumen'!$B$5^3/3</x:f>
        <x:v>0.6167823457695109</x:v>
      </x:c>
    </x:row>
    <x:row r="3612">
      <x:c r="A3612" s="89" t="n">
        <x:v>3610</x:v>
      </x:c>
      <x:c r="B3612" s="80" t="n">
        <x:v>0.25469362082482205</x:v>
      </x:c>
      <x:c r="C3612" s="84" t="n">
        <x:f>SQRT('Resumen'!$B$5^3/3)*B3612</x:f>
        <x:v>0.14704743054409147</x:v>
      </x:c>
      <x:c r="D3612" s="84" t="n">
        <x:f>C3612^2-'Resumen'!$B$5^3/3</x:f>
        <x:v>-0.3117103865037139</x:v>
      </x:c>
      <x:c r="E3612" s="85" t="n">
        <x:f>D3612+'Resumen'!$B$5^3/3</x:f>
        <x:v>0.021622946829619405</x:v>
      </x:c>
    </x:row>
    <x:row r="3613">
      <x:c r="A3613" s="89" t="n">
        <x:v>3611</x:v>
      </x:c>
      <x:c r="B3613" s="80" t="n">
        <x:v>0.6302928644418837</x:v>
      </x:c>
      <x:c r="C3613" s="84" t="n">
        <x:f>SQRT('Resumen'!$B$5^3/3)*B3613</x:f>
        <x:v>0.3638997549538218</x:v>
      </x:c>
      <x:c r="D3613" s="84" t="n">
        <x:f>C3613^2-'Resumen'!$B$5^3/3</x:f>
        <x:v>-0.20091030167788174</x:v>
      </x:c>
      <x:c r="E3613" s="85" t="n">
        <x:f>D3613+'Resumen'!$B$5^3/3</x:f>
        <x:v>0.13242303165545158</x:v>
      </x:c>
    </x:row>
    <x:row r="3614">
      <x:c r="A3614" s="89" t="n">
        <x:v>3612</x:v>
      </x:c>
      <x:c r="B3614" s="80" t="n">
        <x:v>-1.1450045473873671</x:v>
      </x:c>
      <x:c r="C3614" s="84" t="n">
        <x:f>SQRT('Resumen'!$B$5^3/3)*B3614</x:f>
        <x:v>-0.661068683657442</x:v>
      </x:c>
      <x:c r="D3614" s="84" t="n">
        <x:f>C3614^2-'Resumen'!$B$5^3/3</x:f>
        <x:v>0.10367847117924978</x:v>
      </x:c>
      <x:c r="E3614" s="85" t="n">
        <x:f>D3614+'Resumen'!$B$5^3/3</x:f>
        <x:v>0.4370118045125831</x:v>
      </x:c>
    </x:row>
    <x:row r="3615">
      <x:c r="A3615" s="89" t="n">
        <x:v>3613</x:v>
      </x:c>
      <x:c r="B3615" s="80" t="n">
        <x:v>-0.7715103520250433</x:v>
      </x:c>
      <x:c r="C3615" s="84" t="n">
        <x:f>SQRT('Resumen'!$B$5^3/3)*B3615</x:f>
        <x:v>-0.44543170942424165</x:v>
      </x:c>
      <x:c r="D3615" s="84" t="n">
        <x:f>C3615^2-'Resumen'!$B$5^3/3</x:f>
        <x:v>-0.13492392557273128</x:v>
      </x:c>
      <x:c r="E3615" s="85" t="n">
        <x:f>D3615+'Resumen'!$B$5^3/3</x:f>
        <x:v>0.19840940776060204</x:v>
      </x:c>
    </x:row>
    <x:row r="3616">
      <x:c r="A3616" s="89" t="n">
        <x:v>3614</x:v>
      </x:c>
      <x:c r="B3616" s="80" t="n">
        <x:v>1.0209902105641786</x:v>
      </x:c>
      <x:c r="C3616" s="84" t="n">
        <x:f>SQRT('Resumen'!$B$5^3/3)*B3616</x:f>
        <x:v>0.5894689729092012</x:v>
      </x:c>
      <x:c r="D3616" s="84" t="n">
        <x:f>C3616^2-'Resumen'!$B$5^3/3</x:f>
        <x:v>0.014140336689295263</x:v>
      </x:c>
      <x:c r="E3616" s="85" t="n">
        <x:f>D3616+'Resumen'!$B$5^3/3</x:f>
        <x:v>0.3474736700226286</x:v>
      </x:c>
    </x:row>
    <x:row r="3617">
      <x:c r="A3617" s="89" t="n">
        <x:v>3615</x:v>
      </x:c>
      <x:c r="B3617" s="80" t="n">
        <x:v>-1.1619075804068735</x:v>
      </x:c>
      <x:c r="C3617" s="84" t="n">
        <x:f>SQRT('Resumen'!$B$5^3/3)*B3617</x:f>
        <x:v>-0.6708276543213751</x:v>
      </x:c>
      <x:c r="D3617" s="84" t="n">
        <x:f>C3617^2-'Resumen'!$B$5^3/3</x:f>
        <x:v>0.11667640846898508</x:v>
      </x:c>
      <x:c r="E3617" s="85" t="n">
        <x:f>D3617+'Resumen'!$B$5^3/3</x:f>
        <x:v>0.4500097418023184</x:v>
      </x:c>
    </x:row>
    <x:row r="3618">
      <x:c r="A3618" s="89" t="n">
        <x:v>3616</x:v>
      </x:c>
      <x:c r="B3618" s="80" t="n">
        <x:v>0.532831945480032</x:v>
      </x:c>
      <x:c r="C3618" s="84" t="n">
        <x:f>SQRT('Resumen'!$B$5^3/3)*B3618</x:f>
        <x:v>0.30763066715572845</x:v>
      </x:c>
      <x:c r="D3618" s="84" t="n">
        <x:f>C3618^2-'Resumen'!$B$5^3/3</x:f>
        <x:v>-0.23869670595865472</x:v>
      </x:c>
      <x:c r="E3618" s="85" t="n">
        <x:f>D3618+'Resumen'!$B$5^3/3</x:f>
        <x:v>0.0946366273746786</x:v>
      </x:c>
    </x:row>
    <x:row r="3619">
      <x:c r="A3619" s="89" t="n">
        <x:v>3617</x:v>
      </x:c>
      <x:c r="B3619" s="80" t="n">
        <x:v>-0.3421639209600355</x:v>
      </x:c>
      <x:c r="C3619" s="84" t="n">
        <x:f>SQRT('Resumen'!$B$5^3/3)*B3619</x:f>
        <x:v>-0.19754843187325433</x:v>
      </x:c>
      <x:c r="D3619" s="84" t="n">
        <x:f>C3619^2-'Resumen'!$B$5^3/3</x:f>
        <x:v>-0.2943079503977515</x:v>
      </x:c>
      <x:c r="E3619" s="85" t="n">
        <x:f>D3619+'Resumen'!$B$5^3/3</x:f>
        <x:v>0.03902538293558183</x:v>
      </x:c>
    </x:row>
    <x:row r="3620">
      <x:c r="A3620" s="89" t="n">
        <x:v>3618</x:v>
      </x:c>
      <x:c r="B3620" s="80" t="n">
        <x:v>0.9739618611835552</x:v>
      </x:c>
      <x:c r="C3620" s="84" t="n">
        <x:f>SQRT('Resumen'!$B$5^3/3)*B3620</x:f>
        <x:v>0.5623171427347545</x:v>
      </x:c>
      <x:c r="D3620" s="84" t="n">
        <x:f>C3620^2-'Resumen'!$B$5^3/3</x:f>
        <x:v>-0.01713276431995503</x:v>
      </x:c>
      <x:c r="E3620" s="85" t="n">
        <x:f>D3620+'Resumen'!$B$5^3/3</x:f>
        <x:v>0.3162005690133783</x:v>
      </x:c>
    </x:row>
    <x:row r="3621">
      <x:c r="A3621" s="89" t="n">
        <x:v>3619</x:v>
      </x:c>
      <x:c r="B3621" s="80" t="n">
        <x:v>0.5389950158339278</x:v>
      </x:c>
      <x:c r="C3621" s="84" t="n">
        <x:f>SQRT('Resumen'!$B$5^3/3)*B3621</x:f>
        <x:v>0.3111889174835848</x:v>
      </x:c>
      <x:c r="D3621" s="84" t="n">
        <x:f>C3621^2-'Resumen'!$B$5^3/3</x:f>
        <x:v>-0.23649479096872797</x:v>
      </x:c>
      <x:c r="E3621" s="85" t="n">
        <x:f>D3621+'Resumen'!$B$5^3/3</x:f>
        <x:v>0.09683854236460535</x:v>
      </x:c>
    </x:row>
    <x:row r="3622">
      <x:c r="A3622" s="89" t="n">
        <x:v>3620</x:v>
      </x:c>
      <x:c r="B3622" s="80" t="n">
        <x:v>-0.5648747769917988</x:v>
      </x:c>
      <x:c r="C3622" s="84" t="n">
        <x:f>SQRT('Resumen'!$B$5^3/3)*B3622</x:f>
        <x:v>-0.3261306045546448</x:v>
      </x:c>
      <x:c r="D3622" s="84" t="n">
        <x:f>C3622^2-'Resumen'!$B$5^3/3</x:f>
        <x:v>-0.2269721621061552</x:v>
      </x:c>
      <x:c r="E3622" s="85" t="n">
        <x:f>D3622+'Resumen'!$B$5^3/3</x:f>
        <x:v>0.10636117122717811</x:v>
      </x:c>
    </x:row>
    <x:row r="3623">
      <x:c r="A3623" s="89" t="n">
        <x:v>3621</x:v>
      </x:c>
      <x:c r="B3623" s="80" t="n">
        <x:v>-0.11562892641668318</x:v>
      </x:c>
      <x:c r="C3623" s="84" t="n">
        <x:f>SQRT('Resumen'!$B$5^3/3)*B3623</x:f>
        <x:v>-0.06675839179277945</x:v>
      </x:c>
      <x:c r="D3623" s="84" t="n">
        <x:f>C3623^2-'Resumen'!$B$5^3/3</x:f>
        <x:v>-0.32887665045857506</x:v>
      </x:c>
      <x:c r="E3623" s="85" t="n">
        <x:f>D3623+'Resumen'!$B$5^3/3</x:f>
        <x:v>0.004456682874758255</x:v>
      </x:c>
    </x:row>
    <x:row r="3624">
      <x:c r="A3624" s="89" t="n">
        <x:v>3622</x:v>
      </x:c>
      <x:c r="B3624" s="80" t="n">
        <x:v>0.4145683324260687</x:v>
      </x:c>
      <x:c r="C3624" s="84" t="n">
        <x:f>SQRT('Resumen'!$B$5^3/3)*B3624</x:f>
        <x:v>0.23935113832368501</x:v>
      </x:c>
      <x:c r="D3624" s="84" t="n">
        <x:f>C3624^2-'Resumen'!$B$5^3/3</x:f>
        <x:v>-0.2760443659164895</x:v>
      </x:c>
      <x:c r="E3624" s="85" t="n">
        <x:f>D3624+'Resumen'!$B$5^3/3</x:f>
        <x:v>0.057288967416843806</x:v>
      </x:c>
    </x:row>
    <x:row r="3625">
      <x:c r="A3625" s="89" t="n">
        <x:v>3623</x:v>
      </x:c>
      <x:c r="B3625" s="80" t="n">
        <x:v>0.1149602623035736</x:v>
      </x:c>
      <x:c r="C3625" s="84" t="n">
        <x:f>SQRT('Resumen'!$B$5^3/3)*B3625</x:f>
        <x:v>0.0663723383870782</x:v>
      </x:c>
      <x:c r="D3625" s="84" t="n">
        <x:f>C3625^2-'Resumen'!$B$5^3/3</x:f>
        <x:v>-0.3289280460303645</x:v>
      </x:c>
      <x:c r="E3625" s="85" t="n">
        <x:f>D3625+'Resumen'!$B$5^3/3</x:f>
        <x:v>0.004405287302968797</x:v>
      </x:c>
    </x:row>
    <x:row r="3626">
      <x:c r="A3626" s="89" t="n">
        <x:v>3624</x:v>
      </x:c>
      <x:c r="B3626" s="80" t="n">
        <x:v>1.4593048258544288</x:v>
      </x:c>
      <x:c r="C3626" s="84" t="n">
        <x:f>SQRT('Resumen'!$B$5^3/3)*B3626</x:f>
        <x:v>0.8425300340367744</x:v>
      </x:c>
      <x:c r="D3626" s="84" t="n">
        <x:f>C3626^2-'Resumen'!$B$5^3/3</x:f>
        <x:v>0.3765235249206749</x:v>
      </x:c>
      <x:c r="E3626" s="85" t="n">
        <x:f>D3626+'Resumen'!$B$5^3/3</x:f>
        <x:v>0.7098568582540082</x:v>
      </x:c>
    </x:row>
    <x:row r="3627">
      <x:c r="A3627" s="89" t="n">
        <x:v>3625</x:v>
      </x:c>
      <x:c r="B3627" s="80" t="n">
        <x:v>0.6888233086175733</x:v>
      </x:c>
      <x:c r="C3627" s="84" t="n">
        <x:f>SQRT('Resumen'!$B$5^3/3)*B3627</x:f>
        <x:v>0.3976923226544446</x:v>
      </x:c>
      <x:c r="D3627" s="84" t="n">
        <x:f>C3627^2-'Resumen'!$B$5^3/3</x:f>
        <x:v>-0.17517414983504645</x:v>
      </x:c>
      <x:c r="E3627" s="85" t="n">
        <x:f>D3627+'Resumen'!$B$5^3/3</x:f>
        <x:v>0.15815918349828686</x:v>
      </x:c>
    </x:row>
    <x:row r="3628">
      <x:c r="A3628" s="89" t="n">
        <x:v>3626</x:v>
      </x:c>
      <x:c r="B3628" s="80" t="n">
        <x:v>-1.0946595024513266</x:v>
      </x:c>
      <x:c r="C3628" s="84" t="n">
        <x:f>SQRT('Resumen'!$B$5^3/3)*B3628</x:f>
        <x:v>-0.6320019584112552</x:v>
      </x:c>
      <x:c r="D3628" s="84" t="n">
        <x:f>C3628^2-'Resumen'!$B$5^3/3</x:f>
        <x:v>0.06609314210232858</x:v>
      </x:c>
      <x:c r="E3628" s="85" t="n">
        <x:f>D3628+'Resumen'!$B$5^3/3</x:f>
        <x:v>0.3994264754356619</x:v>
      </x:c>
    </x:row>
    <x:row r="3629">
      <x:c r="A3629" s="89" t="n">
        <x:v>3627</x:v>
      </x:c>
      <x:c r="B3629" s="80" t="n">
        <x:v>0.4662658567615503</x:v>
      </x:c>
      <x:c r="C3629" s="84" t="n">
        <x:f>SQRT('Resumen'!$B$5^3/3)*B3629</x:f>
        <x:v>0.26919871791521255</x:v>
      </x:c>
      <x:c r="D3629" s="84" t="n">
        <x:f>C3629^2-'Resumen'!$B$5^3/3</x:f>
        <x:v>-0.26086538360613915</x:v>
      </x:c>
      <x:c r="E3629" s="85" t="n">
        <x:f>D3629+'Resumen'!$B$5^3/3</x:f>
        <x:v>0.07246794972719417</x:v>
      </x:c>
    </x:row>
    <x:row r="3630">
      <x:c r="A3630" s="89" t="n">
        <x:v>3628</x:v>
      </x:c>
      <x:c r="B3630" s="80" t="n">
        <x:v>1.594207904489563</x:v>
      </x:c>
      <x:c r="C3630" s="84" t="n">
        <x:f>SQRT('Resumen'!$B$5^3/3)*B3630</x:f>
        <x:v>0.9204163628012784</x:v>
      </x:c>
      <x:c r="D3630" s="84" t="n">
        <x:f>C3630^2-'Resumen'!$B$5^3/3</x:f>
        <x:v>0.5138329475790011</x:v>
      </x:c>
      <x:c r="E3630" s="85" t="n">
        <x:f>D3630+'Resumen'!$B$5^3/3</x:f>
        <x:v>0.8471662809123344</x:v>
      </x:c>
    </x:row>
    <x:row r="3631">
      <x:c r="A3631" s="89" t="n">
        <x:v>3629</x:v>
      </x:c>
      <x:c r="B3631" s="80" t="n">
        <x:v>0.8932095735122596</x:v>
      </x:c>
      <x:c r="C3631" s="84" t="n">
        <x:f>SQRT('Resumen'!$B$5^3/3)*B3631</x:f>
        <x:v>0.5156947877100538</x:v>
      </x:c>
      <x:c r="D3631" s="84" t="n">
        <x:f>C3631^2-'Resumen'!$B$5^3/3</x:f>
        <x:v>-0.06739221926201583</x:v>
      </x:c>
      <x:c r="E3631" s="85" t="n">
        <x:f>D3631+'Resumen'!$B$5^3/3</x:f>
        <x:v>0.2659411140713175</x:v>
      </x:c>
    </x:row>
    <x:row r="3632">
      <x:c r="A3632" s="89" t="n">
        <x:v>3630</x:v>
      </x:c>
      <x:c r="B3632" s="80" t="n">
        <x:v>-0.6336679762708357</x:v>
      </x:c>
      <x:c r="C3632" s="84" t="n">
        <x:f>SQRT('Resumen'!$B$5^3/3)*B3632</x:f>
        <x:v>-0.36584837667681236</x:v>
      </x:c>
      <x:c r="D3632" s="84" t="n">
        <x:f>C3632^2-'Resumen'!$B$5^3/3</x:f>
        <x:v>-0.19948829861627454</x:v>
      </x:c>
      <x:c r="E3632" s="85" t="n">
        <x:f>D3632+'Resumen'!$B$5^3/3</x:f>
        <x:v>0.13384503471705878</x:v>
      </x:c>
    </x:row>
    <x:row r="3633">
      <x:c r="A3633" s="89" t="n">
        <x:v>3631</x:v>
      </x:c>
      <x:c r="B3633" s="80" t="n">
        <x:v>-0.03618192324804559</x:v>
      </x:c>
      <x:c r="C3633" s="84" t="n">
        <x:f>SQRT('Resumen'!$B$5^3/3)*B3633</x:f>
        <x:v>-0.0208896431270575</x:v>
      </x:c>
      <x:c r="D3633" s="84" t="n">
        <x:f>C3633^2-'Resumen'!$B$5^3/3</x:f>
        <x:v>-0.3328969561433575</x:v>
      </x:c>
      <x:c r="E3633" s="85" t="n">
        <x:f>D3633+'Resumen'!$B$5^3/3</x:f>
        <x:v>0.00043637718997580066</x:v>
      </x:c>
    </x:row>
    <x:row r="3634">
      <x:c r="A3634" s="89" t="n">
        <x:v>3632</x:v>
      </x:c>
      <x:c r="B3634" s="80" t="n">
        <x:v>1.3171562455406323</x:v>
      </x:c>
      <x:c r="C3634" s="84" t="n">
        <x:f>SQRT('Resumen'!$B$5^3/3)*B3634</x:f>
        <x:v>0.7604605129276808</x:v>
      </x:c>
      <x:c r="D3634" s="84" t="n">
        <x:f>C3634^2-'Resumen'!$B$5^3/3</x:f>
        <x:v>0.24496685838889803</x:v>
      </x:c>
      <x:c r="E3634" s="85" t="n">
        <x:f>D3634+'Resumen'!$B$5^3/3</x:f>
        <x:v>0.5783001917222313</x:v>
      </x:c>
    </x:row>
    <x:row r="3635">
      <x:c r="A3635" s="89" t="n">
        <x:v>3633</x:v>
      </x:c>
      <x:c r="B3635" s="80" t="n">
        <x:v>0.5085005718743959</x:v>
      </x:c>
      <x:c r="C3635" s="84" t="n">
        <x:f>SQRT('Resumen'!$B$5^3/3)*B3635</x:f>
        <x:v>0.2935829420547611</x:v>
      </x:c>
      <x:c r="D3635" s="84" t="n">
        <x:f>C3635^2-'Resumen'!$B$5^3/3</x:f>
        <x:v>-0.2471423894678041</x:v>
      </x:c>
      <x:c r="E3635" s="85" t="n">
        <x:f>D3635+'Resumen'!$B$5^3/3</x:f>
        <x:v>0.08619094386552922</x:v>
      </x:c>
    </x:row>
    <x:row r="3636">
      <x:c r="A3636" s="89" t="n">
        <x:v>3634</x:v>
      </x:c>
      <x:c r="B3636" s="80" t="n">
        <x:v>0.6832563553935097</x:v>
      </x:c>
      <x:c r="C3636" s="84" t="n">
        <x:f>SQRT('Resumen'!$B$5^3/3)*B3636</x:f>
        <x:v>0.3944782407119654</x:v>
      </x:c>
      <x:c r="D3636" s="84" t="n">
        <x:f>C3636^2-'Resumen'!$B$5^3/3</x:f>
        <x:v>-0.177720250938126</x:v>
      </x:c>
      <x:c r="E3636" s="85" t="n">
        <x:f>D3636+'Resumen'!$B$5^3/3</x:f>
        <x:v>0.15561308239520732</x:v>
      </x:c>
    </x:row>
    <x:row r="3637">
      <x:c r="A3637" s="89" t="n">
        <x:v>3635</x:v>
      </x:c>
      <x:c r="B3637" s="80" t="n">
        <x:v>1.8776952800417683</x:v>
      </x:c>
      <x:c r="C3637" s="84" t="n">
        <x:f>SQRT('Resumen'!$B$5^3/3)*B3637</x:f>
        <x:v>1.0840878753882046</x:v>
      </x:c>
      <x:c r="D3637" s="84" t="n">
        <x:f>C3637^2-'Resumen'!$B$5^3/3</x:f>
        <x:v>0.8419131882303781</x:v>
      </x:c>
      <x:c r="E3637" s="85" t="n">
        <x:f>D3637+'Resumen'!$B$5^3/3</x:f>
        <x:v>1.1752465215637113</x:v>
      </x:c>
    </x:row>
    <x:row r="3638">
      <x:c r="A3638" s="89" t="n">
        <x:v>3636</x:v>
      </x:c>
      <x:c r="B3638" s="80" t="n">
        <x:v>0.19758444949159112</x:v>
      </x:c>
      <x:c r="C3638" s="84" t="n">
        <x:f>SQRT('Resumen'!$B$5^3/3)*B3638</x:f>
        <x:v>0.11407543510165415</x:v>
      </x:c>
      <x:c r="D3638" s="84" t="n">
        <x:f>C3638^2-'Resumen'!$B$5^3/3</x:f>
        <x:v>-0.3203201284397016</x:v>
      </x:c>
      <x:c r="E3638" s="85" t="n">
        <x:f>D3638+'Resumen'!$B$5^3/3</x:f>
        <x:v>0.013013204893631725</x:v>
      </x:c>
    </x:row>
    <x:row r="3639">
      <x:c r="A3639" s="89" t="n">
        <x:v>3637</x:v>
      </x:c>
      <x:c r="B3639" s="80" t="n">
        <x:v>-0.8386827877295057</x:v>
      </x:c>
      <x:c r="C3639" s="84" t="n">
        <x:f>SQRT('Resumen'!$B$5^3/3)*B3639</x:f>
        <x:v>-0.48421373326033584</x:v>
      </x:c>
      <x:c r="D3639" s="84" t="n">
        <x:f>C3639^2-'Resumen'!$B$5^3/3</x:f>
        <x:v>-0.09887039385542165</x:v>
      </x:c>
      <x:c r="E3639" s="85" t="n">
        <x:f>D3639+'Resumen'!$B$5^3/3</x:f>
        <x:v>0.23446293947791166</x:v>
      </x:c>
    </x:row>
    <x:row r="3640">
      <x:c r="A3640" s="89" t="n">
        <x:v>3638</x:v>
      </x:c>
      <x:c r="B3640" s="80" t="n">
        <x:v>-0.097408872906754</x:v>
      </x:c>
      <x:c r="C3640" s="84" t="n">
        <x:f>SQRT('Resumen'!$B$5^3/3)*B3640</x:f>
        <x:v>-0.056239038994172465</x:v>
      </x:c>
      <x:c r="D3640" s="84" t="n">
        <x:f>C3640^2-'Resumen'!$B$5^3/3</x:f>
        <x:v>-0.3301705038263453</x:v>
      </x:c>
      <x:c r="E3640" s="85" t="n">
        <x:f>D3640+'Resumen'!$B$5^3/3</x:f>
        <x:v>0.0031628295069880408</x:v>
      </x:c>
    </x:row>
    <x:row r="3641">
      <x:c r="A3641" s="89" t="n">
        <x:v>3639</x:v>
      </x:c>
      <x:c r="B3641" s="80" t="n">
        <x:v>-0.6009099392594511</x:v>
      </x:c>
      <x:c r="C3641" s="84" t="n">
        <x:f>SQRT('Resumen'!$B$5^3/3)*B3641</x:f>
        <x:v>-0.34693551519016574</x:v>
      </x:c>
      <x:c r="D3641" s="84" t="n">
        <x:f>C3641^2-'Resumen'!$B$5^3/3</x:f>
        <x:v>-0.2129690816330676</x:v>
      </x:c>
      <x:c r="E3641" s="85" t="n">
        <x:f>D3641+'Resumen'!$B$5^3/3</x:f>
        <x:v>0.12036425170026571</x:v>
      </x:c>
    </x:row>
    <x:row r="3642">
      <x:c r="A3642" s="89" t="n">
        <x:v>3640</x:v>
      </x:c>
      <x:c r="B3642" s="80" t="n">
        <x:v>-0.9654794665273118</x:v>
      </x:c>
      <x:c r="C3642" s="84" t="n">
        <x:f>SQRT('Resumen'!$B$5^3/3)*B3642</x:f>
        <x:v>-0.5574198298965997</x:v>
      </x:c>
      <x:c r="D3642" s="84" t="n">
        <x:f>C3642^2-'Resumen'!$B$5^3/3</x:f>
        <x:v>-0.022616466571379223</x:v>
      </x:c>
      <x:c r="E3642" s="85" t="n">
        <x:f>D3642+'Resumen'!$B$5^3/3</x:f>
        <x:v>0.3107168667619541</x:v>
      </x:c>
    </x:row>
    <x:row r="3643">
      <x:c r="A3643" s="89" t="n">
        <x:v>3641</x:v>
      </x:c>
      <x:c r="B3643" s="80" t="n">
        <x:v>-0.8103860219113481</x:v>
      </x:c>
      <x:c r="C3643" s="84" t="n">
        <x:f>SQRT('Resumen'!$B$5^3/3)*B3643</x:f>
        <x:v>-0.4678765878980268</x:v>
      </x:c>
      <x:c r="D3643" s="84" t="n">
        <x:f>C3643^2-'Resumen'!$B$5^3/3</x:f>
        <x:v>-0.11442483183023333</x:v>
      </x:c>
      <x:c r="E3643" s="85" t="n">
        <x:f>D3643+'Resumen'!$B$5^3/3</x:f>
        <x:v>0.21890850150309998</x:v>
      </x:c>
    </x:row>
    <x:row r="3644">
      <x:c r="A3644" s="89" t="n">
        <x:v>3642</x:v>
      </x:c>
      <x:c r="B3644" s="80" t="n">
        <x:v>0.12486004506550541</x:v>
      </x:c>
      <x:c r="C3644" s="84" t="n">
        <x:f>SQRT('Resumen'!$B$5^3/3)*B3644</x:f>
        <x:v>0.07208798062959834</x:v>
      </x:c>
      <x:c r="D3644" s="84" t="n">
        <x:f>C3644^2-'Resumen'!$B$5^3/3</x:f>
        <x:v>-0.32813665638207995</x:v>
      </x:c>
      <x:c r="E3644" s="85" t="n">
        <x:f>D3644+'Resumen'!$B$5^3/3</x:f>
        <x:v>0.005196676951253365</x:v>
      </x:c>
    </x:row>
    <x:row r="3645">
      <x:c r="A3645" s="89" t="n">
        <x:v>3643</x:v>
      </x:c>
      <x:c r="B3645" s="80" t="n">
        <x:v>-0.8103182758287049</x:v>
      </x:c>
      <x:c r="C3645" s="84" t="n">
        <x:f>SQRT('Resumen'!$B$5^3/3)*B3645</x:f>
        <x:v>-0.46783747467897613</x:v>
      </x:c>
      <x:c r="D3645" s="84" t="n">
        <x:f>C3645^2-'Resumen'!$B$5^3/3</x:f>
        <x:v>-0.11446143061933167</x:v>
      </x:c>
      <x:c r="E3645" s="85" t="n">
        <x:f>D3645+'Resumen'!$B$5^3/3</x:f>
        <x:v>0.21887190271400164</x:v>
      </x:c>
    </x:row>
    <x:row r="3646">
      <x:c r="A3646" s="89" t="n">
        <x:v>3644</x:v>
      </x:c>
      <x:c r="B3646" s="80" t="n">
        <x:v>-0.4919320997829588</x:v>
      </x:c>
      <x:c r="C3646" s="84" t="n">
        <x:f>SQRT('Resumen'!$B$5^3/3)*B3646</x:f>
        <x:v>-0.2840171302327091</x:v>
      </x:c>
      <x:c r="D3646" s="84" t="n">
        <x:f>C3646^2-'Resumen'!$B$5^3/3</x:f>
        <x:v>-0.2526676030677097</x:v>
      </x:c>
      <x:c r="E3646" s="85" t="n">
        <x:f>D3646+'Resumen'!$B$5^3/3</x:f>
        <x:v>0.08066573026562363</x:v>
      </x:c>
    </x:row>
    <x:row r="3647">
      <x:c r="A3647" s="89" t="n">
        <x:v>3645</x:v>
      </x:c>
      <x:c r="B3647" s="80" t="n">
        <x:v>-0.6155387112493456</x:v>
      </x:c>
      <x:c r="C3647" s="84" t="n">
        <x:f>SQRT('Resumen'!$B$5^3/3)*B3647</x:f>
        <x:v>-0.35538144063644495</x:v>
      </x:c>
      <x:c r="D3647" s="84" t="n">
        <x:f>C3647^2-'Resumen'!$B$5^3/3</x:f>
        <x:v>-0.20703736498449826</x:v>
      </x:c>
      <x:c r="E3647" s="85" t="n">
        <x:f>D3647+'Resumen'!$B$5^3/3</x:f>
        <x:v>0.12629596834883505</x:v>
      </x:c>
    </x:row>
    <x:row r="3648">
      <x:c r="A3648" s="89" t="n">
        <x:v>3646</x:v>
      </x:c>
      <x:c r="B3648" s="80" t="n">
        <x:v>-0.8017516510989597</x:v>
      </x:c>
      <x:c r="C3648" s="84" t="n">
        <x:f>SQRT('Resumen'!$B$5^3/3)*B3648</x:f>
        <x:v>-0.4628915315852113</x:v>
      </x:c>
      <x:c r="D3648" s="84" t="n">
        <x:f>C3648^2-'Resumen'!$B$5^3/3</x:f>
        <x:v>-0.11906476332003066</x:v>
      </x:c>
      <x:c r="E3648" s="85" t="n">
        <x:f>D3648+'Resumen'!$B$5^3/3</x:f>
        <x:v>0.21426857001330266</x:v>
      </x:c>
    </x:row>
    <x:row r="3649">
      <x:c r="A3649" s="89" t="n">
        <x:v>3647</x:v>
      </x:c>
      <x:c r="B3649" s="80" t="n">
        <x:v>1.2354690679309779</x:v>
      </x:c>
      <x:c r="C3649" s="84" t="n">
        <x:f>SQRT('Resumen'!$B$5^3/3)*B3649</x:f>
        <x:v>0.713298398945406</x:v>
      </x:c>
      <x:c r="D3649" s="84" t="n">
        <x:f>C3649^2-'Resumen'!$B$5^3/3</x:f>
        <x:v>0.17546127260474625</x:v>
      </x:c>
      <x:c r="E3649" s="85" t="n">
        <x:f>D3649+'Resumen'!$B$5^3/3</x:f>
        <x:v>0.5087946059380796</x:v>
      </x:c>
    </x:row>
    <x:row r="3650">
      <x:c r="A3650" s="89" t="n">
        <x:v>3648</x:v>
      </x:c>
      <x:c r="B3650" s="80" t="n">
        <x:v>-1.55465221358309</x:v>
      </x:c>
      <x:c r="C3650" s="84" t="n">
        <x:f>SQRT('Resumen'!$B$5^3/3)*B3650</x:f>
        <x:v>-0.8975788740084445</x:v>
      </x:c>
      <x:c r="D3650" s="84" t="n">
        <x:f>C3650^2-'Resumen'!$B$5^3/3</x:f>
        <x:v>0.4723145017329337</x:v>
      </x:c>
      <x:c r="E3650" s="85" t="n">
        <x:f>D3650+'Resumen'!$B$5^3/3</x:f>
        <x:v>0.805647835066267</x:v>
      </x:c>
    </x:row>
    <x:row r="3651">
      <x:c r="A3651" s="89" t="n">
        <x:v>3649</x:v>
      </x:c>
      <x:c r="B3651" s="80" t="n">
        <x:v>-0.4627676531132579</x:v>
      </x:c>
      <x:c r="C3651" s="84" t="n">
        <x:f>SQRT('Resumen'!$B$5^3/3)*B3651</x:f>
        <x:v>-0.26717902909719077</x:v>
      </x:c>
      <x:c r="D3651" s="84" t="n">
        <x:f>C3651^2-'Resumen'!$B$5^3/3</x:f>
        <x:v>-0.2619486997440158</x:v>
      </x:c>
      <x:c r="E3651" s="85" t="n">
        <x:f>D3651+'Resumen'!$B$5^3/3</x:f>
        <x:v>0.07138463358931751</x:v>
      </x:c>
    </x:row>
    <x:row r="3652">
      <x:c r="A3652" s="89" t="n">
        <x:v>3650</x:v>
      </x:c>
      <x:c r="B3652" s="80" t="n">
        <x:v>-1.4447952831062936</x:v>
      </x:c>
      <x:c r="C3652" s="84" t="n">
        <x:f>SQRT('Resumen'!$B$5^3/3)*B3652</x:f>
        <x:v>-0.8341529456253202</x:v>
      </x:c>
      <x:c r="D3652" s="84" t="n">
        <x:f>C3652^2-'Resumen'!$B$5^3/3</x:f>
        <x:v>0.362477803362065</x:v>
      </x:c>
      <x:c r="E3652" s="85" t="n">
        <x:f>D3652+'Resumen'!$B$5^3/3</x:f>
        <x:v>0.6958111366953983</x:v>
      </x:c>
    </x:row>
    <x:row r="3653">
      <x:c r="A3653" s="89" t="n">
        <x:v>3651</x:v>
      </x:c>
      <x:c r="B3653" s="80" t="n">
        <x:v>1.8441280090776127</x:v>
      </x:c>
      <x:c r="C3653" s="84" t="n">
        <x:f>SQRT('Resumen'!$B$5^3/3)*B3653</x:f>
        <x:v>1.0647078024610883</x:v>
      </x:c>
      <x:c r="D3653" s="84" t="n">
        <x:f>C3653^2-'Resumen'!$B$5^3/3</x:f>
        <x:v>0.8002693712881865</x:v>
      </x:c>
      <x:c r="E3653" s="85" t="n">
        <x:f>D3653+'Resumen'!$B$5^3/3</x:f>
        <x:v>1.1336027046215198</x:v>
      </x:c>
    </x:row>
    <x:row r="3654">
      <x:c r="A3654" s="89" t="n">
        <x:v>3652</x:v>
      </x:c>
      <x:c r="B3654" s="80" t="n">
        <x:v>1.1934258707799283</x:v>
      </x:c>
      <x:c r="C3654" s="84" t="n">
        <x:f>SQRT('Resumen'!$B$5^3/3)*B3654</x:f>
        <x:v>0.6890247477526551</x:v>
      </x:c>
      <x:c r="D3654" s="84" t="n">
        <x:f>C3654^2-'Resumen'!$B$5^3/3</x:f>
        <x:v>0.14142176968227665</x:v>
      </x:c>
      <x:c r="E3654" s="85" t="n">
        <x:f>D3654+'Resumen'!$B$5^3/3</x:f>
        <x:v>0.47475510301560997</x:v>
      </x:c>
    </x:row>
    <x:row r="3655">
      <x:c r="A3655" s="89" t="n">
        <x:v>3653</x:v>
      </x:c>
      <x:c r="B3655" s="80" t="n">
        <x:v>-0.34213608922384897</x:v>
      </x:c>
      <x:c r="C3655" s="84" t="n">
        <x:f>SQRT('Resumen'!$B$5^3/3)*B3655</x:f>
        <x:v>-0.197532363212875</x:v>
      </x:c>
      <x:c r="D3655" s="84" t="n">
        <x:f>C3655^2-'Resumen'!$B$5^3/3</x:f>
        <x:v>-0.29431429881687016</x:v>
      </x:c>
      <x:c r="E3655" s="85" t="n">
        <x:f>D3655+'Resumen'!$B$5^3/3</x:f>
        <x:v>0.03901903451646316</x:v>
      </x:c>
    </x:row>
    <x:row r="3656">
      <x:c r="A3656" s="89" t="n">
        <x:v>3654</x:v>
      </x:c>
      <x:c r="B3656" s="80" t="n">
        <x:v>-0.8720408364793247</x:v>
      </x:c>
      <x:c r="C3656" s="84" t="n">
        <x:f>SQRT('Resumen'!$B$5^3/3)*B3656</x:f>
        <x:v>-0.5034730116856845</x:v>
      </x:c>
      <x:c r="D3656" s="84" t="n">
        <x:f>C3656^2-'Resumen'!$B$5^3/3</x:f>
        <x:v>-0.07984825983747995</x:v>
      </x:c>
      <x:c r="E3656" s="85" t="n">
        <x:f>D3656+'Resumen'!$B$5^3/3</x:f>
        <x:v>0.25348507349585336</x:v>
      </x:c>
    </x:row>
    <x:row r="3657">
      <x:c r="A3657" s="89" t="n">
        <x:v>3655</x:v>
      </x:c>
      <x:c r="B3657" s="80" t="n">
        <x:v>-0.3777912417364005</x:v>
      </x:c>
      <x:c r="C3657" s="84" t="n">
        <x:f>SQRT('Resumen'!$B$5^3/3)*B3657</x:f>
        <x:v>-0.2181178751139938</x:v>
      </x:c>
      <x:c r="D3657" s="84" t="n">
        <x:f>C3657^2-'Resumen'!$B$5^3/3</x:f>
        <x:v>-0.28575792588908955</x:v>
      </x:c>
      <x:c r="E3657" s="85" t="n">
        <x:f>D3657+'Resumen'!$B$5^3/3</x:f>
        <x:v>0.04757540744424377</x:v>
      </x:c>
    </x:row>
    <x:row r="3658">
      <x:c r="A3658" s="89" t="n">
        <x:v>3656</x:v>
      </x:c>
      <x:c r="B3658" s="80" t="n">
        <x:v>-0.48430821964839266</x:v>
      </x:c>
      <x:c r="C3658" s="84" t="n">
        <x:f>SQRT('Resumen'!$B$5^3/3)*B3658</x:f>
        <x:v>-0.27961548098474787</x:v>
      </x:c>
      <x:c r="D3658" s="84" t="n">
        <x:f>C3658^2-'Resumen'!$B$5^3/3</x:f>
        <x:v>-0.2551485161270014</x:v>
      </x:c>
      <x:c r="E3658" s="85" t="n">
        <x:f>D3658+'Resumen'!$B$5^3/3</x:f>
        <x:v>0.07818481720633191</x:v>
      </x:c>
    </x:row>
    <x:row r="3659">
      <x:c r="A3659" s="89" t="n">
        <x:v>3657</x:v>
      </x:c>
      <x:c r="B3659" s="80" t="n">
        <x:v>-0.3825115642883293</x:v>
      </x:c>
      <x:c r="C3659" s="84" t="n">
        <x:f>SQRT('Resumen'!$B$5^3/3)*B3659</x:f>
        <x:v>-0.22084315461001175</x:v>
      </x:c>
      <x:c r="D3659" s="84" t="n">
        <x:f>C3659^2-'Resumen'!$B$5^3/3</x:f>
        <x:v>-0.28456163439523174</x:v>
      </x:c>
      <x:c r="E3659" s="85" t="n">
        <x:f>D3659+'Resumen'!$B$5^3/3</x:f>
        <x:v>0.04877169893810157</x:v>
      </x:c>
    </x:row>
    <x:row r="3660">
      <x:c r="A3660" s="89" t="n">
        <x:v>3658</x:v>
      </x:c>
      <x:c r="B3660" s="80" t="n">
        <x:v>0.27390593911003286</x:v>
      </x:c>
      <x:c r="C3660" s="84" t="n">
        <x:f>SQRT('Resumen'!$B$5^3/3)*B3660</x:f>
        <x:v>0.1581396676778147</x:v>
      </x:c>
      <x:c r="D3660" s="84" t="n">
        <x:f>C3660^2-'Resumen'!$B$5^3/3</x:f>
        <x:v>-0.30832517884008365</x:v>
      </x:c>
      <x:c r="E3660" s="85" t="n">
        <x:f>D3660+'Resumen'!$B$5^3/3</x:f>
        <x:v>0.025008154493249668</x:v>
      </x:c>
    </x:row>
    <x:row r="3661">
      <x:c r="A3661" s="89" t="n">
        <x:v>3659</x:v>
      </x:c>
      <x:c r="B3661" s="80" t="n">
        <x:v>-0.41501375547215197</x:v>
      </x:c>
      <x:c r="C3661" s="84" t="n">
        <x:f>SQRT('Resumen'!$B$5^3/3)*B3661</x:f>
        <x:v>-0.23960830343924444</x:v>
      </x:c>
      <x:c r="D3661" s="84" t="n">
        <x:f>C3661^2-'Resumen'!$B$5^3/3</x:f>
        <x:v>-0.2759211942563003</x:v>
      </x:c>
      <x:c r="E3661" s="85" t="n">
        <x:f>D3661+'Resumen'!$B$5^3/3</x:f>
        <x:v>0.05741213907703302</x:v>
      </x:c>
    </x:row>
    <x:row r="3662">
      <x:c r="A3662" s="89" t="n">
        <x:v>3660</x:v>
      </x:c>
      <x:c r="B3662" s="80" t="n">
        <x:v>-1.6652682329501027</x:v>
      </x:c>
      <x:c r="C3662" s="84" t="n">
        <x:f>SQRT('Resumen'!$B$5^3/3)*B3662</x:f>
        <x:v>-0.9614430625666742</x:v>
      </x:c>
      <x:c r="D3662" s="84" t="n">
        <x:f>C3662^2-'Resumen'!$B$5^3/3</x:f>
        <x:v>0.5910394292242525</x:v>
      </x:c>
      <x:c r="E3662" s="85" t="n">
        <x:f>D3662+'Resumen'!$B$5^3/3</x:f>
        <x:v>0.9243727625575857</x:v>
      </x:c>
    </x:row>
    <x:row r="3663">
      <x:c r="A3663" s="89" t="n">
        <x:v>3661</x:v>
      </x:c>
      <x:c r="B3663" s="80" t="n">
        <x:v>0.0386084903930303</x:v>
      </x:c>
      <x:c r="C3663" s="84" t="n">
        <x:f>SQRT('Resumen'!$B$5^3/3)*B3663</x:f>
        <x:v>0.022290622321421122</x:v>
      </x:c>
      <x:c r="D3663" s="84" t="n">
        <x:f>C3663^2-'Resumen'!$B$5^3/3</x:f>
        <x:v>-0.33283646148985707</x:v>
      </x:c>
      <x:c r="E3663" s="85" t="n">
        <x:f>D3663+'Resumen'!$B$5^3/3</x:f>
        <x:v>0.0004968718434762431</x:v>
      </x:c>
    </x:row>
    <x:row r="3664">
      <x:c r="A3664" s="89" t="n">
        <x:v>3662</x:v>
      </x:c>
      <x:c r="B3664" s="80" t="n">
        <x:v>0.3596349752614814</x:v>
      </x:c>
      <x:c r="C3664" s="84" t="n">
        <x:f>SQRT('Resumen'!$B$5^3/3)*B3664</x:f>
        <x:v>0.20763534977722067</x:v>
      </x:c>
      <x:c r="D3664" s="84" t="n">
        <x:f>C3664^2-'Resumen'!$B$5^3/3</x:f>
        <x:v>-0.29022089485622454</x:v>
      </x:c>
      <x:c r="E3664" s="85" t="n">
        <x:f>D3664+'Resumen'!$B$5^3/3</x:f>
        <x:v>0.04311243847710877</x:v>
      </x:c>
    </x:row>
    <x:row r="3665">
      <x:c r="A3665" s="89" t="n">
        <x:v>3663</x:v>
      </x:c>
      <x:c r="B3665" s="80" t="n">
        <x:v>0.8041102529354324</x:v>
      </x:c>
      <x:c r="C3665" s="84" t="n">
        <x:f>SQRT('Resumen'!$B$5^3/3)*B3665</x:f>
        <x:v>0.4642532709904099</x:v>
      </x:c>
      <x:c r="D3665" s="84" t="n">
        <x:f>C3665^2-'Resumen'!$B$5^3/3</x:f>
        <x:v>-0.11780223370803833</x:v>
      </x:c>
      <x:c r="E3665" s="85" t="n">
        <x:f>D3665+'Resumen'!$B$5^3/3</x:f>
        <x:v>0.215531099625295</x:v>
      </x:c>
    </x:row>
    <x:row r="3666">
      <x:c r="A3666" s="89" t="n">
        <x:v>3664</x:v>
      </x:c>
      <x:c r="B3666" s="80" t="n">
        <x:v>-0.47551683196696437</x:v>
      </x:c>
      <x:c r="C3666" s="84" t="n">
        <x:f>SQRT('Resumen'!$B$5^3/3)*B3666</x:f>
        <x:v>-0.2745397709403249</x:v>
      </x:c>
      <x:c r="D3666" s="84" t="n">
        <x:f>C3666^2-'Resumen'!$B$5^3/3</x:f>
        <x:v>-0.25796124750536725</x:v>
      </x:c>
      <x:c r="E3666" s="85" t="n">
        <x:f>D3666+'Resumen'!$B$5^3/3</x:f>
        <x:v>0.07537208582796606</x:v>
      </x:c>
    </x:row>
    <x:row r="3667">
      <x:c r="A3667" s="89" t="n">
        <x:v>3665</x:v>
      </x:c>
      <x:c r="B3667" s="80" t="n">
        <x:v>-1.204254554325504</x:v>
      </x:c>
      <x:c r="C3667" s="84" t="n">
        <x:f>SQRT('Resumen'!$B$5^3/3)*B3667</x:f>
        <x:v>-0.6952766911126625</x:v>
      </x:c>
      <x:c r="D3667" s="84" t="n">
        <x:f>C3667^2-'Resumen'!$B$5^3/3</x:f>
        <x:v>0.15007634387123947</x:v>
      </x:c>
      <x:c r="E3667" s="85" t="n">
        <x:f>D3667+'Resumen'!$B$5^3/3</x:f>
        <x:v>0.4834096772045728</x:v>
      </x:c>
    </x:row>
    <x:row r="3668">
      <x:c r="A3668" s="89" t="n">
        <x:v>3666</x:v>
      </x:c>
      <x:c r="B3668" s="80" t="n">
        <x:v>0.14285228513214832</x:v>
      </x:c>
      <x:c r="C3668" s="84" t="n">
        <x:f>SQRT('Resumen'!$B$5^3/3)*B3668</x:f>
        <x:v>0.082475805275399</x:v>
      </x:c>
      <x:c r="D3668" s="84" t="n">
        <x:f>C3668^2-'Resumen'!$B$5^3/3</x:f>
        <x:v>-0.32653107487750777</x:v>
      </x:c>
      <x:c r="E3668" s="85" t="n">
        <x:f>D3668+'Resumen'!$B$5^3/3</x:f>
        <x:v>0.0068022584558255494</x:v>
      </x:c>
    </x:row>
    <x:row r="3669">
      <x:c r="A3669" s="89" t="n">
        <x:v>3667</x:v>
      </x:c>
      <x:c r="B3669" s="80" t="n">
        <x:v>0.9533363128005898</x:v>
      </x:c>
      <x:c r="C3669" s="84" t="n">
        <x:f>SQRT('Resumen'!$B$5^3/3)*B3669</x:f>
        <x:v>0.5504089768236657</x:v>
      </x:c>
      <x:c r="D3669" s="84" t="n">
        <x:f>C3669^2-'Resumen'!$B$5^3/3</x:f>
        <x:v>-0.030383291565258708</x:v>
      </x:c>
      <x:c r="E3669" s="85" t="n">
        <x:f>D3669+'Resumen'!$B$5^3/3</x:f>
        <x:v>0.3029500417680746</x:v>
      </x:c>
    </x:row>
    <x:row r="3670">
      <x:c r="A3670" s="89" t="n">
        <x:v>3668</x:v>
      </x:c>
      <x:c r="B3670" s="80" t="n">
        <x:v>2.155575689940044</x:v>
      </x:c>
      <x:c r="C3670" s="84" t="n">
        <x:f>SQRT('Resumen'!$B$5^3/3)*B3670</x:f>
        <x:v>1.2445222048454976</x:v>
      </x:c>
      <x:c r="D3670" s="84" t="n">
        <x:f>C3670^2-'Resumen'!$B$5^3/3</x:f>
        <x:v>1.2155021850201655</x:v>
      </x:c>
      <x:c r="E3670" s="85" t="n">
        <x:f>D3670+'Resumen'!$B$5^3/3</x:f>
        <x:v>1.5488355183534988</x:v>
      </x:c>
    </x:row>
    <x:row r="3671">
      <x:c r="A3671" s="89" t="n">
        <x:v>3669</x:v>
      </x:c>
      <x:c r="B3671" s="80" t="n">
        <x:v>1.1529848012210855</x:v>
      </x:c>
      <x:c r="C3671" s="84" t="n">
        <x:f>SQRT('Resumen'!$B$5^3/3)*B3671</x:f>
        <x:v>0.6656760853565408</x:v>
      </x:c>
      <x:c r="D3671" s="84" t="n">
        <x:f>C3671^2-'Resumen'!$B$5^3/3</x:f>
        <x:v>0.10979131728227526</x:v>
      </x:c>
      <x:c r="E3671" s="85" t="n">
        <x:f>D3671+'Resumen'!$B$5^3/3</x:f>
        <x:v>0.4431246506156086</x:v>
      </x:c>
    </x:row>
    <x:row r="3672">
      <x:c r="A3672" s="89" t="n">
        <x:v>3670</x:v>
      </x:c>
      <x:c r="B3672" s="80" t="n">
        <x:v>-0.4416935924089193</x:v>
      </x:c>
      <x:c r="C3672" s="84" t="n">
        <x:f>SQRT('Resumen'!$B$5^3/3)*B3672</x:f>
        <x:v>-0.2550119144766224</x:v>
      </x:c>
      <x:c r="D3672" s="84" t="n">
        <x:f>C3672^2-'Resumen'!$B$5^3/3</x:f>
        <x:v>-0.2683022568083011</x:v>
      </x:c>
      <x:c r="E3672" s="85" t="n">
        <x:f>D3672+'Resumen'!$B$5^3/3</x:f>
        <x:v>0.0650310765250322</x:v>
      </x:c>
    </x:row>
    <x:row r="3673">
      <x:c r="A3673" s="89" t="n">
        <x:v>3671</x:v>
      </x:c>
      <x:c r="B3673" s="80" t="n">
        <x:v>0.37602034457619576</x:v>
      </x:c>
      <x:c r="C3673" s="84" t="n">
        <x:f>SQRT('Resumen'!$B$5^3/3)*B3673</x:f>
        <x:v>0.21709544716184245</x:v>
      </x:c>
      <x:c r="D3673" s="84" t="n">
        <x:f>C3673^2-'Resumen'!$B$5^3/3</x:f>
        <x:v>-0.286202900154933</x:v>
      </x:c>
      <x:c r="E3673" s="85" t="n">
        <x:f>D3673+'Resumen'!$B$5^3/3</x:f>
        <x:v>0.04713043317840032</x:v>
      </x:c>
    </x:row>
    <x:row r="3674">
      <x:c r="A3674" s="89" t="n">
        <x:v>3672</x:v>
      </x:c>
      <x:c r="B3674" s="80" t="n">
        <x:v>-0.928231302678911</x:v>
      </x:c>
      <x:c r="C3674" s="84" t="n">
        <x:f>SQRT('Resumen'!$B$5^3/3)*B3674</x:f>
        <x:v>-0.5359145924719062</x:v>
      </x:c>
      <x:c r="D3674" s="84" t="n">
        <x:f>C3674^2-'Resumen'!$B$5^3/3</x:f>
        <x:v>-0.04612888290900402</x:v>
      </x:c>
      <x:c r="E3674" s="85" t="n">
        <x:f>D3674+'Resumen'!$B$5^3/3</x:f>
        <x:v>0.2872044504243293</x:v>
      </x:c>
    </x:row>
    <x:row r="3675">
      <x:c r="A3675" s="89" t="n">
        <x:v>3673</x:v>
      </x:c>
      <x:c r="B3675" s="80" t="n">
        <x:v>-0.6548353544094383</x:v>
      </x:c>
      <x:c r="C3675" s="84" t="n">
        <x:f>SQRT('Resumen'!$B$5^3/3)*B3675</x:f>
        <x:v>-0.37806936814317316</x:v>
      </x:c>
      <x:c r="D3675" s="84" t="n">
        <x:f>C3675^2-'Resumen'!$B$5^3/3</x:f>
        <x:v>-0.19039688620515513</x:v>
      </x:c>
      <x:c r="E3675" s="85" t="n">
        <x:f>D3675+'Resumen'!$B$5^3/3</x:f>
        <x:v>0.14293644712817818</x:v>
      </x:c>
    </x:row>
    <x:row r="3676">
      <x:c r="A3676" s="89" t="n">
        <x:v>3674</x:v>
      </x:c>
      <x:c r="B3676" s="80" t="n">
        <x:v>0.08479161454639032</x:v>
      </x:c>
      <x:c r="C3676" s="84" t="n">
        <x:f>SQRT('Resumen'!$B$5^3/3)*B3676</x:f>
        <x:v>0.04895446148338144</x:v>
      </x:c>
      <x:c r="D3676" s="84" t="n">
        <x:f>C3676^2-'Resumen'!$B$5^3/3</x:f>
        <x:v>-0.33093679403420545</x:v>
      </x:c>
      <x:c r="E3676" s="85" t="n">
        <x:f>D3676+'Resumen'!$B$5^3/3</x:f>
        <x:v>0.0023965392991278645</x:v>
      </x:c>
    </x:row>
    <x:row r="3677">
      <x:c r="A3677" s="89" t="n">
        <x:v>3675</x:v>
      </x:c>
      <x:c r="B3677" s="80" t="n">
        <x:v>1.0963192077255786</x:v>
      </x:c>
      <x:c r="C3677" s="84" t="n">
        <x:f>SQRT('Resumen'!$B$5^3/3)*B3677</x:f>
        <x:v>0.63296018969812</x:v>
      </x:c>
      <x:c r="D3677" s="84" t="n">
        <x:f>C3677^2-'Resumen'!$B$5^3/3</x:f>
        <x:v>0.0673052684093467</x:v>
      </x:c>
      <x:c r="E3677" s="85" t="n">
        <x:f>D3677+'Resumen'!$B$5^3/3</x:f>
        <x:v>0.40063860174268</x:v>
      </x:c>
    </x:row>
    <x:row r="3678">
      <x:c r="A3678" s="89" t="n">
        <x:v>3676</x:v>
      </x:c>
      <x:c r="B3678" s="80" t="n">
        <x:v>-0.5521643626083973</x:v>
      </x:c>
      <x:c r="C3678" s="84" t="n">
        <x:f>SQRT('Resumen'!$B$5^3/3)*B3678</x:f>
        <x:v>-0.3187922433888763</x:v>
      </x:c>
      <x:c r="D3678" s="84" t="n">
        <x:f>C3678^2-'Resumen'!$B$5^3/3</x:f>
        <x:v>-0.23170483888842078</x:v>
      </x:c>
      <x:c r="E3678" s="85" t="n">
        <x:f>D3678+'Resumen'!$B$5^3/3</x:f>
        <x:v>0.10162849444491254</x:v>
      </x:c>
    </x:row>
    <x:row r="3679">
      <x:c r="A3679" s="89" t="n">
        <x:v>3677</x:v>
      </x:c>
      <x:c r="B3679" s="80" t="n">
        <x:v>-0.3827145654373698</x:v>
      </x:c>
      <x:c r="C3679" s="84" t="n">
        <x:f>SQRT('Resumen'!$B$5^3/3)*B3679</x:f>
        <x:v>-0.22096035737805608</x:v>
      </x:c>
      <x:c r="D3679" s="84" t="n">
        <x:f>C3679^2-'Resumen'!$B$5^3/3</x:f>
        <x:v>-0.28450985380069505</x:v>
      </x:c>
      <x:c r="E3679" s="85" t="n">
        <x:f>D3679+'Resumen'!$B$5^3/3</x:f>
        <x:v>0.04882347953263827</x:v>
      </x:c>
    </x:row>
    <x:row r="3680">
      <x:c r="A3680" s="89" t="n">
        <x:v>3678</x:v>
      </x:c>
      <x:c r="B3680" s="80" t="n">
        <x:v>1.1843493037888064</x:v>
      </x:c>
      <x:c r="C3680" s="84" t="n">
        <x:f>SQRT('Resumen'!$B$5^3/3)*B3680</x:f>
        <x:v>0.6837843893570132</x:v>
      </x:c>
      <x:c r="D3680" s="84" t="n">
        <x:f>C3680^2-'Resumen'!$B$5^3/3</x:f>
        <x:v>0.13422775779501017</x:v>
      </x:c>
      <x:c r="E3680" s="85" t="n">
        <x:f>D3680+'Resumen'!$B$5^3/3</x:f>
        <x:v>0.4675610911283435</x:v>
      </x:c>
    </x:row>
    <x:row r="3681">
      <x:c r="A3681" s="89" t="n">
        <x:v>3679</x:v>
      </x:c>
      <x:c r="B3681" s="80" t="n">
        <x:v>0.6630019374964744</x:v>
      </x:c>
      <x:c r="C3681" s="84" t="n">
        <x:f>SQRT('Resumen'!$B$5^3/3)*B3681</x:f>
        <x:v>0.3827843470868329</x:v>
      </x:c>
      <x:c r="D3681" s="84" t="n">
        <x:f>C3681^2-'Resumen'!$B$5^3/3</x:f>
        <x:v>-0.18680947695864036</x:v>
      </x:c>
      <x:c r="E3681" s="85" t="n">
        <x:f>D3681+'Resumen'!$B$5^3/3</x:f>
        <x:v>0.14652385637469295</x:v>
      </x:c>
    </x:row>
    <x:row r="3682">
      <x:c r="A3682" s="89" t="n">
        <x:v>3680</x:v>
      </x:c>
      <x:c r="B3682" s="80" t="n">
        <x:v>-0.040186027355021255</x:v>
      </x:c>
      <x:c r="C3682" s="84" t="n">
        <x:f>SQRT('Resumen'!$B$5^3/3)*B3682</x:f>
        <x:v>-0.023201413711083186</x:v>
      </x:c>
      <x:c r="D3682" s="84" t="n">
        <x:f>C3682^2-'Resumen'!$B$5^3/3</x:f>
        <x:v>-0.33279502773514047</x:v>
      </x:c>
      <x:c r="E3682" s="85" t="n">
        <x:f>D3682+'Resumen'!$B$5^3/3</x:f>
        <x:v>0.0005383055981928453</x:v>
      </x:c>
    </x:row>
    <x:row r="3683">
      <x:c r="A3683" s="89" t="n">
        <x:v>3681</x:v>
      </x:c>
      <x:c r="B3683" s="80" t="n">
        <x:v>0.4883783506909077</x:v>
      </x:c>
      <x:c r="C3683" s="84" t="n">
        <x:f>SQRT('Resumen'!$B$5^3/3)*B3683</x:f>
        <x:v>0.281965372237781</x:v>
      </x:c>
      <x:c r="D3683" s="84" t="n">
        <x:f>C3683^2-'Resumen'!$B$5^3/3</x:f>
        <x:v>-0.2538288621921429</x:v>
      </x:c>
      <x:c r="E3683" s="85" t="n">
        <x:f>D3683+'Resumen'!$B$5^3/3</x:f>
        <x:v>0.07950447114119041</x:v>
      </x:c>
    </x:row>
    <x:row r="3684">
      <x:c r="A3684" s="89" t="n">
        <x:v>3682</x:v>
      </x:c>
      <x:c r="B3684" s="80" t="n">
        <x:v>-0.17660869225134906</x:v>
      </x:c>
      <x:c r="C3684" s="84" t="n">
        <x:f>SQRT('Resumen'!$B$5^3/3)*B3684</x:f>
        <x:v>-0.10196507601254415</x:v>
      </x:c>
      <x:c r="D3684" s="84" t="n">
        <x:f>C3684^2-'Resumen'!$B$5^3/3</x:f>
        <x:v>-0.3229364566070894</x:v>
      </x:c>
      <x:c r="E3684" s="85" t="n">
        <x:f>D3684+'Resumen'!$B$5^3/3</x:f>
        <x:v>0.010396876726243898</x:v>
      </x:c>
    </x:row>
    <x:row r="3685">
      <x:c r="A3685" s="89" t="n">
        <x:v>3683</x:v>
      </x:c>
      <x:c r="B3685" s="80" t="n">
        <x:v>-3.244228338518629</x:v>
      </x:c>
      <x:c r="C3685" s="84" t="n">
        <x:f>SQRT('Resumen'!$B$5^3/3)*B3685</x:f>
        <x:v>-1.8730561045563425</x:v>
      </x:c>
      <x:c r="D3685" s="84" t="n">
        <x:f>C3685^2-'Resumen'!$B$5^3/3</x:f>
        <x:v>3.175005837482447</x:v>
      </x:c>
      <x:c r="E3685" s="85" t="n">
        <x:f>D3685+'Resumen'!$B$5^3/3</x:f>
        <x:v>3.5083391708157805</x:v>
      </x:c>
    </x:row>
    <x:row r="3686">
      <x:c r="A3686" s="89" t="n">
        <x:v>3684</x:v>
      </x:c>
      <x:c r="B3686" s="80" t="n">
        <x:v>-0.04425112172555251</x:v>
      </x:c>
      <x:c r="C3686" s="84" t="n">
        <x:f>SQRT('Resumen'!$B$5^3/3)*B3686</x:f>
        <x:v>-0.02554839704019064</x:v>
      </x:c>
      <x:c r="D3686" s="84" t="n">
        <x:f>C3686^2-'Resumen'!$B$5^3/3</x:f>
        <x:v>-0.3326806127420101</x:v>
      </x:c>
      <x:c r="E3686" s="85" t="n">
        <x:f>D3686+'Resumen'!$B$5^3/3</x:f>
        <x:v>0.0006527205913232081</x:v>
      </x:c>
    </x:row>
    <x:row r="3687">
      <x:c r="A3687" s="89" t="n">
        <x:v>3685</x:v>
      </x:c>
      <x:c r="B3687" s="80" t="n">
        <x:v>-0.3194458679866183</x:v>
      </x:c>
      <x:c r="C3687" s="84" t="n">
        <x:f>SQRT('Resumen'!$B$5^3/3)*B3687</x:f>
        <x:v>-0.18443215787358772</x:v>
      </x:c>
      <x:c r="D3687" s="84" t="n">
        <x:f>C3687^2-'Resumen'!$B$5^3/3</x:f>
        <x:v>-0.29931811247542534</x:v>
      </x:c>
      <x:c r="E3687" s="85" t="n">
        <x:f>D3687+'Resumen'!$B$5^3/3</x:f>
        <x:v>0.03401522085790798</x:v>
      </x:c>
    </x:row>
    <x:row r="3688">
      <x:c r="A3688" s="89" t="n">
        <x:v>3686</x:v>
      </x:c>
      <x:c r="B3688" s="80" t="n">
        <x:v>-0.02271652558606924</x:v>
      </x:c>
      <x:c r="C3688" s="84" t="n">
        <x:f>SQRT('Resumen'!$B$5^3/3)*B3688</x:f>
        <x:v>-0.013115392162170095</x:v>
      </x:c>
      <x:c r="D3688" s="84" t="n">
        <x:f>C3688^2-'Resumen'!$B$5^3/3</x:f>
        <x:v>-0.3331613198217658</x:v>
      </x:c>
      <x:c r="E3688" s="85" t="n">
        <x:f>D3688+'Resumen'!$B$5^3/3</x:f>
        <x:v>0.00017201351156753697</x:v>
      </x:c>
    </x:row>
    <x:row r="3689">
      <x:c r="A3689" s="89" t="n">
        <x:v>3687</x:v>
      </x:c>
      <x:c r="B3689" s="80" t="n">
        <x:v>0.2541990709327339</x:v>
      </x:c>
      <x:c r="C3689" s="84" t="n">
        <x:f>SQRT('Resumen'!$B$5^3/3)*B3689</x:f>
        <x:v>0.1467619020307667</x:v>
      </x:c>
      <x:c r="D3689" s="84" t="n">
        <x:f>C3689^2-'Resumen'!$B$5^3/3</x:f>
        <x:v>-0.311794277445645</x:v>
      </x:c>
      <x:c r="E3689" s="85" t="n">
        <x:f>D3689+'Resumen'!$B$5^3/3</x:f>
        <x:v>0.02153905588768834</x:v>
      </x:c>
    </x:row>
    <x:row r="3690">
      <x:c r="A3690" s="89" t="n">
        <x:v>3688</x:v>
      </x:c>
      <x:c r="B3690" s="80" t="n">
        <x:v>-0.0590457212897351</x:v>
      </x:c>
      <x:c r="C3690" s="84" t="n">
        <x:f>SQRT('Resumen'!$B$5^3/3)*B3690</x:f>
        <x:v>-0.034090063081124174</x:v>
      </x:c>
      <x:c r="D3690" s="84" t="n">
        <x:f>C3690^2-'Resumen'!$B$5^3/3</x:f>
        <x:v>-0.3321712009324583</x:v>
      </x:c>
      <x:c r="E3690" s="85" t="n">
        <x:f>D3690+'Resumen'!$B$5^3/3</x:f>
        <x:v>0.0011621324008750378</x:v>
      </x:c>
    </x:row>
    <x:row r="3691">
      <x:c r="A3691" s="89" t="n">
        <x:v>3689</x:v>
      </x:c>
      <x:c r="B3691" s="80" t="n">
        <x:v>0.9387270692995071</x:v>
      </x:c>
      <x:c r="C3691" s="84" t="n">
        <x:f>SQRT('Resumen'!$B$5^3/3)*B3691</x:f>
        <x:v>0.5419743261556589</x:v>
      </x:c>
      <x:c r="D3691" s="84" t="n">
        <x:f>C3691^2-'Resumen'!$B$5^3/3</x:f>
        <x:v>-0.03959716312145278</x:v>
      </x:c>
      <x:c r="E3691" s="85" t="n">
        <x:f>D3691+'Resumen'!$B$5^3/3</x:f>
        <x:v>0.29373617021188053</x:v>
      </x:c>
    </x:row>
    <x:row r="3692">
      <x:c r="A3692" s="89" t="n">
        <x:v>3690</x:v>
      </x:c>
      <x:c r="B3692" s="80" t="n">
        <x:v>0.45180072372019114</x:v>
      </x:c>
      <x:c r="C3692" s="84" t="n">
        <x:f>SQRT('Resumen'!$B$5^3/3)*B3692</x:f>
        <x:v>0.2608472694599201</x:v>
      </x:c>
      <x:c r="D3692" s="84" t="n">
        <x:f>C3692^2-'Resumen'!$B$5^3/3</x:f>
        <x:v>-0.26529203534863716</x:v>
      </x:c>
      <x:c r="E3692" s="85" t="n">
        <x:f>D3692+'Resumen'!$B$5^3/3</x:f>
        <x:v>0.06804129798469616</x:v>
      </x:c>
    </x:row>
    <x:row r="3693">
      <x:c r="A3693" s="89" t="n">
        <x:v>3691</x:v>
      </x:c>
      <x:c r="B3693" s="80" t="n">
        <x:v>0.6780468232091256</x:v>
      </x:c>
      <x:c r="C3693" s="84" t="n">
        <x:f>SQRT('Resumen'!$B$5^3/3)*B3693</x:f>
        <x:v>0.3914705159029592</x:v>
      </x:c>
      <x:c r="D3693" s="84" t="n">
        <x:f>C3693^2-'Resumen'!$B$5^3/3</x:f>
        <x:v>-0.18008416851200426</x:v>
      </x:c>
      <x:c r="E3693" s="85" t="n">
        <x:f>D3693+'Resumen'!$B$5^3/3</x:f>
        <x:v>0.15324916482132905</x:v>
      </x:c>
    </x:row>
    <x:row r="3694">
      <x:c r="A3694" s="89" t="n">
        <x:v>3692</x:v>
      </x:c>
      <x:c r="B3694" s="80" t="n">
        <x:v>-1.057990559255366</x:v>
      </x:c>
      <x:c r="C3694" s="84" t="n">
        <x:f>SQRT('Resumen'!$B$5^3/3)*B3694</x:f>
        <x:v>-0.6108311341861682</x:v>
      </x:c>
      <x:c r="D3694" s="84" t="n">
        <x:f>C3694^2-'Resumen'!$B$5^3/3</x:f>
        <x:v>0.03978134115782728</x:v>
      </x:c>
      <x:c r="E3694" s="85" t="n">
        <x:f>D3694+'Resumen'!$B$5^3/3</x:f>
        <x:v>0.3731146744911606</x:v>
      </x:c>
    </x:row>
    <x:row r="3695">
      <x:c r="A3695" s="89" t="n">
        <x:v>3693</x:v>
      </x:c>
      <x:c r="B3695" s="80" t="n">
        <x:v>1.3122560943769734</x:v>
      </x:c>
      <x:c r="C3695" s="84" t="n">
        <x:f>SQRT('Resumen'!$B$5^3/3)*B3695</x:f>
        <x:v>0.7576314093342725</x:v>
      </x:c>
      <x:c r="D3695" s="84" t="n">
        <x:f>C3695^2-'Resumen'!$B$5^3/3</x:f>
        <x:v>0.24067201907650265</x:v>
      </x:c>
      <x:c r="E3695" s="85" t="n">
        <x:f>D3695+'Resumen'!$B$5^3/3</x:f>
        <x:v>0.574005352409836</x:v>
      </x:c>
    </x:row>
    <x:row r="3696">
      <x:c r="A3696" s="89" t="n">
        <x:v>3694</x:v>
      </x:c>
      <x:c r="B3696" s="80" t="n">
        <x:v>-0.012772630620371844</x:v>
      </x:c>
      <x:c r="C3696" s="84" t="n">
        <x:f>SQRT('Resumen'!$B$5^3/3)*B3696</x:f>
        <x:v>-0.0073742817269313405</x:v>
      </x:c>
      <x:c r="D3696" s="84" t="n">
        <x:f>C3696^2-'Resumen'!$B$5^3/3</x:f>
        <x:v>-0.33327895330234514</x:v>
      </x:c>
      <x:c r="E3696" s="85" t="n">
        <x:f>D3696+'Resumen'!$B$5^3/3</x:f>
        <x:v>0.00005438003098817701</x:v>
      </x:c>
    </x:row>
    <x:row r="3697">
      <x:c r="A3697" s="89" t="n">
        <x:v>3695</x:v>
      </x:c>
      <x:c r="B3697" s="80" t="n">
        <x:v>0.8325125419759952</x:v>
      </x:c>
      <x:c r="C3697" s="84" t="n">
        <x:f>SQRT('Resumen'!$B$5^3/3)*B3697</x:f>
        <x:v>0.4806513402135804</x:v>
      </x:c>
      <x:c r="D3697" s="84" t="n">
        <x:f>C3697^2-'Resumen'!$B$5^3/3</x:f>
        <x:v>-0.10230762248422229</x:v>
      </x:c>
      <x:c r="E3697" s="85" t="n">
        <x:f>D3697+'Resumen'!$B$5^3/3</x:f>
        <x:v>0.23102571084911103</x:v>
      </x:c>
    </x:row>
    <x:row r="3698">
      <x:c r="A3698" s="89" t="n">
        <x:v>3696</x:v>
      </x:c>
      <x:c r="B3698" s="80" t="n">
        <x:v>-0.36897291435506646</x:v>
      </x:c>
      <x:c r="C3698" s="84" t="n">
        <x:f>SQRT('Resumen'!$B$5^3/3)*B3698</x:f>
        <x:v>-0.21302661142657833</x:v>
      </x:c>
      <x:c r="D3698" s="84" t="n">
        <x:f>C3698^2-'Resumen'!$B$5^3/3</x:f>
        <x:v>-0.2879529961574429</x:v>
      </x:c>
      <x:c r="E3698" s="85" t="n">
        <x:f>D3698+'Resumen'!$B$5^3/3</x:f>
        <x:v>0.045380337175890406</x:v>
      </x:c>
    </x:row>
    <x:row r="3699">
      <x:c r="A3699" s="89" t="n">
        <x:v>3697</x:v>
      </x:c>
      <x:c r="B3699" s="80" t="n">
        <x:v>1.6759039911674798</x:v>
      </x:c>
      <x:c r="C3699" s="84" t="n">
        <x:f>SQRT('Resumen'!$B$5^3/3)*B3699</x:f>
        <x:v>0.9675836204365126</x:v>
      </x:c>
      <x:c r="D3699" s="84" t="n">
        <x:f>C3699^2-'Resumen'!$B$5^3/3</x:f>
        <x:v>0.6028847292036958</x:v>
      </x:c>
      <x:c r="E3699" s="85" t="n">
        <x:f>D3699+'Resumen'!$B$5^3/3</x:f>
        <x:v>0.9362180625370291</x:v>
      </x:c>
    </x:row>
    <x:row r="3700">
      <x:c r="A3700" s="89" t="n">
        <x:v>3698</x:v>
      </x:c>
      <x:c r="B3700" s="80" t="n">
        <x:v>0.9656126830578687</x:v>
      </x:c>
      <x:c r="C3700" s="84" t="n">
        <x:f>SQRT('Resumen'!$B$5^3/3)*B3700</x:f>
        <x:v>0.5574967424963773</x:v>
      </x:c>
      <x:c r="D3700" s="84" t="n">
        <x:f>C3700^2-'Resumen'!$B$5^3/3</x:f>
        <x:v>-0.02253071543926133</x:v>
      </x:c>
      <x:c r="E3700" s="85" t="n">
        <x:f>D3700+'Resumen'!$B$5^3/3</x:f>
        <x:v>0.310802617894072</x:v>
      </x:c>
    </x:row>
    <x:row r="3701">
      <x:c r="A3701" s="89" t="n">
        <x:v>3699</x:v>
      </x:c>
      <x:c r="B3701" s="80" t="n">
        <x:v>0.909414668182346</x:v>
      </x:c>
      <x:c r="C3701" s="84" t="n">
        <x:f>SQRT('Resumen'!$B$5^3/3)*B3701</x:f>
        <x:v>0.5250508034800716</x:v>
      </x:c>
      <x:c r="D3701" s="84" t="n">
        <x:f>C3701^2-'Resumen'!$B$5^3/3</x:f>
        <x:v>-0.057654987098264554</x:v>
      </x:c>
      <x:c r="E3701" s="85" t="n">
        <x:f>D3701+'Resumen'!$B$5^3/3</x:f>
        <x:v>0.27567834623506876</x:v>
      </x:c>
    </x:row>
    <x:row r="3702">
      <x:c r="A3702" s="89" t="n">
        <x:v>3700</x:v>
      </x:c>
      <x:c r="B3702" s="80" t="n">
        <x:v>1.4638568981434532</x:v>
      </x:c>
      <x:c r="C3702" s="84" t="n">
        <x:f>SQRT('Resumen'!$B$5^3/3)*B3702</x:f>
        <x:v>0.8451581741982133</x:v>
      </x:c>
      <x:c r="D3702" s="84" t="n">
        <x:f>C3702^2-'Resumen'!$B$5^3/3</x:f>
        <x:v>0.380959006080724</x:v>
      </x:c>
      <x:c r="E3702" s="85" t="n">
        <x:f>D3702+'Resumen'!$B$5^3/3</x:f>
        <x:v>0.7142923394140573</x:v>
      </x:c>
    </x:row>
    <x:row r="3703">
      <x:c r="A3703" s="89" t="n">
        <x:v>3701</x:v>
      </x:c>
      <x:c r="B3703" s="80" t="n">
        <x:v>-1.3406065225522295</x:v>
      </x:c>
      <x:c r="C3703" s="84" t="n">
        <x:f>SQRT('Resumen'!$B$5^3/3)*B3703</x:f>
        <x:v>-0.7739995366728978</x:v>
      </x:c>
      <x:c r="D3703" s="84" t="n">
        <x:f>C3703^2-'Resumen'!$B$5^3/3</x:f>
        <x:v>0.2657419494365271</x:v>
      </x:c>
      <x:c r="E3703" s="85" t="n">
        <x:f>D3703+'Resumen'!$B$5^3/3</x:f>
        <x:v>0.5990752827698604</x:v>
      </x:c>
    </x:row>
    <x:row r="3704">
      <x:c r="A3704" s="89" t="n">
        <x:v>3702</x:v>
      </x:c>
      <x:c r="B3704" s="80" t="n">
        <x:v>-0.9312897589329996</x:v>
      </x:c>
      <x:c r="C3704" s="84" t="n">
        <x:f>SQRT('Resumen'!$B$5^3/3)*B3704</x:f>
        <x:v>-0.537680393013509</x:v>
      </x:c>
      <x:c r="D3704" s="84" t="n">
        <x:f>C3704^2-'Resumen'!$B$5^3/3</x:f>
        <x:v>-0.0442331283021718</x:v>
      </x:c>
      <x:c r="E3704" s="85" t="n">
        <x:f>D3704+'Resumen'!$B$5^3/3</x:f>
        <x:v>0.2891002050311615</x:v>
      </x:c>
    </x:row>
    <x:row r="3705">
      <x:c r="A3705" s="89" t="n">
        <x:v>3703</x:v>
      </x:c>
      <x:c r="B3705" s="80" t="n">
        <x:v>0.653277652703181</x:v>
      </x:c>
      <x:c r="C3705" s="84" t="n">
        <x:f>SQRT('Resumen'!$B$5^3/3)*B3705</x:f>
        <x:v>0.37717002864374843</x:v>
      </x:c>
      <x:c r="D3705" s="84" t="n">
        <x:f>C3705^2-'Resumen'!$B$5^3/3</x:f>
        <x:v>-0.1910761028262073</x:v>
      </x:c>
      <x:c r="E3705" s="85" t="n">
        <x:f>D3705+'Resumen'!$B$5^3/3</x:f>
        <x:v>0.14225723050712602</x:v>
      </x:c>
    </x:row>
    <x:row r="3706">
      <x:c r="A3706" s="89" t="n">
        <x:v>3704</x:v>
      </x:c>
      <x:c r="B3706" s="80" t="n">
        <x:v>-0.43285858925485765</x:v>
      </x:c>
      <x:c r="C3706" s="84" t="n">
        <x:f>SQRT('Resumen'!$B$5^3/3)*B3706</x:f>
        <x:v>-0.2499110230273337</x:v>
      </x:c>
      <x:c r="D3706" s="84" t="n">
        <x:f>C3706^2-'Resumen'!$B$5^3/3</x:f>
        <x:v>-0.2708778139027648</x:v>
      </x:c>
      <x:c r="E3706" s="85" t="n">
        <x:f>D3706+'Resumen'!$B$5^3/3</x:f>
        <x:v>0.06245551943056854</x:v>
      </x:c>
    </x:row>
    <x:row r="3707">
      <x:c r="A3707" s="89" t="n">
        <x:v>3705</x:v>
      </x:c>
      <x:c r="B3707" s="80" t="n">
        <x:v>-0.09532527682973502</x:v>
      </x:c>
      <x:c r="C3707" s="84" t="n">
        <x:f>SQRT('Resumen'!$B$5^3/3)*B3707</x:f>
        <x:v>-0.055036074238223105</x:v>
      </x:c>
      <x:c r="D3707" s="84" t="n">
        <x:f>C3707^2-'Resumen'!$B$5^3/3</x:f>
        <x:v>-0.3303043638657781</x:v>
      </x:c>
      <x:c r="E3707" s="85" t="n">
        <x:f>D3707+'Resumen'!$B$5^3/3</x:f>
        <x:v>0.0030289694675552092</x:v>
      </x:c>
    </x:row>
    <x:row r="3708">
      <x:c r="A3708" s="89" t="n">
        <x:v>3706</x:v>
      </x:c>
      <x:c r="B3708" s="80" t="n">
        <x:v>0.8318707775086411</x:v>
      </x:c>
      <x:c r="C3708" s="84" t="n">
        <x:f>SQRT('Resumen'!$B$5^3/3)*B3708</x:f>
        <x:v>0.4802808173255972</x:v>
      </x:c>
      <x:c r="D3708" s="84" t="n">
        <x:f>C3708^2-'Resumen'!$B$5^3/3</x:f>
        <x:v>-0.10266366984238967</x:v>
      </x:c>
      <x:c r="E3708" s="85" t="n">
        <x:f>D3708+'Resumen'!$B$5^3/3</x:f>
        <x:v>0.23066966349094364</x:v>
      </x:c>
    </x:row>
    <x:row r="3709">
      <x:c r="A3709" s="89" t="n">
        <x:v>3707</x:v>
      </x:c>
      <x:c r="B3709" s="80" t="n">
        <x:v>0.1198890518423265</x:v>
      </x:c>
      <x:c r="C3709" s="84" t="n">
        <x:f>SQRT('Resumen'!$B$5^3/3)*B3709</x:f>
        <x:v>0.0692179763540562</x:v>
      </x:c>
      <x:c r="D3709" s="84" t="n">
        <x:f>C3709^2-'Resumen'!$B$5^3/3</x:f>
        <x:v>-0.32854220508278265</x:v>
      </x:c>
      <x:c r="E3709" s="85" t="n">
        <x:f>D3709+'Resumen'!$B$5^3/3</x:f>
        <x:v>0.004791128250550669</x:v>
      </x:c>
    </x:row>
    <x:row r="3710">
      <x:c r="A3710" s="89" t="n">
        <x:v>3708</x:v>
      </x:c>
      <x:c r="B3710" s="80" t="n">
        <x:v>-0.020394119976860994</x:v>
      </x:c>
      <x:c r="C3710" s="84" t="n">
        <x:f>SQRT('Resumen'!$B$5^3/3)*B3710</x:f>
        <x:v>-0.011774550658526218</x:v>
      </x:c>
      <x:c r="D3710" s="84" t="n">
        <x:f>C3710^2-'Resumen'!$B$5^3/3</x:f>
        <x:v>-0.33319469329012313</x:v>
      </x:c>
      <x:c r="E3710" s="85" t="n">
        <x:f>D3710+'Resumen'!$B$5^3/3</x:f>
        <x:v>0.00013864004321018086</x:v>
      </x:c>
    </x:row>
    <x:row r="3711">
      <x:c r="A3711" s="89" t="n">
        <x:v>3709</x:v>
      </x:c>
      <x:c r="B3711" s="80" t="n">
        <x:v>1.8746899429505037</x:v>
      </x:c>
      <x:c r="C3711" s="84" t="n">
        <x:f>SQRT('Resumen'!$B$5^3/3)*B3711</x:f>
        <x:v>1.0823527432095574</x:v>
      </x:c>
      <x:c r="D3711" s="84" t="n">
        <x:f>C3711^2-'Resumen'!$B$5^3/3</x:f>
        <x:v>0.8381541273999209</x:v>
      </x:c>
      <x:c r="E3711" s="85" t="n">
        <x:f>D3711+'Resumen'!$B$5^3/3</x:f>
        <x:v>1.1714874607332542</x:v>
      </x:c>
    </x:row>
    <x:row r="3712">
      <x:c r="A3712" s="89" t="n">
        <x:v>3710</x:v>
      </x:c>
      <x:c r="B3712" s="80" t="n">
        <x:v>-0.7008127560336707</x:v>
      </x:c>
      <x:c r="C3712" s="84" t="n">
        <x:f>SQRT('Resumen'!$B$5^3/3)*B3712</x:f>
        <x:v>-0.40461443334756325</x:v>
      </x:c>
      <x:c r="D3712" s="84" t="n">
        <x:f>C3712^2-'Resumen'!$B$5^3/3</x:f>
        <x:v>-0.1696204936601636</x:v>
      </x:c>
      <x:c r="E3712" s="85" t="n">
        <x:f>D3712+'Resumen'!$B$5^3/3</x:f>
        <x:v>0.1637128396731697</x:v>
      </x:c>
    </x:row>
    <x:row r="3713">
      <x:c r="A3713" s="89" t="n">
        <x:v>3711</x:v>
      </x:c>
      <x:c r="B3713" s="80" t="n">
        <x:v>0.26926478972307066</x:v>
      </x:c>
      <x:c r="C3713" s="84" t="n">
        <x:f>SQRT('Resumen'!$B$5^3/3)*B3713</x:f>
        <x:v>0.1554600988299028</x:v>
      </x:c>
      <x:c r="D3713" s="84" t="n">
        <x:f>C3713^2-'Resumen'!$B$5^3/3</x:f>
        <x:v>-0.3091654910051302</x:v>
      </x:c>
      <x:c r="E3713" s="85" t="n">
        <x:f>D3713+'Resumen'!$B$5^3/3</x:f>
        <x:v>0.024167842328203126</x:v>
      </x:c>
    </x:row>
    <x:row r="3714">
      <x:c r="A3714" s="89" t="n">
        <x:v>3712</x:v>
      </x:c>
      <x:c r="B3714" s="80" t="n">
        <x:v>0.1986272669301117</x:v>
      </x:c>
      <x:c r="C3714" s="84" t="n">
        <x:f>SQRT('Resumen'!$B$5^3/3)*B3714</x:f>
        <x:v>0.11467750603049964</x:v>
      </x:c>
      <x:c r="D3714" s="84" t="n">
        <x:f>C3714^2-'Resumen'!$B$5^3/3</x:f>
        <x:v>-0.32018240294395806</x:v>
      </x:c>
      <x:c r="E3714" s="85" t="n">
        <x:f>D3714+'Resumen'!$B$5^3/3</x:f>
        <x:v>0.01315093038937526</x:v>
      </x:c>
    </x:row>
    <x:row r="3715">
      <x:c r="A3715" s="89" t="n">
        <x:v>3713</x:v>
      </x:c>
      <x:c r="B3715" s="80" t="n">
        <x:v>-0.5180964069903004</x:v>
      </x:c>
      <x:c r="C3715" s="84" t="n">
        <x:f>SQRT('Resumen'!$B$5^3/3)*B3715</x:f>
        <x:v>-0.2991231000420278</x:v>
      </x:c>
      <x:c r="D3715" s="84" t="n">
        <x:f>C3715^2-'Resumen'!$B$5^3/3</x:f>
        <x:v>-0.24385870435458035</x:v>
      </x:c>
      <x:c r="E3715" s="85" t="n">
        <x:f>D3715+'Resumen'!$B$5^3/3</x:f>
        <x:v>0.08947462897875297</x:v>
      </x:c>
    </x:row>
    <x:row r="3716">
      <x:c r="A3716" s="89" t="n">
        <x:v>3714</x:v>
      </x:c>
      <x:c r="B3716" s="80" t="n">
        <x:v>-0.014717526605682074</x:v>
      </x:c>
      <x:c r="C3716" s="84" t="n">
        <x:f>SQRT('Resumen'!$B$5^3/3)*B3716</x:f>
        <x:v>-0.008497167947596024</x:v>
      </x:c>
      <x:c r="D3716" s="84" t="n">
        <x:f>C3716^2-'Resumen'!$B$5^3/3</x:f>
        <x:v>-0.33326113147020364</x:v>
      </x:c>
      <x:c r="E3716" s="85" t="n">
        <x:f>D3716+'Resumen'!$B$5^3/3</x:f>
        <x:v>0.0000722018631296728</x:v>
      </x:c>
    </x:row>
    <x:row r="3717">
      <x:c r="A3717" s="89" t="n">
        <x:v>3715</x:v>
      </x:c>
      <x:c r="B3717" s="80" t="n">
        <x:v>0.4301647388583525</x:v>
      </x:c>
      <x:c r="C3717" s="84" t="n">
        <x:f>SQRT('Resumen'!$B$5^3/3)*B3717</x:f>
        <x:v>0.24835572777575488</x:v>
      </x:c>
      <x:c r="D3717" s="84" t="n">
        <x:f>C3717^2-'Resumen'!$B$5^3/3</x:f>
        <x:v>-0.2716527658143085</x:v>
      </x:c>
      <x:c r="E3717" s="85" t="n">
        <x:f>D3717+'Resumen'!$B$5^3/3</x:f>
        <x:v>0.06168056751902484</x:v>
      </x:c>
    </x:row>
    <x:row r="3718">
      <x:c r="A3718" s="89" t="n">
        <x:v>3716</x:v>
      </x:c>
      <x:c r="B3718" s="80" t="n">
        <x:v>-0.5395005278633036</x:v>
      </x:c>
      <x:c r="C3718" s="84" t="n">
        <x:f>SQRT('Resumen'!$B$5^3/3)*B3718</x:f>
        <x:v>-0.3114807749898235</x:v>
      </x:c>
      <x:c r="D3718" s="84" t="n">
        <x:f>C3718^2-'Resumen'!$B$5^3/3</x:f>
        <x:v>-0.23631306014507225</x:v>
      </x:c>
      <x:c r="E3718" s="85" t="n">
        <x:f>D3718+'Resumen'!$B$5^3/3</x:f>
        <x:v>0.09702027318826106</x:v>
      </x:c>
    </x:row>
    <x:row r="3719">
      <x:c r="A3719" s="89" t="n">
        <x:v>3717</x:v>
      </x:c>
      <x:c r="B3719" s="80" t="n">
        <x:v>0.24187971353323454</x:v>
      </x:c>
      <x:c r="C3719" s="84" t="n">
        <x:f>SQRT('Resumen'!$B$5^3/3)*B3719</x:f>
        <x:v>0.1396493177199225</x:v>
      </x:c>
      <x:c r="D3719" s="84" t="n">
        <x:f>C3719^2-'Resumen'!$B$5^3/3</x:f>
        <x:v>-0.3138314013936935</x:v>
      </x:c>
      <x:c r="E3719" s="85" t="n">
        <x:f>D3719+'Resumen'!$B$5^3/3</x:f>
        <x:v>0.01950193193963984</x:v>
      </x:c>
    </x:row>
    <x:row r="3720">
      <x:c r="A3720" s="89" t="n">
        <x:v>3718</x:v>
      </x:c>
      <x:c r="B3720" s="80" t="n">
        <x:v>-0.9735524913216507</x:v>
      </x:c>
      <x:c r="C3720" s="84" t="n">
        <x:f>SQRT('Resumen'!$B$5^3/3)*B3720</x:f>
        <x:v>-0.5620807929347857</x:v>
      </x:c>
      <x:c r="D3720" s="84" t="n">
        <x:f>C3720^2-'Resumen'!$B$5^3/3</x:f>
        <x:v>-0.01739851554713584</x:v>
      </x:c>
      <x:c r="E3720" s="85" t="n">
        <x:f>D3720+'Resumen'!$B$5^3/3</x:f>
        <x:v>0.3159348177861975</x:v>
      </x:c>
    </x:row>
    <x:row r="3721">
      <x:c r="A3721" s="89" t="n">
        <x:v>3719</x:v>
      </x:c>
      <x:c r="B3721" s="80" t="n">
        <x:v>0.898530545520497</x:v>
      </x:c>
      <x:c r="C3721" s="84" t="n">
        <x:f>SQRT('Resumen'!$B$5^3/3)*B3721</x:f>
        <x:v>0.5187668523313602</x:v>
      </x:c>
      <x:c r="D3721" s="84" t="n">
        <x:f>C3721^2-'Resumen'!$B$5^3/3</x:f>
        <x:v>-0.06421428625554604</x:v>
      </x:c>
      <x:c r="E3721" s="85" t="n">
        <x:f>D3721+'Resumen'!$B$5^3/3</x:f>
        <x:v>0.2691190470777873</x:v>
      </x:c>
    </x:row>
    <x:row r="3722">
      <x:c r="A3722" s="89" t="n">
        <x:v>3720</x:v>
      </x:c>
      <x:c r="B3722" s="80" t="n">
        <x:v>-1.2861573355635953</x:v>
      </x:c>
      <x:c r="C3722" s="84" t="n">
        <x:f>SQRT('Resumen'!$B$5^3/3)*B3722</x:f>
        <x:v>-0.7425632839078535</x:v>
      </x:c>
      <x:c r="D3722" s="84" t="n">
        <x:f>C3722^2-'Resumen'!$B$5^3/3</x:f>
        <x:v>0.21806689727468215</x:v>
      </x:c>
      <x:c r="E3722" s="85" t="n">
        <x:f>D3722+'Resumen'!$B$5^3/3</x:f>
        <x:v>0.5514002306080155</x:v>
      </x:c>
    </x:row>
    <x:row r="3723">
      <x:c r="A3723" s="89" t="n">
        <x:v>3721</x:v>
      </x:c>
      <x:c r="B3723" s="80" t="n">
        <x:v>-0.22162405372351227</x:v>
      </x:c>
      <x:c r="C3723" s="84" t="n">
        <x:f>SQRT('Resumen'!$B$5^3/3)*B3723</x:f>
        <x:v>-0.12795470707616588</x:v>
      </x:c>
      <x:c r="D3723" s="84" t="n">
        <x:f>C3723^2-'Resumen'!$B$5^3/3</x:f>
        <x:v>-0.3169609262703859</x:v>
      </x:c>
      <x:c r="E3723" s="85" t="n">
        <x:f>D3723+'Resumen'!$B$5^3/3</x:f>
        <x:v>0.016372407062947403</x:v>
      </x:c>
    </x:row>
    <x:row r="3724">
      <x:c r="A3724" s="89" t="n">
        <x:v>3722</x:v>
      </x:c>
      <x:c r="B3724" s="80" t="n">
        <x:v>2.36283617971888</x:v>
      </x:c>
      <x:c r="C3724" s="84" t="n">
        <x:f>SQRT('Resumen'!$B$5^3/3)*B3724</x:f>
        <x:v>1.3641841044116823</x:v>
      </x:c>
      <x:c r="D3724" s="84" t="n">
        <x:f>C3724^2-'Resumen'!$B$5^3/3</x:f>
        <x:v>1.5276649373961704</x:v>
      </x:c>
      <x:c r="E3724" s="85" t="n">
        <x:f>D3724+'Resumen'!$B$5^3/3</x:f>
        <x:v>1.8609982707295036</x:v>
      </x:c>
    </x:row>
    <x:row r="3725">
      <x:c r="A3725" s="89" t="n">
        <x:v>3723</x:v>
      </x:c>
      <x:c r="B3725" s="80" t="n">
        <x:v>-1.3178309835543123</x:v>
      </x:c>
      <x:c r="C3725" s="84" t="n">
        <x:f>SQRT('Resumen'!$B$5^3/3)*B3725</x:f>
        <x:v>-0.7608500731015114</x:v>
      </x:c>
      <x:c r="D3725" s="84" t="n">
        <x:f>C3725^2-'Resumen'!$B$5^3/3</x:f>
        <x:v>0.24555950040524194</x:v>
      </x:c>
      <x:c r="E3725" s="85" t="n">
        <x:f>D3725+'Resumen'!$B$5^3/3</x:f>
        <x:v>0.5788928337385753</x:v>
      </x:c>
    </x:row>
    <x:row r="3726">
      <x:c r="A3726" s="89" t="n">
        <x:v>3724</x:v>
      </x:c>
      <x:c r="B3726" s="80" t="n">
        <x:v>-0.43076398590357023</x:v>
      </x:c>
      <x:c r="C3726" s="84" t="n">
        <x:f>SQRT('Resumen'!$B$5^3/3)*B3726</x:f>
        <x:v>-0.24870170321862242</x:v>
      </x:c>
      <x:c r="D3726" s="84" t="n">
        <x:f>C3726^2-'Resumen'!$B$5^3/3</x:f>
        <x:v>-0.27148079614948956</x:v>
      </x:c>
      <x:c r="E3726" s="85" t="n">
        <x:f>D3726+'Resumen'!$B$5^3/3</x:f>
        <x:v>0.06185253718384376</x:v>
      </x:c>
    </x:row>
    <x:row r="3727">
      <x:c r="A3727" s="89" t="n">
        <x:v>3725</x:v>
      </x:c>
      <x:c r="B3727" s="80" t="n">
        <x:v>0.5099416800471804</x:v>
      </x:c>
      <x:c r="C3727" s="84" t="n">
        <x:f>SQRT('Resumen'!$B$5^3/3)*B3727</x:f>
        <x:v>0.29441496624624963</x:v>
      </x:c>
      <x:c r="D3727" s="84" t="n">
        <x:f>C3727^2-'Resumen'!$B$5^3/3</x:f>
        <x:v>-0.246653160983553</x:v>
      </x:c>
      <x:c r="E3727" s="85" t="n">
        <x:f>D3727+'Resumen'!$B$5^3/3</x:f>
        <x:v>0.08668017234978032</x:v>
      </x:c>
    </x:row>
    <x:row r="3728">
      <x:c r="A3728" s="89" t="n">
        <x:v>3726</x:v>
      </x:c>
      <x:c r="B3728" s="80" t="n">
        <x:v>-1.4050070682756062</x:v>
      </x:c>
      <x:c r="C3728" s="84" t="n">
        <x:f>SQRT('Resumen'!$B$5^3/3)*B3728</x:f>
        <x:v>-0.8111812090822481</x:v>
      </x:c>
      <x:c r="D3728" s="84" t="n">
        <x:f>C3728^2-'Resumen'!$B$5^3/3</x:f>
        <x:v>0.3246816206348046</x:v>
      </x:c>
      <x:c r="E3728" s="85" t="n">
        <x:f>D3728+'Resumen'!$B$5^3/3</x:f>
        <x:v>0.6580149539681379</x:v>
      </x:c>
    </x:row>
    <x:row r="3729">
      <x:c r="A3729" s="89" t="n">
        <x:v>3727</x:v>
      </x:c>
      <x:c r="B3729" s="80" t="n">
        <x:v>-1.305828896274079</x:v>
      </x:c>
      <x:c r="C3729" s="84" t="n">
        <x:f>SQRT('Resumen'!$B$5^3/3)*B3729</x:f>
        <x:v>-0.7539206647794313</x:v>
      </x:c>
      <x:c r="D3729" s="84" t="n">
        <x:f>C3729^2-'Resumen'!$B$5^3/3</x:f>
        <x:v>0.2350630354481263</x:v>
      </x:c>
      <x:c r="E3729" s="85" t="n">
        <x:f>D3729+'Resumen'!$B$5^3/3</x:f>
        <x:v>0.5683963687814596</x:v>
      </x:c>
    </x:row>
    <x:row r="3730">
      <x:c r="A3730" s="89" t="n">
        <x:v>3728</x:v>
      </x:c>
      <x:c r="B3730" s="80" t="n">
        <x:v>0.7659467388594808</x:v>
      </x:c>
      <x:c r="C3730" s="84" t="n">
        <x:f>SQRT('Resumen'!$B$5^3/3)*B3730</x:f>
        <x:v>0.4422195558654372</x:v>
      </x:c>
      <x:c r="D3730" s="84" t="n">
        <x:f>C3730^2-'Resumen'!$B$5^3/3</x:f>
        <x:v>-0.13777519774350877</x:v>
      </x:c>
      <x:c r="E3730" s="85" t="n">
        <x:f>D3730+'Resumen'!$B$5^3/3</x:f>
        <x:v>0.19555813558982454</x:v>
      </x:c>
    </x:row>
    <x:row r="3731">
      <x:c r="A3731" s="89" t="n">
        <x:v>3729</x:v>
      </x:c>
      <x:c r="B3731" s="80" t="n">
        <x:v>-0.01571282503755869</x:v>
      </x:c>
      <x:c r="C3731" s="84" t="n">
        <x:f>SQRT('Resumen'!$B$5^3/3)*B3731</x:f>
        <x:v>-0.009071803765164</x:v>
      </x:c>
      <x:c r="D3731" s="84" t="n">
        <x:f>C3731^2-'Resumen'!$B$5^3/3</x:f>
        <x:v>-0.33325103570977965</x:v>
      </x:c>
      <x:c r="E3731" s="85" t="n">
        <x:f>D3731+'Resumen'!$B$5^3/3</x:f>
        <x:v>0.0000822976235536621</x:v>
      </x:c>
    </x:row>
    <x:row r="3732">
      <x:c r="A3732" s="89" t="n">
        <x:v>3730</x:v>
      </x:c>
      <x:c r="B3732" s="80" t="n">
        <x:v>0.4578738516130383</x:v>
      </x:c>
      <x:c r="C3732" s="84" t="n">
        <x:f>SQRT('Resumen'!$B$5^3/3)*B3732</x:f>
        <x:v>0.2643535914836784</x:v>
      </x:c>
      <x:c r="D3732" s="84" t="n">
        <x:f>C3732^2-'Resumen'!$B$5^3/3</x:f>
        <x:v>-0.26345051200301384</x:v>
      </x:c>
      <x:c r="E3732" s="85" t="n">
        <x:f>D3732+'Resumen'!$B$5^3/3</x:f>
        <x:v>0.06988282133031948</x:v>
      </x:c>
    </x:row>
    <x:row r="3733">
      <x:c r="A3733" s="89" t="n">
        <x:v>3731</x:v>
      </x:c>
      <x:c r="B3733" s="80" t="n">
        <x:v>-1.9453331033238754</x:v>
      </x:c>
      <x:c r="C3733" s="84" t="n">
        <x:f>SQRT('Resumen'!$B$5^3/3)*B3733</x:f>
        <x:v>-1.1231385908675295</x:v>
      </x:c>
      <x:c r="D3733" s="84" t="n">
        <x:f>C3733^2-'Resumen'!$B$5^3/3</x:f>
        <x:v>0.9281069609625667</x:v>
      </x:c>
      <x:c r="E3733" s="85" t="n">
        <x:f>D3733+'Resumen'!$B$5^3/3</x:f>
        <x:v>1.2614402942959</x:v>
      </x:c>
    </x:row>
    <x:row r="3734">
      <x:c r="A3734" s="89" t="n">
        <x:v>3732</x:v>
      </x:c>
      <x:c r="B3734" s="80" t="n">
        <x:v>-0.4929171095422589</x:v>
      </x:c>
      <x:c r="C3734" s="84" t="n">
        <x:f>SQRT('Resumen'!$B$5^3/3)*B3734</x:f>
        <x:v>-0.28458582588239545</x:v>
      </x:c>
      <x:c r="D3734" s="84" t="n">
        <x:f>C3734^2-'Resumen'!$B$5^3/3</x:f>
        <x:v>-0.2523442410401682</x:v>
      </x:c>
      <x:c r="E3734" s="85" t="n">
        <x:f>D3734+'Resumen'!$B$5^3/3</x:f>
        <x:v>0.08098909229316509</x:v>
      </x:c>
    </x:row>
    <x:row r="3735">
      <x:c r="A3735" s="89" t="n">
        <x:v>3733</x:v>
      </x:c>
      <x:c r="B3735" s="80" t="n">
        <x:v>1.000643456850921</x:v>
      </x:c>
      <x:c r="C3735" s="84" t="n">
        <x:f>SQRT('Resumen'!$B$5^3/3)*B3735</x:f>
        <x:v>0.5777217691757169</x:v>
      </x:c>
      <x:c r="D3735" s="84" t="n">
        <x:f>C3735^2-'Resumen'!$B$5^3/3</x:f>
        <x:v>0.0004291092461870538</x:v>
      </x:c>
      <x:c r="E3735" s="85" t="n">
        <x:f>D3735+'Resumen'!$B$5^3/3</x:f>
        <x:v>0.33376244257952037</x:v>
      </x:c>
    </x:row>
    <x:row r="3736">
      <x:c r="A3736" s="89" t="n">
        <x:v>3734</x:v>
      </x:c>
      <x:c r="B3736" s="80" t="n">
        <x:v>-0.7608945469152522</x:v>
      </x:c>
      <x:c r="C3736" s="84" t="n">
        <x:f>SQRT('Resumen'!$B$5^3/3)*B3736</x:f>
        <x:v>-0.43930267148643914</x:v>
      </x:c>
      <x:c r="D3736" s="84" t="n">
        <x:f>C3736^2-'Resumen'!$B$5^3/3</x:f>
        <x:v>-0.14034649615821104</x:v>
      </x:c>
      <x:c r="E3736" s="85" t="n">
        <x:f>D3736+'Resumen'!$B$5^3/3</x:f>
        <x:v>0.19298683717512227</x:v>
      </x:c>
    </x:row>
    <x:row r="3737">
      <x:c r="A3737" s="89" t="n">
        <x:v>3735</x:v>
      </x:c>
      <x:c r="B3737" s="80" t="n">
        <x:v>-1.6776828932289585</x:v>
      </x:c>
      <x:c r="C3737" s="84" t="n">
        <x:f>SQRT('Resumen'!$B$5^3/3)*B3737</x:f>
        <x:v>-0.9686106700205693</x:v>
      </x:c>
      <x:c r="D3737" s="84" t="n">
        <x:f>C3737^2-'Resumen'!$B$5^3/3</x:f>
        <x:v>0.6048732967443629</x:v>
      </x:c>
      <x:c r="E3737" s="85" t="n">
        <x:f>D3737+'Resumen'!$B$5^3/3</x:f>
        <x:v>0.9382066300776961</x:v>
      </x:c>
    </x:row>
    <x:row r="3738">
      <x:c r="A3738" s="89" t="n">
        <x:v>3736</x:v>
      </x:c>
      <x:c r="B3738" s="80" t="n">
        <x:v>-0.3282945469346204</x:v>
      </x:c>
      <x:c r="C3738" s="84" t="n">
        <x:f>SQRT('Resumen'!$B$5^3/3)*B3738</x:f>
        <x:v>-0.18954094504618932</x:v>
      </x:c>
      <x:c r="D3738" s="84" t="n">
        <x:f>C3738^2-'Resumen'!$B$5^3/3</x:f>
        <x:v>-0.29740756348433073</x:v>
      </x:c>
      <x:c r="E3738" s="85" t="n">
        <x:f>D3738+'Resumen'!$B$5^3/3</x:f>
        <x:v>0.03592576984900259</x:v>
      </x:c>
    </x:row>
    <x:row r="3739">
      <x:c r="A3739" s="89" t="n">
        <x:v>3737</x:v>
      </x:c>
      <x:c r="B3739" s="80" t="n">
        <x:v>0.1999084603681258</x:v>
      </x:c>
      <x:c r="C3739" s="84" t="n">
        <x:f>SQRT('Resumen'!$B$5^3/3)*B3739</x:f>
        <x:v>0.11541720340682105</x:v>
      </x:c>
      <x:c r="D3739" s="84" t="n">
        <x:f>C3739^2-'Resumen'!$B$5^3/3</x:f>
        <x:v>-0.3200122024910818</x:v>
      </x:c>
      <x:c r="E3739" s="85" t="n">
        <x:f>D3739+'Resumen'!$B$5^3/3</x:f>
        <x:v>0.013321130842251505</x:v>
      </x:c>
    </x:row>
    <x:row r="3740">
      <x:c r="A3740" s="89" t="n">
        <x:v>3738</x:v>
      </x:c>
      <x:c r="B3740" s="80" t="n">
        <x:v>0.3474808860211339</x:v>
      </x:c>
      <x:c r="C3740" s="84" t="n">
        <x:f>SQRT('Resumen'!$B$5^3/3)*B3740</x:f>
        <x:v>0.20061818308255133</x:v>
      </x:c>
      <x:c r="D3740" s="84" t="n">
        <x:f>C3740^2-'Resumen'!$B$5^3/3</x:f>
        <x:v>-0.29308567794998924</x:v>
      </x:c>
      <x:c r="E3740" s="85" t="n">
        <x:f>D3740+'Resumen'!$B$5^3/3</x:f>
        <x:v>0.04024765538334407</x:v>
      </x:c>
    </x:row>
    <x:row r="3741">
      <x:c r="A3741" s="89" t="n">
        <x:v>3739</x:v>
      </x:c>
      <x:c r="B3741" s="80" t="n">
        <x:v>2.010892962046619</x:v>
      </x:c>
      <x:c r="C3741" s="84" t="n">
        <x:f>SQRT('Resumen'!$B$5^3/3)*B3741</x:f>
        <x:v>1.1609895929491392</x:v>
      </x:c>
      <x:c r="D3741" s="84" t="n">
        <x:f>C3741^2-'Resumen'!$B$5^3/3</x:f>
        <x:v>1.0145635016028747</x:v>
      </x:c>
      <x:c r="E3741" s="85" t="n">
        <x:f>D3741+'Resumen'!$B$5^3/3</x:f>
        <x:v>1.347896834936208</x:v>
      </x:c>
    </x:row>
    <x:row r="3742">
      <x:c r="A3742" s="89" t="n">
        <x:v>3740</x:v>
      </x:c>
      <x:c r="B3742" s="80" t="n">
        <x:v>-0.27530853680574247</x:v>
      </x:c>
      <x:c r="C3742" s="84" t="n">
        <x:f>SQRT('Resumen'!$B$5^3/3)*B3742</x:f>
        <x:v>-0.1589494578349974</x:v>
      </x:c>
      <x:c r="D3742" s="84" t="n">
        <x:f>C3742^2-'Resumen'!$B$5^3/3</x:f>
        <x:v>-0.30806840318729367</x:v>
      </x:c>
      <x:c r="E3742" s="85" t="n">
        <x:f>D3742+'Resumen'!$B$5^3/3</x:f>
        <x:v>0.025264930146039644</x:v>
      </x:c>
    </x:row>
    <x:row r="3743">
      <x:c r="A3743" s="89" t="n">
        <x:v>3741</x:v>
      </x:c>
      <x:c r="B3743" s="80" t="n">
        <x:v>-0.72610825690443</x:v>
      </x:c>
      <x:c r="C3743" s="84" t="n">
        <x:f>SQRT('Resumen'!$B$5^3/3)*B3743</x:f>
        <x:v>-0.4192187975845826</x:v>
      </x:c>
      <x:c r="D3743" s="84" t="n">
        <x:f>C3743^2-'Resumen'!$B$5^3/3</x:f>
        <x:v>-0.1575889330850701</x:v>
      </x:c>
      <x:c r="E3743" s="85" t="n">
        <x:f>D3743+'Resumen'!$B$5^3/3</x:f>
        <x:v>0.1757444002482632</x:v>
      </x:c>
    </x:row>
    <x:row r="3744">
      <x:c r="A3744" s="89" t="n">
        <x:v>3742</x:v>
      </x:c>
      <x:c r="B3744" s="80" t="n">
        <x:v>-2.4603686888620375</x:v>
      </x:c>
      <x:c r="C3744" s="84" t="n">
        <x:f>SQRT('Resumen'!$B$5^3/3)*B3744</x:f>
        <x:v>-1.4204945248202239</x:v>
      </x:c>
      <x:c r="D3744" s="84" t="n">
        <x:f>C3744^2-'Resumen'!$B$5^3/3</x:f>
        <x:v>1.6844713617109004</x:v>
      </x:c>
      <x:c r="E3744" s="85" t="n">
        <x:f>D3744+'Resumen'!$B$5^3/3</x:f>
        <x:v>2.0178046950442337</x:v>
      </x:c>
    </x:row>
    <x:row r="3745">
      <x:c r="A3745" s="89" t="n">
        <x:v>3743</x:v>
      </x:c>
      <x:c r="B3745" s="80" t="n">
        <x:v>0.32304039953878183</x:v>
      </x:c>
      <x:c r="C3745" s="84" t="n">
        <x:f>SQRT('Resumen'!$B$5^3/3)*B3745</x:f>
        <x:v>0.18650746163283993</x:v>
      </x:c>
      <x:c r="D3745" s="84" t="n">
        <x:f>C3745^2-'Resumen'!$B$5^3/3</x:f>
        <x:v>-0.29854830008860805</x:v>
      </x:c>
      <x:c r="E3745" s="85" t="n">
        <x:f>D3745+'Resumen'!$B$5^3/3</x:f>
        <x:v>0.03478503324472526</x:v>
      </x:c>
    </x:row>
    <x:row r="3746">
      <x:c r="A3746" s="89" t="n">
        <x:v>3744</x:v>
      </x:c>
      <x:c r="B3746" s="80" t="n">
        <x:v>-0.9542810381799711</x:v>
      </x:c>
      <x:c r="C3746" s="84" t="n">
        <x:f>SQRT('Resumen'!$B$5^3/3)*B3746</x:f>
        <x:v>-0.5509544142757619</x:v>
      </x:c>
      <x:c r="D3746" s="84" t="n">
        <x:f>C3746^2-'Resumen'!$B$5^3/3</x:f>
        <x:v>-0.029782566723385473</x:v>
      </x:c>
      <x:c r="E3746" s="85" t="n">
        <x:f>D3746+'Resumen'!$B$5^3/3</x:f>
        <x:v>0.30355076660994784</x:v>
      </x:c>
    </x:row>
    <x:row r="3747">
      <x:c r="A3747" s="89" t="n">
        <x:v>3745</x:v>
      </x:c>
      <x:c r="B3747" s="80" t="n">
        <x:v>0.06373819390279566</x:v>
      </x:c>
      <x:c r="C3747" s="84" t="n">
        <x:f>SQRT('Resumen'!$B$5^3/3)*B3747</x:f>
        <x:v>0.036799263407439636</x:v>
      </x:c>
      <x:c r="D3747" s="84" t="n">
        <x:f>C3747^2-'Resumen'!$B$5^3/3</x:f>
        <x:v>-0.33197914754600316</x:v>
      </x:c>
      <x:c r="E3747" s="85" t="n">
        <x:f>D3747+'Resumen'!$B$5^3/3</x:f>
        <x:v>0.0013541857873301533</x:v>
      </x:c>
    </x:row>
    <x:row r="3748">
      <x:c r="A3748" s="89" t="n">
        <x:v>3746</x:v>
      </x:c>
      <x:c r="B3748" s="80" t="n">
        <x:v>0.14499834986316</x:v>
      </x:c>
      <x:c r="C3748" s="84" t="n">
        <x:f>SQRT('Resumen'!$B$5^3/3)*B3748</x:f>
        <x:v>0.08371483632554695</x:v>
      </x:c>
      <x:c r="D3748" s="84" t="n">
        <x:f>C3748^2-'Resumen'!$B$5^3/3</x:f>
        <x:v>-0.3263251595123202</x:v>
      </x:c>
      <x:c r="E3748" s="85" t="n">
        <x:f>D3748+'Resumen'!$B$5^3/3</x:f>
        <x:v>0.007008173821013097</x:v>
      </x:c>
    </x:row>
    <x:row r="3749">
      <x:c r="A3749" s="89" t="n">
        <x:v>3747</x:v>
      </x:c>
      <x:c r="B3749" s="80" t="n">
        <x:v>-1.3425597195867698</x:v>
      </x:c>
      <x:c r="C3749" s="84" t="n">
        <x:f>SQRT('Resumen'!$B$5^3/3)*B3749</x:f>
        <x:v>-0.7751272155065699</x:v>
      </x:c>
      <x:c r="D3749" s="84" t="n">
        <x:f>C3749^2-'Resumen'!$B$5^3/3</x:f>
        <x:v>0.26748886688563517</x:v>
      </x:c>
      <x:c r="E3749" s="85" t="n">
        <x:f>D3749+'Resumen'!$B$5^3/3</x:f>
        <x:v>0.6008222002189685</x:v>
      </x:c>
    </x:row>
    <x:row r="3750">
      <x:c r="A3750" s="89" t="n">
        <x:v>3748</x:v>
      </x:c>
      <x:c r="B3750" s="80" t="n">
        <x:v>0.2634827959327172</x:v>
      </x:c>
      <x:c r="C3750" s="84" t="n">
        <x:f>SQRT('Resumen'!$B$5^3/3)*B3750</x:f>
        <x:v>0.15212186315858947</x:v>
      </x:c>
      <x:c r="D3750" s="84" t="n">
        <x:f>C3750^2-'Resumen'!$B$5^3/3</x:f>
        <x:v>-0.31019227208249267</x:v>
      </x:c>
      <x:c r="E3750" s="85" t="n">
        <x:f>D3750+'Resumen'!$B$5^3/3</x:f>
        <x:v>0.023141061250840644</x:v>
      </x:c>
    </x:row>
    <x:row r="3751">
      <x:c r="A3751" s="89" t="n">
        <x:v>3749</x:v>
      </x:c>
      <x:c r="B3751" s="80" t="n">
        <x:v>0.4408937201519049</x:v>
      </x:c>
      <x:c r="C3751" s="84" t="n">
        <x:f>SQRT('Resumen'!$B$5^3/3)*B3751</x:f>
        <x:v>0.2545501080137178</x:v>
      </x:c>
      <x:c r="D3751" s="84" t="n">
        <x:f>C3751^2-'Resumen'!$B$5^3/3</x:f>
        <x:v>-0.26853757584353793</x:v>
      </x:c>
      <x:c r="E3751" s="85" t="n">
        <x:f>D3751+'Resumen'!$B$5^3/3</x:f>
        <x:v>0.06479575748979538</x:v>
      </x:c>
    </x:row>
    <x:row r="3752">
      <x:c r="A3752" s="89" t="n">
        <x:v>3750</x:v>
      </x:c>
      <x:c r="B3752" s="80" t="n">
        <x:v>-1.58634773863792</x:v>
      </x:c>
      <x:c r="C3752" s="84" t="n">
        <x:f>SQRT('Resumen'!$B$5^3/3)*B3752</x:f>
        <x:v>-0.9158782939309571</x:v>
      </x:c>
      <x:c r="D3752" s="84" t="n">
        <x:f>C3752^2-'Resumen'!$B$5^3/3</x:f>
        <x:v>0.5054997159605474</x:v>
      </x:c>
      <x:c r="E3752" s="85" t="n">
        <x:f>D3752+'Resumen'!$B$5^3/3</x:f>
        <x:v>0.8388330492938807</x:v>
      </x:c>
    </x:row>
    <x:row r="3753">
      <x:c r="A3753" s="89" t="n">
        <x:v>3751</x:v>
      </x:c>
      <x:c r="B3753" s="80" t="n">
        <x:v>-0.6185802417326178</x:v>
      </x:c>
      <x:c r="C3753" s="84" t="n">
        <x:f>SQRT('Resumen'!$B$5^3/3)*B3753</x:f>
        <x:v>-0.35713746907971067</x:v>
      </x:c>
      <x:c r="D3753" s="84" t="n">
        <x:f>C3753^2-'Resumen'!$B$5^3/3</x:f>
        <x:v>-0.205786161512672</x:v>
      </x:c>
      <x:c r="E3753" s="85" t="n">
        <x:f>D3753+'Resumen'!$B$5^3/3</x:f>
        <x:v>0.1275471718206613</x:v>
      </x:c>
    </x:row>
    <x:row r="3754">
      <x:c r="A3754" s="89" t="n">
        <x:v>3752</x:v>
      </x:c>
      <x:c r="B3754" s="80" t="n">
        <x:v>-0.4216749933677964</x:v>
      </x:c>
      <x:c r="C3754" s="84" t="n">
        <x:f>SQRT('Resumen'!$B$5^3/3)*B3754</x:f>
        <x:v>-0.2434541709314309</x:v>
      </x:c>
      <x:c r="D3754" s="84" t="n">
        <x:f>C3754^2-'Resumen'!$B$5^3/3</x:f>
        <x:v>-0.2740633999894229</x:v>
      </x:c>
      <x:c r="E3754" s="85" t="n">
        <x:f>D3754+'Resumen'!$B$5^3/3</x:f>
        <x:v>0.0592699333439104</x:v>
      </x:c>
    </x:row>
    <x:row r="3755">
      <x:c r="A3755" s="89" t="n">
        <x:v>3753</x:v>
      </x:c>
      <x:c r="B3755" s="80" t="n">
        <x:v>-0.4267107288620321</x:v>
      </x:c>
      <x:c r="C3755" s="84" t="n">
        <x:f>SQRT('Resumen'!$B$5^3/3)*B3755</x:f>
        <x:v>-0.24636155417459563</x:v>
      </x:c>
      <x:c r="D3755" s="84" t="n">
        <x:f>C3755^2-'Resumen'!$B$5^3/3</x:f>
        <x:v>-0.2726393179580111</x:v>
      </x:c>
      <x:c r="E3755" s="85" t="n">
        <x:f>D3755+'Resumen'!$B$5^3/3</x:f>
        <x:v>0.06069401537532221</x:v>
      </x:c>
    </x:row>
    <x:row r="3756">
      <x:c r="A3756" s="89" t="n">
        <x:v>3754</x:v>
      </x:c>
      <x:c r="B3756" s="80" t="n">
        <x:v>-0.25141789100886663</x:v>
      </x:c>
      <x:c r="C3756" s="84" t="n">
        <x:f>SQRT('Resumen'!$B$5^3/3)*B3756</x:f>
        <x:v>-0.14515618705305713</x:v>
      </x:c>
      <x:c r="D3756" s="84" t="n">
        <x:f>C3756^2-'Resumen'!$B$5^3/3</x:f>
        <x:v>-0.3122630146935512</x:v>
      </x:c>
      <x:c r="E3756" s="85" t="n">
        <x:f>D3756+'Resumen'!$B$5^3/3</x:f>
        <x:v>0.021070318639782093</x:v>
      </x:c>
    </x:row>
    <x:row r="3757">
      <x:c r="A3757" s="89" t="n">
        <x:v>3755</x:v>
      </x:c>
      <x:c r="B3757" s="80" t="n">
        <x:v>-1.6057362645514537</x:v>
      </x:c>
      <x:c r="C3757" s="84" t="n">
        <x:f>SQRT('Resumen'!$B$5^3/3)*B3757</x:f>
        <x:v>-0.9270722645863259</x:v>
      </x:c>
      <x:c r="D3757" s="84" t="n">
        <x:f>C3757^2-'Resumen'!$B$5^3/3</x:f>
        <x:v>0.5261296504318853</x:v>
      </x:c>
      <x:c r="E3757" s="85" t="n">
        <x:f>D3757+'Resumen'!$B$5^3/3</x:f>
        <x:v>0.8594629837652186</x:v>
      </x:c>
    </x:row>
    <x:row r="3758">
      <x:c r="A3758" s="89" t="n">
        <x:v>3756</x:v>
      </x:c>
      <x:c r="B3758" s="80" t="n">
        <x:v>0.3302292089685419</x:v>
      </x:c>
      <x:c r="C3758" s="84" t="n">
        <x:f>SQRT('Resumen'!$B$5^3/3)*B3758</x:f>
        <x:v>0.19065792269226484</x:v>
      </x:c>
      <x:c r="D3758" s="84" t="n">
        <x:f>C3758^2-'Resumen'!$B$5^3/3</x:f>
        <x:v>-0.2969828898480037</x:v>
      </x:c>
      <x:c r="E3758" s="85" t="n">
        <x:f>D3758+'Resumen'!$B$5^3/3</x:f>
        <x:v>0.03635044348532962</x:v>
      </x:c>
    </x:row>
    <x:row r="3759">
      <x:c r="A3759" s="89" t="n">
        <x:v>3757</x:v>
      </x:c>
      <x:c r="B3759" s="80" t="n">
        <x:v>0.8056033810432824</x:v>
      </x:c>
      <x:c r="C3759" s="84" t="n">
        <x:f>SQRT('Resumen'!$B$5^3/3)*B3759</x:f>
        <x:v>0.46511532890541174</x:v>
      </x:c>
      <x:c r="D3759" s="84" t="n">
        <x:f>C3759^2-'Resumen'!$B$5^3/3</x:f>
        <x:v>-0.11700106415054398</x:v>
      </x:c>
      <x:c r="E3759" s="85" t="n">
        <x:f>D3759+'Resumen'!$B$5^3/3</x:f>
        <x:v>0.21633226918278933</x:v>
      </x:c>
    </x:row>
    <x:row r="3760">
      <x:c r="A3760" s="89" t="n">
        <x:v>3758</x:v>
      </x:c>
      <x:c r="B3760" s="80" t="n">
        <x:v>2.2396472470033304</x:v>
      </x:c>
      <x:c r="C3760" s="84" t="n">
        <x:f>SQRT('Resumen'!$B$5^3/3)*B3760</x:f>
        <x:v>1.293060940947177</x:v>
      </x:c>
      <x:c r="D3760" s="84" t="n">
        <x:f>C3760^2-'Resumen'!$B$5^3/3</x:f>
        <x:v>1.3386732636698653</x:v>
      </x:c>
      <x:c r="E3760" s="85" t="n">
        <x:f>D3760+'Resumen'!$B$5^3/3</x:f>
        <x:v>1.6720065970031985</x:v>
      </x:c>
    </x:row>
    <x:row r="3761">
      <x:c r="A3761" s="89" t="n">
        <x:v>3759</x:v>
      </x:c>
      <x:c r="B3761" s="80" t="n">
        <x:v>1.8548196926909746</x:v>
      </x:c>
      <x:c r="C3761" s="84" t="n">
        <x:f>SQRT('Resumen'!$B$5^3/3)*B3761</x:f>
        <x:v>1.070880648873353</x:v>
      </x:c>
      <x:c r="D3761" s="84" t="n">
        <x:f>C3761^2-'Resumen'!$B$5^3/3</x:f>
        <x:v>0.8134520307980806</x:v>
      </x:c>
      <x:c r="E3761" s="85" t="n">
        <x:f>D3761+'Resumen'!$B$5^3/3</x:f>
        <x:v>1.1467853641314139</x:v>
      </x:c>
    </x:row>
    <x:row r="3762">
      <x:c r="A3762" s="89" t="n">
        <x:v>3760</x:v>
      </x:c>
      <x:c r="B3762" s="80" t="n">
        <x:v>1.6477083389164275</x:v>
      </x:c>
      <x:c r="C3762" s="84" t="n">
        <x:f>SQRT('Resumen'!$B$5^3/3)*B3762</x:f>
        <x:v>0.9513048530193905</x:v>
      </x:c>
      <x:c r="D3762" s="84" t="n">
        <x:f>C3762^2-'Resumen'!$B$5^3/3</x:f>
        <x:v>0.571647590044911</x:v>
      </x:c>
      <x:c r="E3762" s="85" t="n">
        <x:f>D3762+'Resumen'!$B$5^3/3</x:f>
        <x:v>0.9049809233782442</x:v>
      </x:c>
    </x:row>
    <x:row r="3763">
      <x:c r="A3763" s="89" t="n">
        <x:v>3761</x:v>
      </x:c>
      <x:c r="B3763" s="80" t="n">
        <x:v>0.7546470607528639</x:v>
      </x:c>
      <x:c r="C3763" s="84" t="n">
        <x:f>SQRT('Resumen'!$B$5^3/3)*B3763</x:f>
        <x:v>0.43569568366882583</x:v>
      </x:c>
      <x:c r="D3763" s="84" t="n">
        <x:f>C3763^2-'Resumen'!$B$5^3/3</x:f>
        <x:v>-0.14350260456568778</x:v>
      </x:c>
      <x:c r="E3763" s="85" t="n">
        <x:f>D3763+'Resumen'!$B$5^3/3</x:f>
        <x:v>0.18983072876764553</x:v>
      </x:c>
    </x:row>
    <x:row r="3764">
      <x:c r="A3764" s="89" t="n">
        <x:v>3762</x:v>
      </x:c>
      <x:c r="B3764" s="80" t="n">
        <x:v>0.6767822338785778</x:v>
      </x:c>
      <x:c r="C3764" s="84" t="n">
        <x:f>SQRT('Resumen'!$B$5^3/3)*B3764</x:f>
        <x:v>0.39074040491255313</x:v>
      </x:c>
      <x:c r="D3764" s="84" t="n">
        <x:f>C3764^2-'Resumen'!$B$5^3/3</x:f>
        <x:v>-0.18065526930210735</x:v>
      </x:c>
      <x:c r="E3764" s="85" t="n">
        <x:f>D3764+'Resumen'!$B$5^3/3</x:f>
        <x:v>0.15267806403122597</x:v>
      </x:c>
    </x:row>
    <x:row r="3765">
      <x:c r="A3765" s="89" t="n">
        <x:v>3763</x:v>
      </x:c>
      <x:c r="B3765" s="80" t="n">
        <x:v>1.2801968815525309</x:v>
      </x:c>
      <x:c r="C3765" s="84" t="n">
        <x:f>SQRT('Resumen'!$B$5^3/3)*B3765</x:f>
        <x:v>0.7391220141800731</x:v>
      </x:c>
      <x:c r="D3765" s="84" t="n">
        <x:f>C3765^2-'Resumen'!$B$5^3/3</x:f>
        <x:v>0.21296801851227481</x:v>
      </x:c>
      <x:c r="E3765" s="85" t="n">
        <x:f>D3765+'Resumen'!$B$5^3/3</x:f>
        <x:v>0.5463013518456081</x:v>
      </x:c>
    </x:row>
    <x:row r="3766">
      <x:c r="A3766" s="89" t="n">
        <x:v>3764</x:v>
      </x:c>
      <x:c r="B3766" s="80" t="n">
        <x:v>-0.14099536150590936</x:v>
      </x:c>
      <x:c r="C3766" s="84" t="n">
        <x:f>SQRT('Resumen'!$B$5^3/3)*B3766</x:f>
        <x:v>-0.08140370991992536</x:v>
      </x:c>
      <x:c r="D3766" s="84" t="n">
        <x:f>C3766^2-'Resumen'!$B$5^3/3</x:f>
        <x:v>-0.32670676934460596</x:v>
      </x:c>
      <x:c r="E3766" s="85" t="n">
        <x:f>D3766+'Resumen'!$B$5^3/3</x:f>
        <x:v>0.006626563988727352</x:v>
      </x:c>
    </x:row>
    <x:row r="3767">
      <x:c r="A3767" s="89" t="n">
        <x:v>3765</x:v>
      </x:c>
      <x:c r="B3767" s="80" t="n">
        <x:v>-1.4548196567295042</x:v>
      </x:c>
      <x:c r="C3767" s="84" t="n">
        <x:f>SQRT('Resumen'!$B$5^3/3)*B3767</x:f>
        <x:v>-0.8399405204351381</x:v>
      </x:c>
      <x:c r="D3767" s="84" t="n">
        <x:f>C3767^2-'Resumen'!$B$5^3/3</x:f>
        <x:v>0.3721667445355174</x:v>
      </x:c>
      <x:c r="E3767" s="85" t="n">
        <x:f>D3767+'Resumen'!$B$5^3/3</x:f>
        <x:v>0.7055000778688507</x:v>
      </x:c>
    </x:row>
    <x:row r="3768">
      <x:c r="A3768" s="89" t="n">
        <x:v>3766</x:v>
      </x:c>
      <x:c r="B3768" s="80" t="n">
        <x:v>0.5878028686287298</x:v>
      </x:c>
      <x:c r="C3768" s="84" t="n">
        <x:f>SQRT('Resumen'!$B$5^3/3)*B3768</x:f>
        <x:v>0.3393681444332313</x:v>
      </x:c>
      <x:c r="D3768" s="84" t="n">
        <x:f>C3768^2-'Resumen'!$B$5^3/3</x:f>
        <x:v>-0.21816259587727876</x:v>
      </x:c>
      <x:c r="E3768" s="85" t="n">
        <x:f>D3768+'Resumen'!$B$5^3/3</x:f>
        <x:v>0.11517073745605455</x:v>
      </x:c>
    </x:row>
    <x:row r="3769">
      <x:c r="A3769" s="89" t="n">
        <x:v>3767</x:v>
      </x:c>
      <x:c r="B3769" s="80" t="n">
        <x:v>1.0787446173031947</x:v>
      </x:c>
      <x:c r="C3769" s="84" t="n">
        <x:f>SQRT('Resumen'!$B$5^3/3)*B3769</x:f>
        <x:v>0.6228134951868592</x:v>
      </x:c>
      <x:c r="D3769" s="84" t="n">
        <x:f>C3769^2-'Resumen'!$B$5^3/3</x:f>
        <x:v>0.054563316453538624</x:v>
      </x:c>
      <x:c r="E3769" s="85" t="n">
        <x:f>D3769+'Resumen'!$B$5^3/3</x:f>
        <x:v>0.38789664978687194</x:v>
      </x:c>
    </x:row>
    <x:row r="3770">
      <x:c r="A3770" s="89" t="n">
        <x:v>3768</x:v>
      </x:c>
      <x:c r="B3770" s="80" t="n">
        <x:v>-0.9662067785808361</x:v>
      </x:c>
      <x:c r="C3770" s="84" t="n">
        <x:f>SQRT('Resumen'!$B$5^3/3)*B3770</x:f>
        <x:v>-0.5578397437064868</x:v>
      </x:c>
      <x:c r="D3770" s="84" t="n">
        <x:f>C3770^2-'Resumen'!$B$5^3/3</x:f>
        <x:v>-0.02214815367481443</x:v>
      </x:c>
      <x:c r="E3770" s="85" t="n">
        <x:f>D3770+'Resumen'!$B$5^3/3</x:f>
        <x:v>0.3111851796585189</x:v>
      </x:c>
    </x:row>
    <x:row r="3771">
      <x:c r="A3771" s="89" t="n">
        <x:v>3769</x:v>
      </x:c>
      <x:c r="B3771" s="80" t="n">
        <x:v>-1.3047930090789912</x:v>
      </x:c>
      <x:c r="C3771" s="84" t="n">
        <x:f>SQRT('Resumen'!$B$5^3/3)*B3771</x:f>
        <x:v>-0.7533225950284973</x:v>
      </x:c>
      <x:c r="D3771" s="84" t="n">
        <x:f>C3771^2-'Resumen'!$B$5^3/3</x:f>
        <x:v>0.234161598847136</x:v>
      </x:c>
      <x:c r="E3771" s="85" t="n">
        <x:f>D3771+'Resumen'!$B$5^3/3</x:f>
        <x:v>0.5674949321804693</x:v>
      </x:c>
    </x:row>
    <x:row r="3772">
      <x:c r="A3772" s="89" t="n">
        <x:v>3770</x:v>
      </x:c>
      <x:c r="B3772" s="80" t="n">
        <x:v>1.0129663920362206</x:v>
      </x:c>
      <x:c r="C3772" s="84" t="n">
        <x:f>SQRT('Resumen'!$B$5^3/3)*B3772</x:f>
        <x:v>0.5848364191221559</x:v>
      </x:c>
      <x:c r="D3772" s="84" t="n">
        <x:f>C3772^2-'Resumen'!$B$5^3/3</x:f>
        <x:v>0.008700303798292675</x:v>
      </x:c>
      <x:c r="E3772" s="85" t="n">
        <x:f>D3772+'Resumen'!$B$5^3/3</x:f>
        <x:v>0.342033637131626</x:v>
      </x:c>
    </x:row>
    <x:row r="3773">
      <x:c r="A3773" s="89" t="n">
        <x:v>3771</x:v>
      </x:c>
      <x:c r="B3773" s="80" t="n">
        <x:v>0.29973008082756697</x:v>
      </x:c>
      <x:c r="C3773" s="84" t="n">
        <x:f>SQRT('Resumen'!$B$5^3/3)*B3773</x:f>
        <x:v>0.17304924285002407</x:v>
      </x:c>
      <x:c r="D3773" s="84" t="n">
        <x:f>C3773^2-'Resumen'!$B$5^3/3</x:f>
        <x:v>-0.3033872928823667</x:v>
      </x:c>
      <x:c r="E3773" s="85" t="n">
        <x:f>D3773+'Resumen'!$B$5^3/3</x:f>
        <x:v>0.029946040450966604</x:v>
      </x:c>
    </x:row>
    <x:row r="3774">
      <x:c r="A3774" s="89" t="n">
        <x:v>3772</x:v>
      </x:c>
      <x:c r="B3774" s="80" t="n">
        <x:v>0.24625580760346705</x:v>
      </x:c>
      <x:c r="C3774" s="84" t="n">
        <x:f>SQRT('Resumen'!$B$5^3/3)*B3774</x:f>
        <x:v>0.1421758568093704</x:v>
      </x:c>
      <x:c r="D3774" s="84" t="n">
        <x:f>C3774^2-'Resumen'!$B$5^3/3</x:f>
        <x:v>-0.31311935907385474</x:v>
      </x:c>
      <x:c r="E3774" s="85" t="n">
        <x:f>D3774+'Resumen'!$B$5^3/3</x:f>
        <x:v>0.020213974259478573</x:v>
      </x:c>
    </x:row>
    <x:row r="3775">
      <x:c r="A3775" s="89" t="n">
        <x:v>3773</x:v>
      </x:c>
      <x:c r="B3775" s="80" t="n">
        <x:v>1.5852611530150462</x:v>
      </x:c>
      <x:c r="C3775" s="84" t="n">
        <x:f>SQRT('Resumen'!$B$5^3/3)*B3775</x:f>
        <x:v>0.9152509534290934</x:v>
      </x:c>
      <x:c r="D3775" s="84" t="n">
        <x:f>C3775^2-'Resumen'!$B$5^3/3</x:f>
        <x:v>0.5043509744195311</x:v>
      </x:c>
      <x:c r="E3775" s="85" t="n">
        <x:f>D3775+'Resumen'!$B$5^3/3</x:f>
        <x:v>0.8376843077528644</x:v>
      </x:c>
    </x:row>
    <x:row r="3776">
      <x:c r="A3776" s="89" t="n">
        <x:v>3774</x:v>
      </x:c>
      <x:c r="B3776" s="80" t="n">
        <x:v>0.8015918659463794</x:v>
      </x:c>
      <x:c r="C3776" s="84" t="n">
        <x:f>SQRT('Resumen'!$B$5^3/3)*B3776</x:f>
        <x:v>0.46279927958435657</x:v>
      </x:c>
      <x:c r="D3776" s="84" t="n">
        <x:f>C3776^2-'Resumen'!$B$5^3/3</x:f>
        <x:v>-0.11915016014953386</x:v>
      </x:c>
      <x:c r="E3776" s="85" t="n">
        <x:f>D3776+'Resumen'!$B$5^3/3</x:f>
        <x:v>0.21418317318379945</x:v>
      </x:c>
    </x:row>
    <x:row r="3777">
      <x:c r="A3777" s="89" t="n">
        <x:v>3775</x:v>
      </x:c>
      <x:c r="B3777" s="80" t="n">
        <x:v>-0.5592046899257956</x:v>
      </x:c>
      <x:c r="C3777" s="84" t="n">
        <x:f>SQRT('Resumen'!$B$5^3/3)*B3777</x:f>
        <x:v>-0.3228569782607593</x:v>
      </x:c>
      <x:c r="D3777" s="84" t="n">
        <x:f>C3777^2-'Resumen'!$B$5^3/3</x:f>
        <x:v>-0.2290967049216649</x:v>
      </x:c>
      <x:c r="E3777" s="85" t="n">
        <x:f>D3777+'Resumen'!$B$5^3/3</x:f>
        <x:v>0.10423662841166842</x:v>
      </x:c>
    </x:row>
    <x:row r="3778">
      <x:c r="A3778" s="89" t="n">
        <x:v>3776</x:v>
      </x:c>
      <x:c r="B3778" s="80" t="n">
        <x:v>-0.8449946363166515</x:v>
      </x:c>
      <x:c r="C3778" s="84" t="n">
        <x:f>SQRT('Resumen'!$B$5^3/3)*B3778</x:f>
        <x:v>-0.4878578807412086</x:v>
      </x:c>
      <x:c r="D3778" s="84" t="n">
        <x:f>C3778^2-'Resumen'!$B$5^3/3</x:f>
        <x:v>-0.09532802153202999</x:v>
      </x:c>
      <x:c r="E3778" s="85" t="n">
        <x:f>D3778+'Resumen'!$B$5^3/3</x:f>
        <x:v>0.23800531180130333</x:v>
      </x:c>
    </x:row>
    <x:row r="3779">
      <x:c r="A3779" s="89" t="n">
        <x:v>3777</x:v>
      </x:c>
      <x:c r="B3779" s="80" t="n">
        <x:v>0.4788249961879638</x:v>
      </x:c>
      <x:c r="C3779" s="84" t="n">
        <x:f>SQRT('Resumen'!$B$5^3/3)*B3779</x:f>
        <x:v>0.2764497404438424</x:v>
      </x:c>
      <x:c r="D3779" s="84" t="n">
        <x:f>C3779^2-'Resumen'!$B$5^3/3</x:f>
        <x:v>-0.2569088743418655</x:v>
      </x:c>
      <x:c r="E3779" s="85" t="n">
        <x:f>D3779+'Resumen'!$B$5^3/3</x:f>
        <x:v>0.07642445899146783</x:v>
      </x:c>
    </x:row>
    <x:row r="3780">
      <x:c r="A3780" s="89" t="n">
        <x:v>3778</x:v>
      </x:c>
      <x:c r="B3780" s="80" t="n">
        <x:v>-0.9199089439154746</x:v>
      </x:c>
      <x:c r="C3780" s="84" t="n">
        <x:f>SQRT('Resumen'!$B$5^3/3)*B3780</x:f>
        <x:v>-0.5311096763995435</x:v>
      </x:c>
      <x:c r="D3780" s="84" t="n">
        <x:f>C3780^2-'Resumen'!$B$5^3/3</x:f>
        <x:v>-0.05125584496810548</x:v>
      </x:c>
      <x:c r="E3780" s="85" t="n">
        <x:f>D3780+'Resumen'!$B$5^3/3</x:f>
        <x:v>0.28207748836522784</x:v>
      </x:c>
    </x:row>
    <x:row r="3781">
      <x:c r="A3781" s="89" t="n">
        <x:v>3779</x:v>
      </x:c>
      <x:c r="B3781" s="80" t="n">
        <x:v>-0.8222092257531222</x:v>
      </x:c>
      <x:c r="C3781" s="84" t="n">
        <x:f>SQRT('Resumen'!$B$5^3/3)*B3781</x:f>
        <x:v>-0.47470271781875883</x:v>
      </x:c>
      <x:c r="D3781" s="84" t="n">
        <x:f>C3781^2-'Resumen'!$B$5^3/3</x:f>
        <x:v>-0.10799066302881713</x:v>
      </x:c>
      <x:c r="E3781" s="85" t="n">
        <x:f>D3781+'Resumen'!$B$5^3/3</x:f>
        <x:v>0.22534267030451618</x:v>
      </x:c>
    </x:row>
    <x:row r="3782">
      <x:c r="A3782" s="89" t="n">
        <x:v>3780</x:v>
      </x:c>
      <x:c r="B3782" s="80" t="n">
        <x:v>-1.215991641989787</x:v>
      </x:c>
      <x:c r="C3782" s="84" t="n">
        <x:f>SQRT('Resumen'!$B$5^3/3)*B3782</x:f>
        <x:v>-0.7020531018351385</x:v>
      </x:c>
      <x:c r="D3782" s="84" t="n">
        <x:f>C3782^2-'Resumen'!$B$5^3/3</x:f>
        <x:v>0.159545224463006</x:v>
      </x:c>
      <x:c r="E3782" s="85" t="n">
        <x:f>D3782+'Resumen'!$B$5^3/3</x:f>
        <x:v>0.4928785577963393</x:v>
      </x:c>
    </x:row>
    <x:row r="3783">
      <x:c r="A3783" s="89" t="n">
        <x:v>3781</x:v>
      </x:c>
      <x:c r="B3783" s="80" t="n">
        <x:v>-1.6077182826387064</x:v>
      </x:c>
      <x:c r="C3783" s="84" t="n">
        <x:f>SQRT('Resumen'!$B$5^3/3)*B3783</x:f>
        <x:v>-0.92821658326254</x:v>
      </x:c>
      <x:c r="D3783" s="84" t="n">
        <x:f>C3783^2-'Resumen'!$B$5^3/3</x:f>
        <x:v>0.5282526921102504</x:v>
      </x:c>
      <x:c r="E3783" s="85" t="n">
        <x:f>D3783+'Resumen'!$B$5^3/3</x:f>
        <x:v>0.8615860254435836</x:v>
      </x:c>
    </x:row>
    <x:row r="3784">
      <x:c r="A3784" s="89" t="n">
        <x:v>3782</x:v>
      </x:c>
      <x:c r="B3784" s="80" t="n">
        <x:v>0.7957526341023463</x:v>
      </x:c>
      <x:c r="C3784" s="84" t="n">
        <x:f>SQRT('Resumen'!$B$5^3/3)*B3784</x:f>
        <x:v>0.45942799750734337</x:v>
      </x:c>
      <x:c r="D3784" s="84" t="n">
        <x:f>C3784^2-'Resumen'!$B$5^3/3</x:f>
        <x:v>-0.12225924843972583</x:v>
      </x:c>
      <x:c r="E3784" s="85" t="n">
        <x:f>D3784+'Resumen'!$B$5^3/3</x:f>
        <x:v>0.2110740848936075</x:v>
      </x:c>
    </x:row>
    <x:row r="3785">
      <x:c r="A3785" s="89" t="n">
        <x:v>3783</x:v>
      </x:c>
      <x:c r="B3785" s="80" t="n">
        <x:v>-1.0483843445208207</x:v>
      </x:c>
      <x:c r="C3785" s="84" t="n">
        <x:f>SQRT('Resumen'!$B$5^3/3)*B3785</x:f>
        <x:v>-0.6052849835232852</x:v>
      </x:c>
      <x:c r="D3785" s="84" t="n">
        <x:f>C3785^2-'Resumen'!$B$5^3/3</x:f>
        <x:v>0.033036577945450285</x:v>
      </x:c>
      <x:c r="E3785" s="85" t="n">
        <x:f>D3785+'Resumen'!$B$5^3/3</x:f>
        <x:v>0.3663699112787836</x:v>
      </x:c>
    </x:row>
    <x:row r="3786">
      <x:c r="A3786" s="89" t="n">
        <x:v>3784</x:v>
      </x:c>
      <x:c r="B3786" s="80" t="n">
        <x:v>-0.121206894866873</x:v>
      </x:c>
      <x:c r="C3786" s="84" t="n">
        <x:f>SQRT('Resumen'!$B$5^3/3)*B3786</x:f>
        <x:v>-0.06997883337902779</x:v>
      </x:c>
      <x:c r="D3786" s="84" t="n">
        <x:f>C3786^2-'Resumen'!$B$5^3/3</x:f>
        <x:v>-0.3284362962122436</x:v>
      </x:c>
      <x:c r="E3786" s="85" t="n">
        <x:f>D3786+'Resumen'!$B$5^3/3</x:f>
        <x:v>0.004897037121089742</x:v>
      </x:c>
    </x:row>
    <x:row r="3787">
      <x:c r="A3787" s="89" t="n">
        <x:v>3785</x:v>
      </x:c>
      <x:c r="B3787" s="80" t="n">
        <x:v>1.350509649293906</x:v>
      </x:c>
      <x:c r="C3787" s="84" t="n">
        <x:f>SQRT('Resumen'!$B$5^3/3)*B3787</x:f>
        <x:v>0.7797171095630236</x:v>
      </x:c>
      <x:c r="D3787" s="84" t="n">
        <x:f>C3787^2-'Resumen'!$B$5^3/3</x:f>
        <x:v>0.27462543761198294</x:v>
      </x:c>
      <x:c r="E3787" s="85" t="n">
        <x:f>D3787+'Resumen'!$B$5^3/3</x:f>
        <x:v>0.6079587709453163</x:v>
      </x:c>
    </x:row>
    <x:row r="3788">
      <x:c r="A3788" s="89" t="n">
        <x:v>3786</x:v>
      </x:c>
      <x:c r="B3788" s="80" t="n">
        <x:v>-0.1631971953508981</x:v>
      </x:c>
      <x:c r="C3788" s="84" t="n">
        <x:f>SQRT('Resumen'!$B$5^3/3)*B3788</x:f>
        <x:v>-0.09422194466683295</x:v>
      </x:c>
      <x:c r="D3788" s="84" t="n">
        <x:f>C3788^2-'Resumen'!$B$5^3/3</x:f>
        <x:v>-0.32445555847653357</x:v>
      </x:c>
      <x:c r="E3788" s="85" t="n">
        <x:f>D3788+'Resumen'!$B$5^3/3</x:f>
        <x:v>0.008877774856799747</x:v>
      </x:c>
    </x:row>
    <x:row r="3789">
      <x:c r="A3789" s="89" t="n">
        <x:v>3787</x:v>
      </x:c>
      <x:c r="B3789" s="80" t="n">
        <x:v>-0.5002881311117363</x:v>
      </x:c>
      <x:c r="C3789" s="84" t="n">
        <x:f>SQRT('Resumen'!$B$5^3/3)*B3789</x:f>
        <x:v>-0.28884148716973573</x:v>
      </x:c>
      <x:c r="D3789" s="84" t="n">
        <x:f>C3789^2-'Resumen'!$B$5^3/3</x:f>
        <x:v>-0.24990392862290872</x:v>
      </x:c>
      <x:c r="E3789" s="85" t="n">
        <x:f>D3789+'Resumen'!$B$5^3/3</x:f>
        <x:v>0.08342940471042459</x:v>
      </x:c>
    </x:row>
    <x:row r="3790">
      <x:c r="A3790" s="89" t="n">
        <x:v>3788</x:v>
      </x:c>
      <x:c r="B3790" s="80" t="n">
        <x:v>-0.40470552364503587</x:v>
      </x:c>
      <x:c r="C3790" s="84" t="n">
        <x:f>SQRT('Resumen'!$B$5^3/3)*B3790</x:f>
        <x:v>-0.2336568430189899</x:v>
      </x:c>
      <x:c r="D3790" s="84" t="n">
        <x:f>C3790^2-'Resumen'!$B$5^3/3</x:f>
        <x:v>-0.2787378130437324</x:v>
      </x:c>
      <x:c r="E3790" s="85" t="n">
        <x:f>D3790+'Resumen'!$B$5^3/3</x:f>
        <x:v>0.05459552028960091</x:v>
      </x:c>
    </x:row>
    <x:row r="3791">
      <x:c r="A3791" s="89" t="n">
        <x:v>3789</x:v>
      </x:c>
      <x:c r="B3791" s="80" t="n">
        <x:v>1.0021267430676983</x:v>
      </x:c>
      <x:c r="C3791" s="84" t="n">
        <x:f>SQRT('Resumen'!$B$5^3/3)*B3791</x:f>
        <x:v>0.5785781448722586</x:v>
      </x:c>
      <x:c r="D3791" s="84" t="n">
        <x:f>C3791^2-'Resumen'!$B$5^3/3</x:f>
        <x:v>0.0014193363904909106</x:v>
      </x:c>
      <x:c r="E3791" s="85" t="n">
        <x:f>D3791+'Resumen'!$B$5^3/3</x:f>
        <x:v>0.3347526697238242</x:v>
      </x:c>
    </x:row>
    <x:row r="3792">
      <x:c r="A3792" s="89" t="n">
        <x:v>3790</x:v>
      </x:c>
      <x:c r="B3792" s="80" t="n">
        <x:v>-1.6803270256711962</x:v>
      </x:c>
      <x:c r="C3792" s="84" t="n">
        <x:f>SQRT('Resumen'!$B$5^3/3)*B3792</x:f>
        <x:v>-0.9701372605978683</x:v>
      </x:c>
      <x:c r="D3792" s="84" t="n">
        <x:f>C3792^2-'Resumen'!$B$5^3/3</x:f>
        <x:v>0.607832971067003</x:v>
      </x:c>
      <x:c r="E3792" s="85" t="n">
        <x:f>D3792+'Resumen'!$B$5^3/3</x:f>
        <x:v>0.9411663044003362</x:v>
      </x:c>
    </x:row>
    <x:row r="3793">
      <x:c r="A3793" s="89" t="n">
        <x:v>3791</x:v>
      </x:c>
      <x:c r="B3793" s="80" t="n">
        <x:v>-1.2654308395327332</x:v>
      </x:c>
      <x:c r="C3793" s="84" t="n">
        <x:f>SQRT('Resumen'!$B$5^3/3)*B3793</x:f>
        <x:v>-0.7305968358450776</x:v>
      </x:c>
      <x:c r="D3793" s="84" t="n">
        <x:f>C3793^2-'Resumen'!$B$5^3/3</x:f>
        <x:v>0.20043840321350598</x:v>
      </x:c>
      <x:c r="E3793" s="85" t="n">
        <x:f>D3793+'Resumen'!$B$5^3/3</x:f>
        <x:v>0.5337717365468393</x:v>
      </x:c>
    </x:row>
    <x:row r="3794">
      <x:c r="A3794" s="89" t="n">
        <x:v>3792</x:v>
      </x:c>
      <x:c r="B3794" s="80" t="n">
        <x:v>-0.9013200674368059</x:v>
      </x:c>
      <x:c r="C3794" s="84" t="n">
        <x:f>SQRT('Resumen'!$B$5^3/3)*B3794</x:f>
        <x:v>-0.5203773835606516</x:v>
      </x:c>
      <x:c r="D3794" s="84" t="n">
        <x:f>C3794^2-'Resumen'!$B$5^3/3</x:f>
        <x:v>-0.06254071201190387</x:v>
      </x:c>
      <x:c r="E3794" s="85" t="n">
        <x:f>D3794+'Resumen'!$B$5^3/3</x:f>
        <x:v>0.27079262132142945</x:v>
      </x:c>
    </x:row>
    <x:row r="3795">
      <x:c r="A3795" s="89" t="n">
        <x:v>3793</x:v>
      </x:c>
      <x:c r="B3795" s="80" t="n">
        <x:v>-1.749356942238942</x:v>
      </x:c>
      <x:c r="C3795" s="84" t="n">
        <x:f>SQRT('Resumen'!$B$5^3/3)*B3795</x:f>
        <x:v>-1.0099917015103936</x:v>
      </x:c>
      <x:c r="D3795" s="84" t="n">
        <x:f>C3795^2-'Resumen'!$B$5^3/3</x:f>
        <x:v>0.6867499037865268</x:v>
      </x:c>
      <x:c r="E3795" s="85" t="n">
        <x:f>D3795+'Resumen'!$B$5^3/3</x:f>
        <x:v>1.02008323711986</x:v>
      </x:c>
    </x:row>
    <x:row r="3796">
      <x:c r="A3796" s="89" t="n">
        <x:v>3794</x:v>
      </x:c>
      <x:c r="B3796" s="80" t="n">
        <x:v>-0.008766987538089101</x:v>
      </x:c>
      <x:c r="C3796" s="84" t="n">
        <x:f>SQRT('Resumen'!$B$5^3/3)*B3796</x:f>
        <x:v>-0.005061622615097837</x:v>
      </x:c>
      <x:c r="D3796" s="84" t="n">
        <x:f>C3796^2-'Resumen'!$B$5^3/3</x:f>
        <x:v>-0.33330771330983566</x:v>
      </x:c>
      <x:c r="E3796" s="85" t="n">
        <x:f>D3796+'Resumen'!$B$5^3/3</x:f>
        <x:v>0.000025620023497652245</x:v>
      </x:c>
    </x:row>
    <x:row r="3797">
      <x:c r="A3797" s="89" t="n">
        <x:v>3795</x:v>
      </x:c>
      <x:c r="B3797" s="80" t="n">
        <x:v>0.6431926549736726</x:v>
      </x:c>
      <x:c r="C3797" s="84" t="n">
        <x:f>SQRT('Resumen'!$B$5^3/3)*B3797</x:f>
        <x:v>0.37134745248983997</x:v>
      </x:c>
      <x:c r="D3797" s="84" t="n">
        <x:f>C3797^2-'Resumen'!$B$5^3/3</x:f>
        <x:v>-0.19543440286263936</x:v>
      </x:c>
      <x:c r="E3797" s="85" t="n">
        <x:f>D3797+'Resumen'!$B$5^3/3</x:f>
        <x:v>0.13789893047069396</x:v>
      </x:c>
    </x:row>
    <x:row r="3798">
      <x:c r="A3798" s="89" t="n">
        <x:v>3796</x:v>
      </x:c>
      <x:c r="B3798" s="80" t="n">
        <x:v>-0.3290119241900946</x:v>
      </x:c>
      <x:c r="C3798" s="84" t="n">
        <x:f>SQRT('Resumen'!$B$5^3/3)*B3798</x:f>
        <x:v>-0.18995512299774786</x:v>
      </x:c>
      <x:c r="D3798" s="84" t="n">
        <x:f>C3798^2-'Resumen'!$B$5^3/3</x:f>
        <x:v>-0.2972503845802438</x:v>
      </x:c>
      <x:c r="E3798" s="85" t="n">
        <x:f>D3798+'Resumen'!$B$5^3/3</x:f>
        <x:v>0.03608294875308954</x:v>
      </x:c>
    </x:row>
    <x:row r="3799">
      <x:c r="A3799" s="89" t="n">
        <x:v>3797</x:v>
      </x:c>
      <x:c r="B3799" s="80" t="n">
        <x:v>-0.934460182451955</x:v>
      </x:c>
      <x:c r="C3799" s="84" t="n">
        <x:f>SQRT('Resumen'!$B$5^3/3)*B3799</x:f>
        <x:v>-0.5395108378856229</x:v>
      </x:c>
      <x:c r="D3799" s="84" t="n">
        <x:f>C3799^2-'Resumen'!$B$5^3/3</x:f>
        <x:v>-0.04226138913728639</x:v>
      </x:c>
      <x:c r="E3799" s="85" t="n">
        <x:f>D3799+'Resumen'!$B$5^3/3</x:f>
        <x:v>0.29107194419604693</x:v>
      </x:c>
    </x:row>
    <x:row r="3800">
      <x:c r="A3800" s="89" t="n">
        <x:v>3798</x:v>
      </x:c>
      <x:c r="B3800" s="80" t="n">
        <x:v>-0.9696785418953229</x:v>
      </x:c>
      <x:c r="C3800" s="84" t="n">
        <x:f>SQRT('Resumen'!$B$5^3/3)*B3800</x:f>
        <x:v>-0.5598441671906684</x:v>
      </x:c>
      <x:c r="D3800" s="84" t="n">
        <x:f>C3800^2-'Resumen'!$B$5^3/3</x:f>
        <x:v>-0.0199078417959202</x:v>
      </x:c>
      <x:c r="E3800" s="85" t="n">
        <x:f>D3800+'Resumen'!$B$5^3/3</x:f>
        <x:v>0.3134254915374131</x:v>
      </x:c>
    </x:row>
    <x:row r="3801">
      <x:c r="A3801" s="89" t="n">
        <x:v>3799</x:v>
      </x:c>
      <x:c r="B3801" s="80" t="n">
        <x:v>-0.421876715668974</x:v>
      </x:c>
      <x:c r="C3801" s="84" t="n">
        <x:f>SQRT('Resumen'!$B$5^3/3)*B3801</x:f>
        <x:v>-0.24357063535631734</x:v>
      </x:c>
      <x:c r="D3801" s="84" t="n">
        <x:f>C3801^2-'Resumen'!$B$5^3/3</x:f>
        <x:v>-0.2740066789254532</x:v>
      </x:c>
      <x:c r="E3801" s="85" t="n">
        <x:f>D3801+'Resumen'!$B$5^3/3</x:f>
        <x:v>0.0593266544078801</x:v>
      </x:c>
    </x:row>
    <x:row r="3802">
      <x:c r="A3802" s="89" t="n">
        <x:v>3800</x:v>
      </x:c>
      <x:c r="B3802" s="80" t="n">
        <x:v>0.3619169470588945</x:v>
      </x:c>
      <x:c r="C3802" s="84" t="n">
        <x:f>SQRT('Resumen'!$B$5^3/3)*B3802</x:f>
        <x:v>0.20895284680874027</x:v>
      </x:c>
      <x:c r="D3802" s="84" t="n">
        <x:f>C3802^2-'Resumen'!$B$5^3/3</x:f>
        <x:v>-0.2896720411438564</x:v>
      </x:c>
      <x:c r="E3802" s="85" t="n">
        <x:f>D3802+'Resumen'!$B$5^3/3</x:f>
        <x:v>0.0436612921894769</x:v>
      </x:c>
    </x:row>
    <x:row r="3803">
      <x:c r="A3803" s="89" t="n">
        <x:v>3801</x:v>
      </x:c>
      <x:c r="B3803" s="80" t="n">
        <x:v>-0.5050670814378682</x:v>
      </x:c>
      <x:c r="C3803" s="84" t="n">
        <x:f>SQRT('Resumen'!$B$5^3/3)*B3803</x:f>
        <x:v>-0.2916006154269718</x:v>
      </x:c>
      <x:c r="D3803" s="84" t="n">
        <x:f>C3803^2-'Resumen'!$B$5^3/3</x:f>
        <x:v>-0.2483024144159446</x:v>
      </x:c>
      <x:c r="E3803" s="85" t="n">
        <x:f>D3803+'Resumen'!$B$5^3/3</x:f>
        <x:v>0.0850309189173887</x:v>
      </x:c>
    </x:row>
    <x:row r="3804">
      <x:c r="A3804" s="89" t="n">
        <x:v>3802</x:v>
      </x:c>
      <x:c r="B3804" s="80" t="n">
        <x:v>-0.6551914032910917</x:v>
      </x:c>
      <x:c r="C3804" s="84" t="n">
        <x:f>SQRT('Resumen'!$B$5^3/3)*B3804</x:f>
        <x:v>-0.3782749330608404</x:v>
      </x:c>
      <x:c r="D3804" s="84" t="n">
        <x:f>C3804^2-'Resumen'!$B$5^3/3</x:f>
        <x:v>-0.19024140835115</x:v>
      </x:c>
      <x:c r="E3804" s="85" t="n">
        <x:f>D3804+'Resumen'!$B$5^3/3</x:f>
        <x:v>0.14309192498218332</x:v>
      </x:c>
    </x:row>
    <x:row r="3805">
      <x:c r="A3805" s="89" t="n">
        <x:v>3803</x:v>
      </x:c>
      <x:c r="B3805" s="80" t="n">
        <x:v>0.05857095331893496</x:v>
      </x:c>
      <x:c r="C3805" s="84" t="n">
        <x:f>SQRT('Resumen'!$B$5^3/3)*B3805</x:f>
        <x:v>0.0338159556653801</x:v>
      </x:c>
      <x:c r="D3805" s="84" t="n">
        <x:f>C3805^2-'Resumen'!$B$5^3/3</x:f>
        <x:v>-0.33218981447577034</x:v>
      </x:c>
      <x:c r="E3805" s="85" t="n">
        <x:f>D3805+'Resumen'!$B$5^3/3</x:f>
        <x:v>0.0011435188575629751</x:v>
      </x:c>
    </x:row>
    <x:row r="3806">
      <x:c r="A3806" s="89" t="n">
        <x:v>3804</x:v>
      </x:c>
      <x:c r="B3806" s="80" t="n">
        <x:v>1.1008462044730274</x:v>
      </x:c>
      <x:c r="C3806" s="84" t="n">
        <x:f>SQRT('Resumen'!$B$5^3/3)*B3806</x:f>
        <x:v>0.6355738524888801</x:v>
      </x:c>
      <x:c r="D3806" s="84" t="n">
        <x:f>C3806^2-'Resumen'!$B$5^3/3</x:f>
        <x:v>0.07062078863422339</x:v>
      </x:c>
      <x:c r="E3806" s="85" t="n">
        <x:f>D3806+'Resumen'!$B$5^3/3</x:f>
        <x:v>0.4039541219675567</x:v>
      </x:c>
    </x:row>
    <x:row r="3807">
      <x:c r="A3807" s="89" t="n">
        <x:v>3805</x:v>
      </x:c>
      <x:c r="B3807" s="80" t="n">
        <x:v>-0.06482678956070469</x:v>
      </x:c>
      <x:c r="C3807" s="84" t="n">
        <x:f>SQRT('Resumen'!$B$5^3/3)*B3807</x:f>
        <x:v>-0.03742776440357207</x:v>
      </x:c>
      <x:c r="D3807" s="84" t="n">
        <x:f>C3807^2-'Resumen'!$B$5^3/3</x:f>
        <x:v>-0.331932495785084</x:v>
      </x:c>
      <x:c r="E3807" s="85" t="n">
        <x:f>D3807+'Resumen'!$B$5^3/3</x:f>
        <x:v>0.001400837548249323</x:v>
      </x:c>
    </x:row>
    <x:row r="3808">
      <x:c r="A3808" s="89" t="n">
        <x:v>3806</x:v>
      </x:c>
      <x:c r="B3808" s="80" t="n">
        <x:v>0.8048458293600972</x:v>
      </x:c>
      <x:c r="C3808" s="84" t="n">
        <x:f>SQRT('Resumen'!$B$5^3/3)*B3808</x:f>
        <x:v>0.4646779562371997</x:v>
      </x:c>
      <x:c r="D3808" s="84" t="n">
        <x:f>C3808^2-'Resumen'!$B$5^3/3</x:f>
        <x:v>-0.11740773032055243</x:v>
      </x:c>
      <x:c r="E3808" s="85" t="n">
        <x:f>D3808+'Resumen'!$B$5^3/3</x:f>
        <x:v>0.21592560301278088</x:v>
      </x:c>
    </x:row>
    <x:row r="3809">
      <x:c r="A3809" s="89" t="n">
        <x:v>3807</x:v>
      </x:c>
      <x:c r="B3809" s="80" t="n">
        <x:v>1.0155924167003267</x:v>
      </x:c>
      <x:c r="C3809" s="84" t="n">
        <x:f>SQRT('Resumen'!$B$5^3/3)*B3809</x:f>
        <x:v>0.5863525551688762</x:v>
      </x:c>
      <x:c r="D3809" s="84" t="n">
        <x:f>C3809^2-'Resumen'!$B$5^3/3</x:f>
        <x:v>0.010475985619736672</x:v>
      </x:c>
      <x:c r="E3809" s="85" t="n">
        <x:f>D3809+'Resumen'!$B$5^3/3</x:f>
        <x:v>0.34380931895307</x:v>
      </x:c>
    </x:row>
    <x:row r="3810">
      <x:c r="A3810" s="89" t="n">
        <x:v>3808</x:v>
      </x:c>
      <x:c r="B3810" s="80" t="n">
        <x:v>0.2783407689991589</x:v>
      </x:c>
      <x:c r="C3810" s="84" t="n">
        <x:f>SQRT('Resumen'!$B$5^3/3)*B3810</x:f>
        <x:v>0.1607001179081118</x:v>
      </x:c>
      <x:c r="D3810" s="84" t="n">
        <x:f>C3810^2-'Resumen'!$B$5^3/3</x:f>
        <x:v>-0.3075088054376523</x:v>
      </x:c>
      <x:c r="E3810" s="85" t="n">
        <x:f>D3810+'Resumen'!$B$5^3/3</x:f>
        <x:v>0.025824527895681015</x:v>
      </x:c>
    </x:row>
    <x:row r="3811">
      <x:c r="A3811" s="89" t="n">
        <x:v>3809</x:v>
      </x:c>
      <x:c r="B3811" s="80" t="n">
        <x:v>0.6432679157860843</x:v>
      </x:c>
      <x:c r="C3811" s="84" t="n">
        <x:f>SQRT('Resumen'!$B$5^3/3)*B3811</x:f>
        <x:v>0.37139090434014527</x:v>
      </x:c>
      <x:c r="D3811" s="84" t="n">
        <x:f>C3811^2-'Resumen'!$B$5^3/3</x:f>
        <x:v>-0.19540212950674238</x:v>
      </x:c>
      <x:c r="E3811" s="85" t="n">
        <x:f>D3811+'Resumen'!$B$5^3/3</x:f>
        <x:v>0.13793120382659094</x:v>
      </x:c>
    </x:row>
    <x:row r="3812">
      <x:c r="A3812" s="89" t="n">
        <x:v>3810</x:v>
      </x:c>
      <x:c r="B3812" s="80" t="n">
        <x:v>0.1616337116484013</x:v>
      </x:c>
      <x:c r="C3812" s="84" t="n">
        <x:f>SQRT('Resumen'!$B$5^3/3)*B3812</x:f>
        <x:v>0.09331926693032283</x:v>
      </x:c>
      <x:c r="D3812" s="84" t="n">
        <x:f>C3812^2-'Resumen'!$B$5^3/3</x:f>
        <x:v>-0.32462484775292044</x:v>
      </x:c>
      <x:c r="E3812" s="85" t="n">
        <x:f>D3812+'Resumen'!$B$5^3/3</x:f>
        <x:v>0.008708485580412872</x:v>
      </x:c>
    </x:row>
    <x:row r="3813">
      <x:c r="A3813" s="89" t="n">
        <x:v>3811</x:v>
      </x:c>
      <x:c r="B3813" s="80" t="n">
        <x:v>1.7249408305017258</x:v>
      </x:c>
      <x:c r="C3813" s="84" t="n">
        <x:f>SQRT('Resumen'!$B$5^3/3)*B3813</x:f>
        <x:v>0.9958950528263479</x:v>
      </x:c>
      <x:c r="D3813" s="84" t="n">
        <x:f>C3813^2-'Resumen'!$B$5^3/3</x:f>
        <x:v>0.6584736229106611</x:v>
      </x:c>
      <x:c r="E3813" s="85" t="n">
        <x:f>D3813+'Resumen'!$B$5^3/3</x:f>
        <x:v>0.9918069562439944</x:v>
      </x:c>
    </x:row>
    <x:row r="3814">
      <x:c r="A3814" s="89" t="n">
        <x:v>3812</x:v>
      </x:c>
      <x:c r="B3814" s="80" t="n">
        <x:v>1.2956013578529064</x:v>
      </x:c>
      <x:c r="C3814" s="84" t="n">
        <x:f>SQRT('Resumen'!$B$5^3/3)*B3814</x:f>
        <x:v>0.7480157927188201</x:v>
      </x:c>
      <x:c r="D3814" s="84" t="n">
        <x:f>C3814^2-'Resumen'!$B$5^3/3</x:f>
        <x:v>0.22619429282343156</x:v>
      </x:c>
      <x:c r="E3814" s="85" t="n">
        <x:f>D3814+'Resumen'!$B$5^3/3</x:f>
        <x:v>0.5595276261567649</x:v>
      </x:c>
    </x:row>
    <x:row r="3815">
      <x:c r="A3815" s="89" t="n">
        <x:v>3813</x:v>
      </x:c>
      <x:c r="B3815" s="80" t="n">
        <x:v>-2.386593528903064</x:v>
      </x:c>
      <x:c r="C3815" s="84" t="n">
        <x:f>SQRT('Resumen'!$B$5^3/3)*B3815</x:f>
        <x:v>-1.3779004163584028</x:v>
      </x:c>
      <x:c r="D3815" s="84" t="n">
        <x:f>C3815^2-'Resumen'!$B$5^3/3</x:f>
        <x:v>1.5652762240673264</x:v>
      </x:c>
      <x:c r="E3815" s="85" t="n">
        <x:f>D3815+'Resumen'!$B$5^3/3</x:f>
        <x:v>1.8986095574006596</x:v>
      </x:c>
    </x:row>
    <x:row r="3816">
      <x:c r="A3816" s="89" t="n">
        <x:v>3814</x:v>
      </x:c>
      <x:c r="B3816" s="80" t="n">
        <x:v>-0.4955087923934214</x:v>
      </x:c>
      <x:c r="C3816" s="84" t="n">
        <x:f>SQRT('Resumen'!$B$5^3/3)*B3816</x:f>
        <x:v>-0.2860821346741682</x:v>
      </x:c>
      <x:c r="D3816" s="84" t="n">
        <x:f>C3816^2-'Resumen'!$B$5^3/3</x:f>
        <x:v>-0.2514903455536044</x:v>
      </x:c>
      <x:c r="E3816" s="85" t="n">
        <x:f>D3816+'Resumen'!$B$5^3/3</x:f>
        <x:v>0.08184298777972893</x:v>
      </x:c>
    </x:row>
    <x:row r="3817">
      <x:c r="A3817" s="89" t="n">
        <x:v>3815</x:v>
      </x:c>
      <x:c r="B3817" s="80" t="n">
        <x:v>-0.7736594787200695</x:v>
      </x:c>
      <x:c r="C3817" s="84" t="n">
        <x:f>SQRT('Resumen'!$B$5^3/3)*B3817</x:f>
        <x:v>-0.4466725083001376</x:v>
      </x:c>
      <x:c r="D3817" s="84" t="n">
        <x:f>C3817^2-'Resumen'!$B$5^3/3</x:f>
        <x:v>-0.13381700366219682</x:v>
      </x:c>
      <x:c r="E3817" s="85" t="n">
        <x:f>D3817+'Resumen'!$B$5^3/3</x:f>
        <x:v>0.1995163296711365</x:v>
      </x:c>
    </x:row>
    <x:row r="3818">
      <x:c r="A3818" s="89" t="n">
        <x:v>3816</x:v>
      </x:c>
      <x:c r="B3818" s="80" t="n">
        <x:v>-0.9110971120714452</x:v>
      </x:c>
      <x:c r="C3818" s="84" t="n">
        <x:f>SQRT('Resumen'!$B$5^3/3)*B3818</x:f>
        <x:v>-0.5260221629123395</x:v>
      </x:c>
      <x:c r="D3818" s="84" t="n">
        <x:f>C3818^2-'Resumen'!$B$5^3/3</x:f>
        <x:v>-0.0566340174583575</x:v>
      </x:c>
      <x:c r="E3818" s="85" t="n">
        <x:f>D3818+'Resumen'!$B$5^3/3</x:f>
        <x:v>0.2766993158749758</x:v>
      </x:c>
    </x:row>
    <x:row r="3819">
      <x:c r="A3819" s="89" t="n">
        <x:v>3817</x:v>
      </x:c>
      <x:c r="B3819" s="80" t="n">
        <x:v>-2.249559366760138</x:v>
      </x:c>
      <x:c r="C3819" s="84" t="n">
        <x:f>SQRT('Resumen'!$B$5^3/3)*B3819</x:f>
        <x:v>-1.2987837059570095</x:v>
      </x:c>
      <x:c r="D3819" s="84" t="n">
        <x:f>C3819^2-'Resumen'!$B$5^3/3</x:f>
        <x:v>1.3535057815260905</x:v>
      </x:c>
      <x:c r="E3819" s="85" t="n">
        <x:f>D3819+'Resumen'!$B$5^3/3</x:f>
        <x:v>1.6868391148594237</x:v>
      </x:c>
    </x:row>
    <x:row r="3820">
      <x:c r="A3820" s="89" t="n">
        <x:v>3818</x:v>
      </x:c>
      <x:c r="B3820" s="80" t="n">
        <x:v>-0.6856296032723337</x:v>
      </x:c>
      <x:c r="C3820" s="84" t="n">
        <x:f>SQRT('Resumen'!$B$5^3/3)*B3820</x:f>
        <x:v>-0.39584843601365816</x:v>
      </x:c>
      <x:c r="D3820" s="84" t="n">
        <x:f>C3820^2-'Resumen'!$B$5^3/3</x:f>
        <x:v>-0.1766373490388741</x:v>
      </x:c>
      <x:c r="E3820" s="85" t="n">
        <x:f>D3820+'Resumen'!$B$5^3/3</x:f>
        <x:v>0.15669598429445922</x:v>
      </x:c>
    </x:row>
    <x:row r="3821">
      <x:c r="A3821" s="89" t="n">
        <x:v>3819</x:v>
      </x:c>
      <x:c r="B3821" s="80" t="n">
        <x:v>0.3281044715038332</x:v>
      </x:c>
      <x:c r="C3821" s="84" t="n">
        <x:f>SQRT('Resumen'!$B$5^3/3)*B3821</x:f>
        <x:v>0.189431204945058</x:v>
      </x:c>
      <x:c r="D3821" s="84" t="n">
        <x:f>C3821^2-'Resumen'!$B$5^3/3</x:f>
        <x:v>-0.29744915192639676</x:v>
      </x:c>
      <x:c r="E3821" s="85" t="n">
        <x:f>D3821+'Resumen'!$B$5^3/3</x:f>
        <x:v>0.035884181406936555</x:v>
      </x:c>
    </x:row>
    <x:row r="3822">
      <x:c r="A3822" s="89" t="n">
        <x:v>3820</x:v>
      </x:c>
      <x:c r="B3822" s="80" t="n">
        <x:v>-0.548568817206989</x:v>
      </x:c>
      <x:c r="C3822" s="84" t="n">
        <x:f>SQRT('Resumen'!$B$5^3/3)*B3822</x:f>
        <x:v>-0.3167163542834897</x:v>
      </x:c>
      <x:c r="D3822" s="84" t="n">
        <x:f>C3822^2-'Resumen'!$B$5^3/3</x:f>
        <x:v>-0.23302408426270835</x:v>
      </x:c>
      <x:c r="E3822" s="85" t="n">
        <x:f>D3822+'Resumen'!$B$5^3/3</x:f>
        <x:v>0.10030924907062497</x:v>
      </x:c>
    </x:row>
    <x:row r="3823">
      <x:c r="A3823" s="89" t="n">
        <x:v>3821</x:v>
      </x:c>
      <x:c r="B3823" s="80" t="n">
        <x:v>-0.021393750830976204</x:v>
      </x:c>
      <x:c r="C3823" s="84" t="n">
        <x:f>SQRT('Resumen'!$B$5^3/3)*B3823</x:f>
        <x:v>-0.01235168780123989</x:v>
      </x:c>
      <x:c r="D3823" s="84" t="n">
        <x:f>C3823^2-'Resumen'!$B$5^3/3</x:f>
        <x:v>-0.333180769141794</x:v>
      </x:c>
      <x:c r="E3823" s="85" t="n">
        <x:f>D3823+'Resumen'!$B$5^3/3</x:f>
        <x:v>0.00015256419153930612</x:v>
      </x:c>
    </x:row>
    <x:row r="3824">
      <x:c r="A3824" s="89" t="n">
        <x:v>3822</x:v>
      </x:c>
      <x:c r="B3824" s="80" t="n">
        <x:v>0.04374593754355968</x:v>
      </x:c>
      <x:c r="C3824" s="84" t="n">
        <x:f>SQRT('Resumen'!$B$5^3/3)*B3824</x:f>
        <x:v>0.025256728816726737</x:v>
      </x:c>
      <x:c r="D3824" s="84" t="n">
        <x:f>C3824^2-'Resumen'!$B$5^3/3</x:f>
        <x:v>-0.3326954309828116</x:v>
      </x:c>
      <x:c r="E3824" s="85" t="n">
        <x:f>D3824+'Resumen'!$B$5^3/3</x:f>
        <x:v>0.0006379023505216908</x:v>
      </x:c>
    </x:row>
    <x:row r="3825">
      <x:c r="A3825" s="89" t="n">
        <x:v>3823</x:v>
      </x:c>
      <x:c r="B3825" s="80" t="n">
        <x:v>-1.4139174014150573</x:v>
      </x:c>
      <x:c r="C3825" s="84" t="n">
        <x:f>SQRT('Resumen'!$B$5^3/3)*B3825</x:f>
        <x:v>-0.8163255923188795</x:v>
      </x:c>
      <x:c r="D3825" s="84" t="n">
        <x:f>C3825^2-'Resumen'!$B$5^3/3</x:f>
        <x:v>0.3330541393414361</x:v>
      </x:c>
      <x:c r="E3825" s="85" t="n">
        <x:f>D3825+'Resumen'!$B$5^3/3</x:f>
        <x:v>0.6663874726747694</x:v>
      </x:c>
    </x:row>
    <x:row r="3826">
      <x:c r="A3826" s="89" t="n">
        <x:v>3824</x:v>
      </x:c>
      <x:c r="B3826" s="80" t="n">
        <x:v>0.870716463039997</x:v>
      </x:c>
      <x:c r="C3826" s="84" t="n">
        <x:f>SQRT('Resumen'!$B$5^3/3)*B3826</x:f>
        <x:v>0.502708384323981</x:v>
      </x:c>
      <x:c r="D3826" s="84" t="n">
        <x:f>C3826^2-'Resumen'!$B$5^3/3</x:f>
        <x:v>-0.0806176136637059</x:v>
      </x:c>
      <x:c r="E3826" s="85" t="n">
        <x:f>D3826+'Resumen'!$B$5^3/3</x:f>
        <x:v>0.2527157196696274</x:v>
      </x:c>
    </x:row>
    <x:row r="3827">
      <x:c r="A3827" s="89" t="n">
        <x:v>3825</x:v>
      </x:c>
      <x:c r="B3827" s="80" t="n">
        <x:v>-1.7527072620961415</x:v>
      </x:c>
      <x:c r="C3827" s="84" t="n">
        <x:f>SQRT('Resumen'!$B$5^3/3)*B3827</x:f>
        <x:v>-1.0119260095818192</x:v>
      </x:c>
      <x:c r="D3827" s="84" t="n">
        <x:f>C3827^2-'Resumen'!$B$5^3/3</x:f>
        <x:v>0.6906609155348509</x:v>
      </x:c>
      <x:c r="E3827" s="85" t="n">
        <x:f>D3827+'Resumen'!$B$5^3/3</x:f>
        <x:v>1.0239942488681841</x:v>
      </x:c>
    </x:row>
    <x:row r="3828">
      <x:c r="A3828" s="89" t="n">
        <x:v>3826</x:v>
      </x:c>
      <x:c r="B3828" s="80" t="n">
        <x:v>1.2818093853983796</x:v>
      </x:c>
      <x:c r="C3828" s="84" t="n">
        <x:f>SQRT('Resumen'!$B$5^3/3)*B3828</x:f>
        <x:v>0.7400529937095431</x:v>
      </x:c>
      <x:c r="D3828" s="84" t="n">
        <x:f>C3828^2-'Resumen'!$B$5^3/3</x:f>
        <x:v>0.21434510016512381</x:v>
      </x:c>
      <x:c r="E3828" s="85" t="n">
        <x:f>D3828+'Resumen'!$B$5^3/3</x:f>
        <x:v>0.5476784334984571</x:v>
      </x:c>
    </x:row>
    <x:row r="3829">
      <x:c r="A3829" s="89" t="n">
        <x:v>3827</x:v>
      </x:c>
      <x:c r="B3829" s="80" t="n">
        <x:v>1.3610436731526734</x:v>
      </x:c>
      <x:c r="C3829" s="84" t="n">
        <x:f>SQRT('Resumen'!$B$5^3/3)*B3829</x:f>
        <x:v>0.7857989310735329</x:v>
      </x:c>
      <x:c r="D3829" s="84" t="n">
        <x:f>C3829^2-'Resumen'!$B$5^3/3</x:f>
        <x:v>0.2841466267429737</x:v>
      </x:c>
      <x:c r="E3829" s="85" t="n">
        <x:f>D3829+'Resumen'!$B$5^3/3</x:f>
        <x:v>0.617479960076307</x:v>
      </x:c>
    </x:row>
    <x:row r="3830">
      <x:c r="A3830" s="89" t="n">
        <x:v>3828</x:v>
      </x:c>
      <x:c r="B3830" s="80" t="n">
        <x:v>-0.05057944863571364</x:v>
      </x:c>
      <x:c r="C3830" s="84" t="n">
        <x:f>SQRT('Resumen'!$B$5^3/3)*B3830</x:f>
        <x:v>-0.02920205828529212</x:v>
      </x:c>
      <x:c r="D3830" s="84" t="n">
        <x:f>C3830^2-'Resumen'!$B$5^3/3</x:f>
        <x:v>-0.3324805731252357</x:v>
      </x:c>
      <x:c r="E3830" s="85" t="n">
        <x:f>D3830+'Resumen'!$B$5^3/3</x:f>
        <x:v>0.0008527602080976027</x:v>
      </x:c>
    </x:row>
    <x:row r="3831">
      <x:c r="A3831" s="89" t="n">
        <x:v>3829</x:v>
      </x:c>
      <x:c r="B3831" s="80" t="n">
        <x:v>0.9515780642897497</x:v>
      </x:c>
      <x:c r="C3831" s="84" t="n">
        <x:f>SQRT('Resumen'!$B$5^3/3)*B3831</x:f>
        <x:v>0.54939385157263</x:v>
      </x:c>
      <x:c r="D3831" s="84" t="n">
        <x:f>C3831^2-'Resumen'!$B$5^3/3</x:f>
        <x:v>-0.031499729187524306</x:v>
      </x:c>
      <x:c r="E3831" s="85" t="n">
        <x:f>D3831+'Resumen'!$B$5^3/3</x:f>
        <x:v>0.301833604145809</x:v>
      </x:c>
    </x:row>
    <x:row r="3832">
      <x:c r="A3832" s="89" t="n">
        <x:v>3830</x:v>
      </x:c>
      <x:c r="B3832" s="80" t="n">
        <x:v>1.1029261271724329</x:v>
      </x:c>
      <x:c r="C3832" s="84" t="n">
        <x:f>SQRT('Resumen'!$B$5^3/3)*B3832</x:f>
        <x:v>0.6367746964192755</x:v>
      </x:c>
      <x:c r="D3832" s="84" t="n">
        <x:f>C3832^2-'Resumen'!$B$5^3/3</x:f>
        <x:v>0.07214868066652719</x:v>
      </x:c>
      <x:c r="E3832" s="85" t="n">
        <x:f>D3832+'Resumen'!$B$5^3/3</x:f>
        <x:v>0.4054820139998605</x:v>
      </x:c>
    </x:row>
    <x:row r="3833">
      <x:c r="A3833" s="89" t="n">
        <x:v>3831</x:v>
      </x:c>
      <x:c r="B3833" s="80" t="n">
        <x:v>-0.7222812678691668</x:v>
      </x:c>
      <x:c r="C3833" s="84" t="n">
        <x:f>SQRT('Resumen'!$B$5^3/3)*B3833</x:f>
        <x:v>-0.4170092844348876</x:v>
      </x:c>
      <x:c r="D3833" s="84" t="n">
        <x:f>C3833^2-'Resumen'!$B$5^3/3</x:f>
        <x:v>-0.15943659002843633</x:v>
      </x:c>
      <x:c r="E3833" s="85" t="n">
        <x:f>D3833+'Resumen'!$B$5^3/3</x:f>
        <x:v>0.173896743304897</x:v>
      </x:c>
    </x:row>
    <x:row r="3834">
      <x:c r="A3834" s="89" t="n">
        <x:v>3832</x:v>
      </x:c>
      <x:c r="B3834" s="80" t="n">
        <x:v>-1.3738293243511377</x:v>
      </x:c>
      <x:c r="C3834" s="84" t="n">
        <x:f>SQRT('Resumen'!$B$5^3/3)*B3834</x:f>
        <x:v>-0.793180730234731</x:v>
      </x:c>
      <x:c r="D3834" s="84" t="n">
        <x:f>C3834^2-'Resumen'!$B$5^3/3</x:f>
        <x:v>0.2958023374823678</x:v>
      </x:c>
      <x:c r="E3834" s="85" t="n">
        <x:f>D3834+'Resumen'!$B$5^3/3</x:f>
        <x:v>0.6291356708157011</x:v>
      </x:c>
    </x:row>
    <x:row r="3835">
      <x:c r="A3835" s="89" t="n">
        <x:v>3833</x:v>
      </x:c>
      <x:c r="B3835" s="80" t="n">
        <x:v>0.6021736699920877</x:v>
      </x:c>
      <x:c r="C3835" s="84" t="n">
        <x:f>SQRT('Resumen'!$B$5^3/3)*B3835</x:f>
        <x:v>0.3476651304688367</x:v>
      </x:c>
      <x:c r="D3835" s="84" t="n">
        <x:f>C3835^2-'Resumen'!$B$5^3/3</x:f>
        <x:v>-0.21246229038942008</x:v>
      </x:c>
      <x:c r="E3835" s="85" t="n">
        <x:f>D3835+'Resumen'!$B$5^3/3</x:f>
        <x:v>0.12087104294391324</x:v>
      </x:c>
    </x:row>
    <x:row r="3836">
      <x:c r="A3836" s="89" t="n">
        <x:v>3834</x:v>
      </x:c>
      <x:c r="B3836" s="80" t="n">
        <x:v>-0.40571946182685953</x:v>
      </x:c>
      <x:c r="C3836" s="84" t="n">
        <x:f>SQRT('Resumen'!$B$5^3/3)*B3836</x:f>
        <x:v>-0.23424224050120743</x:v>
      </x:c>
      <x:c r="D3836" s="84" t="n">
        <x:f>C3836^2-'Resumen'!$B$5^3/3</x:f>
        <x:v>-0.2784639060983078</x:v>
      </x:c>
      <x:c r="E3836" s="85" t="n">
        <x:f>D3836+'Resumen'!$B$5^3/3</x:f>
        <x:v>0.054869427235025525</x:v>
      </x:c>
    </x:row>
    <x:row r="3837">
      <x:c r="A3837" s="89" t="n">
        <x:v>3835</x:v>
      </x:c>
      <x:c r="B3837" s="80" t="n">
        <x:v>0.7776527592712492</x:v>
      </x:c>
      <x:c r="C3837" s="84" t="n">
        <x:f>SQRT('Resumen'!$B$5^3/3)*B3837</x:f>
        <x:v>0.44897802990131097</x:v>
      </x:c>
      <x:c r="D3837" s="84" t="n">
        <x:f>C3837^2-'Resumen'!$B$5^3/3</x:f>
        <x:v>-0.13175206199927084</x:v>
      </x:c>
      <x:c r="E3837" s="85" t="n">
        <x:f>D3837+'Resumen'!$B$5^3/3</x:f>
        <x:v>0.20158127133406248</x:v>
      </x:c>
    </x:row>
    <x:row r="3838">
      <x:c r="A3838" s="89" t="n">
        <x:v>3836</x:v>
      </x:c>
      <x:c r="B3838" s="80" t="n">
        <x:v>-0.48190624804388454</x:v>
      </x:c>
      <x:c r="C3838" s="84" t="n">
        <x:f>SQRT('Resumen'!$B$5^3/3)*B3838</x:f>
        <x:v>-0.27822870203229927</x:v>
      </x:c>
      <x:c r="D3838" s="84" t="n">
        <x:f>C3838^2-'Resumen'!$B$5^3/3</x:f>
        <x:v>-0.25592212269875536</x:v>
      </x:c>
      <x:c r="E3838" s="85" t="n">
        <x:f>D3838+'Resumen'!$B$5^3/3</x:f>
        <x:v>0.07741121063457795</x:v>
      </x:c>
    </x:row>
    <x:row r="3839">
      <x:c r="A3839" s="89" t="n">
        <x:v>3837</x:v>
      </x:c>
      <x:c r="B3839" s="80" t="n">
        <x:v>0.1741880736037643</x:v>
      </x:c>
      <x:c r="C3839" s="84" t="n">
        <x:f>SQRT('Resumen'!$B$5^3/3)*B3839</x:f>
        <x:v>0.10056753118475566</x:v>
      </x:c>
      <x:c r="D3839" s="84" t="n">
        <x:f>C3839^2-'Resumen'!$B$5^3/3</x:f>
        <x:v>-0.3232195050047365</x:v>
      </x:c>
      <x:c r="E3839" s="85" t="n">
        <x:f>D3839+'Resumen'!$B$5^3/3</x:f>
        <x:v>0.010113828328596808</x:v>
      </x:c>
    </x:row>
    <x:row r="3840">
      <x:c r="A3840" s="89" t="n">
        <x:v>3838</x:v>
      </x:c>
      <x:c r="B3840" s="80" t="n">
        <x:v>-1.1522424817108916</x:v>
      </x:c>
      <x:c r="C3840" s="84" t="n">
        <x:f>SQRT('Resumen'!$B$5^3/3)*B3840</x:f>
        <x:v>-0.6652475069875057</x:v>
      </x:c>
      <x:c r="D3840" s="84" t="n">
        <x:f>C3840^2-'Resumen'!$B$5^3/3</x:f>
        <x:v>0.1092209122197581</x:v>
      </x:c>
      <x:c r="E3840" s="85" t="n">
        <x:f>D3840+'Resumen'!$B$5^3/3</x:f>
        <x:v>0.4425542455530914</x:v>
      </x:c>
    </x:row>
    <x:row r="3841">
      <x:c r="A3841" s="89" t="n">
        <x:v>3839</x:v>
      </x:c>
      <x:c r="B3841" s="80" t="n">
        <x:v>0.07942078094291198</x:v>
      </x:c>
      <x:c r="C3841" s="84" t="n">
        <x:f>SQRT('Resumen'!$B$5^3/3)*B3841</x:f>
        <x:v>0.04585360925664053</x:v>
      </x:c>
      <x:c r="D3841" s="84" t="n">
        <x:f>C3841^2-'Resumen'!$B$5^3/3</x:f>
        <x:v>-0.33123077985147265</x:v>
      </x:c>
      <x:c r="E3841" s="85" t="n">
        <x:f>D3841+'Resumen'!$B$5^3/3</x:f>
        <x:v>0.0021025534818606695</x:v>
      </x:c>
    </x:row>
    <x:row r="3842">
      <x:c r="A3842" s="89" t="n">
        <x:v>3840</x:v>
      </x:c>
      <x:c r="B3842" s="80" t="n">
        <x:v>-0.3700482490231813</x:v>
      </x:c>
      <x:c r="C3842" s="84" t="n">
        <x:f>SQRT('Resumen'!$B$5^3/3)*B3842</x:f>
        <x:v>-0.21364745618668338</x:v>
      </x:c>
      <x:c r="D3842" s="84" t="n">
        <x:f>C3842^2-'Resumen'!$B$5^3/3</x:f>
        <x:v>-0.2876880977982925</x:v>
      </x:c>
      <x:c r="E3842" s="85" t="n">
        <x:f>D3842+'Resumen'!$B$5^3/3</x:f>
        <x:v>0.045645235535040796</x:v>
      </x:c>
    </x:row>
    <x:row r="3843">
      <x:c r="A3843" s="89" t="n">
        <x:v>3841</x:v>
      </x:c>
      <x:c r="B3843" s="80" t="n">
        <x:v>0.1081304050204784</x:v>
      </x:c>
      <x:c r="C3843" s="84" t="n">
        <x:f>SQRT('Resumen'!$B$5^3/3)*B3843</x:f>
        <x:v>0.06242911844615646</x:v>
      </x:c>
      <x:c r="D3843" s="84" t="n">
        <x:f>C3843^2-'Resumen'!$B$5^3/3</x:f>
        <x:v>-0.3294359385033691</x:v>
      </x:c>
      <x:c r="E3843" s="85" t="n">
        <x:f>D3843+'Resumen'!$B$5^3/3</x:f>
        <x:v>0.003897394829964207</x:v>
      </x:c>
    </x:row>
    <x:row r="3844">
      <x:c r="A3844" s="89" t="n">
        <x:v>3842</x:v>
      </x:c>
      <x:c r="B3844" s="80" t="n">
        <x:v>0.5679967008837122</x:v>
      </x:c>
      <x:c r="C3844" s="84" t="n">
        <x:f>SQRT('Resumen'!$B$5^3/3)*B3844</x:f>
        <x:v>0.32793304815403057</x:v>
      </x:c>
      <x:c r="D3844" s="84" t="n">
        <x:f>C3844^2-'Resumen'!$B$5^3/3</x:f>
        <x:v>-0.22579324926173958</x:v>
      </x:c>
      <x:c r="E3844" s="85" t="n">
        <x:f>D3844+'Resumen'!$B$5^3/3</x:f>
        <x:v>0.10754008407159374</x:v>
      </x:c>
    </x:row>
    <x:row r="3845">
      <x:c r="A3845" s="89" t="n">
        <x:v>3843</x:v>
      </x:c>
      <x:c r="B3845" s="80" t="n">
        <x:v>-1.595989349661605</x:v>
      </x:c>
      <x:c r="C3845" s="84" t="n">
        <x:f>SQRT('Resumen'!$B$5^3/3)*B3845</x:f>
        <x:v>-0.9214448806509035</x:v>
      </x:c>
      <x:c r="D3845" s="84" t="n">
        <x:f>C3845^2-'Resumen'!$B$5^3/3</x:f>
        <x:v>0.5157273347444244</x:v>
      </x:c>
      <x:c r="E3845" s="85" t="n">
        <x:f>D3845+'Resumen'!$B$5^3/3</x:f>
        <x:v>0.8490606680777577</x:v>
      </x:c>
    </x:row>
    <x:row r="3846">
      <x:c r="A3846" s="89" t="n">
        <x:v>3844</x:v>
      </x:c>
      <x:c r="B3846" s="80" t="n">
        <x:v>-1.2746411712346537</x:v>
      </x:c>
      <x:c r="C3846" s="84" t="n">
        <x:f>SQRT('Resumen'!$B$5^3/3)*B3846</x:f>
        <x:v>-0.7359144233325071</x:v>
      </x:c>
      <x:c r="D3846" s="84" t="n">
        <x:f>C3846^2-'Resumen'!$B$5^3/3</x:f>
        <x:v>0.20823670513548315</x:v>
      </x:c>
      <x:c r="E3846" s="85" t="n">
        <x:f>D3846+'Resumen'!$B$5^3/3</x:f>
        <x:v>0.5415700384688165</x:v>
      </x:c>
    </x:row>
    <x:row r="3847">
      <x:c r="A3847" s="89" t="n">
        <x:v>3845</x:v>
      </x:c>
      <x:c r="B3847" s="80" t="n">
        <x:v>0.9711888121704213</x:v>
      </x:c>
      <x:c r="C3847" s="84" t="n">
        <x:f>SQRT('Resumen'!$B$5^3/3)*B3847</x:f>
        <x:v>0.5607161221405456</x:v>
      </x:c>
      <x:c r="D3847" s="84" t="n">
        <x:f>C3847^2-'Resumen'!$B$5^3/3</x:f>
        <x:v>-0.01893076370500213</x:v>
      </x:c>
      <x:c r="E3847" s="85" t="n">
        <x:f>D3847+'Resumen'!$B$5^3/3</x:f>
        <x:v>0.3144025696283312</x:v>
      </x:c>
    </x:row>
    <x:row r="3848">
      <x:c r="A3848" s="89" t="n">
        <x:v>3846</x:v>
      </x:c>
      <x:c r="B3848" s="80" t="n">
        <x:v>0.1774663223393951</x:v>
      </x:c>
      <x:c r="C3848" s="84" t="n">
        <x:f>SQRT('Resumen'!$B$5^3/3)*B3848</x:f>
        <x:v>0.10246022897474265</x:v>
      </x:c>
      <x:c r="D3848" s="84" t="n">
        <x:f>C3848^2-'Resumen'!$B$5^3/3</x:f>
        <x:v>-0.3228352348117766</x:v>
      </x:c>
      <x:c r="E3848" s="85" t="n">
        <x:f>D3848+'Resumen'!$B$5^3/3</x:f>
        <x:v>0.010498098521556698</x:v>
      </x:c>
    </x:row>
    <x:row r="3849">
      <x:c r="A3849" s="89" t="n">
        <x:v>3847</x:v>
      </x:c>
      <x:c r="B3849" s="80" t="n">
        <x:v>1.7032176177305338</x:v>
      </x:c>
      <x:c r="C3849" s="84" t="n">
        <x:f>SQRT('Resumen'!$B$5^3/3)*B3849</x:f>
        <x:v>0.9833531500852367</x:v>
      </x:c>
      <x:c r="D3849" s="84" t="n">
        <x:f>C3849^2-'Resumen'!$B$5^3/3</x:f>
        <x:v>0.6336500844492248</x:v>
      </x:c>
      <x:c r="E3849" s="85" t="n">
        <x:f>D3849+'Resumen'!$B$5^3/3</x:f>
        <x:v>0.966983417782558</x:v>
      </x:c>
    </x:row>
    <x:row r="3850">
      <x:c r="A3850" s="89" t="n">
        <x:v>3848</x:v>
      </x:c>
      <x:c r="B3850" s="80" t="n">
        <x:v>-1.003251992043542</x:v>
      </x:c>
      <x:c r="C3850" s="84" t="n">
        <x:f>SQRT('Resumen'!$B$5^3/3)*B3850</x:f>
        <x:v>-0.5792278076713673</x:v>
      </x:c>
      <x:c r="D3850" s="84" t="n">
        <x:f>C3850^2-'Resumen'!$B$5^3/3</x:f>
        <x:v>0.002171519846445147</x:v>
      </x:c>
      <x:c r="E3850" s="85" t="n">
        <x:f>D3850+'Resumen'!$B$5^3/3</x:f>
        <x:v>0.33550485317977846</x:v>
      </x:c>
    </x:row>
    <x:row r="3851">
      <x:c r="A3851" s="89" t="n">
        <x:v>3849</x:v>
      </x:c>
      <x:c r="B3851" s="80" t="n">
        <x:v>-1.2519980756898155</x:v>
      </x:c>
      <x:c r="C3851" s="84" t="n">
        <x:f>SQRT('Resumen'!$B$5^3/3)*B3851</x:f>
        <x:v>-0.7228414260244084</x:v>
      </x:c>
      <x:c r="D3851" s="84" t="n">
        <x:f>C3851^2-'Resumen'!$B$5^3/3</x:f>
        <x:v>0.1891663938436669</x:v>
      </x:c>
      <x:c r="E3851" s="85" t="n">
        <x:f>D3851+'Resumen'!$B$5^3/3</x:f>
        <x:v>0.5224997271770002</x:v>
      </x:c>
    </x:row>
    <x:row r="3852">
      <x:c r="A3852" s="89" t="n">
        <x:v>3850</x:v>
      </x:c>
      <x:c r="B3852" s="80" t="n">
        <x:v>0.5359530378378493</x:v>
      </x:c>
      <x:c r="C3852" s="84" t="n">
        <x:f>SQRT('Resumen'!$B$5^3/3)*B3852</x:f>
        <x:v>0.30943263066868</x:v>
      </x:c>
      <x:c r="D3852" s="84" t="n">
        <x:f>C3852^2-'Resumen'!$B$5^3/3</x:f>
        <x:v>-0.23758478041079362</x:v>
      </x:c>
      <x:c r="E3852" s="85" t="n">
        <x:f>D3852+'Resumen'!$B$5^3/3</x:f>
        <x:v>0.0957485529225397</x:v>
      </x:c>
    </x:row>
    <x:row r="3853">
      <x:c r="A3853" s="89" t="n">
        <x:v>3851</x:v>
      </x:c>
      <x:c r="B3853" s="80" t="n">
        <x:v>-0.8796187736563741</x:v>
      </x:c>
      <x:c r="C3853" s="84" t="n">
        <x:f>SQRT('Resumen'!$B$5^3/3)*B3853</x:f>
        <x:v>-0.5078481357547561</x:v>
      </x:c>
      <x:c r="D3853" s="84" t="n">
        <x:f>C3853^2-'Resumen'!$B$5^3/3</x:f>
        <x:v>-0.07542360434375217</x:v>
      </x:c>
      <x:c r="E3853" s="85" t="n">
        <x:f>D3853+'Resumen'!$B$5^3/3</x:f>
        <x:v>0.25790972898958114</x:v>
      </x:c>
    </x:row>
    <x:row r="3854">
      <x:c r="A3854" s="89" t="n">
        <x:v>3852</x:v>
      </x:c>
      <x:c r="B3854" s="80" t="n">
        <x:v>0.29262327374888936</x:v>
      </x:c>
      <x:c r="C3854" s="84" t="n">
        <x:f>SQRT('Resumen'!$B$5^3/3)*B3854</x:f>
        <x:v>0.16894612587007082</x:v>
      </x:c>
      <x:c r="D3854" s="84" t="n">
        <x:f>C3854^2-'Resumen'!$B$5^3/3</x:f>
        <x:v>-0.30479053988682747</x:v>
      </x:c>
      <x:c r="E3854" s="85" t="n">
        <x:f>D3854+'Resumen'!$B$5^3/3</x:f>
        <x:v>0.028542793446505843</x:v>
      </x:c>
    </x:row>
    <x:row r="3855">
      <x:c r="A3855" s="89" t="n">
        <x:v>3853</x:v>
      </x:c>
      <x:c r="B3855" s="80" t="n">
        <x:v>-0.29544889873629193</x:v>
      </x:c>
      <x:c r="C3855" s="84" t="n">
        <x:f>SQRT('Resumen'!$B$5^3/3)*B3855</x:f>
        <x:v>-0.17057750121717663</x:v>
      </x:c>
      <x:c r="D3855" s="84" t="n">
        <x:f>C3855^2-'Resumen'!$B$5^3/3</x:f>
        <x:v>-0.3042366494118374</x:v>
      </x:c>
      <x:c r="E3855" s="85" t="n">
        <x:f>D3855+'Resumen'!$B$5^3/3</x:f>
        <x:v>0.02909668392149589</x:v>
      </x:c>
    </x:row>
    <x:row r="3856">
      <x:c r="A3856" s="89" t="n">
        <x:v>3854</x:v>
      </x:c>
      <x:c r="B3856" s="80" t="n">
        <x:v>0.32857893025629276</x:v>
      </x:c>
      <x:c r="C3856" s="84" t="n">
        <x:f>SQRT('Resumen'!$B$5^3/3)*B3856</x:f>
        <x:v>0.18970513383350987</x:v>
      </x:c>
      <x:c r="D3856" s="84" t="n">
        <x:f>C3856^2-'Resumen'!$B$5^3/3</x:f>
        <x:v>-0.29734529553054345</x:v>
      </x:c>
      <x:c r="E3856" s="85" t="n">
        <x:f>D3856+'Resumen'!$B$5^3/3</x:f>
        <x:v>0.03598803780278986</x:v>
      </x:c>
    </x:row>
    <x:row r="3857">
      <x:c r="A3857" s="89" t="n">
        <x:v>3855</x:v>
      </x:c>
      <x:c r="B3857" s="80" t="n">
        <x:v>0.7075461956450011</x:v>
      </x:c>
      <x:c r="C3857" s="84" t="n">
        <x:f>SQRT('Resumen'!$B$5^3/3)*B3857</x:f>
        <x:v>0.40850198651973696</x:v>
      </x:c>
      <x:c r="D3857" s="84" t="n">
        <x:f>C3857^2-'Resumen'!$B$5^3/3</x:f>
        <x:v>-0.16645946034276196</x:v>
      </x:c>
      <x:c r="E3857" s="85" t="n">
        <x:f>D3857+'Resumen'!$B$5^3/3</x:f>
        <x:v>0.16687387299057135</x:v>
      </x:c>
    </x:row>
    <x:row r="3858">
      <x:c r="A3858" s="89" t="n">
        <x:v>3856</x:v>
      </x:c>
      <x:c r="B3858" s="80" t="n">
        <x:v>1.180994751505891</x:v>
      </x:c>
      <x:c r="C3858" s="84" t="n">
        <x:f>SQRT('Resumen'!$B$5^3/3)*B3858</x:f>
        <x:v>0.6818476376934612</x:v>
      </x:c>
      <x:c r="D3858" s="84" t="n">
        <x:f>C3858^2-'Resumen'!$B$5^3/3</x:f>
        <x:v>0.13158286769482025</x:v>
      </x:c>
      <x:c r="E3858" s="85" t="n">
        <x:f>D3858+'Resumen'!$B$5^3/3</x:f>
        <x:v>0.46491620102815356</x:v>
      </x:c>
    </x:row>
    <x:row r="3859">
      <x:c r="A3859" s="89" t="n">
        <x:v>3857</x:v>
      </x:c>
      <x:c r="B3859" s="80" t="n">
        <x:v>1.8297232678829434</x:v>
      </x:c>
      <x:c r="C3859" s="84" t="n">
        <x:f>SQRT('Resumen'!$B$5^3/3)*B3859</x:f>
        <x:v>1.056391221254739</x:v>
      </x:c>
      <x:c r="D3859" s="84" t="n">
        <x:f>C3859^2-'Resumen'!$B$5^3/3</x:f>
        <x:v>0.7826290790107457</x:v>
      </x:c>
      <x:c r="E3859" s="85" t="n">
        <x:f>D3859+'Resumen'!$B$5^3/3</x:f>
        <x:v>1.115962412344079</x:v>
      </x:c>
    </x:row>
    <x:row r="3860">
      <x:c r="A3860" s="89" t="n">
        <x:v>3858</x:v>
      </x:c>
      <x:c r="B3860" s="80" t="n">
        <x:v>-0.14182515646372476</x:v>
      </x:c>
      <x:c r="C3860" s="84" t="n">
        <x:f>SQRT('Resumen'!$B$5^3/3)*B3860</x:f>
        <x:v>-0.08188279226219228</x:v>
      </x:c>
      <x:c r="D3860" s="84" t="n">
        <x:f>C3860^2-'Resumen'!$B$5^3/3</x:f>
        <x:v>-0.32662854166467997</x:v>
      </x:c>
      <x:c r="E3860" s="85" t="n">
        <x:f>D3860+'Resumen'!$B$5^3/3</x:f>
        <x:v>0.006704791668653343</x:v>
      </x:c>
    </x:row>
    <x:row r="3861">
      <x:c r="A3861" s="89" t="n">
        <x:v>3859</x:v>
      </x:c>
      <x:c r="B3861" s="80" t="n">
        <x:v>1.0697274969675743</x:v>
      </x:c>
      <x:c r="C3861" s="84" t="n">
        <x:f>SQRT('Resumen'!$B$5^3/3)*B3861</x:f>
        <x:v>0.6176074583337736</x:v>
      </x:c>
      <x:c r="D3861" s="84" t="n">
        <x:f>C3861^2-'Resumen'!$B$5^3/3</x:f>
        <x:v>0.04810563925617062</x:v>
      </x:c>
      <x:c r="E3861" s="85" t="n">
        <x:f>D3861+'Resumen'!$B$5^3/3</x:f>
        <x:v>0.38143897258950393</x:v>
      </x:c>
    </x:row>
    <x:row r="3862">
      <x:c r="A3862" s="89" t="n">
        <x:v>3860</x:v>
      </x:c>
      <x:c r="B3862" s="80" t="n">
        <x:v>-0.253723998616392</x:v>
      </x:c>
      <x:c r="C3862" s="84" t="n">
        <x:f>SQRT('Resumen'!$B$5^3/3)*B3862</x:f>
        <x:v>-0.14648761890104214</x:v>
      </x:c>
      <x:c r="D3862" s="84" t="n">
        <x:f>C3862^2-'Resumen'!$B$5^3/3</x:f>
        <x:v>-0.31187471084203633</x:v>
      </x:c>
      <x:c r="E3862" s="85" t="n">
        <x:f>D3862+'Resumen'!$B$5^3/3</x:f>
        <x:v>0.021458622491296986</x:v>
      </x:c>
    </x:row>
    <x:row r="3863">
      <x:c r="A3863" s="89" t="n">
        <x:v>3861</x:v>
      </x:c>
      <x:c r="B3863" s="80" t="n">
        <x:v>-0.9282452486661118</x:v>
      </x:c>
      <x:c r="C3863" s="84" t="n">
        <x:f>SQRT('Resumen'!$B$5^3/3)*B3863</x:f>
        <x:v>-0.5359226441913707</x:v>
      </x:c>
      <x:c r="D3863" s="84" t="n">
        <x:f>C3863^2-'Resumen'!$B$5^3/3</x:f>
        <x:v>-0.046120252776262805</x:v>
      </x:c>
      <x:c r="E3863" s="85" t="n">
        <x:f>D3863+'Resumen'!$B$5^3/3</x:f>
        <x:v>0.2872130805570705</x:v>
      </x:c>
    </x:row>
    <x:row r="3864">
      <x:c r="A3864" s="89" t="n">
        <x:v>3862</x:v>
      </x:c>
      <x:c r="B3864" s="80" t="n">
        <x:v>-0.7461547909933938</x:v>
      </x:c>
      <x:c r="C3864" s="84" t="n">
        <x:f>SQRT('Resumen'!$B$5^3/3)*B3864</x:f>
        <x:v>-0.4307926694371648</x:v>
      </x:c>
      <x:c r="D3864" s="84" t="n">
        <x:f>C3864^2-'Resumen'!$B$5^3/3</x:f>
        <x:v>-0.14775100929253496</x:v>
      </x:c>
      <x:c r="E3864" s="85" t="n">
        <x:f>D3864+'Resumen'!$B$5^3/3</x:f>
        <x:v>0.18558232404079836</x:v>
      </x:c>
    </x:row>
    <x:row r="3865">
      <x:c r="A3865" s="89" t="n">
        <x:v>3863</x:v>
      </x:c>
      <x:c r="B3865" s="80" t="n">
        <x:v>0.14122450902301636</x:v>
      </x:c>
      <x:c r="C3865" s="84" t="n">
        <x:f>SQRT('Resumen'!$B$5^3/3)*B3865</x:f>
        <x:v>0.08153600830061122</x:v>
      </x:c>
      <x:c r="D3865" s="84" t="n">
        <x:f>C3865^2-'Resumen'!$B$5^3/3</x:f>
        <x:v>-0.32668521268373596</x:v>
      </x:c>
      <x:c r="E3865" s="85" t="n">
        <x:f>D3865+'Resumen'!$B$5^3/3</x:f>
        <x:v>0.0066481206495973555</x:v>
      </x:c>
    </x:row>
    <x:row r="3866">
      <x:c r="A3866" s="89" t="n">
        <x:v>3864</x:v>
      </x:c>
      <x:c r="B3866" s="80" t="n">
        <x:v>-0.5474882564128907</x:v>
      </x:c>
      <x:c r="C3866" s="84" t="n">
        <x:f>SQRT('Resumen'!$B$5^3/3)*B3866</x:f>
        <x:v>-0.3160924922181413</x:v>
      </x:c>
      <x:c r="D3866" s="84" t="n">
        <x:f>C3866^2-'Resumen'!$B$5^3/3</x:f>
        <x:v>-0.2334188696966576</x:v>
      </x:c>
      <x:c r="E3866" s="85" t="n">
        <x:f>D3866+'Resumen'!$B$5^3/3</x:f>
        <x:v>0.09991446363667572</x:v>
      </x:c>
    </x:row>
    <x:row r="3867">
      <x:c r="A3867" s="89" t="n">
        <x:v>3865</x:v>
      </x:c>
      <x:c r="B3867" s="80" t="n">
        <x:v>0.9013592230485633</x:v>
      </x:c>
      <x:c r="C3867" s="84" t="n">
        <x:f>SQRT('Resumen'!$B$5^3/3)*B3867</x:f>
        <x:v>0.5203999900636399</x:v>
      </x:c>
      <x:c r="D3867" s="84" t="n">
        <x:f>C3867^2-'Resumen'!$B$5^3/3</x:f>
        <x:v>-0.06251718367509679</x:v>
      </x:c>
      <x:c r="E3867" s="85" t="n">
        <x:f>D3867+'Resumen'!$B$5^3/3</x:f>
        <x:v>0.2708161496582365</x:v>
      </x:c>
    </x:row>
    <x:row r="3868">
      <x:c r="A3868" s="89" t="n">
        <x:v>3866</x:v>
      </x:c>
      <x:c r="B3868" s="80" t="n">
        <x:v>0.9772110452411343</x:v>
      </x:c>
      <x:c r="C3868" s="84" t="n">
        <x:f>SQRT('Resumen'!$B$5^3/3)*B3868</x:f>
        <x:v>0.5641930600250444</x:v>
      </x:c>
      <x:c r="D3868" s="84" t="n">
        <x:f>C3868^2-'Resumen'!$B$5^3/3</x:f>
        <x:v>-0.01501952435290993</x:v>
      </x:c>
      <x:c r="E3868" s="85" t="n">
        <x:f>D3868+'Resumen'!$B$5^3/3</x:f>
        <x:v>0.3183138089804234</x:v>
      </x:c>
    </x:row>
    <x:row r="3869">
      <x:c r="A3869" s="89" t="n">
        <x:v>3867</x:v>
      </x:c>
      <x:c r="B3869" s="80" t="n">
        <x:v>0.1822282170127629</x:v>
      </x:c>
      <x:c r="C3869" s="84" t="n">
        <x:f>SQRT('Resumen'!$B$5^3/3)*B3869</x:f>
        <x:v>0.1052095101462642</x:v>
      </x:c>
      <x:c r="D3869" s="84" t="n">
        <x:f>C3869^2-'Resumen'!$B$5^3/3</x:f>
        <x:v>-0.32226429230811643</x:v>
      </x:c>
      <x:c r="E3869" s="85" t="n">
        <x:f>D3869+'Resumen'!$B$5^3/3</x:f>
        <x:v>0.011069041025216886</x:v>
      </x:c>
    </x:row>
    <x:row r="3870">
      <x:c r="A3870" s="89" t="n">
        <x:v>3868</x:v>
      </x:c>
      <x:c r="B3870" s="80" t="n">
        <x:v>-0.6688021464277224</x:v>
      </x:c>
      <x:c r="C3870" s="84" t="n">
        <x:f>SQRT('Resumen'!$B$5^3/3)*B3870</x:f>
        <x:v>-0.386133099274645</x:v>
      </x:c>
      <x:c r="D3870" s="84" t="n">
        <x:f>C3870^2-'Resumen'!$B$5^3/3</x:f>
        <x:v>-0.18423456297789045</x:v>
      </x:c>
      <x:c r="E3870" s="85" t="n">
        <x:f>D3870+'Resumen'!$B$5^3/3</x:f>
        <x:v>0.14909877035544286</x:v>
      </x:c>
    </x:row>
    <x:row r="3871">
      <x:c r="A3871" s="89" t="n">
        <x:v>3869</x:v>
      </x:c>
      <x:c r="B3871" s="80" t="n">
        <x:v>-0.3391978201713016</x:v>
      </x:c>
      <x:c r="C3871" s="84" t="n">
        <x:f>SQRT('Resumen'!$B$5^3/3)*B3871</x:f>
        <x:v>-0.19583595278443525</x:v>
      </x:c>
      <x:c r="D3871" s="84" t="n">
        <x:f>C3871^2-'Resumen'!$B$5^3/3</x:f>
        <x:v>-0.29498161293034575</x:v>
      </x:c>
      <x:c r="E3871" s="85" t="n">
        <x:f>D3871+'Resumen'!$B$5^3/3</x:f>
        <x:v>0.038351720402987566</x:v>
      </x:c>
    </x:row>
    <x:row r="3872">
      <x:c r="A3872" s="89" t="n">
        <x:v>3870</x:v>
      </x:c>
      <x:c r="B3872" s="80" t="n">
        <x:v>-1.1927797054461187</x:v>
      </x:c>
      <x:c r="C3872" s="84" t="n">
        <x:f>SQRT('Resumen'!$B$5^3/3)*B3872</x:f>
        <x:v>-0.6886516840232391</x:v>
      </x:c>
      <x:c r="D3872" s="84" t="n">
        <x:f>C3872^2-'Resumen'!$B$5^3/3</x:f>
        <x:v>0.1409078085747098</x:v>
      </x:c>
      <x:c r="E3872" s="85" t="n">
        <x:f>D3872+'Resumen'!$B$5^3/3</x:f>
        <x:v>0.4742411419080431</x:v>
      </x:c>
    </x:row>
    <x:row r="3873">
      <x:c r="A3873" s="89" t="n">
        <x:v>3871</x:v>
      </x:c>
      <x:c r="B3873" s="80" t="n">
        <x:v>1.493657416434479</x:v>
      </x:c>
      <x:c r="C3873" s="84" t="n">
        <x:f>SQRT('Resumen'!$B$5^3/3)*B3873</x:f>
        <x:v>0.8623635114555273</x:v>
      </x:c>
      <x:c r="D3873" s="84" t="n">
        <x:f>C3873^2-'Resumen'!$B$5^3/3</x:f>
        <x:v>0.410337492556574</x:v>
      </x:c>
      <x:c r="E3873" s="85" t="n">
        <x:f>D3873+'Resumen'!$B$5^3/3</x:f>
        <x:v>0.7436708258899073</x:v>
      </x:c>
    </x:row>
    <x:row r="3874">
      <x:c r="A3874" s="89" t="n">
        <x:v>3872</x:v>
      </x:c>
      <x:c r="B3874" s="80" t="n">
        <x:v>-0.3810851442791852</x:v>
      </x:c>
      <x:c r="C3874" s="84" t="n">
        <x:f>SQRT('Resumen'!$B$5^3/3)*B3874</x:f>
        <x:v>-0.22001961063375494</x:v>
      </x:c>
      <x:c r="D3874" s="84" t="n">
        <x:f>C3874^2-'Resumen'!$B$5^3/3</x:f>
        <x:v>-0.2849247042699042</x:v>
      </x:c>
      <x:c r="E3874" s="85" t="n">
        <x:f>D3874+'Resumen'!$B$5^3/3</x:f>
        <x:v>0.04840862906342913</x:v>
      </x:c>
    </x:row>
    <x:row r="3875">
      <x:c r="A3875" s="89" t="n">
        <x:v>3873</x:v>
      </x:c>
      <x:c r="B3875" s="80" t="n">
        <x:v>0.3347902820482275</x:v>
      </x:c>
      <x:c r="C3875" s="84" t="n">
        <x:f>SQRT('Resumen'!$B$5^3/3)*B3875</x:f>
        <x:v>0.19329125946261488</x:v>
      </x:c>
      <x:c r="D3875" s="84" t="n">
        <x:f>C3875^2-'Resumen'!$B$5^3/3</x:f>
        <x:v>-0.2959718223486894</x:v>
      </x:c>
      <x:c r="E3875" s="85" t="n">
        <x:f>D3875+'Resumen'!$B$5^3/3</x:f>
        <x:v>0.03736151098464391</x:v>
      </x:c>
    </x:row>
    <x:row r="3876">
      <x:c r="A3876" s="89" t="n">
        <x:v>3874</x:v>
      </x:c>
      <x:c r="B3876" s="80" t="n">
        <x:v>0.1184966130689438</x:v>
      </x:c>
      <x:c r="C3876" s="84" t="n">
        <x:f>SQRT('Resumen'!$B$5^3/3)*B3876</x:f>
        <x:v>0.06841405145341363</x:v>
      </x:c>
      <x:c r="D3876" s="84" t="n">
        <x:f>C3876^2-'Resumen'!$B$5^3/3</x:f>
        <x:v>-0.328652850897063</x:v>
      </x:c>
      <x:c r="E3876" s="85" t="n">
        <x:f>D3876+'Resumen'!$B$5^3/3</x:f>
        <x:v>0.004680482436270339</x:v>
      </x:c>
    </x:row>
    <x:row r="3877">
      <x:c r="A3877" s="89" t="n">
        <x:v>3875</x:v>
      </x:c>
      <x:c r="B3877" s="80" t="n">
        <x:v>1.3293101195188795</x:v>
      </x:c>
      <x:c r="C3877" s="84" t="n">
        <x:f>SQRT('Resumen'!$B$5^3/3)*B3877</x:f>
        <x:v>0.7674775553407186</x:v>
      </x:c>
      <x:c r="D3877" s="84" t="n">
        <x:f>C3877^2-'Resumen'!$B$5^3/3</x:f>
        <x:v>0.2556884646184325</x:v>
      </x:c>
      <x:c r="E3877" s="85" t="n">
        <x:f>D3877+'Resumen'!$B$5^3/3</x:f>
        <x:v>0.5890217979517658</x:v>
      </x:c>
    </x:row>
    <x:row r="3878">
      <x:c r="A3878" s="89" t="n">
        <x:v>3876</x:v>
      </x:c>
      <x:c r="B3878" s="80" t="n">
        <x:v>-0.809422549981787</x:v>
      </x:c>
      <x:c r="C3878" s="84" t="n">
        <x:f>SQRT('Resumen'!$B$5^3/3)*B3878</x:f>
        <x:v>-0.467320327120138</x:v>
      </x:c>
      <x:c r="D3878" s="84" t="n">
        <x:f>C3878^2-'Resumen'!$B$5^3/3</x:f>
        <x:v>-0.11494504519366053</x:v>
      </x:c>
      <x:c r="E3878" s="85" t="n">
        <x:f>D3878+'Resumen'!$B$5^3/3</x:f>
        <x:v>0.2183882881396728</x:v>
      </x:c>
    </x:row>
    <x:row r="3879">
      <x:c r="A3879" s="89" t="n">
        <x:v>3877</x:v>
      </x:c>
      <x:c r="B3879" s="80" t="n">
        <x:v>0.4970828343703019</x:v>
      </x:c>
      <x:c r="C3879" s="84" t="n">
        <x:f>SQRT('Resumen'!$B$5^3/3)*B3879</x:f>
        <x:v>0.2869909082332359</x:v>
      </x:c>
      <x:c r="D3879" s="84" t="n">
        <x:f>C3879^2-'Resumen'!$B$5^3/3</x:f>
        <x:v>-0.25096955192479564</x:v>
      </x:c>
      <x:c r="E3879" s="85" t="n">
        <x:f>D3879+'Resumen'!$B$5^3/3</x:f>
        <x:v>0.08236378140853767</x:v>
      </x:c>
    </x:row>
    <x:row r="3880">
      <x:c r="A3880" s="89" t="n">
        <x:v>3878</x:v>
      </x:c>
      <x:c r="B3880" s="80" t="n">
        <x:v>-0.8238316869439415</x:v>
      </x:c>
      <x:c r="C3880" s="84" t="n">
        <x:f>SQRT('Resumen'!$B$5^3/3)*B3880</x:f>
        <x:v>-0.4756394462240281</x:v>
      </x:c>
      <x:c r="D3880" s="84" t="n">
        <x:f>C3880^2-'Resumen'!$B$5^3/3</x:f>
        <x:v>-0.10710045052903319</x:v>
      </x:c>
      <x:c r="E3880" s="85" t="n">
        <x:f>D3880+'Resumen'!$B$5^3/3</x:f>
        <x:v>0.22623288280430012</x:v>
      </x:c>
    </x:row>
    <x:row r="3881">
      <x:c r="A3881" s="89" t="n">
        <x:v>3879</x:v>
      </x:c>
      <x:c r="B3881" s="80" t="n">
        <x:v>-1.149834312791616</x:v>
      </x:c>
      <x:c r="C3881" s="84" t="n">
        <x:f>SQRT('Resumen'!$B$5^3/3)*B3881</x:f>
        <x:v>-0.6638571500137078</x:v>
      </x:c>
      <x:c r="D3881" s="84" t="n">
        <x:f>C3881^2-'Resumen'!$B$5^3/3</x:f>
        <x:v>0.10737298229098924</x:v>
      </x:c>
      <x:c r="E3881" s="85" t="n">
        <x:f>D3881+'Resumen'!$B$5^3/3</x:f>
        <x:v>0.44070631562432255</x:v>
      </x:c>
    </x:row>
    <x:row r="3882">
      <x:c r="A3882" s="89" t="n">
        <x:v>3880</x:v>
      </x:c>
      <x:c r="B3882" s="80" t="n">
        <x:v>0.7358750261752258</x:v>
      </x:c>
      <x:c r="C3882" s="84" t="n">
        <x:f>SQRT('Resumen'!$B$5^3/3)*B3882</x:f>
        <x:v>0.4248576444521895</x:v>
      </x:c>
      <x:c r="D3882" s="84" t="n">
        <x:f>C3882^2-'Resumen'!$B$5^3/3</x:f>
        <x:v>-0.15282931528387025</x:v>
      </x:c>
      <x:c r="E3882" s="85" t="n">
        <x:f>D3882+'Resumen'!$B$5^3/3</x:f>
        <x:v>0.18050401804946306</x:v>
      </x:c>
    </x:row>
    <x:row r="3883">
      <x:c r="A3883" s="89" t="n">
        <x:v>3881</x:v>
      </x:c>
      <x:c r="B3883" s="80" t="n">
        <x:v>0.517550711897801</x:v>
      </x:c>
      <x:c r="C3883" s="84" t="n">
        <x:f>SQRT('Resumen'!$B$5^3/3)*B3883</x:f>
        <x:v>0.29880804283347784</x:v>
      </x:c>
      <x:c r="D3883" s="84" t="n">
        <x:f>C3883^2-'Resumen'!$B$5^3/3</x:f>
        <x:v>-0.2440470868713598</x:v>
      </x:c>
      <x:c r="E3883" s="85" t="n">
        <x:f>D3883+'Resumen'!$B$5^3/3</x:f>
        <x:v>0.08928624646197353</x:v>
      </x:c>
    </x:row>
    <x:row r="3884">
      <x:c r="A3884" s="89" t="n">
        <x:v>3882</x:v>
      </x:c>
      <x:c r="B3884" s="80" t="n">
        <x:v>0.24634589591501657</x:v>
      </x:c>
      <x:c r="C3884" s="84" t="n">
        <x:f>SQRT('Resumen'!$B$5^3/3)*B3884</x:f>
        <x:v>0.14222786932029433</x:v>
      </x:c>
      <x:c r="D3884" s="84" t="n">
        <x:f>C3884^2-'Resumen'!$B$5^3/3</x:f>
        <x:v>-0.3131045665219426</x:v>
      </x:c>
      <x:c r="E3884" s="85" t="n">
        <x:f>D3884+'Resumen'!$B$5^3/3</x:f>
        <x:v>0.02022876681139074</x:v>
      </x:c>
    </x:row>
    <x:row r="3885">
      <x:c r="A3885" s="89" t="n">
        <x:v>3883</x:v>
      </x:c>
      <x:c r="B3885" s="80" t="n">
        <x:v>-0.4794072906562816</x:v>
      </x:c>
      <x:c r="C3885" s="84" t="n">
        <x:f>SQRT('Resumen'!$B$5^3/3)*B3885</x:f>
        <x:v>-0.2767859283118733</x:v>
      </x:c>
      <x:c r="D3885" s="84" t="n">
        <x:f>C3885^2-'Resumen'!$B$5^3/3</x:f>
        <x:v>-0.25672288322186787</x:v>
      </x:c>
      <x:c r="E3885" s="85" t="n">
        <x:f>D3885+'Resumen'!$B$5^3/3</x:f>
        <x:v>0.07661045011146544</x:v>
      </x:c>
    </x:row>
    <x:row r="3886">
      <x:c r="A3886" s="89" t="n">
        <x:v>3884</x:v>
      </x:c>
      <x:c r="B3886" s="80" t="n">
        <x:v>-0.6373325344577173</x:v>
      </x:c>
      <x:c r="C3886" s="84" t="n">
        <x:f>SQRT('Resumen'!$B$5^3/3)*B3886</x:f>
        <x:v>-0.3679641103324695</x:v>
      </x:c>
      <x:c r="D3886" s="84" t="n">
        <x:f>C3886^2-'Resumen'!$B$5^3/3</x:f>
        <x:v>-0.19793574684056753</x:v>
      </x:c>
      <x:c r="E3886" s="85" t="n">
        <x:f>D3886+'Resumen'!$B$5^3/3</x:f>
        <x:v>0.1353975864927658</x:v>
      </x:c>
    </x:row>
    <x:row r="3887">
      <x:c r="A3887" s="89" t="n">
        <x:v>3885</x:v>
      </x:c>
      <x:c r="B3887" s="80" t="n">
        <x:v>-0.9218016322853209</x:v>
      </x:c>
      <x:c r="C3887" s="84" t="n">
        <x:f>SQRT('Resumen'!$B$5^3/3)*B3887</x:f>
        <x:v>-0.5322024205393664</x:v>
      </x:c>
      <x:c r="D3887" s="84" t="n">
        <x:f>C3887^2-'Resumen'!$B$5^3/3</x:f>
        <x:v>-0.05009391690537274</x:v>
      </x:c>
      <x:c r="E3887" s="85" t="n">
        <x:f>D3887+'Resumen'!$B$5^3/3</x:f>
        <x:v>0.2832394164279606</x:v>
      </x:c>
    </x:row>
    <x:row r="3888">
      <x:c r="A3888" s="89" t="n">
        <x:v>3886</x:v>
      </x:c>
      <x:c r="B3888" s="80" t="n">
        <x:v>-1.8116627002931847</x:v>
      </x:c>
      <x:c r="C3888" s="84" t="n">
        <x:f>SQRT('Resumen'!$B$5^3/3)*B3888</x:f>
        <x:v>-1.0459639476950744</x:v>
      </x:c>
      <x:c r="D3888" s="84" t="n">
        <x:f>C3888^2-'Resumen'!$B$5^3/3</x:f>
        <x:v>0.760707246544531</x:v>
      </x:c>
      <x:c r="E3888" s="85" t="n">
        <x:f>D3888+'Resumen'!$B$5^3/3</x:f>
        <x:v>1.0940405798778643</x:v>
      </x:c>
    </x:row>
    <x:row r="3889">
      <x:c r="A3889" s="89" t="n">
        <x:v>3887</x:v>
      </x:c>
      <x:c r="B3889" s="80" t="n">
        <x:v>2.436340432243141</x:v>
      </x:c>
      <x:c r="C3889" s="84" t="n">
        <x:f>SQRT('Resumen'!$B$5^3/3)*B3889</x:f>
        <x:v>1.4066218043931464</x:v>
      </x:c>
      <x:c r="D3889" s="84" t="n">
        <x:f>C3889^2-'Resumen'!$B$5^3/3</x:f>
        <x:v>1.6452515672608978</x:v>
      </x:c>
      <x:c r="E3889" s="85" t="n">
        <x:f>D3889+'Resumen'!$B$5^3/3</x:f>
        <x:v>1.978584900594231</x:v>
      </x:c>
    </x:row>
    <x:row r="3890">
      <x:c r="A3890" s="89" t="n">
        <x:v>3888</x:v>
      </x:c>
      <x:c r="B3890" s="80" t="n">
        <x:v>-0.24828317235534877</x:v>
      </x:c>
      <x:c r="C3890" s="84" t="n">
        <x:f>SQRT('Resumen'!$B$5^3/3)*B3890</x:f>
        <x:v>-0.14334635639461485</x:v>
      </x:c>
      <x:c r="D3890" s="84" t="n">
        <x:f>C3890^2-'Resumen'!$B$5^3/3</x:f>
        <x:v>-0.31278515544172136</x:v>
      </x:c>
      <x:c r="E3890" s="85" t="n">
        <x:f>D3890+'Resumen'!$B$5^3/3</x:f>
        <x:v>0.020548177891611952</x:v>
      </x:c>
    </x:row>
    <x:row r="3891">
      <x:c r="A3891" s="89" t="n">
        <x:v>3889</x:v>
      </x:c>
      <x:c r="B3891" s="80" t="n">
        <x:v>-0.9063669359743444</x:v>
      </x:c>
      <x:c r="C3891" s="84" t="n">
        <x:f>SQRT('Resumen'!$B$5^3/3)*B3891</x:f>
        <x:v>-0.523291194469364</x:v>
      </x:c>
      <x:c r="D3891" s="84" t="n">
        <x:f>C3891^2-'Resumen'!$B$5^3/3</x:f>
        <x:v>-0.059499659124159554</x:v>
      </x:c>
      <x:c r="E3891" s="85" t="n">
        <x:f>D3891+'Resumen'!$B$5^3/3</x:f>
        <x:v>0.27383367420917376</x:v>
      </x:c>
    </x:row>
    <x:row r="3892">
      <x:c r="A3892" s="89" t="n">
        <x:v>3890</x:v>
      </x:c>
      <x:c r="B3892" s="80" t="n">
        <x:v>0.12227021613802935</x:v>
      </x:c>
      <x:c r="C3892" s="84" t="n">
        <x:f>SQRT('Resumen'!$B$5^3/3)*B3892</x:f>
        <x:v>0.07059274220116497</x:v>
      </x:c>
      <x:c r="D3892" s="84" t="n">
        <x:f>C3892^2-'Resumen'!$B$5^3/3</x:f>
        <x:v>-0.32834999808185317</x:v>
      </x:c>
      <x:c r="E3892" s="85" t="n">
        <x:f>D3892+'Resumen'!$B$5^3/3</x:f>
        <x:v>0.004983335251480148</x:v>
      </x:c>
    </x:row>
    <x:row r="3893">
      <x:c r="A3893" s="89" t="n">
        <x:v>3891</x:v>
      </x:c>
      <x:c r="B3893" s="80" t="n">
        <x:v>0.4541488805679247</x:v>
      </x:c>
      <x:c r="C3893" s="84" t="n">
        <x:f>SQRT('Resumen'!$B$5^3/3)*B3893</x:f>
        <x:v>0.2622029784480585</x:v>
      </x:c>
      <x:c r="D3893" s="84" t="n">
        <x:f>C3893^2-'Resumen'!$B$5^3/3</x:f>
        <x:v>-0.2645829314263003</x:v>
      </x:c>
      <x:c r="E3893" s="85" t="n">
        <x:f>D3893+'Resumen'!$B$5^3/3</x:f>
        <x:v>0.06875040190703302</x:v>
      </x:c>
    </x:row>
    <x:row r="3894">
      <x:c r="A3894" s="89" t="n">
        <x:v>3892</x:v>
      </x:c>
      <x:c r="B3894" s="80" t="n">
        <x:v>1.8055012620686892</x:v>
      </x:c>
      <x:c r="C3894" s="84" t="n">
        <x:f>SQRT('Resumen'!$B$5^3/3)*B3894</x:f>
        <x:v>1.0424066396775666</x:v>
      </x:c>
      <x:c r="D3894" s="84" t="n">
        <x:f>C3894^2-'Resumen'!$B$5^3/3</x:f>
        <x:v>0.7532782691105431</x:v>
      </x:c>
      <x:c r="E3894" s="85" t="n">
        <x:f>D3894+'Resumen'!$B$5^3/3</x:f>
        <x:v>1.0866116024438763</x:v>
      </x:c>
    </x:row>
    <x:row r="3895">
      <x:c r="A3895" s="89" t="n">
        <x:v>3893</x:v>
      </x:c>
      <x:c r="B3895" s="80" t="n">
        <x:v>0.029184158881767334</x:v>
      </x:c>
      <x:c r="C3895" s="84" t="n">
        <x:f>SQRT('Resumen'!$B$5^3/3)*B3895</x:f>
        <x:v>0.016849481986461176</x:v>
      </x:c>
      <x:c r="D3895" s="84" t="n">
        <x:f>C3895^2-'Resumen'!$B$5^3/3</x:f>
        <x:v>-0.33304942829012124</x:v>
      </x:c>
      <x:c r="E3895" s="85" t="n">
        <x:f>D3895+'Resumen'!$B$5^3/3</x:f>
        <x:v>0.00028390504321207377</x:v>
      </x:c>
    </x:row>
    <x:row r="3896">
      <x:c r="A3896" s="89" t="n">
        <x:v>3894</x:v>
      </x:c>
      <x:c r="B3896" s="80" t="n">
        <x:v>0.8942579022778581</x:v>
      </x:c>
      <x:c r="C3896" s="84" t="n">
        <x:f>SQRT('Resumen'!$B$5^3/3)*B3896</x:f>
        <x:v>0.5163000406050714</x:v>
      </x:c>
      <x:c r="D3896" s="84" t="n">
        <x:f>C3896^2-'Resumen'!$B$5^3/3</x:f>
        <x:v>-0.06676760140453492</x:v>
      </x:c>
      <x:c r="E3896" s="85" t="n">
        <x:f>D3896+'Resumen'!$B$5^3/3</x:f>
        <x:v>0.2665657319287984</x:v>
      </x:c>
    </x:row>
    <x:row r="3897">
      <x:c r="A3897" s="89" t="n">
        <x:v>3895</x:v>
      </x:c>
      <x:c r="B3897" s="80" t="n">
        <x:v>-0.7029606762168051</x:v>
      </x:c>
      <x:c r="C3897" s="84" t="n">
        <x:f>SQRT('Resumen'!$B$5^3/3)*B3897</x:f>
        <x:v>-0.4058545356434938</x:v>
      </x:c>
      <x:c r="D3897" s="84" t="n">
        <x:f>C3897^2-'Resumen'!$B$5^3/3</x:f>
        <x:v>-0.16861542923093736</x:v>
      </x:c>
      <x:c r="E3897" s="85" t="n">
        <x:f>D3897+'Resumen'!$B$5^3/3</x:f>
        <x:v>0.16471790410239595</x:v>
      </x:c>
    </x:row>
    <x:row r="3898">
      <x:c r="A3898" s="89" t="n">
        <x:v>3896</x:v>
      </x:c>
      <x:c r="B3898" s="80" t="n">
        <x:v>-1.1917820895123024</x:v>
      </x:c>
      <x:c r="C3898" s="84" t="n">
        <x:f>SQRT('Resumen'!$B$5^3/3)*B3898</x:f>
        <x:v>-0.6880757101953024</x:v>
      </x:c>
      <x:c r="D3898" s="84" t="n">
        <x:f>C3898^2-'Resumen'!$B$5^3/3</x:f>
        <x:v>0.14011484962743653</x:v>
      </x:c>
      <x:c r="E3898" s="85" t="n">
        <x:f>D3898+'Resumen'!$B$5^3/3</x:f>
        <x:v>0.47344818296076985</x:v>
      </x:c>
    </x:row>
    <x:row r="3899">
      <x:c r="A3899" s="89" t="n">
        <x:v>3897</x:v>
      </x:c>
      <x:c r="B3899" s="80" t="n">
        <x:v>0.8947925274810712</x:v>
      </x:c>
      <x:c r="C3899" s="84" t="n">
        <x:f>SQRT('Resumen'!$B$5^3/3)*B3899</x:f>
        <x:v>0.516608706610062</x:v>
      </x:c>
      <x:c r="D3899" s="84" t="n">
        <x:f>C3899^2-'Resumen'!$B$5^3/3</x:f>
        <x:v>-0.06644877758801221</x:v>
      </x:c>
      <x:c r="E3899" s="85" t="n">
        <x:f>D3899+'Resumen'!$B$5^3/3</x:f>
        <x:v>0.2668845557453211</x:v>
      </x:c>
    </x:row>
    <x:row r="3900">
      <x:c r="A3900" s="89" t="n">
        <x:v>3898</x:v>
      </x:c>
      <x:c r="B3900" s="80" t="n">
        <x:v>-0.3710850556572095</x:v>
      </x:c>
      <x:c r="C3900" s="84" t="n">
        <x:f>SQRT('Resumen'!$B$5^3/3)*B3900</x:f>
        <x:v>-0.21424605677593717</x:v>
      </x:c>
      <x:c r="D3900" s="84" t="n">
        <x:f>C3900^2-'Resumen'!$B$5^3/3</x:f>
        <x:v>-0.2874319604892952</x:v>
      </x:c>
      <x:c r="E3900" s="85" t="n">
        <x:f>D3900+'Resumen'!$B$5^3/3</x:f>
        <x:v>0.04590137284403811</x:v>
      </x:c>
    </x:row>
    <x:row r="3901">
      <x:c r="A3901" s="89" t="n">
        <x:v>3899</x:v>
      </x:c>
      <x:c r="B3901" s="80" t="n">
        <x:v>-1.8384443503230024</x:v>
      </x:c>
      <x:c r="C3901" s="84" t="n">
        <x:f>SQRT('Resumen'!$B$5^3/3)*B3901</x:f>
        <x:v>-1.061426340549132</x:v>
      </x:c>
      <x:c r="D3901" s="84" t="n">
        <x:f>C3901^2-'Resumen'!$B$5^3/3</x:f>
        <x:v>0.7932925430781887</x:v>
      </x:c>
      <x:c r="E3901" s="85" t="n">
        <x:f>D3901+'Resumen'!$B$5^3/3</x:f>
        <x:v>1.126625876411522</x:v>
      </x:c>
    </x:row>
    <x:row r="3902">
      <x:c r="A3902" s="89" t="n">
        <x:v>3900</x:v>
      </x:c>
      <x:c r="B3902" s="80" t="n">
        <x:v>0.5728190453244896</x:v>
      </x:c>
      <x:c r="C3902" s="84" t="n">
        <x:f>SQRT('Resumen'!$B$5^3/3)*B3902</x:f>
        <x:v>0.3307172300150385</x:v>
      </x:c>
      <x:c r="D3902" s="84" t="n">
        <x:f>C3902^2-'Resumen'!$B$5^3/3</x:f>
        <x:v>-0.22395944710451343</x:v>
      </x:c>
      <x:c r="E3902" s="85" t="n">
        <x:f>D3902+'Resumen'!$B$5^3/3</x:f>
        <x:v>0.10937388622881988</x:v>
      </x:c>
    </x:row>
    <x:row r="3903">
      <x:c r="A3903" s="89" t="n">
        <x:v>3901</x:v>
      </x:c>
      <x:c r="B3903" s="80" t="n">
        <x:v>-1.3910385264132696</x:v>
      </x:c>
      <x:c r="C3903" s="84" t="n">
        <x:f>SQRT('Resumen'!$B$5^3/3)*B3903</x:f>
        <x:v>-0.8031164676778415</x:v>
      </x:c>
      <x:c r="D3903" s="84" t="n">
        <x:f>C3903^2-'Resumen'!$B$5^3/3</x:f>
        <x:v>0.3116627273220001</x:v>
      </x:c>
      <x:c r="E3903" s="85" t="n">
        <x:f>D3903+'Resumen'!$B$5^3/3</x:f>
        <x:v>0.6449960606553334</x:v>
      </x:c>
    </x:row>
    <x:row r="3904">
      <x:c r="A3904" s="89" t="n">
        <x:v>3902</x:v>
      </x:c>
      <x:c r="B3904" s="80" t="n">
        <x:v>-0.9536449909798864</x:v>
      </x:c>
      <x:c r="C3904" s="84" t="n">
        <x:f>SQRT('Resumen'!$B$5^3/3)*B3904</x:f>
        <x:v>-0.5505871922535757</x:v>
      </x:c>
      <x:c r="D3904" s="84" t="n">
        <x:f>C3904^2-'Resumen'!$B$5^3/3</x:f>
        <x:v>-0.030187077059657452</x:v>
      </x:c>
      <x:c r="E3904" s="85" t="n">
        <x:f>D3904+'Resumen'!$B$5^3/3</x:f>
        <x:v>0.30314625627367586</x:v>
      </x:c>
    </x:row>
    <x:row r="3905">
      <x:c r="A3905" s="89" t="n">
        <x:v>3903</x:v>
      </x:c>
      <x:c r="B3905" s="80" t="n">
        <x:v>-1.387748416215298</x:v>
      </x:c>
      <x:c r="C3905" s="84" t="n">
        <x:f>SQRT('Resumen'!$B$5^3/3)*B3905</x:f>
        <x:v>-0.8012169216693791</x:v>
      </x:c>
      <x:c r="D3905" s="84" t="n">
        <x:f>C3905^2-'Resumen'!$B$5^3/3</x:f>
        <x:v>0.3086152222360226</x:v>
      </x:c>
      <x:c r="E3905" s="85" t="n">
        <x:f>D3905+'Resumen'!$B$5^3/3</x:f>
        <x:v>0.6419485555693559</x:v>
      </x:c>
    </x:row>
    <x:row r="3906">
      <x:c r="A3906" s="89" t="n">
        <x:v>3904</x:v>
      </x:c>
      <x:c r="B3906" s="80" t="n">
        <x:v>1.283514313861515</x:v>
      </x:c>
      <x:c r="C3906" s="84" t="n">
        <x:f>SQRT('Resumen'!$B$5^3/3)*B3906</x:f>
        <x:v>0.7410373346166835</x:v>
      </x:c>
      <x:c r="D3906" s="84" t="n">
        <x:f>C3906^2-'Resumen'!$B$5^3/3</x:f>
        <x:v>0.21580299796246533</x:v>
      </x:c>
      <x:c r="E3906" s="85" t="n">
        <x:f>D3906+'Resumen'!$B$5^3/3</x:f>
        <x:v>0.5491363312957986</x:v>
      </x:c>
    </x:row>
    <x:row r="3907">
      <x:c r="A3907" s="89" t="n">
        <x:v>3905</x:v>
      </x:c>
      <x:c r="B3907" s="80" t="n">
        <x:v>1.5808293272641678</x:v>
      </x:c>
      <x:c r="C3907" s="84" t="n">
        <x:f>SQRT('Resumen'!$B$5^3/3)*B3907</x:f>
        <x:v>0.9126922376388222</x:v>
      </x:c>
      <x:c r="D3907" s="84" t="n">
        <x:f>C3907^2-'Resumen'!$B$5^3/3</x:f>
        <x:v>0.499673787312827</x:v>
      </x:c>
      <x:c r="E3907" s="85" t="n">
        <x:f>D3907+'Resumen'!$B$5^3/3</x:f>
        <x:v>0.8330071206461603</x:v>
      </x:c>
    </x:row>
    <x:row r="3908">
      <x:c r="A3908" s="89" t="n">
        <x:v>3906</x:v>
      </x:c>
      <x:c r="B3908" s="80" t="n">
        <x:v>0.9621064939576627</x:v>
      </x:c>
      <x:c r="C3908" s="84" t="n">
        <x:f>SQRT('Resumen'!$B$5^3/3)*B3908</x:f>
        <x:v>0.5554724432755436</x:v>
      </x:c>
      <x:c r="D3908" s="84" t="n">
        <x:f>C3908^2-'Resumen'!$B$5^3/3</x:f>
        <x:v>-0.02478369809483133</x:v>
      </x:c>
      <x:c r="E3908" s="85" t="n">
        <x:f>D3908+'Resumen'!$B$5^3/3</x:f>
        <x:v>0.308549635238502</x:v>
      </x:c>
    </x:row>
    <x:row r="3909">
      <x:c r="A3909" s="89" t="n">
        <x:v>3907</x:v>
      </x:c>
      <x:c r="B3909" s="80" t="n">
        <x:v>-0.3207587270132811</x:v>
      </x:c>
      <x:c r="C3909" s="84" t="n">
        <x:f>SQRT('Resumen'!$B$5^3/3)*B3909</x:f>
        <x:v>-0.18519013738603954</x:v>
      </x:c>
      <x:c r="D3909" s="84" t="n">
        <x:f>C3909^2-'Resumen'!$B$5^3/3</x:f>
        <x:v>-0.29903794634827313</x:v>
      </x:c>
      <x:c r="E3909" s="85" t="n">
        <x:f>D3909+'Resumen'!$B$5^3/3</x:f>
        <x:v>0.03429538698506018</x:v>
      </x:c>
    </x:row>
    <x:row r="3910">
      <x:c r="A3910" s="89" t="n">
        <x:v>3908</x:v>
      </x:c>
      <x:c r="B3910" s="80" t="n">
        <x:v>0.4648280344519102</x:v>
      </x:c>
      <x:c r="C3910" s="84" t="n">
        <x:f>SQRT('Resumen'!$B$5^3/3)*B3910</x:f>
        <x:v>0.268368590817695</x:v>
      </x:c>
      <x:c r="D3910" s="84" t="n">
        <x:f>C3910^2-'Resumen'!$B$5^3/3</x:f>
        <x:v>-0.2613116327958579</x:v>
      </x:c>
      <x:c r="E3910" s="85" t="n">
        <x:f>D3910+'Resumen'!$B$5^3/3</x:f>
        <x:v>0.07202170053747542</x:v>
      </x:c>
    </x:row>
    <x:row r="3911">
      <x:c r="A3911" s="89" t="n">
        <x:v>3909</x:v>
      </x:c>
      <x:c r="B3911" s="80" t="n">
        <x:v>-0.8211710082445101</x:v>
      </x:c>
      <x:c r="C3911" s="84" t="n">
        <x:f>SQRT('Resumen'!$B$5^3/3)*B3911</x:f>
        <x:v>-0.47410330266068423</x:v>
      </x:c>
      <x:c r="D3911" s="84" t="n">
        <x:f>C3911^2-'Resumen'!$B$5^3/3</x:f>
        <x:v>-0.10855939173956497</x:v>
      </x:c>
      <x:c r="E3911" s="85" t="n">
        <x:f>D3911+'Resumen'!$B$5^3/3</x:f>
        <x:v>0.22477394159376834</x:v>
      </x:c>
    </x:row>
    <x:row r="3912">
      <x:c r="A3912" s="89" t="n">
        <x:v>3910</x:v>
      </x:c>
      <x:c r="B3912" s="80" t="n">
        <x:v>0.4396907700355494</x:v>
      </x:c>
      <x:c r="C3912" s="84" t="n">
        <x:f>SQRT('Resumen'!$B$5^3/3)*B3912</x:f>
        <x:v>0.2538555844402183</x:v>
      </x:c>
      <x:c r="D3912" s="84" t="n">
        <x:f>C3912^2-'Resumen'!$B$5^3/3</x:f>
        <x:v>-0.26889067558184854</x:v>
      </x:c>
      <x:c r="E3912" s="85" t="n">
        <x:f>D3912+'Resumen'!$B$5^3/3</x:f>
        <x:v>0.06444265775148478</x:v>
      </x:c>
    </x:row>
    <x:row r="3913">
      <x:c r="A3913" s="89" t="n">
        <x:v>3911</x:v>
      </x:c>
      <x:c r="B3913" s="80" t="n">
        <x:v>1.4082927025784422</x:v>
      </x:c>
      <x:c r="C3913" s="84" t="n">
        <x:f>SQRT('Resumen'!$B$5^3/3)*B3913</x:f>
        <x:v>0.8130781709314491</x:v>
      </x:c>
      <x:c r="D3913" s="84" t="n">
        <x:f>C3913^2-'Resumen'!$B$5^3/3</x:f>
        <x:v>0.32776277871189735</x:v>
      </x:c>
      <x:c r="E3913" s="85" t="n">
        <x:f>D3913+'Resumen'!$B$5^3/3</x:f>
        <x:v>0.6610961120452307</x:v>
      </x:c>
    </x:row>
    <x:row r="3914">
      <x:c r="A3914" s="89" t="n">
        <x:v>3912</x:v>
      </x:c>
      <x:c r="B3914" s="80" t="n">
        <x:v>0.8992176380822369</x:v>
      </x:c>
      <x:c r="C3914" s="84" t="n">
        <x:f>SQRT('Resumen'!$B$5^3/3)*B3914</x:f>
        <x:v>0.519163545406839</x:v>
      </x:c>
      <x:c r="D3914" s="84" t="n">
        <x:f>C3914^2-'Resumen'!$B$5^3/3</x:f>
        <x:v>-0.0638025464539344</x:v>
      </x:c>
      <x:c r="E3914" s="85" t="n">
        <x:f>D3914+'Resumen'!$B$5^3/3</x:f>
        <x:v>0.2695307868793989</x:v>
      </x:c>
    </x:row>
    <x:row r="3915">
      <x:c r="A3915" s="89" t="n">
        <x:v>3913</x:v>
      </x:c>
      <x:c r="B3915" s="80" t="n">
        <x:v>-0.6595491882818251</x:v>
      </x:c>
      <x:c r="C3915" s="84" t="n">
        <x:f>SQRT('Resumen'!$B$5^3/3)*B3915</x:f>
        <x:v>-0.38079090139831084</x:v>
      </x:c>
      <x:c r="D3915" s="84" t="n">
        <x:f>C3915^2-'Resumen'!$B$5^3/3</x:f>
        <x:v>-0.18833162274559523</x:v>
      </x:c>
      <x:c r="E3915" s="85" t="n">
        <x:f>D3915+'Resumen'!$B$5^3/3</x:f>
        <x:v>0.1450017105877381</x:v>
      </x:c>
    </x:row>
    <x:row r="3916">
      <x:c r="A3916" s="89" t="n">
        <x:v>3914</x:v>
      </x:c>
      <x:c r="B3916" s="80" t="n">
        <x:v>1.5070088782951363</x:v>
      </x:c>
      <x:c r="C3916" s="84" t="n">
        <x:f>SQRT('Resumen'!$B$5^3/3)*B3916</x:f>
        <x:v>0.8700719815548529</x:v>
      </x:c>
      <x:c r="D3916" s="84" t="n">
        <x:f>C3916^2-'Resumen'!$B$5^3/3</x:f>
        <x:v>0.42369191975345494</x:v>
      </x:c>
      <x:c r="E3916" s="85" t="n">
        <x:f>D3916+'Resumen'!$B$5^3/3</x:f>
        <x:v>0.7570252530867883</x:v>
      </x:c>
    </x:row>
    <x:row r="3917">
      <x:c r="A3917" s="89" t="n">
        <x:v>3915</x:v>
      </x:c>
      <x:c r="B3917" s="80" t="n">
        <x:v>1.0837170553875668</x:v>
      </x:c>
      <x:c r="C3917" s="84" t="n">
        <x:f>SQRT('Resumen'!$B$5^3/3)*B3917</x:f>
        <x:v>0.6256843336534003</x:v>
      </x:c>
      <x:c r="D3917" s="84" t="n">
        <x:f>C3917^2-'Resumen'!$B$5^3/3</x:f>
        <x:v>0.05814755204596617</x:v>
      </x:c>
      <x:c r="E3917" s="85" t="n">
        <x:f>D3917+'Resumen'!$B$5^3/3</x:f>
        <x:v>0.3914808853792995</x:v>
      </x:c>
    </x:row>
    <x:row r="3918">
      <x:c r="A3918" s="89" t="n">
        <x:v>3916</x:v>
      </x:c>
      <x:c r="B3918" s="80" t="n">
        <x:v>0.20648914347127817</x:v>
      </x:c>
      <x:c r="C3918" s="84" t="n">
        <x:f>SQRT('Resumen'!$B$5^3/3)*B3918</x:f>
        <x:v>0.1192165625678777</x:v>
      </x:c>
      <x:c r="D3918" s="84" t="n">
        <x:f>C3918^2-'Resumen'!$B$5^3/3</x:f>
        <x:v>-0.3191207445428326</x:v>
      </x:c>
      <x:c r="E3918" s="85" t="n">
        <x:f>D3918+'Resumen'!$B$5^3/3</x:f>
        <x:v>0.014212588790500691</x:v>
      </x:c>
    </x:row>
    <x:row r="3919">
      <x:c r="A3919" s="89" t="n">
        <x:v>3917</x:v>
      </x:c>
      <x:c r="B3919" s="80" t="n">
        <x:v>0.04994302538733193</x:v>
      </x:c>
      <x:c r="C3919" s="84" t="n">
        <x:f>SQRT('Resumen'!$B$5^3/3)*B3919</x:f>
        <x:v>0.028834619151520403</x:v>
      </x:c>
      <x:c r="D3919" s="84" t="n">
        <x:f>C3919^2-'Resumen'!$B$5^3/3</x:f>
        <x:v>-0.3325018980717201</x:v>
      </x:c>
      <x:c r="E3919" s="85" t="n">
        <x:f>D3919+'Resumen'!$B$5^3/3</x:f>
        <x:v>0.0008314352616132226</x:v>
      </x:c>
    </x:row>
    <x:row r="3920">
      <x:c r="A3920" s="89" t="n">
        <x:v>3918</x:v>
      </x:c>
      <x:c r="B3920" s="80" t="n">
        <x:v>1.3256251351399717</x:v>
      </x:c>
      <x:c r="C3920" s="84" t="n">
        <x:f>SQRT('Resumen'!$B$5^3/3)*B3920</x:f>
        <x:v>0.7653500286175966</x:v>
      </x:c>
      <x:c r="D3920" s="84" t="n">
        <x:f>C3920^2-'Resumen'!$B$5^3/3</x:f>
        <x:v>0.2524273329716226</x:v>
      </x:c>
      <x:c r="E3920" s="85" t="n">
        <x:f>D3920+'Resumen'!$B$5^3/3</x:f>
        <x:v>0.5857606663049559</x:v>
      </x:c>
    </x:row>
    <x:row r="3921">
      <x:c r="A3921" s="89" t="n">
        <x:v>3919</x:v>
      </x:c>
      <x:c r="B3921" s="80" t="n">
        <x:v>-0.0552372863187202</x:v>
      </x:c>
      <x:c r="C3921" s="84" t="n">
        <x:f>SQRT('Resumen'!$B$5^3/3)*B3921</x:f>
        <x:v>-0.03189126212541754</x:v>
      </x:c>
      <x:c r="D3921" s="84" t="n">
        <x:f>C3921^2-'Resumen'!$B$5^3/3</x:f>
        <x:v>-0.3323162807333812</x:v>
      </x:c>
      <x:c r="E3921" s="85" t="n">
        <x:f>D3921+'Resumen'!$B$5^3/3</x:f>
        <x:v>0.0010170525999521063</x:v>
      </x:c>
    </x:row>
    <x:row r="3922">
      <x:c r="A3922" s="89" t="n">
        <x:v>3920</x:v>
      </x:c>
      <x:c r="B3922" s="80" t="n">
        <x:v>-1.1868680124983173</x:v>
      </x:c>
      <x:c r="C3922" s="84" t="n">
        <x:f>SQRT('Resumen'!$B$5^3/3)*B3922</x:f>
        <x:v>-0.6852385665084596</x:v>
      </x:c>
      <x:c r="D3922" s="84" t="n">
        <x:f>C3922^2-'Resumen'!$B$5^3/3</x:f>
        <x:v>0.1362185596972353</x:v>
      </x:c>
      <x:c r="E3922" s="85" t="n">
        <x:f>D3922+'Resumen'!$B$5^3/3</x:f>
        <x:v>0.4695518930305686</x:v>
      </x:c>
    </x:row>
    <x:row r="3923">
      <x:c r="A3923" s="89" t="n">
        <x:v>3921</x:v>
      </x:c>
      <x:c r="B3923" s="80" t="n">
        <x:v>-1.4588508605287163</x:v>
      </x:c>
      <x:c r="C3923" s="84" t="n">
        <x:f>SQRT('Resumen'!$B$5^3/3)*B3923</x:f>
        <x:v>-0.8422679370337715</x:v>
      </x:c>
      <x:c r="D3923" s="84" t="n">
        <x:f>C3923^2-'Resumen'!$B$5^3/3</x:f>
        <x:v>0.3760819444217918</x:v>
      </x:c>
      <x:c r="E3923" s="85" t="n">
        <x:f>D3923+'Resumen'!$B$5^3/3</x:f>
        <x:v>0.7094152777551251</x:v>
      </x:c>
    </x:row>
    <x:row r="3924">
      <x:c r="A3924" s="89" t="n">
        <x:v>3922</x:v>
      </x:c>
      <x:c r="B3924" s="80" t="n">
        <x:v>0.5196479888982555</x:v>
      </x:c>
      <x:c r="C3924" s="84" t="n">
        <x:f>SQRT('Resumen'!$B$5^3/3)*B3924</x:f>
        <x:v>0.3000189062742554</x:v>
      </x:c>
      <x:c r="D3924" s="84" t="n">
        <x:f>C3924^2-'Resumen'!$B$5^3/3</x:f>
        <x:v>-0.24332198921133286</x:v>
      </x:c>
      <x:c r="E3924" s="85" t="n">
        <x:f>D3924+'Resumen'!$B$5^3/3</x:f>
        <x:v>0.09001134412200046</x:v>
      </x:c>
    </x:row>
    <x:row r="3925">
      <x:c r="A3925" s="89" t="n">
        <x:v>3923</x:v>
      </x:c>
      <x:c r="B3925" s="80" t="n">
        <x:v>0.35669108432903185</x:v>
      </x:c>
      <x:c r="C3925" s="84" t="n">
        <x:f>SQRT('Resumen'!$B$5^3/3)*B3925</x:f>
        <x:v>0.20593569355490604</x:v>
      </x:c>
      <x:c r="D3925" s="84" t="n">
        <x:f>C3925^2-'Resumen'!$B$5^3/3</x:f>
        <x:v>-0.2909238234533931</x:v>
      </x:c>
      <x:c r="E3925" s="85" t="n">
        <x:f>D3925+'Resumen'!$B$5^3/3</x:f>
        <x:v>0.04240950987994019</x:v>
      </x:c>
    </x:row>
    <x:row r="3926">
      <x:c r="A3926" s="89" t="n">
        <x:v>3924</x:v>
      </x:c>
      <x:c r="B3926" s="80" t="n">
        <x:v>-0.6439716020310322</x:v>
      </x:c>
      <x:c r="C3926" s="84" t="n">
        <x:f>SQRT('Resumen'!$B$5^3/3)*B3926</x:f>
        <x:v>-0.37179717778309096</x:v>
      </x:c>
      <x:c r="D3926" s="84" t="n">
        <x:f>C3926^2-'Resumen'!$B$5^3/3</x:f>
        <x:v>-0.19510019192586198</x:v>
      </x:c>
      <x:c r="E3926" s="85" t="n">
        <x:f>D3926+'Resumen'!$B$5^3/3</x:f>
        <x:v>0.13823314140747134</x:v>
      </x:c>
    </x:row>
    <x:row r="3927">
      <x:c r="A3927" s="89" t="n">
        <x:v>3925</x:v>
      </x:c>
      <x:c r="B3927" s="80" t="n">
        <x:v>-0.5598625918041272</x:v>
      </x:c>
      <x:c r="C3927" s="84" t="n">
        <x:f>SQRT('Resumen'!$B$5^3/3)*B3927</x:f>
        <x:v>-0.3232368180873144</x:v>
      </x:c>
      <x:c r="D3927" s="84" t="n">
        <x:f>C3927^2-'Resumen'!$B$5^3/3</x:f>
        <x:v>-0.2288512927661217</x:v>
      </x:c>
      <x:c r="E3927" s="85" t="n">
        <x:f>D3927+'Resumen'!$B$5^3/3</x:f>
        <x:v>0.10448204056721161</x:v>
      </x:c>
    </x:row>
    <x:row r="3928">
      <x:c r="A3928" s="89" t="n">
        <x:v>3926</x:v>
      </x:c>
      <x:c r="B3928" s="80" t="n">
        <x:v>-0.4143832652189962</x:v>
      </x:c>
      <x:c r="C3928" s="84" t="n">
        <x:f>SQRT('Resumen'!$B$5^3/3)*B3928</x:f>
        <x:v>-0.23924428972186354</x:v>
      </x:c>
      <x:c r="D3928" s="84" t="n">
        <x:f>C3928^2-'Resumen'!$B$5^3/3</x:f>
        <x:v>-0.2760955031688143</x:v>
      </x:c>
      <x:c r="E3928" s="85" t="n">
        <x:f>D3928+'Resumen'!$B$5^3/3</x:f>
        <x:v>0.057237830164519</x:v>
      </x:c>
    </x:row>
    <x:row r="3929">
      <x:c r="A3929" s="89" t="n">
        <x:v>3927</x:v>
      </x:c>
      <x:c r="B3929" s="80" t="n">
        <x:v>0.2640942581067984</x:v>
      </x:c>
      <x:c r="C3929" s="84" t="n">
        <x:f>SQRT('Resumen'!$B$5^3/3)*B3929</x:f>
        <x:v>0.15247489100939454</x:v>
      </x:c>
      <x:c r="D3929" s="84" t="n">
        <x:f>C3929^2-'Resumen'!$B$5^3/3</x:f>
        <x:v>-0.3100847409450066</x:v>
      </x:c>
      <x:c r="E3929" s="85" t="n">
        <x:f>D3929+'Resumen'!$B$5^3/3</x:f>
        <x:v>0.023248592388326716</x:v>
      </x:c>
    </x:row>
    <x:row r="3930">
      <x:c r="A3930" s="89" t="n">
        <x:v>3928</x:v>
      </x:c>
      <x:c r="B3930" s="80" t="n">
        <x:v>-0.9446159867434774</x:v>
      </x:c>
      <x:c r="C3930" s="84" t="n">
        <x:f>SQRT('Resumen'!$B$5^3/3)*B3930</x:f>
        <x:v>-0.5453742942271705</x:v>
      </x:c>
      <x:c r="D3930" s="84" t="n">
        <x:f>C3930^2-'Resumen'!$B$5^3/3</x:f>
        <x:v>-0.03590021252954895</x:v>
      </x:c>
      <x:c r="E3930" s="85" t="n">
        <x:f>D3930+'Resumen'!$B$5^3/3</x:f>
        <x:v>0.29743312080378437</x:v>
      </x:c>
    </x:row>
    <x:row r="3931">
      <x:c r="A3931" s="89" t="n">
        <x:v>3929</x:v>
      </x:c>
      <x:c r="B3931" s="80" t="n">
        <x:v>-0.1012170560616705</x:v>
      </x:c>
      <x:c r="C3931" s="84" t="n">
        <x:f>SQRT('Resumen'!$B$5^3/3)*B3931</x:f>
        <x:v>-0.058437694563786904</x:v>
      </x:c>
      <x:c r="D3931" s="84" t="n">
        <x:f>C3931^2-'Resumen'!$B$5^3/3</x:f>
        <x:v>-0.32991836918740286</x:v>
      </x:c>
      <x:c r="E3931" s="85" t="n">
        <x:f>D3931+'Resumen'!$B$5^3/3</x:f>
        <x:v>0.0034149641459304547</x:v>
      </x:c>
    </x:row>
    <x:row r="3932">
      <x:c r="A3932" s="89" t="n">
        <x:v>3930</x:v>
      </x:c>
      <x:c r="B3932" s="80" t="n">
        <x:v>-0.689802990849198</x:v>
      </x:c>
      <x:c r="C3932" s="84" t="n">
        <x:f>SQRT('Resumen'!$B$5^3/3)*B3932</x:f>
        <x:v>-0.39825794245459345</x:v>
      </x:c>
      <x:c r="D3932" s="84" t="n">
        <x:f>C3932^2-'Resumen'!$B$5^3/3</x:f>
        <x:v>-0.17472394460516705</x:v>
      </x:c>
      <x:c r="E3932" s="85" t="n">
        <x:f>D3932+'Resumen'!$B$5^3/3</x:f>
        <x:v>0.15860938872816627</x:v>
      </x:c>
    </x:row>
    <x:row r="3933">
      <x:c r="A3933" s="89" t="n">
        <x:v>3931</x:v>
      </x:c>
      <x:c r="B3933" s="80" t="n">
        <x:v>-0.13832246673297294</x:v>
      </x:c>
      <x:c r="C3933" s="84" t="n">
        <x:f>SQRT('Resumen'!$B$5^3/3)*B3933</x:f>
        <x:v>-0.07986051340325498</x:v>
      </x:c>
      <x:c r="D3933" s="84" t="n">
        <x:f>C3933^2-'Resumen'!$B$5^3/3</x:f>
        <x:v>-0.32695563173230185</x:v>
      </x:c>
      <x:c r="E3933" s="85" t="n">
        <x:f>D3933+'Resumen'!$B$5^3/3</x:f>
        <x:v>0.00637770160103146</x:v>
      </x:c>
    </x:row>
    <x:row r="3934">
      <x:c r="A3934" s="89" t="n">
        <x:v>3932</x:v>
      </x:c>
      <x:c r="B3934" s="80" t="n">
        <x:v>0.41642492357105976</x:v>
      </x:c>
      <x:c r="C3934" s="84" t="n">
        <x:f>SQRT('Resumen'!$B$5^3/3)*B3934</x:f>
        <x:v>0.24042304172102066</x:v>
      </x:c>
      <x:c r="D3934" s="84" t="n">
        <x:f>C3934^2-'Resumen'!$B$5^3/3</x:f>
        <x:v>-0.2755300943429457</x:v>
      </x:c>
      <x:c r="E3934" s="85" t="n">
        <x:f>D3934+'Resumen'!$B$5^3/3</x:f>
        <x:v>0.05780323899038764</x:v>
      </x:c>
    </x:row>
    <x:row r="3935">
      <x:c r="A3935" s="89" t="n">
        <x:v>3933</x:v>
      </x:c>
      <x:c r="B3935" s="80" t="n">
        <x:v>-0.7059611681944571</x:v>
      </x:c>
      <x:c r="C3935" s="84" t="n">
        <x:f>SQRT('Resumen'!$B$5^3/3)*B3935</x:f>
        <x:v>-0.40758687049449244</x:v>
      </x:c>
      <x:c r="D3935" s="84" t="n">
        <x:f>C3935^2-'Resumen'!$B$5^3/3</x:f>
        <x:v>-0.16720627633383917</x:v>
      </x:c>
      <x:c r="E3935" s="85" t="n">
        <x:f>D3935+'Resumen'!$B$5^3/3</x:f>
        <x:v>0.16612705699949415</x:v>
      </x:c>
    </x:row>
    <x:row r="3936">
      <x:c r="A3936" s="89" t="n">
        <x:v>3934</x:v>
      </x:c>
      <x:c r="B3936" s="80" t="n">
        <x:v>-0.32255534827339727</x:v>
      </x:c>
      <x:c r="C3936" s="84" t="n">
        <x:f>SQRT('Resumen'!$B$5^3/3)*B3936</x:f>
        <x:v>-0.18622741715419938</x:v>
      </x:c>
      <x:c r="D3936" s="84" t="n">
        <x:f>C3936^2-'Resumen'!$B$5^3/3</x:f>
        <x:v>-0.29865268243340914</x:v>
      </x:c>
      <x:c r="E3936" s="85" t="n">
        <x:f>D3936+'Resumen'!$B$5^3/3</x:f>
        <x:v>0.03468065089992417</x:v>
      </x:c>
    </x:row>
    <x:row r="3937">
      <x:c r="A3937" s="89" t="n">
        <x:v>3935</x:v>
      </x:c>
      <x:c r="B3937" s="80" t="n">
        <x:v>0.4055055320115658</x:v>
      </x:c>
      <x:c r="C3937" s="84" t="n">
        <x:f>SQRT('Resumen'!$B$5^3/3)*B3937</x:f>
        <x:v>0.23411872806475992</x:v>
      </x:c>
      <x:c r="D3937" s="84" t="n">
        <x:f>C3937^2-'Resumen'!$B$5^3/3</x:f>
        <x:v>-0.2785217545026723</x:v>
      </x:c>
      <x:c r="E3937" s="85" t="n">
        <x:f>D3937+'Resumen'!$B$5^3/3</x:f>
        <x:v>0.05481157883066101</x:v>
      </x:c>
    </x:row>
    <x:row r="3938">
      <x:c r="A3938" s="89" t="n">
        <x:v>3936</x:v>
      </x:c>
      <x:c r="B3938" s="80" t="n">
        <x:v>-0.6194144026502251</x:v>
      </x:c>
      <x:c r="C3938" s="84" t="n">
        <x:f>SQRT('Resumen'!$B$5^3/3)*B3938</x:f>
        <x:v>-0.3576190721100387</x:v>
      </x:c>
      <x:c r="D3938" s="84" t="n">
        <x:f>C3938^2-'Resumen'!$B$5^3/3</x:f>
        <x:v>-0.20544193259648827</x:v>
      </x:c>
      <x:c r="E3938" s="85" t="n">
        <x:f>D3938+'Resumen'!$B$5^3/3</x:f>
        <x:v>0.12789140073684505</x:v>
      </x:c>
    </x:row>
    <x:row r="3939">
      <x:c r="A3939" s="89" t="n">
        <x:v>3937</x:v>
      </x:c>
      <x:c r="B3939" s="80" t="n">
        <x:v>0.12651484923374756</x:v>
      </x:c>
      <x:c r="C3939" s="84" t="n">
        <x:f>SQRT('Resumen'!$B$5^3/3)*B3939</x:f>
        <x:v>0.07304338226158907</x:v>
      </x:c>
      <x:c r="D3939" s="84" t="n">
        <x:f>C3939^2-'Resumen'!$B$5^3/3</x:f>
        <x:v>-0.3279979976411207</x:v>
      </x:c>
      <x:c r="E3939" s="85" t="n">
        <x:f>D3939+'Resumen'!$B$5^3/3</x:f>
        <x:v>0.005335335692212617</x:v>
      </x:c>
    </x:row>
    <x:row r="3940">
      <x:c r="A3940" s="89" t="n">
        <x:v>3938</x:v>
      </x:c>
      <x:c r="B3940" s="80" t="n">
        <x:v>-1.5572000790876155</x:v>
      </x:c>
      <x:c r="C3940" s="84" t="n">
        <x:f>SQRT('Resumen'!$B$5^3/3)*B3940</x:f>
        <x:v>-0.8990498848433413</x:v>
      </x:c>
      <x:c r="D3940" s="84" t="n">
        <x:f>C3940^2-'Resumen'!$B$5^3/3</x:f>
        <x:v>0.4749573621034919</x:v>
      </x:c>
      <x:c r="E3940" s="85" t="n">
        <x:f>D3940+'Resumen'!$B$5^3/3</x:f>
        <x:v>0.8082906954368252</x:v>
      </x:c>
    </x:row>
    <x:row r="3941">
      <x:c r="A3941" s="89" t="n">
        <x:v>3939</x:v>
      </x:c>
      <x:c r="B3941" s="80" t="n">
        <x:v>0.5485445706052448</x:v>
      </x:c>
      <x:c r="C3941" s="84" t="n">
        <x:f>SQRT('Resumen'!$B$5^3/3)*B3941</x:f>
        <x:v>0.3167023555014457</x:v>
      </x:c>
      <x:c r="D3941" s="84" t="n">
        <x:f>C3941^2-'Resumen'!$B$5^3/3</x:f>
        <x:v>-0.2330329513531692</x:v>
      </x:c>
      <x:c r="E3941" s="85" t="n">
        <x:f>D3941+'Resumen'!$B$5^3/3</x:f>
        <x:v>0.10030038198016411</x:v>
      </x:c>
    </x:row>
    <x:row r="3942">
      <x:c r="A3942" s="89" t="n">
        <x:v>3940</x:v>
      </x:c>
      <x:c r="B3942" s="80" t="n">
        <x:v>-0.6810868400604789</x:v>
      </x:c>
      <x:c r="C3942" s="84" t="n">
        <x:f>SQRT('Resumen'!$B$5^3/3)*B3942</x:f>
        <x:v>-0.39322567045042905</x:v>
      </x:c>
      <x:c r="D3942" s="84" t="n">
        <x:f>C3942^2-'Resumen'!$B$5^3/3</x:f>
        <x:v>-0.17870690543214388</x:v>
      </x:c>
      <x:c r="E3942" s="85" t="n">
        <x:f>D3942+'Resumen'!$B$5^3/3</x:f>
        <x:v>0.15462642790118944</x:v>
      </x:c>
    </x:row>
    <x:row r="3943">
      <x:c r="A3943" s="89" t="n">
        <x:v>3941</x:v>
      </x:c>
      <x:c r="B3943" s="80" t="n">
        <x:v>-0.9921342804317419</x:v>
      </x:c>
      <x:c r="C3943" s="84" t="n">
        <x:f>SQRT('Resumen'!$B$5^3/3)*B3943</x:f>
        <x:v>-0.5728089938795218</x:v>
      </x:c>
      <x:c r="D3943" s="84" t="n">
        <x:f>C3943^2-'Resumen'!$B$5^3/3</x:f>
        <x:v>-0.005223189864063282</x:v>
      </x:c>
      <x:c r="E3943" s="85" t="n">
        <x:f>D3943+'Resumen'!$B$5^3/3</x:f>
        <x:v>0.32811014346927003</x:v>
      </x:c>
    </x:row>
    <x:row r="3944">
      <x:c r="A3944" s="89" t="n">
        <x:v>3942</x:v>
      </x:c>
      <x:c r="B3944" s="80" t="n">
        <x:v>-0.1584027808685702</x:v>
      </x:c>
      <x:c r="C3944" s="84" t="n">
        <x:f>SQRT('Resumen'!$B$5^3/3)*B3944</x:f>
        <x:v>-0.09145388817485431</x:v>
      </x:c>
      <x:c r="D3944" s="84" t="n">
        <x:f>C3944^2-'Resumen'!$B$5^3/3</x:f>
        <x:v>-0.32496951967103455</x:v>
      </x:c>
      <x:c r="E3944" s="85" t="n">
        <x:f>D3944+'Resumen'!$B$5^3/3</x:f>
        <x:v>0.008363813662298769</x:v>
      </x:c>
    </x:row>
    <x:row r="3945">
      <x:c r="A3945" s="89" t="n">
        <x:v>3943</x:v>
      </x:c>
      <x:c r="B3945" s="80" t="n">
        <x:v>1.6198389969975981</x:v>
      </x:c>
      <x:c r="C3945" s="84" t="n">
        <x:f>SQRT('Resumen'!$B$5^3/3)*B3945</x:f>
        <x:v>0.9352144809604166</x:v>
      </x:c>
      <x:c r="D3945" s="84" t="n">
        <x:f>C3945^2-'Resumen'!$B$5^3/3</x:f>
        <x:v>0.5412927920647281</x:v>
      </x:c>
      <x:c r="E3945" s="85" t="n">
        <x:f>D3945+'Resumen'!$B$5^3/3</x:f>
        <x:v>0.8746261253980614</x:v>
      </x:c>
    </x:row>
    <x:row r="3946">
      <x:c r="A3946" s="89" t="n">
        <x:v>3944</x:v>
      </x:c>
      <x:c r="B3946" s="80" t="n">
        <x:v>0.4645824937568294</x:v>
      </x:c>
      <x:c r="C3946" s="84" t="n">
        <x:f>SQRT('Resumen'!$B$5^3/3)*B3946</x:f>
        <x:v>0.2682268278312931</x:v>
      </x:c>
      <x:c r="D3946" s="84" t="n">
        <x:f>C3946^2-'Resumen'!$B$5^3/3</x:f>
        <x:v>-0.26138770216489515</x:v>
      </x:c>
      <x:c r="E3946" s="85" t="n">
        <x:f>D3946+'Resumen'!$B$5^3/3</x:f>
        <x:v>0.07194563116843816</x:v>
      </x:c>
    </x:row>
    <x:row r="3947">
      <x:c r="A3947" s="89" t="n">
        <x:v>3945</x:v>
      </x:c>
      <x:c r="B3947" s="80" t="n">
        <x:v>-0.09627919980043437</x:v>
      </x:c>
      <x:c r="C3947" s="84" t="n">
        <x:f>SQRT('Resumen'!$B$5^3/3)*B3947</x:f>
        <x:v>-0.055586821922142544</x:v>
      </x:c>
      <x:c r="D3947" s="84" t="n">
        <x:f>C3947^2-'Resumen'!$B$5^3/3</x:f>
        <x:v>-0.33024343856192934</x:v>
      </x:c>
      <x:c r="E3947" s="85" t="n">
        <x:f>D3947+'Resumen'!$B$5^3/3</x:f>
        <x:v>0.003089894771403978</x:v>
      </x:c>
    </x:row>
    <x:row r="3948">
      <x:c r="A3948" s="89" t="n">
        <x:v>3946</x:v>
      </x:c>
      <x:c r="B3948" s="80" t="n">
        <x:v>1.6487188490598959</x:v>
      </x:c>
      <x:c r="C3948" s="84" t="n">
        <x:f>SQRT('Resumen'!$B$5^3/3)*B3948</x:f>
        <x:v>0.9518882713227408</x:v>
      </x:c>
      <x:c r="D3948" s="84" t="n">
        <x:f>C3948^2-'Resumen'!$B$5^3/3</x:f>
        <x:v>0.5727579477484626</x:v>
      </x:c>
      <x:c r="E3948" s="85" t="n">
        <x:f>D3948+'Resumen'!$B$5^3/3</x:f>
        <x:v>0.9060912810817958</x:v>
      </x:c>
    </x:row>
    <x:row r="3949">
      <x:c r="A3949" s="89" t="n">
        <x:v>3947</x:v>
      </x:c>
      <x:c r="B3949" s="80" t="n">
        <x:v>0.4611440757513353</x:v>
      </x:c>
      <x:c r="C3949" s="84" t="n">
        <x:f>SQRT('Resumen'!$B$5^3/3)*B3949</x:f>
        <x:v>0.2662416562702346</x:v>
      </x:c>
      <x:c r="D3949" s="84" t="n">
        <x:f>C3949^2-'Resumen'!$B$5^3/3</x:f>
        <x:v>-0.26244871379981555</x:v>
      </x:c>
      <x:c r="E3949" s="85" t="n">
        <x:f>D3949+'Resumen'!$B$5^3/3</x:f>
        <x:v>0.07088461953351777</x:v>
      </x:c>
    </x:row>
    <x:row r="3950">
      <x:c r="A3950" s="89" t="n">
        <x:v>3948</x:v>
      </x:c>
      <x:c r="B3950" s="80" t="n">
        <x:v>0.432463479694111</x:v>
      </x:c>
      <x:c r="C3950" s="84" t="n">
        <x:f>SQRT('Resumen'!$B$5^3/3)*B3950</x:f>
        <x:v>0.2496829064160772</x:v>
      </x:c>
      <x:c r="D3950" s="84" t="n">
        <x:f>C3950^2-'Resumen'!$B$5^3/3</x:f>
        <x:v>-0.27099177957695375</x:v>
      </x:c>
      <x:c r="E3950" s="85" t="n">
        <x:f>D3950+'Resumen'!$B$5^3/3</x:f>
        <x:v>0.062341553756379564</x:v>
      </x:c>
    </x:row>
    <x:row r="3951">
      <x:c r="A3951" s="89" t="n">
        <x:v>3949</x:v>
      </x:c>
      <x:c r="B3951" s="80" t="n">
        <x:v>-0.8894577506008704</x:v>
      </x:c>
      <x:c r="C3951" s="84" t="n">
        <x:f>SQRT('Resumen'!$B$5^3/3)*B3951</x:f>
        <x:v>-0.5135286717422115</x:v>
      </x:c>
      <x:c r="D3951" s="84" t="n">
        <x:f>C3951^2-'Resumen'!$B$5^3/3</x:f>
        <x:v>-0.06962163663201332</x:v>
      </x:c>
      <x:c r="E3951" s="85" t="n">
        <x:f>D3951+'Resumen'!$B$5^3/3</x:f>
        <x:v>0.26371169670132</x:v>
      </x:c>
    </x:row>
    <x:row r="3952">
      <x:c r="A3952" s="89" t="n">
        <x:v>3950</x:v>
      </x:c>
      <x:c r="B3952" s="80" t="n">
        <x:v>0.574943886660304</x:v>
      </x:c>
      <x:c r="C3952" s="84" t="n">
        <x:f>SQRT('Resumen'!$B$5^3/3)*B3952</x:f>
        <x:v>0.3319440077322562</x:v>
      </x:c>
      <x:c r="D3952" s="84" t="n">
        <x:f>C3952^2-'Resumen'!$B$5^3/3</x:f>
        <x:v>-0.22314650906398115</x:v>
      </x:c>
      <x:c r="E3952" s="85" t="n">
        <x:f>D3952+'Resumen'!$B$5^3/3</x:f>
        <x:v>0.11018682426935217</x:v>
      </x:c>
    </x:row>
    <x:row r="3953">
      <x:c r="A3953" s="89" t="n">
        <x:v>3951</x:v>
      </x:c>
      <x:c r="B3953" s="80" t="n">
        <x:v>-0.06101316099364941</x:v>
      </x:c>
      <x:c r="C3953" s="84" t="n">
        <x:f>SQRT('Resumen'!$B$5^3/3)*B3953</x:f>
        <x:v>-0.03522596492379346</x:v>
      </x:c>
      <x:c r="D3953" s="84" t="n">
        <x:f>C3953^2-'Resumen'!$B$5^3/3</x:f>
        <x:v>-0.332092464728521</x:v>
      </x:c>
      <x:c r="E3953" s="85" t="n">
        <x:f>D3953+'Resumen'!$B$5^3/3</x:f>
        <x:v>0.0012408686048123174</x:v>
      </x:c>
    </x:row>
    <x:row r="3954">
      <x:c r="A3954" s="89" t="n">
        <x:v>3952</x:v>
      </x:c>
      <x:c r="B3954" s="80" t="n">
        <x:v>0.4184788379344268</x:v>
      </x:c>
      <x:c r="C3954" s="84" t="n">
        <x:f>SQRT('Resumen'!$B$5^3/3)*B3954</x:f>
        <x:v>0.2416088697316031</x:v>
      </x:c>
      <x:c r="D3954" s="84" t="n">
        <x:f>C3954^2-'Resumen'!$B$5^3/3</x:f>
        <x:v>-0.27495848740035056</x:v>
      </x:c>
      <x:c r="E3954" s="85" t="n">
        <x:f>D3954+'Resumen'!$B$5^3/3</x:f>
        <x:v>0.058374845932982755</x:v>
      </x:c>
    </x:row>
    <x:row r="3955">
      <x:c r="A3955" s="89" t="n">
        <x:v>3953</x:v>
      </x:c>
      <x:c r="B3955" s="80" t="n">
        <x:v>1.225261805242276</x:v>
      </x:c>
      <x:c r="C3955" s="84" t="n">
        <x:f>SQRT('Resumen'!$B$5^3/3)*B3955</x:f>
        <x:v>0.7074052330843947</x:v>
      </x:c>
      <x:c r="D3955" s="84" t="n">
        <x:f>C3955^2-'Resumen'!$B$5^3/3</x:f>
        <x:v>0.16708883046185358</x:v>
      </x:c>
      <x:c r="E3955" s="85" t="n">
        <x:f>D3955+'Resumen'!$B$5^3/3</x:f>
        <x:v>0.5004221637951869</x:v>
      </x:c>
    </x:row>
    <x:row r="3956">
      <x:c r="A3956" s="89" t="n">
        <x:v>3954</x:v>
      </x:c>
      <x:c r="B3956" s="80" t="n">
        <x:v>1.1775314786608226</x:v>
      </x:c>
      <x:c r="C3956" s="84" t="n">
        <x:f>SQRT('Resumen'!$B$5^3/3)*B3956</x:f>
        <x:v>0.679848116184084</x:v>
      </x:c>
      <x:c r="D3956" s="84" t="n">
        <x:f>C3956^2-'Resumen'!$B$5^3/3</x:f>
        <x:v>0.12886012774571448</x:v>
      </x:c>
      <x:c r="E3956" s="85" t="n">
        <x:f>D3956+'Resumen'!$B$5^3/3</x:f>
        <x:v>0.4621934610790478</x:v>
      </x:c>
    </x:row>
    <x:row r="3957">
      <x:c r="A3957" s="89" t="n">
        <x:v>3955</x:v>
      </x:c>
      <x:c r="B3957" s="80" t="n">
        <x:v>-0.4257412378047179</x:v>
      </x:c>
      <x:c r="C3957" s="84" t="n">
        <x:f>SQRT('Resumen'!$B$5^3/3)*B3957</x:f>
        <x:v>-0.24580181825167835</x:v>
      </x:c>
      <x:c r="D3957" s="84" t="n">
        <x:f>C3957^2-'Resumen'!$B$5^3/3</x:f>
        <x:v>-0.2729147994775022</x:v>
      </x:c>
      <x:c r="E3957" s="85" t="n">
        <x:f>D3957+'Resumen'!$B$5^3/3</x:f>
        <x:v>0.060418533855831125</x:v>
      </x:c>
    </x:row>
    <x:row r="3958">
      <x:c r="A3958" s="89" t="n">
        <x:v>3956</x:v>
      </x:c>
      <x:c r="B3958" s="80" t="n">
        <x:v>-0.3170313152550391</x:v>
      </x:c>
      <x:c r="C3958" s="84" t="n">
        <x:f>SQRT('Resumen'!$B$5^3/3)*B3958</x:f>
        <x:v>-0.1830381152040379</x:v>
      </x:c>
      <x:c r="D3958" s="84" t="n">
        <x:f>C3958^2-'Resumen'!$B$5^3/3</x:f>
        <x:v>-0.29983038171588666</x:v>
      </x:c>
      <x:c r="E3958" s="85" t="n">
        <x:f>D3958+'Resumen'!$B$5^3/3</x:f>
        <x:v>0.03350295161744665</x:v>
      </x:c>
    </x:row>
    <x:row r="3959">
      <x:c r="A3959" s="89" t="n">
        <x:v>3957</x:v>
      </x:c>
      <x:c r="B3959" s="80" t="n">
        <x:v>2.0434298150312844</x:v>
      </x:c>
      <x:c r="C3959" s="84" t="n">
        <x:f>SQRT('Resumen'!$B$5^3/3)*B3959</x:f>
        <x:v>1.1797747537784191</x:v>
      </x:c>
      <x:c r="D3959" s="84" t="n">
        <x:f>C3959^2-'Resumen'!$B$5^3/3</x:f>
        <x:v>1.0585351363195963</x:v>
      </x:c>
      <x:c r="E3959" s="85" t="n">
        <x:f>D3959+'Resumen'!$B$5^3/3</x:f>
        <x:v>1.3918684696529295</x:v>
      </x:c>
    </x:row>
    <x:row r="3960">
      <x:c r="A3960" s="89" t="n">
        <x:v>3958</x:v>
      </x:c>
      <x:c r="B3960" s="80" t="n">
        <x:v>-0.06579769977895655</x:v>
      </x:c>
      <x:c r="C3960" s="84" t="n">
        <x:f>SQRT('Resumen'!$B$5^3/3)*B3960</x:f>
        <x:v>-0.03798831967943874</x:v>
      </x:c>
      <x:c r="D3960" s="84" t="n">
        <x:f>C3960^2-'Resumen'!$B$5^3/3</x:f>
        <x:v>-0.3318902209012661</x:v>
      </x:c>
      <x:c r="E3960" s="85" t="n">
        <x:f>D3960+'Resumen'!$B$5^3/3</x:f>
        <x:v>0.0014431124320672395</x:v>
      </x:c>
    </x:row>
    <x:row r="3961">
      <x:c r="A3961" s="89" t="n">
        <x:v>3959</x:v>
      </x:c>
      <x:c r="B3961" s="80" t="n">
        <x:v>1.2970215384054582</x:v>
      </x:c>
      <x:c r="C3961" s="84" t="n">
        <x:f>SQRT('Resumen'!$B$5^3/3)*B3961</x:f>
        <x:v>0.7488357343431338</x:v>
      </x:c>
      <x:c r="D3961" s="84" t="n">
        <x:f>C3961^2-'Resumen'!$B$5^3/3</x:f>
        <x:v>0.2274216236958871</x:v>
      </x:c>
      <x:c r="E3961" s="85" t="n">
        <x:f>D3961+'Resumen'!$B$5^3/3</x:f>
        <x:v>0.5607549570292204</x:v>
      </x:c>
    </x:row>
    <x:row r="3962">
      <x:c r="A3962" s="89" t="n">
        <x:v>3960</x:v>
      </x:c>
      <x:c r="B3962" s="80" t="n">
        <x:v>-0.3871777031654068</x:v>
      </x:c>
      <x:c r="C3962" s="84" t="n">
        <x:f>SQRT('Resumen'!$B$5^3/3)*B3962</x:f>
        <x:v>-0.22353715114676861</x:v>
      </x:c>
      <x:c r="D3962" s="84" t="n">
        <x:f>C3962^2-'Resumen'!$B$5^3/3</x:f>
        <x:v>-0.28336447539052</x:v>
      </x:c>
      <x:c r="E3962" s="85" t="n">
        <x:f>D3962+'Resumen'!$B$5^3/3</x:f>
        <x:v>0.049968857942813305</x:v>
      </x:c>
    </x:row>
    <x:row r="3963">
      <x:c r="A3963" s="89" t="n">
        <x:v>3961</x:v>
      </x:c>
      <x:c r="B3963" s="80" t="n">
        <x:v>-1.383870967790313</x:v>
      </x:c>
      <x:c r="C3963" s="84" t="n">
        <x:f>SQRT('Resumen'!$B$5^3/3)*B3963</x:f>
        <x:v>-0.7989782757774451</x:v>
      </x:c>
      <x:c r="D3963" s="84" t="n">
        <x:f>C3963^2-'Resumen'!$B$5^3/3</x:f>
        <x:v>0.30503295183096574</x:v>
      </x:c>
      <x:c r="E3963" s="85" t="n">
        <x:f>D3963+'Resumen'!$B$5^3/3</x:f>
        <x:v>0.638366285164299</x:v>
      </x:c>
    </x:row>
    <x:row r="3964">
      <x:c r="A3964" s="89" t="n">
        <x:v>3962</x:v>
      </x:c>
      <x:c r="B3964" s="80" t="n">
        <x:v>-2.4689072505761867</x:v>
      </x:c>
      <x:c r="C3964" s="84" t="n">
        <x:f>SQRT('Resumen'!$B$5^3/3)*B3964</x:f>
        <x:v>-1.42542426572438</x:v>
      </x:c>
      <x:c r="D3964" s="84" t="n">
        <x:f>C3964^2-'Resumen'!$B$5^3/3</x:f>
        <x:v>1.6985010039825548</x:v>
      </x:c>
      <x:c r="E3964" s="85" t="n">
        <x:f>D3964+'Resumen'!$B$5^3/3</x:f>
        <x:v>2.031834337315888</x:v>
      </x:c>
    </x:row>
    <x:row r="3965">
      <x:c r="A3965" s="89" t="n">
        <x:v>3963</x:v>
      </x:c>
      <x:c r="B3965" s="80" t="n">
        <x:v>-0.010958521892853346</x:v>
      </x:c>
      <x:c r="C3965" s="84" t="n">
        <x:f>SQRT('Resumen'!$B$5^3/3)*B3965</x:f>
        <x:v>-0.006326905564759286</x:v>
      </x:c>
      <x:c r="D3965" s="84" t="n">
        <x:f>C3965^2-'Resumen'!$B$5^3/3</x:f>
        <x:v>-0.3332933035993079</x:v>
      </x:c>
      <x:c r="E3965" s="85" t="n">
        <x:f>D3965+'Resumen'!$B$5^3/3</x:f>
        <x:v>0.000040029734025393005</x:v>
      </x:c>
    </x:row>
    <x:row r="3966">
      <x:c r="A3966" s="89" t="n">
        <x:v>3964</x:v>
      </x:c>
      <x:c r="B3966" s="80" t="n">
        <x:v>-1.9016910904638593</x:v>
      </x:c>
      <x:c r="C3966" s="84" t="n">
        <x:f>SQRT('Resumen'!$B$5^3/3)*B3966</x:f>
        <x:v>-1.097941862994822</x:v>
      </x:c>
      <x:c r="D3966" s="84" t="n">
        <x:f>C3966^2-'Resumen'!$B$5^3/3</x:f>
        <x:v>0.8721430011832074</x:v>
      </x:c>
      <x:c r="E3966" s="85" t="n">
        <x:f>D3966+'Resumen'!$B$5^3/3</x:f>
        <x:v>1.2054763345165407</x:v>
      </x:c>
    </x:row>
    <x:row r="3967">
      <x:c r="A3967" s="89" t="n">
        <x:v>3965</x:v>
      </x:c>
      <x:c r="B3967" s="80" t="n">
        <x:v>-0.7906667053925961</x:v>
      </x:c>
      <x:c r="C3967" s="84" t="n">
        <x:f>SQRT('Resumen'!$B$5^3/3)*B3967</x:f>
        <x:v>-0.45649163519768987</x:v>
      </x:c>
      <x:c r="D3967" s="84" t="n">
        <x:f>C3967^2-'Resumen'!$B$5^3/3</x:f>
        <x:v>-0.12494872032787255</x:v>
      </x:c>
      <x:c r="E3967" s="85" t="n">
        <x:f>D3967+'Resumen'!$B$5^3/3</x:f>
        <x:v>0.20838461300546077</x:v>
      </x:c>
    </x:row>
    <x:row r="3968">
      <x:c r="A3968" s="89" t="n">
        <x:v>3966</x:v>
      </x:c>
      <x:c r="B3968" s="80" t="n">
        <x:v>0.5232163878503759</x:v>
      </x:c>
      <x:c r="C3968" s="84" t="n">
        <x:f>SQRT('Resumen'!$B$5^3/3)*B3968</x:f>
        <x:v>0.3020791223698382</x:v>
      </x:c>
      <x:c r="D3968" s="84" t="n">
        <x:f>C3968^2-'Resumen'!$B$5^3/3</x:f>
        <x:v>-0.24208153716160163</x:v>
      </x:c>
      <x:c r="E3968" s="85" t="n">
        <x:f>D3968+'Resumen'!$B$5^3/3</x:f>
        <x:v>0.09125179617173168</x:v>
      </x:c>
    </x:row>
    <x:row r="3969">
      <x:c r="A3969" s="89" t="n">
        <x:v>3967</x:v>
      </x:c>
      <x:c r="B3969" s="80" t="n">
        <x:v>1.5474597227864582</x:v>
      </x:c>
      <x:c r="C3969" s="84" t="n">
        <x:f>SQRT('Resumen'!$B$5^3/3)*B3969</x:f>
        <x:v>0.8934262875108653</x:v>
      </x:c>
      <x:c r="D3969" s="84" t="n">
        <x:f>C3969^2-'Resumen'!$B$5^3/3</x:f>
        <x:v>0.46487719788211396</x:v>
      </x:c>
      <x:c r="E3969" s="85" t="n">
        <x:f>D3969+'Resumen'!$B$5^3/3</x:f>
        <x:v>0.7982105312154473</x:v>
      </x:c>
    </x:row>
    <x:row r="3970">
      <x:c r="A3970" s="89" t="n">
        <x:v>3968</x:v>
      </x:c>
      <x:c r="B3970" s="80" t="n">
        <x:v>0.07258932062989505</x:v>
      </x:c>
      <x:c r="C3970" s="84" t="n">
        <x:f>SQRT('Resumen'!$B$5^3/3)*B3970</x:f>
        <x:v>0.04190946380596196</x:v>
      </x:c>
      <x:c r="D3970" s="84" t="n">
        <x:f>C3970^2-'Resumen'!$B$5^3/3</x:f>
        <x:v>-0.3315769301768301</x:v>
      </x:c>
      <x:c r="E3970" s="85" t="n">
        <x:f>D3970+'Resumen'!$B$5^3/3</x:f>
        <x:v>0.0017564031565032168</x:v>
      </x:c>
    </x:row>
    <x:row r="3971">
      <x:c r="A3971" s="89" t="n">
        <x:v>3969</x:v>
      </x:c>
      <x:c r="B3971" s="80" t="n">
        <x:v>-0.3773290097009874</x:v>
      </x:c>
      <x:c r="C3971" s="84" t="n">
        <x:f>SQRT('Resumen'!$B$5^3/3)*B3971</x:f>
        <x:v>-0.21785100532391996</x:v>
      </x:c>
      <x:c r="D3971" s="84" t="n">
        <x:f>C3971^2-'Resumen'!$B$5^3/3</x:f>
        <x:v>-0.28587427281269073</x:v>
      </x:c>
      <x:c r="E3971" s="85" t="n">
        <x:f>D3971+'Resumen'!$B$5^3/3</x:f>
        <x:v>0.04745906052064258</x:v>
      </x:c>
    </x:row>
    <x:row r="3972">
      <x:c r="A3972" s="89" t="n">
        <x:v>3970</x:v>
      </x:c>
      <x:c r="B3972" s="80" t="n">
        <x:v>-0.8687602996097069</x:v>
      </x:c>
      <x:c r="C3972" s="84" t="n">
        <x:f>SQRT('Resumen'!$B$5^3/3)*B3972</x:f>
        <x:v>-0.5015789928409242</x:v>
      </x:c>
      <x:c r="D3972" s="84" t="n">
        <x:f>C3972^2-'Resumen'!$B$5^3/3</x:f>
        <x:v>-0.08175184727401741</x:v>
      </x:c>
      <x:c r="E3972" s="85" t="n">
        <x:f>D3972+'Resumen'!$B$5^3/3</x:f>
        <x:v>0.2515814860593159</x:v>
      </x:c>
    </x:row>
    <x:row r="3973">
      <x:c r="A3973" s="89" t="n">
        <x:v>3971</x:v>
      </x:c>
      <x:c r="B3973" s="80" t="n">
        <x:v>0.8711105871885515</x:v>
      </x:c>
      <x:c r="C3973" s="84" t="n">
        <x:f>SQRT('Resumen'!$B$5^3/3)*B3973</x:f>
        <x:v>0.5029359320072432</x:v>
      </x:c>
      <x:c r="D3973" s="84" t="n">
        <x:f>C3973^2-'Resumen'!$B$5^3/3</x:f>
        <x:v>-0.08038878162933899</x:v>
      </x:c>
      <x:c r="E3973" s="85" t="n">
        <x:f>D3973+'Resumen'!$B$5^3/3</x:f>
        <x:v>0.2529445517039943</x:v>
      </x:c>
    </x:row>
    <x:row r="3974">
      <x:c r="A3974" s="89" t="n">
        <x:v>3972</x:v>
      </x:c>
      <x:c r="B3974" s="80" t="n">
        <x:v>0.39237314122000216</x:v>
      </x:c>
      <x:c r="C3974" s="84" t="n">
        <x:f>SQRT('Resumen'!$B$5^3/3)*B3974</x:f>
        <x:v>0.2265367387061473</x:v>
      </x:c>
      <x:c r="D3974" s="84" t="n">
        <x:f>C3974^2-'Resumen'!$B$5^3/3</x:f>
        <x:v>-0.28201443934971604</x:v>
      </x:c>
      <x:c r="E3974" s="85" t="n">
        <x:f>D3974+'Resumen'!$B$5^3/3</x:f>
        <x:v>0.051318893983617275</x:v>
      </x:c>
    </x:row>
    <x:row r="3975">
      <x:c r="A3975" s="89" t="n">
        <x:v>3973</x:v>
      </x:c>
      <x:c r="B3975" s="80" t="n">
        <x:v>-2.138749716816961</x:v>
      </x:c>
      <x:c r="C3975" s="84" t="n">
        <x:f>SQRT('Resumen'!$B$5^3/3)*B3975</x:f>
        <x:v>-1.2348077247335083</x:v>
      </x:c>
      <x:c r="D3975" s="84" t="n">
        <x:f>C3975^2-'Resumen'!$B$5^3/3</x:f>
        <x:v>1.1914167837282104</x:v>
      </x:c>
      <x:c r="E3975" s="85" t="n">
        <x:f>D3975+'Resumen'!$B$5^3/3</x:f>
        <x:v>1.5247501170615436</x:v>
      </x:c>
    </x:row>
    <x:row r="3976">
      <x:c r="A3976" s="89" t="n">
        <x:v>3974</x:v>
      </x:c>
      <x:c r="B3976" s="80" t="n">
        <x:v>0.6963849808822533</x:v>
      </x:c>
      <x:c r="C3976" s="84" t="n">
        <x:f>SQRT('Resumen'!$B$5^3/3)*B3976</x:f>
        <x:v>0.4020580561719813</x:v>
      </x:c>
      <x:c r="D3976" s="84" t="n">
        <x:f>C3976^2-'Resumen'!$B$5^3/3</x:f>
        <x:v>-0.17168265280054124</x:v>
      </x:c>
      <x:c r="E3976" s="85" t="n">
        <x:f>D3976+'Resumen'!$B$5^3/3</x:f>
        <x:v>0.16165068053279208</x:v>
      </x:c>
    </x:row>
    <x:row r="3977">
      <x:c r="A3977" s="89" t="n">
        <x:v>3975</x:v>
      </x:c>
      <x:c r="B3977" s="80" t="n">
        <x:v>1.044490131553109</x:v>
      </x:c>
      <x:c r="C3977" s="84" t="n">
        <x:f>SQRT('Resumen'!$B$5^3/3)*B3977</x:f>
        <x:v>0.6030366586180951</x:v>
      </x:c>
      <x:c r="D3977" s="84" t="n">
        <x:f>C3977^2-'Resumen'!$B$5^3/3</x:f>
        <x:v>0.030319878303943615</x:v>
      </x:c>
      <x:c r="E3977" s="85" t="n">
        <x:f>D3977+'Resumen'!$B$5^3/3</x:f>
        <x:v>0.36365321163727693</x:v>
      </x:c>
    </x:row>
    <x:row r="3978">
      <x:c r="A3978" s="89" t="n">
        <x:v>3976</x:v>
      </x:c>
      <x:c r="B3978" s="80" t="n">
        <x:v>0.3439883036085314</x:v>
      </x:c>
      <x:c r="C3978" s="84" t="n">
        <x:f>SQRT('Resumen'!$B$5^3/3)*B3978</x:f>
        <x:v>0.1986017396864683</x:v>
      </x:c>
      <x:c r="D3978" s="84" t="n">
        <x:f>C3978^2-'Resumen'!$B$5^3/3</x:f>
        <x:v>-0.29389068232684157</x:v>
      </x:c>
      <x:c r="E3978" s="85" t="n">
        <x:f>D3978+'Resumen'!$B$5^3/3</x:f>
        <x:v>0.03944265100649175</x:v>
      </x:c>
    </x:row>
    <x:row r="3979">
      <x:c r="A3979" s="89" t="n">
        <x:v>3977</x:v>
      </x:c>
      <x:c r="B3979" s="80" t="n">
        <x:v>1.1106336546876665</x:v>
      </x:c>
      <x:c r="C3979" s="84" t="n">
        <x:f>SQRT('Resumen'!$B$5^3/3)*B3979</x:f>
        <x:v>0.6412246395049821</x:v>
      </x:c>
      <x:c r="D3979" s="84" t="n">
        <x:f>C3979^2-'Resumen'!$B$5^3/3</x:f>
        <x:v>0.07783570497496095</x:v>
      </x:c>
      <x:c r="E3979" s="85" t="n">
        <x:f>D3979+'Resumen'!$B$5^3/3</x:f>
        <x:v>0.41116903830829427</x:v>
      </x:c>
    </x:row>
    <x:row r="3980">
      <x:c r="A3980" s="89" t="n">
        <x:v>3978</x:v>
      </x:c>
      <x:c r="B3980" s="80" t="n">
        <x:v>-0.7774935578541846</x:v>
      </x:c>
      <x:c r="C3980" s="84" t="n">
        <x:f>SQRT('Resumen'!$B$5^3/3)*B3980</x:f>
        <x:v>-0.44888611492031333</x:v>
      </x:c>
      <x:c r="D3980" s="84" t="n">
        <x:f>C3980^2-'Resumen'!$B$5^3/3</x:f>
        <x:v>-0.13183458916508056</x:v>
      </x:c>
      <x:c r="E3980" s="85" t="n">
        <x:f>D3980+'Resumen'!$B$5^3/3</x:f>
        <x:v>0.20149874416825275</x:v>
      </x:c>
    </x:row>
    <x:row r="3981">
      <x:c r="A3981" s="89" t="n">
        <x:v>3979</x:v>
      </x:c>
      <x:c r="B3981" s="80" t="n">
        <x:v>0.5927505423851737</x:v>
      </x:c>
      <x:c r="C3981" s="84" t="n">
        <x:f>SQRT('Resumen'!$B$5^3/3)*B3981</x:f>
        <x:v>0.3422246852083767</x:v>
      </x:c>
      <x:c r="D3981" s="84" t="n">
        <x:f>C3981^2-'Resumen'!$B$5^3/3</x:f>
        <x:v>-0.2162155981673608</x:v>
      </x:c>
      <x:c r="E3981" s="85" t="n">
        <x:f>D3981+'Resumen'!$B$5^3/3</x:f>
        <x:v>0.11711773516597251</x:v>
      </x:c>
    </x:row>
    <x:row r="3982">
      <x:c r="A3982" s="89" t="n">
        <x:v>3980</x:v>
      </x:c>
      <x:c r="B3982" s="80" t="n">
        <x:v>-2.1466215381488736</x:v>
      </x:c>
      <x:c r="C3982" s="84" t="n">
        <x:f>SQRT('Resumen'!$B$5^3/3)*B3982</x:f>
        <x:v>-1.2393525228985005</x:v>
      </x:c>
      <x:c r="D3982" s="84" t="n">
        <x:f>C3982^2-'Resumen'!$B$5^3/3</x:f>
        <x:v>1.202661342681545</x:v>
      </x:c>
      <x:c r="E3982" s="85" t="n">
        <x:f>D3982+'Resumen'!$B$5^3/3</x:f>
        <x:v>1.5359946760148782</x:v>
      </x:c>
    </x:row>
    <x:row r="3983">
      <x:c r="A3983" s="89" t="n">
        <x:v>3981</x:v>
      </x:c>
      <x:c r="B3983" s="80" t="n">
        <x:v>0.9006241689441089</x:v>
      </x:c>
      <x:c r="C3983" s="84" t="n">
        <x:f>SQRT('Resumen'!$B$5^3/3)*B3983</x:f>
        <x:v>0.5199756063785642</x:v>
      </x:c>
      <x:c r="D3983" s="84" t="n">
        <x:f>C3983^2-'Resumen'!$B$5^3/3</x:f>
        <x:v>-0.06295870210457777</x:v>
      </x:c>
      <x:c r="E3983" s="85" t="n">
        <x:f>D3983+'Resumen'!$B$5^3/3</x:f>
        <x:v>0.27037463122875555</x:v>
      </x:c>
    </x:row>
    <x:row r="3984">
      <x:c r="A3984" s="89" t="n">
        <x:v>3982</x:v>
      </x:c>
      <x:c r="B3984" s="80" t="n">
        <x:v>0.5936566627344889</x:v>
      </x:c>
      <x:c r="C3984" s="84" t="n">
        <x:f>SQRT('Resumen'!$B$5^3/3)*B3984</x:f>
        <x:v>0.34274783403597203</x:v>
      </x:c>
      <x:c r="D3984" s="84" t="n">
        <x:f>C3984^2-'Resumen'!$B$5^3/3</x:f>
        <x:v>-0.2158572555969831</x:v>
      </x:c>
      <x:c r="E3984" s="85" t="n">
        <x:f>D3984+'Resumen'!$B$5^3/3</x:f>
        <x:v>0.11747607773635022</x:v>
      </x:c>
    </x:row>
    <x:row r="3985">
      <x:c r="A3985" s="89" t="n">
        <x:v>3983</x:v>
      </x:c>
      <x:c r="B3985" s="80" t="n">
        <x:v>-0.242492133374068</x:v>
      </x:c>
      <x:c r="C3985" s="84" t="n">
        <x:f>SQRT('Resumen'!$B$5^3/3)*B3985</x:f>
        <x:v>-0.14000289847988479</x:v>
      </x:c>
      <x:c r="D3985" s="84" t="n">
        <x:f>C3985^2-'Resumen'!$B$5^3/3</x:f>
        <x:v>-0.3137325217505644</x:v>
      </x:c>
      <x:c r="E3985" s="85" t="n">
        <x:f>D3985+'Resumen'!$B$5^3/3</x:f>
        <x:v>0.01960081158276894</x:v>
      </x:c>
    </x:row>
    <x:row r="3986">
      <x:c r="A3986" s="89" t="n">
        <x:v>3984</x:v>
      </x:c>
      <x:c r="B3986" s="80" t="n">
        <x:v>-0.6609055127404968</x:v>
      </x:c>
      <x:c r="C3986" s="84" t="n">
        <x:f>SQRT('Resumen'!$B$5^3/3)*B3986</x:f>
        <x:v>-0.38157397568963347</x:v>
      </x:c>
      <x:c r="D3986" s="84" t="n">
        <x:f>C3986^2-'Resumen'!$B$5^3/3</x:f>
        <x:v>-0.1877346344097403</x:v>
      </x:c>
      <x:c r="E3986" s="85" t="n">
        <x:f>D3986+'Resumen'!$B$5^3/3</x:f>
        <x:v>0.145598698923593</x:v>
      </x:c>
    </x:row>
    <x:row r="3987">
      <x:c r="A3987" s="89" t="n">
        <x:v>3985</x:v>
      </x:c>
      <x:c r="B3987" s="80" t="n">
        <x:v>0.8497521116269533</x:v>
      </x:c>
      <x:c r="C3987" s="84" t="n">
        <x:f>SQRT('Resumen'!$B$5^3/3)*B3987</x:f>
        <x:v>0.4906046103922744</x:v>
      </x:c>
      <x:c r="D3987" s="84" t="n">
        <x:f>C3987^2-'Resumen'!$B$5^3/3</x:f>
        <x:v>-0.09264044959517798</x:v>
      </x:c>
      <x:c r="E3987" s="85" t="n">
        <x:f>D3987+'Resumen'!$B$5^3/3</x:f>
        <x:v>0.24069288373815534</x:v>
      </x:c>
    </x:row>
    <x:row r="3988">
      <x:c r="A3988" s="89" t="n">
        <x:v>3986</x:v>
      </x:c>
      <x:c r="B3988" s="80" t="n">
        <x:v>-0.5520527106969072</x:v>
      </x:c>
      <x:c r="C3988" s="84" t="n">
        <x:f>SQRT('Resumen'!$B$5^3/3)*B3988</x:f>
        <x:v>-0.31872778112772193</x:v>
      </x:c>
      <x:c r="D3988" s="84" t="n">
        <x:f>C3988^2-'Resumen'!$B$5^3/3</x:f>
        <x:v>-0.2317459348707323</x:v>
      </x:c>
      <x:c r="E3988" s="85" t="n">
        <x:f>D3988+'Resumen'!$B$5^3/3</x:f>
        <x:v>0.10158739846260101</x:v>
      </x:c>
    </x:row>
    <x:row r="3989">
      <x:c r="A3989" s="89" t="n">
        <x:v>3987</x:v>
      </x:c>
      <x:c r="B3989" s="80" t="n">
        <x:v>-0.8787909456727758</x:v>
      </x:c>
      <x:c r="C3989" s="84" t="n">
        <x:f>SQRT('Resumen'!$B$5^3/3)*B3989</x:f>
        <x:v>-0.5073701890455828</x:v>
      </x:c>
      <x:c r="D3989" s="84" t="n">
        <x:f>C3989^2-'Resumen'!$B$5^3/3</x:f>
        <x:v>-0.07590882460118287</x:v>
      </x:c>
      <x:c r="E3989" s="85" t="n">
        <x:f>D3989+'Resumen'!$B$5^3/3</x:f>
        <x:v>0.25742450873215045</x:v>
      </x:c>
    </x:row>
    <x:row r="3990">
      <x:c r="A3990" s="89" t="n">
        <x:v>3988</x:v>
      </x:c>
      <x:c r="B3990" s="80" t="n">
        <x:v>0.04809551449217844</x:v>
      </x:c>
      <x:c r="C3990" s="84" t="n">
        <x:f>SQRT('Resumen'!$B$5^3/3)*B3990</x:f>
        <x:v>0.02776795823887277</x:v>
      </x:c>
      <x:c r="D3990" s="84" t="n">
        <x:f>C3990^2-'Resumen'!$B$5^3/3</x:f>
        <x:v>-0.33256227382857756</x:v>
      </x:c>
      <x:c r="E3990" s="85" t="n">
        <x:f>D3990+'Resumen'!$B$5^3/3</x:f>
        <x:v>0.0007710595047557556</x:v>
      </x:c>
    </x:row>
    <x:row r="3991">
      <x:c r="A3991" s="89" t="n">
        <x:v>3989</x:v>
      </x:c>
      <x:c r="B3991" s="80" t="n">
        <x:v>-0.5424931014732836</x:v>
      </x:c>
      <x:c r="C3991" s="84" t="n">
        <x:f>SQRT('Resumen'!$B$5^3/3)*B3991</x:f>
        <x:v>-0.3132085381691152</x:v>
      </x:c>
      <x:c r="D3991" s="84" t="n">
        <x:f>C3991^2-'Resumen'!$B$5^3/3</x:f>
        <x:v>-0.23523374495129923</x:v>
      </x:c>
      <x:c r="E3991" s="85" t="n">
        <x:f>D3991+'Resumen'!$B$5^3/3</x:f>
        <x:v>0.09809958838203409</x:v>
      </x:c>
    </x:row>
    <x:row r="3992">
      <x:c r="A3992" s="89" t="n">
        <x:v>3990</x:v>
      </x:c>
      <x:c r="B3992" s="80" t="n">
        <x:v>-0.7338666099104459</x:v>
      </x:c>
      <x:c r="C3992" s="84" t="n">
        <x:f>SQRT('Resumen'!$B$5^3/3)*B3992</x:f>
        <x:v>-0.423698084781074</x:v>
      </x:c>
      <x:c r="D3992" s="84" t="n">
        <x:f>C3992^2-'Resumen'!$B$5^3/3</x:f>
        <x:v>-0.15381326628618314</x:v>
      </x:c>
      <x:c r="E3992" s="85" t="n">
        <x:f>D3992+'Resumen'!$B$5^3/3</x:f>
        <x:v>0.17952006704715018</x:v>
      </x:c>
    </x:row>
    <x:row r="3993">
      <x:c r="A3993" s="89" t="n">
        <x:v>3991</x:v>
      </x:c>
      <x:c r="B3993" s="80" t="n">
        <x:v>0.8574656185373377</x:v>
      </x:c>
      <x:c r="C3993" s="84" t="n">
        <x:f>SQRT('Resumen'!$B$5^3/3)*B3993</x:f>
        <x:v>0.4950580056833809</x:v>
      </x:c>
      <x:c r="D3993" s="84" t="n">
        <x:f>C3993^2-'Resumen'!$B$5^3/3</x:f>
        <x:v>-0.08825090434212696</x:v>
      </x:c>
      <x:c r="E3993" s="85" t="n">
        <x:f>D3993+'Resumen'!$B$5^3/3</x:f>
        <x:v>0.24508242899120636</x:v>
      </x:c>
    </x:row>
    <x:row r="3994">
      <x:c r="A3994" s="89" t="n">
        <x:v>3992</x:v>
      </x:c>
      <x:c r="B3994" s="80" t="n">
        <x:v>0.8132509657363343</x:v>
      </x:c>
      <x:c r="C3994" s="84" t="n">
        <x:f>SQRT('Resumen'!$B$5^3/3)*B3994</x:f>
        <x:v>0.46953066398659565</x:v>
      </x:c>
      <x:c r="D3994" s="84" t="n">
        <x:f>C3994^2-'Resumen'!$B$5^3/3</x:f>
        <x:v>-0.11287428890963994</x:v>
      </x:c>
      <x:c r="E3994" s="85" t="n">
        <x:f>D3994+'Resumen'!$B$5^3/3</x:f>
        <x:v>0.22045904442369338</x:v>
      </x:c>
    </x:row>
    <x:row r="3995">
      <x:c r="A3995" s="89" t="n">
        <x:v>3993</x:v>
      </x:c>
      <x:c r="B3995" s="80" t="n">
        <x:v>0.4303696827315801</x:v>
      </x:c>
      <x:c r="C3995" s="84" t="n">
        <x:f>SQRT('Resumen'!$B$5^3/3)*B3995</x:f>
        <x:v>0.24847405217613158</x:v>
      </x:c>
      <x:c r="D3995" s="84" t="n">
        <x:f>C3995^2-'Resumen'!$B$5^3/3</x:f>
        <x:v>-0.2715939787285063</x:v>
      </x:c>
      <x:c r="E3995" s="85" t="n">
        <x:f>D3995+'Resumen'!$B$5^3/3</x:f>
        <x:v>0.06173935460482699</x:v>
      </x:c>
    </x:row>
    <x:row r="3996">
      <x:c r="A3996" s="89" t="n">
        <x:v>3994</x:v>
      </x:c>
      <x:c r="B3996" s="80" t="n">
        <x:v>1.1221035582001404</x:v>
      </x:c>
      <x:c r="C3996" s="84" t="n">
        <x:f>SQRT('Resumen'!$B$5^3/3)*B3996</x:f>
        <x:v>0.647846791385488</x:v>
      </x:c>
      <x:c r="D3996" s="84" t="n">
        <x:f>C3996^2-'Resumen'!$B$5^3/3</x:f>
        <x:v>0.08637213177513864</x:v>
      </x:c>
      <x:c r="E3996" s="85" t="n">
        <x:f>D3996+'Resumen'!$B$5^3/3</x:f>
        <x:v>0.41970546510847195</x:v>
      </x:c>
    </x:row>
    <x:row r="3997">
      <x:c r="A3997" s="89" t="n">
        <x:v>3995</x:v>
      </x:c>
      <x:c r="B3997" s="80" t="n">
        <x:v>-1.2553275841882359</x:v>
      </x:c>
      <x:c r="C3997" s="84" t="n">
        <x:f>SQRT('Resumen'!$B$5^3/3)*B3997</x:f>
        <x:v>-0.7247637186522405</x:v>
      </x:c>
      <x:c r="D3997" s="84" t="n">
        <x:f>C3997^2-'Resumen'!$B$5^3/3</x:f>
        <x:v>0.19194911454129077</x:v>
      </x:c>
      <x:c r="E3997" s="85" t="n">
        <x:f>D3997+'Resumen'!$B$5^3/3</x:f>
        <x:v>0.5252824478746241</x:v>
      </x:c>
    </x:row>
    <x:row r="3998">
      <x:c r="A3998" s="89" t="n">
        <x:v>3996</x:v>
      </x:c>
      <x:c r="B3998" s="80" t="n">
        <x:v>-0.5869957152037923</x:v>
      </x:c>
      <x:c r="C3998" s="84" t="n">
        <x:f>SQRT('Resumen'!$B$5^3/3)*B3998</x:f>
        <x:v>-0.3389021341860664</x:v>
      </x:c>
      <x:c r="D3998" s="84" t="n">
        <x:f>C3998^2-'Resumen'!$B$5^3/3</x:f>
        <x:v>-0.21847867677746274</x:v>
      </x:c>
      <x:c r="E3998" s="85" t="n">
        <x:f>D3998+'Resumen'!$B$5^3/3</x:f>
        <x:v>0.11485465655587057</x:v>
      </x:c>
    </x:row>
    <x:row r="3999">
      <x:c r="A3999" s="89" t="n">
        <x:v>3997</x:v>
      </x:c>
      <x:c r="B3999" s="80" t="n">
        <x:v>0.45161636034654057</x:v>
      </x:c>
      <x:c r="C3999" s="84" t="n">
        <x:f>SQRT('Resumen'!$B$5^3/3)*B3999</x:f>
        <x:v>0.2607408272165142</x:v>
      </x:c>
      <x:c r="D3999" s="84" t="n">
        <x:f>C3999^2-'Resumen'!$B$5^3/3</x:f>
        <x:v>-0.26534755435578117</x:v>
      </x:c>
      <x:c r="E3999" s="85" t="n">
        <x:f>D3999+'Resumen'!$B$5^3/3</x:f>
        <x:v>0.06798577897755215</x:v>
      </x:c>
    </x:row>
    <x:row r="4000">
      <x:c r="A4000" s="89" t="n">
        <x:v>3998</x:v>
      </x:c>
      <x:c r="B4000" s="80" t="n">
        <x:v>1.363534691406375</x:v>
      </x:c>
      <x:c r="C4000" s="84" t="n">
        <x:f>SQRT('Resumen'!$B$5^3/3)*B4000</x:f>
        <x:v>0.7872371211328639</x:v>
      </x:c>
      <x:c r="D4000" s="84" t="n">
        <x:f>C4000^2-'Resumen'!$B$5^3/3</x:f>
        <x:v>0.2864089515562262</x:v>
      </x:c>
      <x:c r="E4000" s="85" t="n">
        <x:f>D4000+'Resumen'!$B$5^3/3</x:f>
        <x:v>0.6197422848895595</x:v>
      </x:c>
    </x:row>
    <x:row r="4001">
      <x:c r="A4001" s="89" t="n">
        <x:v>3999</x:v>
      </x:c>
      <x:c r="B4001" s="80" t="n">
        <x:v>-1.128259881326702</x:v>
      </x:c>
      <x:c r="C4001" s="84" t="n">
        <x:f>SQRT('Resumen'!$B$5^3/3)*B4001</x:f>
        <x:v>-0.6514011461998266</x:v>
      </x:c>
      <x:c r="D4001" s="84" t="n">
        <x:f>C4001^2-'Resumen'!$B$5^3/3</x:f>
        <x:v>0.09099011993711453</x:v>
      </x:c>
      <x:c r="E4001" s="85" t="n">
        <x:f>D4001+'Resumen'!$B$5^3/3</x:f>
        <x:v>0.42432345327044785</x:v>
      </x:c>
    </x:row>
    <x:row r="4002">
      <x:c r="A4002" s="89" t="n">
        <x:v>4000</x:v>
      </x:c>
      <x:c r="B4002" s="80" t="n">
        <x:v>-0.1739983871833607</x:v>
      </x:c>
      <x:c r="C4002" s="84" t="n">
        <x:f>SQRT('Resumen'!$B$5^3/3)*B4002</x:f>
        <x:v>-0.10045801567887402</x:v>
      </x:c>
      <x:c r="D4002" s="84" t="n">
        <x:f>C4002^2-'Resumen'!$B$5^3/3</x:f>
        <x:v>-0.3232415204191964</x:v>
      </x:c>
      <x:c r="E4002" s="85" t="n">
        <x:f>D4002+'Resumen'!$B$5^3/3</x:f>
        <x:v>0.01009181291413691</x:v>
      </x:c>
    </x:row>
    <x:row r="4003">
      <x:c r="A4003" s="89" t="n">
        <x:v>4001</x:v>
      </x:c>
      <x:c r="B4003" s="80" t="n">
        <x:v>1.1666722173636028</x:v>
      </x:c>
      <x:c r="C4003" s="84" t="n">
        <x:f>SQRT('Resumen'!$B$5^3/3)*B4003</x:f>
        <x:v>0.6735785187509337</x:v>
      </x:c>
      <x:c r="D4003" s="84" t="n">
        <x:f>C4003^2-'Resumen'!$B$5^3/3</x:f>
        <x:v>0.12037468758936859</x:v>
      </x:c>
      <x:c r="E4003" s="85" t="n">
        <x:f>D4003+'Resumen'!$B$5^3/3</x:f>
        <x:v>0.4537080209227019</x:v>
      </x:c>
    </x:row>
    <x:row r="4004">
      <x:c r="A4004" s="89" t="n">
        <x:v>4002</x:v>
      </x:c>
      <x:c r="B4004" s="80" t="n">
        <x:v>-1.4140386146646804</x:v>
      </x:c>
      <x:c r="C4004" s="84" t="n">
        <x:f>SQRT('Resumen'!$B$5^3/3)*B4004</x:f>
        <x:v>-0.8163955748211786</x:v>
      </x:c>
      <x:c r="D4004" s="84" t="n">
        <x:f>C4004^2-'Resumen'!$B$5^3/3</x:f>
        <x:v>0.33316840125426933</x:v>
      </x:c>
      <x:c r="E4004" s="85" t="n">
        <x:f>D4004+'Resumen'!$B$5^3/3</x:f>
        <x:v>0.6665017345876026</x:v>
      </x:c>
    </x:row>
    <x:row r="4005">
      <x:c r="A4005" s="89" t="n">
        <x:v>4003</x:v>
      </x:c>
      <x:c r="B4005" s="80" t="n">
        <x:v>1.7009991749304105</x:v>
      </x:c>
      <x:c r="C4005" s="84" t="n">
        <x:f>SQRT('Resumen'!$B$5^3/3)*B4005</x:f>
        <x:v>0.9820723315374038</x:v>
      </x:c>
      <x:c r="D4005" s="84" t="n">
        <x:f>C4005^2-'Resumen'!$B$5^3/3</x:f>
        <x:v>0.6311327310379791</x:v>
      </x:c>
      <x:c r="E4005" s="85" t="n">
        <x:f>D4005+'Resumen'!$B$5^3/3</x:f>
        <x:v>0.9644660643713123</x:v>
      </x:c>
    </x:row>
    <x:row r="4006">
      <x:c r="A4006" s="89" t="n">
        <x:v>4004</x:v>
      </x:c>
      <x:c r="B4006" s="80" t="n">
        <x:v>-0.8341557098992193</x:v>
      </x:c>
      <x:c r="C4006" s="84" t="n">
        <x:f>SQRT('Resumen'!$B$5^3/3)*B4006</x:f>
        <x:v>-0.4816000236563776</x:v>
      </x:c>
      <x:c r="D4006" s="84" t="n">
        <x:f>C4006^2-'Resumen'!$B$5^3/3</x:f>
        <x:v>-0.10139475054750985</x:v>
      </x:c>
      <x:c r="E4006" s="85" t="n">
        <x:f>D4006+'Resumen'!$B$5^3/3</x:f>
        <x:v>0.23193858278582347</x:v>
      </x:c>
    </x:row>
    <x:row r="4007">
      <x:c r="A4007" s="89" t="n">
        <x:v>4005</x:v>
      </x:c>
      <x:c r="B4007" s="80" t="n">
        <x:v>2.3157561023453175</x:v>
      </x:c>
      <x:c r="C4007" s="84" t="n">
        <x:f>SQRT('Resumen'!$B$5^3/3)*B4007</x:f>
        <x:v>1.3370024090665875</x:v>
      </x:c>
      <x:c r="D4007" s="84" t="n">
        <x:f>C4007^2-'Resumen'!$B$5^3/3</x:f>
        <x:v>1.4542421085165254</x:v>
      </x:c>
      <x:c r="E4007" s="85" t="n">
        <x:f>D4007+'Resumen'!$B$5^3/3</x:f>
        <x:v>1.7875754418498586</x:v>
      </x:c>
    </x:row>
    <x:row r="4008">
      <x:c r="A4008" s="89" t="n">
        <x:v>4006</x:v>
      </x:c>
      <x:c r="B4008" s="80" t="n">
        <x:v>1.2216854717783188</x:v>
      </x:c>
      <x:c r="C4008" s="84" t="n">
        <x:f>SQRT('Resumen'!$B$5^3/3)*B4008</x:f>
        <x:v>0.7053404359962673</x:v>
      </x:c>
      <x:c r="D4008" s="84" t="n">
        <x:f>C4008^2-'Resumen'!$B$5^3/3</x:f>
        <x:v>0.16417179731807108</x:v>
      </x:c>
      <x:c r="E4008" s="85" t="n">
        <x:f>D4008+'Resumen'!$B$5^3/3</x:f>
        <x:v>0.4975051306514044</x:v>
      </x:c>
    </x:row>
    <x:row r="4009">
      <x:c r="A4009" s="89" t="n">
        <x:v>4007</x:v>
      </x:c>
      <x:c r="B4009" s="80" t="n">
        <x:v>0.8121610204607336</x:v>
      </x:c>
      <x:c r="C4009" s="84" t="n">
        <x:f>SQRT('Resumen'!$B$5^3/3)*B4009</x:f>
        <x:v>0.4689013837883257</x:v>
      </x:c>
      <x:c r="D4009" s="84" t="n">
        <x:f>C4009^2-'Resumen'!$B$5^3/3</x:f>
        <x:v>-0.11346482561472662</x:v>
      </x:c>
      <x:c r="E4009" s="85" t="n">
        <x:f>D4009+'Resumen'!$B$5^3/3</x:f>
        <x:v>0.2198685077186067</x:v>
      </x:c>
    </x:row>
    <x:row r="4010">
      <x:c r="A4010" s="89" t="n">
        <x:v>4008</x:v>
      </x:c>
      <x:c r="B4010" s="80" t="n">
        <x:v>1.346844888290316</x:v>
      </x:c>
      <x:c r="C4010" s="84" t="n">
        <x:f>SQRT('Resumen'!$B$5^3/3)*B4010</x:f>
        <x:v>0.7776012588110853</x:v>
      </x:c>
      <x:c r="D4010" s="84" t="n">
        <x:f>C4010^2-'Resumen'!$B$5^3/3</x:f>
        <x:v>0.2713303843712512</x:v>
      </x:c>
      <x:c r="E4010" s="85" t="n">
        <x:f>D4010+'Resumen'!$B$5^3/3</x:f>
        <x:v>0.6046637177045845</x:v>
      </x:c>
    </x:row>
    <x:row r="4011">
      <x:c r="A4011" s="89" t="n">
        <x:v>4009</x:v>
      </x:c>
      <x:c r="B4011" s="80" t="n">
        <x:v>-0.008911608972321062</x:v>
      </x:c>
      <x:c r="C4011" s="84" t="n">
        <x:f>SQRT('Resumen'!$B$5^3/3)*B4011</x:f>
        <x:v>-0.005145119839082249</x:v>
      </x:c>
      <x:c r="D4011" s="84" t="n">
        <x:f>C4011^2-'Resumen'!$B$5^3/3</x:f>
        <x:v>-0.3333068610751748</x:v>
      </x:c>
      <x:c r="E4011" s="85" t="n">
        <x:f>D4011+'Resumen'!$B$5^3/3</x:f>
        <x:v>0.00002647225815849419</x:v>
      </x:c>
    </x:row>
    <x:row r="4012">
      <x:c r="A4012" s="89" t="n">
        <x:v>4010</x:v>
      </x:c>
      <x:c r="B4012" s="80" t="n">
        <x:v>-0.48397156144104464</x:v>
      </x:c>
      <x:c r="C4012" s="84" t="n">
        <x:f>SQRT('Resumen'!$B$5^3/3)*B4012</x:f>
        <x:v>-0.2794211112781106</x:v>
      </x:c>
      <x:c r="D4012" s="84" t="n">
        <x:f>C4012^2-'Resumen'!$B$5^3/3</x:f>
        <x:v>-0.25525717590543906</x:v>
      </x:c>
      <x:c r="E4012" s="85" t="n">
        <x:f>D4012+'Resumen'!$B$5^3/3</x:f>
        <x:v>0.07807615742789425</x:v>
      </x:c>
    </x:row>
    <x:row r="4013">
      <x:c r="A4013" s="89" t="n">
        <x:v>4011</x:v>
      </x:c>
      <x:c r="B4013" s="80" t="n">
        <x:v>0.15968072696199015</x:v>
      </x:c>
      <x:c r="C4013" s="84" t="n">
        <x:f>SQRT('Resumen'!$B$5^3/3)*B4013</x:f>
        <x:v>0.09219171069590014</x:v>
      </x:c>
      <x:c r="D4013" s="84" t="n">
        <x:f>C4013^2-'Resumen'!$B$5^3/3</x:f>
        <x:v>-0.32483402181229676</x:v>
      </x:c>
      <x:c r="E4013" s="85" t="n">
        <x:f>D4013+'Resumen'!$B$5^3/3</x:f>
        <x:v>0.008499311521036557</x:v>
      </x:c>
    </x:row>
    <x:row r="4014">
      <x:c r="A4014" s="89" t="n">
        <x:v>4012</x:v>
      </x:c>
      <x:c r="B4014" s="80" t="n">
        <x:v>-2.0813591739536297</x:v>
      </x:c>
      <x:c r="C4014" s="84" t="n">
        <x:f>SQRT('Resumen'!$B$5^3/3)*B4014</x:f>
        <x:v>-1.2016732793624252</x:v>
      </x:c>
      <x:c r="D4014" s="84" t="n">
        <x:f>C4014^2-'Resumen'!$B$5^3/3</x:f>
        <x:v>1.1106853370003118</x:v>
      </x:c>
      <x:c r="E4014" s="85" t="n">
        <x:f>D4014+'Resumen'!$B$5^3/3</x:f>
        <x:v>1.444018670333645</x:v>
      </x:c>
    </x:row>
    <x:row r="4015">
      <x:c r="A4015" s="89" t="n">
        <x:v>4013</x:v>
      </x:c>
      <x:c r="B4015" s="80" t="n">
        <x:v>0.46603519723922743</x:v>
      </x:c>
      <x:c r="C4015" s="84" t="n">
        <x:f>SQRT('Resumen'!$B$5^3/3)*B4015</x:f>
        <x:v>0.26906554657790827</x:v>
      </x:c>
      <x:c r="D4015" s="84" t="n">
        <x:f>C4015^2-'Resumen'!$B$5^3/3</x:f>
        <x:v>-0.2609370649780648</x:v>
      </x:c>
      <x:c r="E4015" s="85" t="n">
        <x:f>D4015+'Resumen'!$B$5^3/3</x:f>
        <x:v>0.07239626835526852</x:v>
      </x:c>
    </x:row>
    <x:row r="4016">
      <x:c r="A4016" s="89" t="n">
        <x:v>4014</x:v>
      </x:c>
      <x:c r="B4016" s="80" t="n">
        <x:v>1.3575771677502433</x:v>
      </x:c>
      <x:c r="C4016" s="84" t="n">
        <x:f>SQRT('Resumen'!$B$5^3/3)*B4016</x:f>
        <x:v>0.7837975432462927</x:v>
      </x:c>
      <x:c r="D4016" s="84" t="n">
        <x:f>C4016^2-'Resumen'!$B$5^3/3</x:f>
        <x:v>0.2810052554655908</x:v>
      </x:c>
      <x:c r="E4016" s="85" t="n">
        <x:f>D4016+'Resumen'!$B$5^3/3</x:f>
        <x:v>0.6143385887989241</x:v>
      </x:c>
    </x:row>
    <x:row r="4017">
      <x:c r="A4017" s="89" t="n">
        <x:v>4015</x:v>
      </x:c>
      <x:c r="B4017" s="80" t="n">
        <x:v>0.04139002183771335</x:v>
      </x:c>
      <x:c r="C4017" s="84" t="n">
        <x:f>SQRT('Resumen'!$B$5^3/3)*B4017</x:f>
        <x:v>0.02389654024976829</x:v>
      </x:c>
      <x:c r="D4017" s="84" t="n">
        <x:f>C4017^2-'Resumen'!$B$5^3/3</x:f>
        <x:v>-0.3327622886974245</x:v>
      </x:c>
      <x:c r="E4017" s="85" t="n">
        <x:f>D4017+'Resumen'!$B$5^3/3</x:f>
        <x:v>0.0005710446359087906</x:v>
      </x:c>
    </x:row>
    <x:row r="4018">
      <x:c r="A4018" s="89" t="n">
        <x:v>4016</x:v>
      </x:c>
      <x:c r="B4018" s="80" t="n">
        <x:v>0.16440281978144558</x:v>
      </x:c>
      <x:c r="C4018" s="84" t="n">
        <x:f>SQRT('Resumen'!$B$5^3/3)*B4018</x:f>
        <x:v>0.09491801225635113</x:v>
      </x:c>
      <x:c r="D4018" s="84" t="n">
        <x:f>C4018^2-'Resumen'!$B$5^3/3</x:f>
        <x:v>-0.32432390428263647</x:v>
      </x:c>
      <x:c r="E4018" s="85" t="n">
        <x:f>D4018+'Resumen'!$B$5^3/3</x:f>
        <x:v>0.009009429050696849</x:v>
      </x:c>
    </x:row>
    <x:row r="4019">
      <x:c r="A4019" s="89" t="n">
        <x:v>4017</x:v>
      </x:c>
      <x:c r="B4019" s="80" t="n">
        <x:v>-0.8044476561329919</x:v>
      </x:c>
      <x:c r="C4019" s="84" t="n">
        <x:f>SQRT('Resumen'!$B$5^3/3)*B4019</x:f>
        <x:v>-0.4644480708173463</x:v>
      </x:c>
      <x:c r="D4019" s="84" t="n">
        <x:f>C4019^2-'Resumen'!$B$5^3/3</x:f>
        <x:v>-0.11762132284737858</x:v>
      </x:c>
      <x:c r="E4019" s="85" t="n">
        <x:f>D4019+'Resumen'!$B$5^3/3</x:f>
        <x:v>0.21571201048595473</x:v>
      </x:c>
    </x:row>
    <x:row r="4020">
      <x:c r="A4020" s="89" t="n">
        <x:v>4018</x:v>
      </x:c>
      <x:c r="B4020" s="80" t="n">
        <x:v>0.25676405519555706</x:v>
      </x:c>
      <x:c r="C4020" s="84" t="n">
        <x:f>SQRT('Resumen'!$B$5^3/3)*B4020</x:f>
        <x:v>0.1482427963853748</x:v>
      </x:c>
      <x:c r="D4020" s="84" t="n">
        <x:f>C4020^2-'Resumen'!$B$5^3/3</x:f>
        <x:v>-0.3113574066531776</x:v>
      </x:c>
      <x:c r="E4020" s="85" t="n">
        <x:f>D4020+'Resumen'!$B$5^3/3</x:f>
        <x:v>0.02197592668015569</x:v>
      </x:c>
    </x:row>
    <x:row r="4021">
      <x:c r="A4021" s="89" t="n">
        <x:v>4019</x:v>
      </x:c>
      <x:c r="B4021" s="80" t="n">
        <x:v>-0.13757275388981358</x:v>
      </x:c>
      <x:c r="C4021" s="84" t="n">
        <x:f>SQRT('Resumen'!$B$5^3/3)*B4021</x:f>
        <x:v>-0.07942766649144199</x:v>
      </x:c>
      <x:c r="D4021" s="84" t="n">
        <x:f>C4021^2-'Resumen'!$B$5^3/3</x:f>
        <x:v>-0.3270245791290576</x:v>
      </x:c>
      <x:c r="E4021" s="85" t="n">
        <x:f>D4021+'Resumen'!$B$5^3/3</x:f>
        <x:v>0.006308754204275735</x:v>
      </x:c>
    </x:row>
    <x:row r="4022">
      <x:c r="A4022" s="89" t="n">
        <x:v>4020</x:v>
      </x:c>
      <x:c r="B4022" s="80" t="n">
        <x:v>0.22881238452064767</x:v>
      </x:c>
      <x:c r="C4022" s="84" t="n">
        <x:f>SQRT('Resumen'!$B$5^3/3)*B4022</x:f>
        <x:v>0.1321048917969161</x:v>
      </x:c>
      <x:c r="D4022" s="84" t="n">
        <x:f>C4022^2-'Resumen'!$B$5^3/3</x:f>
        <x:v>-0.3158816308966584</x:v>
      </x:c>
      <x:c r="E4022" s="85" t="n">
        <x:f>D4022+'Resumen'!$B$5^3/3</x:f>
        <x:v>0.017451702436674932</x:v>
      </x:c>
    </x:row>
    <x:row r="4023">
      <x:c r="A4023" s="89" t="n">
        <x:v>4021</x:v>
      </x:c>
      <x:c r="B4023" s="80" t="n">
        <x:v>1.2500514823551219</x:v>
      </x:c>
      <x:c r="C4023" s="84" t="n">
        <x:f>SQRT('Resumen'!$B$5^3/3)*B4023</x:f>
        <x:v>0.7217175598386203</x:v>
      </x:c>
      <x:c r="D4023" s="84" t="n">
        <x:f>C4023^2-'Resumen'!$B$5^3/3</x:f>
        <x:v>0.18754290284607916</x:v>
      </x:c>
      <x:c r="E4023" s="85" t="n">
        <x:f>D4023+'Resumen'!$B$5^3/3</x:f>
        <x:v>0.5208762361794125</x:v>
      </x:c>
    </x:row>
    <x:row r="4024">
      <x:c r="A4024" s="89" t="n">
        <x:v>4022</x:v>
      </x:c>
      <x:c r="B4024" s="80" t="n">
        <x:v>1.6325355268357544</x:v>
      </x:c>
      <x:c r="C4024" s="84" t="n">
        <x:f>SQRT('Resumen'!$B$5^3/3)*B4024</x:f>
        <x:v>0.9425448258802502</x:v>
      </x:c>
      <x:c r="D4024" s="84" t="n">
        <x:f>C4024^2-'Resumen'!$B$5^3/3</x:f>
        <x:v>0.5550574154602979</x:v>
      </x:c>
      <x:c r="E4024" s="85" t="n">
        <x:f>D4024+'Resumen'!$B$5^3/3</x:f>
        <x:v>0.8883907487936311</x:v>
      </x:c>
    </x:row>
    <x:row r="4025">
      <x:c r="A4025" s="89" t="n">
        <x:v>4023</x:v>
      </x:c>
      <x:c r="B4025" s="80" t="n">
        <x:v>-0.6310141377166573</x:v>
      </x:c>
      <x:c r="C4025" s="84" t="n">
        <x:f>SQRT('Resumen'!$B$5^3/3)*B4025</x:f>
        <x:v>-0.36431618227317164</x:v>
      </x:c>
      <x:c r="D4025" s="84" t="n">
        <x:f>C4025^2-'Resumen'!$B$5^3/3</x:f>
        <x:v>-0.2006070526672345</x:v>
      </x:c>
      <x:c r="E4025" s="85" t="n">
        <x:f>D4025+'Resumen'!$B$5^3/3</x:f>
        <x:v>0.13272628066609882</x:v>
      </x:c>
    </x:row>
    <x:row r="4026">
      <x:c r="A4026" s="89" t="n">
        <x:v>4024</x:v>
      </x:c>
      <x:c r="B4026" s="80" t="n">
        <x:v>0.009636490216020588</x:v>
      </x:c>
      <x:c r="C4026" s="84" t="n">
        <x:f>SQRT('Resumen'!$B$5^3/3)*B4026</x:f>
        <x:v>0.005563630220262681</x:v>
      </x:c>
      <x:c r="D4026" s="84" t="n">
        <x:f>C4026^2-'Resumen'!$B$5^3/3</x:f>
        <x:v>-0.3333023793521055</x:v>
      </x:c>
      <x:c r="E4026" s="85" t="n">
        <x:f>D4026+'Resumen'!$B$5^3/3</x:f>
        <x:v>0.00003095398122782145</x:v>
      </x:c>
    </x:row>
    <x:row r="4027">
      <x:c r="A4027" s="89" t="n">
        <x:v>4025</x:v>
      </x:c>
      <x:c r="B4027" s="80" t="n">
        <x:v>-1.1367236762322404</x:v>
      </x:c>
      <x:c r="C4027" s="84" t="n">
        <x:f>SQRT('Resumen'!$B$5^3/3)*B4027</x:f>
        <x:v>-0.656287720466905</x:v>
      </x:c>
      <x:c r="D4027" s="84" t="n">
        <x:f>C4027^2-'Resumen'!$B$5^3/3</x:f>
        <x:v>0.0973802387023131</x:v>
      </x:c>
      <x:c r="E4027" s="85" t="n">
        <x:f>D4027+'Resumen'!$B$5^3/3</x:f>
        <x:v>0.4307135720356464</x:v>
      </x:c>
    </x:row>
    <x:row r="4028">
      <x:c r="A4028" s="89" t="n">
        <x:v>4026</x:v>
      </x:c>
      <x:c r="B4028" s="80" t="n">
        <x:v>0.5359713834651051</x:v>
      </x:c>
      <x:c r="C4028" s="84" t="n">
        <x:f>SQRT('Resumen'!$B$5^3/3)*B4028</x:f>
        <x:v>0.3094432225215145</x:v>
      </x:c>
      <x:c r="D4028" s="84" t="n">
        <x:f>C4028^2-'Resumen'!$B$5^3/3</x:f>
        <x:v>-0.23757822536883377</x:v>
      </x:c>
      <x:c r="E4028" s="85" t="n">
        <x:f>D4028+'Resumen'!$B$5^3/3</x:f>
        <x:v>0.09575510796449954</x:v>
      </x:c>
    </x:row>
    <x:row r="4029">
      <x:c r="A4029" s="89" t="n">
        <x:v>4027</x:v>
      </x:c>
      <x:c r="B4029" s="80" t="n">
        <x:v>-1.6118071536865064</x:v>
      </x:c>
      <x:c r="C4029" s="84" t="n">
        <x:f>SQRT('Resumen'!$B$5^3/3)*B4029</x:f>
        <x:v>-0.9305772940626689</x:v>
      </x:c>
      <x:c r="D4029" s="84" t="n">
        <x:f>C4029^2-'Resumen'!$B$5^3/3</x:f>
        <x:v>0.5326407668916655</x:v>
      </x:c>
      <x:c r="E4029" s="85" t="n">
        <x:f>D4029+'Resumen'!$B$5^3/3</x:f>
        <x:v>0.8659741002249988</x:v>
      </x:c>
    </x:row>
    <x:row r="4030">
      <x:c r="A4030" s="89" t="n">
        <x:v>4028</x:v>
      </x:c>
      <x:c r="B4030" s="80" t="n">
        <x:v>0.23615328203192107</x:v>
      </x:c>
      <x:c r="C4030" s="84" t="n">
        <x:f>SQRT('Resumen'!$B$5^3/3)*B4030</x:f>
        <x:v>0.13634316095114324</x:v>
      </x:c>
      <x:c r="D4030" s="84" t="n">
        <x:f>C4030^2-'Resumen'!$B$5^3/3</x:f>
        <x:v>-0.314743875795184</x:v>
      </x:c>
      <x:c r="E4030" s="85" t="n">
        <x:f>D4030+'Resumen'!$B$5^3/3</x:f>
        <x:v>0.018589457538149334</x:v>
      </x:c>
    </x:row>
    <x:row r="4031">
      <x:c r="A4031" s="89" t="n">
        <x:v>4029</x:v>
      </x:c>
      <x:c r="B4031" s="80" t="n">
        <x:v>-0.7256328926117086</x:v>
      </x:c>
      <x:c r="C4031" s="84" t="n">
        <x:f>SQRT('Resumen'!$B$5^3/3)*B4031</x:f>
        <x:v>-0.41894434588221674</x:v>
      </x:c>
      <x:c r="D4031" s="84" t="n">
        <x:f>C4031^2-'Resumen'!$B$5^3/3</x:f>
        <x:v>-0.15781896838665485</x:v>
      </x:c>
      <x:c r="E4031" s="85" t="n">
        <x:f>D4031+'Resumen'!$B$5^3/3</x:f>
        <x:v>0.17551436494667846</x:v>
      </x:c>
    </x:row>
    <x:row r="4032">
      <x:c r="A4032" s="89" t="n">
        <x:v>4030</x:v>
      </x:c>
      <x:c r="B4032" s="80" t="n">
        <x:v>-1.105803234451767</x:v>
      </x:c>
      <x:c r="C4032" s="84" t="n">
        <x:f>SQRT('Resumen'!$B$5^3/3)*B4032</x:f>
        <x:v>-0.6384357950814865</x:v>
      </x:c>
      <x:c r="D4032" s="84" t="n">
        <x:f>C4032^2-'Resumen'!$B$5^3/3</x:f>
        <x:v>0.07426693110799654</x:v>
      </x:c>
      <x:c r="E4032" s="85" t="n">
        <x:f>D4032+'Resumen'!$B$5^3/3</x:f>
        <x:v>0.40760026444132985</x:v>
      </x:c>
    </x:row>
    <x:row r="4033">
      <x:c r="A4033" s="89" t="n">
        <x:v>4031</x:v>
      </x:c>
      <x:c r="B4033" s="80" t="n">
        <x:v>-1.9029037032370748</x:v>
      </x:c>
      <x:c r="C4033" s="84" t="n">
        <x:f>SQRT('Resumen'!$B$5^3/3)*B4033</x:f>
        <x:v>-1.0986419653058608</x:v>
      </x:c>
      <x:c r="D4033" s="84" t="n">
        <x:f>C4033^2-'Resumen'!$B$5^3/3</x:f>
        <x:v>0.8736808345977909</x:v>
      </x:c>
      <x:c r="E4033" s="85" t="n">
        <x:f>D4033+'Resumen'!$B$5^3/3</x:f>
        <x:v>1.2070141679311241</x:v>
      </x:c>
    </x:row>
    <x:row r="4034">
      <x:c r="A4034" s="89" t="n">
        <x:v>4032</x:v>
      </x:c>
      <x:c r="B4034" s="80" t="n">
        <x:v>-0.7175487780124538</x:v>
      </x:c>
      <x:c r="C4034" s="84" t="n">
        <x:f>SQRT('Resumen'!$B$5^3/3)*B4034</x:f>
        <x:v>-0.4142769801421772</x:v>
      </x:c>
      <x:c r="D4034" s="84" t="n">
        <x:f>C4034^2-'Resumen'!$B$5^3/3</x:f>
        <x:v>-0.16170791705761145</x:v>
      </x:c>
      <x:c r="E4034" s="85" t="n">
        <x:f>D4034+'Resumen'!$B$5^3/3</x:f>
        <x:v>0.17162541627572186</x:v>
      </x:c>
    </x:row>
    <x:row r="4035">
      <x:c r="A4035" s="89" t="n">
        <x:v>4033</x:v>
      </x:c>
      <x:c r="B4035" s="80" t="n">
        <x:v>-1.4316896475801242</x:v>
      </x:c>
      <x:c r="C4035" s="84" t="n">
        <x:f>SQRT('Resumen'!$B$5^3/3)*B4035</x:f>
        <x:v>-0.8265864034263851</x:v>
      </x:c>
      <x:c r="D4035" s="84" t="n">
        <x:f>C4035^2-'Resumen'!$B$5^3/3</x:f>
        <x:v>0.34991174899603333</x:v>
      </x:c>
      <x:c r="E4035" s="85" t="n">
        <x:f>D4035+'Resumen'!$B$5^3/3</x:f>
        <x:v>0.6832450823293666</x:v>
      </x:c>
    </x:row>
    <x:row r="4036">
      <x:c r="A4036" s="89" t="n">
        <x:v>4034</x:v>
      </x:c>
      <x:c r="B4036" s="80" t="n">
        <x:v>-0.9464887686077696</x:v>
      </x:c>
      <x:c r="C4036" s="84" t="n">
        <x:f>SQRT('Resumen'!$B$5^3/3)*B4036</x:f>
        <x:v>-0.5464555453406532</x:v>
      </x:c>
      <x:c r="D4036" s="84" t="n">
        <x:f>C4036^2-'Resumen'!$B$5^3/3</x:f>
        <x:v>-0.03471967029978262</x:v>
      </x:c>
      <x:c r="E4036" s="85" t="n">
        <x:f>D4036+'Resumen'!$B$5^3/3</x:f>
        <x:v>0.2986136630335507</x:v>
      </x:c>
    </x:row>
    <x:row r="4037">
      <x:c r="A4037" s="89" t="n">
        <x:v>4035</x:v>
      </x:c>
      <x:c r="B4037" s="80" t="n">
        <x:v>-0.9806909735951285</x:v>
      </x:c>
      <x:c r="C4037" s="84" t="n">
        <x:f>SQRT('Resumen'!$B$5^3/3)*B4037</x:f>
        <x:v>-0.5662021975969835</x:v>
      </x:c>
      <x:c r="D4037" s="84" t="n">
        <x:f>C4037^2-'Resumen'!$B$5^3/3</x:f>
        <x:v>-0.0127484047696797</x:v>
      </x:c>
      <x:c r="E4037" s="85" t="n">
        <x:f>D4037+'Resumen'!$B$5^3/3</x:f>
        <x:v>0.3205849285636536</x:v>
      </x:c>
    </x:row>
    <x:row r="4038">
      <x:c r="A4038" s="89" t="n">
        <x:v>4036</x:v>
      </x:c>
      <x:c r="B4038" s="80" t="n">
        <x:v>-0.5599690998203579</x:v>
      </x:c>
      <x:c r="C4038" s="84" t="n">
        <x:f>SQRT('Resumen'!$B$5^3/3)*B4038</x:f>
        <x:v>-0.32329831051915603</x:v>
      </x:c>
      <x:c r="D4038" s="84" t="n">
        <x:f>C4038^2-'Resumen'!$B$5^3/3</x:f>
        <x:v>-0.22881153574879268</x:v>
      </x:c>
      <x:c r="E4038" s="85" t="n">
        <x:f>D4038+'Resumen'!$B$5^3/3</x:f>
        <x:v>0.10452179758454064</x:v>
      </x:c>
    </x:row>
    <x:row r="4039">
      <x:c r="A4039" s="89" t="n">
        <x:v>4037</x:v>
      </x:c>
      <x:c r="B4039" s="80" t="n">
        <x:v>2.6868924186735907</x:v>
      </x:c>
      <x:c r="C4039" s="84" t="n">
        <x:f>SQRT('Resumen'!$B$5^3/3)*B4039</x:f>
        <x:v>1.551278061204762</x:v>
      </x:c>
      <x:c r="D4039" s="84" t="n">
        <x:f>C4039^2-'Resumen'!$B$5^3/3</x:f>
        <x:v>2.073130289841872</x:v>
      </x:c>
      <x:c r="E4039" s="85" t="n">
        <x:f>D4039+'Resumen'!$B$5^3/3</x:f>
        <x:v>2.4064636231752057</x:v>
      </x:c>
    </x:row>
    <x:row r="4040">
      <x:c r="A4040" s="89" t="n">
        <x:v>4038</x:v>
      </x:c>
      <x:c r="B4040" s="80" t="n">
        <x:v>-0.0020340922794944358</x:v>
      </x:c>
      <x:c r="C4040" s="84" t="n">
        <x:f>SQRT('Resumen'!$B$5^3/3)*B4040</x:f>
        <x:v>-0.001174383725122652</x:v>
      </x:c>
      <x:c r="D4040" s="84" t="n">
        <x:f>C4040^2-'Resumen'!$B$5^3/3</x:f>
        <x:v>-0.3333319541561995</x:v>
      </x:c>
      <x:c r="E4040" s="85" t="n">
        <x:f>D4040+'Resumen'!$B$5^3/3</x:f>
        <x:v>0.0000013791771338311776</x:v>
      </x:c>
    </x:row>
    <x:row r="4041">
      <x:c r="A4041" s="89" t="n">
        <x:v>4039</x:v>
      </x:c>
      <x:c r="B4041" s="80" t="n">
        <x:v>2.4377302490462105</x:v>
      </x:c>
      <x:c r="C4041" s="84" t="n">
        <x:f>SQRT('Resumen'!$B$5^3/3)*B4041</x:f>
        <x:v>1.407424215498523</x:v>
      </x:c>
      <x:c r="D4041" s="84" t="n">
        <x:f>C4041^2-'Resumen'!$B$5^3/3</x:f>
        <x:v>1.6475095890382998</x:v>
      </x:c>
      <x:c r="E4041" s="85" t="n">
        <x:f>D4041+'Resumen'!$B$5^3/3</x:f>
        <x:v>1.980842922371633</x:v>
      </x:c>
    </x:row>
    <x:row r="4042">
      <x:c r="A4042" s="89" t="n">
        <x:v>4040</x:v>
      </x:c>
      <x:c r="B4042" s="80" t="n">
        <x:v>1.3532645499281941</x:v>
      </x:c>
      <x:c r="C4042" s="84" t="n">
        <x:f>SQRT('Resumen'!$B$5^3/3)*B4042</x:f>
        <x:v>0.7813076521858205</x:v>
      </x:c>
      <x:c r="D4042" s="84" t="n">
        <x:f>C4042^2-'Resumen'!$B$5^3/3</x:f>
        <x:v>0.2771083140307858</x:v>
      </x:c>
      <x:c r="E4042" s="85" t="n">
        <x:f>D4042+'Resumen'!$B$5^3/3</x:f>
        <x:v>0.6104416473641191</x:v>
      </x:c>
    </x:row>
    <x:row r="4043">
      <x:c r="A4043" s="89" t="n">
        <x:v>4041</x:v>
      </x:c>
      <x:c r="B4043" s="80" t="n">
        <x:v>-1.1255453910286102</x:v>
      </x:c>
      <x:c r="C4043" s="84" t="n">
        <x:f>SQRT('Resumen'!$B$5^3/3)*B4043</x:f>
        <x:v>-0.6498339344955106</x:v>
      </x:c>
      <x:c r="D4043" s="84" t="n">
        <x:f>C4043^2-'Resumen'!$B$5^3/3</x:f>
        <x:v>0.08895080908858227</x:v>
      </x:c>
      <x:c r="E4043" s="85" t="n">
        <x:f>D4043+'Resumen'!$B$5^3/3</x:f>
        <x:v>0.4222841424219156</x:v>
      </x:c>
    </x:row>
    <x:row r="4044">
      <x:c r="A4044" s="89" t="n">
        <x:v>4042</x:v>
      </x:c>
      <x:c r="B4044" s="80" t="n">
        <x:v>-0.41907720153601546</x:v>
      </x:c>
      <x:c r="C4044" s="84" t="n">
        <x:f>SQRT('Resumen'!$B$5^3/3)*B4044</x:f>
        <x:v>-0.24195433511805356</x:v>
      </x:c>
      <x:c r="D4044" s="84" t="n">
        <x:f>C4044^2-'Resumen'!$B$5^3/3</x:f>
        <x:v>-0.27479143305091397</x:v>
      </x:c>
      <x:c r="E4044" s="85" t="n">
        <x:f>D4044+'Resumen'!$B$5^3/3</x:f>
        <x:v>0.058541900282419346</x:v>
      </x:c>
    </x:row>
    <x:row r="4045">
      <x:c r="A4045" s="89" t="n">
        <x:v>4043</x:v>
      </x:c>
      <x:c r="B4045" s="80" t="n">
        <x:v>0.40067768332282544</x:v>
      </x:c>
      <x:c r="C4045" s="84" t="n">
        <x:f>SQRT('Resumen'!$B$5^3/3)*B4045</x:f>
        <x:v>0.23133136832470888</x:v>
      </x:c>
      <x:c r="D4045" s="84" t="n">
        <x:f>C4045^2-'Resumen'!$B$5^3/3</x:f>
        <x:v>-0.2798191313623512</x:v>
      </x:c>
      <x:c r="E4045" s="85" t="n">
        <x:f>D4045+'Resumen'!$B$5^3/3</x:f>
        <x:v>0.05351420197098211</x:v>
      </x:c>
    </x:row>
    <x:row r="4046">
      <x:c r="A4046" s="89" t="n">
        <x:v>4044</x:v>
      </x:c>
      <x:c r="B4046" s="80" t="n">
        <x:v>-1.4051834861902255</x:v>
      </x:c>
      <x:c r="C4046" s="84" t="n">
        <x:f>SQRT('Resumen'!$B$5^3/3)*B4046</x:f>
        <x:v>-0.8112830640127434</x:v>
      </x:c>
      <x:c r="D4046" s="84" t="n">
        <x:f>C4046^2-'Resumen'!$B$5^3/3</x:f>
        <x:v>0.3248468766205718</x:v>
      </x:c>
      <x:c r="E4046" s="85" t="n">
        <x:f>D4046+'Resumen'!$B$5^3/3</x:f>
        <x:v>0.6581802099539051</x:v>
      </x:c>
    </x:row>
    <x:row r="4047">
      <x:c r="A4047" s="89" t="n">
        <x:v>4045</x:v>
      </x:c>
      <x:c r="B4047" s="80" t="n">
        <x:v>-1.0447977929296188</x:v>
      </x:c>
      <x:c r="C4047" s="84" t="n">
        <x:f>SQRT('Resumen'!$B$5^3/3)*B4047</x:f>
        <x:v>-0.6032142869966423</x:v>
      </x:c>
      <x:c r="D4047" s="84" t="n">
        <x:f>C4047^2-'Resumen'!$B$5^3/3</x:f>
        <x:v>0.03053414270353416</x:v>
      </x:c>
      <x:c r="E4047" s="85" t="n">
        <x:f>D4047+'Resumen'!$B$5^3/3</x:f>
        <x:v>0.3638674760368675</x:v>
      </x:c>
    </x:row>
    <x:row r="4048">
      <x:c r="A4048" s="89" t="n">
        <x:v>4046</x:v>
      </x:c>
      <x:c r="B4048" s="80" t="n">
        <x:v>-0.4553899269452582</x:v>
      </x:c>
      <x:c r="C4048" s="84" t="n">
        <x:f>SQRT('Resumen'!$B$5^3/3)*B4048</x:f>
        <x:v>-0.2629194969080888</x:v>
      </x:c>
      <x:c r="D4048" s="84" t="n">
        <x:f>C4048^2-'Resumen'!$B$5^3/3</x:f>
        <x:v>-0.2642066714789308</x:v>
      </x:c>
      <x:c r="E4048" s="85" t="n">
        <x:f>D4048+'Resumen'!$B$5^3/3</x:f>
        <x:v>0.06912666185440253</x:v>
      </x:c>
    </x:row>
    <x:row r="4049">
      <x:c r="A4049" s="89" t="n">
        <x:v>4047</x:v>
      </x:c>
      <x:c r="B4049" s="80" t="n">
        <x:v>1.7622982016421973</x:v>
      </x:c>
      <x:c r="C4049" s="84" t="n">
        <x:f>SQRT('Resumen'!$B$5^3/3)*B4049</x:f>
        <x:v>1.0174633411105158</x:v>
      </x:c>
      <x:c r="D4049" s="84" t="n">
        <x:f>C4049^2-'Resumen'!$B$5^3/3</x:f>
        <x:v>0.7018983171704407</x:v>
      </x:c>
      <x:c r="E4049" s="85" t="n">
        <x:f>D4049+'Resumen'!$B$5^3/3</x:f>
        <x:v>1.035231650503774</x:v>
      </x:c>
    </x:row>
    <x:row r="4050">
      <x:c r="A4050" s="89" t="n">
        <x:v>4048</x:v>
      </x:c>
      <x:c r="B4050" s="80" t="n">
        <x:v>-0.2847802321405751</x:v>
      </x:c>
      <x:c r="C4050" s="84" t="n">
        <x:f>SQRT('Resumen'!$B$5^3/3)*B4050</x:f>
        <x:v>-0.16441794368624513</x:v>
      </x:c>
      <x:c r="D4050" s="84" t="n">
        <x:f>C4050^2-'Resumen'!$B$5^3/3</x:f>
        <x:v>-0.30630007312732005</x:v>
      </x:c>
      <x:c r="E4050" s="85" t="n">
        <x:f>D4050+'Resumen'!$B$5^3/3</x:f>
        <x:v>0.027033260206013265</x:v>
      </x:c>
    </x:row>
    <x:row r="4051">
      <x:c r="A4051" s="89" t="n">
        <x:v>4049</x:v>
      </x:c>
      <x:c r="B4051" s="80" t="n">
        <x:v>-0.36178863971748065</x:v>
      </x:c>
      <x:c r="C4051" s="84" t="n">
        <x:f>SQRT('Resumen'!$B$5^3/3)*B4051</x:f>
        <x:v>-0.20887876853063597</x:v>
      </x:c>
      <x:c r="D4051" s="84" t="n">
        <x:f>C4051^2-'Resumen'!$B$5^3/3</x:f>
        <x:v>-0.2897029933904583</x:v>
      </x:c>
      <x:c r="E4051" s="85" t="n">
        <x:f>D4051+'Resumen'!$B$5^3/3</x:f>
        <x:v>0.04363033994287502</x:v>
      </x:c>
    </x:row>
    <x:row r="4052">
      <x:c r="A4052" s="89" t="n">
        <x:v>4050</x:v>
      </x:c>
      <x:c r="B4052" s="80" t="n">
        <x:v>1.5221747752215788</x:v>
      </x:c>
      <x:c r="C4052" s="84" t="n">
        <x:f>SQRT('Resumen'!$B$5^3/3)*B4052</x:f>
        <x:v>0.8788280162278366</x:v>
      </x:c>
      <x:c r="D4052" s="84" t="n">
        <x:f>C4052^2-'Resumen'!$B$5^3/3</x:f>
        <x:v>0.43900534877362124</x:v>
      </x:c>
      <x:c r="E4052" s="85" t="n">
        <x:f>D4052+'Resumen'!$B$5^3/3</x:f>
        <x:v>0.7723386821069546</x:v>
      </x:c>
    </x:row>
    <x:row r="4053">
      <x:c r="A4053" s="89" t="n">
        <x:v>4051</x:v>
      </x:c>
      <x:c r="B4053" s="80" t="n">
        <x:v>1.9717083476220825</x:v>
      </x:c>
      <x:c r="C4053" s="84" t="n">
        <x:f>SQRT('Resumen'!$B$5^3/3)*B4053</x:f>
        <x:v>1.1383663452630415</x:v>
      </x:c>
      <x:c r="D4053" s="84" t="n">
        <x:f>C4053^2-'Resumen'!$B$5^3/3</x:f>
        <x:v>0.9625446026942008</x:v>
      </x:c>
      <x:c r="E4053" s="85" t="n">
        <x:f>D4053+'Resumen'!$B$5^3/3</x:f>
        <x:v>1.295877936027534</x:v>
      </x:c>
    </x:row>
    <x:row r="4054">
      <x:c r="A4054" s="89" t="n">
        <x:v>4052</x:v>
      </x:c>
      <x:c r="B4054" s="80" t="n">
        <x:v>0.14576982791775225</x:v>
      </x:c>
      <x:c r="C4054" s="84" t="n">
        <x:f>SQRT('Resumen'!$B$5^3/3)*B4054</x:f>
        <x:v>0.08416024938803969</x:v>
      </x:c>
      <x:c r="D4054" s="84" t="n">
        <x:f>C4054^2-'Resumen'!$B$5^3/3</x:f>
        <x:v>-0.3262503857562763</x:v>
      </x:c>
      <x:c r="E4054" s="85" t="n">
        <x:f>D4054+'Resumen'!$B$5^3/3</x:f>
        <x:v>0.007082947577057019</x:v>
      </x:c>
    </x:row>
    <x:row r="4055">
      <x:c r="A4055" s="89" t="n">
        <x:v>4053</x:v>
      </x:c>
      <x:c r="B4055" s="80" t="n">
        <x:v>-0.5187294373015052</x:v>
      </x:c>
      <x:c r="C4055" s="84" t="n">
        <x:f>SQRT('Resumen'!$B$5^3/3)*B4055</x:f>
        <x:v>-0.2994885802626071</x:v>
      </x:c>
      <x:c r="D4055" s="84" t="n">
        <x:f>C4055^2-'Resumen'!$B$5^3/3</x:f>
        <x:v>-0.24363992362562126</x:v>
      </x:c>
      <x:c r="E4055" s="85" t="n">
        <x:f>D4055+'Resumen'!$B$5^3/3</x:f>
        <x:v>0.08969340970771206</x:v>
      </x:c>
    </x:row>
    <x:row r="4056">
      <x:c r="A4056" s="89" t="n">
        <x:v>4054</x:v>
      </x:c>
      <x:c r="B4056" s="80" t="n">
        <x:v>-0.6398707333458337</x:v>
      </x:c>
      <x:c r="C4056" s="84" t="n">
        <x:f>SQRT('Resumen'!$B$5^3/3)*B4056</x:f>
        <x:v>-0.36942954014378027</x:v>
      </x:c>
      <x:c r="D4056" s="84" t="n">
        <x:f>C4056^2-'Resumen'!$B$5^3/3</x:f>
        <x:v>-0.19685514820248837</x:v>
      </x:c>
      <x:c r="E4056" s="85" t="n">
        <x:f>D4056+'Resumen'!$B$5^3/3</x:f>
        <x:v>0.13647818513084495</x:v>
      </x:c>
    </x:row>
    <x:row r="4057">
      <x:c r="A4057" s="89" t="n">
        <x:v>4055</x:v>
      </x:c>
      <x:c r="B4057" s="80" t="n">
        <x:v>0.2685742041352316</x:v>
      </x:c>
      <x:c r="C4057" s="84" t="n">
        <x:f>SQRT('Resumen'!$B$5^3/3)*B4057</x:f>
        <x:v>0.15506138905486544</x:v>
      </x:c>
      <x:c r="D4057" s="84" t="n">
        <x:f>C4057^2-'Resumen'!$B$5^3/3</x:f>
        <x:v>-0.30928929895770896</x:v>
      </x:c>
      <x:c r="E4057" s="85" t="n">
        <x:f>D4057+'Resumen'!$B$5^3/3</x:f>
        <x:v>0.024044034375624357</x:v>
      </x:c>
    </x:row>
    <x:row r="4058">
      <x:c r="A4058" s="89" t="n">
        <x:v>4056</x:v>
      </x:c>
      <x:c r="B4058" s="80" t="n">
        <x:v>-0.4412300505720283</x:v>
      </x:c>
      <x:c r="C4058" s="84" t="n">
        <x:f>SQRT('Resumen'!$B$5^3/3)*B4058</x:f>
        <x:v>-0.25474428847231273</x:v>
      </x:c>
      <x:c r="D4058" s="84" t="n">
        <x:f>C4058^2-'Resumen'!$B$5^3/3</x:f>
        <x:v>-0.2684386808240684</x:v>
      </x:c>
      <x:c r="E4058" s="85" t="n">
        <x:f>D4058+'Resumen'!$B$5^3/3</x:f>
        <x:v>0.0648946525092649</x:v>
      </x:c>
    </x:row>
    <x:row r="4059">
      <x:c r="A4059" s="89" t="n">
        <x:v>4057</x:v>
      </x:c>
      <x:c r="B4059" s="80" t="n">
        <x:v>-1.4867306528750723</x:v>
      </x:c>
      <x:c r="C4059" s="84" t="n">
        <x:f>SQRT('Resumen'!$B$5^3/3)*B4059</x:f>
        <x:v>-0.858364342649891</x:v>
      </x:c>
      <x:c r="D4059" s="84" t="n">
        <x:f>C4059^2-'Resumen'!$B$5^3/3</x:f>
        <x:v>0.40345601139944626</x:v>
      </x:c>
      <x:c r="E4059" s="85" t="n">
        <x:f>D4059+'Resumen'!$B$5^3/3</x:f>
        <x:v>0.7367893447327796</x:v>
      </x:c>
    </x:row>
    <x:row r="4060">
      <x:c r="A4060" s="89" t="n">
        <x:v>4058</x:v>
      </x:c>
      <x:c r="B4060" s="80" t="n">
        <x:v>0.49267533521571233</x:v>
      </x:c>
      <x:c r="C4060" s="84" t="n">
        <x:f>SQRT('Resumen'!$B$5^3/3)*B4060</x:f>
        <x:v>0.2844462374098806</x:v>
      </x:c>
      <x:c r="D4060" s="84" t="n">
        <x:f>C4060^2-'Resumen'!$B$5^3/3</x:f>
        <x:v>-0.25242367135669513</x:v>
      </x:c>
      <x:c r="E4060" s="85" t="n">
        <x:f>D4060+'Resumen'!$B$5^3/3</x:f>
        <x:v>0.08090966197663818</x:v>
      </x:c>
    </x:row>
    <x:row r="4061">
      <x:c r="A4061" s="89" t="n">
        <x:v>4059</x:v>
      </x:c>
      <x:c r="B4061" s="80" t="n">
        <x:v>1.00507684014682</x:v>
      </x:c>
      <x:c r="C4061" s="84" t="n">
        <x:f>SQRT('Resumen'!$B$5^3/3)*B4061</x:f>
        <x:v>0.580281384215025</x:v>
      </x:c>
      <x:c r="D4061" s="84" t="n">
        <x:f>C4061^2-'Resumen'!$B$5^3/3</x:f>
        <x:v>0.0033931515331721007</x:v>
      </x:c>
      <x:c r="E4061" s="85" t="n">
        <x:f>D4061+'Resumen'!$B$5^3/3</x:f>
        <x:v>0.3367264848665054</x:v>
      </x:c>
    </x:row>
    <x:row r="4062">
      <x:c r="A4062" s="89" t="n">
        <x:v>4060</x:v>
      </x:c>
      <x:c r="B4062" s="80" t="n">
        <x:v>1.785080286436504</x:v>
      </x:c>
      <x:c r="C4062" s="84" t="n">
        <x:f>SQRT('Resumen'!$B$5^3/3)*B4062</x:f>
        <x:v>1.0306165838992098</x:v>
      </x:c>
      <x:c r="D4062" s="84" t="n">
        <x:f>C4062^2-'Resumen'!$B$5^3/3</x:f>
        <x:v>0.7288372096747437</x:v>
      </x:c>
      <x:c r="E4062" s="85" t="n">
        <x:f>D4062+'Resumen'!$B$5^3/3</x:f>
        <x:v>1.062170543008077</x:v>
      </x:c>
    </x:row>
    <x:row r="4063">
      <x:c r="A4063" s="89" t="n">
        <x:v>4061</x:v>
      </x:c>
      <x:c r="B4063" s="80" t="n">
        <x:v>0.5570795945879011</x:v>
      </x:c>
      <x:c r="C4063" s="84" t="n">
        <x:f>SQRT('Resumen'!$B$5^3/3)*B4063</x:f>
        <x:v>0.3216300538953723</x:v>
      </x:c>
      <x:c r="D4063" s="84" t="n">
        <x:f>C4063^2-'Resumen'!$B$5^3/3</x:f>
        <x:v>-0.22988744176459322</x:v>
      </x:c>
      <x:c r="E4063" s="85" t="n">
        <x:f>D4063+'Resumen'!$B$5^3/3</x:f>
        <x:v>0.1034458915687401</x:v>
      </x:c>
    </x:row>
    <x:row r="4064">
      <x:c r="A4064" s="89" t="n">
        <x:v>4062</x:v>
      </x:c>
      <x:c r="B4064" s="80" t="n">
        <x:v>-0.40571609805032627</x:v>
      </x:c>
      <x:c r="C4064" s="84" t="n">
        <x:f>SQRT('Resumen'!$B$5^3/3)*B4064</x:f>
        <x:v>-0.23424029842392047</x:v>
      </x:c>
      <x:c r="D4064" s="84" t="n">
        <x:f>C4064^2-'Resumen'!$B$5^3/3</x:f>
        <x:v>-0.27846481592760597</x:v>
      </x:c>
      <x:c r="E4064" s="85" t="n">
        <x:f>D4064+'Resumen'!$B$5^3/3</x:f>
        <x:v>0.054868517405727346</x:v>
      </x:c>
    </x:row>
    <x:row r="4065">
      <x:c r="A4065" s="89" t="n">
        <x:v>4063</x:v>
      </x:c>
      <x:c r="B4065" s="80" t="n">
        <x:v>0.796333575624364</x:v>
      </x:c>
      <x:c r="C4065" s="84" t="n">
        <x:f>SQRT('Resumen'!$B$5^3/3)*B4065</x:f>
        <x:v>0.4597634042514637</x:v>
      </x:c>
      <x:c r="D4065" s="84" t="n">
        <x:f>C4065^2-'Resumen'!$B$5^3/3</x:f>
        <x:v>-0.12195094544443846</x:v>
      </x:c>
      <x:c r="E4065" s="85" t="n">
        <x:f>D4065+'Resumen'!$B$5^3/3</x:f>
        <x:v>0.21138238788889485</x:v>
      </x:c>
    </x:row>
    <x:row r="4066">
      <x:c r="A4066" s="89" t="n">
        <x:v>4064</x:v>
      </x:c>
      <x:c r="B4066" s="80" t="n">
        <x:v>-0.16567856173931614</x:v>
      </x:c>
      <x:c r="C4066" s="84" t="n">
        <x:f>SQRT('Resumen'!$B$5^3/3)*B4066</x:f>
        <x:v>-0.0956545622191442</x:v>
      </x:c>
      <x:c r="D4066" s="84" t="n">
        <x:f>C4066^2-'Resumen'!$B$5^3/3</x:f>
        <x:v>-0.32418353805999717</x:v>
      </x:c>
      <x:c r="E4066" s="85" t="n">
        <x:f>D4066+'Resumen'!$B$5^3/3</x:f>
        <x:v>0.009149795273336148</x:v>
      </x:c>
    </x:row>
    <x:row r="4067">
      <x:c r="A4067" s="89" t="n">
        <x:v>4065</x:v>
      </x:c>
      <x:c r="B4067" s="80" t="n">
        <x:v>-1.9639650809313283</x:v>
      </x:c>
      <x:c r="C4067" s="84" t="n">
        <x:f>SQRT('Resumen'!$B$5^3/3)*B4067</x:f>
        <x:v>-1.1338957681547275</x:v>
      </x:c>
      <x:c r="D4067" s="84" t="n">
        <x:f>C4067^2-'Resumen'!$B$5^3/3</x:f>
        <x:v>0.9523862797058662</x:v>
      </x:c>
      <x:c r="E4067" s="85" t="n">
        <x:f>D4067+'Resumen'!$B$5^3/3</x:f>
        <x:v>1.2857196130391995</x:v>
      </x:c>
    </x:row>
    <x:row r="4068">
      <x:c r="A4068" s="89" t="n">
        <x:v>4066</x:v>
      </x:c>
      <x:c r="B4068" s="80" t="n">
        <x:v>1.58822017067987</x:v>
      </x:c>
      <x:c r="C4068" s="84" t="n">
        <x:f>SQRT('Resumen'!$B$5^3/3)*B4068</x:f>
        <x:v>0.9169593430744163</x:v>
      </x:c>
      <x:c r="D4068" s="84" t="n">
        <x:f>C4068^2-'Resumen'!$B$5^3/3</x:f>
        <x:v>0.5074811035181317</x:v>
      </x:c>
      <x:c r="E4068" s="85" t="n">
        <x:f>D4068+'Resumen'!$B$5^3/3</x:f>
        <x:v>0.840814436851465</x:v>
      </x:c>
    </x:row>
    <x:row r="4069">
      <x:c r="A4069" s="89" t="n">
        <x:v>4067</x:v>
      </x:c>
      <x:c r="B4069" s="80" t="n">
        <x:v>-2.4486041567422085</x:v>
      </x:c>
      <x:c r="C4069" s="84" t="n">
        <x:f>SQRT('Resumen'!$B$5^3/3)*B4069</x:f>
        <x:v>-1.4137022690339507</x:v>
      </x:c>
      <x:c r="D4069" s="84" t="n">
        <x:f>C4069^2-'Resumen'!$B$5^3/3</x:f>
        <x:v>1.6652207721384074</x:v>
      </x:c>
      <x:c r="E4069" s="85" t="n">
        <x:f>D4069+'Resumen'!$B$5^3/3</x:f>
        <x:v>1.9985541054717406</x:v>
      </x:c>
    </x:row>
    <x:row r="4070">
      <x:c r="A4070" s="89" t="n">
        <x:v>4068</x:v>
      </x:c>
      <x:c r="B4070" s="80" t="n">
        <x:v>0.584660149551353</x:v>
      </x:c>
      <x:c r="C4070" s="84" t="n">
        <x:f>SQRT('Resumen'!$B$5^3/3)*B4070</x:f>
        <x:v>0.3375536947279205</x:v>
      </x:c>
      <x:c r="D4070" s="84" t="n">
        <x:f>C4070^2-'Resumen'!$B$5^3/3</x:f>
        <x:v>-0.21939083650886315</x:v>
      </x:c>
      <x:c r="E4070" s="85" t="n">
        <x:f>D4070+'Resumen'!$B$5^3/3</x:f>
        <x:v>0.11394249682447016</x:v>
      </x:c>
    </x:row>
    <x:row r="4071">
      <x:c r="A4071" s="89" t="n">
        <x:v>4069</x:v>
      </x:c>
      <x:c r="B4071" s="80" t="n">
        <x:v>1.5594122437245799</x:v>
      </x:c>
      <x:c r="C4071" s="84" t="n">
        <x:f>SQRT('Resumen'!$B$5^3/3)*B4071</x:f>
        <x:v>0.9003270786919845</x:v>
      </x:c>
      <x:c r="D4071" s="84" t="n">
        <x:f>C4071^2-'Resumen'!$B$5^3/3</x:f>
        <x:v>0.47725551529270943</x:v>
      </x:c>
      <x:c r="E4071" s="85" t="n">
        <x:f>D4071+'Resumen'!$B$5^3/3</x:f>
        <x:v>0.8105888486260427</x:v>
      </x:c>
    </x:row>
    <x:row r="4072">
      <x:c r="A4072" s="89" t="n">
        <x:v>4070</x:v>
      </x:c>
      <x:c r="B4072" s="80" t="n">
        <x:v>1.2190567018344158</x:v>
      </x:c>
      <x:c r="C4072" s="84" t="n">
        <x:f>SQRT('Resumen'!$B$5^3/3)*B4072</x:f>
        <x:v>0.7038227149615173</x:v>
      </x:c>
      <x:c r="D4072" s="84" t="n">
        <x:f>C4072^2-'Resumen'!$B$5^3/3</x:f>
        <x:v>0.16203308076246786</x:v>
      </x:c>
      <x:c r="E4072" s="85" t="n">
        <x:f>D4072+'Resumen'!$B$5^3/3</x:f>
        <x:v>0.4953664140958012</x:v>
      </x:c>
    </x:row>
    <x:row r="4073">
      <x:c r="A4073" s="89" t="n">
        <x:v>4071</x:v>
      </x:c>
      <x:c r="B4073" s="80" t="n">
        <x:v>0.20520337074438602</x:v>
      </x:c>
      <x:c r="C4073" s="84" t="n">
        <x:f>SQRT('Resumen'!$B$5^3/3)*B4073</x:f>
        <x:v>0.11847422133788983</x:v>
      </x:c>
      <x:c r="D4073" s="84" t="n">
        <x:f>C4073^2-'Resumen'!$B$5^3/3</x:f>
        <x:v>-0.319297192211714</x:v>
      </x:c>
      <x:c r="E4073" s="85" t="n">
        <x:f>D4073+'Resumen'!$B$5^3/3</x:f>
        <x:v>0.014036141121619328</x:v>
      </x:c>
    </x:row>
    <x:row r="4074">
      <x:c r="A4074" s="89" t="n">
        <x:v>4072</x:v>
      </x:c>
      <x:c r="B4074" s="80" t="n">
        <x:v>0.9152866457999772</x:v>
      </x:c>
      <x:c r="C4074" s="84" t="n">
        <x:f>SQRT('Resumen'!$B$5^3/3)*B4074</x:f>
        <x:v>0.5284409913382865</x:v>
      </x:c>
      <x:c r="D4074" s="84" t="n">
        <x:f>C4074^2-'Resumen'!$B$5^3/3</x:f>
        <x:v>-0.05408345200674236</x:v>
      </x:c>
      <x:c r="E4074" s="85" t="n">
        <x:f>D4074+'Resumen'!$B$5^3/3</x:f>
        <x:v>0.27924988132659095</x:v>
      </x:c>
    </x:row>
    <x:row r="4075">
      <x:c r="A4075" s="89" t="n">
        <x:v>4073</x:v>
      </x:c>
      <x:c r="B4075" s="80" t="n">
        <x:v>-1.17733538642295</x:v>
      </x:c>
      <x:c r="C4075" s="84" t="n">
        <x:f>SQRT('Resumen'!$B$5^3/3)*B4075</x:f>
        <x:v>-0.6797349022777622</x:v>
      </x:c>
      <x:c r="D4075" s="84" t="n">
        <x:f>C4075^2-'Resumen'!$B$5^3/3</x:f>
        <x:v>0.12870620404122568</x:v>
      </x:c>
      <x:c r="E4075" s="85" t="n">
        <x:f>D4075+'Resumen'!$B$5^3/3</x:f>
        <x:v>0.462039537374559</x:v>
      </x:c>
    </x:row>
    <x:row r="4076">
      <x:c r="A4076" s="89" t="n">
        <x:v>4074</x:v>
      </x:c>
      <x:c r="B4076" s="80" t="n">
        <x:v>1.0052990800883144</x:v>
      </x:c>
      <x:c r="C4076" s="84" t="n">
        <x:f>SQRT('Resumen'!$B$5^3/3)*B4076</x:f>
        <x:v>0.5804096945050714</x:v>
      </x:c>
      <x:c r="D4076" s="84" t="n">
        <x:f>C4076^2-'Resumen'!$B$5^3/3</x:f>
        <x:v>0.0035420801421370274</x:v>
      </x:c>
      <x:c r="E4076" s="85" t="n">
        <x:f>D4076+'Resumen'!$B$5^3/3</x:f>
        <x:v>0.33687541347547034</x:v>
      </x:c>
    </x:row>
    <x:row r="4077">
      <x:c r="A4077" s="89" t="n">
        <x:v>4075</x:v>
      </x:c>
      <x:c r="B4077" s="80" t="n">
        <x:v>-0.17351467456770436</x:v>
      </x:c>
      <x:c r="C4077" s="84" t="n">
        <x:f>SQRT('Resumen'!$B$5^3/3)*B4077</x:f>
        <x:v>-0.10017874407001442</x:v>
      </x:c>
      <x:c r="D4077" s="84" t="n">
        <x:f>C4077^2-'Resumen'!$B$5^3/3</x:f>
        <x:v>-0.32329755256988785</x:v>
      </x:c>
      <x:c r="E4077" s="85" t="n">
        <x:f>D4077+'Resumen'!$B$5^3/3</x:f>
        <x:v>0.010035780763445468</x:v>
      </x:c>
    </x:row>
    <x:row r="4078">
      <x:c r="A4078" s="89" t="n">
        <x:v>4076</x:v>
      </x:c>
      <x:c r="B4078" s="80" t="n">
        <x:v>-1.390140341729756</x:v>
      </x:c>
      <x:c r="C4078" s="84" t="n">
        <x:f>SQRT('Resumen'!$B$5^3/3)*B4078</x:f>
        <x:v>-0.8025979005090329</x:v>
      </x:c>
      <x:c r="D4078" s="84" t="n">
        <x:f>C4078^2-'Resumen'!$B$5^3/3</x:f>
        <x:v>0.31083005656817414</x:v>
      </x:c>
      <x:c r="E4078" s="85" t="n">
        <x:f>D4078+'Resumen'!$B$5^3/3</x:f>
        <x:v>0.6441633899015075</x:v>
      </x:c>
    </x:row>
    <x:row r="4079">
      <x:c r="A4079" s="89" t="n">
        <x:v>4077</x:v>
      </x:c>
      <x:c r="B4079" s="80" t="n">
        <x:v>1.1259122781323125</x:v>
      </x:c>
      <x:c r="C4079" s="84" t="n">
        <x:f>SQRT('Resumen'!$B$5^3/3)*B4079</x:f>
        <x:v>0.6500457568635954</x:v>
      </x:c>
      <x:c r="D4079" s="84" t="n">
        <x:f>C4079^2-'Resumen'!$B$5^3/3</x:f>
        <x:v>0.08922615268303136</x:v>
      </x:c>
      <x:c r="E4079" s="85" t="n">
        <x:f>D4079+'Resumen'!$B$5^3/3</x:f>
        <x:v>0.42255948601636467</x:v>
      </x:c>
    </x:row>
    <x:row r="4080">
      <x:c r="A4080" s="89" t="n">
        <x:v>4078</x:v>
      </x:c>
      <x:c r="B4080" s="80" t="n">
        <x:v>-0.10469577669599113</x:v>
      </x:c>
      <x:c r="C4080" s="84" t="n">
        <x:f>SQRT('Resumen'!$B$5^3/3)*B4080</x:f>
        <x:v>-0.06044613485844742</x:v>
      </x:c>
      <x:c r="D4080" s="84" t="n">
        <x:f>C4080^2-'Resumen'!$B$5^3/3</x:f>
        <x:v>-0.3296795981140077</x:v>
      </x:c>
      <x:c r="E4080" s="85" t="n">
        <x:f>D4080+'Resumen'!$B$5^3/3</x:f>
        <x:v>0.0036537352193256045</x:v>
      </x:c>
    </x:row>
    <x:row r="4081">
      <x:c r="A4081" s="89" t="n">
        <x:v>4079</x:v>
      </x:c>
      <x:c r="B4081" s="80" t="n">
        <x:v>0.6768172714849542</x:v>
      </x:c>
      <x:c r="C4081" s="84" t="n">
        <x:f>SQRT('Resumen'!$B$5^3/3)*B4081</x:f>
        <x:v>0.3907606338840263</x:v>
      </x:c>
      <x:c r="D4081" s="84" t="n">
        <x:f>C4081^2-'Resumen'!$B$5^3/3</x:f>
        <x:v>-0.18063946033988726</x:v>
      </x:c>
      <x:c r="E4081" s="85" t="n">
        <x:f>D4081+'Resumen'!$B$5^3/3</x:f>
        <x:v>0.15269387299344606</x:v>
      </x:c>
    </x:row>
    <x:row r="4082">
      <x:c r="A4082" s="89" t="n">
        <x:v>4080</x:v>
      </x:c>
      <x:c r="B4082" s="80" t="n">
        <x:v>0.5383773029992776</x:v>
      </x:c>
      <x:c r="C4082" s="84" t="n">
        <x:f>SQRT('Resumen'!$B$5^3/3)*B4082</x:f>
        <x:v>0.3108322808122176</x:v>
      </x:c>
      <x:c r="D4082" s="84" t="n">
        <x:f>C4082^2-'Resumen'!$B$5^3/3</x:f>
        <x:v>-0.23671662653840803</x:v>
      </x:c>
      <x:c r="E4082" s="85" t="n">
        <x:f>D4082+'Resumen'!$B$5^3/3</x:f>
        <x:v>0.09661670679492529</x:v>
      </x:c>
    </x:row>
    <x:row r="4083">
      <x:c r="A4083" s="89" t="n">
        <x:v>4081</x:v>
      </x:c>
      <x:c r="B4083" s="80" t="n">
        <x:v>-0.6816322245974333</x:v>
      </x:c>
      <x:c r="C4083" s="84" t="n">
        <x:f>SQRT('Resumen'!$B$5^3/3)*B4083</x:f>
        <x:v>-0.3935405483596516</x:v>
      </x:c>
      <x:c r="D4083" s="84" t="n">
        <x:f>C4083^2-'Resumen'!$B$5^3/3</x:f>
        <x:v>-0.17845917013011806</x:v>
      </x:c>
      <x:c r="E4083" s="85" t="n">
        <x:f>D4083+'Resumen'!$B$5^3/3</x:f>
        <x:v>0.15487416320321526</x:v>
      </x:c>
    </x:row>
    <x:row r="4084">
      <x:c r="A4084" s="89" t="n">
        <x:v>4082</x:v>
      </x:c>
      <x:c r="B4084" s="80" t="n">
        <x:v>0.34843598408286336</x:v>
      </x:c>
      <x:c r="C4084" s="84" t="n">
        <x:f>SQRT('Resumen'!$B$5^3/3)*B4084</x:f>
        <x:v>0.20116960920559332</x:v>
      </x:c>
      <x:c r="D4084" s="84" t="n">
        <x:f>C4084^2-'Resumen'!$B$5^3/3</x:f>
        <x:v>-0.29286412166540216</x:v>
      </x:c>
      <x:c r="E4084" s="85" t="n">
        <x:f>D4084+'Resumen'!$B$5^3/3</x:f>
        <x:v>0.04046921166793116</x:v>
      </x:c>
    </x:row>
    <x:row r="4085">
      <x:c r="A4085" s="89" t="n">
        <x:v>4083</x:v>
      </x:c>
      <x:c r="B4085" s="80" t="n">
        <x:v>-1.6902383642389693</x:v>
      </x:c>
      <x:c r="C4085" s="84" t="n">
        <x:f>SQRT('Resumen'!$B$5^3/3)*B4085</x:f>
        <x:v>-0.9758595745880017</x:v>
      </x:c>
      <x:c r="D4085" s="84" t="n">
        <x:f>C4085^2-'Resumen'!$B$5^3/3</x:f>
        <x:v>0.6189685759817423</x:v>
      </x:c>
      <x:c r="E4085" s="85" t="n">
        <x:f>D4085+'Resumen'!$B$5^3/3</x:f>
        <x:v>0.9523019093150755</x:v>
      </x:c>
    </x:row>
    <x:row r="4086">
      <x:c r="A4086" s="89" t="n">
        <x:v>4084</x:v>
      </x:c>
      <x:c r="B4086" s="80" t="n">
        <x:v>-0.8089781814400896</x:v>
      </x:c>
      <x:c r="C4086" s="84" t="n">
        <x:f>SQRT('Resumen'!$B$5^3/3)*B4086</x:f>
        <x:v>-0.4670637708229696</x:v>
      </x:c>
      <x:c r="D4086" s="84" t="n">
        <x:f>C4086^2-'Resumen'!$B$5^3/3</x:f>
        <x:v>-0.11518476731796182</x:v>
      </x:c>
      <x:c r="E4086" s="85" t="n">
        <x:f>D4086+'Resumen'!$B$5^3/3</x:f>
        <x:v>0.2181485660153715</x:v>
      </x:c>
    </x:row>
    <x:row r="4087">
      <x:c r="A4087" s="89" t="n">
        <x:v>4085</x:v>
      </x:c>
      <x:c r="B4087" s="80" t="n">
        <x:v>0.4088940161452196</x:v>
      </x:c>
      <x:c r="C4087" s="84" t="n">
        <x:f>SQRT('Resumen'!$B$5^3/3)*B4087</x:f>
        <x:v>0.2360750702914697</x:v>
      </x:c>
      <x:c r="D4087" s="84" t="n">
        <x:f>C4087^2-'Resumen'!$B$5^3/3</x:f>
        <x:v>-0.27760189452021095</x:v>
      </x:c>
      <x:c r="E4087" s="85" t="n">
        <x:f>D4087+'Resumen'!$B$5^3/3</x:f>
        <x:v>0.05573143881312237</x:v>
      </x:c>
    </x:row>
    <x:row r="4088">
      <x:c r="A4088" s="89" t="n">
        <x:v>4086</x:v>
      </x:c>
      <x:c r="B4088" s="80" t="n">
        <x:v>-1.3873717063782174</x:v>
      </x:c>
      <x:c r="C4088" s="84" t="n">
        <x:f>SQRT('Resumen'!$B$5^3/3)*B4088</x:f>
        <x:v>-0.8009994281435342</x:v>
      </x:c>
      <x:c r="D4088" s="84" t="n">
        <x:f>C4088^2-'Resumen'!$B$5^3/3</x:f>
        <x:v>0.30826675055293545</x:v>
      </x:c>
      <x:c r="E4088" s="85" t="n">
        <x:f>D4088+'Resumen'!$B$5^3/3</x:f>
        <x:v>0.6416000838862688</x:v>
      </x:c>
    </x:row>
    <x:row r="4089">
      <x:c r="A4089" s="89" t="n">
        <x:v>4087</x:v>
      </x:c>
      <x:c r="B4089" s="80" t="n">
        <x:v>0.8082099851183776</x:v>
      </x:c>
      <x:c r="C4089" s="84" t="n">
        <x:f>SQRT('Resumen'!$B$5^3/3)*B4089</x:f>
        <x:v>0.46662025246983874</x:v>
      </x:c>
      <x:c r="D4089" s="84" t="n">
        <x:f>C4089^2-'Resumen'!$B$5^3/3</x:f>
        <x:v>-0.11559887331831728</x:v>
      </x:c>
      <x:c r="E4089" s="85" t="n">
        <x:f>D4089+'Resumen'!$B$5^3/3</x:f>
        <x:v>0.21773446001501603</x:v>
      </x:c>
    </x:row>
    <x:row r="4090">
      <x:c r="A4090" s="89" t="n">
        <x:v>4088</x:v>
      </x:c>
      <x:c r="B4090" s="80" t="n">
        <x:v>0.32817283982575424</x:v>
      </x:c>
      <x:c r="C4090" s="84" t="n">
        <x:f>SQRT('Resumen'!$B$5^3/3)*B4090</x:f>
        <x:v>0.18947067741412313</x:v>
      </x:c>
      <x:c r="D4090" s="84" t="n">
        <x:f>C4090^2-'Resumen'!$B$5^3/3</x:f>
        <x:v>-0.2974341957335666</x:v>
      </x:c>
      <x:c r="E4090" s="85" t="n">
        <x:f>D4090+'Resumen'!$B$5^3/3</x:f>
        <x:v>0.035899137599766706</x:v>
      </x:c>
    </x:row>
    <x:row r="4091">
      <x:c r="A4091" s="89" t="n">
        <x:v>4089</x:v>
      </x:c>
      <x:c r="B4091" s="80" t="n">
        <x:v>0.9435879196795728</x:v>
      </x:c>
      <x:c r="C4091" s="84" t="n">
        <x:f>SQRT('Resumen'!$B$5^3/3)*B4091</x:f>
        <x:v>0.5447807394310803</x:v>
      </x:c>
      <x:c r="D4091" s="84" t="n">
        <x:f>C4091^2-'Resumen'!$B$5^3/3</x:f>
        <x:v>-0.03654727927825868</x:v>
      </x:c>
      <x:c r="E4091" s="85" t="n">
        <x:f>D4091+'Resumen'!$B$5^3/3</x:f>
        <x:v>0.29678605405507463</x:v>
      </x:c>
    </x:row>
    <x:row r="4092">
      <x:c r="A4092" s="89" t="n">
        <x:v>4090</x:v>
      </x:c>
      <x:c r="B4092" s="80" t="n">
        <x:v>0.5366139525023191</x:v>
      </x:c>
      <x:c r="C4092" s="84" t="n">
        <x:f>SQRT('Resumen'!$B$5^3/3)*B4092</x:f>
        <x:v>0.309814209928123</x:v>
      </x:c>
      <x:c r="D4092" s="84" t="n">
        <x:f>C4092^2-'Resumen'!$B$5^3/3</x:f>
        <x:v>-0.23734848865994626</x:v>
      </x:c>
      <x:c r="E4092" s="85" t="n">
        <x:f>D4092+'Resumen'!$B$5^3/3</x:f>
        <x:v>0.09598484467338705</x:v>
      </x:c>
    </x:row>
    <x:row r="4093">
      <x:c r="A4093" s="89" t="n">
        <x:v>4091</x:v>
      </x:c>
      <x:c r="B4093" s="80" t="n">
        <x:v>-2.49986062380908</x:v>
      </x:c>
      <x:c r="C4093" s="84" t="n">
        <x:f>SQRT('Resumen'!$B$5^3/3)*B4093</x:f>
        <x:v>-1.443295204092718</x:v>
      </x:c>
      <x:c r="D4093" s="84" t="n">
        <x:f>C4093^2-'Resumen'!$B$5^3/3</x:f>
        <x:v>1.7497677128237072</x:v>
      </x:c>
      <x:c r="E4093" s="85" t="n">
        <x:f>D4093+'Resumen'!$B$5^3/3</x:f>
        <x:v>2.0831010461570405</x:v>
      </x:c>
    </x:row>
    <x:row r="4094">
      <x:c r="A4094" s="89" t="n">
        <x:v>4092</x:v>
      </x:c>
      <x:c r="B4094" s="80" t="n">
        <x:v>0.14922724012455568</x:v>
      </x:c>
      <x:c r="C4094" s="84" t="n">
        <x:f>SQRT('Resumen'!$B$5^3/3)*B4094</x:f>
        <x:v>0.08615638725633715</x:v>
      </x:c>
      <x:c r="D4094" s="84" t="n">
        <x:f>C4094^2-'Resumen'!$B$5^3/3</x:f>
        <x:v>-0.3259104102682694</x:v>
      </x:c>
      <x:c r="E4094" s="85" t="n">
        <x:f>D4094+'Resumen'!$B$5^3/3</x:f>
        <x:v>0.007422923065063924</x:v>
      </x:c>
    </x:row>
    <x:row r="4095">
      <x:c r="A4095" s="89" t="n">
        <x:v>4093</x:v>
      </x:c>
      <x:c r="B4095" s="80" t="n">
        <x:v>-0.39378783595445227</x:v>
      </x:c>
      <x:c r="C4095" s="84" t="n">
        <x:f>SQRT('Resumen'!$B$5^3/3)*B4095</x:f>
        <x:v>-0.2273535130919032</x:v>
      </x:c>
      <x:c r="D4095" s="84" t="n">
        <x:f>C4095^2-'Resumen'!$B$5^3/3</x:f>
        <x:v>-0.2816437134181031</x:v>
      </x:c>
      <x:c r="E4095" s="85" t="n">
        <x:f>D4095+'Resumen'!$B$5^3/3</x:f>
        <x:v>0.05168961991523019</x:v>
      </x:c>
    </x:row>
    <x:row r="4096">
      <x:c r="A4096" s="89" t="n">
        <x:v>4094</x:v>
      </x:c>
      <x:c r="B4096" s="80" t="n">
        <x:v>-0.08285620169464356</x:v>
      </x:c>
      <x:c r="C4096" s="84" t="n">
        <x:f>SQRT('Resumen'!$B$5^3/3)*B4096</x:f>
        <x:v>-0.04783705035243238</x:v>
      </x:c>
      <x:c r="D4096" s="84" t="n">
        <x:f>C4096^2-'Resumen'!$B$5^3/3</x:f>
        <x:v>-0.33104494994691214</x:v>
      </x:c>
      <x:c r="E4096" s="85" t="n">
        <x:f>D4096+'Resumen'!$B$5^3/3</x:f>
        <x:v>0.0022883833864211778</x:v>
      </x:c>
    </x:row>
    <x:row r="4097">
      <x:c r="A4097" s="89" t="n">
        <x:v>4095</x:v>
      </x:c>
      <x:c r="B4097" s="80" t="n">
        <x:v>-0.4504085530199205</x:v>
      </x:c>
      <x:c r="C4097" s="84" t="n">
        <x:f>SQRT('Resumen'!$B$5^3/3)*B4097</x:f>
        <x:v>-0.2600434993313609</x:v>
      </x:c>
      <x:c r="D4097" s="84" t="n">
        <x:f>C4097^2-'Resumen'!$B$5^3/3</x:f>
        <x:v>-0.2657107117888338</x:v>
      </x:c>
      <x:c r="E4097" s="85" t="n">
        <x:f>D4097+'Resumen'!$B$5^3/3</x:f>
        <x:v>0.0676226215444995</x:v>
      </x:c>
    </x:row>
    <x:row r="4098">
      <x:c r="A4098" s="89" t="n">
        <x:v>4096</x:v>
      </x:c>
      <x:c r="B4098" s="80" t="n">
        <x:v>-0.2892512035445182</x:v>
      </x:c>
      <x:c r="C4098" s="84" t="n">
        <x:f>SQRT('Resumen'!$B$5^3/3)*B4098</x:f>
        <x:v>-0.16699926022985082</x:v>
      </x:c>
      <x:c r="D4098" s="84" t="n">
        <x:f>C4098^2-'Resumen'!$B$5^3/3</x:f>
        <x:v>-0.30544458041601585</x:v>
      </x:c>
      <x:c r="E4098" s="85" t="n">
        <x:f>D4098+'Resumen'!$B$5^3/3</x:f>
        <x:v>0.02788875291731746</x:v>
      </x:c>
    </x:row>
    <x:row r="4099">
      <x:c r="A4099" s="89" t="n">
        <x:v>4097</x:v>
      </x:c>
      <x:c r="B4099" s="80" t="n">
        <x:v>2.4658091732205647</x:v>
      </x:c>
      <x:c r="C4099" s="84" t="n">
        <x:f>SQRT('Resumen'!$B$5^3/3)*B4099</x:f>
        <x:v>1.4236355899291415</x:v>
      </x:c>
      <x:c r="D4099" s="84" t="n">
        <x:f>C4099^2-'Resumen'!$B$5^3/3</x:f>
        <x:v>1.6934049595795615</x:v>
      </x:c>
      <x:c r="E4099" s="85" t="n">
        <x:f>D4099+'Resumen'!$B$5^3/3</x:f>
        <x:v>2.0267382929128948</x:v>
      </x:c>
    </x:row>
    <x:row r="4100">
      <x:c r="A4100" s="89" t="n">
        <x:v>4098</x:v>
      </x:c>
      <x:c r="B4100" s="80" t="n">
        <x:v>0.4781480425822161</x:v>
      </x:c>
      <x:c r="C4100" s="84" t="n">
        <x:f>SQRT('Resumen'!$B$5^3/3)*B4100</x:f>
        <x:v>0.2760589010973351</x:v>
      </x:c>
      <x:c r="D4100" s="84" t="n">
        <x:f>C4100^2-'Resumen'!$B$5^3/3</x:f>
        <x:v>-0.25712481645826507</x:v>
      </x:c>
      <x:c r="E4100" s="85" t="n">
        <x:f>D4100+'Resumen'!$B$5^3/3</x:f>
        <x:v>0.07620851687506824</x:v>
      </x:c>
    </x:row>
    <x:row r="4101">
      <x:c r="A4101" s="89" t="n">
        <x:v>4099</x:v>
      </x:c>
      <x:c r="B4101" s="80" t="n">
        <x:v>-2.6044844079708005</x:v>
      </x:c>
      <x:c r="C4101" s="84" t="n">
        <x:f>SQRT('Resumen'!$B$5^3/3)*B4101</x:f>
        <x:v>-1.5036997740421247</x:v>
      </x:c>
      <x:c r="D4101" s="84" t="n">
        <x:f>C4101^2-'Resumen'!$B$5^3/3</x:f>
        <x:v>1.9277796771210036</x:v>
      </x:c>
      <x:c r="E4101" s="85" t="n">
        <x:f>D4101+'Resumen'!$B$5^3/3</x:f>
        <x:v>2.261113010454337</x:v>
      </x:c>
    </x:row>
    <x:row r="4102">
      <x:c r="A4102" s="89" t="n">
        <x:v>4100</x:v>
      </x:c>
      <x:c r="B4102" s="80" t="n">
        <x:v>-0.4528822718601651</x:v>
      </x:c>
      <x:c r="C4102" s="84" t="n">
        <x:f>SQRT('Resumen'!$B$5^3/3)*B4102</x:f>
        <x:v>-0.2614717015696756</x:v>
      </x:c>
      <x:c r="D4102" s="84" t="n">
        <x:f>C4102^2-'Resumen'!$B$5^3/3</x:f>
        <x:v>-0.2649658826115918</x:v>
      </x:c>
      <x:c r="E4102" s="85" t="n">
        <x:f>D4102+'Resumen'!$B$5^3/3</x:f>
        <x:v>0.0683674507217415</x:v>
      </x:c>
    </x:row>
    <x:row r="4103">
      <x:c r="A4103" s="89" t="n">
        <x:v>4101</x:v>
      </x:c>
      <x:c r="B4103" s="80" t="n">
        <x:v>0.44147461085027573</x:v>
      </x:c>
      <x:c r="C4103" s="84" t="n">
        <x:f>SQRT('Resumen'!$B$5^3/3)*B4103</x:f>
        <x:v>0.25488548541479195</x:v>
      </x:c>
      <x:c r="D4103" s="84" t="n">
        <x:f>C4103^2-'Resumen'!$B$5^3/3</x:f>
        <x:v>-0.26836672265819916</x:v>
      </x:c>
      <x:c r="E4103" s="85" t="n">
        <x:f>D4103+'Resumen'!$B$5^3/3</x:f>
        <x:v>0.06496661067513415</x:v>
      </x:c>
    </x:row>
    <x:row r="4104">
      <x:c r="A4104" s="89" t="n">
        <x:v>4102</x:v>
      </x:c>
      <x:c r="B4104" s="80" t="n">
        <x:v>-1.577857501625958</x:v>
      </x:c>
      <x:c r="C4104" s="84" t="n">
        <x:f>SQRT('Resumen'!$B$5^3/3)*B4104</x:f>
        <x:v>-0.9109764533066171</x:v>
      </x:c>
      <x:c r="D4104" s="84" t="n">
        <x:f>C4104^2-'Resumen'!$B$5^3/3</x:f>
        <x:v>0.4965447651457699</x:v>
      </x:c>
      <x:c r="E4104" s="85" t="n">
        <x:f>D4104+'Resumen'!$B$5^3/3</x:f>
        <x:v>0.8298780984791032</x:v>
      </x:c>
    </x:row>
    <x:row r="4105">
      <x:c r="A4105" s="89" t="n">
        <x:v>4103</x:v>
      </x:c>
      <x:c r="B4105" s="80" t="n">
        <x:v>2.0348334941058015</x:v>
      </x:c>
      <x:c r="C4105" s="84" t="n">
        <x:f>SQRT('Resumen'!$B$5^3/3)*B4105</x:f>
        <x:v>1.1748116655780512</x:v>
      </x:c>
      <x:c r="D4105" s="84" t="n">
        <x:f>C4105^2-'Resumen'!$B$5^3/3</x:f>
        <x:v>1.0468491162449414</x:v>
      </x:c>
      <x:c r="E4105" s="85" t="n">
        <x:f>D4105+'Resumen'!$B$5^3/3</x:f>
        <x:v>1.3801824495782746</x:v>
      </x:c>
    </x:row>
    <x:row r="4106">
      <x:c r="A4106" s="89" t="n">
        <x:v>4104</x:v>
      </x:c>
      <x:c r="B4106" s="80" t="n">
        <x:v>0.35717751374915496</x:v>
      </x:c>
      <x:c r="C4106" s="84" t="n">
        <x:f>SQRT('Resumen'!$B$5^3/3)*B4106</x:f>
        <x:v>0.20621653371155585</x:v>
      </x:c>
      <x:c r="D4106" s="84" t="n">
        <x:f>C4106^2-'Resumen'!$B$5^3/3</x:f>
        <x:v>-0.29080807455732405</x:v>
      </x:c>
      <x:c r="E4106" s="85" t="n">
        <x:f>D4106+'Resumen'!$B$5^3/3</x:f>
        <x:v>0.04252525877600927</x:v>
      </x:c>
    </x:row>
    <x:row r="4107">
      <x:c r="A4107" s="89" t="n">
        <x:v>4105</x:v>
      </x:c>
      <x:c r="B4107" s="80" t="n">
        <x:v>0.2997744814448419</x:v>
      </x:c>
      <x:c r="C4107" s="84" t="n">
        <x:f>SQRT('Resumen'!$B$5^3/3)*B4107</x:f>
        <x:v>0.17307487755835996</x:v>
      </x:c>
      <x:c r="D4107" s="84" t="n">
        <x:f>C4107^2-'Resumen'!$B$5^3/3</x:f>
        <x:v>-0.303378420091492</x:v>
      </x:c>
      <x:c r="E4107" s="85" t="n">
        <x:f>D4107+'Resumen'!$B$5^3/3</x:f>
        <x:v>0.029954913241841297</x:v>
      </x:c>
    </x:row>
    <x:row r="4108">
      <x:c r="A4108" s="89" t="n">
        <x:v>4106</x:v>
      </x:c>
      <x:c r="B4108" s="80" t="n">
        <x:v>0.15370556508214486</x:v>
      </x:c>
      <x:c r="C4108" s="84" t="n">
        <x:f>SQRT('Resumen'!$B$5^3/3)*B4108</x:f>
        <x:v>0.08874194937611987</x:v>
      </x:c>
      <x:c r="D4108" s="84" t="n">
        <x:f>C4108^2-'Resumen'!$B$5^3/3</x:f>
        <x:v>-0.3254581997542595</x:v>
      </x:c>
      <x:c r="E4108" s="85" t="n">
        <x:f>D4108+'Resumen'!$B$5^3/3</x:f>
        <x:v>0.007875133579073823</x:v>
      </x:c>
    </x:row>
    <x:row r="4109">
      <x:c r="A4109" s="89" t="n">
        <x:v>4107</x:v>
      </x:c>
      <x:c r="B4109" s="80" t="n">
        <x:v>-1.2872299890479906</x:v>
      </x:c>
      <x:c r="C4109" s="84" t="n">
        <x:f>SQRT('Resumen'!$B$5^3/3)*B4109</x:f>
        <x:v>-0.7431825806858163</x:v>
      </x:c>
      <x:c r="D4109" s="84" t="n">
        <x:f>C4109^2-'Resumen'!$B$5^3/3</x:f>
        <x:v>0.21898701490149658</x:v>
      </x:c>
      <x:c r="E4109" s="85" t="n">
        <x:f>D4109+'Resumen'!$B$5^3/3</x:f>
        <x:v>0.5523203482348299</x:v>
      </x:c>
    </x:row>
    <x:row r="4110">
      <x:c r="A4110" s="89" t="n">
        <x:v>4108</x:v>
      </x:c>
      <x:c r="B4110" s="80" t="n">
        <x:v>0.06105618540002071</x:v>
      </x:c>
      <x:c r="C4110" s="84" t="n">
        <x:f>SQRT('Resumen'!$B$5^3/3)*B4110</x:f>
        <x:v>0.03525080507639365</x:v>
      </x:c>
      <x:c r="D4110" s="84" t="n">
        <x:f>C4110^2-'Resumen'!$B$5^3/3</x:f>
        <x:v>-0.3320907140747994</x:v>
      </x:c>
      <x:c r="E4110" s="85" t="n">
        <x:f>D4110+'Resumen'!$B$5^3/3</x:f>
        <x:v>0.0012426192585339169</x:v>
      </x:c>
    </x:row>
    <x:row r="4111">
      <x:c r="A4111" s="89" t="n">
        <x:v>4109</x:v>
      </x:c>
      <x:c r="B4111" s="80" t="n">
        <x:v>1.4212014252042064</x:v>
      </x:c>
      <x:c r="C4111" s="84" t="n">
        <x:f>SQRT('Resumen'!$B$5^3/3)*B4111</x:f>
        <x:v>0.8205310254143283</x:v>
      </x:c>
      <x:c r="D4111" s="84" t="n">
        <x:f>C4111^2-'Resumen'!$B$5^3/3</x:f>
        <x:v>0.33993783033415576</x:v>
      </x:c>
      <x:c r="E4111" s="85" t="n">
        <x:f>D4111+'Resumen'!$B$5^3/3</x:f>
        <x:v>0.6732711636674891</x:v>
      </x:c>
    </x:row>
    <x:row r="4112">
      <x:c r="A4112" s="89" t="n">
        <x:v>4110</x:v>
      </x:c>
      <x:c r="B4112" s="80" t="n">
        <x:v>-1.7796200774067932</x:v>
      </x:c>
      <x:c r="C4112" s="84" t="n">
        <x:f>SQRT('Resumen'!$B$5^3/3)*B4112</x:f>
        <x:v>-1.0274641307460746</x:v>
      </x:c>
      <x:c r="D4112" s="84" t="n">
        <x:f>C4112^2-'Resumen'!$B$5^3/3</x:f>
        <x:v>0.7223492066364534</x:v>
      </x:c>
      <x:c r="E4112" s="85" t="n">
        <x:f>D4112+'Resumen'!$B$5^3/3</x:f>
        <x:v>1.0556825399697867</x:v>
      </x:c>
    </x:row>
    <x:row r="4113">
      <x:c r="A4113" s="89" t="n">
        <x:v>4111</x:v>
      </x:c>
      <x:c r="B4113" s="80" t="n">
        <x:v>1.7203753493998113</x:v>
      </x:c>
      <x:c r="C4113" s="84" t="n">
        <x:f>SQRT('Resumen'!$B$5^3/3)*B4113</x:f>
        <x:v>0.9932591710831775</x:v>
      </x:c>
      <x:c r="D4113" s="84" t="n">
        <x:f>C4113^2-'Resumen'!$B$5^3/3</x:f>
        <x:v>0.6532304476075075</x:v>
      </x:c>
      <x:c r="E4113" s="85" t="n">
        <x:f>D4113+'Resumen'!$B$5^3/3</x:f>
        <x:v>0.9865637809408407</x:v>
      </x:c>
    </x:row>
    <x:row r="4114">
      <x:c r="A4114" s="89" t="n">
        <x:v>4112</x:v>
      </x:c>
      <x:c r="B4114" s="80" t="n">
        <x:v>1.6327572157808117</x:v>
      </x:c>
      <x:c r="C4114" s="84" t="n">
        <x:f>SQRT('Resumen'!$B$5^3/3)*B4114</x:f>
        <x:v>0.9426728180523555</x:v>
      </x:c>
      <x:c r="D4114" s="84" t="n">
        <x:f>C4114^2-'Resumen'!$B$5^3/3</x:f>
        <x:v>0.555298708561436</x:v>
      </x:c>
      <x:c r="E4114" s="85" t="n">
        <x:f>D4114+'Resumen'!$B$5^3/3</x:f>
        <x:v>0.8886320418947693</x:v>
      </x:c>
    </x:row>
    <x:row r="4115">
      <x:c r="A4115" s="89" t="n">
        <x:v>4113</x:v>
      </x:c>
      <x:c r="B4115" s="80" t="n">
        <x:v>0.9084850192165561</x:v>
      </x:c>
      <x:c r="C4115" s="84" t="n">
        <x:f>SQRT('Resumen'!$B$5^3/3)*B4115</x:f>
        <x:v>0.524514070399421</x:v>
      </x:c>
      <x:c r="D4115" s="84" t="n">
        <x:f>C4115^2-'Resumen'!$B$5^3/3</x:f>
        <x:v>-0.05821832328636456</x:v>
      </x:c>
      <x:c r="E4115" s="85" t="n">
        <x:f>D4115+'Resumen'!$B$5^3/3</x:f>
        <x:v>0.27511501004696876</x:v>
      </x:c>
    </x:row>
    <x:row r="4116">
      <x:c r="A4116" s="89" t="n">
        <x:v>4114</x:v>
      </x:c>
      <x:c r="B4116" s="80" t="n">
        <x:v>-0.09294605285012171</x:v>
      </x:c>
      <x:c r="C4116" s="84" t="n">
        <x:f>SQRT('Resumen'!$B$5^3/3)*B4116</x:f>
        <x:v>-0.05366242863313095</x:v>
      </x:c>
      <x:c r="D4116" s="84" t="n">
        <x:f>C4116^2-'Resumen'!$B$5^3/3</x:f>
        <x:v>-0.33045367708652745</x:v>
      </x:c>
      <x:c r="E4116" s="85" t="n">
        <x:f>D4116+'Resumen'!$B$5^3/3</x:f>
        <x:v>0.0028796562468058617</x:v>
      </x:c>
    </x:row>
    <x:row r="4117">
      <x:c r="A4117" s="89" t="n">
        <x:v>4115</x:v>
      </x:c>
      <x:c r="B4117" s="80" t="n">
        <x:v>-0.8297582743289432</x:v>
      </x:c>
      <x:c r="C4117" s="84" t="n">
        <x:f>SQRT('Resumen'!$B$5^3/3)*B4117</x:f>
        <x:v>-0.47906116304613466</x:v>
      </x:c>
      <x:c r="D4117" s="84" t="n">
        <x:f>C4117^2-'Resumen'!$B$5^3/3</x:f>
        <x:v>-0.10383373539421809</x:v>
      </x:c>
      <x:c r="E4117" s="85" t="n">
        <x:f>D4117+'Resumen'!$B$5^3/3</x:f>
        <x:v>0.22949959793911523</x:v>
      </x:c>
    </x:row>
    <x:row r="4118">
      <x:c r="A4118" s="89" t="n">
        <x:v>4116</x:v>
      </x:c>
      <x:c r="B4118" s="80" t="n">
        <x:v>-0.9303239584133551</x:v>
      </x:c>
      <x:c r="C4118" s="84" t="n">
        <x:f>SQRT('Resumen'!$B$5^3/3)*B4118</x:f>
        <x:v>-0.5371227878235088</x:v>
      </x:c>
      <x:c r="D4118" s="84" t="n">
        <x:f>C4118^2-'Resumen'!$B$5^3/3</x:f>
        <x:v>-0.04483244413403531</x:v>
      </x:c>
      <x:c r="E4118" s="85" t="n">
        <x:f>D4118+'Resumen'!$B$5^3/3</x:f>
        <x:v>0.288500889199298</x:v>
      </x:c>
    </x:row>
    <x:row r="4119">
      <x:c r="A4119" s="89" t="n">
        <x:v>4117</x:v>
      </x:c>
      <x:c r="B4119" s="80" t="n">
        <x:v>0.538419435186415</x:v>
      </x:c>
      <x:c r="C4119" s="84" t="n">
        <x:f>SQRT('Resumen'!$B$5^3/3)*B4119</x:f>
        <x:v>0.31085660584180297</x:v>
      </x:c>
      <x:c r="D4119" s="84" t="n">
        <x:f>C4119^2-'Resumen'!$B$5^3/3</x:f>
        <x:v>-0.23670150393784728</x:v>
      </x:c>
      <x:c r="E4119" s="85" t="n">
        <x:f>D4119+'Resumen'!$B$5^3/3</x:f>
        <x:v>0.09663182939548604</x:v>
      </x:c>
    </x:row>
    <x:row r="4120">
      <x:c r="A4120" s="89" t="n">
        <x:v>4118</x:v>
      </x:c>
      <x:c r="B4120" s="80" t="n">
        <x:v>1.9036199259424542</x:v>
      </x:c>
      <x:c r="C4120" s="84" t="n">
        <x:f>SQRT('Resumen'!$B$5^3/3)*B4120</x:f>
        <x:v>1.0990554766776113</x:v>
      </x:c>
      <x:c r="D4120" s="84" t="n">
        <x:f>C4120^2-'Resumen'!$B$5^3/3</x:f>
        <x:v>0.8745896074817181</x:v>
      </x:c>
      <x:c r="E4120" s="85" t="n">
        <x:f>D4120+'Resumen'!$B$5^3/3</x:f>
        <x:v>1.2079229408150514</x:v>
      </x:c>
    </x:row>
    <x:row r="4121">
      <x:c r="A4121" s="89" t="n">
        <x:v>4119</x:v>
      </x:c>
      <x:c r="B4121" s="80" t="n">
        <x:v>-1.1429059668363495</x:v>
      </x:c>
      <x:c r="C4121" s="84" t="n">
        <x:f>SQRT('Resumen'!$B$5^3/3)*B4121</x:f>
        <x:v>-0.6598570676113958</x:v>
      </x:c>
      <x:c r="D4121" s="84" t="n">
        <x:f>C4121^2-'Resumen'!$B$5^3/3</x:f>
        <x:v>0.10207801634337693</x:v>
      </x:c>
      <x:c r="E4121" s="85" t="n">
        <x:f>D4121+'Resumen'!$B$5^3/3</x:f>
        <x:v>0.43541134967671025</x:v>
      </x:c>
    </x:row>
    <x:row r="4122">
      <x:c r="A4122" s="89" t="n">
        <x:v>4120</x:v>
      </x:c>
      <x:c r="B4122" s="80" t="n">
        <x:v>-2.6957668060648374</x:v>
      </x:c>
      <x:c r="C4122" s="84" t="n">
        <x:f>SQRT('Resumen'!$B$5^3/3)*B4122</x:f>
        <x:v>-1.5564016911539915</x:v>
      </x:c>
      <x:c r="D4122" s="84" t="n">
        <x:f>C4122^2-'Resumen'!$B$5^3/3</x:f>
        <x:v>2.0890528908936714</x:v>
      </x:c>
      <x:c r="E4122" s="85" t="n">
        <x:f>D4122+'Resumen'!$B$5^3/3</x:f>
        <x:v>2.422386224227005</x:v>
      </x:c>
    </x:row>
    <x:row r="4123">
      <x:c r="A4123" s="89" t="n">
        <x:v>4121</x:v>
      </x:c>
      <x:c r="B4123" s="80" t="n">
        <x:v>-1.393098573395999</x:v>
      </x:c>
      <x:c r="C4123" s="84" t="n">
        <x:f>SQRT('Resumen'!$B$5^3/3)*B4123</x:f>
        <x:v>-0.8043058363578637</x:v>
      </x:c>
      <x:c r="D4123" s="84" t="n">
        <x:f>C4123^2-'Resumen'!$B$5^3/3</x:f>
        <x:v>0.3135745450659893</x:v>
      </x:c>
      <x:c r="E4123" s="85" t="n">
        <x:f>D4123+'Resumen'!$B$5^3/3</x:f>
        <x:v>0.6469078783993226</x:v>
      </x:c>
    </x:row>
    <x:row r="4124">
      <x:c r="A4124" s="89" t="n">
        <x:v>4122</x:v>
      </x:c>
      <x:c r="B4124" s="80" t="n">
        <x:v>-0.2750885940125424</x:v>
      </x:c>
      <x:c r="C4124" s="84" t="n">
        <x:f>SQRT('Resumen'!$B$5^3/3)*B4124</x:f>
        <x:v>-0.158822473804137</x:v>
      </x:c>
      <x:c r="D4124" s="84" t="n">
        <x:f>C4124^2-'Resumen'!$B$5^3/3</x:f>
        <x:v>-0.3081087551480675</x:v>
      </x:c>
      <x:c r="E4124" s="85" t="n">
        <x:f>D4124+'Resumen'!$B$5^3/3</x:f>
        <x:v>0.0252245781852658</x:v>
      </x:c>
    </x:row>
    <x:row r="4125">
      <x:c r="A4125" s="89" t="n">
        <x:v>4123</x:v>
      </x:c>
      <x:c r="B4125" s="80" t="n">
        <x:v>-0.9796857256757051</x:v>
      </x:c>
      <x:c r="C4125" s="84" t="n">
        <x:f>SQRT('Resumen'!$B$5^3/3)*B4125</x:f>
        <x:v>-0.5656218174401022</x:v>
      </x:c>
      <x:c r="D4125" s="84" t="n">
        <x:f>C4125^2-'Resumen'!$B$5^3/3</x:f>
        <x:v>-0.013405292969088989</x:v>
      </x:c>
      <x:c r="E4125" s="85" t="n">
        <x:f>D4125+'Resumen'!$B$5^3/3</x:f>
        <x:v>0.3199280403642443</x:v>
      </x:c>
    </x:row>
    <x:row r="4126">
      <x:c r="A4126" s="89" t="n">
        <x:v>4124</x:v>
      </x:c>
      <x:c r="B4126" s="80" t="n">
        <x:v>1.233600392759736</x:v>
      </x:c>
      <x:c r="C4126" s="84" t="n">
        <x:f>SQRT('Resumen'!$B$5^3/3)*B4126</x:f>
        <x:v>0.7122195188322616</x:v>
      </x:c>
      <x:c r="D4126" s="84" t="n">
        <x:f>C4126^2-'Resumen'!$B$5^3/3</x:f>
        <x:v>0.173923309672325</x:v>
      </x:c>
      <x:c r="E4126" s="85" t="n">
        <x:f>D4126+'Resumen'!$B$5^3/3</x:f>
        <x:v>0.5072566430056583</x:v>
      </x:c>
    </x:row>
    <x:row r="4127">
      <x:c r="A4127" s="89" t="n">
        <x:v>4125</x:v>
      </x:c>
      <x:c r="B4127" s="80" t="n">
        <x:v>-1.5435410951392763</x:v>
      </x:c>
      <x:c r="C4127" s="84" t="n">
        <x:f>SQRT('Resumen'!$B$5^3/3)*B4127</x:f>
        <x:v>-0.8911638667839109</x:v>
      </x:c>
      <x:c r="D4127" s="84" t="n">
        <x:f>C4127^2-'Resumen'!$B$5^3/3</x:f>
        <x:v>0.4608397041279188</x:v>
      </x:c>
      <x:c r="E4127" s="85" t="n">
        <x:f>D4127+'Resumen'!$B$5^3/3</x:f>
        <x:v>0.7941730374612521</x:v>
      </x:c>
    </x:row>
    <x:row r="4128">
      <x:c r="A4128" s="89" t="n">
        <x:v>4126</x:v>
      </x:c>
      <x:c r="B4128" s="80" t="n">
        <x:v>0.6310127970873293</x:v>
      </x:c>
      <x:c r="C4128" s="84" t="n">
        <x:f>SQRT('Resumen'!$B$5^3/3)*B4128</x:f>
        <x:v>0.3643154082604682</x:v>
      </x:c>
      <x:c r="D4128" s="84" t="n">
        <x:f>C4128^2-'Resumen'!$B$5^3/3</x:f>
        <x:v>-0.2006076166373417</x:v>
      </x:c>
      <x:c r="E4128" s="85" t="n">
        <x:f>D4128+'Resumen'!$B$5^3/3</x:f>
        <x:v>0.13272571669599162</x:v>
      </x:c>
    </x:row>
    <x:row r="4129">
      <x:c r="A4129" s="89" t="n">
        <x:v>4127</x:v>
      </x:c>
      <x:c r="B4129" s="80" t="n">
        <x:v>1.753547533324436</x:v>
      </x:c>
      <x:c r="C4129" s="84" t="n">
        <x:f>SQRT('Resumen'!$B$5^3/3)*B4129</x:f>
        <x:v>1.0124111404016674</x:v>
      </x:c>
      <x:c r="D4129" s="84" t="n">
        <x:f>C4129^2-'Resumen'!$B$5^3/3</x:f>
        <x:v>0.6916429838760714</x:v>
      </x:c>
      <x:c r="E4129" s="85" t="n">
        <x:f>D4129+'Resumen'!$B$5^3/3</x:f>
        <x:v>1.0249763172094046</x:v>
      </x:c>
    </x:row>
    <x:row r="4130">
      <x:c r="A4130" s="89" t="n">
        <x:v>4128</x:v>
      </x:c>
      <x:c r="B4130" s="80" t="n">
        <x:v>0.3747610482251432</x:v>
      </x:c>
      <x:c r="C4130" s="84" t="n">
        <x:f>SQRT('Resumen'!$B$5^3/3)*B4130</x:f>
        <x:v>0.21636839207457276</x:v>
      </x:c>
      <x:c r="D4130" s="84" t="n">
        <x:f>C4130^2-'Resumen'!$B$5^3/3</x:f>
        <x:v>-0.2865180522443973</x:v>
      </x:c>
      <x:c r="E4130" s="85" t="n">
        <x:f>D4130+'Resumen'!$B$5^3/3</x:f>
        <x:v>0.04681528108893601</x:v>
      </x:c>
    </x:row>
    <x:row r="4131">
      <x:c r="A4131" s="89" t="n">
        <x:v>4129</x:v>
      </x:c>
      <x:c r="B4131" s="80" t="n">
        <x:v>-1.3167411109172933</x:v>
      </x:c>
      <x:c r="C4131" s="84" t="n">
        <x:f>SQRT('Resumen'!$B$5^3/3)*B4131</x:f>
        <x:v>-0.7602208348411461</x:v>
      </x:c>
      <x:c r="D4131" s="84" t="n">
        <x:f>C4131^2-'Resumen'!$B$5^3/3</x:f>
        <x:v>0.24460238439323584</x:v>
      </x:c>
      <x:c r="E4131" s="85" t="n">
        <x:f>D4131+'Resumen'!$B$5^3/3</x:f>
        <x:v>0.5779357177265692</x:v>
      </x:c>
    </x:row>
    <x:row r="4132">
      <x:c r="A4132" s="89" t="n">
        <x:v>4130</x:v>
      </x:c>
      <x:c r="B4132" s="80" t="n">
        <x:v>1.2275756287356965</x:v>
      </x:c>
      <x:c r="C4132" s="84" t="n">
        <x:f>SQRT('Resumen'!$B$5^3/3)*B4132</x:f>
        <x:v>0.7087411197011784</x:v>
      </x:c>
      <x:c r="D4132" s="84" t="n">
        <x:f>C4132^2-'Resumen'!$B$5^3/3</x:f>
        <x:v>0.16898064142194674</x:v>
      </x:c>
      <x:c r="E4132" s="85" t="n">
        <x:f>D4132+'Resumen'!$B$5^3/3</x:f>
        <x:v>0.5023139747552801</x:v>
      </x:c>
    </x:row>
    <x:row r="4133">
      <x:c r="A4133" s="89" t="n">
        <x:v>4131</x:v>
      </x:c>
      <x:c r="B4133" s="80" t="n">
        <x:v>1.561137983185804</x:v>
      </x:c>
      <x:c r="C4133" s="84" t="n">
        <x:f>SQRT('Resumen'!$B$5^3/3)*B4133</x:f>
        <x:v>0.9013234348344734</x:v>
      </x:c>
      <x:c r="D4133" s="84" t="n">
        <x:f>C4133^2-'Resumen'!$B$5^3/3</x:f>
        <x:v>0.4790506008484799</x:v>
      </x:c>
      <x:c r="E4133" s="85" t="n">
        <x:f>D4133+'Resumen'!$B$5^3/3</x:f>
        <x:v>0.8123839341818132</x:v>
      </x:c>
    </x:row>
    <x:row r="4134">
      <x:c r="A4134" s="89" t="n">
        <x:v>4132</x:v>
      </x:c>
      <x:c r="B4134" s="80" t="n">
        <x:v>-1.7022804779893765</x:v>
      </x:c>
      <x:c r="C4134" s="84" t="n">
        <x:f>SQRT('Resumen'!$B$5^3/3)*B4134</x:f>
        <x:v>-0.9828120922034113</x:v>
      </x:c>
      <x:c r="D4134" s="84" t="n">
        <x:f>C4134^2-'Resumen'!$B$5^3/3</x:f>
        <x:v>0.6325862752479132</x:v>
      </x:c>
      <x:c r="E4134" s="85" t="n">
        <x:f>D4134+'Resumen'!$B$5^3/3</x:f>
        <x:v>0.9659196085812465</x:v>
      </x:c>
    </x:row>
    <x:row r="4135">
      <x:c r="A4135" s="89" t="n">
        <x:v>4133</x:v>
      </x:c>
      <x:c r="B4135" s="80" t="n">
        <x:v>0.7480782461468296</x:v>
      </x:c>
      <x:c r="C4135" s="84" t="n">
        <x:f>SQRT('Resumen'!$B$5^3/3)*B4135</x:f>
        <x:v>0.4319031767877752</x:v>
      </x:c>
      <x:c r="D4135" s="84" t="n">
        <x:f>C4135^2-'Resumen'!$B$5^3/3</x:f>
        <x:v>-0.14679297921396114</x:v>
      </x:c>
      <x:c r="E4135" s="85" t="n">
        <x:f>D4135+'Resumen'!$B$5^3/3</x:f>
        <x:v>0.18654035411937217</x:v>
      </x:c>
    </x:row>
    <x:row r="4136">
      <x:c r="A4136" s="89" t="n">
        <x:v>4134</x:v>
      </x:c>
      <x:c r="B4136" s="80" t="n">
        <x:v>0.27067305763297916</x:v>
      </x:c>
      <x:c r="C4136" s="84" t="n">
        <x:f>SQRT('Resumen'!$B$5^3/3)*B4136</x:f>
        <x:v>0.1562731626867796</x:v>
      </x:c>
      <x:c r="D4136" s="84" t="n">
        <x:f>C4136^2-'Resumen'!$B$5^3/3</x:f>
        <x:v>-0.3089120319572046</x:v>
      </x:c>
      <x:c r="E4136" s="85" t="n">
        <x:f>D4136+'Resumen'!$B$5^3/3</x:f>
        <x:v>0.02442130137612869</x:v>
      </x:c>
    </x:row>
    <x:row r="4137">
      <x:c r="A4137" s="89" t="n">
        <x:v>4135</x:v>
      </x:c>
      <x:c r="B4137" s="80" t="n">
        <x:v>0.4735004253368863</x:v>
      </x:c>
      <x:c r="C4137" s="84" t="n">
        <x:f>SQRT('Resumen'!$B$5^3/3)*B4137</x:f>
        <x:v>0.2733755980296536</x:v>
      </x:c>
      <x:c r="D4137" s="84" t="n">
        <x:f>C4137^2-'Resumen'!$B$5^3/3</x:f>
        <x:v>-0.25859911573526256</x:v>
      </x:c>
      <x:c r="E4137" s="85" t="n">
        <x:f>D4137+'Resumen'!$B$5^3/3</x:f>
        <x:v>0.07473421759807075</x:v>
      </x:c>
    </x:row>
    <x:row r="4138">
      <x:c r="A4138" s="89" t="n">
        <x:v>4136</x:v>
      </x:c>
      <x:c r="B4138" s="80" t="n">
        <x:v>0.5096936374946034</x:v>
      </x:c>
      <x:c r="C4138" s="84" t="n">
        <x:f>SQRT('Resumen'!$B$5^3/3)*B4138</x:f>
        <x:v>0.2942717588117488</x:v>
      </x:c>
      <x:c r="D4138" s="84" t="n">
        <x:f>C4138^2-'Resumen'!$B$5^3/3</x:f>
        <x:v>-0.2467374652991733</x:v>
      </x:c>
      <x:c r="E4138" s="85" t="n">
        <x:f>D4138+'Resumen'!$B$5^3/3</x:f>
        <x:v>0.08659586803416003</x:v>
      </x:c>
    </x:row>
    <x:row r="4139">
      <x:c r="A4139" s="89" t="n">
        <x:v>4137</x:v>
      </x:c>
      <x:c r="B4139" s="80" t="n">
        <x:v>-1.3846937296878892</x:v>
      </x:c>
      <x:c r="C4139" s="84" t="n">
        <x:f>SQRT('Resumen'!$B$5^3/3)*B4139</x:f>
        <x:v>-0.7994532975804897</x:v>
      </x:c>
      <x:c r="D4139" s="84" t="n">
        <x:f>C4139^2-'Resumen'!$B$5^3/3</x:f>
        <x:v>0.3057922416789856</x:v>
      </x:c>
      <x:c r="E4139" s="85" t="n">
        <x:f>D4139+'Resumen'!$B$5^3/3</x:f>
        <x:v>0.6391255750123189</x:v>
      </x:c>
    </x:row>
    <x:row r="4140">
      <x:c r="A4140" s="89" t="n">
        <x:v>4138</x:v>
      </x:c>
      <x:c r="B4140" s="80" t="n">
        <x:v>-1.031158477565383</x:v>
      </x:c>
      <x:c r="C4140" s="84" t="n">
        <x:f>SQRT('Resumen'!$B$5^3/3)*B4140</x:f>
        <x:v>-0.5953396245995385</x:v>
      </x:c>
      <x:c r="D4140" s="84" t="n">
        <x:f>C4140^2-'Resumen'!$B$5^3/3</x:f>
        <x:v>0.0210959352849861</x:v>
      </x:c>
      <x:c r="E4140" s="85" t="n">
        <x:f>D4140+'Resumen'!$B$5^3/3</x:f>
        <x:v>0.3544292686183194</x:v>
      </x:c>
    </x:row>
    <x:row r="4141">
      <x:c r="A4141" s="89" t="n">
        <x:v>4139</x:v>
      </x:c>
      <x:c r="B4141" s="80" t="n">
        <x:v>-1.1320620108081612</x:v>
      </x:c>
      <x:c r="C4141" s="84" t="n">
        <x:f>SQRT('Resumen'!$B$5^3/3)*B4141</x:f>
        <x:v>-0.6535963066794408</x:v>
      </x:c>
      <x:c r="D4141" s="84" t="n">
        <x:f>C4141^2-'Resumen'!$B$5^3/3</x:f>
        <x:v>0.0938547987716723</x:v>
      </x:c>
      <x:c r="E4141" s="85" t="n">
        <x:f>D4141+'Resumen'!$B$5^3/3</x:f>
        <x:v>0.4271881321050056</x:v>
      </x:c>
    </x:row>
    <x:row r="4142">
      <x:c r="A4142" s="89" t="n">
        <x:v>4140</x:v>
      </x:c>
      <x:c r="B4142" s="80" t="n">
        <x:v>-0.7307065772493369</x:v>
      </x:c>
      <x:c r="C4142" s="84" t="n">
        <x:f>SQRT('Resumen'!$B$5^3/3)*B4142</x:f>
        <x:v>-0.4218736390735347</x:v>
      </x:c>
      <x:c r="D4142" s="84" t="n">
        <x:f>C4142^2-'Resumen'!$B$5^3/3</x:f>
        <x:v>-0.1553559659881863</x:v>
      </x:c>
      <x:c r="E4142" s="85" t="n">
        <x:f>D4142+'Resumen'!$B$5^3/3</x:f>
        <x:v>0.17797736734514702</x:v>
      </x:c>
    </x:row>
    <x:row r="4143">
      <x:c r="A4143" s="89" t="n">
        <x:v>4141</x:v>
      </x:c>
      <x:c r="B4143" s="80" t="n">
        <x:v>0.27893222057542927</x:v>
      </x:c>
      <x:c r="C4143" s="84" t="n">
        <x:f>SQRT('Resumen'!$B$5^3/3)*B4143</x:f>
        <x:v>0.16104159263488416</x:v>
      </x:c>
      <x:c r="D4143" s="84" t="n">
        <x:f>C4143^2-'Resumen'!$B$5^3/3</x:f>
        <x:v>-0.30739893877495333</x:v>
      </x:c>
      <x:c r="E4143" s="85" t="n">
        <x:f>D4143+'Resumen'!$B$5^3/3</x:f>
        <x:v>0.02593439455837998</x:v>
      </x:c>
    </x:row>
    <x:row r="4144">
      <x:c r="A4144" s="89" t="n">
        <x:v>4142</x:v>
      </x:c>
      <x:c r="B4144" s="80" t="n">
        <x:v>2.3032198383414246</x:v>
      </x:c>
      <x:c r="C4144" s="84" t="n">
        <x:f>SQRT('Resumen'!$B$5^3/3)*B4144</x:f>
        <x:v>1.3297645936693077</x:v>
      </x:c>
      <x:c r="D4144" s="84" t="n">
        <x:f>C4144^2-'Resumen'!$B$5^3/3</x:f>
        <x:v>1.4349405412431657</x:v>
      </x:c>
      <x:c r="E4144" s="85" t="n">
        <x:f>D4144+'Resumen'!$B$5^3/3</x:f>
        <x:v>1.768273874576499</x:v>
      </x:c>
    </x:row>
    <x:row r="4145">
      <x:c r="A4145" s="89" t="n">
        <x:v>4143</x:v>
      </x:c>
      <x:c r="B4145" s="80" t="n">
        <x:v>0.804608240777455</x:v>
      </x:c>
      <x:c r="C4145" s="84" t="n">
        <x:f>SQRT('Resumen'!$B$5^3/3)*B4145</x:f>
        <x:v>0.4645407844050548</x:v>
      </x:c>
      <x:c r="D4145" s="84" t="n">
        <x:f>C4145^2-'Resumen'!$B$5^3/3</x:f>
        <x:v>-0.1175351929576697</x:v>
      </x:c>
      <x:c r="E4145" s="85" t="n">
        <x:f>D4145+'Resumen'!$B$5^3/3</x:f>
        <x:v>0.2157981403756636</x:v>
      </x:c>
    </x:row>
    <x:row r="4146">
      <x:c r="A4146" s="89" t="n">
        <x:v>4144</x:v>
      </x:c>
      <x:c r="B4146" s="80" t="n">
        <x:v>-1.0449351107572245</x:v>
      </x:c>
      <x:c r="C4146" s="84" t="n">
        <x:f>SQRT('Resumen'!$B$5^3/3)*B4146</x:f>
        <x:v>-0.6032935674813749</x:v>
      </x:c>
      <x:c r="D4146" s="84" t="n">
        <x:f>C4146^2-'Resumen'!$B$5^3/3</x:f>
        <x:v>0.0306297952310709</x:v>
      </x:c>
      <x:c r="E4146" s="85" t="n">
        <x:f>D4146+'Resumen'!$B$5^3/3</x:f>
        <x:v>0.3639631285644042</x:v>
      </x:c>
    </x:row>
    <x:row r="4147">
      <x:c r="A4147" s="89" t="n">
        <x:v>4145</x:v>
      </x:c>
      <x:c r="B4147" s="80" t="n">
        <x:v>-0.6169579433146939</x:v>
      </x:c>
      <x:c r="C4147" s="84" t="n">
        <x:f>SQRT('Resumen'!$B$5^3/3)*B4147</x:f>
        <x:v>-0.3562008346514164</x:v>
      </x:c>
      <x:c r="D4147" s="84" t="n">
        <x:f>C4147^2-'Resumen'!$B$5^3/3</x:f>
        <x:v>-0.20645429872696763</x:v>
      </x:c>
      <x:c r="E4147" s="85" t="n">
        <x:f>D4147+'Resumen'!$B$5^3/3</x:f>
        <x:v>0.12687903460636568</x:v>
      </x:c>
    </x:row>
    <x:row r="4148">
      <x:c r="A4148" s="89" t="n">
        <x:v>4146</x:v>
      </x:c>
      <x:c r="B4148" s="80" t="n">
        <x:v>-0.3287540659489616</x:v>
      </x:c>
      <x:c r="C4148" s="84" t="n">
        <x:f>SQRT('Resumen'!$B$5^3/3)*B4148</x:f>
        <x:v>-0.18980624847281696</x:v>
      </x:c>
      <x:c r="D4148" s="84" t="n">
        <x:f>C4148^2-'Resumen'!$B$5^3/3</x:f>
        <x:v>-0.2973069213740086</x:v>
      </x:c>
      <x:c r="E4148" s="85" t="n">
        <x:f>D4148+'Resumen'!$B$5^3/3</x:f>
        <x:v>0.03602641195932471</x:v>
      </x:c>
    </x:row>
    <x:row r="4149">
      <x:c r="A4149" s="89" t="n">
        <x:v>4147</x:v>
      </x:c>
      <x:c r="B4149" s="80" t="n">
        <x:v>2.4792395394234066</x:v>
      </x:c>
      <x:c r="C4149" s="84" t="n">
        <x:f>SQRT('Resumen'!$B$5^3/3)*B4149</x:f>
        <x:v>1.4313896154716674</x:v>
      </x:c>
      <x:c r="D4149" s="84" t="n">
        <x:f>C4149^2-'Resumen'!$B$5^3/3</x:f>
        <x:v>1.7155428979467946</x:v>
      </x:c>
      <x:c r="E4149" s="85" t="n">
        <x:f>D4149+'Resumen'!$B$5^3/3</x:f>
        <x:v>2.048876231280128</x:v>
      </x:c>
    </x:row>
    <x:row r="4150">
      <x:c r="A4150" s="89" t="n">
        <x:v>4148</x:v>
      </x:c>
      <x:c r="B4150" s="80" t="n">
        <x:v>0.19080318045895273</x:v>
      </x:c>
      <x:c r="C4150" s="84" t="n">
        <x:f>SQRT('Resumen'!$B$5^3/3)*B4150</x:f>
        <x:v>0.1101602676002131</x:v>
      </x:c>
      <x:c r="D4150" s="84" t="n">
        <x:f>C4150^2-'Resumen'!$B$5^3/3</x:f>
        <x:v>-0.3211980487755828</x:v>
      </x:c>
      <x:c r="E4150" s="85" t="n">
        <x:f>D4150+'Resumen'!$B$5^3/3</x:f>
        <x:v>0.012135284557750536</x:v>
      </x:c>
    </x:row>
    <x:row r="4151">
      <x:c r="A4151" s="89" t="n">
        <x:v>4149</x:v>
      </x:c>
      <x:c r="B4151" s="80" t="n">
        <x:v>0.17739136242605305</x:v>
      </x:c>
      <x:c r="C4151" s="84" t="n">
        <x:f>SQRT('Resumen'!$B$5^3/3)*B4151</x:f>
        <x:v>0.10241695084859619</x:v>
      </x:c>
      <x:c r="D4151" s="84" t="n">
        <x:f>C4151^2-'Resumen'!$B$5^3/3</x:f>
        <x:v>-0.32284410151220955</x:v>
      </x:c>
      <x:c r="E4151" s="85" t="n">
        <x:f>D4151+'Resumen'!$B$5^3/3</x:f>
        <x:v>0.010489231821123768</x:v>
      </x:c>
    </x:row>
    <x:row r="4152">
      <x:c r="A4152" s="89" t="n">
        <x:v>4150</x:v>
      </x:c>
      <x:c r="B4152" s="80" t="n">
        <x:v>-0.251428691804974</x:v>
      </x:c>
      <x:c r="C4152" s="84" t="n">
        <x:f>SQRT('Resumen'!$B$5^3/3)*B4152</x:f>
        <x:v>-0.1451624228955972</x:v>
      </x:c>
      <x:c r="D4152" s="84" t="n">
        <x:f>C4152^2-'Resumen'!$B$5^3/3</x:f>
        <x:v>-0.3122612043124131</x:v>
      </x:c>
      <x:c r="E4152" s="85" t="n">
        <x:f>D4152+'Resumen'!$B$5^3/3</x:f>
        <x:v>0.021072129020920205</x:v>
      </x:c>
    </x:row>
    <x:row r="4153">
      <x:c r="A4153" s="89" t="n">
        <x:v>4151</x:v>
      </x:c>
      <x:c r="B4153" s="80" t="n">
        <x:v>0.35242936249195406</x:v>
      </x:c>
      <x:c r="C4153" s="84" t="n">
        <x:f>SQRT('Resumen'!$B$5^3/3)*B4153</x:f>
        <x:v>0.20347518730505787</x:v>
      </x:c>
      <x:c r="D4153" s="84" t="n">
        <x:f>C4153^2-'Resumen'!$B$5^3/3</x:f>
        <x:v>-0.2919311814845049</x:v>
      </x:c>
      <x:c r="E4153" s="85" t="n">
        <x:f>D4153+'Resumen'!$B$5^3/3</x:f>
        <x:v>0.041402151848828395</x:v>
      </x:c>
    </x:row>
    <x:row r="4154">
      <x:c r="A4154" s="89" t="n">
        <x:v>4152</x:v>
      </x:c>
      <x:c r="B4154" s="80" t="n">
        <x:v>-1.8049121175707408</x:v>
      </x:c>
      <x:c r="C4154" s="84" t="n">
        <x:f>SQRT('Resumen'!$B$5^3/3)*B4154</x:f>
        <x:v>-1.0420664969430846</x:v>
      </x:c>
      <x:c r="D4154" s="84" t="n">
        <x:f>C4154^2-'Resumen'!$B$5^3/3</x:f>
        <x:v>0.7525692507178985</x:v>
      </x:c>
      <x:c r="E4154" s="85" t="n">
        <x:f>D4154+'Resumen'!$B$5^3/3</x:f>
        <x:v>1.0859025840512317</x:v>
      </x:c>
    </x:row>
    <x:row r="4155">
      <x:c r="A4155" s="89" t="n">
        <x:v>4153</x:v>
      </x:c>
      <x:c r="B4155" s="80" t="n">
        <x:v>-1.4421029580299911</x:v>
      </x:c>
      <x:c r="C4155" s="84" t="n">
        <x:f>SQRT('Resumen'!$B$5^3/3)*B4155</x:f>
        <x:v>-0.8325985310177709</x:v>
      </x:c>
      <x:c r="D4155" s="84" t="n">
        <x:f>C4155^2-'Resumen'!$B$5^3/3</x:f>
        <x:v>0.3598869805196167</x:v>
      </x:c>
      <x:c r="E4155" s="85" t="n">
        <x:f>D4155+'Resumen'!$B$5^3/3</x:f>
        <x:v>0.69322031385295</x:v>
      </x:c>
    </x:row>
    <x:row r="4156">
      <x:c r="A4156" s="89" t="n">
        <x:v>4154</x:v>
      </x:c>
      <x:c r="B4156" s="80" t="n">
        <x:v>-0.5823913537223359</x:v>
      </x:c>
      <x:c r="C4156" s="84" t="n">
        <x:f>SQRT('Resumen'!$B$5^3/3)*B4156</x:f>
        <x:v>-0.33624380484530114</x:v>
      </x:c>
      <x:c r="D4156" s="84" t="n">
        <x:f>C4156^2-'Resumen'!$B$5^3/3</x:f>
        <x:v>-0.22027343703648836</x:v>
      </x:c>
      <x:c r="E4156" s="85" t="n">
        <x:f>D4156+'Resumen'!$B$5^3/3</x:f>
        <x:v>0.11305989629684496</x:v>
      </x:c>
    </x:row>
    <x:row r="4157">
      <x:c r="A4157" s="89" t="n">
        <x:v>4155</x:v>
      </x:c>
      <x:c r="B4157" s="80" t="n">
        <x:v>-0.855066165256154</x:v>
      </x:c>
      <x:c r="C4157" s="84" t="n">
        <x:f>SQRT('Resumen'!$B$5^3/3)*B4157</x:f>
        <x:v>-0.4936726806855815</x:v>
      </x:c>
      <x:c r="D4157" s="84" t="n">
        <x:f>C4157^2-'Resumen'!$B$5^3/3</x:f>
        <x:v>-0.08962061767804519</x:v>
      </x:c>
      <x:c r="E4157" s="85" t="n">
        <x:f>D4157+'Resumen'!$B$5^3/3</x:f>
        <x:v>0.24371271565528813</x:v>
      </x:c>
    </x:row>
    <x:row r="4158">
      <x:c r="A4158" s="89" t="n">
        <x:v>4156</x:v>
      </x:c>
      <x:c r="B4158" s="80" t="n">
        <x:v>-0.0029009029052918683</x:v>
      </x:c>
      <x:c r="C4158" s="84" t="n">
        <x:f>SQRT('Resumen'!$B$5^3/3)*B4158</x:f>
        <x:v>-0.0016748370732632275</x:v>
      </x:c>
      <x:c r="D4158" s="84" t="n">
        <x:f>C4158^2-'Resumen'!$B$5^3/3</x:f>
        <x:v>-0.33333052825411136</x:v>
      </x:c>
      <x:c r="E4158" s="85" t="n">
        <x:f>D4158+'Resumen'!$B$5^3/3</x:f>
        <x:v>0.000002805079221956941</x:v>
      </x:c>
    </x:row>
    <x:row r="4159">
      <x:c r="A4159" s="89" t="n">
        <x:v>4157</x:v>
      </x:c>
      <x:c r="B4159" s="80" t="n">
        <x:v>-0.0006454660922357717</x:v>
      </x:c>
      <x:c r="C4159" s="84" t="n">
        <x:f>SQRT('Resumen'!$B$5^3/3)*B4159</x:f>
        <x:v>-0.0003726600221050986</x:v>
      </x:c>
      <x:c r="D4159" s="84" t="n">
        <x:f>C4159^2-'Resumen'!$B$5^3/3</x:f>
        <x:v>-0.33333319445784126</x:v>
      </x:c>
      <x:c r="E4159" s="85" t="n">
        <x:f>D4159+'Resumen'!$B$5^3/3</x:f>
        <x:v>1.3887549205060523e-7</x:v>
      </x:c>
    </x:row>
    <x:row r="4160">
      <x:c r="A4160" s="89" t="n">
        <x:v>4158</x:v>
      </x:c>
      <x:c r="B4160" s="80" t="n">
        <x:v>-1.2169823441171435</x:v>
      </x:c>
      <x:c r="C4160" s="84" t="n">
        <x:f>SQRT('Resumen'!$B$5^3/3)*B4160</x:f>
        <x:v>-0.7026250839750545</x:v>
      </x:c>
      <x:c r="D4160" s="84" t="n">
        <x:f>C4160^2-'Resumen'!$B$5^3/3</x:f>
        <x:v>0.1603486752976191</x:v>
      </x:c>
      <x:c r="E4160" s="85" t="n">
        <x:f>D4160+'Resumen'!$B$5^3/3</x:f>
        <x:v>0.4936820086309524</x:v>
      </x:c>
    </x:row>
    <x:row r="4161">
      <x:c r="A4161" s="89" t="n">
        <x:v>4159</x:v>
      </x:c>
      <x:c r="B4161" s="80" t="n">
        <x:v>-0.7773557525772058</x:v>
      </x:c>
      <x:c r="C4161" s="84" t="n">
        <x:f>SQRT('Resumen'!$B$5^3/3)*B4161</x:f>
        <x:v>-0.44880655300655387</x:v>
      </x:c>
      <x:c r="D4161" s="84" t="n">
        <x:f>C4161^2-'Resumen'!$B$5^3/3</x:f>
        <x:v>-0.13190601131170868</x:v>
      </x:c>
      <x:c r="E4161" s="85" t="n">
        <x:f>D4161+'Resumen'!$B$5^3/3</x:f>
        <x:v>0.20142732202162464</x:v>
      </x:c>
    </x:row>
    <x:row r="4162">
      <x:c r="A4162" s="89" t="n">
        <x:v>4160</x:v>
      </x:c>
      <x:c r="B4162" s="80" t="n">
        <x:v>-0.24497502147028827</x:v>
      </x:c>
      <x:c r="C4162" s="84" t="n">
        <x:f>SQRT('Resumen'!$B$5^3/3)*B4162</x:f>
        <x:v>-0.14143639459060528</x:v>
      </x:c>
      <x:c r="D4162" s="84" t="n">
        <x:f>C4162^2-'Resumen'!$B$5^3/3</x:f>
        <x:v>-0.3133290796185439</x:v>
      </x:c>
      <x:c r="E4162" s="85" t="n">
        <x:f>D4162+'Resumen'!$B$5^3/3</x:f>
        <x:v>0.02000425371478942</x:v>
      </x:c>
    </x:row>
    <x:row r="4163">
      <x:c r="A4163" s="89" t="n">
        <x:v>4161</x:v>
      </x:c>
      <x:c r="B4163" s="80" t="n">
        <x:v>-0.9551778055632495</x:v>
      </x:c>
      <x:c r="C4163" s="84" t="n">
        <x:f>SQRT('Resumen'!$B$5^3/3)*B4163</x:f>
        <x:v>-0.5514721631658981</x:v>
      </x:c>
      <x:c r="D4163" s="84" t="n">
        <x:f>C4163^2-'Resumen'!$B$5^3/3</x:f>
        <x:v>-0.0292117865864584</x:v>
      </x:c>
      <x:c r="E4163" s="85" t="n">
        <x:f>D4163+'Resumen'!$B$5^3/3</x:f>
        <x:v>0.3041215467468749</x:v>
      </x:c>
    </x:row>
    <x:row r="4164">
      <x:c r="A4164" s="89" t="n">
        <x:v>4162</x:v>
      </x:c>
      <x:c r="B4164" s="80" t="n">
        <x:v>-0.05651326589676062</x:v>
      </x:c>
      <x:c r="C4164" s="84" t="n">
        <x:f>SQRT('Resumen'!$B$5^3/3)*B4164</x:f>
        <x:v>-0.03262794927827964</x:v>
      </x:c>
      <x:c r="D4164" s="84" t="n">
        <x:f>C4164^2-'Resumen'!$B$5^3/3</x:f>
        <x:v>-0.3322687502592273</x:v>
      </x:c>
      <x:c r="E4164" s="85" t="n">
        <x:f>D4164+'Resumen'!$B$5^3/3</x:f>
        <x:v>0.001064583074106007</x:v>
      </x:c>
    </x:row>
    <x:row r="4165">
      <x:c r="A4165" s="89" t="n">
        <x:v>4163</x:v>
      </x:c>
      <x:c r="B4165" s="80" t="n">
        <x:v>-1.5073351689455126</x:v>
      </x:c>
      <x:c r="C4165" s="84" t="n">
        <x:f>SQRT('Resumen'!$B$5^3/3)*B4165</x:f>
        <x:v>-0.8702603655496817</x:v>
      </x:c>
      <x:c r="D4165" s="84" t="n">
        <x:f>C4165^2-'Resumen'!$B$5^3/3</x:f>
        <x:v>0.42401977051333223</x:v>
      </x:c>
      <x:c r="E4165" s="85" t="n">
        <x:f>D4165+'Resumen'!$B$5^3/3</x:f>
        <x:v>0.7573531038466655</x:v>
      </x:c>
    </x:row>
    <x:row r="4166">
      <x:c r="A4166" s="89" t="n">
        <x:v>4164</x:v>
      </x:c>
      <x:c r="B4166" s="80" t="n">
        <x:v>-0.9601573524445928</x:v>
      </x:c>
      <x:c r="C4166" s="84" t="n">
        <x:f>SQRT('Resumen'!$B$5^3/3)*B4166</x:f>
        <x:v>-0.554347105898284</x:v>
      </x:c>
      <x:c r="D4166" s="84" t="n">
        <x:f>C4166^2-'Resumen'!$B$5^3/3</x:f>
        <x:v>-0.026032619515530098</x:v>
      </x:c>
      <x:c r="E4166" s="85" t="n">
        <x:f>D4166+'Resumen'!$B$5^3/3</x:f>
        <x:v>0.3073007138178032</x:v>
      </x:c>
    </x:row>
    <x:row r="4167">
      <x:c r="A4167" s="89" t="n">
        <x:v>4165</x:v>
      </x:c>
      <x:c r="B4167" s="80" t="n">
        <x:v>-0.43805857433515316</x:v>
      </x:c>
      <x:c r="C4167" s="84" t="n">
        <x:f>SQRT('Resumen'!$B$5^3/3)*B4167</x:f>
        <x:v>-0.25291323581322434</x:v>
      </x:c>
      <x:c r="D4167" s="84" t="n">
        <x:f>C4167^2-'Resumen'!$B$5^3/3</x:f>
        <x:v>-0.2693682284838177</x:v>
      </x:c>
      <x:c r="E4167" s="85" t="n">
        <x:f>D4167+'Resumen'!$B$5^3/3</x:f>
        <x:v>0.06396510484951562</x:v>
      </x:c>
    </x:row>
    <x:row r="4168">
      <x:c r="A4168" s="89" t="n">
        <x:v>4166</x:v>
      </x:c>
      <x:c r="B4168" s="80" t="n">
        <x:v>0.21817560382602813</x:v>
      </x:c>
      <x:c r="C4168" s="84" t="n">
        <x:f>SQRT('Resumen'!$B$5^3/3)*B4168</x:f>
        <x:v>0.12596374359956647</x:v>
      </x:c>
      <x:c r="D4168" s="84" t="n">
        <x:f>C4168^2-'Resumen'!$B$5^3/3</x:f>
        <x:v>-0.317466468631716</x:v>
      </x:c>
      <x:c r="E4168" s="85" t="n">
        <x:f>D4168+'Resumen'!$B$5^3/3</x:f>
        <x:v>0.0158668647016173</x:v>
      </x:c>
    </x:row>
    <x:row r="4169">
      <x:c r="A4169" s="89" t="n">
        <x:v>4167</x:v>
      </x:c>
      <x:c r="B4169" s="80" t="n">
        <x:v>0.13083546611667113</x:v>
      </x:c>
      <x:c r="C4169" s="84" t="n">
        <x:f>SQRT('Resumen'!$B$5^3/3)*B4169</x:f>
        <x:v>0.07553789158201023</x:v>
      </x:c>
      <x:c r="D4169" s="84" t="n">
        <x:f>C4169^2-'Resumen'!$B$5^3/3</x:f>
        <x:v>-0.3276273602686778</x:v>
      </x:c>
      <x:c r="E4169" s="85" t="n">
        <x:f>D4169+'Resumen'!$B$5^3/3</x:f>
        <x:v>0.005705973064655534</x:v>
      </x:c>
    </x:row>
    <x:row r="4170">
      <x:c r="A4170" s="89" t="n">
        <x:v>4168</x:v>
      </x:c>
      <x:c r="B4170" s="80" t="n">
        <x:v>-0.6400925005753284</x:v>
      </x:c>
      <x:c r="C4170" s="84" t="n">
        <x:f>SQRT('Resumen'!$B$5^3/3)*B4170</x:f>
        <x:v>-0.3695575775134265</x:v>
      </x:c>
      <x:c r="D4170" s="84" t="n">
        <x:f>C4170^2-'Resumen'!$B$5^3/3</x:f>
        <x:v>-0.19676053023574108</x:v>
      </x:c>
      <x:c r="E4170" s="85" t="n">
        <x:f>D4170+'Resumen'!$B$5^3/3</x:f>
        <x:v>0.13657280309759223</x:v>
      </x:c>
    </x:row>
    <x:row r="4171">
      <x:c r="A4171" s="89" t="n">
        <x:v>4169</x:v>
      </x:c>
      <x:c r="B4171" s="80" t="n">
        <x:v>0.10012382693418617</x:v>
      </x:c>
      <x:c r="C4171" s="84" t="n">
        <x:f>SQRT('Resumen'!$B$5^3/3)*B4171</x:f>
        <x:v>0.05780651843274789</x:v>
      </x:c>
      <x:c r="D4171" s="84" t="n">
        <x:f>C4171^2-'Resumen'!$B$5^3/3</x:f>
        <x:v>-0.32999173976001767</x:v>
      </x:c>
      <x:c r="E4171" s="85" t="n">
        <x:f>D4171+'Resumen'!$B$5^3/3</x:f>
        <x:v>0.0033415935733156488</x:v>
      </x:c>
    </x:row>
    <x:row r="4172">
      <x:c r="A4172" s="89" t="n">
        <x:v>4170</x:v>
      </x:c>
      <x:c r="B4172" s="80" t="n">
        <x:v>-1.3374207666356948</x:v>
      </x:c>
      <x:c r="C4172" s="84" t="n">
        <x:f>SQRT('Resumen'!$B$5^3/3)*B4172</x:f>
        <x:v>-0.7721602396369139</x:v>
      </x:c>
      <x:c r="D4172" s="84" t="n">
        <x:f>C4172^2-'Resumen'!$B$5^3/3</x:f>
        <x:v>0.26289810234280303</x:v>
      </x:c>
      <x:c r="E4172" s="85" t="n">
        <x:f>D4172+'Resumen'!$B$5^3/3</x:f>
        <x:v>0.5962314356761363</x:v>
      </x:c>
    </x:row>
    <x:row r="4173">
      <x:c r="A4173" s="89" t="n">
        <x:v>4171</x:v>
      </x:c>
      <x:c r="B4173" s="80" t="n">
        <x:v>0.6647539686206414</x:v>
      </x:c>
      <x:c r="C4173" s="84" t="n">
        <x:f>SQRT('Resumen'!$B$5^3/3)*B4173</x:f>
        <x:v>0.3837958827279993</x:v>
      </x:c>
      <x:c r="D4173" s="84" t="n">
        <x:f>C4173^2-'Resumen'!$B$5^3/3</x:f>
        <x:v>-0.18603405373436913</x:v>
      </x:c>
      <x:c r="E4173" s="85" t="n">
        <x:f>D4173+'Resumen'!$B$5^3/3</x:f>
        <x:v>0.1472992795989642</x:v>
      </x:c>
    </x:row>
    <x:row r="4174">
      <x:c r="A4174" s="89" t="n">
        <x:v>4172</x:v>
      </x:c>
      <x:c r="B4174" s="80" t="n">
        <x:v>-0.24805858850580828</x:v>
      </x:c>
      <x:c r="C4174" s="84" t="n">
        <x:f>SQRT('Resumen'!$B$5^3/3)*B4174</x:f>
        <x:v>-0.143216692848627</x:v>
      </x:c>
      <x:c r="D4174" s="84" t="n">
        <x:f>C4174^2-'Resumen'!$B$5^3/3</x:f>
        <x:v>-0.31282231222283535</x:v>
      </x:c>
      <x:c r="E4174" s="85" t="n">
        <x:f>D4174+'Resumen'!$B$5^3/3</x:f>
        <x:v>0.020511021110497962</x:v>
      </x:c>
    </x:row>
    <x:row r="4175">
      <x:c r="A4175" s="89" t="n">
        <x:v>4173</x:v>
      </x:c>
      <x:c r="B4175" s="80" t="n">
        <x:v>0.713777907007312</x:v>
      </x:c>
      <x:c r="C4175" s="84" t="n">
        <x:f>SQRT('Resumen'!$B$5^3/3)*B4175</x:f>
        <x:v>0.4120998667522792</x:v>
      </x:c>
      <x:c r="D4175" s="84" t="n">
        <x:f>C4175^2-'Resumen'!$B$5^3/3</x:f>
        <x:v>-0.16350703315608703</x:v>
      </x:c>
      <x:c r="E4175" s="85" t="n">
        <x:f>D4175+'Resumen'!$B$5^3/3</x:f>
        <x:v>0.1698263001772463</x:v>
      </x:c>
    </x:row>
    <x:row r="4176">
      <x:c r="A4176" s="89" t="n">
        <x:v>4174</x:v>
      </x:c>
      <x:c r="B4176" s="80" t="n">
        <x:v>0.9526901075215882</x:v>
      </x:c>
      <x:c r="C4176" s="84" t="n">
        <x:f>SQRT('Resumen'!$B$5^3/3)*B4176</x:f>
        <x:v>0.5500358900318825</x:v>
      </x:c>
      <x:c r="D4176" s="84" t="n">
        <x:f>C4176^2-'Resumen'!$B$5^3/3</x:f>
        <x:v>-0.030793853010168237</x:v>
      </x:c>
      <x:c r="E4176" s="85" t="n">
        <x:f>D4176+'Resumen'!$B$5^3/3</x:f>
        <x:v>0.3025394803231651</x:v>
      </x:c>
    </x:row>
    <x:row r="4177">
      <x:c r="A4177" s="89" t="n">
        <x:v>4175</x:v>
      </x:c>
      <x:c r="B4177" s="80" t="n">
        <x:v>-0.5175011554101081</x:v>
      </x:c>
      <x:c r="C4177" s="84" t="n">
        <x:f>SQRT('Resumen'!$B$5^3/3)*B4177</x:f>
        <x:v>-0.2987794313819683</x:v>
      </x:c>
      <x:c r="D4177" s="84" t="n">
        <x:f>C4177^2-'Resumen'!$B$5^3/3</x:f>
        <x:v>-0.244064184716401</x:v>
      </x:c>
      <x:c r="E4177" s="85" t="n">
        <x:f>D4177+'Resumen'!$B$5^3/3</x:f>
        <x:v>0.0892691486169323</x:v>
      </x:c>
    </x:row>
    <x:row r="4178">
      <x:c r="A4178" s="89" t="n">
        <x:v>4176</x:v>
      </x:c>
      <x:c r="B4178" s="80" t="n">
        <x:v>0.37163667100213577</x:v>
      </x:c>
      <x:c r="C4178" s="84" t="n">
        <x:f>SQRT('Resumen'!$B$5^3/3)*B4178</x:f>
        <x:v>0.21456453204381945</x:v>
      </x:c>
      <x:c r="D4178" s="84" t="n">
        <x:f>C4178^2-'Resumen'!$B$5^3/3</x:f>
        <x:v>-0.28729539492215006</x:v>
      </x:c>
      <x:c r="E4178" s="85" t="n">
        <x:f>D4178+'Resumen'!$B$5^3/3</x:f>
        <x:v>0.046037938411183255</x:v>
      </x:c>
    </x:row>
    <x:row r="4179">
      <x:c r="A4179" s="89" t="n">
        <x:v>4177</x:v>
      </x:c>
      <x:c r="B4179" s="80" t="n">
        <x:v>-0.14157329888149353</x:v>
      </x:c>
      <x:c r="C4179" s="84" t="n">
        <x:f>SQRT('Resumen'!$B$5^3/3)*B4179</x:f>
        <x:v>-0.08173738221929364</x:v>
      </x:c>
      <x:c r="D4179" s="84" t="n">
        <x:f>C4179^2-'Resumen'!$B$5^3/3</x:f>
        <x:v>-0.3266523336812704</x:v>
      </x:c>
      <x:c r="E4179" s="85" t="n">
        <x:f>D4179+'Resumen'!$B$5^3/3</x:f>
        <x:v>0.0066809996520629245</x:v>
      </x:c>
    </x:row>
    <x:row r="4180">
      <x:c r="A4180" s="89" t="n">
        <x:v>4178</x:v>
      </x:c>
      <x:c r="B4180" s="80" t="n">
        <x:v>0.5526972660571903</x:v>
      </x:c>
      <x:c r="C4180" s="84" t="n">
        <x:f>SQRT('Resumen'!$B$5^3/3)*B4180</x:f>
        <x:v>0.31909991533848897</x:v>
      </x:c>
      <x:c r="D4180" s="84" t="n">
        <x:f>C4180^2-'Resumen'!$B$5^3/3</x:f>
        <x:v>-0.23150857736430247</x:v>
      </x:c>
      <x:c r="E4180" s="85" t="n">
        <x:f>D4180+'Resumen'!$B$5^3/3</x:f>
        <x:v>0.10182475596903084</x:v>
      </x:c>
    </x:row>
    <x:row r="4181">
      <x:c r="A4181" s="89" t="n">
        <x:v>4179</x:v>
      </x:c>
      <x:c r="B4181" s="80" t="n">
        <x:v>-0.6630715855041492</x:v>
      </x:c>
      <x:c r="C4181" s="84" t="n">
        <x:f>SQRT('Resumen'!$B$5^3/3)*B4181</x:f>
        <x:v>-0.3828245583828125</x:v>
      </x:c>
      <x:c r="D4181" s="84" t="n">
        <x:f>C4181^2-'Resumen'!$B$5^3/3</x:f>
        <x:v>-0.18677869083233792</x:v>
      </x:c>
      <x:c r="E4181" s="85" t="n">
        <x:f>D4181+'Resumen'!$B$5^3/3</x:f>
        <x:v>0.1465546425009954</x:v>
      </x:c>
    </x:row>
    <x:row r="4182">
      <x:c r="A4182" s="89" t="n">
        <x:v>4180</x:v>
      </x:c>
      <x:c r="B4182" s="80" t="n">
        <x:v>0.4132908019214516</x:v>
      </x:c>
      <x:c r="C4182" s="84" t="n">
        <x:f>SQRT('Resumen'!$B$5^3/3)*B4182</x:f>
        <x:v>0.23861355574294638</x:v>
      </x:c>
      <x:c r="D4182" s="84" t="n">
        <x:f>C4182^2-'Resumen'!$B$5^3/3</x:f>
        <x:v>-0.27639690434904113</x:v>
      </x:c>
      <x:c r="E4182" s="85" t="n">
        <x:f>D4182+'Resumen'!$B$5^3/3</x:f>
        <x:v>0.05693642898429219</x:v>
      </x:c>
    </x:row>
    <x:row r="4183">
      <x:c r="A4183" s="89" t="n">
        <x:v>4181</x:v>
      </x:c>
      <x:c r="B4183" s="80" t="n">
        <x:v>-0.3137259206711693</x:v>
      </x:c>
      <x:c r="C4183" s="84" t="n">
        <x:f>SQRT('Resumen'!$B$5^3/3)*B4183</x:f>
        <x:v>-0.18112974475126276</x:v>
      </x:c>
      <x:c r="D4183" s="84" t="n">
        <x:f>C4183^2-'Resumen'!$B$5^3/3</x:f>
        <x:v>-0.30052534889967575</x:v>
      </x:c>
      <x:c r="E4183" s="85" t="n">
        <x:f>D4183+'Resumen'!$B$5^3/3</x:f>
        <x:v>0.03280798443365757</x:v>
      </x:c>
    </x:row>
    <x:row r="4184">
      <x:c r="A4184" s="89" t="n">
        <x:v>4182</x:v>
      </x:c>
      <x:c r="B4184" s="80" t="n">
        <x:v>0.10287010032999827</x:v>
      </x:c>
      <x:c r="C4184" s="84" t="n">
        <x:f>SQRT('Resumen'!$B$5^3/3)*B4184</x:f>
        <x:v>0.05939208011708831</x:v>
      </x:c>
      <x:c r="D4184" s="84" t="n">
        <x:f>C4184^2-'Resumen'!$B$5^3/3</x:f>
        <x:v>-0.32980591415269866</x:v>
      </x:c>
      <x:c r="E4184" s="85" t="n">
        <x:f>D4184+'Resumen'!$B$5^3/3</x:f>
        <x:v>0.00352741918063465</x:v>
      </x:c>
    </x:row>
    <x:row r="4185">
      <x:c r="A4185" s="89" t="n">
        <x:v>4183</x:v>
      </x:c>
      <x:c r="B4185" s="80" t="n">
        <x:v>0.5032166731065211</x:v>
      </x:c>
      <x:c r="C4185" s="84" t="n">
        <x:f>SQRT('Resumen'!$B$5^3/3)*B4185</x:f>
        <x:v>0.29053228167875783</x:v>
      </x:c>
      <x:c r="D4185" s="84" t="n">
        <x:f>C4185^2-'Resumen'!$B$5^3/3</x:f>
        <x:v>-0.24892432663586822</x:v>
      </x:c>
      <x:c r="E4185" s="85" t="n">
        <x:f>D4185+'Resumen'!$B$5^3/3</x:f>
        <x:v>0.0844090066974651</x:v>
      </x:c>
    </x:row>
    <x:row r="4186">
      <x:c r="A4186" s="89" t="n">
        <x:v>4184</x:v>
      </x:c>
      <x:c r="B4186" s="80" t="n">
        <x:v>0.960077616256022</x:v>
      </x:c>
      <x:c r="C4186" s="84" t="n">
        <x:f>SQRT('Resumen'!$B$5^3/3)*B4186</x:f>
        <x:v>0.5543010701883485</x:v>
      </x:c>
      <x:c r="D4186" s="84" t="n">
        <x:f>C4186^2-'Resumen'!$B$5^3/3</x:f>
        <x:v>-0.026083656921384868</x:v>
      </x:c>
      <x:c r="E4186" s="85" t="n">
        <x:f>D4186+'Resumen'!$B$5^3/3</x:f>
        <x:v>0.30724967641194845</x:v>
      </x:c>
    </x:row>
    <x:row r="4187">
      <x:c r="A4187" s="89" t="n">
        <x:v>4185</x:v>
      </x:c>
      <x:c r="B4187" s="80" t="n">
        <x:v>-0.5310228948640611</x:v>
      </x:c>
      <x:c r="C4187" s="84" t="n">
        <x:f>SQRT('Resumen'!$B$5^3/3)*B4187</x:f>
        <x:v>-0.30658621129561997</x:v>
      </x:c>
      <x:c r="D4187" s="84" t="n">
        <x:f>C4187^2-'Resumen'!$B$5^3/3</x:f>
        <x:v>-0.2393382283767308</x:v>
      </x:c>
      <x:c r="E4187" s="85" t="n">
        <x:f>D4187+'Resumen'!$B$5^3/3</x:f>
        <x:v>0.09399510495660252</x:v>
      </x:c>
    </x:row>
    <x:row r="4188">
      <x:c r="A4188" s="89" t="n">
        <x:v>4186</x:v>
      </x:c>
      <x:c r="B4188" s="80" t="n">
        <x:v>1.8005964731928152</x:v>
      </x:c>
      <x:c r="C4188" s="84" t="n">
        <x:f>SQRT('Resumen'!$B$5^3/3)*B4188</x:f>
        <x:v>1.0395748584997626</x:v>
      </x:c>
      <x:c r="D4188" s="84" t="n">
        <x:f>C4188^2-'Resumen'!$B$5^3/3</x:f>
        <x:v>0.7473825530914682</x:v>
      </x:c>
      <x:c r="E4188" s="85" t="n">
        <x:f>D4188+'Resumen'!$B$5^3/3</x:f>
        <x:v>1.0807158864248014</x:v>
      </x:c>
    </x:row>
    <x:row r="4189">
      <x:c r="A4189" s="89" t="n">
        <x:v>4187</x:v>
      </x:c>
      <x:c r="B4189" s="80" t="n">
        <x:v>-2.9115478464347504</x:v>
      </x:c>
      <x:c r="C4189" s="84" t="n">
        <x:f>SQRT('Resumen'!$B$5^3/3)*B4189</x:f>
        <x:v>-1.6809829328975783</x:v>
      </x:c>
      <x:c r="D4189" s="84" t="n">
        <x:f>C4189^2-'Resumen'!$B$5^3/3</x:f>
        <x:v>2.4923702873596105</x:v>
      </x:c>
      <x:c r="E4189" s="85" t="n">
        <x:f>D4189+'Resumen'!$B$5^3/3</x:f>
        <x:v>2.825703620692944</x:v>
      </x:c>
    </x:row>
    <x:row r="4190">
      <x:c r="A4190" s="89" t="n">
        <x:v>4188</x:v>
      </x:c>
      <x:c r="B4190" s="80" t="n">
        <x:v>0.800581670089921</x:v>
      </x:c>
      <x:c r="C4190" s="84" t="n">
        <x:f>SQRT('Resumen'!$B$5^3/3)*B4190</x:f>
        <x:v>0.462216042734696</x:v>
      </x:c>
      <x:c r="D4190" s="84" t="n">
        <x:f>C4190^2-'Resumen'!$B$5^3/3</x:f>
        <x:v>-0.11968966317201099</x:v>
      </x:c>
      <x:c r="E4190" s="85" t="n">
        <x:f>D4190+'Resumen'!$B$5^3/3</x:f>
        <x:v>0.21364367016132232</x:v>
      </x:c>
    </x:row>
    <x:row r="4191">
      <x:c r="A4191" s="89" t="n">
        <x:v>4189</x:v>
      </x:c>
      <x:c r="B4191" s="80" t="n">
        <x:v>2.1694551048547654</x:v>
      </x:c>
      <x:c r="C4191" s="84" t="n">
        <x:f>SQRT('Resumen'!$B$5^3/3)*B4191</x:f>
        <x:v>1.2525354887827065</x:v>
      </x:c>
      <x:c r="D4191" s="84" t="n">
        <x:f>C4191^2-'Resumen'!$B$5^3/3</x:f>
        <x:v>1.2355118173268003</x:v>
      </x:c>
      <x:c r="E4191" s="85" t="n">
        <x:f>D4191+'Resumen'!$B$5^3/3</x:f>
        <x:v>1.5688451506601335</x:v>
      </x:c>
    </x:row>
    <x:row r="4192">
      <x:c r="A4192" s="89" t="n">
        <x:v>4190</x:v>
      </x:c>
      <x:c r="B4192" s="80" t="n">
        <x:v>1.0293820820968682</x:v>
      </x:c>
      <x:c r="C4192" s="84" t="n">
        <x:f>SQRT('Resumen'!$B$5^3/3)*B4192</x:f>
        <x:v>0.5943140221976043</x:v>
      </x:c>
      <x:c r="D4192" s="84" t="n">
        <x:f>C4192^2-'Resumen'!$B$5^3/3</x:f>
        <x:v>0.01987582364736118</x:v>
      </x:c>
      <x:c r="E4192" s="85" t="n">
        <x:f>D4192+'Resumen'!$B$5^3/3</x:f>
        <x:v>0.3532091569806945</x:v>
      </x:c>
    </x:row>
    <x:row r="4193">
      <x:c r="A4193" s="89" t="n">
        <x:v>4191</x:v>
      </x:c>
      <x:c r="B4193" s="80" t="n">
        <x:v>1.1898765986194022</x:v>
      </x:c>
      <x:c r="C4193" s="84" t="n">
        <x:f>SQRT('Resumen'!$B$5^3/3)*B4193</x:f>
        <x:v>0.6869755745153481</x:v>
      </x:c>
      <x:c r="D4193" s="84" t="n">
        <x:f>C4193^2-'Resumen'!$B$5^3/3</x:f>
        <x:v>0.13860210664735922</x:v>
      </x:c>
      <x:c r="E4193" s="85" t="n">
        <x:f>D4193+'Resumen'!$B$5^3/3</x:f>
        <x:v>0.47193543998069254</x:v>
      </x:c>
    </x:row>
    <x:row r="4194">
      <x:c r="A4194" s="89" t="n">
        <x:v>4192</x:v>
      </x:c>
      <x:c r="B4194" s="80" t="n">
        <x:v>-0.02095025070523725</x:v>
      </x:c>
      <x:c r="C4194" s="84" t="n">
        <x:f>SQRT('Resumen'!$B$5^3/3)*B4194</x:f>
        <x:v>-0.012095632884258873</x:v>
      </x:c>
      <x:c r="D4194" s="84" t="n">
        <x:f>C4194^2-'Resumen'!$B$5^3/3</x:f>
        <x:v>-0.33318702899846253</x:v>
      </x:c>
      <x:c r="E4194" s="85" t="n">
        <x:f>D4194+'Resumen'!$B$5^3/3</x:f>
        <x:v>0.00014630433487078376</x:v>
      </x:c>
    </x:row>
    <x:row r="4195">
      <x:c r="A4195" s="89" t="n">
        <x:v>4193</x:v>
      </x:c>
      <x:c r="B4195" s="80" t="n">
        <x:v>1.1751962015592756</x:v>
      </x:c>
      <x:c r="C4195" s="84" t="n">
        <x:f>SQRT('Resumen'!$B$5^3/3)*B4195</x:f>
        <x:v>0.6784998433208734</x:v>
      </x:c>
      <x:c r="D4195" s="84" t="n">
        <x:f>C4195^2-'Resumen'!$B$5^3/3</x:f>
        <x:v>0.1270287040531165</x:v>
      </x:c>
      <x:c r="E4195" s="85" t="n">
        <x:f>D4195+'Resumen'!$B$5^3/3</x:f>
        <x:v>0.4603620373864498</x:v>
      </x:c>
    </x:row>
    <x:row r="4196">
      <x:c r="A4196" s="89" t="n">
        <x:v>4194</x:v>
      </x:c>
      <x:c r="B4196" s="80" t="n">
        <x:v>-0.37955602188032317</x:v>
      </x:c>
      <x:c r="C4196" s="84" t="n">
        <x:f>SQRT('Resumen'!$B$5^3/3)*B4196</x:f>
        <x:v>-0.21913677140514806</x:v>
      </x:c>
      <x:c r="D4196" s="84" t="n">
        <x:f>C4196^2-'Resumen'!$B$5^3/3</x:f>
        <x:v>-0.2853124087514612</x:v>
      </x:c>
      <x:c r="E4196" s="85" t="n">
        <x:f>D4196+'Resumen'!$B$5^3/3</x:f>
        <x:v>0.048020924581872126</x:v>
      </x:c>
    </x:row>
    <x:row r="4197">
      <x:c r="A4197" s="89" t="n">
        <x:v>4195</x:v>
      </x:c>
      <x:c r="B4197" s="80" t="n">
        <x:v>-2.20883988445258</x:v>
      </x:c>
      <x:c r="C4197" s="84" t="n">
        <x:f>SQRT('Resumen'!$B$5^3/3)*B4197</x:f>
        <x:v>-1.2752743018854789</x:v>
      </x:c>
      <x:c r="D4197" s="84" t="n">
        <x:f>C4197^2-'Resumen'!$B$5^3/3</x:f>
        <x:v>1.2929912117161622</x:v>
      </x:c>
      <x:c r="E4197" s="85" t="n">
        <x:f>D4197+'Resumen'!$B$5^3/3</x:f>
        <x:v>1.6263245450494954</x:v>
      </x:c>
    </x:row>
    <x:row r="4198">
      <x:c r="A4198" s="89" t="n">
        <x:v>4196</x:v>
      </x:c>
      <x:c r="B4198" s="80" t="n">
        <x:v>-0.35632796110290493</x:v>
      </x:c>
      <x:c r="C4198" s="84" t="n">
        <x:f>SQRT('Resumen'!$B$5^3/3)*B4198</x:f>
        <x:v>-0.20572604426255264</x:v>
      </x:c>
      <x:c r="D4198" s="84" t="n">
        <x:f>C4198^2-'Resumen'!$B$5^3/3</x:f>
        <x:v>-0.29101012804541554</x:v>
      </x:c>
      <x:c r="E4198" s="85" t="n">
        <x:f>D4198+'Resumen'!$B$5^3/3</x:f>
        <x:v>0.042323205287917776</x:v>
      </x:c>
    </x:row>
    <x:row r="4199">
      <x:c r="A4199" s="89" t="n">
        <x:v>4197</x:v>
      </x:c>
      <x:c r="B4199" s="80" t="n">
        <x:v>0.1805096817861705</x:v>
      </x:c>
      <x:c r="C4199" s="84" t="n">
        <x:f>SQRT('Resumen'!$B$5^3/3)*B4199</x:f>
        <x:v>0.10421731337057921</x:v>
      </x:c>
      <x:c r="D4199" s="84" t="n">
        <x:f>C4199^2-'Resumen'!$B$5^3/3</x:f>
        <x:v>-0.3224720849271518</x:v>
      </x:c>
      <x:c r="E4199" s="85" t="n">
        <x:f>D4199+'Resumen'!$B$5^3/3</x:f>
        <x:v>0.010861248406181523</x:v>
      </x:c>
    </x:row>
    <x:row r="4200">
      <x:c r="A4200" s="89" t="n">
        <x:v>4198</x:v>
      </x:c>
      <x:c r="B4200" s="80" t="n">
        <x:v>-1.4618244793620205</x:v>
      </x:c>
      <x:c r="C4200" s="84" t="n">
        <x:f>SQRT('Resumen'!$B$5^3/3)*B4200</x:f>
        <x:v>-0.843984756667647</x:v>
      </x:c>
      <x:c r="D4200" s="84" t="n">
        <x:f>C4200^2-'Resumen'!$B$5^3/3</x:f>
        <x:v>0.3789769361540141</x:v>
      </x:c>
      <x:c r="E4200" s="85" t="n">
        <x:f>D4200+'Resumen'!$B$5^3/3</x:f>
        <x:v>0.7123102694873474</x:v>
      </x:c>
    </x:row>
    <x:row r="4201">
      <x:c r="A4201" s="89" t="n">
        <x:v>4199</x:v>
      </x:c>
      <x:c r="B4201" s="80" t="n">
        <x:v>0.6889935583109486</x:v>
      </x:c>
      <x:c r="C4201" s="84" t="n">
        <x:f>SQRT('Resumen'!$B$5^3/3)*B4201</x:f>
        <x:v>0.39779061636074425</x:v>
      </x:c>
      <x:c r="D4201" s="84" t="n">
        <x:f>C4201^2-'Resumen'!$B$5^3/3</x:f>
        <x:v>-0.1750959588686725</x:v>
      </x:c>
      <x:c r="E4201" s="85" t="n">
        <x:f>D4201+'Resumen'!$B$5^3/3</x:f>
        <x:v>0.15823737446466082</x:v>
      </x:c>
    </x:row>
    <x:row r="4202">
      <x:c r="A4202" s="89" t="n">
        <x:v>4200</x:v>
      </x:c>
      <x:c r="B4202" s="80" t="n">
        <x:v>0.7910272549604894</x:v>
      </x:c>
      <x:c r="C4202" s="84" t="n">
        <x:f>SQRT('Resumen'!$B$5^3/3)*B4202</x:f>
        <x:v>0.45669979858776927</x:v>
      </x:c>
      <x:c r="D4202" s="84" t="n">
        <x:f>C4202^2-'Resumen'!$B$5^3/3</x:f>
        <x:v>-0.12475862730322429</x:v>
      </x:c>
      <x:c r="E4202" s="85" t="n">
        <x:f>D4202+'Resumen'!$B$5^3/3</x:f>
        <x:v>0.20857470603010902</x:v>
      </x:c>
    </x:row>
    <x:row r="4203">
      <x:c r="A4203" s="89" t="n">
        <x:v>4201</x:v>
      </x:c>
      <x:c r="B4203" s="80" t="n">
        <x:v>-0.9213493848914325</x:v>
      </x:c>
      <x:c r="C4203" s="84" t="n">
        <x:f>SQRT('Resumen'!$B$5^3/3)*B4203</x:f>
        <x:v>-0.5319413153847646</x:v>
      </x:c>
      <x:c r="D4203" s="84" t="n">
        <x:f>C4203^2-'Resumen'!$B$5^3/3</x:f>
        <x:v>-0.05037177032005968</x:v>
      </x:c>
      <x:c r="E4203" s="85" t="n">
        <x:f>D4203+'Resumen'!$B$5^3/3</x:f>
        <x:v>0.28296156301327363</x:v>
      </x:c>
    </x:row>
    <x:row r="4204">
      <x:c r="A4204" s="89" t="n">
        <x:v>4202</x:v>
      </x:c>
      <x:c r="B4204" s="80" t="n">
        <x:v>0.5291014109051585</x:v>
      </x:c>
      <x:c r="C4204" s="84" t="n">
        <x:f>SQRT('Resumen'!$B$5^3/3)*B4204</x:f>
        <x:v>0.30547684201470404</x:v>
      </x:c>
      <x:c r="D4204" s="84" t="n">
        <x:f>C4204^2-'Resumen'!$B$5^3/3</x:f>
        <x:v>-0.24001723232605687</x:v>
      </x:c>
      <x:c r="E4204" s="85" t="n">
        <x:f>D4204+'Resumen'!$B$5^3/3</x:f>
        <x:v>0.09331610100727644</x:v>
      </x:c>
    </x:row>
    <x:row r="4205">
      <x:c r="A4205" s="89" t="n">
        <x:v>4203</x:v>
      </x:c>
      <x:c r="B4205" s="80" t="n">
        <x:v>0.5324715794689462</x:v>
      </x:c>
      <x:c r="C4205" s="84" t="n">
        <x:f>SQRT('Resumen'!$B$5^3/3)*B4205</x:f>
        <x:v>0.3074226097422213</x:v>
      </x:c>
      <x:c r="D4205" s="84" t="n">
        <x:f>C4205^2-'Resumen'!$B$5^3/3</x:f>
        <x:v>-0.23882467235261523</x:v>
      </x:c>
      <x:c r="E4205" s="85" t="n">
        <x:f>D4205+'Resumen'!$B$5^3/3</x:f>
        <x:v>0.09450866098071808</x:v>
      </x:c>
    </x:row>
    <x:row r="4206">
      <x:c r="A4206" s="89" t="n">
        <x:v>4204</x:v>
      </x:c>
      <x:c r="B4206" s="80" t="n">
        <x:v>-0.39087257614291443</x:v>
      </x:c>
      <x:c r="C4206" s="84" t="n">
        <x:f>SQRT('Resumen'!$B$5^3/3)*B4206</x:f>
        <x:v>-0.22567038705495412</x:v>
      </x:c>
      <x:c r="D4206" s="84" t="n">
        <x:f>C4206^2-'Resumen'!$B$5^3/3</x:f>
        <x:v>-0.2824062097398005</x:v>
      </x:c>
      <x:c r="E4206" s="85" t="n">
        <x:f>D4206+'Resumen'!$B$5^3/3</x:f>
        <x:v>0.0509271235935328</x:v>
      </x:c>
    </x:row>
    <x:row r="4207">
      <x:c r="A4207" s="89" t="n">
        <x:v>4205</x:v>
      </x:c>
      <x:c r="B4207" s="80" t="n">
        <x:v>-0.3031007066914128</x:v>
      </x:c>
      <x:c r="C4207" s="84" t="n">
        <x:f>SQRT('Resumen'!$B$5^3/3)*B4207</x:f>
        <x:v>-0.17499527459985298</x:v>
      </x:c>
      <x:c r="D4207" s="84" t="n">
        <x:f>C4207^2-'Resumen'!$B$5^3/3</x:f>
        <x:v>-0.30270998720105535</x:v>
      </x:c>
      <x:c r="E4207" s="85" t="n">
        <x:f>D4207+'Resumen'!$B$5^3/3</x:f>
        <x:v>0.030623346132277962</x:v>
      </x:c>
    </x:row>
    <x:row r="4208">
      <x:c r="A4208" s="89" t="n">
        <x:v>4206</x:v>
      </x:c>
      <x:c r="B4208" s="80" t="n">
        <x:v>-0.06940102501633924</x:v>
      </x:c>
      <x:c r="C4208" s="84" t="n">
        <x:f>SQRT('Resumen'!$B$5^3/3)*B4208</x:f>
        <x:v>-0.04006870047521941</x:v>
      </x:c>
      <x:c r="D4208" s="84" t="n">
        <x:f>C4208^2-'Resumen'!$B$5^3/3</x:f>
        <x:v>-0.3317278325755605</x:v>
      </x:c>
      <x:c r="E4208" s="85" t="n">
        <x:f>D4208+'Resumen'!$B$5^3/3</x:f>
        <x:v>0.0016055007577728264</x:v>
      </x:c>
    </x:row>
    <x:row r="4209">
      <x:c r="A4209" s="89" t="n">
        <x:v>4207</x:v>
      </x:c>
      <x:c r="B4209" s="80" t="n">
        <x:v>-1.1465254150876165</x:v>
      </x:c>
      <x:c r="C4209" s="84" t="n">
        <x:f>SQRT('Resumen'!$B$5^3/3)*B4209</x:f>
        <x:v>-0.6619467570335827</x:v>
      </x:c>
      <x:c r="D4209" s="84" t="n">
        <x:f>C4209^2-'Resumen'!$B$5^3/3</x:f>
        <x:v>0.10484017581394373</x:v>
      </x:c>
      <x:c r="E4209" s="85" t="n">
        <x:f>D4209+'Resumen'!$B$5^3/3</x:f>
        <x:v>0.43817350914727704</x:v>
      </x:c>
    </x:row>
    <x:row r="4210">
      <x:c r="A4210" s="89" t="n">
        <x:v>4208</x:v>
      </x:c>
      <x:c r="B4210" s="80" t="n">
        <x:v>-0.6921689183984591</x:v>
      </x:c>
      <x:c r="C4210" s="84" t="n">
        <x:f>SQRT('Resumen'!$B$5^3/3)*B4210</x:f>
        <x:v>-0.39962391136204245</x:v>
      </x:c>
      <x:c r="D4210" s="84" t="n">
        <x:f>C4210^2-'Resumen'!$B$5^3/3</x:f>
        <x:v>-0.17363406280103574</x:v>
      </x:c>
      <x:c r="E4210" s="85" t="n">
        <x:f>D4210+'Resumen'!$B$5^3/3</x:f>
        <x:v>0.15969927053229757</x:v>
      </x:c>
    </x:row>
    <x:row r="4211">
      <x:c r="A4211" s="89" t="n">
        <x:v>4209</x:v>
      </x:c>
      <x:c r="B4211" s="80" t="n">
        <x:v>-1.319716502334212</x:v>
      </x:c>
      <x:c r="C4211" s="84" t="n">
        <x:f>SQRT('Resumen'!$B$5^3/3)*B4211</x:f>
        <x:v>-0.7619386778766486</x:v>
      </x:c>
      <x:c r="D4211" s="84" t="n">
        <x:f>C4211^2-'Resumen'!$B$5^3/3</x:f>
        <x:v>0.24721721551108194</x:v>
      </x:c>
      <x:c r="E4211" s="85" t="n">
        <x:f>D4211+'Resumen'!$B$5^3/3</x:f>
        <x:v>0.5805505488444153</x:v>
      </x:c>
    </x:row>
    <x:row r="4212">
      <x:c r="A4212" s="89" t="n">
        <x:v>4210</x:v>
      </x:c>
      <x:c r="B4212" s="80" t="n">
        <x:v>1.1102948156496673</x:v>
      </x:c>
      <x:c r="C4212" s="84" t="n">
        <x:f>SQRT('Resumen'!$B$5^3/3)*B4212</x:f>
        <x:v>0.6410290106951813</x:v>
      </x:c>
      <x:c r="D4212" s="84" t="n">
        <x:f>C4212^2-'Resumen'!$B$5^3/3</x:f>
        <x:v>0.07758485921950947</x:v>
      </x:c>
      <x:c r="E4212" s="85" t="n">
        <x:f>D4212+'Resumen'!$B$5^3/3</x:f>
        <x:v>0.4109181925528428</x:v>
      </x:c>
    </x:row>
    <x:row r="4213">
      <x:c r="A4213" s="89" t="n">
        <x:v>4211</x:v>
      </x:c>
      <x:c r="B4213" s="80" t="n">
        <x:v>1.1216965649522501</x:v>
      </x:c>
      <x:c r="C4213" s="84" t="n">
        <x:f>SQRT('Resumen'!$B$5^3/3)*B4213</x:f>
        <x:v>0.6476118137242601</x:v>
      </x:c>
      <x:c r="D4213" s="84" t="n">
        <x:f>C4213^2-'Resumen'!$B$5^3/3</x:f>
        <x:v>0.08606772794189249</x:v>
      </x:c>
      <x:c r="E4213" s="85" t="n">
        <x:f>D4213+'Resumen'!$B$5^3/3</x:f>
        <x:v>0.4194010612752258</x:v>
      </x:c>
    </x:row>
    <x:row r="4214">
      <x:c r="A4214" s="89" t="n">
        <x:v>4212</x:v>
      </x:c>
      <x:c r="B4214" s="80" t="n">
        <x:v>-0.6915187014388758</x:v>
      </x:c>
      <x:c r="C4214" s="84" t="n">
        <x:f>SQRT('Resumen'!$B$5^3/3)*B4214</x:f>
        <x:v>-0.3992485084253954</x:v>
      </x:c>
      <x:c r="D4214" s="84" t="n">
        <x:f>C4214^2-'Resumen'!$B$5^3/3</x:f>
        <x:v>-0.1739339618534303</x:v>
      </x:c>
      <x:c r="E4214" s="85" t="n">
        <x:f>D4214+'Resumen'!$B$5^3/3</x:f>
        <x:v>0.15939937147990302</x:v>
      </x:c>
    </x:row>
    <x:row r="4215">
      <x:c r="A4215" s="89" t="n">
        <x:v>4213</x:v>
      </x:c>
      <x:c r="B4215" s="80" t="n">
        <x:v>0.8191041166410649</x:v>
      </x:c>
      <x:c r="C4215" s="84" t="n">
        <x:f>SQRT('Resumen'!$B$5^3/3)*B4215</x:f>
        <x:v>0.4729099822370494</x:v>
      </x:c>
      <x:c r="D4215" s="84" t="n">
        <x:f>C4215^2-'Resumen'!$B$5^3/3</x:f>
        <x:v>-0.10968948203388695</x:v>
      </x:c>
      <x:c r="E4215" s="85" t="n">
        <x:f>D4215+'Resumen'!$B$5^3/3</x:f>
        <x:v>0.22364385129944636</x:v>
      </x:c>
    </x:row>
    <x:row r="4216">
      <x:c r="A4216" s="89" t="n">
        <x:v>4214</x:v>
      </x:c>
      <x:c r="B4216" s="80" t="n">
        <x:v>-2.1805366458962774</x:v>
      </x:c>
      <x:c r="C4216" s="84" t="n">
        <x:f>SQRT('Resumen'!$B$5^3/3)*B4216</x:f>
        <x:v>-1.2589334194860593</x:v>
      </x:c>
      <x:c r="D4216" s="84" t="n">
        <x:f>C4216^2-'Resumen'!$B$5^3/3</x:f>
        <x:v>1.2515800213655288</x:v>
      </x:c>
      <x:c r="E4216" s="85" t="n">
        <x:f>D4216+'Resumen'!$B$5^3/3</x:f>
        <x:v>1.584913354698862</x:v>
      </x:c>
    </x:row>
    <x:row r="4217">
      <x:c r="A4217" s="89" t="n">
        <x:v>4215</x:v>
      </x:c>
      <x:c r="B4217" s="80" t="n">
        <x:v>-0.7627908441771226</x:v>
      </x:c>
      <x:c r="C4217" s="84" t="n">
        <x:f>SQRT('Resumen'!$B$5^3/3)*B4217</x:f>
        <x:v>-0.4403974992210436</x:v>
      </x:c>
      <x:c r="D4217" s="84" t="n">
        <x:f>C4217^2-'Resumen'!$B$5^3/3</x:f>
        <x:v>-0.1393833760131842</x:v>
      </x:c>
      <x:c r="E4217" s="85" t="n">
        <x:f>D4217+'Resumen'!$B$5^3/3</x:f>
        <x:v>0.1939499573201491</x:v>
      </x:c>
    </x:row>
    <x:row r="4218">
      <x:c r="A4218" s="89" t="n">
        <x:v>4216</x:v>
      </x:c>
      <x:c r="B4218" s="80" t="n">
        <x:v>1.0944580249184093</x:v>
      </x:c>
      <x:c r="C4218" s="84" t="n">
        <x:f>SQRT('Resumen'!$B$5^3/3)*B4218</x:f>
        <x:v>0.6318856353033897</x:v>
      </x:c>
      <x:c r="D4218" s="84" t="n">
        <x:f>C4218^2-'Resumen'!$B$5^3/3</x:f>
        <x:v>0.06594612276943512</x:v>
      </x:c>
      <x:c r="E4218" s="85" t="n">
        <x:f>D4218+'Resumen'!$B$5^3/3</x:f>
        <x:v>0.39927945610276844</x:v>
      </x:c>
    </x:row>
    <x:row r="4219">
      <x:c r="A4219" s="89" t="n">
        <x:v>4217</x:v>
      </x:c>
      <x:c r="B4219" s="80" t="n">
        <x:v>-1.224266696524288</x:v>
      </x:c>
      <x:c r="C4219" s="84" t="n">
        <x:f>SQRT('Resumen'!$B$5^3/3)*B4219</x:f>
        <x:v>-0.7068307067981916</x:v>
      </x:c>
      <x:c r="D4219" s="84" t="n">
        <x:f>C4219^2-'Resumen'!$B$5^3/3</x:f>
        <x:v>0.16627631473949778</x:v>
      </x:c>
      <x:c r="E4219" s="85" t="n">
        <x:f>D4219+'Resumen'!$B$5^3/3</x:f>
        <x:v>0.4996096480728311</x:v>
      </x:c>
    </x:row>
    <x:row r="4220">
      <x:c r="A4220" s="89" t="n">
        <x:v>4218</x:v>
      </x:c>
      <x:c r="B4220" s="80" t="n">
        <x:v>0.39851649014696205</x:v>
      </x:c>
      <x:c r="C4220" s="84" t="n">
        <x:f>SQRT('Resumen'!$B$5^3/3)*B4220</x:f>
        <x:v>0.23008360286285337</x:v>
      </x:c>
      <x:c r="D4220" s="84" t="n">
        <x:f>C4220^2-'Resumen'!$B$5^3/3</x:f>
        <x:v>-0.2803948690269821</x:v>
      </x:c>
      <x:c r="E4220" s="85" t="n">
        <x:f>D4220+'Resumen'!$B$5^3/3</x:f>
        <x:v>0.05293846430635124</x:v>
      </x:c>
    </x:row>
    <x:row r="4221">
      <x:c r="A4221" s="89" t="n">
        <x:v>4219</x:v>
      </x:c>
      <x:c r="B4221" s="80" t="n">
        <x:v>1.759398093827888</x:v>
      </x:c>
      <x:c r="C4221" s="84" t="n">
        <x:f>SQRT('Resumen'!$B$5^3/3)*B4221</x:f>
        <x:v>1.0157889630832455</x:v>
      </x:c>
      <x:c r="D4221" s="84" t="n">
        <x:f>C4221^2-'Resumen'!$B$5^3/3</x:f>
        <x:v>0.6984938841884019</x:v>
      </x:c>
      <x:c r="E4221" s="85" t="n">
        <x:f>D4221+'Resumen'!$B$5^3/3</x:f>
        <x:v>1.0318272175217351</x:v>
      </x:c>
    </x:row>
    <x:row r="4222">
      <x:c r="A4222" s="89" t="n">
        <x:v>4220</x:v>
      </x:c>
      <x:c r="B4222" s="80" t="n">
        <x:v>-0.941728075122681</x:v>
      </x:c>
      <x:c r="C4222" s="84" t="n">
        <x:f>SQRT('Resumen'!$B$5^3/3)*B4222</x:f>
        <x:v>-0.5437069576755079</x:v>
      </x:c>
      <x:c r="D4222" s="84" t="n">
        <x:f>C4222^2-'Resumen'!$B$5^3/3</x:f>
        <x:v>-0.03771607750857675</x:v>
      </x:c>
      <x:c r="E4222" s="85" t="n">
        <x:f>D4222+'Resumen'!$B$5^3/3</x:f>
        <x:v>0.29561725582475656</x:v>
      </x:c>
    </x:row>
    <x:row r="4223">
      <x:c r="A4223" s="89" t="n">
        <x:v>4221</x:v>
      </x:c>
      <x:c r="B4223" s="80" t="n">
        <x:v>-0.15831772230596977</x:v>
      </x:c>
      <x:c r="C4223" s="84" t="n">
        <x:f>SQRT('Resumen'!$B$5^3/3)*B4223</x:f>
        <x:v>-0.09140477959084006</x:v>
      </x:c>
      <x:c r="D4223" s="84" t="n">
        <x:f>C4223^2-'Resumen'!$B$5^3/3</x:f>
        <x:v>-0.3249784996012833</x:v>
      </x:c>
      <x:c r="E4223" s="85" t="n">
        <x:f>D4223+'Resumen'!$B$5^3/3</x:f>
        <x:v>0.008354833732050038</x:v>
      </x:c>
    </x:row>
    <x:row r="4224">
      <x:c r="A4224" s="89" t="n">
        <x:v>4222</x:v>
      </x:c>
      <x:c r="B4224" s="80" t="n">
        <x:v>1.0992417586264605</x:v>
      </x:c>
      <x:c r="C4224" s="84" t="n">
        <x:f>SQRT('Resumen'!$B$5^3/3)*B4224</x:f>
        <x:v>0.6346475252474645</x:v>
      </x:c>
      <x:c r="D4224" s="84" t="n">
        <x:f>C4224^2-'Resumen'!$B$5^3/3</x:f>
        <x:v>0.06944414796939774</x:v>
      </x:c>
      <x:c r="E4224" s="85" t="n">
        <x:f>D4224+'Resumen'!$B$5^3/3</x:f>
        <x:v>0.40277748130273106</x:v>
      </x:c>
    </x:row>
    <x:row r="4225">
      <x:c r="A4225" s="89" t="n">
        <x:v>4223</x:v>
      </x:c>
      <x:c r="B4225" s="80" t="n">
        <x:v>-0.7885272720876465</x:v>
      </x:c>
      <x:c r="C4225" s="84" t="n">
        <x:f>SQRT('Resumen'!$B$5^3/3)*B4225</x:f>
        <x:v>-0.45525643280316397</x:v>
      </x:c>
      <x:c r="D4225" s="84" t="n">
        <x:f>C4225^2-'Resumen'!$B$5^3/3</x:f>
        <x:v>-0.12607491372467156</x:v>
      </x:c>
      <x:c r="E4225" s="85" t="n">
        <x:f>D4225+'Resumen'!$B$5^3/3</x:f>
        <x:v>0.20725841960866176</x:v>
      </x:c>
    </x:row>
    <x:row r="4226">
      <x:c r="A4226" s="89" t="n">
        <x:v>4224</x:v>
      </x:c>
      <x:c r="B4226" s="80" t="n">
        <x:v>-1.0165705885024423</x:v>
      </x:c>
      <x:c r="C4226" s="84" t="n">
        <x:f>SQRT('Resumen'!$B$5^3/3)*B4226</x:f>
        <x:v>-0.5869173029221413</x:v>
      </x:c>
      <x:c r="D4226" s="84" t="n">
        <x:f>C4226^2-'Resumen'!$B$5^3/3</x:f>
        <x:v>0.011138587136067246</x:v>
      </x:c>
      <x:c r="E4226" s="85" t="n">
        <x:f>D4226+'Resumen'!$B$5^3/3</x:f>
        <x:v>0.34447192046940056</x:v>
      </x:c>
    </x:row>
    <x:row r="4227">
      <x:c r="A4227" s="89" t="n">
        <x:v>4225</x:v>
      </x:c>
      <x:c r="B4227" s="80" t="n">
        <x:v>-0.5265952906872985</x:v>
      </x:c>
      <x:c r="C4227" s="84" t="n">
        <x:f>SQRT('Resumen'!$B$5^3/3)*B4227</x:f>
        <x:v>-0.304029932832301</x:v>
      </x:c>
      <x:c r="D4227" s="84" t="n">
        <x:f>C4227^2-'Resumen'!$B$5^3/3</x:f>
        <x:v>-0.24089913327531987</x:v>
      </x:c>
      <x:c r="E4227" s="85" t="n">
        <x:f>D4227+'Resumen'!$B$5^3/3</x:f>
        <x:v>0.09243420005801345</x:v>
      </x:c>
    </x:row>
    <x:row r="4228">
      <x:c r="A4228" s="89" t="n">
        <x:v>4226</x:v>
      </x:c>
      <x:c r="B4228" s="80" t="n">
        <x:v>-0.12234814666272954</x:v>
      </x:c>
      <x:c r="C4228" s="84" t="n">
        <x:f>SQRT('Resumen'!$B$5^3/3)*B4228</x:f>
        <x:v>-0.07063773541057872</x:v>
      </x:c>
      <x:c r="D4228" s="84" t="n">
        <x:f>C4228^2-'Resumen'!$B$5^3/3</x:f>
        <x:v>-0.3283436436693984</x:v>
      </x:c>
      <x:c r="E4228" s="85" t="n">
        <x:f>D4228+'Resumen'!$B$5^3/3</x:f>
        <x:v>0.004989689663934926</x:v>
      </x:c>
    </x:row>
    <x:row r="4229">
      <x:c r="A4229" s="89" t="n">
        <x:v>4227</x:v>
      </x:c>
      <x:c r="B4229" s="80" t="n">
        <x:v>-0.6848195708645447</x:v>
      </x:c>
      <x:c r="C4229" s="84" t="n">
        <x:f>SQRT('Resumen'!$B$5^3/3)*B4229</x:f>
        <x:v>-0.3953807635849689</x:v>
      </x:c>
      <x:c r="D4229" s="84" t="n">
        <x:f>C4229^2-'Resumen'!$B$5^3/3</x:f>
        <x:v>-0.17700738512030026</x:v>
      </x:c>
      <x:c r="E4229" s="85" t="n">
        <x:f>D4229+'Resumen'!$B$5^3/3</x:f>
        <x:v>0.15632594821303306</x:v>
      </x:c>
    </x:row>
    <x:row r="4230">
      <x:c r="A4230" s="89" t="n">
        <x:v>4228</x:v>
      </x:c>
      <x:c r="B4230" s="80" t="n">
        <x:v>-0.9506453555660186</x:v>
      </x:c>
      <x:c r="C4230" s="84" t="n">
        <x:f>SQRT('Resumen'!$B$5^3/3)*B4230</x:f>
        <x:v>-0.5488553519399083</x:v>
      </x:c>
      <x:c r="D4230" s="84" t="n">
        <x:f>C4230^2-'Resumen'!$B$5^3/3</x:f>
        <x:v>-0.032091135980252705</x:v>
      </x:c>
      <x:c r="E4230" s="85" t="n">
        <x:f>D4230+'Resumen'!$B$5^3/3</x:f>
        <x:v>0.3012421973530806</x:v>
      </x:c>
    </x:row>
    <x:row r="4231">
      <x:c r="A4231" s="89" t="n">
        <x:v>4229</x:v>
      </x:c>
      <x:c r="B4231" s="80" t="n">
        <x:v>1.0102810010844985</x:v>
      </x:c>
      <x:c r="C4231" s="84" t="n">
        <x:f>SQRT('Resumen'!$B$5^3/3)*B4231</x:f>
        <x:v>0.5832860079332998</x:v>
      </x:c>
      <x:c r="D4231" s="84" t="n">
        <x:f>C4231^2-'Resumen'!$B$5^3/3</x:f>
        <x:v>0.006889233717432108</x:v>
      </x:c>
      <x:c r="E4231" s="85" t="n">
        <x:f>D4231+'Resumen'!$B$5^3/3</x:f>
        <x:v>0.3402225670507654</x:v>
      </x:c>
    </x:row>
    <x:row r="4232">
      <x:c r="A4232" s="89" t="n">
        <x:v>4230</x:v>
      </x:c>
      <x:c r="B4232" s="80" t="n">
        <x:v>0.6806994049533788</x:v>
      </x:c>
      <x:c r="C4232" s="84" t="n">
        <x:f>SQRT('Resumen'!$B$5^3/3)*B4232</x:f>
        <x:v>0.3930019846870513</x:v>
      </x:c>
      <x:c r="D4232" s="84" t="n">
        <x:f>C4232^2-'Resumen'!$B$5^3/3</x:f>
        <x:v>-0.17888277336537203</x:v>
      </x:c>
      <x:c r="E4232" s="85" t="n">
        <x:f>D4232+'Resumen'!$B$5^3/3</x:f>
        <x:v>0.15445055996796128</x:v>
      </x:c>
    </x:row>
    <x:row r="4233">
      <x:c r="A4233" s="89" t="n">
        <x:v>4231</x:v>
      </x:c>
      <x:c r="B4233" s="80" t="n">
        <x:v>0.361396599529971</x:v>
      </x:c>
      <x:c r="C4233" s="84" t="n">
        <x:f>SQRT('Resumen'!$B$5^3/3)*B4233</x:f>
        <x:v>0.20865242402284412</x:v>
      </x:c>
      <x:c r="D4233" s="84" t="n">
        <x:f>C4233^2-'Resumen'!$B$5^3/3</x:f>
        <x:v>-0.2897974992827246</x:v>
      </x:c>
      <x:c r="E4233" s="85" t="n">
        <x:f>D4233+'Resumen'!$B$5^3/3</x:f>
        <x:v>0.043535834050608735</x:v>
      </x:c>
    </x:row>
    <x:row r="4234">
      <x:c r="A4234" s="89" t="n">
        <x:v>4232</x:v>
      </x:c>
      <x:c r="B4234" s="80" t="n">
        <x:v>0.743034397772383</x:v>
      </x:c>
      <x:c r="C4234" s="84" t="n">
        <x:f>SQRT('Resumen'!$B$5^3/3)*B4234</x:f>
        <x:v>0.42899110957103676</x:v>
      </x:c>
      <x:c r="D4234" s="84" t="n">
        <x:f>C4234^2-'Resumen'!$B$5^3/3</x:f>
        <x:v>-0.14929996124234404</x:v>
      </x:c>
      <x:c r="E4234" s="85" t="n">
        <x:f>D4234+'Resumen'!$B$5^3/3</x:f>
        <x:v>0.18403337209098927</x:v>
      </x:c>
    </x:row>
    <x:row r="4235">
      <x:c r="A4235" s="89" t="n">
        <x:v>4233</x:v>
      </x:c>
      <x:c r="B4235" s="80" t="n">
        <x:v>-0.944470983754679</x:v>
      </x:c>
      <x:c r="C4235" s="84" t="n">
        <x:f>SQRT('Resumen'!$B$5^3/3)*B4235</x:f>
        <x:v>-0.5452905767125545</x:v>
      </x:c>
      <x:c r="D4235" s="84" t="n">
        <x:f>C4235^2-'Resumen'!$B$5^3/3</x:f>
        <x:v>-0.03599152028182301</x:v>
      </x:c>
      <x:c r="E4235" s="85" t="n">
        <x:f>D4235+'Resumen'!$B$5^3/3</x:f>
        <x:v>0.2973418130515103</x:v>
      </x:c>
    </x:row>
    <x:row r="4236">
      <x:c r="A4236" s="89" t="n">
        <x:v>4234</x:v>
      </x:c>
      <x:c r="B4236" s="80" t="n">
        <x:v>0.49795000555943186</x:v>
      </x:c>
      <x:c r="C4236" s="84" t="n">
        <x:f>SQRT('Resumen'!$B$5^3/3)*B4236</x:f>
        <x:v>0.2874915697527136</x:v>
      </x:c>
      <x:c r="D4236" s="84" t="n">
        <x:f>C4236^2-'Resumen'!$B$5^3/3</x:f>
        <x:v>-0.25068193065445393</x:v>
      </x:c>
      <x:c r="E4236" s="85" t="n">
        <x:f>D4236+'Resumen'!$B$5^3/3</x:f>
        <x:v>0.08265140267887938</x:v>
      </x:c>
    </x:row>
    <x:row r="4237">
      <x:c r="A4237" s="89" t="n">
        <x:v>4235</x:v>
      </x:c>
      <x:c r="B4237" s="80" t="n">
        <x:v>0.6345059785915169</x:v>
      </x:c>
      <x:c r="C4237" s="84" t="n">
        <x:f>SQRT('Resumen'!$B$5^3/3)*B4237</x:f>
        <x:v>0.36633219754223917</x:v>
      </x:c>
      <x:c r="D4237" s="84" t="n">
        <x:f>C4237^2-'Resumen'!$B$5^3/3</x:f>
        <x:v>-0.1991340543772072</x:v>
      </x:c>
      <x:c r="E4237" s="85" t="n">
        <x:f>D4237+'Resumen'!$B$5^3/3</x:f>
        <x:v>0.13419927895612613</x:v>
      </x:c>
    </x:row>
    <x:row r="4238">
      <x:c r="A4238" s="89" t="n">
        <x:v>4236</x:v>
      </x:c>
      <x:c r="B4238" s="80" t="n">
        <x:v>-0.6810436118048107</x:v>
      </x:c>
      <x:c r="C4238" s="84" t="n">
        <x:f>SQRT('Resumen'!$B$5^3/3)*B4238</x:f>
        <x:v>-0.3932007126053824</x:v>
      </x:c>
      <x:c r="D4238" s="84" t="n">
        <x:f>C4238^2-'Resumen'!$B$5^3/3</x:f>
        <x:v>-0.17872653293995278</x:v>
      </x:c>
      <x:c r="E4238" s="85" t="n">
        <x:f>D4238+'Resumen'!$B$5^3/3</x:f>
        <x:v>0.15460680039338054</x:v>
      </x:c>
    </x:row>
    <x:row r="4239">
      <x:c r="A4239" s="89" t="n">
        <x:v>4237</x:v>
      </x:c>
      <x:c r="B4239" s="80" t="n">
        <x:v>0.5430448681654179</x:v>
      </x:c>
      <x:c r="C4239" s="84" t="n">
        <x:f>SQRT('Resumen'!$B$5^3/3)*B4239</x:f>
        <x:v>0.3135271008173488</x:v>
      </x:c>
      <x:c r="D4239" s="84" t="n">
        <x:f>C4239^2-'Resumen'!$B$5^3/3</x:f>
        <x:v>-0.23503409038640133</x:v>
      </x:c>
      <x:c r="E4239" s="85" t="n">
        <x:f>D4239+'Resumen'!$B$5^3/3</x:f>
        <x:v>0.09829924294693199</x:v>
      </x:c>
    </x:row>
    <x:row r="4240">
      <x:c r="A4240" s="89" t="n">
        <x:v>4238</x:v>
      </x:c>
      <x:c r="B4240" s="80" t="n">
        <x:v>-0.34328424218156617</x:v>
      </x:c>
      <x:c r="C4240" s="84" t="n">
        <x:f>SQRT('Resumen'!$B$5^3/3)*B4240</x:f>
        <x:v>-0.1981952496320839</x:v>
      </x:c>
      <x:c r="D4240" s="84" t="n">
        <x:f>C4240^2-'Resumen'!$B$5^3/3</x:f>
        <x:v>-0.2940519763566093</x:v>
      </x:c>
      <x:c r="E4240" s="85" t="n">
        <x:f>D4240+'Resumen'!$B$5^3/3</x:f>
        <x:v>0.039281356976724024</x:v>
      </x:c>
    </x:row>
    <x:row r="4241">
      <x:c r="A4241" s="89" t="n">
        <x:v>4239</x:v>
      </x:c>
      <x:c r="B4241" s="80" t="n">
        <x:v>1.3489016114461803</x:v>
      </x:c>
      <x:c r="C4241" s="84" t="n">
        <x:f>SQRT('Resumen'!$B$5^3/3)*B4241</x:f>
        <x:v>0.7787887084787721</x:v>
      </x:c>
      <x:c r="D4241" s="84" t="n">
        <x:f>C4241^2-'Resumen'!$B$5^3/3</x:f>
        <x:v>0.2731785191207006</x:v>
      </x:c>
      <x:c r="E4241" s="85" t="n">
        <x:f>D4241+'Resumen'!$B$5^3/3</x:f>
        <x:v>0.6065118524540339</x:v>
      </x:c>
    </x:row>
    <x:row r="4242">
      <x:c r="A4242" s="89" t="n">
        <x:v>4240</x:v>
      </x:c>
      <x:c r="B4242" s="80" t="n">
        <x:v>-1.813629710823586</x:v>
      </x:c>
      <x:c r="C4242" s="84" t="n">
        <x:f>SQRT('Resumen'!$B$5^3/3)*B4242</x:f>
        <x:v>-1.0470996017543004</x:v>
      </x:c>
      <x:c r="D4242" s="84" t="n">
        <x:f>C4242^2-'Resumen'!$B$5^3/3</x:f>
        <x:v>0.7630842426606812</x:v>
      </x:c>
      <x:c r="E4242" s="85" t="n">
        <x:f>D4242+'Resumen'!$B$5^3/3</x:f>
        <x:v>1.0964175759940145</x:v>
      </x:c>
    </x:row>
    <x:row r="4243">
      <x:c r="A4243" s="89" t="n">
        <x:v>4241</x:v>
      </x:c>
      <x:c r="B4243" s="80" t="n">
        <x:v>-0.5266832849144815</x:v>
      </x:c>
      <x:c r="C4243" s="84" t="n">
        <x:f>SQRT('Resumen'!$B$5^3/3)*B4243</x:f>
        <x:v>-0.3040807363230522</x:v>
      </x:c>
      <x:c r="D4243" s="84" t="n">
        <x:f>C4243^2-'Resumen'!$B$5^3/3</x:f>
        <x:v>-0.2408682391305637</x:v>
      </x:c>
      <x:c r="E4243" s="85" t="n">
        <x:f>D4243+'Resumen'!$B$5^3/3</x:f>
        <x:v>0.0924650942027696</x:v>
      </x:c>
    </x:row>
    <x:row r="4244">
      <x:c r="A4244" s="89" t="n">
        <x:v>4242</x:v>
      </x:c>
      <x:c r="B4244" s="80" t="n">
        <x:v>0.7052328311554822</x:v>
      </x:c>
      <x:c r="C4244" s="84" t="n">
        <x:f>SQRT('Resumen'!$B$5^3/3)*B4244</x:f>
        <x:v>0.4071663649089795</x:v>
      </x:c>
      <x:c r="D4244" s="84" t="n">
        <x:f>C4244^2-'Resumen'!$B$5^3/3</x:f>
        <x:v>-0.16754888462014106</x:v>
      </x:c>
      <x:c r="E4244" s="85" t="n">
        <x:f>D4244+'Resumen'!$B$5^3/3</x:f>
        <x:v>0.16578444871319226</x:v>
      </x:c>
    </x:row>
    <x:row r="4245">
      <x:c r="A4245" s="89" t="n">
        <x:v>4243</x:v>
      </x:c>
      <x:c r="B4245" s="80" t="n">
        <x:v>0.34688949460574353</x:v>
      </x:c>
      <x:c r="C4245" s="84" t="n">
        <x:f>SQRT('Resumen'!$B$5^3/3)*B4245</x:f>
        <x:v>0.20027674308967924</x:v>
      </x:c>
      <x:c r="D4245" s="84" t="n">
        <x:f>C4245^2-'Resumen'!$B$5^3/3</x:f>
        <x:v>-0.29322255951072396</x:v>
      </x:c>
      <x:c r="E4245" s="85" t="n">
        <x:f>D4245+'Resumen'!$B$5^3/3</x:f>
        <x:v>0.04011077382260936</x:v>
      </x:c>
    </x:row>
    <x:row r="4246">
      <x:c r="A4246" s="89" t="n">
        <x:v>4244</x:v>
      </x:c>
      <x:c r="B4246" s="80" t="n">
        <x:v>-1.1416787234926844</x:v>
      </x:c>
      <x:c r="C4246" s="84" t="n">
        <x:f>SQRT('Resumen'!$B$5^3/3)*B4246</x:f>
        <x:v>-0.6591485183365696</x:v>
      </x:c>
      <x:c r="D4246" s="84" t="n">
        <x:f>C4246^2-'Resumen'!$B$5^3/3</x:f>
        <x:v>0.10114343589196173</x:v>
      </x:c>
      <x:c r="E4246" s="85" t="n">
        <x:f>D4246+'Resumen'!$B$5^3/3</x:f>
        <x:v>0.43447676922529505</x:v>
      </x:c>
    </x:row>
    <x:row r="4247">
      <x:c r="A4247" s="89" t="n">
        <x:v>4245</x:v>
      </x:c>
      <x:c r="B4247" s="80" t="n">
        <x:v>0.606370170717372</x:v>
      </x:c>
      <x:c r="C4247" s="84" t="n">
        <x:f>SQRT('Resumen'!$B$5^3/3)*B4247</x:f>
        <x:v>0.350087981292234</x:v>
      </x:c>
      <x:c r="D4247" s="84" t="n">
        <x:f>C4247^2-'Resumen'!$B$5^3/3</x:f>
        <x:v>-0.21077173868806173</x:v>
      </x:c>
      <x:c r="E4247" s="85" t="n">
        <x:f>D4247+'Resumen'!$B$5^3/3</x:f>
        <x:v>0.12256159464527158</x:v>
      </x:c>
    </x:row>
    <x:row r="4248">
      <x:c r="A4248" s="89" t="n">
        <x:v>4246</x:v>
      </x:c>
      <x:c r="B4248" s="80" t="n">
        <x:v>0.057733147573352614</x:v>
      </x:c>
      <x:c r="C4248" s="84" t="n">
        <x:f>SQRT('Resumen'!$B$5^3/3)*B4248</x:f>
        <x:v>0.03333224829263952</x:v>
      </x:c>
      <x:c r="D4248" s="84" t="n">
        <x:f>C4248^2-'Resumen'!$B$5^3/3</x:f>
        <x:v>-0.3322222945570911</x:v>
      </x:c>
      <x:c r="E4248" s="85" t="n">
        <x:f>D4248+'Resumen'!$B$5^3/3</x:f>
        <x:v>0.0011110387762421903</x:v>
      </x:c>
    </x:row>
    <x:row r="4249">
      <x:c r="A4249" s="89" t="n">
        <x:v>4247</x:v>
      </x:c>
      <x:c r="B4249" s="80" t="n">
        <x:v>1.1993171643970462</x:v>
      </x:c>
      <x:c r="C4249" s="84" t="n">
        <x:f>SQRT('Resumen'!$B$5^3/3)*B4249</x:f>
        <x:v>0.6924260877083732</x:v>
      </x:c>
      <x:c r="D4249" s="84" t="n">
        <x:f>C4249^2-'Resumen'!$B$5^3/3</x:f>
        <x:v>0.14612055360579046</x:v>
      </x:c>
      <x:c r="E4249" s="85" t="n">
        <x:f>D4249+'Resumen'!$B$5^3/3</x:f>
        <x:v>0.4794538869391238</x:v>
      </x:c>
    </x:row>
    <x:row r="4250">
      <x:c r="A4250" s="89" t="n">
        <x:v>4248</x:v>
      </x:c>
      <x:c r="B4250" s="80" t="n">
        <x:v>0.20488959226381534</x:v>
      </x:c>
      <x:c r="C4250" s="84" t="n">
        <x:f>SQRT('Resumen'!$B$5^3/3)*B4250</x:f>
        <x:v>0.11829306124766645</x:v>
      </x:c>
      <x:c r="D4250" s="84" t="n">
        <x:f>C4250^2-'Resumen'!$B$5^3/3</x:f>
        <x:v>-0.31934008499398914</x:v>
      </x:c>
      <x:c r="E4250" s="85" t="n">
        <x:f>D4250+'Resumen'!$B$5^3/3</x:f>
        <x:v>0.013993248339344178</x:v>
      </x:c>
    </x:row>
    <x:row r="4251">
      <x:c r="A4251" s="89" t="n">
        <x:v>4249</x:v>
      </x:c>
      <x:c r="B4251" s="80" t="n">
        <x:v>0.6140868163092379</x:v>
      </x:c>
      <x:c r="C4251" s="84" t="n">
        <x:f>SQRT('Resumen'!$B$5^3/3)*B4251</x:f>
        <x:v>0.35454318870193874</x:v>
      </x:c>
      <x:c r="D4251" s="84" t="n">
        <x:f>C4251^2-'Resumen'!$B$5^3/3</x:f>
        <x:v>-0.20763246067839478</x:v>
      </x:c>
      <x:c r="E4251" s="85" t="n">
        <x:f>D4251+'Resumen'!$B$5^3/3</x:f>
        <x:v>0.12570087265493854</x:v>
      </x:c>
    </x:row>
    <x:row r="4252">
      <x:c r="A4252" s="89" t="n">
        <x:v>4250</x:v>
      </x:c>
      <x:c r="B4252" s="80" t="n">
        <x:v>-1.2730977420564304</x:v>
      </x:c>
      <x:c r="C4252" s="84" t="n">
        <x:f>SQRT('Resumen'!$B$5^3/3)*B4252</x:f>
        <x:v>-0.7350233240809848</x:v>
      </x:c>
      <x:c r="D4252" s="84" t="n">
        <x:f>C4252^2-'Resumen'!$B$5^3/3</x:f>
        <x:v>0.20692595360972715</x:v>
      </x:c>
      <x:c r="E4252" s="85" t="n">
        <x:f>D4252+'Resumen'!$B$5^3/3</x:f>
        <x:v>0.5402592869430605</x:v>
      </x:c>
    </x:row>
    <x:row r="4253">
      <x:c r="A4253" s="89" t="n">
        <x:v>4251</x:v>
      </x:c>
      <x:c r="B4253" s="80" t="n">
        <x:v>-0.386649766296563</x:v>
      </x:c>
      <x:c r="C4253" s="84" t="n">
        <x:f>SQRT('Resumen'!$B$5^3/3)*B4253</x:f>
        <x:v>-0.22323234665342653</x:v>
      </x:c>
      <x:c r="D4253" s="84" t="n">
        <x:f>C4253^2-'Resumen'!$B$5^3/3</x:f>
        <x:v>-0.2835006527409377</x:v>
      </x:c>
      <x:c r="E4253" s="85" t="n">
        <x:f>D4253+'Resumen'!$B$5^3/3</x:f>
        <x:v>0.049832680592395595</x:v>
      </x:c>
    </x:row>
    <x:row r="4254">
      <x:c r="A4254" s="89" t="n">
        <x:v>4252</x:v>
      </x:c>
      <x:c r="B4254" s="80" t="n">
        <x:v>0.9400320332994911</x:v>
      </x:c>
      <x:c r="C4254" s="84" t="n">
        <x:f>SQRT('Resumen'!$B$5^3/3)*B4254</x:f>
        <x:v>0.5427277474723324</x:v>
      </x:c>
      <x:c r="D4254" s="84" t="n">
        <x:f>C4254^2-'Resumen'!$B$5^3/3</x:f>
        <x:v>-0.03877992545694148</x:v>
      </x:c>
      <x:c r="E4254" s="85" t="n">
        <x:f>D4254+'Resumen'!$B$5^3/3</x:f>
        <x:v>0.29455340787639184</x:v>
      </x:c>
    </x:row>
    <x:row r="4255">
      <x:c r="A4255" s="89" t="n">
        <x:v>4253</x:v>
      </x:c>
      <x:c r="B4255" s="80" t="n">
        <x:v>0.36011661851182275</x:v>
      </x:c>
      <x:c r="C4255" s="84" t="n">
        <x:f>SQRT('Resumen'!$B$5^3/3)*B4255</x:f>
        <x:v>0.20791342663745863</x:v>
      </x:c>
      <x:c r="D4255" s="84" t="n">
        <x:f>C4255^2-'Resumen'!$B$5^3/3</x:f>
        <x:v>-0.2901053403572034</x:v>
      </x:c>
      <x:c r="E4255" s="85" t="n">
        <x:f>D4255+'Resumen'!$B$5^3/3</x:f>
        <x:v>0.04322799297612989</x:v>
      </x:c>
    </x:row>
    <x:row r="4256">
      <x:c r="A4256" s="89" t="n">
        <x:v>4254</x:v>
      </x:c>
      <x:c r="B4256" s="80" t="n">
        <x:v>0.14577372676849423</x:v>
      </x:c>
      <x:c r="C4256" s="84" t="n">
        <x:f>SQRT('Resumen'!$B$5^3/3)*B4256</x:f>
        <x:v>0.0841625003905651</x:v>
      </x:c>
      <x:c r="D4256" s="84" t="n">
        <x:f>C4256^2-'Resumen'!$B$5^3/3</x:f>
        <x:v>-0.3262500068613414</x:v>
      </x:c>
      <x:c r="E4256" s="85" t="n">
        <x:f>D4256+'Resumen'!$B$5^3/3</x:f>
        <x:v>0.007083326471991891</x:v>
      </x:c>
    </x:row>
    <x:row r="4257">
      <x:c r="A4257" s="89" t="n">
        <x:v>4255</x:v>
      </x:c>
      <x:c r="B4257" s="80" t="n">
        <x:v>0.7369097876100862</x:v>
      </x:c>
      <x:c r="C4257" s="84" t="n">
        <x:f>SQRT('Resumen'!$B$5^3/3)*B4257</x:f>
        <x:v>0.42545506424515317</x:v>
      </x:c>
      <x:c r="D4257" s="84" t="n">
        <x:f>C4257^2-'Resumen'!$B$5^3/3</x:f>
        <x:v>-0.1523213216414859</x:v>
      </x:c>
      <x:c r="E4257" s="85" t="n">
        <x:f>D4257+'Resumen'!$B$5^3/3</x:f>
        <x:v>0.1810120116918474</x:v>
      </x:c>
    </x:row>
    <x:row r="4258">
      <x:c r="A4258" s="89" t="n">
        <x:v>4256</x:v>
      </x:c>
      <x:c r="B4258" s="80" t="n">
        <x:v>-1.480523739827649</x:v>
      </x:c>
      <x:c r="C4258" s="84" t="n">
        <x:f>SQRT('Resumen'!$B$5^3/3)*B4258</x:f>
        <x:v>-0.8547807797311245</x:v>
      </x:c>
      <x:c r="D4258" s="84" t="n">
        <x:f>C4258^2-'Resumen'!$B$5^3/3</x:f>
        <x:v>0.397316848064416</x:v>
      </x:c>
      <x:c r="E4258" s="85" t="n">
        <x:f>D4258+'Resumen'!$B$5^3/3</x:f>
        <x:v>0.7306501813977493</x:v>
      </x:c>
    </x:row>
    <x:row r="4259">
      <x:c r="A4259" s="89" t="n">
        <x:v>4257</x:v>
      </x:c>
      <x:c r="B4259" s="80" t="n">
        <x:v>-1.0355455189408844</x:v>
      </x:c>
      <x:c r="C4259" s="84" t="n">
        <x:f>SQRT('Resumen'!$B$5^3/3)*B4259</x:f>
        <x:v>-0.5978724841186303</x:v>
      </x:c>
      <x:c r="D4259" s="84" t="n">
        <x:f>C4259^2-'Resumen'!$B$5^3/3</x:f>
        <x:v>0.024118173932848486</x:v>
      </x:c>
      <x:c r="E4259" s="85" t="n">
        <x:f>D4259+'Resumen'!$B$5^3/3</x:f>
        <x:v>0.3574515072661818</x:v>
      </x:c>
    </x:row>
    <x:row r="4260">
      <x:c r="A4260" s="89" t="n">
        <x:v>4258</x:v>
      </x:c>
      <x:c r="B4260" s="80" t="n">
        <x:v>0.6338308752469428</x:v>
      </x:c>
      <x:c r="C4260" s="84" t="n">
        <x:f>SQRT('Resumen'!$B$5^3/3)*B4260</x:f>
        <x:v>0.3659424264445185</x:v>
      </x:c>
      <x:c r="D4260" s="84" t="n">
        <x:f>C4260^2-'Resumen'!$B$5^3/3</x:f>
        <x:v>-0.19941947386123146</x:v>
      </x:c>
      <x:c r="E4260" s="85" t="n">
        <x:f>D4260+'Resumen'!$B$5^3/3</x:f>
        <x:v>0.13391385947210185</x:v>
      </x:c>
    </x:row>
    <x:row r="4261">
      <x:c r="A4261" s="89" t="n">
        <x:v>4259</x:v>
      </x:c>
      <x:c r="B4261" s="80" t="n">
        <x:v>-0.7933852379864071</x:v>
      </x:c>
      <x:c r="C4261" s="84" t="n">
        <x:f>SQRT('Resumen'!$B$5^3/3)*B4261</x:f>
        <x:v>-0.45806118072252744</x:v>
      </x:c>
      <x:c r="D4261" s="84" t="n">
        <x:f>C4261^2-'Resumen'!$B$5^3/3</x:f>
        <x:v>-0.12351328804841738</x:v>
      </x:c>
      <x:c r="E4261" s="85" t="n">
        <x:f>D4261+'Resumen'!$B$5^3/3</x:f>
        <x:v>0.20982004528491593</x:v>
      </x:c>
    </x:row>
    <x:row r="4262">
      <x:c r="A4262" s="89" t="n">
        <x:v>4260</x:v>
      </x:c>
      <x:c r="B4262" s="80" t="n">
        <x:v>0.33290959021111516</x:v>
      </x:c>
      <x:c r="C4262" s="84" t="n">
        <x:f>SQRT('Resumen'!$B$5^3/3)*B4262</x:f>
        <x:v>0.19220544152419533</x:v>
      </x:c>
      <x:c r="D4262" s="84" t="n">
        <x:f>C4262^2-'Resumen'!$B$5^3/3</x:f>
        <x:v>-0.29639040158182245</x:v>
      </x:c>
      <x:c r="E4262" s="85" t="n">
        <x:f>D4262+'Resumen'!$B$5^3/3</x:f>
        <x:v>0.036942931751510866</x:v>
      </x:c>
    </x:row>
    <x:row r="4263">
      <x:c r="A4263" s="89" t="n">
        <x:v>4261</x:v>
      </x:c>
      <x:c r="B4263" s="80" t="n">
        <x:v>-0.5376147048403297</x:v>
      </x:c>
      <x:c r="C4263" s="84" t="n">
        <x:f>SQRT('Resumen'!$B$5^3/3)*B4263</x:f>
        <x:v>-0.31039199455986555</x:v>
      </x:c>
      <x:c r="D4263" s="84" t="n">
        <x:f>C4263^2-'Resumen'!$B$5^3/3</x:f>
        <x:v>-0.2369901430464817</x:v>
      </x:c>
      <x:c r="E4263" s="85" t="n">
        <x:f>D4263+'Resumen'!$B$5^3/3</x:f>
        <x:v>0.09634319028685162</x:v>
      </x:c>
    </x:row>
    <x:row r="4264">
      <x:c r="A4264" s="89" t="n">
        <x:v>4262</x:v>
      </x:c>
      <x:c r="B4264" s="80" t="n">
        <x:v>-1.0754027996415807</x:v>
      </x:c>
      <x:c r="C4264" s="84" t="n">
        <x:f>SQRT('Resumen'!$B$5^3/3)*B4264</x:f>
        <x:v>-0.6208840958603438</x:v>
      </x:c>
      <x:c r="D4264" s="84" t="n">
        <x:f>C4264^2-'Resumen'!$B$5^3/3</x:f>
        <x:v>0.05216372715898321</x:v>
      </x:c>
      <x:c r="E4264" s="85" t="n">
        <x:f>D4264+'Resumen'!$B$5^3/3</x:f>
        <x:v>0.3854970604923165</x:v>
      </x:c>
    </x:row>
    <x:row r="4265">
      <x:c r="A4265" s="89" t="n">
        <x:v>4263</x:v>
      </x:c>
      <x:c r="B4265" s="80" t="n">
        <x:v>-0.40550027321587095</x:v>
      </x:c>
      <x:c r="C4265" s="84" t="n">
        <x:f>SQRT('Resumen'!$B$5^3/3)*B4265</x:f>
        <x:v>-0.23411569189764989</x:v>
      </x:c>
      <x:c r="D4265" s="84" t="n">
        <x:f>C4265^2-'Resumen'!$B$5^3/3</x:f>
        <x:v>-0.278523176140618</x:v>
      </x:c>
      <x:c r="E4265" s="85" t="n">
        <x:f>D4265+'Resumen'!$B$5^3/3</x:f>
        <x:v>0.054810157192715314</x:v>
      </x:c>
    </x:row>
    <x:row r="4266">
      <x:c r="A4266" s="89" t="n">
        <x:v>4264</x:v>
      </x:c>
      <x:c r="B4266" s="80" t="n">
        <x:v>-1.5847211594492656</x:v>
      </x:c>
      <x:c r="C4266" s="84" t="n">
        <x:f>SQRT('Resumen'!$B$5^3/3)*B4266</x:f>
        <x:v>-0.9149391879985294</x:v>
      </x:c>
      <x:c r="D4266" s="84" t="n">
        <x:f>C4266^2-'Resumen'!$B$5^3/3</x:f>
        <x:v>0.503780384402075</x:v>
      </x:c>
      <x:c r="E4266" s="85" t="n">
        <x:f>D4266+'Resumen'!$B$5^3/3</x:f>
        <x:v>0.8371137177354082</x:v>
      </x:c>
    </x:row>
    <x:row r="4267">
      <x:c r="A4267" s="89" t="n">
        <x:v>4265</x:v>
      </x:c>
      <x:c r="B4267" s="80" t="n">
        <x:v>-0.9445053076137286</x:v>
      </x:c>
      <x:c r="C4267" s="84" t="n">
        <x:f>SQRT('Resumen'!$B$5^3/3)*B4267</x:f>
        <x:v>-0.5453103936018164</x:v>
      </x:c>
      <x:c r="D4267" s="84" t="n">
        <x:f>C4267^2-'Resumen'!$B$5^3/3</x:f>
        <x:v>-0.03596990796316535</x:v>
      </x:c>
      <x:c r="E4267" s="85" t="n">
        <x:f>D4267+'Resumen'!$B$5^3/3</x:f>
        <x:v>0.29736342537016797</x:v>
      </x:c>
    </x:row>
    <x:row r="4268">
      <x:c r="A4268" s="89" t="n">
        <x:v>4266</x:v>
      </x:c>
      <x:c r="B4268" s="80" t="n">
        <x:v>0.6178083899985802</x:v>
      </x:c>
      <x:c r="C4268" s="84" t="n">
        <x:f>SQRT('Resumen'!$B$5^3/3)*B4268</x:f>
        <x:v>0.3566918402732896</x:v>
      </x:c>
      <x:c r="D4268" s="84" t="n">
        <x:f>C4268^2-'Resumen'!$B$5^3/3</x:f>
        <x:v>-0.20610426441578739</x:v>
      </x:c>
      <x:c r="E4268" s="85" t="n">
        <x:f>D4268+'Resumen'!$B$5^3/3</x:f>
        <x:v>0.12722906891754593</x:v>
      </x:c>
    </x:row>
    <x:row r="4269">
      <x:c r="A4269" s="89" t="n">
        <x:v>4267</x:v>
      </x:c>
      <x:c r="B4269" s="80" t="n">
        <x:v>-0.36126416347805523</x:v>
      </x:c>
      <x:c r="C4269" s="84" t="n">
        <x:f>SQRT('Resumen'!$B$5^3/3)*B4269</x:f>
        <x:v>-0.20857596203262013</x:v>
      </x:c>
      <x:c r="D4269" s="84" t="n">
        <x:f>C4269^2-'Resumen'!$B$5^3/3</x:f>
        <x:v>-0.28982940139550034</x:v>
      </x:c>
      <x:c r="E4269" s="85" t="n">
        <x:f>D4269+'Resumen'!$B$5^3/3</x:f>
        <x:v>0.043503931937832974</x:v>
      </x:c>
    </x:row>
    <x:row r="4270">
      <x:c r="A4270" s="89" t="n">
        <x:v>4268</x:v>
      </x:c>
      <x:c r="B4270" s="80" t="n">
        <x:v>-0.927464695892185</x:v>
      </x:c>
      <x:c r="C4270" s="84" t="n">
        <x:f>SQRT('Resumen'!$B$5^3/3)*B4270</x:f>
        <x:v>-0.5354719918372274</x:v>
      </x:c>
      <x:c r="D4270" s="84" t="n">
        <x:f>C4270^2-'Resumen'!$B$5^3/3</x:f>
        <x:v>-0.04660307929120561</x:v>
      </x:c>
      <x:c r="E4270" s="85" t="n">
        <x:f>D4270+'Resumen'!$B$5^3/3</x:f>
        <x:v>0.2867302540421277</x:v>
      </x:c>
    </x:row>
    <x:row r="4271">
      <x:c r="A4271" s="89" t="n">
        <x:v>4269</x:v>
      </x:c>
      <x:c r="B4271" s="80" t="n">
        <x:v>-0.11805920591397145</x:v>
      </x:c>
      <x:c r="C4271" s="84" t="n">
        <x:f>SQRT('Resumen'!$B$5^3/3)*B4271</x:f>
        <x:v>-0.06816151431474488</x:v>
      </x:c>
      <x:c r="D4271" s="84" t="n">
        <x:f>C4271^2-'Resumen'!$B$5^3/3</x:f>
        <x:v>-0.32868734129965416</x:v>
      </x:c>
      <x:c r="E4271" s="85" t="n">
        <x:f>D4271+'Resumen'!$B$5^3/3</x:f>
        <x:v>0.004645992033679158</x:v>
      </x:c>
    </x:row>
    <x:row r="4272">
      <x:c r="A4272" s="89" t="n">
        <x:v>4270</x:v>
      </x:c>
      <x:c r="B4272" s="80" t="n">
        <x:v>0.18818506997512446</x:v>
      </x:c>
      <x:c r="C4272" s="84" t="n">
        <x:f>SQRT('Resumen'!$B$5^3/3)*B4272</x:f>
        <x:v>0.10864870080760666</x:v>
      </x:c>
      <x:c r="D4272" s="84" t="n">
        <x:f>C4272^2-'Resumen'!$B$5^3/3</x:f>
        <x:v>-0.32152879314615246</x:v>
      </x:c>
      <x:c r="E4272" s="85" t="n">
        <x:f>D4272+'Resumen'!$B$5^3/3</x:f>
        <x:v>0.011804540187180856</x:v>
      </x:c>
    </x:row>
    <x:row r="4273">
      <x:c r="A4273" s="89" t="n">
        <x:v>4271</x:v>
      </x:c>
      <x:c r="B4273" s="80" t="n">
        <x:v>-0.29392792104114746</x:v>
      </x:c>
      <x:c r="C4273" s="84" t="n">
        <x:f>SQRT('Resumen'!$B$5^3/3)*B4273</x:f>
        <x:v>-0.16969936433545355</x:v>
      </x:c>
      <x:c r="D4273" s="84" t="n">
        <x:f>C4273^2-'Resumen'!$B$5^3/3</x:f>
        <x:v>-0.3045354590774763</x:v>
      </x:c>
      <x:c r="E4273" s="85" t="n">
        <x:f>D4273+'Resumen'!$B$5^3/3</x:f>
        <x:v>0.028797874255857003</x:v>
      </x:c>
    </x:row>
    <x:row r="4274">
      <x:c r="A4274" s="89" t="n">
        <x:v>4272</x:v>
      </x:c>
      <x:c r="B4274" s="80" t="n">
        <x:v>-0.16657553397706928</x:v>
      </x:c>
      <x:c r="C4274" s="84" t="n">
        <x:f>SQRT('Resumen'!$B$5^3/3)*B4274</x:f>
        <x:v>-0.0961724293820666</x:v>
      </x:c>
      <x:c r="D4274" s="84" t="n">
        <x:f>C4274^2-'Resumen'!$B$5^3/3</x:f>
        <x:v>-0.32408419716008474</x:v>
      </x:c>
      <x:c r="E4274" s="85" t="n">
        <x:f>D4274+'Resumen'!$B$5^3/3</x:f>
        <x:v>0.009249136173248573</x:v>
      </x:c>
    </x:row>
    <x:row r="4275">
      <x:c r="A4275" s="89" t="n">
        <x:v>4273</x:v>
      </x:c>
      <x:c r="B4275" s="80" t="n">
        <x:v>0.2923077778599978</x:v>
      </x:c>
      <x:c r="C4275" s="84" t="n">
        <x:f>SQRT('Resumen'!$B$5^3/3)*B4275</x:f>
        <x:v>0.16876397423369105</x:v>
      </x:c>
      <x:c r="D4275" s="84" t="n">
        <x:f>C4275^2-'Resumen'!$B$5^3/3</x:f>
        <x:v>-0.3048520543341834</x:v>
      </x:c>
      <x:c r="E4275" s="85" t="n">
        <x:f>D4275+'Resumen'!$B$5^3/3</x:f>
        <x:v>0.028481278999149928</x:v>
      </x:c>
    </x:row>
    <x:row r="4276">
      <x:c r="A4276" s="89" t="n">
        <x:v>4274</x:v>
      </x:c>
      <x:c r="B4276" s="80" t="n">
        <x:v>0.1087960819449236</x:v>
      </x:c>
      <x:c r="C4276" s="84" t="n">
        <x:f>SQRT('Resumen'!$B$5^3/3)*B4276</x:f>
        <x:v>0.06281344719767822</x:v>
      </x:c>
      <x:c r="D4276" s="84" t="n">
        <x:f>C4276^2-'Resumen'!$B$5^3/3</x:f>
        <x:v>-0.32938780418447783</x:v>
      </x:c>
      <x:c r="E4276" s="85" t="n">
        <x:f>D4276+'Resumen'!$B$5^3/3</x:f>
        <x:v>0.003945529148855487</x:v>
      </x:c>
    </x:row>
    <x:row r="4277">
      <x:c r="A4277" s="89" t="n">
        <x:v>4275</x:v>
      </x:c>
      <x:c r="B4277" s="80" t="n">
        <x:v>-0.004933256419465316</x:v>
      </x:c>
      <x:c r="C4277" s="84" t="n">
        <x:f>SQRT('Resumen'!$B$5^3/3)*B4277</x:f>
        <x:v>-0.0028482169217597495</x:v>
      </x:c>
      <x:c r="D4277" s="84" t="n">
        <x:f>C4277^2-'Resumen'!$B$5^3/3</x:f>
        <x:v>-0.33332522099369993</x:v>
      </x:c>
      <x:c r="E4277" s="85" t="n">
        <x:f>D4277+'Resumen'!$B$5^3/3</x:f>
        <x:v>0.000008112339633381538</x:v>
      </x:c>
    </x:row>
    <x:row r="4278">
      <x:c r="A4278" s="89" t="n">
        <x:v>4276</x:v>
      </x:c>
      <x:c r="B4278" s="80" t="n">
        <x:v>-0.059924582904214714</x:v>
      </x:c>
      <x:c r="C4278" s="84" t="n">
        <x:f>SQRT('Resumen'!$B$5^3/3)*B4278</x:f>
        <x:v>-0.03459747407082441</x:v>
      </x:c>
      <x:c r="D4278" s="84" t="n">
        <x:f>C4278^2-'Resumen'!$B$5^3/3</x:f>
        <x:v>-0.3321363481212519</x:v>
      </x:c>
      <x:c r="E4278" s="85" t="n">
        <x:f>D4278+'Resumen'!$B$5^3/3</x:f>
        <x:v>0.0011969852120813917</x:v>
      </x:c>
    </x:row>
    <x:row r="4279">
      <x:c r="A4279" s="89" t="n">
        <x:v>4277</x:v>
      </x:c>
      <x:c r="B4279" s="80" t="n">
        <x:v>-1.6153522488201593</x:v>
      </x:c>
      <x:c r="C4279" s="84" t="n">
        <x:f>SQRT('Resumen'!$B$5^3/3)*B4279</x:f>
        <x:v>-0.9326240556923863</x:v>
      </x:c>
      <x:c r="D4279" s="84" t="n">
        <x:f>C4279^2-'Resumen'!$B$5^3/3</x:f>
        <x:v>0.5364542959227818</x:v>
      </x:c>
      <x:c r="E4279" s="85" t="n">
        <x:f>D4279+'Resumen'!$B$5^3/3</x:f>
        <x:v>0.8697876292561151</x:v>
      </x:c>
    </x:row>
    <x:row r="4280">
      <x:c r="A4280" s="89" t="n">
        <x:v>4278</x:v>
      </x:c>
      <x:c r="B4280" s="80" t="n">
        <x:v>-0.3631372237279232</x:v>
      </x:c>
      <x:c r="C4280" s="84" t="n">
        <x:f>SQRT('Resumen'!$B$5^3/3)*B4280</x:f>
        <x:v>-0.2096573738720898</x:v>
      </x:c>
      <x:c r="D4280" s="84" t="n">
        <x:f>C4280^2-'Resumen'!$B$5^3/3</x:f>
        <x:v>-0.28937711891439205</x:v>
      </x:c>
      <x:c r="E4280" s="85" t="n">
        <x:f>D4280+'Resumen'!$B$5^3/3</x:f>
        <x:v>0.043956214418941264</x:v>
      </x:c>
    </x:row>
    <x:row r="4281">
      <x:c r="A4281" s="89" t="n">
        <x:v>4279</x:v>
      </x:c>
      <x:c r="B4281" s="80" t="n">
        <x:v>1.104578670748795</x:v>
      </x:c>
      <x:c r="C4281" s="84" t="n">
        <x:f>SQRT('Resumen'!$B$5^3/3)*B4281</x:f>
        <x:v>0.6377287928979357</x:v>
      </x:c>
      <x:c r="D4281" s="84" t="n">
        <x:f>C4281^2-'Resumen'!$B$5^3/3</x:f>
        <x:v>0.07336467995772489</x:v>
      </x:c>
      <x:c r="E4281" s="85" t="n">
        <x:f>D4281+'Resumen'!$B$5^3/3</x:f>
        <x:v>0.4066980132910582</x:v>
      </x:c>
    </x:row>
    <x:row r="4282">
      <x:c r="A4282" s="89" t="n">
        <x:v>4280</x:v>
      </x:c>
      <x:c r="B4282" s="80" t="n">
        <x:v>-0.47166432118568813</x:v>
      </x:c>
      <x:c r="C4282" s="84" t="n">
        <x:f>SQRT('Resumen'!$B$5^3/3)*B4282</x:f>
        <x:v>-0.27231552280369914</x:v>
      </x:c>
      <x:c r="D4282" s="84" t="n">
        <x:f>C4282^2-'Resumen'!$B$5^3/3</x:f>
        <x:v>-0.25917758937348134</x:v>
      </x:c>
      <x:c r="E4282" s="85" t="n">
        <x:f>D4282+'Resumen'!$B$5^3/3</x:f>
        <x:v>0.07415574395985197</x:v>
      </x:c>
    </x:row>
    <x:row r="4283">
      <x:c r="A4283" s="89" t="n">
        <x:v>4281</x:v>
      </x:c>
      <x:c r="B4283" s="80" t="n">
        <x:v>0.8723109552968982</x:v>
      </x:c>
      <x:c r="C4283" s="84" t="n">
        <x:f>SQRT('Resumen'!$B$5^3/3)*B4283</x:f>
        <x:v>0.5036289648577237</x:v>
      </x:c>
      <x:c r="D4283" s="84" t="n">
        <x:f>C4283^2-'Resumen'!$B$5^3/3</x:f>
        <x:v>-0.07969119908967104</x:v>
      </x:c>
      <x:c r="E4283" s="85" t="n">
        <x:f>D4283+'Resumen'!$B$5^3/3</x:f>
        <x:v>0.2536421342436623</x:v>
      </x:c>
    </x:row>
    <x:row r="4284">
      <x:c r="A4284" s="89" t="n">
        <x:v>4282</x:v>
      </x:c>
      <x:c r="B4284" s="80" t="n">
        <x:v>1.5921331733698936</x:v>
      </x:c>
      <x:c r="C4284" s="84" t="n">
        <x:f>SQRT('Resumen'!$B$5^3/3)*B4284</x:f>
        <x:v>0.919218516230841</x:v>
      </x:c>
      <x:c r="D4284" s="84" t="n">
        <x:f>C4284^2-'Resumen'!$B$5^3/3</x:f>
        <x:v>0.5116293472482958</x:v>
      </x:c>
      <x:c r="E4284" s="85" t="n">
        <x:f>D4284+'Resumen'!$B$5^3/3</x:f>
        <x:v>0.844962680581629</x:v>
      </x:c>
    </x:row>
    <x:row r="4285">
      <x:c r="A4285" s="89" t="n">
        <x:v>4283</x:v>
      </x:c>
      <x:c r="B4285" s="80" t="n">
        <x:v>0.22153540796173737</x:v>
      </x:c>
      <x:c r="C4285" s="84" t="n">
        <x:f>SQRT('Resumen'!$B$5^3/3)*B4285</x:f>
        <x:v>0.12790352742174263</x:v>
      </x:c>
      <x:c r="D4285" s="84" t="n">
        <x:f>C4285^2-'Resumen'!$B$5^3/3</x:f>
        <x:v>-0.31697402100640887</x:v>
      </x:c>
      <x:c r="E4285" s="85" t="n">
        <x:f>D4285+'Resumen'!$B$5^3/3</x:f>
        <x:v>0.016359312326924447</x:v>
      </x:c>
    </x:row>
    <x:row r="4286">
      <x:c r="A4286" s="89" t="n">
        <x:v>4284</x:v>
      </x:c>
      <x:c r="B4286" s="80" t="n">
        <x:v>0.4255697827045725</x:v>
      </x:c>
      <x:c r="C4286" s="84" t="n">
        <x:f>SQRT('Resumen'!$B$5^3/3)*B4286</x:f>
        <x:v>0.24570282860345546</x:v>
      </x:c>
      <x:c r="D4286" s="84" t="n">
        <x:f>C4286^2-'Resumen'!$B$5^3/3</x:f>
        <x:v>-0.2729634533495943</x:v>
      </x:c>
      <x:c r="E4286" s="85" t="n">
        <x:f>D4286+'Resumen'!$B$5^3/3</x:f>
        <x:v>0.060369879983738994</x:v>
      </x:c>
    </x:row>
    <x:row r="4287">
      <x:c r="A4287" s="89" t="n">
        <x:v>4285</x:v>
      </x:c>
      <x:c r="B4287" s="80" t="n">
        <x:v>-1.6977763309280214</x:v>
      </x:c>
      <x:c r="C4287" s="84" t="n">
        <x:f>SQRT('Resumen'!$B$5^3/3)*B4287</x:f>
        <x:v>-0.9802116216850683</x:v>
      </x:c>
      <x:c r="D4287" s="84" t="n">
        <x:f>C4287^2-'Resumen'!$B$5^3/3</x:f>
        <x:v>0.627481489953138</x:v>
      </x:c>
      <x:c r="E4287" s="85" t="n">
        <x:f>D4287+'Resumen'!$B$5^3/3</x:f>
        <x:v>0.9608148232864713</x:v>
      </x:c>
    </x:row>
    <x:row r="4288">
      <x:c r="A4288" s="89" t="n">
        <x:v>4286</x:v>
      </x:c>
      <x:c r="B4288" s="80" t="n">
        <x:v>0.004901203411504676</x:v>
      </x:c>
      <x:c r="C4288" s="84" t="n">
        <x:f>SQRT('Resumen'!$B$5^3/3)*B4288</x:f>
        <x:v>0.0028297111089853363</x:v>
      </x:c>
      <x:c r="D4288" s="84" t="n">
        <x:f>C4288^2-'Resumen'!$B$5^3/3</x:f>
        <x:v>-0.333325326068373</x:v>
      </x:c>
      <x:c r="E4288" s="85" t="n">
        <x:f>D4288+'Resumen'!$B$5^3/3</x:f>
        <x:v>0.000008007264960308014</x:v>
      </x:c>
    </x:row>
    <x:row r="4289">
      <x:c r="A4289" s="89" t="n">
        <x:v>4287</x:v>
      </x:c>
      <x:c r="B4289" s="80" t="n">
        <x:v>-0.7856817794341739</x:v>
      </x:c>
      <x:c r="C4289" s="84" t="n">
        <x:f>SQRT('Resumen'!$B$5^3/3)*B4289</x:f>
        <x:v>-0.45361358685370445</x:v>
      </x:c>
      <x:c r="D4289" s="84" t="n">
        <x:f>C4289^2-'Resumen'!$B$5^3/3</x:f>
        <x:v>-0.12756804715505005</x:v>
      </x:c>
      <x:c r="E4289" s="85" t="n">
        <x:f>D4289+'Resumen'!$B$5^3/3</x:f>
        <x:v>0.20576528617828327</x:v>
      </x:c>
    </x:row>
    <x:row r="4290">
      <x:c r="A4290" s="89" t="n">
        <x:v>4288</x:v>
      </x:c>
      <x:c r="B4290" s="80" t="n">
        <x:v>-0.8816446524612038</x:v>
      </x:c>
      <x:c r="C4290" s="84" t="n">
        <x:f>SQRT('Resumen'!$B$5^3/3)*B4290</x:f>
        <x:v>-0.5090177774280701</x:v>
      </x:c>
      <x:c r="D4290" s="84" t="n">
        <x:f>C4290^2-'Resumen'!$B$5^3/3</x:f>
        <x:v>-0.074234235595521</x:v>
      </x:c>
      <x:c r="E4290" s="85" t="n">
        <x:f>D4290+'Resumen'!$B$5^3/3</x:f>
        <x:v>0.2590990977378123</x:v>
      </x:c>
    </x:row>
    <x:row r="4291">
      <x:c r="A4291" s="89" t="n">
        <x:v>4289</x:v>
      </x:c>
      <x:c r="B4291" s="80" t="n">
        <x:v>0.737638481592816</x:v>
      </x:c>
      <x:c r="C4291" s="84" t="n">
        <x:f>SQRT('Resumen'!$B$5^3/3)*B4291</x:f>
        <x:v>0.4258757759122391</x:v>
      </x:c>
      <x:c r="D4291" s="84" t="n">
        <x:f>C4291^2-'Resumen'!$B$5^3/3</x:f>
        <x:v>-0.15196315682448164</x:v>
      </x:c>
      <x:c r="E4291" s="85" t="n">
        <x:f>D4291+'Resumen'!$B$5^3/3</x:f>
        <x:v>0.18137017650885168</x:v>
      </x:c>
    </x:row>
    <x:row r="4292">
      <x:c r="A4292" s="89" t="n">
        <x:v>4290</x:v>
      </x:c>
      <x:c r="B4292" s="80" t="n">
        <x:v>-0.9469123154726725</x:v>
      </x:c>
      <x:c r="C4292" s="84" t="n">
        <x:f>SQRT('Resumen'!$B$5^3/3)*B4292</x:f>
        <x:v>-0.5467000802371192</x:v>
      </x:c>
      <x:c r="D4292" s="84" t="n">
        <x:f>C4292^2-'Resumen'!$B$5^3/3</x:f>
        <x:v>-0.03445235560206067</x:v>
      </x:c>
      <x:c r="E4292" s="85" t="n">
        <x:f>D4292+'Resumen'!$B$5^3/3</x:f>
        <x:v>0.29888097773127265</x:v>
      </x:c>
    </x:row>
    <x:row r="4293">
      <x:c r="A4293" s="89" t="n">
        <x:v>4291</x:v>
      </x:c>
      <x:c r="B4293" s="80" t="n">
        <x:v>0.7853112560124204</x:v>
      </x:c>
      <x:c r="C4293" s="84" t="n">
        <x:f>SQRT('Resumen'!$B$5^3/3)*B4293</x:f>
        <x:v>0.453399665056414</x:v>
      </x:c>
      <x:c r="D4293" s="84" t="n">
        <x:f>C4293^2-'Resumen'!$B$5^3/3</x:f>
        <x:v>-0.12776207706006493</x:v>
      </x:c>
      <x:c r="E4293" s="85" t="n">
        <x:f>D4293+'Resumen'!$B$5^3/3</x:f>
        <x:v>0.2055712562732684</x:v>
      </x:c>
    </x:row>
    <x:row r="4294">
      <x:c r="A4294" s="89" t="n">
        <x:v>4292</x:v>
      </x:c>
      <x:c r="B4294" s="80" t="n">
        <x:v>0.653025954790748</x:v>
      </x:c>
      <x:c r="C4294" s="84" t="n">
        <x:f>SQRT('Resumen'!$B$5^3/3)*B4294</x:f>
        <x:v>0.3770247107862507</x:v>
      </x:c>
      <x:c r="D4294" s="84" t="n">
        <x:f>C4294^2-'Resumen'!$B$5^3/3</x:f>
        <x:v>-0.19118570078987732</x:v>
      </x:c>
      <x:c r="E4294" s="85" t="n">
        <x:f>D4294+'Resumen'!$B$5^3/3</x:f>
        <x:v>0.142147632543456</x:v>
      </x:c>
    </x:row>
    <x:row r="4295">
      <x:c r="A4295" s="89" t="n">
        <x:v>4293</x:v>
      </x:c>
      <x:c r="B4295" s="80" t="n">
        <x:v>0.8478283815385133</x:v>
      </x:c>
      <x:c r="C4295" s="84" t="n">
        <x:f>SQRT('Resumen'!$B$5^3/3)*B4295</x:f>
        <x:v>0.48949394430786536</x:v>
      </x:c>
      <x:c r="D4295" s="84" t="n">
        <x:f>C4295^2-'Resumen'!$B$5^3/3</x:f>
        <x:v>-0.09372901181926171</x:v>
      </x:c>
      <x:c r="E4295" s="85" t="n">
        <x:f>D4295+'Resumen'!$B$5^3/3</x:f>
        <x:v>0.2396043215140716</x:v>
      </x:c>
    </x:row>
    <x:row r="4296">
      <x:c r="A4296" s="89" t="n">
        <x:v>4294</x:v>
      </x:c>
      <x:c r="B4296" s="80" t="n">
        <x:v>-0.4011669407487507</x:v>
      </x:c>
      <x:c r="C4296" s="84" t="n">
        <x:f>SQRT('Resumen'!$B$5^3/3)*B4296</x:f>
        <x:v>-0.23161384123126985</x:v>
      </x:c>
      <x:c r="D4296" s="84" t="n">
        <x:f>C4296^2-'Resumen'!$B$5^3/3</x:f>
        <x:v>-0.27968836188342944</x:v>
      </x:c>
      <x:c r="E4296" s="85" t="n">
        <x:f>D4296+'Resumen'!$B$5^3/3</x:f>
        <x:v>0.05364497144990388</x:v>
      </x:c>
    </x:row>
    <x:row r="4297">
      <x:c r="A4297" s="89" t="n">
        <x:v>4295</x:v>
      </x:c>
      <x:c r="B4297" s="80" t="n">
        <x:v>-0.9204558722973545</x:v>
      </x:c>
      <x:c r="C4297" s="84" t="n">
        <x:f>SQRT('Resumen'!$B$5^3/3)*B4297</x:f>
        <x:v>-0.5314254456480494</x:v>
      </x:c>
      <x:c r="D4297" s="84" t="n">
        <x:f>C4297^2-'Resumen'!$B$5^3/3</x:f>
        <x:v>-0.05092032905110544</x:v>
      </x:c>
      <x:c r="E4297" s="85" t="n">
        <x:f>D4297+'Resumen'!$B$5^3/3</x:f>
        <x:v>0.2824130042822279</x:v>
      </x:c>
    </x:row>
    <x:row r="4298">
      <x:c r="A4298" s="89" t="n">
        <x:v>4296</x:v>
      </x:c>
      <x:c r="B4298" s="80" t="n">
        <x:v>0.6429788306834162</x:v>
      </x:c>
      <x:c r="C4298" s="84" t="n">
        <x:f>SQRT('Resumen'!$B$5^3/3)*B4298</x:f>
        <x:v>0.37122400097830116</x:v>
      </x:c>
      <x:c r="D4298" s="84" t="n">
        <x:f>C4298^2-'Resumen'!$B$5^3/3</x:f>
        <x:v>-0.19552607443099557</x:v>
      </x:c>
      <x:c r="E4298" s="85" t="n">
        <x:f>D4298+'Resumen'!$B$5^3/3</x:f>
        <x:v>0.13780725890233775</x:v>
      </x:c>
    </x:row>
    <x:row r="4299">
      <x:c r="A4299" s="89" t="n">
        <x:v>4297</x:v>
      </x:c>
      <x:c r="B4299" s="80" t="n">
        <x:v>-0.10711478562438093</x:v>
      </x:c>
      <x:c r="C4299" s="84" t="n">
        <x:f>SQRT('Resumen'!$B$5^3/3)*B4299</x:f>
        <x:v>-0.06184275031442538</x:v>
      </x:c>
      <x:c r="D4299" s="84" t="n">
        <x:f>C4299^2-'Resumen'!$B$5^3/3</x:f>
        <x:v>-0.32950880756688095</x:v>
      </x:c>
      <x:c r="E4299" s="85" t="n">
        <x:f>D4299+'Resumen'!$B$5^3/3</x:f>
        <x:v>0.003824525766452369</x:v>
      </x:c>
    </x:row>
    <x:row r="4300">
      <x:c r="A4300" s="89" t="n">
        <x:v>4298</x:v>
      </x:c>
      <x:c r="B4300" s="80" t="n">
        <x:v>-1.6642083504029241</x:v>
      </x:c>
      <x:c r="C4300" s="84" t="n">
        <x:f>SQRT('Resumen'!$B$5^3/3)*B4300</x:f>
        <x:v>-0.9608311390927512</x:v>
      </x:c>
      <x:c r="D4300" s="84" t="n">
        <x:f>C4300^2-'Resumen'!$B$5^3/3</x:f>
        <x:v>0.5898631445169404</x:v>
      </x:c>
      <x:c r="E4300" s="85" t="n">
        <x:f>D4300+'Resumen'!$B$5^3/3</x:f>
        <x:v>0.9231964778502737</x:v>
      </x:c>
    </x:row>
    <x:row r="4301">
      <x:c r="A4301" s="89" t="n">
        <x:v>4299</x:v>
      </x:c>
      <x:c r="B4301" s="80" t="n">
        <x:v>-0.9267315701906627</x:v>
      </x:c>
      <x:c r="C4301" s="84" t="n">
        <x:f>SQRT('Resumen'!$B$5^3/3)*B4301</x:f>
        <x:v>-0.5350487215161036</x:v>
      </x:c>
      <x:c r="D4301" s="84" t="n">
        <x:f>C4301^2-'Resumen'!$B$5^3/3</x:f>
        <x:v>-0.04705619893731633</x:v>
      </x:c>
      <x:c r="E4301" s="85" t="n">
        <x:f>D4301+'Resumen'!$B$5^3/3</x:f>
        <x:v>0.286277134396017</x:v>
      </x:c>
    </x:row>
    <x:row r="4302">
      <x:c r="A4302" s="89" t="n">
        <x:v>4300</x:v>
      </x:c>
      <x:c r="B4302" s="80" t="n">
        <x:v>0.5070826488773154</x:v>
      </x:c>
      <x:c r="C4302" s="84" t="n">
        <x:f>SQRT('Resumen'!$B$5^3/3)*B4302</x:f>
        <x:v>0.2927643038307065</x:v>
      </x:c>
      <x:c r="D4302" s="84" t="n">
        <x:f>C4302^2-'Resumen'!$B$5^3/3</x:f>
        <x:v>-0.2476223957358551</x:v>
      </x:c>
      <x:c r="E4302" s="85" t="n">
        <x:f>D4302+'Resumen'!$B$5^3/3</x:f>
        <x:v>0.08571093759747822</x:v>
      </x:c>
    </x:row>
    <x:row r="4303">
      <x:c r="A4303" s="89" t="n">
        <x:v>4301</x:v>
      </x:c>
      <x:c r="B4303" s="80" t="n">
        <x:v>2.2769035171955285</x:v>
      </x:c>
      <x:c r="C4303" s="84" t="n">
        <x:f>SQRT('Resumen'!$B$5^3/3)*B4303</x:f>
        <x:v>1.314570858571644</x:v>
      </x:c>
      <x:c r="D4303" s="84" t="n">
        <x:f>C4303^2-'Resumen'!$B$5^3/3</x:f>
        <x:v>1.394763208872456</x:v>
      </x:c>
      <x:c r="E4303" s="85" t="n">
        <x:f>D4303+'Resumen'!$B$5^3/3</x:f>
        <x:v>1.7280965422057892</x:v>
      </x:c>
    </x:row>
    <x:row r="4304">
      <x:c r="A4304" s="89" t="n">
        <x:v>4302</x:v>
      </x:c>
      <x:c r="B4304" s="80" t="n">
        <x:v>0.9081008758354054</x:v>
      </x:c>
      <x:c r="C4304" s="84" t="n">
        <x:f>SQRT('Resumen'!$B$5^3/3)*B4304</x:f>
        <x:v>0.5242922851149062</x:v>
      </x:c>
      <x:c r="D4304" s="84" t="n">
        <x:f>C4304^2-'Resumen'!$B$5^3/3</x:f>
        <x:v>-0.05845093310232319</x:v>
      </x:c>
      <x:c r="E4304" s="85" t="n">
        <x:f>D4304+'Resumen'!$B$5^3/3</x:f>
        <x:v>0.2748824002310101</x:v>
      </x:c>
    </x:row>
    <x:row r="4305">
      <x:c r="A4305" s="89" t="n">
        <x:v>4303</x:v>
      </x:c>
      <x:c r="B4305" s="80" t="n">
        <x:v>0.261302682089418</x:v>
      </x:c>
      <x:c r="C4305" s="84" t="n">
        <x:f>SQRT('Resumen'!$B$5^3/3)*B4305</x:f>
        <x:v>0.15086317384429668</x:v>
      </x:c>
      <x:c r="D4305" s="84" t="n">
        <x:f>C4305^2-'Resumen'!$B$5^3/3</x:f>
        <x:v>-0.31057363611095884</x:v>
      </x:c>
      <x:c r="E4305" s="85" t="n">
        <x:f>D4305+'Resumen'!$B$5^3/3</x:f>
        <x:v>0.022759697222374475</x:v>
      </x:c>
    </x:row>
    <x:row r="4306">
      <x:c r="A4306" s="89" t="n">
        <x:v>4304</x:v>
      </x:c>
      <x:c r="B4306" s="80" t="n">
        <x:v>-0.49870967679927525</x:v>
      </x:c>
      <x:c r="C4306" s="84" t="n">
        <x:f>SQRT('Resumen'!$B$5^3/3)*B4306</x:f>
        <x:v>-0.2879301661475328</x:v>
      </x:c>
      <x:c r="D4306" s="84" t="n">
        <x:f>C4306^2-'Resumen'!$B$5^3/3</x:f>
        <x:v>-0.2504295527555875</x:v>
      </x:c>
      <x:c r="E4306" s="85" t="n">
        <x:f>D4306+'Resumen'!$B$5^3/3</x:f>
        <x:v>0.08290378057774583</x:v>
      </x:c>
    </x:row>
    <x:row r="4307">
      <x:c r="A4307" s="89" t="n">
        <x:v>4305</x:v>
      </x:c>
      <x:c r="B4307" s="80" t="n">
        <x:v>-2.357822031605172</x:v>
      </x:c>
      <x:c r="C4307" s="84" t="n">
        <x:f>SQRT('Resumen'!$B$5^3/3)*B4307</x:f>
        <x:v>-1.3612891846484763</x:v>
      </x:c>
      <x:c r="D4307" s="84" t="n">
        <x:f>C4307^2-'Resumen'!$B$5^3/3</x:f>
        <x:v>1.51977491090758</x:v>
      </x:c>
      <x:c r="E4307" s="85" t="n">
        <x:f>D4307+'Resumen'!$B$5^3/3</x:f>
        <x:v>1.8531082442409132</x:v>
      </x:c>
    </x:row>
    <x:row r="4308">
      <x:c r="A4308" s="89" t="n">
        <x:v>4306</x:v>
      </x:c>
      <x:c r="B4308" s="80" t="n">
        <x:v>-0.40907959886534706</x:v>
      </x:c>
      <x:c r="C4308" s="84" t="n">
        <x:f>SQRT('Resumen'!$B$5^3/3)*B4308</x:f>
        <x:v>-0.23618221652489224</x:v>
      </x:c>
      <x:c r="D4308" s="84" t="n">
        <x:f>C4308^2-'Resumen'!$B$5^3/3</x:f>
        <x:v>-0.27755129393072225</x:v>
      </x:c>
      <x:c r="E4308" s="85" t="n">
        <x:f>D4308+'Resumen'!$B$5^3/3</x:f>
        <x:v>0.05578203940261106</x:v>
      </x:c>
    </x:row>
    <x:row r="4309">
      <x:c r="A4309" s="89" t="n">
        <x:v>4307</x:v>
      </x:c>
      <x:c r="B4309" s="80" t="n">
        <x:v>0.16056020120238565</x:v>
      </x:c>
      <x:c r="C4309" s="84" t="n">
        <x:f>SQRT('Resumen'!$B$5^3/3)*B4309</x:f>
        <x:v>0.09269947538533782</x:v>
      </x:c>
      <x:c r="D4309" s="84" t="n">
        <x:f>C4309^2-'Resumen'!$B$5^3/3</x:f>
        <x:v>-0.3247401405966165</x:v>
      </x:c>
      <x:c r="E4309" s="85" t="n">
        <x:f>D4309+'Resumen'!$B$5^3/3</x:f>
        <x:v>0.008593192736716826</x:v>
      </x:c>
    </x:row>
    <x:row r="4310">
      <x:c r="A4310" s="89" t="n">
        <x:v>4308</x:v>
      </x:c>
      <x:c r="B4310" s="80" t="n">
        <x:v>-0.4991298842158416</x:v>
      </x:c>
      <x:c r="C4310" s="84" t="n">
        <x:f>SQRT('Resumen'!$B$5^3/3)*B4310</x:f>
        <x:v>-0.28817277301260286</x:v>
      </x:c>
      <x:c r="D4310" s="84" t="n">
        <x:f>C4310^2-'Resumen'!$B$5^3/3</x:f>
        <x:v>-0.25028978622756015</x:v>
      </x:c>
      <x:c r="E4310" s="85" t="n">
        <x:f>D4310+'Resumen'!$B$5^3/3</x:f>
        <x:v>0.08304354710577316</x:v>
      </x:c>
    </x:row>
    <x:row r="4311">
      <x:c r="A4311" s="89" t="n">
        <x:v>4309</x:v>
      </x:c>
      <x:c r="B4311" s="80" t="n">
        <x:v>-0.1298773468087816</x:v>
      </x:c>
      <x:c r="C4311" s="84" t="n">
        <x:f>SQRT('Resumen'!$B$5^3/3)*B4311</x:f>
        <x:v>-0.07498472114168443</x:v>
      </x:c>
      <x:c r="D4311" s="84" t="n">
        <x:f>C4311^2-'Resumen'!$B$5^3/3</x:f>
        <x:v>-0.3277106249286371</x:v>
      </x:c>
      <x:c r="E4311" s="85" t="n">
        <x:f>D4311+'Resumen'!$B$5^3/3</x:f>
        <x:v>0.005622708404696197</x:v>
      </x:c>
    </x:row>
    <x:row r="4312">
      <x:c r="A4312" s="89" t="n">
        <x:v>4310</x:v>
      </x:c>
      <x:c r="B4312" s="80" t="n">
        <x:v>0.5732501813098986</x:v>
      </x:c>
      <x:c r="C4312" s="84" t="n">
        <x:f>SQRT('Resumen'!$B$5^3/3)*B4312</x:f>
        <x:v>0.3309661464922717</x:v>
      </x:c>
      <x:c r="D4312" s="84" t="n">
        <x:f>C4312^2-'Resumen'!$B$5^3/3</x:f>
        <x:v>-0.22379474320938947</x:v>
      </x:c>
      <x:c r="E4312" s="85" t="n">
        <x:f>D4312+'Resumen'!$B$5^3/3</x:f>
        <x:v>0.10953859012394385</x:v>
      </x:c>
    </x:row>
    <x:row r="4313">
      <x:c r="A4313" s="89" t="n">
        <x:v>4311</x:v>
      </x:c>
      <x:c r="B4313" s="80" t="n">
        <x:v>0.27615363398318177</x:v>
      </x:c>
      <x:c r="C4313" s="84" t="n">
        <x:f>SQRT('Resumen'!$B$5^3/3)*B4313</x:f>
        <x:v>0.15943737491788337</x:v>
      </x:c>
      <x:c r="D4313" s="84" t="n">
        <x:f>C4313^2-'Resumen'!$B$5^3/3</x:f>
        <x:v>-0.3079130568126276</x:v>
      </x:c>
      <x:c r="E4313" s="85" t="n">
        <x:f>D4313+'Resumen'!$B$5^3/3</x:f>
        <x:v>0.02542027652070572</x:v>
      </x:c>
    </x:row>
    <x:row r="4314">
      <x:c r="A4314" s="89" t="n">
        <x:v>4312</x:v>
      </x:c>
      <x:c r="B4314" s="80" t="n">
        <x:v>0.7486268179726437</x:v>
      </x:c>
      <x:c r="C4314" s="84" t="n">
        <x:f>SQRT('Resumen'!$B$5^3/3)*B4314</x:f>
        <x:v>0.4322198948790788</x:v>
      </x:c>
      <x:c r="D4314" s="84" t="n">
        <x:f>C4314^2-'Resumen'!$B$5^3/3</x:f>
        <x:v>-0.14651929580405137</x:v>
      </x:c>
      <x:c r="E4314" s="85" t="n">
        <x:f>D4314+'Resumen'!$B$5^3/3</x:f>
        <x:v>0.18681403752928194</x:v>
      </x:c>
    </x:row>
    <x:row r="4315">
      <x:c r="A4315" s="89" t="n">
        <x:v>4313</x:v>
      </x:c>
      <x:c r="B4315" s="80" t="n">
        <x:v>0.9791698169222345</x:v>
      </x:c>
      <x:c r="C4315" s="84" t="n">
        <x:f>SQRT('Resumen'!$B$5^3/3)*B4315</x:f>
        <x:v>0.5653239573824086</x:v>
      </x:c>
      <x:c r="D4315" s="84" t="n">
        <x:f>C4315^2-'Resumen'!$B$5^3/3</x:f>
        <x:v>-0.013742156542826012</x:v>
      </x:c>
      <x:c r="E4315" s="85" t="n">
        <x:f>D4315+'Resumen'!$B$5^3/3</x:f>
        <x:v>0.3195911767905073</x:v>
      </x:c>
    </x:row>
    <x:row r="4316">
      <x:c r="A4316" s="89" t="n">
        <x:v>4314</x:v>
      </x:c>
      <x:c r="B4316" s="80" t="n">
        <x:v>-0.5008090636554808</x:v>
      </x:c>
      <x:c r="C4316" s="84" t="n">
        <x:f>SQRT('Resumen'!$B$5^3/3)*B4316</x:f>
        <x:v>-0.28914224771409625</x:v>
      </x:c>
      <x:c r="D4316" s="84" t="n">
        <x:f>C4316^2-'Resumen'!$B$5^3/3</x:f>
        <x:v>-0.24973009392017353</x:v>
      </x:c>
      <x:c r="E4316" s="85" t="n">
        <x:f>D4316+'Resumen'!$B$5^3/3</x:f>
        <x:v>0.08360323941315978</x:v>
      </x:c>
    </x:row>
    <x:row r="4317">
      <x:c r="A4317" s="89" t="n">
        <x:v>4315</x:v>
      </x:c>
      <x:c r="B4317" s="80" t="n">
        <x:v>1.3904238648156961</x:v>
      </x:c>
      <x:c r="C4317" s="84" t="n">
        <x:f>SQRT('Resumen'!$B$5^3/3)*B4317</x:f>
        <x:v>0.8027615926390219</x:v>
      </x:c>
      <x:c r="D4317" s="84" t="n">
        <x:f>C4317^2-'Resumen'!$B$5^3/3</x:f>
        <x:v>0.3110928412830057</x:v>
      </x:c>
      <x:c r="E4317" s="85" t="n">
        <x:f>D4317+'Resumen'!$B$5^3/3</x:f>
        <x:v>0.644426174616339</x:v>
      </x:c>
    </x:row>
    <x:row r="4318">
      <x:c r="A4318" s="89" t="n">
        <x:v>4316</x:v>
      </x:c>
      <x:c r="B4318" s="80" t="n">
        <x:v>0.984092093048826</x:v>
      </x:c>
      <x:c r="C4318" s="84" t="n">
        <x:f>SQRT('Resumen'!$B$5^3/3)*B4318</x:f>
        <x:v>0.568165834829122</x:v>
      </x:c>
      <x:c r="D4318" s="84" t="n">
        <x:f>C4318^2-'Resumen'!$B$5^3/3</x:f>
        <x:v>-0.010520917466260216</x:v>
      </x:c>
      <x:c r="E4318" s="85" t="n">
        <x:f>D4318+'Resumen'!$B$5^3/3</x:f>
        <x:v>0.3228124158670731</x:v>
      </x:c>
    </x:row>
    <x:row r="4319">
      <x:c r="A4319" s="89" t="n">
        <x:v>4317</x:v>
      </x:c>
      <x:c r="B4319" s="80" t="n">
        <x:v>0.45147875762684825</x:v>
      </x:c>
      <x:c r="C4319" s="84" t="n">
        <x:f>SQRT('Resumen'!$B$5^3/3)*B4319</x:f>
        <x:v>0.2606613822492586</x:v>
      </x:c>
      <x:c r="D4319" s="84" t="n">
        <x:f>C4319^2-'Resumen'!$B$5^3/3</x:f>
        <x:v>-0.2653889771372392</x:v>
      </x:c>
      <x:c r="E4319" s="85" t="n">
        <x:f>D4319+'Resumen'!$B$5^3/3</x:f>
        <x:v>0.06794435619609412</x:v>
      </x:c>
    </x:row>
    <x:row r="4320">
      <x:c r="A4320" s="89" t="n">
        <x:v>4318</x:v>
      </x:c>
      <x:c r="B4320" s="80" t="n">
        <x:v>-1.0760556749763854</x:v>
      </x:c>
      <x:c r="C4320" s="84" t="n">
        <x:f>SQRT('Resumen'!$B$5^3/3)*B4320</x:f>
        <x:v>-0.6212610336106406</x:v>
      </x:c>
      <x:c r="D4320" s="84" t="n">
        <x:f>C4320^2-'Resumen'!$B$5^3/3</x:f>
        <x:v>0.052631938549628166</x:v>
      </x:c>
      <x:c r="E4320" s="85" t="n">
        <x:f>D4320+'Resumen'!$B$5^3/3</x:f>
        <x:v>0.3859652718829615</x:v>
      </x:c>
    </x:row>
    <x:row r="4321">
      <x:c r="A4321" s="89" t="n">
        <x:v>4319</x:v>
      </x:c>
      <x:c r="B4321" s="80" t="n">
        <x:v>-0.33323828136334976</x:v>
      </x:c>
      <x:c r="C4321" s="84" t="n">
        <x:f>SQRT('Resumen'!$B$5^3/3)*B4321</x:f>
        <x:v>-0.19239521144941824</x:v>
      </x:c>
      <x:c r="D4321" s="84" t="n">
        <x:f>C4321^2-'Resumen'!$B$5^3/3</x:f>
        <x:v>-0.296317415944667</x:v>
      </x:c>
      <x:c r="E4321" s="85" t="n">
        <x:f>D4321+'Resumen'!$B$5^3/3</x:f>
        <x:v>0.03701591738866633</x:v>
      </x:c>
    </x:row>
    <x:row r="4322">
      <x:c r="A4322" s="89" t="n">
        <x:v>4320</x:v>
      </x:c>
      <x:c r="B4322" s="80" t="n">
        <x:v>2.226241927906218</x:v>
      </x:c>
      <x:c r="C4322" s="84" t="n">
        <x:f>SQRT('Resumen'!$B$5^3/3)*B4322</x:f>
        <x:v>1.2853213763578863</x:v>
      </x:c>
      <x:c r="D4322" s="84" t="n">
        <x:f>C4322^2-'Resumen'!$B$5^3/3</x:f>
        <x:v>1.318717707189198</x:v>
      </x:c>
      <x:c r="E4322" s="85" t="n">
        <x:f>D4322+'Resumen'!$B$5^3/3</x:f>
        <x:v>1.6520510405225313</x:v>
      </x:c>
    </x:row>
    <x:row r="4323">
      <x:c r="A4323" s="89" t="n">
        <x:v>4321</x:v>
      </x:c>
      <x:c r="B4323" s="80" t="n">
        <x:v>-0.8340190799163053</x:v>
      </x:c>
      <x:c r="C4323" s="84" t="n">
        <x:f>SQRT('Resumen'!$B$5^3/3)*B4323</x:f>
        <x:v>-0.48152114029896287</x:v>
      </x:c>
      <x:c r="D4323" s="84" t="n">
        <x:f>C4323^2-'Resumen'!$B$5^3/3</x:f>
        <x:v>-0.10147072477851984</x:v>
      </x:c>
      <x:c r="E4323" s="85" t="n">
        <x:f>D4323+'Resumen'!$B$5^3/3</x:f>
        <x:v>0.23186260855481347</x:v>
      </x:c>
    </x:row>
    <x:row r="4324">
      <x:c r="A4324" s="89" t="n">
        <x:v>4322</x:v>
      </x:c>
      <x:c r="B4324" s="80" t="n">
        <x:v>0.03507174400489946</x:v>
      </x:c>
      <x:c r="C4324" s="84" t="n">
        <x:f>SQRT('Resumen'!$B$5^3/3)*B4324</x:f>
        <x:v>0.020248680842178346</x:v>
      </x:c>
      <x:c r="D4324" s="84" t="n">
        <x:f>C4324^2-'Resumen'!$B$5^3/3</x:f>
        <x:v>-0.3329233242574849</x:v>
      </x:c>
      <x:c r="E4324" s="85" t="n">
        <x:f>D4324+'Resumen'!$B$5^3/3</x:f>
        <x:v>0.0004100090758484276</x:v>
      </x:c>
    </x:row>
    <x:row r="4325">
      <x:c r="A4325" s="89" t="n">
        <x:v>4323</x:v>
      </x:c>
      <x:c r="B4325" s="80" t="n">
        <x:v>-0.7708544771234107</x:v>
      </x:c>
      <x:c r="C4325" s="84" t="n">
        <x:f>SQRT('Resumen'!$B$5^3/3)*B4325</x:f>
        <x:v>-0.44505303987322936</x:v>
      </x:c>
      <x:c r="D4325" s="84" t="n">
        <x:f>C4325^2-'Resumen'!$B$5^3/3</x:f>
        <x:v>-0.13526112503293103</x:v>
      </x:c>
      <x:c r="E4325" s="85" t="n">
        <x:f>D4325+'Resumen'!$B$5^3/3</x:f>
        <x:v>0.19807220830040229</x:v>
      </x:c>
    </x:row>
    <x:row r="4326">
      <x:c r="A4326" s="89" t="n">
        <x:v>4324</x:v>
      </x:c>
      <x:c r="B4326" s="80" t="n">
        <x:v>-0.464767446975028</x:v>
      </x:c>
      <x:c r="C4326" s="84" t="n">
        <x:f>SQRT('Resumen'!$B$5^3/3)*B4326</x:f>
        <x:v>-0.2683336106216075</x:v>
      </x:c>
      <x:c r="D4326" s="84" t="n">
        <x:f>C4326^2-'Resumen'!$B$5^3/3</x:f>
        <x:v>-0.26133040674410485</x:v>
      </x:c>
      <x:c r="E4326" s="85" t="n">
        <x:f>D4326+'Resumen'!$B$5^3/3</x:f>
        <x:v>0.07200292658922847</x:v>
      </x:c>
    </x:row>
    <x:row r="4327">
      <x:c r="A4327" s="89" t="n">
        <x:v>4325</x:v>
      </x:c>
      <x:c r="B4327" s="80" t="n">
        <x:v>0.26106744028094425</x:v>
      </x:c>
      <x:c r="C4327" s="84" t="n">
        <x:f>SQRT('Resumen'!$B$5^3/3)*B4327</x:f>
        <x:v>0.1507273569228497</x:v>
      </x:c>
      <x:c r="D4327" s="84" t="n">
        <x:f>C4327^2-'Resumen'!$B$5^3/3</x:f>
        <x:v>-0.3106145972083852</x:v>
      </x:c>
      <x:c r="E4327" s="85" t="n">
        <x:f>D4327+'Resumen'!$B$5^3/3</x:f>
        <x:v>0.022718736124948125</x:v>
      </x:c>
    </x:row>
    <x:row r="4328">
      <x:c r="A4328" s="89" t="n">
        <x:v>4326</x:v>
      </x:c>
      <x:c r="B4328" s="80" t="n">
        <x:v>1.2351844284500042</x:v>
      </x:c>
      <x:c r="C4328" s="84" t="n">
        <x:f>SQRT('Resumen'!$B$5^3/3)*B4328</x:f>
        <x:v>0.713134062264444</x:v>
      </x:c>
      <x:c r="D4328" s="84" t="n">
        <x:f>C4328^2-'Resumen'!$B$5^3/3</x:f>
        <x:v>0.1752268574284545</x:v>
      </x:c>
      <x:c r="E4328" s="85" t="n">
        <x:f>D4328+'Resumen'!$B$5^3/3</x:f>
        <x:v>0.5085601907617878</x:v>
      </x:c>
    </x:row>
    <x:row r="4329">
      <x:c r="A4329" s="89" t="n">
        <x:v>4327</x:v>
      </x:c>
      <x:c r="B4329" s="80" t="n">
        <x:v>-0.5895382092361217</x:v>
      </x:c>
      <x:c r="C4329" s="84" t="n">
        <x:f>SQRT('Resumen'!$B$5^3/3)*B4329</x:f>
        <x:v>-0.34037004380004476</x:v>
      </x:c>
      <x:c r="D4329" s="84" t="n">
        <x:f>C4329^2-'Resumen'!$B$5^3/3</x:f>
        <x:v>-0.21748156661688894</x:v>
      </x:c>
      <x:c r="E4329" s="85" t="n">
        <x:f>D4329+'Resumen'!$B$5^3/3</x:f>
        <x:v>0.11585176671644437</x:v>
      </x:c>
    </x:row>
    <x:row r="4330">
      <x:c r="A4330" s="89" t="n">
        <x:v>4328</x:v>
      </x:c>
      <x:c r="B4330" s="80" t="n">
        <x:v>0.4525258718818619</x:v>
      </x:c>
      <x:c r="C4330" s="84" t="n">
        <x:f>SQRT('Resumen'!$B$5^3/3)*B4330</x:f>
        <x:v>0.261265933946263</x:v>
      </x:c>
      <x:c r="D4330" s="84" t="n">
        <x:f>C4330^2-'Resumen'!$B$5^3/3</x:f>
        <x:v>-0.26507344509252023</x:v>
      </x:c>
      <x:c r="E4330" s="85" t="n">
        <x:f>D4330+'Resumen'!$B$5^3/3</x:f>
        <x:v>0.06825988824081308</x:v>
      </x:c>
    </x:row>
    <x:row r="4331">
      <x:c r="A4331" s="89" t="n">
        <x:v>4329</x:v>
      </x:c>
      <x:c r="B4331" s="80" t="n">
        <x:v>-2.4820372836429128</x:v>
      </x:c>
      <x:c r="C4331" s="84" t="n">
        <x:f>SQRT('Resumen'!$B$5^3/3)*B4331</x:f>
        <x:v>-1.4330048938499231</x:v>
      </x:c>
      <x:c r="D4331" s="84" t="n">
        <x:f>C4331^2-'Resumen'!$B$5^3/3</x:f>
        <x:v>1.720169692464496</x:v>
      </x:c>
      <x:c r="E4331" s="85" t="n">
        <x:f>D4331+'Resumen'!$B$5^3/3</x:f>
        <x:v>2.0535030257978293</x:v>
      </x:c>
    </x:row>
    <x:row r="4332">
      <x:c r="A4332" s="89" t="n">
        <x:v>4330</x:v>
      </x:c>
      <x:c r="B4332" s="80" t="n">
        <x:v>-0.01861494757499433</x:v>
      </x:c>
      <x:c r="C4332" s="84" t="n">
        <x:f>SQRT('Resumen'!$B$5^3/3)*B4332</x:f>
        <x:v>-0.010747344993373747</x:v>
      </x:c>
      <x:c r="D4332" s="84" t="n">
        <x:f>C4332^2-'Resumen'!$B$5^3/3</x:f>
        <x:v>-0.33321782790892673</x:v>
      </x:c>
      <x:c r="E4332" s="85" t="n">
        <x:f>D4332+'Resumen'!$B$5^3/3</x:f>
        <x:v>0.00011550542440658118</x:v>
      </x:c>
    </x:row>
    <x:row r="4333">
      <x:c r="A4333" s="89" t="n">
        <x:v>4331</x:v>
      </x:c>
      <x:c r="B4333" s="80" t="n">
        <x:v>-1.5844020685846738</x:v>
      </x:c>
      <x:c r="C4333" s="84" t="n">
        <x:f>SQRT('Resumen'!$B$5^3/3)*B4333</x:f>
        <x:v>-0.9147549608019613</x:v>
      </x:c>
      <x:c r="D4333" s="84" t="n">
        <x:f>C4333^2-'Resumen'!$B$5^3/3</x:f>
        <x:v>0.5034433049784643</x:v>
      </x:c>
      <x:c r="E4333" s="85" t="n">
        <x:f>D4333+'Resumen'!$B$5^3/3</x:f>
        <x:v>0.8367766383117976</x:v>
      </x:c>
    </x:row>
    <x:row r="4334">
      <x:c r="A4334" s="89" t="n">
        <x:v>4332</x:v>
      </x:c>
      <x:c r="B4334" s="80" t="n">
        <x:v>-0.4402505890507122</x:v>
      </x:c>
      <x:c r="C4334" s="84" t="n">
        <x:f>SQRT('Resumen'!$B$5^3/3)*B4334</x:f>
        <x:v>-0.25417879609932</x:v>
      </x:c>
      <x:c r="D4334" s="84" t="n">
        <x:f>C4334^2-'Resumen'!$B$5^3/3</x:f>
        <x:v>-0.2687264729468336</x:v>
      </x:c>
      <x:c r="E4334" s="85" t="n">
        <x:f>D4334+'Resumen'!$B$5^3/3</x:f>
        <x:v>0.06460686038649971</x:v>
      </x:c>
    </x:row>
    <x:row r="4335">
      <x:c r="A4335" s="89" t="n">
        <x:v>4333</x:v>
      </x:c>
      <x:c r="B4335" s="80" t="n">
        <x:v>-2.0997830559831976</x:v>
      </x:c>
      <x:c r="C4335" s="84" t="n">
        <x:f>SQRT('Resumen'!$B$5^3/3)*B4335</x:f>
        <x:v>-1.212310312611714</x:v>
      </x:c>
      <x:c r="D4335" s="84" t="n">
        <x:f>C4335^2-'Resumen'!$B$5^3/3</x:f>
        <x:v>1.1363629607313785</x:v>
      </x:c>
      <x:c r="E4335" s="85" t="n">
        <x:f>D4335+'Resumen'!$B$5^3/3</x:f>
        <x:v>1.4696962940647118</x:v>
      </x:c>
    </x:row>
    <x:row r="4336">
      <x:c r="A4336" s="89" t="n">
        <x:v>4334</x:v>
      </x:c>
      <x:c r="B4336" s="80" t="n">
        <x:v>-1.094533311823558</x:v>
      </x:c>
      <x:c r="C4336" s="84" t="n">
        <x:f>SQRT('Resumen'!$B$5^3/3)*B4336</x:f>
        <x:v>-0.6319291022183439</x:v>
      </x:c>
      <x:c r="D4336" s="84" t="n">
        <x:f>C4336^2-'Resumen'!$B$5^3/3</x:f>
        <x:v>0.06600105689714875</x:v>
      </x:c>
      <x:c r="E4336" s="85" t="n">
        <x:f>D4336+'Resumen'!$B$5^3/3</x:f>
        <x:v>0.39933439023048206</x:v>
      </x:c>
    </x:row>
    <x:row r="4337">
      <x:c r="A4337" s="89" t="n">
        <x:v>4335</x:v>
      </x:c>
      <x:c r="B4337" s="80" t="n">
        <x:v>-2.0094204417466774</x:v>
      </x:c>
      <x:c r="C4337" s="84" t="n">
        <x:f>SQRT('Resumen'!$B$5^3/3)*B4337</x:f>
        <x:v>-1.160139432957581</x:v>
      </x:c>
      <x:c r="D4337" s="84" t="n">
        <x:f>C4337^2-'Resumen'!$B$5^3/3</x:f>
        <x:v>1.0125901705698042</x:v>
      </x:c>
      <x:c r="E4337" s="85" t="n">
        <x:f>D4337+'Resumen'!$B$5^3/3</x:f>
        <x:v>1.3459235039031374</x:v>
      </x:c>
    </x:row>
    <x:row r="4338">
      <x:c r="A4338" s="89" t="n">
        <x:v>4336</x:v>
      </x:c>
      <x:c r="B4338" s="80" t="n">
        <x:v>0.9929234409986281</x:v>
      </x:c>
      <x:c r="C4338" s="84" t="n">
        <x:f>SQRT('Resumen'!$B$5^3/3)*B4338</x:f>
        <x:v>0.5732646159452474</x:v>
      </x:c>
      <x:c r="D4338" s="84" t="n">
        <x:f>C4338^2-'Resumen'!$B$5^3/3</x:f>
        <x:v>-0.0047010134384813385</x:v>
      </x:c>
      <x:c r="E4338" s="85" t="n">
        <x:f>D4338+'Resumen'!$B$5^3/3</x:f>
        <x:v>0.328632319894852</x:v>
      </x:c>
    </x:row>
    <x:row r="4339">
      <x:c r="A4339" s="89" t="n">
        <x:v>4337</x:v>
      </x:c>
      <x:c r="B4339" s="80" t="n">
        <x:v>0.3954158279301771</x:v>
      </x:c>
      <x:c r="C4339" s="84" t="n">
        <x:f>SQRT('Resumen'!$B$5^3/3)*B4339</x:f>
        <x:v>0.22829343469732646</x:v>
      </x:c>
      <x:c r="D4339" s="84" t="n">
        <x:f>C4339^2-'Resumen'!$B$5^3/3</x:f>
        <x:v>-0.28121544100743084</x:v>
      </x:c>
      <x:c r="E4339" s="85" t="n">
        <x:f>D4339+'Resumen'!$B$5^3/3</x:f>
        <x:v>0.05211789232590247</x:v>
      </x:c>
    </x:row>
    <x:row r="4340">
      <x:c r="A4340" s="89" t="n">
        <x:v>4338</x:v>
      </x:c>
      <x:c r="B4340" s="80" t="n">
        <x:v>-1.2644766462944403</x:v>
      </x:c>
      <x:c r="C4340" s="84" t="n">
        <x:f>SQRT('Resumen'!$B$5^3/3)*B4340</x:f>
        <x:v>-0.7300459321220903</x:v>
      </x:c>
      <x:c r="D4340" s="84" t="n">
        <x:f>C4340^2-'Resumen'!$B$5^3/3</x:f>
        <x:v>0.19963372967467846</x:v>
      </x:c>
      <x:c r="E4340" s="85" t="n">
        <x:f>D4340+'Resumen'!$B$5^3/3</x:f>
        <x:v>0.5329670630080118</x:v>
      </x:c>
    </x:row>
    <x:row r="4341">
      <x:c r="A4341" s="89" t="n">
        <x:v>4339</x:v>
      </x:c>
      <x:c r="B4341" s="80" t="n">
        <x:v>-1.3556911492895034</x:v>
      </x:c>
      <x:c r="C4341" s="84" t="n">
        <x:f>SQRT('Resumen'!$B$5^3/3)*B4341</x:f>
        <x:v>-0.7827086499802879</x:v>
      </x:c>
      <x:c r="D4341" s="84" t="n">
        <x:f>C4341^2-'Resumen'!$B$5^3/3</x:f>
        <x:v>0.2792994974206315</x:v>
      </x:c>
      <x:c r="E4341" s="85" t="n">
        <x:f>D4341+'Resumen'!$B$5^3/3</x:f>
        <x:v>0.6126328307539648</x:v>
      </x:c>
    </x:row>
    <x:row r="4342">
      <x:c r="A4342" s="89" t="n">
        <x:v>4340</x:v>
      </x:c>
      <x:c r="B4342" s="80" t="n">
        <x:v>1.5513433174762659</x:v>
      </x:c>
      <x:c r="C4342" s="84" t="n">
        <x:f>SQRT('Resumen'!$B$5^3/3)*B4342</x:f>
        <x:v>0.8956684819504491</x:v>
      </x:c>
      <x:c r="D4342" s="84" t="n">
        <x:f>C4342^2-'Resumen'!$B$5^3/3</x:f>
        <x:v>0.4688886962260887</x:v>
      </x:c>
      <x:c r="E4342" s="85" t="n">
        <x:f>D4342+'Resumen'!$B$5^3/3</x:f>
        <x:v>0.802222029559422</x:v>
      </x:c>
    </x:row>
    <x:row r="4343">
      <x:c r="A4343" s="89" t="n">
        <x:v>4341</x:v>
      </x:c>
      <x:c r="B4343" s="80" t="n">
        <x:v>0.6450563196402247</x:v>
      </x:c>
      <x:c r="C4343" s="84" t="n">
        <x:f>SQRT('Resumen'!$B$5^3/3)*B4343</x:f>
        <x:v>0.37242343978675296</x:v>
      </x:c>
      <x:c r="D4343" s="84" t="n">
        <x:f>C4343^2-'Resumen'!$B$5^3/3</x:f>
        <x:v>-0.19463411483073612</x:v>
      </x:c>
      <x:c r="E4343" s="85" t="n">
        <x:f>D4343+'Resumen'!$B$5^3/3</x:f>
        <x:v>0.1386992185025972</x:v>
      </x:c>
    </x:row>
    <x:row r="4344">
      <x:c r="A4344" s="89" t="n">
        <x:v>4342</x:v>
      </x:c>
      <x:c r="B4344" s="80" t="n">
        <x:v>0.4330743356945087</x:v>
      </x:c>
      <x:c r="C4344" s="84" t="n">
        <x:f>SQRT('Resumen'!$B$5^3/3)*B4344</x:f>
        <x:v>0.25003558429234296</x:v>
      </x:c>
      <x:c r="D4344" s="84" t="n">
        <x:f>C4344^2-'Resumen'!$B$5^3/3</x:f>
        <x:v>-0.27081553992092</x:v>
      </x:c>
      <x:c r="E4344" s="85" t="n">
        <x:f>D4344+'Resumen'!$B$5^3/3</x:f>
        <x:v>0.06251779341241331</x:v>
      </x:c>
    </x:row>
    <x:row r="4345">
      <x:c r="A4345" s="89" t="n">
        <x:v>4343</x:v>
      </x:c>
      <x:c r="B4345" s="80" t="n">
        <x:v>-0.07698516426690827</x:v>
      </x:c>
      <x:c r="C4345" s="84" t="n">
        <x:f>SQRT('Resumen'!$B$5^3/3)*B4345</x:f>
        <x:v>-0.04444740531310704</x:v>
      </x:c>
      <x:c r="D4345" s="84" t="n">
        <x:f>C4345^2-'Resumen'!$B$5^3/3</x:f>
        <x:v>-0.3313577614942657</x:v>
      </x:c>
      <x:c r="E4345" s="85" t="n">
        <x:f>D4345+'Resumen'!$B$5^3/3</x:f>
        <x:v>0.0019755718390676025</x:v>
      </x:c>
    </x:row>
    <x:row r="4346">
      <x:c r="A4346" s="89" t="n">
        <x:v>4344</x:v>
      </x:c>
      <x:c r="B4346" s="80" t="n">
        <x:v>0.42045455619613636</x:v>
      </x:c>
      <x:c r="C4346" s="84" t="n">
        <x:f>SQRT('Resumen'!$B$5^3/3)*B4346</x:f>
        <x:v>0.24274955120184394</x:v>
      </x:c>
      <x:c r="D4346" s="84" t="n">
        <x:f>C4346^2-'Resumen'!$B$5^3/3</x:f>
        <x:v>-0.2744059887246367</x:v>
      </x:c>
      <x:c r="E4346" s="85" t="n">
        <x:f>D4346+'Resumen'!$B$5^3/3</x:f>
        <x:v>0.05892734460869664</x:v>
      </x:c>
    </x:row>
    <x:row r="4347">
      <x:c r="A4347" s="89" t="n">
        <x:v>4345</x:v>
      </x:c>
      <x:c r="B4347" s="80" t="n">
        <x:v>0.5117231521007705</x:v>
      </x:c>
      <x:c r="C4347" s="84" t="n">
        <x:f>SQRT('Resumen'!$B$5^3/3)*B4347</x:f>
        <x:v>0.2954434996159436</x:v>
      </x:c>
      <x:c r="D4347" s="84" t="n">
        <x:f>C4347^2-'Resumen'!$B$5^3/3</x:f>
        <x:v>-0.24604647186801723</x:v>
      </x:c>
      <x:c r="E4347" s="85" t="n">
        <x:f>D4347+'Resumen'!$B$5^3/3</x:f>
        <x:v>0.08728686146531608</x:v>
      </x:c>
    </x:row>
    <x:row r="4348">
      <x:c r="A4348" s="89" t="n">
        <x:v>4346</x:v>
      </x:c>
      <x:c r="B4348" s="80" t="n">
        <x:v>0.5045198898958314</x:v>
      </x:c>
      <x:c r="C4348" s="84" t="n">
        <x:f>SQRT('Resumen'!$B$5^3/3)*B4348</x:f>
        <x:v>0.2912846942428786</x:v>
      </x:c>
      <x:c r="D4348" s="84" t="n">
        <x:f>C4348^2-'Resumen'!$B$5^3/3</x:f>
        <x:v>-0.24848656023316604</x:v>
      </x:c>
      <x:c r="E4348" s="85" t="n">
        <x:f>D4348+'Resumen'!$B$5^3/3</x:f>
        <x:v>0.08484677310016728</x:v>
      </x:c>
    </x:row>
    <x:row r="4349">
      <x:c r="A4349" s="89" t="n">
        <x:v>4347</x:v>
      </x:c>
      <x:c r="B4349" s="80" t="n">
        <x:v>0.05895438552059206</x:v>
      </x:c>
      <x:c r="C4349" s="84" t="n">
        <x:f>SQRT('Resumen'!$B$5^3/3)*B4349</x:f>
        <x:v>0.0340373303502228</x:v>
      </x:c>
      <x:c r="D4349" s="84" t="n">
        <x:f>C4349^2-'Resumen'!$B$5^3/3</x:f>
        <x:v>-0.3321747934759631</x:v>
      </x:c>
      <x:c r="E4349" s="85" t="n">
        <x:f>D4349+'Resumen'!$B$5^3/3</x:f>
        <x:v>0.0011585398573701888</x:v>
      </x:c>
    </x:row>
    <x:row r="4350">
      <x:c r="A4350" s="89" t="n">
        <x:v>4348</x:v>
      </x:c>
      <x:c r="B4350" s="80" t="n">
        <x:v>-0.3532955819409605</x:v>
      </x:c>
      <x:c r="C4350" s="84" t="n">
        <x:f>SQRT('Resumen'!$B$5^3/3)*B4350</x:f>
        <x:v>-0.20397529933711903</x:v>
      </x:c>
      <x:c r="D4350" s="84" t="n">
        <x:f>C4350^2-'Resumen'!$B$5^3/3</x:f>
        <x:v>-0.291727410593666</x:v>
      </x:c>
      <x:c r="E4350" s="85" t="n">
        <x:f>D4350+'Resumen'!$B$5^3/3</x:f>
        <x:v>0.04160592273966729</x:v>
      </x:c>
    </x:row>
    <x:row r="4351">
      <x:c r="A4351" s="89" t="n">
        <x:v>4349</x:v>
      </x:c>
      <x:c r="B4351" s="80" t="n">
        <x:v>1.6393401488945165</x:v>
      </x:c>
      <x:c r="C4351" s="84" t="n">
        <x:f>SQRT('Resumen'!$B$5^3/3)*B4351</x:f>
        <x:v>0.9464734762576102</x:v>
      </x:c>
      <x:c r="D4351" s="84" t="n">
        <x:f>C4351^2-'Resumen'!$B$5^3/3</x:f>
        <x:v>0.5624787079258318</x:v>
      </x:c>
      <x:c r="E4351" s="85" t="n">
        <x:f>D4351+'Resumen'!$B$5^3/3</x:f>
        <x:v>0.895812041259165</x:v>
      </x:c>
    </x:row>
    <x:row r="4352">
      <x:c r="A4352" s="89" t="n">
        <x:v>4350</x:v>
      </x:c>
      <x:c r="B4352" s="80" t="n">
        <x:v>1.4459009446477251</x:v>
      </x:c>
      <x:c r="C4352" s="84" t="n">
        <x:f>SQRT('Resumen'!$B$5^3/3)*B4352</x:f>
        <x:v>0.8347912996138982</x:v>
      </x:c>
      <x:c r="D4352" s="84" t="n">
        <x:f>C4352^2-'Resumen'!$B$5^3/3</x:f>
        <x:v>0.3635431805777279</x:v>
      </x:c>
      <x:c r="E4352" s="85" t="n">
        <x:f>D4352+'Resumen'!$B$5^3/3</x:f>
        <x:v>0.6968765139110612</x:v>
      </x:c>
    </x:row>
    <x:row r="4353">
      <x:c r="A4353" s="89" t="n">
        <x:v>4351</x:v>
      </x:c>
      <x:c r="B4353" s="80" t="n">
        <x:v>-0.9616752035132453</x:v>
      </x:c>
      <x:c r="C4353" s="84" t="n">
        <x:f>SQRT('Resumen'!$B$5^3/3)*B4353</x:f>
        <x:v>-0.5552234376213603</x:v>
      </x:c>
      <x:c r="D4353" s="84" t="n">
        <x:f>C4353^2-'Resumen'!$B$5^3/3</x:f>
        <x:v>-0.025060267649252788</x:v>
      </x:c>
      <x:c r="E4353" s="85" t="n">
        <x:f>D4353+'Resumen'!$B$5^3/3</x:f>
        <x:v>0.3082730656840805</x:v>
      </x:c>
    </x:row>
    <x:row r="4354">
      <x:c r="A4354" s="89" t="n">
        <x:v>4352</x:v>
      </x:c>
      <x:c r="B4354" s="80" t="n">
        <x:v>-0.5239168120320945</x:v>
      </x:c>
      <x:c r="C4354" s="84" t="n">
        <x:f>SQRT('Resumen'!$B$5^3/3)*B4354</x:f>
        <x:v>-0.3024835124597003</x:v>
      </x:c>
      <x:c r="D4354" s="84" t="n">
        <x:f>C4354^2-'Resumen'!$B$5^3/3</x:f>
        <x:v>-0.24183705802337566</x:v>
      </x:c>
      <x:c r="E4354" s="85" t="n">
        <x:f>D4354+'Resumen'!$B$5^3/3</x:f>
        <x:v>0.09149627530995766</x:v>
      </x:c>
    </x:row>
    <x:row r="4355">
      <x:c r="A4355" s="89" t="n">
        <x:v>4353</x:v>
      </x:c>
      <x:c r="B4355" s="80" t="n">
        <x:v>0.10369187565419964</x:v>
      </x:c>
      <x:c r="C4355" s="84" t="n">
        <x:f>SQRT('Resumen'!$B$5^3/3)*B4355</x:f>
        <x:v>0.05986653232172936</x:v>
      </x:c>
      <x:c r="D4355" s="84" t="n">
        <x:f>C4355^2-'Resumen'!$B$5^3/3</x:f>
        <x:v>-0.32974933164110465</x:v>
      </x:c>
      <x:c r="E4355" s="85" t="n">
        <x:f>D4355+'Resumen'!$B$5^3/3</x:f>
        <x:v>0.0035840016922286666</x:v>
      </x:c>
    </x:row>
    <x:row r="4356">
      <x:c r="A4356" s="89" t="n">
        <x:v>4354</x:v>
      </x:c>
      <x:c r="B4356" s="80" t="n">
        <x:v>-0.9871532629490622</x:v>
      </x:c>
      <x:c r="C4356" s="84" t="n">
        <x:f>SQRT('Resumen'!$B$5^3/3)*B4356</x:f>
        <x:v>-0.5699332020950585</x:v>
      </x:c>
      <x:c r="D4356" s="84" t="n">
        <x:f>C4356^2-'Resumen'!$B$5^3/3</x:f>
        <x:v>-0.008509478483006538</x:v>
      </x:c>
      <x:c r="E4356" s="85" t="n">
        <x:f>D4356+'Resumen'!$B$5^3/3</x:f>
        <x:v>0.3248238548503268</x:v>
      </x:c>
    </x:row>
    <x:row r="4357">
      <x:c r="A4357" s="89" t="n">
        <x:v>4355</x:v>
      </x:c>
      <x:c r="B4357" s="80" t="n">
        <x:v>-0.8387057175750319</x:v>
      </x:c>
      <x:c r="C4357" s="84" t="n">
        <x:f>SQRT('Resumen'!$B$5^3/3)*B4357</x:f>
        <x:v>-0.48422697181282287</x:v>
      </x:c>
      <x:c r="D4357" s="84" t="n">
        <x:f>C4357^2-'Resumen'!$B$5^3/3</x:f>
        <x:v>-0.09885757310231696</x:v>
      </x:c>
      <x:c r="E4357" s="85" t="n">
        <x:f>D4357+'Resumen'!$B$5^3/3</x:f>
        <x:v>0.23447576023101635</x:v>
      </x:c>
    </x:row>
    <x:row r="4358">
      <x:c r="A4358" s="89" t="n">
        <x:v>4356</x:v>
      </x:c>
      <x:c r="B4358" s="80" t="n">
        <x:v>-0.17266752916277464</x:v>
      </x:c>
      <x:c r="C4358" s="84" t="n">
        <x:f>SQRT('Resumen'!$B$5^3/3)*B4358</x:f>
        <x:v>-0.09968964444243548</x:v>
      </x:c>
      <x:c r="D4358" s="84" t="n">
        <x:f>C4358^2-'Resumen'!$B$5^3/3</x:f>
        <x:v>-0.3233953081242741</x:v>
      </x:c>
      <x:c r="E4358" s="85" t="n">
        <x:f>D4358+'Resumen'!$B$5^3/3</x:f>
        <x:v>0.009938025209059231</x:v>
      </x:c>
    </x:row>
    <x:row r="4359">
      <x:c r="A4359" s="89" t="n">
        <x:v>4357</x:v>
      </x:c>
      <x:c r="B4359" s="80" t="n">
        <x:v>1.2300980324794062</x:v>
      </x:c>
      <x:c r="C4359" s="84" t="n">
        <x:f>SQRT('Resumen'!$B$5^3/3)*B4359</x:f>
        <x:v>0.7101974301816142</x:v>
      </x:c>
      <x:c r="D4359" s="84" t="n">
        <x:f>C4359^2-'Resumen'!$B$5^3/3</x:f>
        <x:v>0.17104705650323543</x:v>
      </x:c>
      <x:c r="E4359" s="85" t="n">
        <x:f>D4359+'Resumen'!$B$5^3/3</x:f>
        <x:v>0.5043803898365687</x:v>
      </x:c>
    </x:row>
    <x:row r="4360">
      <x:c r="A4360" s="89" t="n">
        <x:v>4358</x:v>
      </x:c>
      <x:c r="B4360" s="80" t="n">
        <x:v>-1.1998917478188753</x:v>
      </x:c>
      <x:c r="C4360" s="84" t="n">
        <x:f>SQRT('Resumen'!$B$5^3/3)*B4360</x:f>
        <x:v>-0.6927578236016382</x:v>
      </x:c>
      <x:c r="D4360" s="84" t="n">
        <x:f>C4360^2-'Resumen'!$B$5^3/3</x:f>
        <x:v>0.1465800688279451</x:v>
      </x:c>
      <x:c r="E4360" s="85" t="n">
        <x:f>D4360+'Resumen'!$B$5^3/3</x:f>
        <x:v>0.4799134021612784</x:v>
      </x:c>
    </x:row>
    <x:row r="4361">
      <x:c r="A4361" s="89" t="n">
        <x:v>4359</x:v>
      </x:c>
      <x:c r="B4361" s="80" t="n">
        <x:v>1.1524446741300427</x:v>
      </x:c>
      <x:c r="C4361" s="84" t="n">
        <x:f>SQRT('Resumen'!$B$5^3/3)*B4361</x:f>
        <x:v>0.6653642428351306</x:v>
      </x:c>
      <x:c r="D4361" s="84" t="n">
        <x:f>C4361^2-'Resumen'!$B$5^3/3</x:f>
        <x:v>0.10937624231023335</x:v>
      </x:c>
      <x:c r="E4361" s="85" t="n">
        <x:f>D4361+'Resumen'!$B$5^3/3</x:f>
        <x:v>0.44270957564356667</x:v>
      </x:c>
    </x:row>
    <x:row r="4362">
      <x:c r="A4362" s="89" t="n">
        <x:v>4360</x:v>
      </x:c>
      <x:c r="B4362" s="80" t="n">
        <x:v>-0.33378863310380535</x:v>
      </x:c>
      <x:c r="C4362" s="84" t="n">
        <x:f>SQRT('Resumen'!$B$5^3/3)*B4362</x:f>
        <x:v>-0.19271295717491924</x:v>
      </x:c>
      <x:c r="D4362" s="84" t="n">
        <x:f>C4362^2-'Resumen'!$B$5^3/3</x:f>
        <x:v>-0.29619504947023106</x:v>
      </x:c>
      <x:c r="E4362" s="85" t="n">
        <x:f>D4362+'Resumen'!$B$5^3/3</x:f>
        <x:v>0.03713828386310225</x:v>
      </x:c>
    </x:row>
    <x:row r="4363">
      <x:c r="A4363" s="89" t="n">
        <x:v>4361</x:v>
      </x:c>
      <x:c r="B4363" s="80" t="n">
        <x:v>0.23744162764732718</x:v>
      </x:c>
      <x:c r="C4363" s="84" t="n">
        <x:f>SQRT('Resumen'!$B$5^3/3)*B4363</x:f>
        <x:v>0.13708698763900723</x:v>
      </x:c>
      <x:c r="D4363" s="84" t="n">
        <x:f>C4363^2-'Resumen'!$B$5^3/3</x:f>
        <x:v>-0.314540491153396</x:v>
      </x:c>
      <x:c r="E4363" s="85" t="n">
        <x:f>D4363+'Resumen'!$B$5^3/3</x:f>
        <x:v>0.01879284217993732</x:v>
      </x:c>
    </x:row>
    <x:row r="4364">
      <x:c r="A4364" s="89" t="n">
        <x:v>4362</x:v>
      </x:c>
      <x:c r="B4364" s="80" t="n">
        <x:v>0.7011553290485236</x:v>
      </x:c>
      <x:c r="C4364" s="84" t="n">
        <x:f>SQRT('Resumen'!$B$5^3/3)*B4364</x:f>
        <x:v>0.40481221796990574</x:v>
      </x:c>
      <x:c r="D4364" s="84" t="n">
        <x:f>C4364^2-'Resumen'!$B$5^3/3</x:f>
        <x:v>-0.16946040151561884</x:v>
      </x:c>
      <x:c r="E4364" s="85" t="n">
        <x:f>D4364+'Resumen'!$B$5^3/3</x:f>
        <x:v>0.16387293181771448</x:v>
      </x:c>
    </x:row>
    <x:row r="4365">
      <x:c r="A4365" s="89" t="n">
        <x:v>4363</x:v>
      </x:c>
      <x:c r="B4365" s="80" t="n">
        <x:v>-0.5084254836526219</x:v>
      </x:c>
      <x:c r="C4365" s="84" t="n">
        <x:f>SQRT('Resumen'!$B$5^3/3)*B4365</x:f>
        <x:v>-0.2935395898497069</x:v>
      </x:c>
      <x:c r="D4365" s="84" t="n">
        <x:f>C4365^2-'Resumen'!$B$5^3/3</x:f>
        <x:v>-0.24716784252419916</x:v>
      </x:c>
      <x:c r="E4365" s="85" t="n">
        <x:f>D4365+'Resumen'!$B$5^3/3</x:f>
        <x:v>0.08616549080913416</x:v>
      </x:c>
    </x:row>
    <x:row r="4366">
      <x:c r="A4366" s="89" t="n">
        <x:v>4364</x:v>
      </x:c>
      <x:c r="B4366" s="80" t="n">
        <x:v>-0.13365090182507997</x:v>
      </x:c>
      <x:c r="C4366" s="84" t="n">
        <x:f>SQRT('Resumen'!$B$5^3/3)*B4366</x:f>
        <x:v>-0.07716338414614615</x:v>
      </x:c>
      <x:c r="D4366" s="84" t="n">
        <x:f>C4366^2-'Resumen'!$B$5^3/3</x:f>
        <x:v>-0.3273791454804476</x:v>
      </x:c>
      <x:c r="E4366" s="85" t="n">
        <x:f>D4366+'Resumen'!$B$5^3/3</x:f>
        <x:v>0.005954187852885706</x:v>
      </x:c>
    </x:row>
    <x:row r="4367">
      <x:c r="A4367" s="89" t="n">
        <x:v>4365</x:v>
      </x:c>
      <x:c r="B4367" s="80" t="n">
        <x:v>-0.835140594461999</x:v>
      </x:c>
      <x:c r="C4367" s="84" t="n">
        <x:f>SQRT('Resumen'!$B$5^3/3)*B4367</x:f>
        <x:v>-0.4821686470238192</x:v>
      </x:c>
      <x:c r="D4367" s="84" t="n">
        <x:f>C4367^2-'Resumen'!$B$5^3/3</x:f>
        <x:v>-0.10084672916055298</x:v>
      </x:c>
      <x:c r="E4367" s="85" t="n">
        <x:f>D4367+'Resumen'!$B$5^3/3</x:f>
        <x:v>0.23248660417278033</x:v>
      </x:c>
    </x:row>
    <x:row r="4368">
      <x:c r="A4368" s="89" t="n">
        <x:v>4366</x:v>
      </x:c>
      <x:c r="B4368" s="80" t="n">
        <x:v>-1.7446623206805365</x:v>
      </x:c>
      <x:c r="C4368" s="84" t="n">
        <x:f>SQRT('Resumen'!$B$5^3/3)*B4368</x:f>
        <x:v>-1.0072812604899049</x:v>
      </x:c>
      <x:c r="D4368" s="84" t="n">
        <x:f>C4368^2-'Resumen'!$B$5^3/3</x:f>
        <x:v>0.6812822044007982</x:v>
      </x:c>
      <x:c r="E4368" s="85" t="n">
        <x:f>D4368+'Resumen'!$B$5^3/3</x:f>
        <x:v>1.0146155377341315</x:v>
      </x:c>
    </x:row>
    <x:row r="4369">
      <x:c r="A4369" s="89" t="n">
        <x:v>4367</x:v>
      </x:c>
      <x:c r="B4369" s="80" t="n">
        <x:v>0.16254652405000405</x:v>
      </x:c>
      <x:c r="C4369" s="84" t="n">
        <x:f>SQRT('Resumen'!$B$5^3/3)*B4369</x:f>
        <x:v>0.09384627941610782</x:v>
      </x:c>
      <x:c r="D4369" s="84" t="n">
        <x:f>C4369^2-'Resumen'!$B$5^3/3</x:f>
        <x:v>-0.3245262091730871</x:v>
      </x:c>
      <x:c r="E4369" s="85" t="n">
        <x:f>D4369+'Resumen'!$B$5^3/3</x:f>
        <x:v>0.008807124160246205</x:v>
      </x:c>
    </x:row>
    <x:row r="4370">
      <x:c r="A4370" s="89" t="n">
        <x:v>4368</x:v>
      </x:c>
      <x:c r="B4370" s="80" t="n">
        <x:v>0.39028466579930277</x:v>
      </x:c>
      <x:c r="C4370" s="84" t="n">
        <x:f>SQRT('Resumen'!$B$5^3/3)*B4370</x:f>
        <x:v>0.22533095685981056</x:v>
      </x:c>
      <x:c r="D4370" s="84" t="n">
        <x:f>C4370^2-'Resumen'!$B$5^3/3</x:f>
        <x:v>-0.2825592932139755</x:v>
      </x:c>
      <x:c r="E4370" s="85" t="n">
        <x:f>D4370+'Resumen'!$B$5^3/3</x:f>
        <x:v>0.05077404011935782</x:v>
      </x:c>
    </x:row>
    <x:row r="4371">
      <x:c r="A4371" s="89" t="n">
        <x:v>4369</x:v>
      </x:c>
      <x:c r="B4371" s="80" t="n">
        <x:v>-1.0075178361743506</x:v>
      </x:c>
      <x:c r="C4371" s="84" t="n">
        <x:f>SQRT('Resumen'!$B$5^3/3)*B4371</x:f>
        <x:v>-0.5816906939286106</x:v>
      </x:c>
      <x:c r="D4371" s="84" t="n">
        <x:f>C4371^2-'Resumen'!$B$5^3/3</x:f>
        <x:v>0.005030730069815248</x:v>
      </x:c>
      <x:c r="E4371" s="85" t="n">
        <x:f>D4371+'Resumen'!$B$5^3/3</x:f>
        <x:v>0.33836406340314856</x:v>
      </x:c>
    </x:row>
    <x:row r="4372">
      <x:c r="A4372" s="89" t="n">
        <x:v>4370</x:v>
      </x:c>
      <x:c r="B4372" s="80" t="n">
        <x:v>-2.703410341841456</x:v>
      </x:c>
      <x:c r="C4372" s="84" t="n">
        <x:f>SQRT('Resumen'!$B$5^3/3)*B4372</x:f>
        <x:v>-1.5608146885921828</x:v>
      </x:c>
      <x:c r="D4372" s="84" t="n">
        <x:f>C4372^2-'Resumen'!$B$5^3/3</x:f>
        <x:v>2.102809158791779</x:v>
      </x:c>
      <x:c r="E4372" s="85" t="n">
        <x:f>D4372+'Resumen'!$B$5^3/3</x:f>
        <x:v>2.4361424921251125</x:v>
      </x:c>
    </x:row>
    <x:row r="4373">
      <x:c r="A4373" s="89" t="n">
        <x:v>4371</x:v>
      </x:c>
      <x:c r="B4373" s="80" t="n">
        <x:v>-0.7129637812440989</x:v>
      </x:c>
      <x:c r="C4373" s="84" t="n">
        <x:f>SQRT('Resumen'!$B$5^3/3)*B4373</x:f>
        <x:v>-0.4116298310237339</x:v>
      </x:c>
      <x:c r="D4373" s="84" t="n">
        <x:f>C4373^2-'Resumen'!$B$5^3/3</x:f>
        <x:v>-0.1638942155447056</x:v>
      </x:c>
      <x:c r="E4373" s="85" t="n">
        <x:f>D4373+'Resumen'!$B$5^3/3</x:f>
        <x:v>0.16943911778862772</x:v>
      </x:c>
    </x:row>
    <x:row r="4374">
      <x:c r="A4374" s="89" t="n">
        <x:v>4372</x:v>
      </x:c>
      <x:c r="B4374" s="80" t="n">
        <x:v>-0.19881379423407303</x:v>
      </x:c>
      <x:c r="C4374" s="84" t="n">
        <x:f>SQRT('Resumen'!$B$5^3/3)*B4374</x:f>
        <x:v>-0.11478519761965292</x:v>
      </x:c>
      <x:c r="D4374" s="84" t="n">
        <x:f>C4374^2-'Resumen'!$B$5^3/3</x:f>
        <x:v>-0.32015769174075054</x:v>
      </x:c>
      <x:c r="E4374" s="85" t="n">
        <x:f>D4374+'Resumen'!$B$5^3/3</x:f>
        <x:v>0.013175641592582776</x:v>
      </x:c>
    </x:row>
    <x:row r="4375">
      <x:c r="A4375" s="89" t="n">
        <x:v>4373</x:v>
      </x:c>
      <x:c r="B4375" s="80" t="n">
        <x:v>-1.3927019188068759</x:v>
      </x:c>
      <x:c r="C4375" s="84" t="n">
        <x:f>SQRT('Resumen'!$B$5^3/3)*B4375</x:f>
        <x:v>-0.8040768277240581</x:v>
      </x:c>
      <x:c r="D4375" s="84" t="n">
        <x:f>C4375^2-'Resumen'!$B$5^3/3</x:f>
        <x:v>0.3132062115494512</x:v>
      </x:c>
      <x:c r="E4375" s="85" t="n">
        <x:f>D4375+'Resumen'!$B$5^3/3</x:f>
        <x:v>0.6465395448827845</x:v>
      </x:c>
    </x:row>
    <x:row r="4376">
      <x:c r="A4376" s="89" t="n">
        <x:v>4374</x:v>
      </x:c>
      <x:c r="B4376" s="80" t="n">
        <x:v>-0.19374126943311984</x:v>
      </x:c>
      <x:c r="C4376" s="84" t="n">
        <x:f>SQRT('Resumen'!$B$5^3/3)*B4376</x:f>
        <x:v>-0.11185657406035154</x:v>
      </x:c>
      <x:c r="D4376" s="84" t="n">
        <x:f>C4376^2-'Resumen'!$B$5^3/3</x:f>
        <x:v>-0.3208214401728144</x:v>
      </x:c>
      <x:c r="E4376" s="85" t="n">
        <x:f>D4376+'Resumen'!$B$5^3/3</x:f>
        <x:v>0.012511893160518928</x:v>
      </x:c>
    </x:row>
    <x:row r="4377">
      <x:c r="A4377" s="89" t="n">
        <x:v>4375</x:v>
      </x:c>
      <x:c r="B4377" s="80" t="n">
        <x:v>0.3581701650796345</x:v>
      </x:c>
      <x:c r="C4377" s="84" t="n">
        <x:f>SQRT('Resumen'!$B$5^3/3)*B4377</x:f>
        <x:v>0.20678964122441967</x:v>
      </x:c>
      <x:c r="D4377" s="84" t="n">
        <x:f>C4377^2-'Resumen'!$B$5^3/3</x:f>
        <x:v>-0.2905713776156091</x:v>
      </x:c>
      <x:c r="E4377" s="85" t="n">
        <x:f>D4377+'Resumen'!$B$5^3/3</x:f>
        <x:v>0.04276195571772423</x:v>
      </x:c>
    </x:row>
    <x:row r="4378">
      <x:c r="A4378" s="89" t="n">
        <x:v>4376</x:v>
      </x:c>
      <x:c r="B4378" s="80" t="n">
        <x:v>-1.284380609404886</x:v>
      </x:c>
      <x:c r="C4378" s="84" t="n">
        <x:f>SQRT('Resumen'!$B$5^3/3)*B4378</x:f>
        <x:v>-0.7415374905818465</x:v>
      </x:c>
      <x:c r="D4378" s="84" t="n">
        <x:f>C4378^2-'Resumen'!$B$5^3/3</x:f>
        <x:v>0.21654451660508872</x:v>
      </x:c>
      <x:c r="E4378" s="85" t="n">
        <x:f>D4378+'Resumen'!$B$5^3/3</x:f>
        <x:v>0.549877849938422</x:v>
      </x:c>
    </x:row>
    <x:row r="4379">
      <x:c r="A4379" s="89" t="n">
        <x:v>4377</x:v>
      </x:c>
      <x:c r="B4379" s="80" t="n">
        <x:v>0.33654921879970023</x:v>
      </x:c>
      <x:c r="C4379" s="84" t="n">
        <x:f>SQRT('Resumen'!$B$5^3/3)*B4379</x:f>
        <x:v>0.19430678206956517</x:v>
      </x:c>
      <x:c r="D4379" s="84" t="n">
        <x:f>C4379^2-'Resumen'!$B$5^3/3</x:f>
        <x:v>-0.2955782077751038</x:v>
      </x:c>
      <x:c r="E4379" s="85" t="n">
        <x:f>D4379+'Resumen'!$B$5^3/3</x:f>
        <x:v>0.03775512555822952</x:v>
      </x:c>
    </x:row>
    <x:row r="4380">
      <x:c r="A4380" s="89" t="n">
        <x:v>4378</x:v>
      </x:c>
      <x:c r="B4380" s="80" t="n">
        <x:v>0.26575672394433514</x:v>
      </x:c>
      <x:c r="C4380" s="84" t="n">
        <x:f>SQRT('Resumen'!$B$5^3/3)*B4380</x:f>
        <x:v>0.15343471610821494</x:v>
      </x:c>
      <x:c r="D4380" s="84" t="n">
        <x:f>C4380^2-'Resumen'!$B$5^3/3</x:f>
        <x:v>-0.3097911212261248</x:v>
      </x:c>
      <x:c r="E4380" s="85" t="n">
        <x:f>D4380+'Resumen'!$B$5^3/3</x:f>
        <x:v>0.023542212107208527</x:v>
      </x:c>
    </x:row>
    <x:row r="4381">
      <x:c r="A4381" s="89" t="n">
        <x:v>4379</x:v>
      </x:c>
      <x:c r="B4381" s="80" t="n">
        <x:v>-0.86595029544796</x:v>
      </x:c>
      <x:c r="C4381" s="84" t="n">
        <x:f>SQRT('Resumen'!$B$5^3/3)*B4381</x:f>
        <x:v>-0.49995663618171565</x:v>
      </x:c>
      <x:c r="D4381" s="84" t="n">
        <x:f>C4381^2-'Resumen'!$B$5^3/3</x:f>
        <x:v>-0.08337669527119693</x:v>
      </x:c>
      <x:c r="E4381" s="85" t="n">
        <x:f>D4381+'Resumen'!$B$5^3/3</x:f>
        <x:v>0.2499566380621364</x:v>
      </x:c>
    </x:row>
    <x:row r="4382">
      <x:c r="A4382" s="89" t="n">
        <x:v>4380</x:v>
      </x:c>
      <x:c r="B4382" s="80" t="n">
        <x:v>1.5730695452788892</x:v>
      </x:c>
      <x:c r="C4382" s="84" t="n">
        <x:f>SQRT('Resumen'!$B$5^3/3)*B4382</x:f>
        <x:v>0.9082121254207688</x:v>
      </x:c>
      <x:c r="D4382" s="84" t="n">
        <x:f>C4382^2-'Resumen'!$B$5^3/3</x:f>
        <x:v>0.49151593142797695</x:v>
      </x:c>
      <x:c r="E4382" s="85" t="n">
        <x:f>D4382+'Resumen'!$B$5^3/3</x:f>
        <x:v>0.8248492647613103</x:v>
      </x:c>
    </x:row>
    <x:row r="4383">
      <x:c r="A4383" s="89" t="n">
        <x:v>4381</x:v>
      </x:c>
      <x:c r="B4383" s="80" t="n">
        <x:v>-0.6876118726476956</x:v>
      </x:c>
      <x:c r="C4383" s="84" t="n">
        <x:f>SQRT('Resumen'!$B$5^3/3)*B4383</x:f>
        <x:v>-0.3969928997711297</x:v>
      </x:c>
      <x:c r="D4383" s="84" t="n">
        <x:f>C4383^2-'Resumen'!$B$5^3/3</x:f>
        <x:v>-0.17572997086464306</x:v>
      </x:c>
      <x:c r="E4383" s="85" t="n">
        <x:f>D4383+'Resumen'!$B$5^3/3</x:f>
        <x:v>0.15760336246869025</x:v>
      </x:c>
    </x:row>
    <x:row r="4384">
      <x:c r="A4384" s="89" t="n">
        <x:v>4382</x:v>
      </x:c>
      <x:c r="B4384" s="80" t="n">
        <x:v>-0.6638220627930068</x:v>
      </x:c>
      <x:c r="C4384" s="84" t="n">
        <x:f>SQRT('Resumen'!$B$5^3/3)*B4384</x:f>
        <x:v>-0.38325784664755513</x:v>
      </x:c>
      <x:c r="D4384" s="84" t="n">
        <x:f>C4384^2-'Resumen'!$B$5^3/3</x:f>
        <x:v>-0.18644675631641242</x:v>
      </x:c>
      <x:c r="E4384" s="85" t="n">
        <x:f>D4384+'Resumen'!$B$5^3/3</x:f>
        <x:v>0.1468865770169209</x:v>
      </x:c>
    </x:row>
    <x:row r="4385">
      <x:c r="A4385" s="89" t="n">
        <x:v>4383</x:v>
      </x:c>
      <x:c r="B4385" s="80" t="n">
        <x:v>-0.37245310542639054</x:v>
      </x:c>
      <x:c r="C4385" s="84" t="n">
        <x:f>SQRT('Resumen'!$B$5^3/3)*B4385</x:f>
        <x:v>-0.21503590067843864</x:v>
      </x:c>
      <x:c r="D4385" s="84" t="n">
        <x:f>C4385^2-'Resumen'!$B$5^3/3</x:f>
        <x:v>-0.28709289475274596</x:v>
      </x:c>
      <x:c r="E4385" s="85" t="n">
        <x:f>D4385+'Resumen'!$B$5^3/3</x:f>
        <x:v>0.04624043858058735</x:v>
      </x:c>
    </x:row>
    <x:row r="4386">
      <x:c r="A4386" s="89" t="n">
        <x:v>4384</x:v>
      </x:c>
      <x:c r="B4386" s="80" t="n">
        <x:v>-0.9344919187861557</x:v>
      </x:c>
      <x:c r="C4386" s="84" t="n">
        <x:f>SQRT('Resumen'!$B$5^3/3)*B4386</x:f>
        <x:v>-0.5395291608667169</x:v>
      </x:c>
      <x:c r="D4386" s="84" t="n">
        <x:f>C4386^2-'Resumen'!$B$5^3/3</x:f>
        <x:v>-0.042241617907789686</x:v>
      </x:c>
      <x:c r="E4386" s="85" t="n">
        <x:f>D4386+'Resumen'!$B$5^3/3</x:f>
        <x:v>0.29109171542554363</x:v>
      </x:c>
    </x:row>
    <x:row r="4387">
      <x:c r="A4387" s="89" t="n">
        <x:v>4385</x:v>
      </x:c>
      <x:c r="B4387" s="80" t="n">
        <x:v>-0.5713587137920889</x:v>
      </x:c>
      <x:c r="C4387" s="84" t="n">
        <x:f>SQRT('Resumen'!$B$5^3/3)*B4387</x:f>
        <x:v>-0.32987410721170085</x:v>
      </x:c>
      <x:c r="D4387" s="84" t="n">
        <x:f>C4387^2-'Resumen'!$B$5^3/3</x:f>
        <x:v>-0.2245164067246166</x:v>
      </x:c>
      <x:c r="E4387" s="85" t="n">
        <x:f>D4387+'Resumen'!$B$5^3/3</x:f>
        <x:v>0.10881692660871672</x:v>
      </x:c>
    </x:row>
    <x:row r="4388">
      <x:c r="A4388" s="89" t="n">
        <x:v>4386</x:v>
      </x:c>
      <x:c r="B4388" s="80" t="n">
        <x:v>1.853851460391909</x:v>
      </x:c>
      <x:c r="C4388" s="84" t="n">
        <x:f>SQRT('Resumen'!$B$5^3/3)*B4388</x:f>
        <x:v>1.0703216396948494</x:v>
      </x:c>
      <x:c r="D4388" s="84" t="n">
        <x:f>C4388^2-'Resumen'!$B$5^3/3</x:f>
        <x:v>0.8122550790657377</x:v>
      </x:c>
      <x:c r="E4388" s="85" t="n">
        <x:f>D4388+'Resumen'!$B$5^3/3</x:f>
        <x:v>1.145588412399071</x:v>
      </x:c>
    </x:row>
    <x:row r="4389">
      <x:c r="A4389" s="89" t="n">
        <x:v>4387</x:v>
      </x:c>
      <x:c r="B4389" s="80" t="n">
        <x:v>-0.8319329537552497</x:v>
      </x:c>
      <x:c r="C4389" s="84" t="n">
        <x:f>SQRT('Resumen'!$B$5^3/3)*B4389</x:f>
        <x:v>-0.48031671479831384</x:v>
      </x:c>
      <x:c r="D4389" s="84" t="n">
        <x:f>C4389^2-'Resumen'!$B$5^3/3</x:f>
        <x:v>-0.10262918681868857</x:v>
      </x:c>
      <x:c r="E4389" s="85" t="n">
        <x:f>D4389+'Resumen'!$B$5^3/3</x:f>
        <x:v>0.23070414651464474</x:v>
      </x:c>
    </x:row>
    <x:row r="4390">
      <x:c r="A4390" s="89" t="n">
        <x:v>4388</x:v>
      </x:c>
      <x:c r="B4390" s="80" t="n">
        <x:v>-1.0444748250732463</x:v>
      </x:c>
      <x:c r="C4390" s="84" t="n">
        <x:f>SQRT('Resumen'!$B$5^3/3)*B4390</x:f>
        <x:v>-0.603027821417826</x:v>
      </x:c>
      <x:c r="D4390" s="84" t="n">
        <x:f>C4390^2-'Resumen'!$B$5^3/3</x:f>
        <x:v>0.03030922007059611</x:v>
      </x:c>
      <x:c r="E4390" s="85" t="n">
        <x:f>D4390+'Resumen'!$B$5^3/3</x:f>
        <x:v>0.3636425534039294</x:v>
      </x:c>
    </x:row>
    <x:row r="4391">
      <x:c r="A4391" s="89" t="n">
        <x:v>4389</x:v>
      </x:c>
      <x:c r="B4391" s="80" t="n">
        <x:v>1.0537581566961334</x:v>
      </x:c>
      <x:c r="C4391" s="84" t="n">
        <x:f>SQRT('Resumen'!$B$5^3/3)*B4391</x:f>
        <x:v>0.6083875554292764</x:v>
      </x:c>
      <x:c r="D4391" s="84" t="n">
        <x:f>C4391^2-'Resumen'!$B$5^3/3</x:f>
        <x:v>0.03680208426787751</x:v>
      </x:c>
      <x:c r="E4391" s="85" t="n">
        <x:f>D4391+'Resumen'!$B$5^3/3</x:f>
        <x:v>0.3701354176012108</x:v>
      </x:c>
    </x:row>
    <x:row r="4392">
      <x:c r="A4392" s="89" t="n">
        <x:v>4390</x:v>
      </x:c>
      <x:c r="B4392" s="80" t="n">
        <x:v>-0.06173196877029722</x:v>
      </x:c>
      <x:c r="C4392" s="84" t="n">
        <x:f>SQRT('Resumen'!$B$5^3/3)*B4392</x:f>
        <x:v>-0.03564096878713667</x:v>
      </x:c>
      <x:c r="D4392" s="84" t="n">
        <x:f>C4392^2-'Resumen'!$B$5^3/3</x:f>
        <x:v>-0.33206305467724767</x:v>
      </x:c>
      <x:c r="E4392" s="85" t="n">
        <x:f>D4392+'Resumen'!$B$5^3/3</x:f>
        <x:v>0.0012702786560856438</x:v>
      </x:c>
    </x:row>
    <x:row r="4393">
      <x:c r="A4393" s="89" t="n">
        <x:v>4391</x:v>
      </x:c>
      <x:c r="B4393" s="80" t="n">
        <x:v>2.021656143109295</x:v>
      </x:c>
      <x:c r="C4393" s="84" t="n">
        <x:f>SQRT('Resumen'!$B$5^3/3)*B4393</x:f>
        <x:v>1.1672037184330122</x:v>
      </x:c>
      <x:c r="D4393" s="84" t="n">
        <x:f>C4393^2-'Resumen'!$B$5^3/3</x:f>
        <x:v>1.029031186990517</x:v>
      </x:c>
      <x:c r="E4393" s="85" t="n">
        <x:f>D4393+'Resumen'!$B$5^3/3</x:f>
        <x:v>1.3623645203238504</x:v>
      </x:c>
    </x:row>
    <x:row r="4394">
      <x:c r="A4394" s="89" t="n">
        <x:v>4392</x:v>
      </x:c>
      <x:c r="B4394" s="80" t="n">
        <x:v>-0.5743698954713983</x:v>
      </x:c>
      <x:c r="C4394" s="84" t="n">
        <x:f>SQRT('Resumen'!$B$5^3/3)*B4394</x:f>
        <x:v>-0.331612613764829</x:v>
      </x:c>
      <x:c r="D4394" s="84" t="n">
        <x:f>C4394^2-'Resumen'!$B$5^3/3</x:f>
        <x:v>-0.22336640772539168</x:v>
      </x:c>
      <x:c r="E4394" s="85" t="n">
        <x:f>D4394+'Resumen'!$B$5^3/3</x:f>
        <x:v>0.10996692560794163</x:v>
      </x:c>
    </x:row>
    <x:row r="4395">
      <x:c r="A4395" s="89" t="n">
        <x:v>4393</x:v>
      </x:c>
      <x:c r="B4395" s="80" t="n">
        <x:v>-1.1028505099350576</x:v>
      </x:c>
      <x:c r="C4395" s="84" t="n">
        <x:f>SQRT('Resumen'!$B$5^3/3)*B4395</x:f>
        <x:v>-0.6367310387869215</x:v>
      </x:c>
      <x:c r="D4395" s="84" t="n">
        <x:f>C4395^2-'Resumen'!$B$5^3/3</x:f>
        <x:v>0.07209308242133883</x:v>
      </x:c>
      <x:c r="E4395" s="85" t="n">
        <x:f>D4395+'Resumen'!$B$5^3/3</x:f>
        <x:v>0.40542641575467214</x:v>
      </x:c>
    </x:row>
    <x:row r="4396">
      <x:c r="A4396" s="89" t="n">
        <x:v>4394</x:v>
      </x:c>
      <x:c r="B4396" s="80" t="n">
        <x:v>-0.053121658463157265</x:v>
      </x:c>
      <x:c r="C4396" s="84" t="n">
        <x:f>SQRT('Resumen'!$B$5^3/3)*B4396</x:f>
        <x:v>-0.030669803813503208</x:v>
      </x:c>
      <x:c r="D4396" s="84" t="n">
        <x:f>C4396^2-'Resumen'!$B$5^3/3</x:f>
        <x:v>-0.3323926964673745</x:v>
      </x:c>
      <x:c r="E4396" s="85" t="n">
        <x:f>D4396+'Resumen'!$B$5^3/3</x:f>
        <x:v>0.0009406368659587994</x:v>
      </x:c>
    </x:row>
    <x:row r="4397">
      <x:c r="A4397" s="89" t="n">
        <x:v>4395</x:v>
      </x:c>
      <x:c r="B4397" s="80" t="n">
        <x:v>0.0016947711118298543</x:v>
      </x:c>
      <x:c r="C4397" s="84" t="n">
        <x:f>SQRT('Resumen'!$B$5^3/3)*B4397</x:f>
        <x:v>0.0009784765576297677</x:v>
      </x:c>
      <x:c r="D4397" s="84" t="n">
        <x:f>C4397^2-'Resumen'!$B$5^3/3</x:f>
        <x:v>-0.33333237591695947</x:v>
      </x:c>
      <x:c r="E4397" s="85" t="n">
        <x:f>D4397+'Resumen'!$B$5^3/3</x:f>
        <x:v>9.574163738479413e-7</x:v>
      </x:c>
    </x:row>
    <x:row r="4398">
      <x:c r="A4398" s="89" t="n">
        <x:v>4396</x:v>
      </x:c>
      <x:c r="B4398" s="80" t="n">
        <x:v>-0.34155433860900397</x:v>
      </x:c>
      <x:c r="C4398" s="84" t="n">
        <x:f>SQRT('Resumen'!$B$5^3/3)*B4398</x:f>
        <x:v>-0.19719648933879302</x:v>
      </x:c>
      <x:c r="D4398" s="84" t="n">
        <x:f>C4398^2-'Resumen'!$B$5^3/3</x:f>
        <x:v>-0.2944468779257886</x:v>
      </x:c>
      <x:c r="E4398" s="85" t="n">
        <x:f>D4398+'Resumen'!$B$5^3/3</x:f>
        <x:v>0.03888645540754471</x:v>
      </x:c>
    </x:row>
    <x:row r="4399">
      <x:c r="A4399" s="89" t="n">
        <x:v>4397</x:v>
      </x:c>
      <x:c r="B4399" s="80" t="n">
        <x:v>-0.5362778259177409</x:v>
      </x:c>
      <x:c r="C4399" s="84" t="n">
        <x:f>SQRT('Resumen'!$B$5^3/3)*B4399</x:f>
        <x:v>-0.30962014715403496</x:v>
      </x:c>
      <x:c r="D4399" s="84" t="n">
        <x:f>C4399^2-'Resumen'!$B$5^3/3</x:f>
        <x:v>-0.23746869780964705</x:v>
      </x:c>
      <x:c r="E4399" s="85" t="n">
        <x:f>D4399+'Resumen'!$B$5^3/3</x:f>
        <x:v>0.09586463552368626</x:v>
      </x:c>
    </x:row>
    <x:row r="4400">
      <x:c r="A4400" s="89" t="n">
        <x:v>4398</x:v>
      </x:c>
      <x:c r="B4400" s="80" t="n">
        <x:v>0.622078896436531</x:v>
      </x:c>
      <x:c r="C4400" s="84" t="n">
        <x:f>SQRT('Resumen'!$B$5^3/3)*B4400</x:f>
        <x:v>0.3591574183148165</x:v>
      </x:c>
      <x:c r="D4400" s="84" t="n">
        <x:f>C4400^2-'Resumen'!$B$5^3/3</x:f>
        <x:v>-0.20433928220276923</x:v>
      </x:c>
      <x:c r="E4400" s="85" t="n">
        <x:f>D4400+'Resumen'!$B$5^3/3</x:f>
        <x:v>0.12899405113056409</x:v>
      </x:c>
    </x:row>
    <x:row r="4401">
      <x:c r="A4401" s="89" t="n">
        <x:v>4399</x:v>
      </x:c>
      <x:c r="B4401" s="80" t="n">
        <x:v>0.11722566015040667</x:v>
      </x:c>
      <x:c r="C4401" s="84" t="n">
        <x:f>SQRT('Resumen'!$B$5^3/3)*B4401</x:f>
        <x:v>0.06768026644376887</x:v>
      </x:c>
      <x:c r="D4401" s="84" t="n">
        <x:f>C4401^2-'Resumen'!$B$5^3/3</x:f>
        <x:v>-0.3287527148674338</x:v>
      </x:c>
      <x:c r="E4401" s="85" t="n">
        <x:f>D4401+'Resumen'!$B$5^3/3</x:f>
        <x:v>0.004580618465899522</x:v>
      </x:c>
    </x:row>
    <x:row r="4402">
      <x:c r="A4402" s="89" t="n">
        <x:v>4400</x:v>
      </x:c>
      <x:c r="B4402" s="80" t="n">
        <x:v>1.537173315367152</x:v>
      </x:c>
      <x:c r="C4402" s="84" t="n">
        <x:f>SQRT('Resumen'!$B$5^3/3)*B4402</x:f>
        <x:v>0.8874874274183348</x:v>
      </x:c>
      <x:c r="D4402" s="84" t="n">
        <x:f>C4402^2-'Resumen'!$B$5^3/3</x:f>
        <x:v>0.45430060049228066</x:v>
      </x:c>
      <x:c r="E4402" s="85" t="n">
        <x:f>D4402+'Resumen'!$B$5^3/3</x:f>
        <x:v>0.787633933825614</x:v>
      </x:c>
    </x:row>
    <x:row r="4403">
      <x:c r="A4403" s="89" t="n">
        <x:v>4401</x:v>
      </x:c>
      <x:c r="B4403" s="80" t="n">
        <x:v>0.7108684733043671</x:v>
      </x:c>
      <x:c r="C4403" s="84" t="n">
        <x:f>SQRT('Resumen'!$B$5^3/3)*B4403</x:f>
        <x:v>0.4104201044206946</x:v>
      </x:c>
      <x:c r="D4403" s="84" t="n">
        <x:f>C4403^2-'Resumen'!$B$5^3/3</x:f>
        <x:v>-0.16488867122063947</x:v>
      </x:c>
      <x:c r="E4403" s="85" t="n">
        <x:f>D4403+'Resumen'!$B$5^3/3</x:f>
        <x:v>0.16844466211269385</x:v>
      </x:c>
    </x:row>
    <x:row r="4404">
      <x:c r="A4404" s="89" t="n">
        <x:v>4402</x:v>
      </x:c>
      <x:c r="B4404" s="80" t="n">
        <x:v>-0.4829677108865468</x:v>
      </x:c>
      <x:c r="C4404" s="84" t="n">
        <x:f>SQRT('Resumen'!$B$5^3/3)*B4404</x:f>
        <x:v>-0.27884153789024513</x:v>
      </x:c>
      <x:c r="D4404" s="84" t="n">
        <x:f>C4404^2-'Resumen'!$B$5^3/3</x:f>
        <x:v>-0.2555807300803363</x:v>
      </x:c>
      <x:c r="E4404" s="85" t="n">
        <x:f>D4404+'Resumen'!$B$5^3/3</x:f>
        <x:v>0.07775260325299699</x:v>
      </x:c>
    </x:row>
    <x:row r="4405">
      <x:c r="A4405" s="89" t="n">
        <x:v>4403</x:v>
      </x:c>
      <x:c r="B4405" s="80" t="n">
        <x:v>0.9708165944629001</x:v>
      </x:c>
      <x:c r="C4405" s="84" t="n">
        <x:f>SQRT('Resumen'!$B$5^3/3)*B4405</x:f>
        <x:v>0.5605012221469111</x:v>
      </x:c>
      <x:c r="D4405" s="84" t="n">
        <x:f>C4405^2-'Resumen'!$B$5^3/3</x:f>
        <x:v>-0.019171713305152327</x:v>
      </x:c>
      <x:c r="E4405" s="85" t="n">
        <x:f>D4405+'Resumen'!$B$5^3/3</x:f>
        <x:v>0.314161620028181</x:v>
      </x:c>
    </x:row>
    <x:row r="4406">
      <x:c r="A4406" s="89" t="n">
        <x:v>4404</x:v>
      </x:c>
      <x:c r="B4406" s="80" t="n">
        <x:v>0.4626696295824484</x:v>
      </x:c>
      <x:c r="C4406" s="84" t="n">
        <x:f>SQRT('Resumen'!$B$5^3/3)*B4406</x:f>
        <x:v>0.267122435185291</x:v>
      </x:c>
      <x:c r="D4406" s="84" t="n">
        <x:f>C4406^2-'Resumen'!$B$5^3/3</x:f>
        <x:v>-0.26197893795401334</x:v>
      </x:c>
      <x:c r="E4406" s="85" t="n">
        <x:f>D4406+'Resumen'!$B$5^3/3</x:f>
        <x:v>0.07135439537931998</x:v>
      </x:c>
    </x:row>
    <x:row r="4407">
      <x:c r="A4407" s="89" t="n">
        <x:v>4405</x:v>
      </x:c>
      <x:c r="B4407" s="80" t="n">
        <x:v>-0.10656529983931214</x:v>
      </x:c>
      <x:c r="C4407" s="84" t="n">
        <x:f>SQRT('Resumen'!$B$5^3/3)*B4407</x:f>
        <x:v>-0.06152550454850004</x:v>
      </x:c>
      <x:c r="D4407" s="84" t="n">
        <x:f>C4407^2-'Resumen'!$B$5^3/3</x:f>
        <x:v>-0.3295479456233858</x:v>
      </x:c>
      <x:c r="E4407" s="85" t="n">
        <x:f>D4407+'Resumen'!$B$5^3/3</x:f>
        <x:v>0.0037853877099475186</x:v>
      </x:c>
    </x:row>
    <x:row r="4408">
      <x:c r="A4408" s="89" t="n">
        <x:v>4406</x:v>
      </x:c>
      <x:c r="B4408" s="80" t="n">
        <x:v>-0.8035772985087645</x:v>
      </x:c>
      <x:c r="C4408" s="84" t="n">
        <x:f>SQRT('Resumen'!$B$5^3/3)*B4408</x:f>
        <x:v>-0.4639455696087074</x:v>
      </x:c>
      <x:c r="D4408" s="84" t="n">
        <x:f>C4408^2-'Resumen'!$B$5^3/3</x:f>
        <x:v>-0.11808784177378534</x:v>
      </x:c>
      <x:c r="E4408" s="85" t="n">
        <x:f>D4408+'Resumen'!$B$5^3/3</x:f>
        <x:v>0.21524549155954797</x:v>
      </x:c>
    </x:row>
    <x:row r="4409">
      <x:c r="A4409" s="89" t="n">
        <x:v>4407</x:v>
      </x:c>
      <x:c r="B4409" s="80" t="n">
        <x:v>-0.15016182853851684</x:v>
      </x:c>
      <x:c r="C4409" s="84" t="n">
        <x:f>SQRT('Resumen'!$B$5^3/3)*B4409</x:f>
        <x:v>-0.08669597212871911</x:v>
      </x:c>
      <x:c r="D4409" s="84" t="n">
        <x:f>C4409^2-'Resumen'!$B$5^3/3</x:f>
        <x:v>-0.32581714174998966</x:v>
      </x:c>
      <x:c r="E4409" s="85" t="n">
        <x:f>D4409+'Resumen'!$B$5^3/3</x:f>
        <x:v>0.0075161915833436566</x:v>
      </x:c>
    </x:row>
    <x:row r="4410">
      <x:c r="A4410" s="89" t="n">
        <x:v>4408</x:v>
      </x:c>
      <x:c r="B4410" s="80" t="n">
        <x:v>0.3663029195865657</x:v>
      </x:c>
      <x:c r="C4410" s="84" t="n">
        <x:f>SQRT('Resumen'!$B$5^3/3)*B4410</x:f>
        <x:v>0.21148508922824952</x:v>
      </x:c>
      <x:c r="D4410" s="84" t="n">
        <x:f>C4410^2-'Resumen'!$B$5^3/3</x:f>
        <x:v>-0.28860739036745264</x:v>
      </x:c>
      <x:c r="E4410" s="85" t="n">
        <x:f>D4410+'Resumen'!$B$5^3/3</x:f>
        <x:v>0.04472594296588067</x:v>
      </x:c>
    </x:row>
    <x:row r="4411">
      <x:c r="A4411" s="89" t="n">
        <x:v>4409</x:v>
      </x:c>
      <x:c r="B4411" s="80" t="n">
        <x:v>1.3296334467697757</x:v>
      </x:c>
      <x:c r="C4411" s="84" t="n">
        <x:f>SQRT('Resumen'!$B$5^3/3)*B4411</x:f>
        <x:v>0.7676642284160599</x:v>
      </x:c>
      <x:c r="D4411" s="84" t="n">
        <x:f>C4411^2-'Resumen'!$B$5^3/3</x:f>
        <x:v>0.25597503425629126</x:v>
      </x:c>
      <x:c r="E4411" s="85" t="n">
        <x:f>D4411+'Resumen'!$B$5^3/3</x:f>
        <x:v>0.5893083675896246</x:v>
      </x:c>
    </x:row>
    <x:row r="4412">
      <x:c r="A4412" s="89" t="n">
        <x:v>4410</x:v>
      </x:c>
      <x:c r="B4412" s="80" t="n">
        <x:v>0.16455493270572977</x:v>
      </x:c>
      <x:c r="C4412" s="84" t="n">
        <x:f>SQRT('Resumen'!$B$5^3/3)*B4412</x:f>
        <x:v>0.09500583469413383</x:v>
      </x:c>
      <x:c r="D4412" s="84" t="n">
        <x:f>C4412^2-'Resumen'!$B$5^3/3</x:f>
        <x:v>-0.32430722470740425</x:v>
      </x:c>
      <x:c r="E4412" s="85" t="n">
        <x:f>D4412+'Resumen'!$B$5^3/3</x:f>
        <x:v>0.009026108625929063</x:v>
      </x:c>
    </x:row>
    <x:row r="4413">
      <x:c r="A4413" s="89" t="n">
        <x:v>4411</x:v>
      </x:c>
      <x:c r="B4413" s="80" t="n">
        <x:v>-1.6348642201492132</x:v>
      </x:c>
      <x:c r="C4413" s="84" t="n">
        <x:f>SQRT('Resumen'!$B$5^3/3)*B4413</x:f>
        <x:v>-0.9438892975916358</x:v>
      </x:c>
      <x:c r="D4413" s="84" t="n">
        <x:f>C4413^2-'Resumen'!$B$5^3/3</x:f>
        <x:v>0.5575936727746982</x:v>
      </x:c>
      <x:c r="E4413" s="85" t="n">
        <x:f>D4413+'Resumen'!$B$5^3/3</x:f>
        <x:v>0.8909270061080314</x:v>
      </x:c>
    </x:row>
    <x:row r="4414">
      <x:c r="A4414" s="89" t="n">
        <x:v>4412</x:v>
      </x:c>
      <x:c r="B4414" s="80" t="n">
        <x:v>0.1250991799420026</x:v>
      </x:c>
      <x:c r="C4414" s="84" t="n">
        <x:f>SQRT('Resumen'!$B$5^3/3)*B4414</x:f>
        <x:v>0.07222604521491663</x:v>
      </x:c>
      <x:c r="D4414" s="84" t="n">
        <x:f>C4414^2-'Resumen'!$B$5^3/3</x:f>
        <x:v>-0.32811673172594613</x:v>
      </x:c>
      <x:c r="E4414" s="85" t="n">
        <x:f>D4414+'Resumen'!$B$5^3/3</x:f>
        <x:v>0.0052166016073871835</x:v>
      </x:c>
    </x:row>
    <x:row r="4415">
      <x:c r="A4415" s="89" t="n">
        <x:v>4413</x:v>
      </x:c>
      <x:c r="B4415" s="80" t="n">
        <x:v>-1.0472193204747877</x:v>
      </x:c>
      <x:c r="C4415" s="84" t="n">
        <x:f>SQRT('Resumen'!$B$5^3/3)*B4415</x:f>
        <x:v>-0.6046123565766957</x:v>
      </x:c>
      <x:c r="D4415" s="84" t="n">
        <x:f>C4415^2-'Resumen'!$B$5^3/3</x:f>
        <x:v>0.03222276839189203</x:v>
      </x:c>
      <x:c r="E4415" s="85" t="n">
        <x:f>D4415+'Resumen'!$B$5^3/3</x:f>
        <x:v>0.36555610172522535</x:v>
      </x:c>
    </x:row>
    <x:row r="4416">
      <x:c r="A4416" s="89" t="n">
        <x:v>4414</x:v>
      </x:c>
      <x:c r="B4416" s="80" t="n">
        <x:v>0.2929988102428954</x:v>
      </x:c>
      <x:c r="C4416" s="84" t="n">
        <x:f>SQRT('Resumen'!$B$5^3/3)*B4416</x:f>
        <x:v>0.16916294196597575</x:v>
      </x:c>
      <x:c r="D4416" s="84" t="n">
        <x:f>C4416^2-'Resumen'!$B$5^3/3</x:f>
        <x:v>-0.30471723239874926</x:v>
      </x:c>
      <x:c r="E4416" s="85" t="n">
        <x:f>D4416+'Resumen'!$B$5^3/3</x:f>
        <x:v>0.028616100934584054</x:v>
      </x:c>
    </x:row>
    <x:row r="4417">
      <x:c r="A4417" s="89" t="n">
        <x:v>4415</x:v>
      </x:c>
      <x:c r="B4417" s="80" t="n">
        <x:v>-0.11327909582449529</x:v>
      </x:c>
      <x:c r="C4417" s="84" t="n">
        <x:f>SQRT('Resumen'!$B$5^3/3)*B4417</x:f>
        <x:v>-0.06540171646782976</x:v>
      </x:c>
      <x:c r="D4417" s="84" t="n">
        <x:f>C4417^2-'Resumen'!$B$5^3/3</x:f>
        <x:v>-0.32905594881639494</x:v>
      </x:c>
      <x:c r="E4417" s="85" t="n">
        <x:f>D4417+'Resumen'!$B$5^3/3</x:f>
        <x:v>0.004277384516938376</x:v>
      </x:c>
    </x:row>
    <x:row r="4418">
      <x:c r="A4418" s="89" t="n">
        <x:v>4416</x:v>
      </x:c>
      <x:c r="B4418" s="80" t="n">
        <x:v>-0.2554313828192266</x:v>
      </x:c>
      <x:c r="C4418" s="84" t="n">
        <x:f>SQRT('Resumen'!$B$5^3/3)*B4418</x:f>
        <x:v>-0.14747337763015883</x:v>
      </x:c>
      <x:c r="D4418" s="84" t="n">
        <x:f>C4418^2-'Resumen'!$B$5^3/3</x:f>
        <x:v>-0.3115849362236859</x:v>
      </x:c>
      <x:c r="E4418" s="85" t="n">
        <x:f>D4418+'Resumen'!$B$5^3/3</x:f>
        <x:v>0.021748397109647433</x:v>
      </x:c>
    </x:row>
    <x:row r="4419">
      <x:c r="A4419" s="89" t="n">
        <x:v>4417</x:v>
      </x:c>
      <x:c r="B4419" s="80" t="n">
        <x:v>-0.49242386422667095</x:v>
      </x:c>
      <x:c r="C4419" s="84" t="n">
        <x:f>SQRT('Resumen'!$B$5^3/3)*B4419</x:f>
        <x:v>-0.28430105056666416</x:v>
      </x:c>
      <x:c r="D4419" s="84" t="n">
        <x:f>C4419^2-'Resumen'!$B$5^3/3</x:f>
        <x:v>-0.25250624598002436</x:v>
      </x:c>
      <x:c r="E4419" s="85" t="n">
        <x:f>D4419+'Resumen'!$B$5^3/3</x:f>
        <x:v>0.08082708735330896</x:v>
      </x:c>
    </x:row>
    <x:row r="4420">
      <x:c r="A4420" s="89" t="n">
        <x:v>4418</x:v>
      </x:c>
      <x:c r="B4420" s="80" t="n">
        <x:v>0.459704085000344</x:v>
      </x:c>
      <x:c r="C4420" s="84" t="n">
        <x:f>SQRT('Resumen'!$B$5^3/3)*B4420</x:f>
        <x:v>0.2654102772225192</x:v>
      </x:c>
      <x:c r="D4420" s="84" t="n">
        <x:f>C4420^2-'Resumen'!$B$5^3/3</x:f>
        <x:v>-0.2628907180779988</x:v>
      </x:c>
      <x:c r="E4420" s="85" t="n">
        <x:f>D4420+'Resumen'!$B$5^3/3</x:f>
        <x:v>0.07044261525533452</x:v>
      </x:c>
    </x:row>
    <x:row r="4421">
      <x:c r="A4421" s="89" t="n">
        <x:v>4419</x:v>
      </x:c>
      <x:c r="B4421" s="80" t="n">
        <x:v>-0.0725845722628891</x:v>
      </x:c>
      <x:c r="C4421" s="84" t="n">
        <x:f>SQRT('Resumen'!$B$5^3/3)*B4421</x:f>
        <x:v>-0.04190672233499286</x:v>
      </x:c>
      <x:c r="D4421" s="84" t="n">
        <x:f>C4421^2-'Resumen'!$B$5^3/3</x:f>
        <x:v>-0.33157715995647113</x:v>
      </x:c>
      <x:c r="E4421" s="85" t="n">
        <x:f>D4421+'Resumen'!$B$5^3/3</x:f>
        <x:v>0.0017561733768621801</x:v>
      </x:c>
    </x:row>
    <x:row r="4422">
      <x:c r="A4422" s="89" t="n">
        <x:v>4420</x:v>
      </x:c>
      <x:c r="B4422" s="80" t="n">
        <x:v>-0.18025719428978232</x:v>
      </x:c>
      <x:c r="C4422" s="84" t="n">
        <x:f>SQRT('Resumen'!$B$5^3/3)*B4422</x:f>
        <x:v>-0.1040715396465725</x:v>
      </x:c>
      <x:c r="D4422" s="84" t="n">
        <x:f>C4422^2-'Resumen'!$B$5^3/3</x:f>
        <x:v>-0.3225024479689252</x:v>
      </x:c>
      <x:c r="E4422" s="85" t="n">
        <x:f>D4422+'Resumen'!$B$5^3/3</x:f>
        <x:v>0.010830885364408127</x:v>
      </x:c>
    </x:row>
    <x:row r="4423">
      <x:c r="A4423" s="89" t="n">
        <x:v>4421</x:v>
      </x:c>
      <x:c r="B4423" s="80" t="n">
        <x:v>0.4495901241689399</x:v>
      </x:c>
      <x:c r="C4423" s="84" t="n">
        <x:f>SQRT('Resumen'!$B$5^3/3)*B4423</x:f>
        <x:v>0.2595709792139347</x:v>
      </x:c>
      <x:c r="D4423" s="84" t="n">
        <x:f>C4423^2-'Resumen'!$B$5^3/3</x:f>
        <x:v>-0.2659562400832524</x:v>
      </x:c>
      <x:c r="E4423" s="85" t="n">
        <x:f>D4423+'Resumen'!$B$5^3/3</x:f>
        <x:v>0.0673770932500809</x:v>
      </x:c>
    </x:row>
    <x:row r="4424">
      <x:c r="A4424" s="89" t="n">
        <x:v>4422</x:v>
      </x:c>
      <x:c r="B4424" s="80" t="n">
        <x:v>1.8932769402175242</x:v>
      </x:c>
      <x:c r="C4424" s="84" t="n">
        <x:f>SQRT('Resumen'!$B$5^3/3)*B4424</x:f>
        <x:v>1.0930839510850985</x:v>
      </x:c>
      <x:c r="D4424" s="84" t="n">
        <x:f>C4424^2-'Resumen'!$B$5^3/3</x:f>
        <x:v>0.8614991907864766</x:v>
      </x:c>
      <x:c r="E4424" s="85" t="n">
        <x:f>D4424+'Resumen'!$B$5^3/3</x:f>
        <x:v>1.19483252411981</x:v>
      </x:c>
    </x:row>
    <x:row r="4425">
      <x:c r="A4425" s="89" t="n">
        <x:v>4423</x:v>
      </x:c>
      <x:c r="B4425" s="80" t="n">
        <x:v>1.6778318206349039</x:v>
      </x:c>
      <x:c r="C4425" s="84" t="n">
        <x:f>SQRT('Resumen'!$B$5^3/3)*B4425</x:f>
        <x:v>0.9686966532984816</x:v>
      </x:c>
      <x:c r="D4425" s="84" t="n">
        <x:f>C4425^2-'Resumen'!$B$5^3/3</x:f>
        <x:v>0.6050398727783455</x:v>
      </x:c>
      <x:c r="E4425" s="85" t="n">
        <x:f>D4425+'Resumen'!$B$5^3/3</x:f>
        <x:v>0.9383732061116787</x:v>
      </x:c>
    </x:row>
    <x:row r="4426">
      <x:c r="A4426" s="89" t="n">
        <x:v>4424</x:v>
      </x:c>
      <x:c r="B4426" s="80" t="n">
        <x:v>-0.5930215472114233</x:v>
      </x:c>
      <x:c r="C4426" s="84" t="n">
        <x:f>SQRT('Resumen'!$B$5^3/3)*B4426</x:f>
        <x:v>-0.3423811499177636</x:v>
      </x:c>
      <x:c r="D4426" s="84" t="n">
        <x:f>C4426^2-'Resumen'!$B$5^3/3</x:f>
        <x:v>-0.21610848151432321</x:v>
      </x:c>
      <x:c r="E4426" s="85" t="n">
        <x:f>D4426+'Resumen'!$B$5^3/3</x:f>
        <x:v>0.1172248518190101</x:v>
      </x:c>
    </x:row>
    <x:row r="4427">
      <x:c r="A4427" s="89" t="n">
        <x:v>4425</x:v>
      </x:c>
      <x:c r="B4427" s="80" t="n">
        <x:v>1.00895861640065</x:v>
      </x:c>
      <x:c r="C4427" s="84" t="n">
        <x:f>SQRT('Resumen'!$B$5^3/3)*B4427</x:f>
        <x:v>0.5825225287801077</x:v>
      </x:c>
      <x:c r="D4427" s="84" t="n">
        <x:f>C4427^2-'Resumen'!$B$5^3/3</x:f>
        <x:v>0.00599916320303806</x:v>
      </x:c>
      <x:c r="E4427" s="85" t="n">
        <x:f>D4427+'Resumen'!$B$5^3/3</x:f>
        <x:v>0.3393324965363714</x:v>
      </x:c>
    </x:row>
    <x:row r="4428">
      <x:c r="A4428" s="89" t="n">
        <x:v>4426</x:v>
      </x:c>
      <x:c r="B4428" s="80" t="n">
        <x:v>0.32842376735519047</x:v>
      </x:c>
      <x:c r="C4428" s="84" t="n">
        <x:f>SQRT('Resumen'!$B$5^3/3)*B4428</x:f>
        <x:v>0.18961555049079024</x:v>
      </x:c>
      <x:c r="D4428" s="84" t="n">
        <x:f>C4428^2-'Resumen'!$B$5^3/3</x:f>
        <x:v>-0.2973792763454079</x:v>
      </x:c>
      <x:c r="E4428" s="85" t="n">
        <x:f>D4428+'Resumen'!$B$5^3/3</x:f>
        <x:v>0.03595405698792542</x:v>
      </x:c>
    </x:row>
    <x:row r="4429">
      <x:c r="A4429" s="89" t="n">
        <x:v>4427</x:v>
      </x:c>
      <x:c r="B4429" s="80" t="n">
        <x:v>-0.7830596827551344</x:v>
      </x:c>
      <x:c r="C4429" s="84" t="n">
        <x:f>SQRT('Resumen'!$B$5^3/3)*B4429</x:f>
        <x:v>-0.45209971863021975</x:v>
      </x:c>
      <x:c r="D4429" s="84" t="n">
        <x:f>C4429^2-'Resumen'!$B$5^3/3</x:f>
        <x:v>-0.12893917774780944</x:v>
      </x:c>
      <x:c r="E4429" s="85" t="n">
        <x:f>D4429+'Resumen'!$B$5^3/3</x:f>
        <x:v>0.20439415558552387</x:v>
      </x:c>
    </x:row>
    <x:row r="4430">
      <x:c r="A4430" s="89" t="n">
        <x:v>4428</x:v>
      </x:c>
      <x:c r="B4430" s="80" t="n">
        <x:v>-0.2098340351079048</x:v>
      </x:c>
      <x:c r="C4430" s="84" t="n">
        <x:f>SQRT('Resumen'!$B$5^3/3)*B4430</x:f>
        <x:v>-0.12114773665469421</x:v>
      </x:c>
      <x:c r="D4430" s="84" t="n">
        <x:f>C4430^2-'Resumen'!$B$5^3/3</x:f>
        <x:v>-0.31865655923677816</x:v>
      </x:c>
      <x:c r="E4430" s="85" t="n">
        <x:f>D4430+'Resumen'!$B$5^3/3</x:f>
        <x:v>0.014676774096555156</x:v>
      </x:c>
    </x:row>
    <x:row r="4431">
      <x:c r="A4431" s="89" t="n">
        <x:v>4429</x:v>
      </x:c>
      <x:c r="B4431" s="80" t="n">
        <x:v>0.9770965383321073</x:v>
      </x:c>
      <x:c r="C4431" s="84" t="n">
        <x:f>SQRT('Resumen'!$B$5^3/3)*B4431</x:f>
        <x:v>0.5641269494302936</x:v>
      </x:c>
      <x:c r="D4431" s="84" t="n">
        <x:f>C4431^2-'Resumen'!$B$5^3/3</x:f>
        <x:v>-0.015094118259804279</x:v>
      </x:c>
      <x:c r="E4431" s="85" t="n">
        <x:f>D4431+'Resumen'!$B$5^3/3</x:f>
        <x:v>0.31823921507352904</x:v>
      </x:c>
    </x:row>
    <x:row r="4432">
      <x:c r="A4432" s="89" t="n">
        <x:v>4430</x:v>
      </x:c>
      <x:c r="B4432" s="80" t="n">
        <x:v>1.534299724748851</x:v>
      </x:c>
      <x:c r="C4432" s="84" t="n">
        <x:f>SQRT('Resumen'!$B$5^3/3)*B4432</x:f>
        <x:v>0.8858283591013177</x:v>
      </x:c>
      <x:c r="D4432" s="84" t="n">
        <x:f>C4432^2-'Resumen'!$B$5^3/3</x:f>
        <x:v>0.4513585484547998</x:v>
      </x:c>
      <x:c r="E4432" s="85" t="n">
        <x:f>D4432+'Resumen'!$B$5^3/3</x:f>
        <x:v>0.7846918817881331</x:v>
      </x:c>
    </x:row>
    <x:row r="4433">
      <x:c r="A4433" s="89" t="n">
        <x:v>4431</x:v>
      </x:c>
      <x:c r="B4433" s="80" t="n">
        <x:v>1.5549457847959545</x:v>
      </x:c>
      <x:c r="C4433" s="84" t="n">
        <x:f>SQRT('Resumen'!$B$5^3/3)*B4433</x:f>
        <x:v>0.8977483674272182</x:v>
      </x:c>
      <x:c r="D4433" s="84" t="n">
        <x:f>C4433^2-'Resumen'!$B$5^3/3</x:f>
        <x:v>0.4726187978849023</x:v>
      </x:c>
      <x:c r="E4433" s="85" t="n">
        <x:f>D4433+'Resumen'!$B$5^3/3</x:f>
        <x:v>0.8059521312182356</x:v>
      </x:c>
    </x:row>
    <x:row r="4434">
      <x:c r="A4434" s="89" t="n">
        <x:v>4432</x:v>
      </x:c>
      <x:c r="B4434" s="80" t="n">
        <x:v>1.463287070935317</x:v>
      </x:c>
      <x:c r="C4434" s="84" t="n">
        <x:f>SQRT('Resumen'!$B$5^3/3)*B4434</x:f>
        <x:v>0.8448291843062042</x:v>
      </x:c>
      <x:c r="D4434" s="84" t="n">
        <x:f>C4434^2-'Resumen'!$B$5^3/3</x:f>
        <x:v>0.38040301732215315</x:v>
      </x:c>
      <x:c r="E4434" s="85" t="n">
        <x:f>D4434+'Resumen'!$B$5^3/3</x:f>
        <x:v>0.7137363506554865</x:v>
      </x:c>
    </x:row>
    <x:row r="4435">
      <x:c r="A4435" s="89" t="n">
        <x:v>4433</x:v>
      </x:c>
      <x:c r="B4435" s="80" t="n">
        <x:v>2.070057118347124</x:v>
      </x:c>
      <x:c r="C4435" s="84" t="n">
        <x:f>SQRT('Resumen'!$B$5^3/3)*B4435</x:f>
        <x:v>1.195148034515613</x:v>
      </x:c>
      <x:c r="D4435" s="84" t="n">
        <x:f>C4435^2-'Resumen'!$B$5^3/3</x:f>
        <x:v>1.0950454910731995</x:v>
      </x:c>
      <x:c r="E4435" s="85" t="n">
        <x:f>D4435+'Resumen'!$B$5^3/3</x:f>
        <x:v>1.4283788244065327</x:v>
      </x:c>
    </x:row>
    <x:row r="4436">
      <x:c r="A4436" s="89" t="n">
        <x:v>4434</x:v>
      </x:c>
      <x:c r="B4436" s="80" t="n">
        <x:v>-0.743193701108877</x:v>
      </x:c>
      <x:c r="C4436" s="84" t="n">
        <x:f>SQRT('Resumen'!$B$5^3/3)*B4436</x:f>
        <x:v>-0.42908308339524437</x:v>
      </x:c>
      <x:c r="D4436" s="84" t="n">
        <x:f>C4436^2-'Resumen'!$B$5^3/3</x:f>
        <x:v>-0.14922104087736307</x:v>
      </x:c>
      <x:c r="E4436" s="85" t="n">
        <x:f>D4436+'Resumen'!$B$5^3/3</x:f>
        <x:v>0.18411229245597024</x:v>
      </x:c>
    </x:row>
    <x:row r="4437">
      <x:c r="A4437" s="89" t="n">
        <x:v>4435</x:v>
      </x:c>
      <x:c r="B4437" s="80" t="n">
        <x:v>1.034164615483378</x:v>
      </x:c>
      <x:c r="C4437" s="84" t="n">
        <x:f>SQRT('Resumen'!$B$5^3/3)*B4437</x:f>
        <x:v>0.597075219135714</x:v>
      </x:c>
      <x:c r="D4437" s="84" t="n">
        <x:f>C4437^2-'Resumen'!$B$5^3/3</x:f>
        <x:v>0.023165483972627632</x:v>
      </x:c>
      <x:c r="E4437" s="85" t="n">
        <x:f>D4437+'Resumen'!$B$5^3/3</x:f>
        <x:v>0.35649881730596095</x:v>
      </x:c>
    </x:row>
    <x:row r="4438">
      <x:c r="A4438" s="89" t="n">
        <x:v>4436</x:v>
      </x:c>
      <x:c r="B4438" s="80" t="n">
        <x:v>-0.13419210884939434</x:v>
      </x:c>
      <x:c r="C4438" s="84" t="n">
        <x:f>SQRT('Resumen'!$B$5^3/3)*B4438</x:f>
        <x:v>-0.07747585016732138</x:v>
      </x:c>
      <x:c r="D4438" s="84" t="n">
        <x:f>C4438^2-'Resumen'!$B$5^3/3</x:f>
        <x:v>-0.32733082597418406</x:v>
      </x:c>
      <x:c r="E4438" s="85" t="n">
        <x:f>D4438+'Resumen'!$B$5^3/3</x:f>
        <x:v>0.006002507359149256</x:v>
      </x:c>
    </x:row>
    <x:row r="4439">
      <x:c r="A4439" s="89" t="n">
        <x:v>4437</x:v>
      </x:c>
      <x:c r="B4439" s="80" t="n">
        <x:v>-0.4883839941485346</x:v>
      </x:c>
      <x:c r="C4439" s="84" t="n">
        <x:f>SQRT('Resumen'!$B$5^3/3)*B4439</x:f>
        <x:v>-0.28196863048956106</x:v>
      </x:c>
      <x:c r="D4439" s="84" t="n">
        <x:f>C4439^2-'Resumen'!$B$5^3/3</x:f>
        <x:v>-0.2538270247531747</x:v>
      </x:c>
      <x:c r="E4439" s="85" t="n">
        <x:f>D4439+'Resumen'!$B$5^3/3</x:f>
        <x:v>0.07950630858015861</x:v>
      </x:c>
    </x:row>
    <x:row r="4440">
      <x:c r="A4440" s="89" t="n">
        <x:v>4438</x:v>
      </x:c>
      <x:c r="B4440" s="80" t="n">
        <x:v>0.3917005847899204</x:v>
      </x:c>
      <x:c r="C4440" s="84" t="n">
        <x:f>SQRT('Resumen'!$B$5^3/3)*B4440</x:f>
        <x:v>0.22614843807019439</x:v>
      </x:c>
      <x:c r="D4440" s="84" t="n">
        <x:f>C4440^2-'Resumen'!$B$5^3/3</x:f>
        <x:v>-0.28219021729174476</x:v>
      </x:c>
      <x:c r="E4440" s="85" t="n">
        <x:f>D4440+'Resumen'!$B$5^3/3</x:f>
        <x:v>0.051143116041588554</x:v>
      </x:c>
    </x:row>
    <x:row r="4441">
      <x:c r="A4441" s="89" t="n">
        <x:v>4439</x:v>
      </x:c>
      <x:c r="B4441" s="80" t="n">
        <x:v>-0.31149685348541784</x:v>
      </x:c>
      <x:c r="C4441" s="84" t="n">
        <x:f>SQRT('Resumen'!$B$5^3/3)*B4441</x:f>
        <x:v>-0.17984279221152738</x:v>
      </x:c>
      <x:c r="D4441" s="84" t="n">
        <x:f>C4441^2-'Resumen'!$B$5^3/3</x:f>
        <x:v>-0.3009899034228947</x:v>
      </x:c>
      <x:c r="E4441" s="85" t="n">
        <x:f>D4441+'Resumen'!$B$5^3/3</x:f>
        <x:v>0.03234342991043859</x:v>
      </x:c>
    </x:row>
    <x:row r="4442">
      <x:c r="A4442" s="89" t="n">
        <x:v>4440</x:v>
      </x:c>
      <x:c r="B4442" s="80" t="n">
        <x:v>-0.870066475986257</x:v>
      </x:c>
      <x:c r="C4442" s="84" t="n">
        <x:f>SQRT('Resumen'!$B$5^3/3)*B4442</x:f>
        <x:v>-0.5023331141235345</x:v>
      </x:c>
      <x:c r="D4442" s="84" t="n">
        <x:f>C4442^2-'Resumen'!$B$5^3/3</x:f>
        <x:v>-0.08099477578828534</x:v>
      </x:c>
      <x:c r="E4442" s="85" t="n">
        <x:f>D4442+'Resumen'!$B$5^3/3</x:f>
        <x:v>0.25233855754504797</x:v>
      </x:c>
    </x:row>
    <x:row r="4443">
      <x:c r="A4443" s="89" t="n">
        <x:v>4441</x:v>
      </x:c>
      <x:c r="B4443" s="80" t="n">
        <x:v>2.6827026284567603</x:v>
      </x:c>
      <x:c r="C4443" s="84" t="n">
        <x:f>SQRT('Resumen'!$B$5^3/3)*B4443</x:f>
        <x:v>1.548859084695227</x:v>
      </x:c>
      <x:c r="D4443" s="84" t="n">
        <x:f>C4443^2-'Resumen'!$B$5^3/3</x:f>
        <x:v>2.065631130909603</x:v>
      </x:c>
      <x:c r="E4443" s="85" t="n">
        <x:f>D4443+'Resumen'!$B$5^3/3</x:f>
        <x:v>2.3989644642429364</x:v>
      </x:c>
    </x:row>
    <x:row r="4444">
      <x:c r="A4444" s="89" t="n">
        <x:v>4442</x:v>
      </x:c>
      <x:c r="B4444" s="80" t="n">
        <x:v>1.8885839148593035</x:v>
      </x:c>
      <x:c r="C4444" s="84" t="n">
        <x:f>SQRT('Resumen'!$B$5^3/3)*B4444</x:f>
        <x:v>1.090374431631216</x:v>
      </x:c>
      <x:c r="D4444" s="84" t="n">
        <x:f>C4444^2-'Resumen'!$B$5^3/3</x:f>
        <x:v>0.8555830678217642</x:v>
      </x:c>
      <x:c r="E4444" s="85" t="n">
        <x:f>D4444+'Resumen'!$B$5^3/3</x:f>
        <x:v>1.1889164011550974</x:v>
      </x:c>
    </x:row>
    <x:row r="4445">
      <x:c r="A4445" s="89" t="n">
        <x:v>4443</x:v>
      </x:c>
      <x:c r="B4445" s="80" t="n">
        <x:v>-0.9656721829219017</x:v>
      </x:c>
      <x:c r="C4445" s="84" t="n">
        <x:f>SQRT('Resumen'!$B$5^3/3)*B4445</x:f>
        <x:v>-0.5575310947588934</x:v>
      </x:c>
      <x:c r="D4445" s="84" t="n">
        <x:f>C4445^2-'Resumen'!$B$5^3/3</x:f>
        <x:v>-0.022492411710283156</x:v>
      </x:c>
      <x:c r="E4445" s="85" t="n">
        <x:f>D4445+'Resumen'!$B$5^3/3</x:f>
        <x:v>0.31084092162305016</x:v>
      </x:c>
    </x:row>
    <x:row r="4446">
      <x:c r="A4446" s="89" t="n">
        <x:v>4444</x:v>
      </x:c>
      <x:c r="B4446" s="80" t="n">
        <x:v>-0.15863945823658118</x:v>
      </x:c>
      <x:c r="C4446" s="84" t="n">
        <x:f>SQRT('Resumen'!$B$5^3/3)*B4446</x:f>
        <x:v>-0.09159053391698653</x:v>
      </x:c>
      <x:c r="D4446" s="84" t="n">
        <x:f>C4446^2-'Resumen'!$B$5^3/3</x:f>
        <x:v>-0.32494450743013464</x:v>
      </x:c>
      <x:c r="E4446" s="85" t="n">
        <x:f>D4446+'Resumen'!$B$5^3/3</x:f>
        <x:v>0.008388825903198671</x:v>
      </x:c>
    </x:row>
    <x:row r="4447">
      <x:c r="A4447" s="89" t="n">
        <x:v>4445</x:v>
      </x:c>
      <x:c r="B4447" s="80" t="n">
        <x:v>-0.8264150578059344</x:v>
      </x:c>
      <x:c r="C4447" s="84" t="n">
        <x:f>SQRT('Resumen'!$B$5^3/3)*B4447</x:f>
        <x:v>-0.4771309560866163</x:v>
      </x:c>
      <x:c r="D4447" s="84" t="n">
        <x:f>C4447^2-'Resumen'!$B$5^3/3</x:f>
        <x:v>-0.10567938407720473</x:v>
      </x:c>
      <x:c r="E4447" s="85" t="n">
        <x:f>D4447+'Resumen'!$B$5^3/3</x:f>
        <x:v>0.22765394925612858</x:v>
      </x:c>
    </x:row>
    <x:row r="4448">
      <x:c r="A4448" s="89" t="n">
        <x:v>4446</x:v>
      </x:c>
      <x:c r="B4448" s="80" t="n">
        <x:v>2.0658736568322333</x:v>
      </x:c>
      <x:c r="C4448" s="84" t="n">
        <x:f>SQRT('Resumen'!$B$5^3/3)*B4448</x:f>
        <x:v>1.1927327118838464</x:v>
      </x:c>
      <x:c r="D4448" s="84" t="n">
        <x:f>C4448^2-'Resumen'!$B$5^3/3</x:f>
        <x:v>1.0892779886644615</x:v>
      </x:c>
      <x:c r="E4448" s="85" t="n">
        <x:f>D4448+'Resumen'!$B$5^3/3</x:f>
        <x:v>1.4226113219977947</x:v>
      </x:c>
    </x:row>
    <x:row r="4449">
      <x:c r="A4449" s="89" t="n">
        <x:v>4447</x:v>
      </x:c>
      <x:c r="B4449" s="80" t="n">
        <x:v>0.8549463688858405</x:v>
      </x:c>
      <x:c r="C4449" s="84" t="n">
        <x:f>SQRT('Resumen'!$B$5^3/3)*B4449</x:f>
        <x:v>0.4936035162189331</x:v>
      </x:c>
      <x:c r="D4449" s="84" t="n">
        <x:f>C4449^2-'Resumen'!$B$5^3/3</x:f>
        <x:v>-0.08968890210963876</x:v>
      </x:c>
      <x:c r="E4449" s="85" t="n">
        <x:f>D4449+'Resumen'!$B$5^3/3</x:f>
        <x:v>0.24364443122369456</x:v>
      </x:c>
    </x:row>
    <x:row r="4450">
      <x:c r="A4450" s="89" t="n">
        <x:v>4448</x:v>
      </x:c>
      <x:c r="B4450" s="80" t="n">
        <x:v>0.01270161022737024</x:v>
      </x:c>
      <x:c r="C4450" s="84" t="n">
        <x:f>SQRT('Resumen'!$B$5^3/3)*B4450</x:f>
        <x:v>0.007333278083913911</x:v>
      </x:c>
      <x:c r="D4450" s="84" t="n">
        <x:f>C4450^2-'Resumen'!$B$5^3/3</x:f>
        <x:v>-0.3332795563658773</x:v>
      </x:c>
      <x:c r="E4450" s="85" t="n">
        <x:f>D4450+'Resumen'!$B$5^3/3</x:f>
        <x:v>0.00005377696745600957</x:v>
      </x:c>
    </x:row>
    <x:row r="4451">
      <x:c r="A4451" s="89" t="n">
        <x:v>4449</x:v>
      </x:c>
      <x:c r="B4451" s="80" t="n">
        <x:v>-0.04783813334549108</x:v>
      </x:c>
      <x:c r="C4451" s="84" t="n">
        <x:f>SQRT('Resumen'!$B$5^3/3)*B4451</x:f>
        <x:v>-0.027619359164548486</x:v>
      </x:c>
      <x:c r="D4451" s="84" t="n">
        <x:f>C4451^2-'Resumen'!$B$5^3/3</x:f>
        <x:v>-0.332570504332673</x:v>
      </x:c>
      <x:c r="E4451" s="85" t="n">
        <x:f>D4451+'Resumen'!$B$5^3/3</x:f>
        <x:v>0.0007628290006603256</x:v>
      </x:c>
    </x:row>
    <x:row r="4452">
      <x:c r="A4452" s="89" t="n">
        <x:v>4450</x:v>
      </x:c>
      <x:c r="B4452" s="80" t="n">
        <x:v>0.9390632198736645</x:v>
      </x:c>
      <x:c r="C4452" s="84" t="n">
        <x:f>SQRT('Resumen'!$B$5^3/3)*B4452</x:f>
        <x:v>0.5421684027801369</x:v>
      </x:c>
      <x:c r="D4452" s="84" t="n">
        <x:f>C4452^2-'Resumen'!$B$5^3/3</x:f>
        <x:v>-0.039386756360168584</x:v>
      </x:c>
      <x:c r="E4452" s="85" t="n">
        <x:f>D4452+'Resumen'!$B$5^3/3</x:f>
        <x:v>0.29394657697316473</x:v>
      </x:c>
    </x:row>
    <x:row r="4453">
      <x:c r="A4453" s="89" t="n">
        <x:v>4451</x:v>
      </x:c>
      <x:c r="B4453" s="80" t="n">
        <x:v>1.2896884686188987</x:v>
      </x:c>
      <x:c r="C4453" s="84" t="n">
        <x:f>SQRT('Resumen'!$B$5^3/3)*B4453</x:f>
        <x:v>0.7446019845278774</x:v>
      </x:c>
      <x:c r="D4453" s="84" t="n">
        <x:f>C4453^2-'Resumen'!$B$5^3/3</x:f>
        <x:v>0.2210987820295201</x:v>
      </x:c>
      <x:c r="E4453" s="85" t="n">
        <x:f>D4453+'Resumen'!$B$5^3/3</x:f>
        <x:v>0.5544321153628534</x:v>
      </x:c>
    </x:row>
    <x:row r="4454">
      <x:c r="A4454" s="89" t="n">
        <x:v>4452</x:v>
      </x:c>
      <x:c r="B4454" s="80" t="n">
        <x:v>-0.8397705396353834</x:v>
      </x:c>
      <x:c r="C4454" s="84" t="n">
        <x:f>SQRT('Resumen'!$B$5^3/3)*B4454</x:f>
        <x:v>-0.48484174711600586</x:v>
      </x:c>
      <x:c r="D4454" s="84" t="n">
        <x:f>C4454^2-'Resumen'!$B$5^3/3</x:f>
        <x:v>-0.09826181358683234</x:v>
      </x:c>
      <x:c r="E4454" s="85" t="n">
        <x:f>D4454+'Resumen'!$B$5^3/3</x:f>
        <x:v>0.23507151974650098</x:v>
      </x:c>
    </x:row>
    <x:row r="4455">
      <x:c r="A4455" s="89" t="n">
        <x:v>4453</x:v>
      </x:c>
      <x:c r="B4455" s="80" t="n">
        <x:v>-1.1603410950936475</x:v>
      </x:c>
      <x:c r="C4455" s="84" t="n">
        <x:f>SQRT('Resumen'!$B$5^3/3)*B4455</x:f>
        <x:v>-0.6699232436041025</x:v>
      </x:c>
      <x:c r="D4455" s="84" t="n">
        <x:f>C4455^2-'Resumen'!$B$5^3/3</x:f>
        <x:v>0.11546381898770836</x:v>
      </x:c>
      <x:c r="E4455" s="85" t="n">
        <x:f>D4455+'Resumen'!$B$5^3/3</x:f>
        <x:v>0.44879715232104167</x:v>
      </x:c>
    </x:row>
    <x:row r="4456">
      <x:c r="A4456" s="89" t="n">
        <x:v>4454</x:v>
      </x:c>
      <x:c r="B4456" s="80" t="n">
        <x:v>-1.109025940019905</x:v>
      </x:c>
      <x:c r="C4456" s="84" t="n">
        <x:f>SQRT('Resumen'!$B$5^3/3)*B4456</x:f>
        <x:v>-0.6402964250087698</x:v>
      </x:c>
      <x:c r="D4456" s="84" t="n">
        <x:f>C4456^2-'Resumen'!$B$5^3/3</x:f>
        <x:v>0.0766461785456779</x:v>
      </x:c>
      <x:c r="E4456" s="85" t="n">
        <x:f>D4456+'Resumen'!$B$5^3/3</x:f>
        <x:v>0.4099795118790112</x:v>
      </x:c>
    </x:row>
    <x:row r="4457">
      <x:c r="A4457" s="89" t="n">
        <x:v>4455</x:v>
      </x:c>
      <x:c r="B4457" s="80" t="n">
        <x:v>0.34811758121743136</x:v>
      </x:c>
      <x:c r="C4457" s="84" t="n">
        <x:f>SQRT('Resumen'!$B$5^3/3)*B4457</x:f>
        <x:v>0.2009857792255254</x:v>
      </x:c>
      <x:c r="D4457" s="84" t="n">
        <x:f>C4457^2-'Resumen'!$B$5^3/3</x:f>
        <x:v>-0.29293804988244165</x:v>
      </x:c>
      <x:c r="E4457" s="85" t="n">
        <x:f>D4457+'Resumen'!$B$5^3/3</x:f>
        <x:v>0.04039528345089166</x:v>
      </x:c>
    </x:row>
    <x:row r="4458">
      <x:c r="A4458" s="89" t="n">
        <x:v>4456</x:v>
      </x:c>
      <x:c r="B4458" s="80" t="n">
        <x:v>0.16997606074756796</x:v>
      </x:c>
      <x:c r="C4458" s="84" t="n">
        <x:f>SQRT('Resumen'!$B$5^3/3)*B4458</x:f>
        <x:v>0.09813572442840054</x:v>
      </x:c>
      <x:c r="D4458" s="84" t="n">
        <x:f>C4458^2-'Resumen'!$B$5^3/3</x:f>
        <x:v>-0.32370271292424635</x:v>
      </x:c>
      <x:c r="E4458" s="85" t="n">
        <x:f>D4458+'Resumen'!$B$5^3/3</x:f>
        <x:v>0.009630620409086965</x:v>
      </x:c>
    </x:row>
    <x:row r="4459">
      <x:c r="A4459" s="89" t="n">
        <x:v>4457</x:v>
      </x:c>
      <x:c r="B4459" s="80" t="n">
        <x:v>-1.609817596316985</x:v>
      </x:c>
      <x:c r="C4459" s="84" t="n">
        <x:f>SQRT('Resumen'!$B$5^3/3)*B4459</x:f>
        <x:v>-0.9294286225798075</x:v>
      </x:c>
      <x:c r="D4459" s="84" t="n">
        <x:f>C4459^2-'Resumen'!$B$5^3/3</x:f>
        <x:v>0.530504231137265</x:v>
      </x:c>
      <x:c r="E4459" s="85" t="n">
        <x:f>D4459+'Resumen'!$B$5^3/3</x:f>
        <x:v>0.8638375644705982</x:v>
      </x:c>
    </x:row>
    <x:row r="4460">
      <x:c r="A4460" s="89" t="n">
        <x:v>4458</x:v>
      </x:c>
      <x:c r="B4460" s="80" t="n">
        <x:v>-0.5703624876890852</x:v>
      </x:c>
      <x:c r="C4460" s="84" t="n">
        <x:f>SQRT('Resumen'!$B$5^3/3)*B4460</x:f>
        <x:v>-0.3292989358029579</x:v>
      </x:c>
      <x:c r="D4460" s="84" t="n">
        <x:f>C4460^2-'Resumen'!$B$5^3/3</x:f>
        <x:v>-0.22489554421237273</x:v>
      </x:c>
      <x:c r="E4460" s="85" t="n">
        <x:f>D4460+'Resumen'!$B$5^3/3</x:f>
        <x:v>0.10843778912096058</x:v>
      </x:c>
    </x:row>
    <x:row r="4461">
      <x:c r="A4461" s="89" t="n">
        <x:v>4459</x:v>
      </x:c>
      <x:c r="B4461" s="80" t="n">
        <x:v>1.0562605948711545</x:v>
      </x:c>
      <x:c r="C4461" s="84" t="n">
        <x:f>SQRT('Resumen'!$B$5^3/3)*B4461</x:f>
        <x:v>0.6098323387832553</x:v>
      </x:c>
      <x:c r="D4461" s="84" t="n">
        <x:f>C4461^2-'Resumen'!$B$5^3/3</x:f>
        <x:v>0.03856214809252173</x:v>
      </x:c>
      <x:c r="E4461" s="85" t="n">
        <x:f>D4461+'Resumen'!$B$5^3/3</x:f>
        <x:v>0.37189548142585505</x:v>
      </x:c>
    </x:row>
    <x:row r="4462">
      <x:c r="A4462" s="89" t="n">
        <x:v>4460</x:v>
      </x:c>
      <x:c r="B4462" s="80" t="n">
        <x:v>0.12216712905950114</x:v>
      </x:c>
      <x:c r="C4462" s="84" t="n">
        <x:f>SQRT('Resumen'!$B$5^3/3)*B4462</x:f>
        <x:v>0.07053322484862673</x:v>
      </x:c>
      <x:c r="D4462" s="84" t="n">
        <x:f>C4462^2-'Resumen'!$B$5^3/3</x:f>
        <x:v>-0.3283583975257864</x:v>
      </x:c>
      <x:c r="E4462" s="85" t="n">
        <x:f>D4462+'Resumen'!$B$5^3/3</x:f>
        <x:v>0.004974935807546932</x:v>
      </x:c>
    </x:row>
    <x:row r="4463">
      <x:c r="A4463" s="89" t="n">
        <x:v>4461</x:v>
      </x:c>
      <x:c r="B4463" s="80" t="n">
        <x:v>1.0286011619844293</x:v>
      </x:c>
      <x:c r="C4463" s="84" t="n">
        <x:f>SQRT('Resumen'!$B$5^3/3)*B4463</x:f>
        <x:v>0.593863157760472</x:v>
      </x:c>
      <x:c r="D4463" s="84" t="n">
        <x:f>C4463^2-'Resumen'!$B$5^3/3</x:f>
        <x:v>0.019340116811906005</x:v>
      </x:c>
      <x:c r="E4463" s="85" t="n">
        <x:f>D4463+'Resumen'!$B$5^3/3</x:f>
        <x:v>0.3526734501452393</x:v>
      </x:c>
    </x:row>
    <x:row r="4464">
      <x:c r="A4464" s="89" t="n">
        <x:v>4462</x:v>
      </x:c>
      <x:c r="B4464" s="80" t="n">
        <x:v>0.11188076562614094</x:v>
      </x:c>
      <x:c r="C4464" s="84" t="n">
        <x:f>SQRT('Resumen'!$B$5^3/3)*B4464</x:f>
        <x:v>0.0645943901513939</x:v>
      </x:c>
      <x:c r="D4464" s="84" t="n">
        <x:f>C4464^2-'Resumen'!$B$5^3/3</x:f>
        <x:v>-0.3291608980943028</x:v>
      </x:c>
      <x:c r="E4464" s="85" t="n">
        <x:f>D4464+'Resumen'!$B$5^3/3</x:f>
        <x:v>0.004172435239030492</x:v>
      </x:c>
    </x:row>
    <x:row r="4465">
      <x:c r="A4465" s="89" t="n">
        <x:v>4463</x:v>
      </x:c>
      <x:c r="B4465" s="80" t="n">
        <x:v>-0.7123624712115635</x:v>
      </x:c>
      <x:c r="C4465" s="84" t="n">
        <x:f>SQRT('Resumen'!$B$5^3/3)*B4465</x:f>
        <x:v>-0.4112826645145832</x:v>
      </x:c>
      <x:c r="D4465" s="84" t="n">
        <x:f>C4465^2-'Resumen'!$B$5^3/3</x:f>
        <x:v>-0.16417990320311815</x:v>
      </x:c>
      <x:c r="E4465" s="85" t="n">
        <x:f>D4465+'Resumen'!$B$5^3/3</x:f>
        <x:v>0.16915343013021517</x:v>
      </x:c>
    </x:row>
    <x:row r="4466">
      <x:c r="A4466" s="89" t="n">
        <x:v>4464</x:v>
      </x:c>
      <x:c r="B4466" s="80" t="n">
        <x:v>0.8784474932293257</x:v>
      </x:c>
      <x:c r="C4466" s="84" t="n">
        <x:f>SQRT('Resumen'!$B$5^3/3)*B4466</x:f>
        <x:v>0.5071718966849031</x:v>
      </x:c>
      <x:c r="D4466" s="84" t="n">
        <x:f>C4466^2-'Resumen'!$B$5^3/3</x:f>
        <x:v>-0.07611000054637124</x:v>
      </x:c>
      <x:c r="E4466" s="85" t="n">
        <x:f>D4466+'Resumen'!$B$5^3/3</x:f>
        <x:v>0.2572233327869621</x:v>
      </x:c>
    </x:row>
    <x:row r="4467">
      <x:c r="A4467" s="89" t="n">
        <x:v>4465</x:v>
      </x:c>
      <x:c r="B4467" s="80" t="n">
        <x:v>-0.4194545704770894</x:v>
      </x:c>
      <x:c r="C4467" s="84" t="n">
        <x:f>SQRT('Resumen'!$B$5^3/3)*B4467</x:f>
        <x:v>-0.2421722091777664</x:v>
      </x:c>
      <x:c r="D4467" s="84" t="n">
        <x:f>C4467^2-'Resumen'!$B$5^3/3</x:f>
        <x:v>-0.2746859544352935</x:v>
      </x:c>
      <x:c r="E4467" s="85" t="n">
        <x:f>D4467+'Resumen'!$B$5^3/3</x:f>
        <x:v>0.05864737889803984</x:v>
      </x:c>
    </x:row>
    <x:row r="4468">
      <x:c r="A4468" s="89" t="n">
        <x:v>4466</x:v>
      </x:c>
      <x:c r="B4468" s="80" t="n">
        <x:v>-0.06068244016023455</x:v>
      </x:c>
      <x:c r="C4468" s="84" t="n">
        <x:f>SQRT('Resumen'!$B$5^3/3)*B4468</x:f>
        <x:v>-0.03503502316159477</x:v>
      </x:c>
      <x:c r="D4468" s="84" t="n">
        <x:f>C4468^2-'Resumen'!$B$5^3/3</x:f>
        <x:v>-0.33210588048539985</x:v>
      </x:c>
      <x:c r="E4468" s="85" t="n">
        <x:f>D4468+'Resumen'!$B$5^3/3</x:f>
        <x:v>0.0012274528479334634</x:v>
      </x:c>
    </x:row>
    <x:row r="4469">
      <x:c r="A4469" s="89" t="n">
        <x:v>4467</x:v>
      </x:c>
      <x:c r="B4469" s="80" t="n">
        <x:v>-1.3618114726294823</x:v>
      </x:c>
      <x:c r="C4469" s="84" t="n">
        <x:f>SQRT('Resumen'!$B$5^3/3)*B4469</x:f>
        <x:v>-0.7862422203081523</x:v>
      </x:c>
      <x:c r="D4469" s="84" t="n">
        <x:f>C4469^2-'Resumen'!$B$5^3/3</x:f>
        <x:v>0.28484349566175976</x:v>
      </x:c>
      <x:c r="E4469" s="85" t="n">
        <x:f>D4469+'Resumen'!$B$5^3/3</x:f>
        <x:v>0.6181768289950931</x:v>
      </x:c>
    </x:row>
    <x:row r="4470">
      <x:c r="A4470" s="89" t="n">
        <x:v>4468</x:v>
      </x:c>
      <x:c r="B4470" s="80" t="n">
        <x:v>0.9796678319378275</x:v>
      </x:c>
      <x:c r="C4470" s="84" t="n">
        <x:f>SQRT('Resumen'!$B$5^3/3)*B4470</x:f>
        <x:v>0.5656114864857217</x:v>
      </x:c>
      <x:c r="D4470" s="84" t="n">
        <x:f>C4470^2-'Resumen'!$B$5^3/3</x:f>
        <x:v>-0.013416979688745612</x:v>
      </x:c>
      <x:c r="E4470" s="85" t="n">
        <x:f>D4470+'Resumen'!$B$5^3/3</x:f>
        <x:v>0.3199163536445877</x:v>
      </x:c>
    </x:row>
    <x:row r="4471">
      <x:c r="A4471" s="89" t="n">
        <x:v>4469</x:v>
      </x:c>
      <x:c r="B4471" s="80" t="n">
        <x:v>-0.6809192730785757</x:v>
      </x:c>
      <x:c r="C4471" s="84" t="n">
        <x:f>SQRT('Resumen'!$B$5^3/3)*B4471</x:f>
        <x:v>-0.39312892560831997</x:v>
      </x:c>
      <x:c r="D4471" s="84" t="n">
        <x:f>C4471^2-'Resumen'!$B$5^3/3</x:f>
        <x:v>-0.17878298118338135</x:v>
      </x:c>
      <x:c r="E4471" s="85" t="n">
        <x:f>D4471+'Resumen'!$B$5^3/3</x:f>
        <x:v>0.15455035214995197</x:v>
      </x:c>
    </x:row>
    <x:row r="4472">
      <x:c r="A4472" s="89" t="n">
        <x:v>4470</x:v>
      </x:c>
      <x:c r="B4472" s="80" t="n">
        <x:v>-0.5108851172478125</x:v>
      </x:c>
      <x:c r="C4472" s="84" t="n">
        <x:f>SQRT('Resumen'!$B$5^3/3)*B4472</x:f>
        <x:v>-0.29495965996799806</x:v>
      </x:c>
      <x:c r="D4472" s="84" t="n">
        <x:f>C4472^2-'Resumen'!$B$5^3/3</x:f>
        <x:v>-0.24633213232489629</x:v>
      </x:c>
      <x:c r="E4472" s="85" t="n">
        <x:f>D4472+'Resumen'!$B$5^3/3</x:f>
        <x:v>0.08700120100843703</x:v>
      </x:c>
    </x:row>
    <x:row r="4473">
      <x:c r="A4473" s="89" t="n">
        <x:v>4471</x:v>
      </x:c>
      <x:c r="B4473" s="80" t="n">
        <x:v>-0.38774478223499903</x:v>
      </x:c>
      <x:c r="C4473" s="84" t="n">
        <x:f>SQRT('Resumen'!$B$5^3/3)*B4473</x:f>
        <x:v>-0.2238645544002495</x:v>
      </x:c>
      <x:c r="D4473" s="84" t="n">
        <x:f>C4473^2-'Resumen'!$B$5^3/3</x:f>
        <x:v>-0.28321799461651104</x:v>
      </x:c>
      <x:c r="E4473" s="85" t="n">
        <x:f>D4473+'Resumen'!$B$5^3/3</x:f>
        <x:v>0.05011533871682228</x:v>
      </x:c>
    </x:row>
    <x:row r="4474">
      <x:c r="A4474" s="89" t="n">
        <x:v>4472</x:v>
      </x:c>
      <x:c r="B4474" s="80" t="n">
        <x:v>0.5249294656761774</x:v>
      </x:c>
      <x:c r="C4474" s="84" t="n">
        <x:f>SQRT('Resumen'!$B$5^3/3)*B4474</x:f>
        <x:v>0.3030681683137074</x:v>
      </x:c>
      <x:c r="D4474" s="84" t="n">
        <x:f>C4474^2-'Resumen'!$B$5^3/3</x:f>
        <x:v>-0.24148301868830763</x:v>
      </x:c>
      <x:c r="E4474" s="85" t="n">
        <x:f>D4474+'Resumen'!$B$5^3/3</x:f>
        <x:v>0.09185031464502569</x:v>
      </x:c>
    </x:row>
    <x:row r="4475">
      <x:c r="A4475" s="89" t="n">
        <x:v>4473</x:v>
      </x:c>
      <x:c r="B4475" s="80" t="n">
        <x:v>-1.4548373330895932</x:v>
      </x:c>
      <x:c r="C4475" s="84" t="n">
        <x:f>SQRT('Resumen'!$B$5^3/3)*B4475</x:f>
        <x:v>-0.8399507258863939</x:v>
      </x:c>
      <x:c r="D4475" s="84" t="n">
        <x:f>C4475^2-'Resumen'!$B$5^3/3</x:f>
        <x:v>0.3721838885837467</x:v>
      </x:c>
      <x:c r="E4475" s="85" t="n">
        <x:f>D4475+'Resumen'!$B$5^3/3</x:f>
        <x:v>0.70551722191708</x:v>
      </x:c>
    </x:row>
    <x:row r="4476">
      <x:c r="A4476" s="89" t="n">
        <x:v>4474</x:v>
      </x:c>
      <x:c r="B4476" s="80" t="n">
        <x:v>-0.29506515847852266</x:v>
      </x:c>
      <x:c r="C4476" s="84" t="n">
        <x:f>SQRT('Resumen'!$B$5^3/3)*B4476</x:f>
        <x:v>-0.17035594867605464</x:v>
      </x:c>
      <x:c r="D4476" s="84" t="n">
        <x:f>C4476^2-'Resumen'!$B$5^3/3</x:f>
        <x:v>-0.3043121840840147</x:v>
      </x:c>
      <x:c r="E4476" s="85" t="n">
        <x:f>D4476+'Resumen'!$B$5^3/3</x:f>
        <x:v>0.02902114924931859</x:v>
      </x:c>
    </x:row>
    <x:row r="4477">
      <x:c r="A4477" s="89" t="n">
        <x:v>4475</x:v>
      </x:c>
      <x:c r="B4477" s="80" t="n">
        <x:v>-0.6469967002395618</x:v>
      </x:c>
      <x:c r="C4477" s="84" t="n">
        <x:f>SQRT('Resumen'!$B$5^3/3)*B4477</x:f>
        <x:v>-0.37354371904811057</x:v>
      </x:c>
      <x:c r="D4477" s="84" t="n">
        <x:f>C4477^2-'Resumen'!$B$5^3/3</x:f>
        <x:v>-0.19379842329303956</x:v>
      </x:c>
      <x:c r="E4477" s="85" t="n">
        <x:f>D4477+'Resumen'!$B$5^3/3</x:f>
        <x:v>0.13953491004029375</x:v>
      </x:c>
    </x:row>
    <x:row r="4478">
      <x:c r="A4478" s="89" t="n">
        <x:v>4476</x:v>
      </x:c>
      <x:c r="B4478" s="80" t="n">
        <x:v>-0.5504083113057519</x:v>
      </x:c>
      <x:c r="C4478" s="84" t="n">
        <x:f>SQRT('Resumen'!$B$5^3/3)*B4478</x:f>
        <x:v>-0.31777838669658315</x:v>
      </x:c>
      <x:c r="D4478" s="84" t="n">
        <x:f>C4478^2-'Resumen'!$B$5^3/3</x:f>
        <x:v>-0.2323502302818502</x:v>
      </x:c>
      <x:c r="E4478" s="85" t="n">
        <x:f>D4478+'Resumen'!$B$5^3/3</x:f>
        <x:v>0.10098310305148311</x:v>
      </x:c>
    </x:row>
    <x:row r="4479">
      <x:c r="A4479" s="89" t="n">
        <x:v>4477</x:v>
      </x:c>
      <x:c r="B4479" s="80" t="n">
        <x:v>-3.06306276146358</x:v>
      </x:c>
      <x:c r="C4479" s="84" t="n">
        <x:f>SQRT('Resumen'!$B$5^3/3)*B4479</x:f>
        <x:v>-1.7684601098757164</x:v>
      </x:c>
      <x:c r="D4479" s="84" t="n">
        <x:f>C4479^2-'Resumen'!$B$5^3/3</x:f>
        <x:v>2.794117826888298</x:v>
      </x:c>
      <x:c r="E4479" s="85" t="n">
        <x:f>D4479+'Resumen'!$B$5^3/3</x:f>
        <x:v>3.1274511602216313</x:v>
      </x:c>
    </x:row>
    <x:row r="4480">
      <x:c r="A4480" s="89" t="n">
        <x:v>4478</x:v>
      </x:c>
      <x:c r="B4480" s="80" t="n">
        <x:v>-0.3773944886152043</x:v>
      </x:c>
      <x:c r="C4480" s="84" t="n">
        <x:f>SQRT('Resumen'!$B$5^3/3)*B4480</x:f>
        <x:v>-0.21788880959266935</x:v>
      </x:c>
      <x:c r="D4480" s="84" t="n">
        <x:f>C4480^2-'Resumen'!$B$5^3/3</x:f>
        <x:v>-0.2858577999876228</x:v>
      </x:c>
      <x:c r="E4480" s="85" t="n">
        <x:f>D4480+'Resumen'!$B$5^3/3</x:f>
        <x:v>0.04747553334571053</x:v>
      </x:c>
    </x:row>
    <x:row r="4481">
      <x:c r="A4481" s="89" t="n">
        <x:v>4479</x:v>
      </x:c>
      <x:c r="B4481" s="80" t="n">
        <x:v>0.27012871723172416</x:v>
      </x:c>
      <x:c r="C4481" s="84" t="n">
        <x:f>SQRT('Resumen'!$B$5^3/3)*B4481</x:f>
        <x:v>0.15595888760958423</x:v>
      </x:c>
      <x:c r="D4481" s="84" t="n">
        <x:f>C4481^2-'Resumen'!$B$5^3/3</x:f>
        <x:v>-0.3090101587089144</x:v>
      </x:c>
      <x:c r="E4481" s="85" t="n">
        <x:f>D4481+'Resumen'!$B$5^3/3</x:f>
        <x:v>0.02432317462441891</x:v>
      </x:c>
    </x:row>
    <x:row r="4482">
      <x:c r="A4482" s="89" t="n">
        <x:v>4480</x:v>
      </x:c>
      <x:c r="B4482" s="80" t="n">
        <x:v>-1.6681848628108518</x:v>
      </x:c>
      <x:c r="C4482" s="84" t="n">
        <x:f>SQRT('Resumen'!$B$5^3/3)*B4482</x:f>
        <x:v>-0.9631269796019042</x:v>
      </x:c>
      <x:c r="D4482" s="84" t="n">
        <x:f>C4482^2-'Resumen'!$B$5^3/3</x:f>
        <x:v>0.5942802455037535</x:v>
      </x:c>
      <x:c r="E4482" s="85" t="n">
        <x:f>D4482+'Resumen'!$B$5^3/3</x:f>
        <x:v>0.9276135788370867</x:v>
      </x:c>
    </x:row>
    <x:row r="4483">
      <x:c r="A4483" s="89" t="n">
        <x:v>4481</x:v>
      </x:c>
      <x:c r="B4483" s="80" t="n">
        <x:v>0.07605450790158907</x:v>
      </x:c>
      <x:c r="C4483" s="84" t="n">
        <x:f>SQRT('Resumen'!$B$5^3/3)*B4483</x:f>
        <x:v>0.04391009061006697</x:v>
      </x:c>
      <x:c r="D4483" s="84" t="n">
        <x:f>C4483^2-'Resumen'!$B$5^3/3</x:f>
        <x:v>-0.331405237275949</x:v>
      </x:c>
      <x:c r="E4483" s="85" t="n">
        <x:f>D4483+'Resumen'!$B$5^3/3</x:f>
        <x:v>0.0019280960573843098</x:v>
      </x:c>
    </x:row>
    <x:row r="4484">
      <x:c r="A4484" s="89" t="n">
        <x:v>4482</x:v>
      </x:c>
      <x:c r="B4484" s="80" t="n">
        <x:v>-1.1182439115488778</x:v>
      </x:c>
      <x:c r="C4484" s="84" t="n">
        <x:f>SQRT('Resumen'!$B$5^3/3)*B4484</x:f>
        <x:v>-0.6456184233524046</x:v>
      </x:c>
      <x:c r="D4484" s="84" t="n">
        <x:f>C4484^2-'Resumen'!$B$5^3/3</x:f>
        <x:v>0.0834898152387114</x:v>
      </x:c>
      <x:c r="E4484" s="85" t="n">
        <x:f>D4484+'Resumen'!$B$5^3/3</x:f>
        <x:v>0.4168231485720447</x:v>
      </x:c>
    </x:row>
    <x:row r="4485">
      <x:c r="A4485" s="89" t="n">
        <x:v>4483</x:v>
      </x:c>
      <x:c r="B4485" s="80" t="n">
        <x:v>0.060333041354006814</x:v>
      </x:c>
      <x:c r="C4485" s="84" t="n">
        <x:f>SQRT('Resumen'!$B$5^3/3)*B4485</x:f>
        <x:v>0.03483329766676466</x:v>
      </x:c>
      <x:c r="D4485" s="84" t="n">
        <x:f>C4485^2-'Resumen'!$B$5^3/3</x:f>
        <x:v>-0.3321199747069919</x:v>
      </x:c>
      <x:c r="E4485" s="85" t="n">
        <x:f>D4485+'Resumen'!$B$5^3/3</x:f>
        <x:v>0.0012133586263414209</x:v>
      </x:c>
    </x:row>
    <x:row r="4486">
      <x:c r="A4486" s="89" t="n">
        <x:v>4484</x:v>
      </x:c>
      <x:c r="B4486" s="80" t="n">
        <x:v>0.8133006442703197</x:v>
      </x:c>
      <x:c r="C4486" s="84" t="n">
        <x:f>SQRT('Resumen'!$B$5^3/3)*B4486</x:f>
        <x:v>0.4695593459015651</x:v>
      </x:c>
      <x:c r="D4486" s="84" t="n">
        <x:f>C4486^2-'Resumen'!$B$5^3/3</x:f>
        <x:v>-0.11284735400982765</x:v>
      </x:c>
      <x:c r="E4486" s="85" t="n">
        <x:f>D4486+'Resumen'!$B$5^3/3</x:f>
        <x:v>0.22048597932350567</x:v>
      </x:c>
    </x:row>
    <x:row r="4487">
      <x:c r="A4487" s="89" t="n">
        <x:v>4485</x:v>
      </x:c>
      <x:c r="B4487" s="80" t="n">
        <x:v>0.3672836611152297</x:v>
      </x:c>
      <x:c r="C4487" s="84" t="n">
        <x:f>SQRT('Resumen'!$B$5^3/3)*B4487</x:f>
        <x:v>0.21205132061382914</x:v>
      </x:c>
      <x:c r="D4487" s="84" t="n">
        <x:f>C4487^2-'Resumen'!$B$5^3/3</x:f>
        <x:v>-0.28836757075926434</x:v>
      </x:c>
      <x:c r="E4487" s="85" t="n">
        <x:f>D4487+'Resumen'!$B$5^3/3</x:f>
        <x:v>0.04496576257406898</x:v>
      </x:c>
    </x:row>
    <x:row r="4488">
      <x:c r="A4488" s="89" t="n">
        <x:v>4486</x:v>
      </x:c>
      <x:c r="B4488" s="80" t="n">
        <x:v>-0.27016665682948515</x:v>
      </x:c>
      <x:c r="C4488" s="84" t="n">
        <x:f>SQRT('Resumen'!$B$5^3/3)*B4488</x:f>
        <x:v>-0.15598079204656448</x:v>
      </x:c>
      <x:c r="D4488" s="84" t="n">
        <x:f>C4488^2-'Resumen'!$B$5^3/3</x:f>
        <x:v>-0.3090033258458597</x:v>
      </x:c>
      <x:c r="E4488" s="85" t="n">
        <x:f>D4488+'Resumen'!$B$5^3/3</x:f>
        <x:v>0.024330007487473604</x:v>
      </x:c>
    </x:row>
    <x:row r="4489">
      <x:c r="A4489" s="89" t="n">
        <x:v>4487</x:v>
      </x:c>
      <x:c r="B4489" s="80" t="n">
        <x:v>1.9637494290961715</x:v>
      </x:c>
      <x:c r="C4489" s="84" t="n">
        <x:f>SQRT('Resumen'!$B$5^3/3)*B4489</x:f>
        <x:v>1.1337712615096485</x:v>
      </x:c>
      <x:c r="D4489" s="84" t="n">
        <x:f>C4489^2-'Resumen'!$B$5^3/3</x:f>
        <x:v>0.9521039400918465</x:v>
      </x:c>
      <x:c r="E4489" s="85" t="n">
        <x:f>D4489+'Resumen'!$B$5^3/3</x:f>
        <x:v>1.2854372734251798</x:v>
      </x:c>
    </x:row>
    <x:row r="4490">
      <x:c r="A4490" s="89" t="n">
        <x:v>4488</x:v>
      </x:c>
      <x:c r="B4490" s="80" t="n">
        <x:v>1.9643954049944539</x:v>
      </x:c>
      <x:c r="C4490" s="84" t="n">
        <x:f>SQRT('Resumen'!$B$5^3/3)*B4490</x:f>
        <x:v>1.1341442158684119</x:v>
      </x:c>
      <x:c r="D4490" s="84" t="n">
        <x:f>C4490^2-'Resumen'!$B$5^3/3</x:f>
        <x:v>0.9529497690544415</x:v>
      </x:c>
      <x:c r="E4490" s="85" t="n">
        <x:f>D4490+'Resumen'!$B$5^3/3</x:f>
        <x:v>1.2862831023877748</x:v>
      </x:c>
    </x:row>
    <x:row r="4491">
      <x:c r="A4491" s="89" t="n">
        <x:v>4489</x:v>
      </x:c>
      <x:c r="B4491" s="80" t="n">
        <x:v>-3.4025883168389703</x:v>
      </x:c>
      <x:c r="C4491" s="84" t="n">
        <x:f>SQRT('Resumen'!$B$5^3/3)*B4491</x:f>
        <x:v>-1.964485280668455</x:v>
      </x:c>
      <x:c r="D4491" s="84" t="n">
        <x:f>C4491^2-'Resumen'!$B$5^3/3</x:f>
        <x:v>3.5258690846296847</x:v>
      </x:c>
      <x:c r="E4491" s="85" t="n">
        <x:f>D4491+'Resumen'!$B$5^3/3</x:f>
        <x:v>3.859202417963018</x:v>
      </x:c>
    </x:row>
    <x:row r="4492">
      <x:c r="A4492" s="89" t="n">
        <x:v>4490</x:v>
      </x:c>
      <x:c r="B4492" s="80" t="n">
        <x:v>1.3518537063707163</x:v>
      </x:c>
      <x:c r="C4492" s="84" t="n">
        <x:f>SQRT('Resumen'!$B$5^3/3)*B4492</x:f>
        <x:v>0.7804931012781263</x:v>
      </x:c>
      <x:c r="D4492" s="84" t="n">
        <x:f>C4492^2-'Resumen'!$B$5^3/3</x:f>
        <x:v>0.2758361478094143</x:v>
      </x:c>
      <x:c r="E4492" s="85" t="n">
        <x:f>D4492+'Resumen'!$B$5^3/3</x:f>
        <x:v>0.6091694811427476</x:v>
      </x:c>
    </x:row>
    <x:row r="4493">
      <x:c r="A4493" s="89" t="n">
        <x:v>4491</x:v>
      </x:c>
      <x:c r="B4493" s="80" t="n">
        <x:v>0.5901874368232182</x:v>
      </x:c>
      <x:c r="C4493" s="84" t="n">
        <x:f>SQRT('Resumen'!$B$5^3/3)*B4493</x:f>
        <x:v>0.3407448755222202</x:v>
      </x:c>
      <x:c r="D4493" s="84" t="n">
        <x:f>C4493^2-'Resumen'!$B$5^3/3</x:f>
        <x:v>-0.21722626313868</x:v>
      </x:c>
      <x:c r="E4493" s="85" t="n">
        <x:f>D4493+'Resumen'!$B$5^3/3</x:f>
        <x:v>0.11610707019465333</x:v>
      </x:c>
    </x:row>
    <x:row r="4494">
      <x:c r="A4494" s="89" t="n">
        <x:v>4492</x:v>
      </x:c>
      <x:c r="B4494" s="80" t="n">
        <x:v>-1.9946119625867587</x:v>
      </x:c>
      <x:c r="C4494" s="84" t="n">
        <x:f>SQRT('Resumen'!$B$5^3/3)*B4494</x:f>
        <x:v>-1.1515897535283128</x:v>
      </x:c>
      <x:c r="D4494" s="84" t="n">
        <x:f>C4494^2-'Resumen'!$B$5^3/3</x:f>
        <x:v>0.9928256270980671</x:v>
      </x:c>
      <x:c r="E4494" s="85" t="n">
        <x:f>D4494+'Resumen'!$B$5^3/3</x:f>
        <x:v>1.3261589604314004</x:v>
      </x:c>
    </x:row>
    <x:row r="4495">
      <x:c r="A4495" s="89" t="n">
        <x:v>4493</x:v>
      </x:c>
      <x:c r="B4495" s="80" t="n">
        <x:v>-2.0476237289845707</x:v>
      </x:c>
      <x:c r="C4495" s="84" t="n">
        <x:f>SQRT('Resumen'!$B$5^3/3)*B4495</x:f>
        <x:v>-1.182196111128307</x:v>
      </x:c>
      <x:c r="D4495" s="84" t="n">
        <x:f>C4495^2-'Resumen'!$B$5^3/3</x:f>
        <x:v>1.0642543118335592</x:v>
      </x:c>
      <x:c r="E4495" s="85" t="n">
        <x:f>D4495+'Resumen'!$B$5^3/3</x:f>
        <x:v>1.3975876451668925</x:v>
      </x:c>
    </x:row>
    <x:row r="4496">
      <x:c r="A4496" s="89" t="n">
        <x:v>4494</x:v>
      </x:c>
      <x:c r="B4496" s="80" t="n">
        <x:v>1.6276998811141787</x:v>
      </x:c>
      <x:c r="C4496" s="84" t="n">
        <x:f>SQRT('Resumen'!$B$5^3/3)*B4496</x:f>
        <x:v>0.939752964521193</x:v>
      </x:c>
      <x:c r="D4496" s="84" t="n">
        <x:f>C4496^2-'Resumen'!$B$5^3/3</x:f>
        <x:v>0.5498023009930373</x:v>
      </x:c>
      <x:c r="E4496" s="85" t="n">
        <x:f>D4496+'Resumen'!$B$5^3/3</x:f>
        <x:v>0.8831356343263705</x:v>
      </x:c>
    </x:row>
    <x:row r="4497">
      <x:c r="A4497" s="89" t="n">
        <x:v>4495</x:v>
      </x:c>
      <x:c r="B4497" s="80" t="n">
        <x:v>0.48559726034802514</x:v>
      </x:c>
      <x:c r="C4497" s="84" t="n">
        <x:f>SQRT('Resumen'!$B$5^3/3)*B4497</x:f>
        <x:v>0.2803597089796771</x:v>
      </x:c>
      <x:c r="D4497" s="84" t="n">
        <x:f>C4497^2-'Resumen'!$B$5^3/3</x:f>
        <x:v>-0.2547317669141641</x:v>
      </x:c>
      <x:c r="E4497" s="85" t="n">
        <x:f>D4497+'Resumen'!$B$5^3/3</x:f>
        <x:v>0.07860156641916921</x:v>
      </x:c>
    </x:row>
    <x:row r="4498">
      <x:c r="A4498" s="89" t="n">
        <x:v>4496</x:v>
      </x:c>
      <x:c r="B4498" s="80" t="n">
        <x:v>0.9569410294153382</x:v>
      </x:c>
      <x:c r="C4498" s="84" t="n">
        <x:f>SQRT('Resumen'!$B$5^3/3)*B4498</x:f>
        <x:v>0.552490160931543</x:v>
      </x:c>
      <x:c r="D4498" s="84" t="n">
        <x:f>C4498^2-'Resumen'!$B$5^3/3</x:f>
        <x:v>-0.028087955407171017</x:v>
      </x:c>
      <x:c r="E4498" s="85" t="n">
        <x:f>D4498+'Resumen'!$B$5^3/3</x:f>
        <x:v>0.3052453779261623</x:v>
      </x:c>
    </x:row>
    <x:row r="4499">
      <x:c r="A4499" s="89" t="n">
        <x:v>4497</x:v>
      </x:c>
      <x:c r="B4499" s="80" t="n">
        <x:v>-1.3987747917050646</x:v>
      </x:c>
      <x:c r="C4499" s="84" t="n">
        <x:f>SQRT('Resumen'!$B$5^3/3)*B4499</x:f>
        <x:v>-0.8075830025265817</x:v>
      </x:c>
      <x:c r="D4499" s="84" t="n">
        <x:f>C4499^2-'Resumen'!$B$5^3/3</x:f>
        <x:v>0.3188569726365155</x:v>
      </x:c>
      <x:c r="E4499" s="85" t="n">
        <x:f>D4499+'Resumen'!$B$5^3/3</x:f>
        <x:v>0.6521903059698488</x:v>
      </x:c>
    </x:row>
    <x:row r="4500">
      <x:c r="A4500" s="89" t="n">
        <x:v>4498</x:v>
      </x:c>
      <x:c r="B4500" s="80" t="n">
        <x:v>-0.7077346703078616</x:v>
      </x:c>
      <x:c r="C4500" s="84" t="n">
        <x:f>SQRT('Resumen'!$B$5^3/3)*B4500</x:f>
        <x:v>-0.4086108024170749</x:v>
      </x:c>
      <x:c r="D4500" s="84" t="n">
        <x:f>C4500^2-'Resumen'!$B$5^3/3</x:f>
        <x:v>-0.16637054548140748</x:v>
      </x:c>
      <x:c r="E4500" s="85" t="n">
        <x:f>D4500+'Resumen'!$B$5^3/3</x:f>
        <x:v>0.16696278785192584</x:v>
      </x:c>
    </x:row>
    <x:row r="4501">
      <x:c r="A4501" s="89" t="n">
        <x:v>4499</x:v>
      </x:c>
      <x:c r="B4501" s="80" t="n">
        <x:v>-0.058380331547681</x:v>
      </x:c>
      <x:c r="C4501" s="84" t="n">
        <x:f>SQRT('Resumen'!$B$5^3/3)*B4501</x:f>
        <x:v>-0.033705900134433225</x:v>
      </x:c>
      <x:c r="D4501" s="84" t="n">
        <x:f>C4501^2-'Resumen'!$B$5^3/3</x:f>
        <x:v>-0.3321972456294609</x:v>
      </x:c>
      <x:c r="E4501" s="85" t="n">
        <x:f>D4501+'Resumen'!$B$5^3/3</x:f>
        <x:v>0.0011360877038724126</x:v>
      </x:c>
    </x:row>
    <x:row r="4502">
      <x:c r="A4502" s="89" t="n">
        <x:v>4500</x:v>
      </x:c>
      <x:c r="B4502" s="80" t="n">
        <x:v>2.712242571474608</x:v>
      </x:c>
      <x:c r="C4502" s="84" t="n">
        <x:f>SQRT('Resumen'!$B$5^3/3)*B4502</x:f>
        <x:v>1.5659139787484275</x:v>
      </x:c>
      <x:c r="D4502" s="84" t="n">
        <x:f>C4502^2-'Resumen'!$B$5^3/3</x:f>
        <x:v>2.1187532555063973</x:v>
      </x:c>
      <x:c r="E4502" s="85" t="n">
        <x:f>D4502+'Resumen'!$B$5^3/3</x:f>
        <x:v>2.4520865888397307</x:v>
      </x:c>
    </x:row>
    <x:row r="4503">
      <x:c r="A4503" s="89" t="n">
        <x:v>4501</x:v>
      </x:c>
      <x:c r="B4503" s="80" t="n">
        <x:v>-0.19898016302216479</x:v>
      </x:c>
      <x:c r="C4503" s="84" t="n">
        <x:f>SQRT('Resumen'!$B$5^3/3)*B4503</x:f>
        <x:v>-0.11488125068424244</x:v>
      </x:c>
      <x:c r="D4503" s="84" t="n">
        <x:f>C4503^2-'Resumen'!$B$5^3/3</x:f>
        <x:v>-0.32013563157455754</x:v>
      </x:c>
      <x:c r="E4503" s="85" t="n">
        <x:f>D4503+'Resumen'!$B$5^3/3</x:f>
        <x:v>0.01319770175877577</x:v>
      </x:c>
    </x:row>
    <x:row r="4504">
      <x:c r="A4504" s="89" t="n">
        <x:v>4502</x:v>
      </x:c>
      <x:c r="B4504" s="80" t="n">
        <x:v>-0.9338827372142443</x:v>
      </x:c>
      <x:c r="C4504" s="84" t="n">
        <x:f>SQRT('Resumen'!$B$5^3/3)*B4504</x:f>
        <x:v>-0.5391774497221885</x:v>
      </x:c>
      <x:c r="D4504" s="84" t="n">
        <x:f>C4504^2-'Resumen'!$B$5^3/3</x:f>
        <x:v>-0.042621011044410184</x:v>
      </x:c>
      <x:c r="E4504" s="85" t="n">
        <x:f>D4504+'Resumen'!$B$5^3/3</x:f>
        <x:v>0.29071232228892313</x:v>
      </x:c>
    </x:row>
    <x:row r="4505">
      <x:c r="A4505" s="89" t="n">
        <x:v>4503</x:v>
      </x:c>
      <x:c r="B4505" s="80" t="n">
        <x:v>0.03468724703466531</x:v>
      </x:c>
      <x:c r="C4505" s="84" t="n">
        <x:f>SQRT('Resumen'!$B$5^3/3)*B4505</x:f>
        <x:v>0.020026691412911062</x:v>
      </x:c>
      <x:c r="D4505" s="84" t="n">
        <x:f>C4505^2-'Resumen'!$B$5^3/3</x:f>
        <x:v>-0.3329322649643853</x:v>
      </x:c>
      <x:c r="E4505" s="85" t="n">
        <x:f>D4505+'Resumen'!$B$5^3/3</x:f>
        <x:v>0.0004010683689479877</x:v>
      </x:c>
    </x:row>
    <x:row r="4506">
      <x:c r="A4506" s="89" t="n">
        <x:v>4504</x:v>
      </x:c>
      <x:c r="B4506" s="80" t="n">
        <x:v>1.3049675615446958</x:v>
      </x:c>
      <x:c r="C4506" s="84" t="n">
        <x:f>SQRT('Resumen'!$B$5^3/3)*B4506</x:f>
        <x:v>0.7534233729415596</x:v>
      </x:c>
      <x:c r="D4506" s="84" t="n">
        <x:f>C4506^2-'Resumen'!$B$5^3/3</x:f>
        <x:v>0.23431344556130312</x:v>
      </x:c>
      <x:c r="E4506" s="85" t="n">
        <x:f>D4506+'Resumen'!$B$5^3/3</x:f>
        <x:v>0.5676467788946364</x:v>
      </x:c>
    </x:row>
    <x:row r="4507">
      <x:c r="A4507" s="89" t="n">
        <x:v>4505</x:v>
      </x:c>
      <x:c r="B4507" s="80" t="n">
        <x:v>-0.38807460914487496</x:v>
      </x:c>
      <x:c r="C4507" s="84" t="n">
        <x:f>SQRT('Resumen'!$B$5^3/3)*B4507</x:f>
        <x:v>-0.22405498005545235</x:v>
      </x:c>
      <x:c r="D4507" s="84" t="n">
        <x:f>C4507^2-'Resumen'!$B$5^3/3</x:f>
        <x:v>-0.2831326992456842</x:v>
      </x:c>
      <x:c r="E4507" s="85" t="n">
        <x:f>D4507+'Resumen'!$B$5^3/3</x:f>
        <x:v>0.05020063408764913</x:v>
      </x:c>
    </x:row>
    <x:row r="4508">
      <x:c r="A4508" s="89" t="n">
        <x:v>4506</x:v>
      </x:c>
      <x:c r="B4508" s="80" t="n">
        <x:v>-2.7202634306570026</x:v>
      </x:c>
      <x:c r="C4508" s="84" t="n">
        <x:f>SQRT('Resumen'!$B$5^3/3)*B4508</x:f>
        <x:v>-1.5705448239565152</x:v>
      </x:c>
      <x:c r="D4508" s="84" t="n">
        <x:f>C4508^2-'Resumen'!$B$5^3/3</x:f>
        <x:v>2.133277710723268</x:v>
      </x:c>
      <x:c r="E4508" s="85" t="n">
        <x:f>D4508+'Resumen'!$B$5^3/3</x:f>
        <x:v>2.4666110440566014</x:v>
      </x:c>
    </x:row>
    <x:row r="4509">
      <x:c r="A4509" s="89" t="n">
        <x:v>4507</x:v>
      </x:c>
      <x:c r="B4509" s="80" t="n">
        <x:v>0.3975817142288424</x:v>
      </x:c>
      <x:c r="C4509" s="84" t="n">
        <x:f>SQRT('Resumen'!$B$5^3/3)*B4509</x:f>
        <x:v>0.22954390973489502</x:v>
      </x:c>
      <x:c r="D4509" s="84" t="n">
        <x:f>C4509^2-'Resumen'!$B$5^3/3</x:f>
        <x:v>-0.2806429268369517</x:v>
      </x:c>
      <x:c r="E4509" s="85" t="n">
        <x:f>D4509+'Resumen'!$B$5^3/3</x:f>
        <x:v>0.052690406496381625</x:v>
      </x:c>
    </x:row>
    <x:row r="4510">
      <x:c r="A4510" s="89" t="n">
        <x:v>4508</x:v>
      </x:c>
      <x:c r="B4510" s="80" t="n">
        <x:v>0.6679042325409882</x:v>
      </x:c>
      <x:c r="C4510" s="84" t="n">
        <x:f>SQRT('Resumen'!$B$5^3/3)*B4510</x:f>
        <x:v>0.3856146884504299</x:v>
      </x:c>
      <x:c r="D4510" s="84" t="n">
        <x:f>C4510^2-'Resumen'!$B$5^3/3</x:f>
        <x:v>-0.1846346453846112</x:v>
      </x:c>
      <x:c r="E4510" s="85" t="n">
        <x:f>D4510+'Resumen'!$B$5^3/3</x:f>
        <x:v>0.14869868794872212</x:v>
      </x:c>
    </x:row>
    <x:row r="4511">
      <x:c r="A4511" s="89" t="n">
        <x:v>4509</x:v>
      </x:c>
      <x:c r="B4511" s="80" t="n">
        <x:v>-1.632103017721787</x:v>
      </x:c>
      <x:c r="C4511" s="84" t="n">
        <x:f>SQRT('Resumen'!$B$5^3/3)*B4511</x:f>
        <x:v>-0.9422951166268743</x:v>
      </x:c>
      <x:c r="D4511" s="84" t="n">
        <x:f>C4511^2-'Resumen'!$B$5^3/3</x:f>
        <x:v>0.5545867534855213</x:v>
      </x:c>
      <x:c r="E4511" s="85" t="n">
        <x:f>D4511+'Resumen'!$B$5^3/3</x:f>
        <x:v>0.8879200868188546</x:v>
      </x:c>
    </x:row>
    <x:row r="4512">
      <x:c r="A4512" s="89" t="n">
        <x:v>4510</x:v>
      </x:c>
      <x:c r="B4512" s="80" t="n">
        <x:v>0.14708552605168768</x:v>
      </x:c>
      <x:c r="C4512" s="84" t="n">
        <x:f>SQRT('Resumen'!$B$5^3/3)*B4512</x:f>
        <x:v>0.08491986805983959</x:v>
      </x:c>
      <x:c r="D4512" s="84" t="n">
        <x:f>C4512^2-'Resumen'!$B$5^3/3</x:f>
        <x:v>-0.32612194934203276</x:v>
      </x:c>
      <x:c r="E4512" s="85" t="n">
        <x:f>D4512+'Resumen'!$B$5^3/3</x:f>
        <x:v>0.007211383991300557</x:v>
      </x:c>
    </x:row>
    <x:row r="4513">
      <x:c r="A4513" s="89" t="n">
        <x:v>4511</x:v>
      </x:c>
      <x:c r="B4513" s="80" t="n">
        <x:v>0.15002122328147166</x:v>
      </x:c>
      <x:c r="C4513" s="84" t="n">
        <x:f>SQRT('Resumen'!$B$5^3/3)*B4513</x:f>
        <x:v>0.08661479364571462</x:v>
      </x:c>
      <x:c r="D4513" s="84" t="n">
        <x:f>C4513^2-'Resumen'!$B$5^3/3</x:f>
        <x:v>-0.3258312108550436</x:v>
      </x:c>
      <x:c r="E4513" s="85" t="n">
        <x:f>D4513+'Resumen'!$B$5^3/3</x:f>
        <x:v>0.007502122478289741</x:v>
      </x:c>
    </x:row>
    <x:row r="4514">
      <x:c r="A4514" s="89" t="n">
        <x:v>4512</x:v>
      </x:c>
      <x:c r="B4514" s="80" t="n">
        <x:v>1.2452319086814743</x:v>
      </x:c>
      <x:c r="C4514" s="84" t="n">
        <x:f>SQRT('Resumen'!$B$5^3/3)*B4514</x:f>
        <x:v>0.7189349776807606</x:v>
      </x:c>
      <x:c r="D4514" s="84" t="n">
        <x:f>C4514^2-'Resumen'!$B$5^3/3</x:f>
        <x:v>0.18353416879950252</x:v>
      </x:c>
      <x:c r="E4514" s="85" t="n">
        <x:f>D4514+'Resumen'!$B$5^3/3</x:f>
        <x:v>0.5168675021328358</x:v>
      </x:c>
    </x:row>
    <x:row r="4515">
      <x:c r="A4515" s="89" t="n">
        <x:v>4513</x:v>
      </x:c>
      <x:c r="B4515" s="80" t="n">
        <x:v>0.019710672979585318</x:v>
      </x:c>
      <x:c r="C4515" s="84" t="n">
        <x:f>SQRT('Resumen'!$B$5^3/3)*B4515</x:f>
        <x:v>0.011379962350672266</x:v>
      </x:c>
      <x:c r="D4515" s="84" t="n">
        <x:f>C4515^2-'Resumen'!$B$5^3/3</x:f>
        <x:v>-0.3332038297902306</x:v>
      </x:c>
      <x:c r="E4515" s="85" t="n">
        <x:f>D4515+'Resumen'!$B$5^3/3</x:f>
        <x:v>0.00012950354310270473</x:v>
      </x:c>
    </x:row>
    <x:row r="4516">
      <x:c r="A4516" s="89" t="n">
        <x:v>4514</x:v>
      </x:c>
      <x:c r="B4516" s="80" t="n">
        <x:v>0.7611433111286697</x:v>
      </x:c>
      <x:c r="C4516" s="84" t="n">
        <x:f>SQRT('Resumen'!$B$5^3/3)*B4516</x:f>
        <x:v>0.43944629557202053</x:v>
      </x:c>
      <x:c r="D4516" s="84" t="n">
        <x:f>C4516^2-'Resumen'!$B$5^3/3</x:f>
        <x:v>-0.14022028664136169</x:v>
      </x:c>
      <x:c r="E4516" s="85" t="n">
        <x:f>D4516+'Resumen'!$B$5^3/3</x:f>
        <x:v>0.19311304669197163</x:v>
      </x:c>
    </x:row>
    <x:row r="4517">
      <x:c r="A4517" s="89" t="n">
        <x:v>4515</x:v>
      </x:c>
      <x:c r="B4517" s="80" t="n">
        <x:v>0.00745247361684657</x:v>
      </x:c>
      <x:c r="C4517" s="84" t="n">
        <x:f>SQRT('Resumen'!$B$5^3/3)*B4517</x:f>
        <x:v>0.004302687648814951</x:v>
      </x:c>
      <x:c r="D4517" s="84" t="n">
        <x:f>C4517^2-'Resumen'!$B$5^3/3</x:f>
        <x:v>-0.33331482021233005</x:v>
      </x:c>
      <x:c r="E4517" s="85" t="n">
        <x:f>D4517+'Resumen'!$B$5^3/3</x:f>
        <x:v>0.000018513121003260746</x:v>
      </x:c>
    </x:row>
    <x:row r="4518">
      <x:c r="A4518" s="89" t="n">
        <x:v>4516</x:v>
      </x:c>
      <x:c r="B4518" s="80" t="n">
        <x:v>-1.1130594813744978</x:v>
      </x:c>
      <x:c r="C4518" s="84" t="n">
        <x:f>SQRT('Resumen'!$B$5^3/3)*B4518</x:f>
        <x:v>-0.6426251911956316</x:v>
      </x:c>
      <x:c r="D4518" s="84" t="n">
        <x:f>C4518^2-'Resumen'!$B$5^3/3</x:f>
        <x:v>0.07963380302588868</x:v>
      </x:c>
      <x:c r="E4518" s="85" t="n">
        <x:f>D4518+'Resumen'!$B$5^3/3</x:f>
        <x:v>0.412967136359222</x:v>
      </x:c>
    </x:row>
    <x:row r="4519">
      <x:c r="A4519" s="89" t="n">
        <x:v>4517</x:v>
      </x:c>
      <x:c r="B4519" s="80" t="n">
        <x:v>0.295406370734753</x:v>
      </x:c>
      <x:c r="C4519" s="84" t="n">
        <x:f>SQRT('Resumen'!$B$5^3/3)*B4519</x:f>
        <x:v>0.17055294766404003</x:v>
      </x:c>
      <x:c r="D4519" s="84" t="n">
        <x:f>C4519^2-'Resumen'!$B$5^3/3</x:f>
        <x:v>-0.30424502537644055</x:v>
      </x:c>
      <x:c r="E4519" s="85" t="n">
        <x:f>D4519+'Resumen'!$B$5^3/3</x:f>
        <x:v>0.029088307956892767</x:v>
      </x:c>
    </x:row>
    <x:row r="4520">
      <x:c r="A4520" s="89" t="n">
        <x:v>4518</x:v>
      </x:c>
      <x:c r="B4520" s="80" t="n">
        <x:v>0.7320901022006628</x:v>
      </x:c>
      <x:c r="C4520" s="84" t="n">
        <x:f>SQRT('Resumen'!$B$5^3/3)*B4520</x:f>
        <x:v>0.4226724175766133</x:v>
      </x:c>
      <x:c r="D4520" s="84" t="n">
        <x:f>C4520^2-'Resumen'!$B$5^3/3</x:f>
        <x:v>-0.15468136075327438</x:v>
      </x:c>
      <x:c r="E4520" s="85" t="n">
        <x:f>D4520+'Resumen'!$B$5^3/3</x:f>
        <x:v>0.17865197258005894</x:v>
      </x:c>
    </x:row>
    <x:row r="4521">
      <x:c r="A4521" s="89" t="n">
        <x:v>4519</x:v>
      </x:c>
      <x:c r="B4521" s="80" t="n">
        <x:v>0.48630765907191276</x:v>
      </x:c>
      <x:c r="C4521" s="84" t="n">
        <x:f>SQRT('Resumen'!$B$5^3/3)*B4521</x:f>
        <x:v>0.28076985787414555</x:v>
      </x:c>
      <x:c r="D4521" s="84" t="n">
        <x:f>C4521^2-'Resumen'!$B$5^3/3</x:f>
        <x:v>-0.2545016202426654</x:v>
      </x:c>
      <x:c r="E4521" s="85" t="n">
        <x:f>D4521+'Resumen'!$B$5^3/3</x:f>
        <x:v>0.07883171309066789</x:v>
      </x:c>
    </x:row>
    <x:row r="4522">
      <x:c r="A4522" s="89" t="n">
        <x:v>4520</x:v>
      </x:c>
      <x:c r="B4522" s="80" t="n">
        <x:v>-1.5617181856936868</x:v>
      </x:c>
      <x:c r="C4522" s="84" t="n">
        <x:f>SQRT('Resumen'!$B$5^3/3)*B4522</x:f>
        <x:v>-0.901658414908584</x:v>
      </x:c>
      <x:c r="D4522" s="84" t="n">
        <x:f>C4522^2-'Resumen'!$B$5^3/3</x:f>
        <x:v>0.47965456384212696</x:v>
      </x:c>
      <x:c r="E4522" s="85" t="n">
        <x:f>D4522+'Resumen'!$B$5^3/3</x:f>
        <x:v>0.8129878971754603</x:v>
      </x:c>
    </x:row>
    <x:row r="4523">
      <x:c r="A4523" s="89" t="n">
        <x:v>4521</x:v>
      </x:c>
      <x:c r="B4523" s="80" t="n">
        <x:v>1.308287027405564</x:v>
      </x:c>
      <x:c r="C4523" s="84" t="n">
        <x:f>SQRT('Resumen'!$B$5^3/3)*B4523</x:f>
        <x:v>0.7553398674498977</x:v>
      </x:c>
      <x:c r="D4523" s="84" t="n">
        <x:f>C4523^2-'Resumen'!$B$5^3/3</x:f>
        <x:v>0.23720498202589563</x:v>
      </x:c>
      <x:c r="E4523" s="85" t="n">
        <x:f>D4523+'Resumen'!$B$5^3/3</x:f>
        <x:v>0.5705383153592289</x:v>
      </x:c>
    </x:row>
    <x:row r="4524">
      <x:c r="A4524" s="89" t="n">
        <x:v>4522</x:v>
      </x:c>
      <x:c r="B4524" s="80" t="n">
        <x:v>1.0132036379697462</x:v>
      </x:c>
      <x:c r="C4524" s="84" t="n">
        <x:f>SQRT('Resumen'!$B$5^3/3)*B4524</x:f>
        <x:v>0.584973393125741</x:v>
      </x:c>
      <x:c r="D4524" s="84" t="n">
        <x:f>C4524^2-'Resumen'!$B$5^3/3</x:f>
        <x:v>0.00886053733170944</x:v>
      </x:c>
      <x:c r="E4524" s="85" t="n">
        <x:f>D4524+'Resumen'!$B$5^3/3</x:f>
        <x:v>0.34219387066504275</x:v>
      </x:c>
    </x:row>
    <x:row r="4525">
      <x:c r="A4525" s="89" t="n">
        <x:v>4523</x:v>
      </x:c>
      <x:c r="B4525" s="80" t="n">
        <x:v>1.4495330199342866</x:v>
      </x:c>
      <x:c r="C4525" s="84" t="n">
        <x:f>SQRT('Resumen'!$B$5^3/3)*B4525</x:f>
        <x:v>0.8368882792583116</x:v>
      </x:c>
      <x:c r="D4525" s="84" t="n">
        <x:f>C4525^2-'Resumen'!$B$5^3/3</x:f>
        <x:v>0.36704865862660435</x:v>
      </x:c>
      <x:c r="E4525" s="85" t="n">
        <x:f>D4525+'Resumen'!$B$5^3/3</x:f>
        <x:v>0.7003819919599377</x:v>
      </x:c>
    </x:row>
    <x:row r="4526">
      <x:c r="A4526" s="89" t="n">
        <x:v>4524</x:v>
      </x:c>
      <x:c r="B4526" s="80" t="n">
        <x:v>-1.9210000236678955</x:v>
      </x:c>
      <x:c r="C4526" s="84" t="n">
        <x:f>SQRT('Resumen'!$B$5^3/3)*B4526</x:f>
        <x:v>-1.1090898807779368</x:v>
      </x:c>
      <x:c r="D4526" s="84" t="n">
        <x:f>C4526^2-'Resumen'!$B$5^3/3</x:f>
        <x:v>0.8967470303106848</x:v>
      </x:c>
      <x:c r="E4526" s="85" t="n">
        <x:f>D4526+'Resumen'!$B$5^3/3</x:f>
        <x:v>1.230080363644018</x:v>
      </x:c>
    </x:row>
    <x:row r="4527">
      <x:c r="A4527" s="89" t="n">
        <x:v>4525</x:v>
      </x:c>
      <x:c r="B4527" s="80" t="n">
        <x:v>0.4387904996316725</x:v>
      </x:c>
      <x:c r="C4527" s="84" t="n">
        <x:f>SQRT('Resumen'!$B$5^3/3)*B4527</x:f>
        <x:v>0.2533358130801965</x:v>
      </x:c>
      <x:c r="D4527" s="84" t="n">
        <x:f>C4527^2-'Resumen'!$B$5^3/3</x:f>
        <x:v>-0.2691542991443291</x:v>
      </x:c>
      <x:c r="E4527" s="85" t="n">
        <x:f>D4527+'Resumen'!$B$5^3/3</x:f>
        <x:v>0.06417903418900422</x:v>
      </x:c>
    </x:row>
    <x:row r="4528">
      <x:c r="A4528" s="89" t="n">
        <x:v>4526</x:v>
      </x:c>
      <x:c r="B4528" s="80" t="n">
        <x:v>0.44006629359304505</x:v>
      </x:c>
      <x:c r="C4528" s="84" t="n">
        <x:f>SQRT('Resumen'!$B$5^3/3)*B4528</x:f>
        <x:v>0.25407239306722545</x:v>
      </x:c>
      <x:c r="D4528" s="84" t="n">
        <x:f>C4528^2-'Resumen'!$B$5^3/3</x:f>
        <x:v>-0.2687805524144266</x:v>
      </x:c>
      <x:c r="E4528" s="85" t="n">
        <x:f>D4528+'Resumen'!$B$5^3/3</x:f>
        <x:v>0.0645527809189067</x:v>
      </x:c>
    </x:row>
    <x:row r="4529">
      <x:c r="A4529" s="89" t="n">
        <x:v>4527</x:v>
      </x:c>
      <x:c r="B4529" s="80" t="n">
        <x:v>-0.17825977932736722</x:v>
      </x:c>
      <x:c r="C4529" s="84" t="n">
        <x:f>SQRT('Resumen'!$B$5^3/3)*B4529</x:f>
        <x:v>-0.10291833158033875</x:v>
      </x:c>
      <x:c r="D4529" s="84" t="n">
        <x:f>C4529^2-'Resumen'!$B$5^3/3</x:f>
        <x:v>-0.3227411503580528</x:v>
      </x:c>
      <x:c r="E4529" s="85" t="n">
        <x:f>D4529+'Resumen'!$B$5^3/3</x:f>
        <x:v>0.010592182975280529</x:v>
      </x:c>
    </x:row>
    <x:row r="4530">
      <x:c r="A4530" s="89" t="n">
        <x:v>4528</x:v>
      </x:c>
      <x:c r="B4530" s="80" t="n">
        <x:v>-0.9835441754651226</x:v>
      </x:c>
      <x:c r="C4530" s="84" t="n">
        <x:f>SQRT('Resumen'!$B$5^3/3)*B4530</x:f>
        <x:v>-0.567849494464677</x:v>
      </x:c>
      <x:c r="D4530" s="84" t="n">
        <x:f>C4530^2-'Resumen'!$B$5^3/3</x:f>
        <x:v>-0.010880284969544074</x:v>
      </x:c>
      <x:c r="E4530" s="85" t="n">
        <x:f>D4530+'Resumen'!$B$5^3/3</x:f>
        <x:v>0.32245304836378924</x:v>
      </x:c>
    </x:row>
    <x:row r="4531">
      <x:c r="A4531" s="89" t="n">
        <x:v>4529</x:v>
      </x:c>
      <x:c r="B4531" s="80" t="n">
        <x:v>-0.9009667222993414</x:v>
      </x:c>
      <x:c r="C4531" s="84" t="n">
        <x:f>SQRT('Resumen'!$B$5^3/3)*B4531</x:f>
        <x:v>-0.5201733796504195</x:v>
      </x:c>
      <x:c r="D4531" s="84" t="n">
        <x:f>C4531^2-'Resumen'!$B$5^3/3</x:f>
        <x:v>-0.06275298843639382</x:v>
      </x:c>
      <x:c r="E4531" s="85" t="n">
        <x:f>D4531+'Resumen'!$B$5^3/3</x:f>
        <x:v>0.2705803448969395</x:v>
      </x:c>
    </x:row>
    <x:row r="4532">
      <x:c r="A4532" s="89" t="n">
        <x:v>4530</x:v>
      </x:c>
      <x:c r="B4532" s="80" t="n">
        <x:v>-0.43708564428634333</x:v>
      </x:c>
      <x:c r="C4532" s="84" t="n">
        <x:f>SQRT('Resumen'!$B$5^3/3)*B4532</x:f>
        <x:v>-0.2523515143876413</x:v>
      </x:c>
      <x:c r="D4532" s="84" t="n">
        <x:f>C4532^2-'Resumen'!$B$5^3/3</x:f>
        <x:v>-0.2696520465195974</x:v>
      </x:c>
      <x:c r="E4532" s="85" t="n">
        <x:f>D4532+'Resumen'!$B$5^3/3</x:f>
        <x:v>0.06368128681373592</x:v>
      </x:c>
    </x:row>
    <x:row r="4533">
      <x:c r="A4533" s="89" t="n">
        <x:v>4531</x:v>
      </x:c>
      <x:c r="B4533" s="80" t="n">
        <x:v>-1.265304594482247</x:v>
      </x:c>
      <x:c r="C4533" s="84" t="n">
        <x:f>SQRT('Resumen'!$B$5^3/3)*B4533</x:f>
        <x:v>-0.7305239482311955</x:v>
      </x:c>
      <x:c r="D4533" s="84" t="n">
        <x:f>C4533^2-'Resumen'!$B$5^3/3</x:f>
        <x:v>0.2003319056059611</x:v>
      </x:c>
      <x:c r="E4533" s="85" t="n">
        <x:f>D4533+'Resumen'!$B$5^3/3</x:f>
        <x:v>0.5336652389392944</x:v>
      </x:c>
    </x:row>
    <x:row r="4534">
      <x:c r="A4534" s="89" t="n">
        <x:v>4532</x:v>
      </x:c>
      <x:c r="B4534" s="80" t="n">
        <x:v>-1.1063589558849996</x:v>
      </x:c>
      <x:c r="C4534" s="84" t="n">
        <x:f>SQRT('Resumen'!$B$5^3/3)*B4534</x:f>
        <x:v>-0.6387566410005577</x:v>
      </x:c>
      <x:c r="D4534" s="84" t="n">
        <x:f>C4534^2-'Resumen'!$B$5^3/3</x:f>
        <x:v>0.0746767130889821</x:v>
      </x:c>
      <x:c r="E4534" s="85" t="n">
        <x:f>D4534+'Resumen'!$B$5^3/3</x:f>
        <x:v>0.4080100464223154</x:v>
      </x:c>
    </x:row>
    <x:row r="4535">
      <x:c r="A4535" s="89" t="n">
        <x:v>4533</x:v>
      </x:c>
      <x:c r="B4535" s="80" t="n">
        <x:v>0.974813655350533</x:v>
      </x:c>
      <x:c r="C4535" s="84" t="n">
        <x:f>SQRT('Resumen'!$B$5^3/3)*B4535</x:f>
        <x:v>0.5628089263263533</x:v>
      </x:c>
      <x:c r="D4535" s="84" t="n">
        <x:f>C4535^2-'Resumen'!$B$5^3/3</x:f>
        <x:v>-0.0165794457807108</x:v>
      </x:c>
      <x:c r="E4535" s="85" t="n">
        <x:f>D4535+'Resumen'!$B$5^3/3</x:f>
        <x:v>0.3167538875526225</x:v>
      </x:c>
    </x:row>
    <x:row r="4536">
      <x:c r="A4536" s="89" t="n">
        <x:v>4534</x:v>
      </x:c>
      <x:c r="B4536" s="80" t="n">
        <x:v>-0.9988346160140615</x:v>
      </x:c>
      <x:c r="C4536" s="84" t="n">
        <x:f>SQRT('Resumen'!$B$5^3/3)*B4536</x:f>
        <x:v>-0.5766774344316349</x:v>
      </x:c>
      <x:c r="D4536" s="84" t="n">
        <x:f>C4536^2-'Resumen'!$B$5^3/3</x:f>
        <x:v>-0.0007764699506807582</x:v>
      </x:c>
      <x:c r="E4536" s="85" t="n">
        <x:f>D4536+'Resumen'!$B$5^3/3</x:f>
        <x:v>0.33255686338265256</x:v>
      </x:c>
    </x:row>
    <x:row r="4537">
      <x:c r="A4537" s="89" t="n">
        <x:v>4535</x:v>
      </x:c>
      <x:c r="B4537" s="80" t="n">
        <x:v>-0.9571362719319444</x:v>
      </x:c>
      <x:c r="C4537" s="84" t="n">
        <x:f>SQRT('Resumen'!$B$5^3/3)*B4537</x:f>
        <x:v>-0.552602884251063</x:v>
      </x:c>
      <x:c r="D4537" s="84" t="n">
        <x:f>C4537^2-'Resumen'!$B$5^3/3</x:f>
        <x:v>-0.027963385650739636</x:v>
      </x:c>
      <x:c r="E4537" s="85" t="n">
        <x:f>D4537+'Resumen'!$B$5^3/3</x:f>
        <x:v>0.3053699476825937</x:v>
      </x:c>
    </x:row>
    <x:row r="4538">
      <x:c r="A4538" s="89" t="n">
        <x:v>4536</x:v>
      </x:c>
      <x:c r="B4538" s="80" t="n">
        <x:v>-0.21748202218048707</x:v>
      </x:c>
      <x:c r="C4538" s="84" t="n">
        <x:f>SQRT('Resumen'!$B$5^3/3)*B4538</x:f>
        <x:v>-0.12556330404980837</x:v>
      </x:c>
      <x:c r="D4538" s="84" t="n">
        <x:f>C4538^2-'Resumen'!$B$5^3/3</x:f>
        <x:v>-0.3175671900094287</x:v>
      </x:c>
      <x:c r="E4538" s="85" t="n">
        <x:f>D4538+'Resumen'!$B$5^3/3</x:f>
        <x:v>0.015766143323904636</x:v>
      </x:c>
    </x:row>
    <x:row r="4539">
      <x:c r="A4539" s="89" t="n">
        <x:v>4537</x:v>
      </x:c>
      <x:c r="B4539" s="80" t="n">
        <x:v>-0.5099551042330867</x:v>
      </x:c>
      <x:c r="C4539" s="84" t="n">
        <x:f>SQRT('Resumen'!$B$5^3/3)*B4539</x:f>
        <x:v>-0.2944227167035962</x:v>
      </x:c>
      <x:c r="D4539" s="84" t="n">
        <x:f>C4539^2-'Resumen'!$B$5^3/3</x:f>
        <x:v>-0.24664859722220725</x:v>
      </x:c>
      <x:c r="E4539" s="85" t="n">
        <x:f>D4539+'Resumen'!$B$5^3/3</x:f>
        <x:v>0.08668473611112607</x:v>
      </x:c>
    </x:row>
    <x:row r="4540">
      <x:c r="A4540" s="89" t="n">
        <x:v>4538</x:v>
      </x:c>
      <x:c r="B4540" s="80" t="n">
        <x:v>-1.4310880973265923</x:v>
      </x:c>
      <x:c r="C4540" s="84" t="n">
        <x:f>SQRT('Resumen'!$B$5^3/3)*B4540</x:f>
        <x:v>-0.8262390982255774</x:v>
      </x:c>
      <x:c r="D4540" s="84" t="n">
        <x:f>C4540^2-'Resumen'!$B$5^3/3</x:f>
        <x:v>0.349337714103282</x:v>
      </x:c>
      <x:c r="E4540" s="85" t="n">
        <x:f>D4540+'Resumen'!$B$5^3/3</x:f>
        <x:v>0.6826710474366153</x:v>
      </x:c>
    </x:row>
    <x:row r="4541">
      <x:c r="A4541" s="89" t="n">
        <x:v>4539</x:v>
      </x:c>
      <x:c r="B4541" s="80" t="n">
        <x:v>-0.3026966845144621</x:v>
      </x:c>
      <x:c r="C4541" s="84" t="n">
        <x:f>SQRT('Resumen'!$B$5^3/3)*B4541</x:f>
        <x:v>-0.1747620122872319</x:v>
      </x:c>
      <x:c r="D4541" s="84" t="n">
        <x:f>C4541^2-'Resumen'!$B$5^3/3</x:f>
        <x:v>-0.3027915723946507</x:v>
      </x:c>
      <x:c r="E4541" s="85" t="n">
        <x:f>D4541+'Resumen'!$B$5^3/3</x:f>
        <x:v>0.030541760938682605</x:v>
      </x:c>
    </x:row>
    <x:row r="4542">
      <x:c r="A4542" s="89" t="n">
        <x:v>4540</x:v>
      </x:c>
      <x:c r="B4542" s="80" t="n">
        <x:v>0.7877067072749151</x:v>
      </x:c>
      <x:c r="C4542" s="84" t="n">
        <x:f>SQRT('Resumen'!$B$5^3/3)*B4542</x:f>
        <x:v>0.45478267948764595</x:v>
      </x:c>
      <x:c r="D4542" s="84" t="n">
        <x:f>C4542^2-'Resumen'!$B$5^3/3</x:f>
        <x:v>-0.12650604777137042</x:v>
      </x:c>
      <x:c r="E4542" s="85" t="n">
        <x:f>D4542+'Resumen'!$B$5^3/3</x:f>
        <x:v>0.2068272855619629</x:v>
      </x:c>
    </x:row>
    <x:row r="4543">
      <x:c r="A4543" s="89" t="n">
        <x:v>4541</x:v>
      </x:c>
      <x:c r="B4543" s="80" t="n">
        <x:v>-0.5833579288530637</x:v>
      </x:c>
      <x:c r="C4543" s="84" t="n">
        <x:f>SQRT('Resumen'!$B$5^3/3)*B4543</x:f>
        <x:v>-0.33680185725721884</x:v>
      </x:c>
      <x:c r="D4543" s="84" t="n">
        <x:f>C4543^2-'Resumen'!$B$5^3/3</x:f>
        <x:v>-0.21989784228142129</x:v>
      </x:c>
      <x:c r="E4543" s="85" t="n">
        <x:f>D4543+'Resumen'!$B$5^3/3</x:f>
        <x:v>0.11343549105191203</x:v>
      </x:c>
    </x:row>
    <x:row r="4544">
      <x:c r="A4544" s="89" t="n">
        <x:v>4542</x:v>
      </x:c>
      <x:c r="B4544" s="80" t="n">
        <x:v>1.44279759505727</x:v>
      </x:c>
      <x:c r="C4544" s="84" t="n">
        <x:f>SQRT('Resumen'!$B$5^3/3)*B4544</x:f>
        <x:v>0.8329995798924594</x:v>
      </x:c>
      <x:c r="D4544" s="84" t="n">
        <x:f>C4544^2-'Resumen'!$B$5^3/3</x:f>
        <x:v>0.36055496676768056</x:v>
      </x:c>
      <x:c r="E4544" s="85" t="n">
        <x:f>D4544+'Resumen'!$B$5^3/3</x:f>
        <x:v>0.6938883001010139</x:v>
      </x:c>
    </x:row>
    <x:row r="4545">
      <x:c r="A4545" s="89" t="n">
        <x:v>4543</x:v>
      </x:c>
      <x:c r="B4545" s="80" t="n">
        <x:v>0.768113600704681</x:v>
      </x:c>
      <x:c r="C4545" s="84" t="n">
        <x:f>SQRT('Resumen'!$B$5^3/3)*B4545</x:f>
        <x:v>0.4434705941350603</x:v>
      </x:c>
      <x:c r="D4545" s="84" t="n">
        <x:f>C4545^2-'Resumen'!$B$5^3/3</x:f>
        <x:v>-0.13666716547082994</x:v>
      </x:c>
      <x:c r="E4545" s="85" t="n">
        <x:f>D4545+'Resumen'!$B$5^3/3</x:f>
        <x:v>0.19666616786250338</x:v>
      </x:c>
    </x:row>
    <x:row r="4546">
      <x:c r="A4546" s="89" t="n">
        <x:v>4544</x:v>
      </x:c>
      <x:c r="B4546" s="80" t="n">
        <x:v>-1.8290294970313425</x:v>
      </x:c>
      <x:c r="C4546" s="84" t="n">
        <x:f>SQRT('Resumen'!$B$5^3/3)*B4546</x:f>
        <x:v>-1.0559906724668113</x:v>
      </x:c>
      <x:c r="D4546" s="84" t="n">
        <x:f>C4546^2-'Resumen'!$B$5^3/3</x:f>
        <x:v>0.7817829670035752</x:v>
      </x:c>
      <x:c r="E4546" s="85" t="n">
        <x:f>D4546+'Resumen'!$B$5^3/3</x:f>
        <x:v>1.1151163003369085</x:v>
      </x:c>
    </x:row>
    <x:row r="4547">
      <x:c r="A4547" s="89" t="n">
        <x:v>4545</x:v>
      </x:c>
      <x:c r="B4547" s="80" t="n">
        <x:v>0.3037834184855532</x:v>
      </x:c>
      <x:c r="C4547" s="84" t="n">
        <x:f>SQRT('Resumen'!$B$5^3/3)*B4547</x:f>
        <x:v>0.17538943843797886</x:v>
      </x:c>
      <x:c r="D4547" s="84" t="n">
        <x:f>C4547^2-'Resumen'!$B$5^3/3</x:f>
        <x:v>-0.30257187821774373</x:v>
      </x:c>
      <x:c r="E4547" s="85" t="n">
        <x:f>D4547+'Resumen'!$B$5^3/3</x:f>
        <x:v>0.030761455115589587</x:v>
      </x:c>
    </x:row>
    <x:row r="4548">
      <x:c r="A4548" s="89" t="n">
        <x:v>4546</x:v>
      </x:c>
      <x:c r="B4548" s="80" t="n">
        <x:v>0.18528167117537866</x:v>
      </x:c>
      <x:c r="C4548" s="84" t="n">
        <x:f>SQRT('Resumen'!$B$5^3/3)*B4548</x:f>
        <x:v>0.10697242272900859</x:v>
      </x:c>
      <x:c r="D4548" s="84" t="n">
        <x:f>C4548^2-'Resumen'!$B$5^3/3</x:f>
        <x:v>-0.3218902341088196</x:v>
      </x:c>
      <x:c r="E4548" s="85" t="n">
        <x:f>D4548+'Resumen'!$B$5^3/3</x:f>
        <x:v>0.011443099224513698</x:v>
      </x:c>
    </x:row>
    <x:row r="4549">
      <x:c r="A4549" s="89" t="n">
        <x:v>4547</x:v>
      </x:c>
      <x:c r="B4549" s="80" t="n">
        <x:v>1.055976274326647</x:v>
      </x:c>
      <x:c r="C4549" s="84" t="n">
        <x:f>SQRT('Resumen'!$B$5^3/3)*B4549</x:f>
        <x:v>0.6096681862403477</x:v>
      </x:c>
      <x:c r="D4549" s="84" t="n">
        <x:f>C4549^2-'Resumen'!$B$5^3/3</x:f>
        <x:v>0.03836196398026198</x:v>
      </x:c>
      <x:c r="E4549" s="85" t="n">
        <x:f>D4549+'Resumen'!$B$5^3/3</x:f>
        <x:v>0.3716952973135953</x:v>
      </x:c>
    </x:row>
    <x:row r="4550">
      <x:c r="A4550" s="89" t="n">
        <x:v>4548</x:v>
      </x:c>
      <x:c r="B4550" s="80" t="n">
        <x:v>-1.423257634508497</x:v>
      </x:c>
      <x:c r="C4550" s="84" t="n">
        <x:f>SQRT('Resumen'!$B$5^3/3)*B4550</x:f>
        <x:v>-0.8217181784096708</x:v>
      </x:c>
      <x:c r="D4550" s="84" t="n">
        <x:f>C4550^2-'Resumen'!$B$5^3/3</x:f>
        <x:v>0.34188743139557415</x:v>
      </x:c>
      <x:c r="E4550" s="85" t="n">
        <x:f>D4550+'Resumen'!$B$5^3/3</x:f>
        <x:v>0.6752207647289075</x:v>
      </x:c>
    </x:row>
    <x:row r="4551">
      <x:c r="A4551" s="89" t="n">
        <x:v>4549</x:v>
      </x:c>
      <x:c r="B4551" s="80" t="n">
        <x:v>-0.31437538605704746</x:v>
      </x:c>
      <x:c r="C4551" s="84" t="n">
        <x:f>SQRT('Resumen'!$B$5^3/3)*B4551</x:f>
        <x:v>-0.18150471376662886</x:v>
      </x:c>
      <x:c r="D4551" s="84" t="n">
        <x:f>C4551^2-'Resumen'!$B$5^3/3</x:f>
        <x:v>-0.30038937221382744</x:v>
      </x:c>
      <x:c r="E4551" s="85" t="n">
        <x:f>D4551+'Resumen'!$B$5^3/3</x:f>
        <x:v>0.03294396111950587</x:v>
      </x:c>
    </x:row>
    <x:row r="4552">
      <x:c r="A4552" s="89" t="n">
        <x:v>4550</x:v>
      </x:c>
      <x:c r="B4552" s="80" t="n">
        <x:v>-0.15431097884412445</x:v>
      </x:c>
      <x:c r="C4552" s="84" t="n">
        <x:f>SQRT('Resumen'!$B$5^3/3)*B4552</x:f>
        <x:v>-0.0890914851745699</x:v>
      </x:c>
      <x:c r="D4552" s="84" t="n">
        <x:f>C4552^2-'Resumen'!$B$5^3/3</x:f>
        <x:v>-0.3253960406027227</x:v>
      </x:c>
      <x:c r="E4552" s="85" t="n">
        <x:f>D4552+'Resumen'!$B$5^3/3</x:f>
        <x:v>0.007937292730610612</x:v>
      </x:c>
    </x:row>
    <x:row r="4553">
      <x:c r="A4553" s="89" t="n">
        <x:v>4551</x:v>
      </x:c>
      <x:c r="B4553" s="80" t="n">
        <x:v>1.8950606431562091</x:v>
      </x:c>
      <x:c r="C4553" s="84" t="n">
        <x:f>SQRT('Resumen'!$B$5^3/3)*B4553</x:f>
        <x:v>1.0941137724569026</x:v>
      </x:c>
      <x:c r="D4553" s="84" t="n">
        <x:f>C4553^2-'Resumen'!$B$5^3/3</x:f>
        <x:v>0.8637516137465415</x:v>
      </x:c>
      <x:c r="E4553" s="85" t="n">
        <x:f>D4553+'Resumen'!$B$5^3/3</x:f>
        <x:v>1.1970849470798748</x:v>
      </x:c>
    </x:row>
    <x:row r="4554">
      <x:c r="A4554" s="89" t="n">
        <x:v>4552</x:v>
      </x:c>
      <x:c r="B4554" s="80" t="n">
        <x:v>-0.9517726477624546</x:v>
      </x:c>
      <x:c r="C4554" s="84" t="n">
        <x:f>SQRT('Resumen'!$B$5^3/3)*B4554</x:f>
        <x:v>-0.549506194392976</x:v>
      </x:c>
      <x:c r="D4554" s="84" t="n">
        <x:f>C4554^2-'Resumen'!$B$5^3/3</x:f>
        <x:v>-0.031376275657082175</x:v>
      </x:c>
      <x:c r="E4554" s="85" t="n">
        <x:f>D4554+'Resumen'!$B$5^3/3</x:f>
        <x:v>0.30195705767625114</x:v>
      </x:c>
    </x:row>
    <x:row r="4555">
      <x:c r="A4555" s="89" t="n">
        <x:v>4553</x:v>
      </x:c>
      <x:c r="B4555" s="80" t="n">
        <x:v>-0.2714715409109983</x:v>
      </x:c>
      <x:c r="C4555" s="84" t="n">
        <x:f>SQRT('Resumen'!$B$5^3/3)*B4555</x:f>
        <x:v>-0.15673416722228736</x:v>
      </x:c>
      <x:c r="D4555" s="84" t="n">
        <x:f>C4555^2-'Resumen'!$B$5^3/3</x:f>
        <x:v>-0.30876773415846936</x:v>
      </x:c>
      <x:c r="E4555" s="85" t="n">
        <x:f>D4555+'Resumen'!$B$5^3/3</x:f>
        <x:v>0.02456559917486395</x:v>
      </x:c>
    </x:row>
    <x:row r="4556">
      <x:c r="A4556" s="89" t="n">
        <x:v>4554</x:v>
      </x:c>
      <x:c r="B4556" s="80" t="n">
        <x:v>-0.40718685273718014</x:v>
      </x:c>
      <x:c r="C4556" s="84" t="n">
        <x:f>SQRT('Resumen'!$B$5^3/3)*B4556</x:f>
        <x:v>-0.23508943903828744</x:v>
      </x:c>
      <x:c r="D4556" s="84" t="n">
        <x:f>C4556^2-'Resumen'!$B$5^3/3</x:f>
        <x:v>-0.27806628898599667</x:v>
      </x:c>
      <x:c r="E4556" s="85" t="n">
        <x:f>D4556+'Resumen'!$B$5^3/3</x:f>
        <x:v>0.05526704434733665</x:v>
      </x:c>
    </x:row>
    <x:row r="4557">
      <x:c r="A4557" s="89" t="n">
        <x:v>4555</x:v>
      </x:c>
      <x:c r="B4557" s="80" t="n">
        <x:v>1.0175568215129907</x:v>
      </x:c>
      <x:c r="C4557" s="84" t="n">
        <x:f>SQRT('Resumen'!$B$5^3/3)*B4557</x:f>
        <x:v>0.5874867048162651</x:v>
      </x:c>
      <x:c r="D4557" s="84" t="n">
        <x:f>C4557^2-'Resumen'!$B$5^3/3</x:f>
        <x:v>0.011807295002540075</x:v>
      </x:c>
      <x:c r="E4557" s="85" t="n">
        <x:f>D4557+'Resumen'!$B$5^3/3</x:f>
        <x:v>0.3451406283358734</x:v>
      </x:c>
    </x:row>
    <x:row r="4558">
      <x:c r="A4558" s="89" t="n">
        <x:v>4556</x:v>
      </x:c>
      <x:c r="B4558" s="80" t="n">
        <x:v>-0.5071575318293756</x:v>
      </x:c>
      <x:c r="C4558" s="84" t="n">
        <x:f>SQRT('Resumen'!$B$5^3/3)*B4558</x:f>
        <x:v>-0.2928075375232362</x:v>
      </x:c>
      <x:c r="D4558" s="84" t="n">
        <x:f>C4558^2-'Resumen'!$B$5^3/3</x:f>
        <x:v>-0.24759707930291194</x:v>
      </x:c>
      <x:c r="E4558" s="85" t="n">
        <x:f>D4558+'Resumen'!$B$5^3/3</x:f>
        <x:v>0.08573625403042137</x:v>
      </x:c>
    </x:row>
    <x:row r="4559">
      <x:c r="A4559" s="89" t="n">
        <x:v>4557</x:v>
      </x:c>
      <x:c r="B4559" s="80" t="n">
        <x:v>0.658458644740745</x:v>
      </x:c>
      <x:c r="C4559" s="84" t="n">
        <x:f>SQRT('Resumen'!$B$5^3/3)*B4559</x:f>
        <x:v>0.38016127579130526</x:v>
      </x:c>
      <x:c r="D4559" s="84" t="n">
        <x:f>C4559^2-'Resumen'!$B$5^3/3</x:f>
        <x:v>-0.18881073772206045</x:v>
      </x:c>
      <x:c r="E4559" s="85" t="n">
        <x:f>D4559+'Resumen'!$B$5^3/3</x:f>
        <x:v>0.14452259561127287</x:v>
      </x:c>
    </x:row>
    <x:row r="4560">
      <x:c r="A4560" s="89" t="n">
        <x:v>4558</x:v>
      </x:c>
      <x:c r="B4560" s="80" t="n">
        <x:v>0.14335341098320462</x:v>
      </x:c>
      <x:c r="C4560" s="84" t="n">
        <x:f>SQRT('Resumen'!$B$5^3/3)*B4560</x:f>
        <x:v>0.08276513042040423</x:v>
      </x:c>
      <x:c r="D4560" s="84" t="n">
        <x:f>C4560^2-'Resumen'!$B$5^3/3</x:f>
        <x:v>-0.3264832665198268</x:v>
      </x:c>
      <x:c r="E4560" s="85" t="n">
        <x:f>D4560+'Resumen'!$B$5^3/3</x:f>
        <x:v>0.006850066813506528</x:v>
      </x:c>
    </x:row>
    <x:row r="4561">
      <x:c r="A4561" s="89" t="n">
        <x:v>4559</x:v>
      </x:c>
      <x:c r="B4561" s="80" t="n">
        <x:v>-1.8679513981817268</x:v>
      </x:c>
      <x:c r="C4561" s="84" t="n">
        <x:f>SQRT('Resumen'!$B$5^3/3)*B4561</x:f>
        <x:v>-1.0784622425733577</x:v>
      </x:c>
      <x:c r="D4561" s="84" t="n">
        <x:f>C4561^2-'Resumen'!$B$5^3/3</x:f>
        <x:v>0.8297474753230225</x:v>
      </x:c>
      <x:c r="E4561" s="85" t="n">
        <x:f>D4561+'Resumen'!$B$5^3/3</x:f>
        <x:v>1.1630808086563558</x:v>
      </x:c>
    </x:row>
    <x:row r="4562">
      <x:c r="A4562" s="89" t="n">
        <x:v>4560</x:v>
      </x:c>
      <x:c r="B4562" s="80" t="n">
        <x:v>-0.050181740121395445</x:v>
      </x:c>
      <x:c r="C4562" s="84" t="n">
        <x:f>SQRT('Resumen'!$B$5^3/3)*B4562</x:f>
        <x:v>-0.0289724411674915</x:v>
      </x:c>
      <x:c r="D4562" s="84" t="n">
        <x:f>C4562^2-'Resumen'!$B$5^3/3</x:f>
        <x:v>-0.33249393098612956</x:v>
      </x:c>
      <x:c r="E4562" s="85" t="n">
        <x:f>D4562+'Resumen'!$B$5^3/3</x:f>
        <x:v>0.0008394023472037548</x:v>
      </x:c>
    </x:row>
    <x:row r="4563">
      <x:c r="A4563" s="89" t="n">
        <x:v>4561</x:v>
      </x:c>
      <x:c r="B4563" s="80" t="n">
        <x:v>0.06335428724774941</x:v>
      </x:c>
      <x:c r="C4563" s="84" t="n">
        <x:f>SQRT('Resumen'!$B$5^3/3)*B4563</x:f>
        <x:v>0.036577614796805</x:v>
      </x:c>
      <x:c r="D4563" s="84" t="n">
        <x:f>C4563^2-'Resumen'!$B$5^3/3</x:f>
        <x:v>-0.3319954114291099</x:v>
      </x:c>
      <x:c r="E4563" s="85" t="n">
        <x:f>D4563+'Resumen'!$B$5^3/3</x:f>
        <x:v>0.001337921904223438</x:v>
      </x:c>
    </x:row>
    <x:row r="4564">
      <x:c r="A4564" s="89" t="n">
        <x:v>4562</x:v>
      </x:c>
      <x:c r="B4564" s="80" t="n">
        <x:v>1.0540001496593554</x:v>
      </x:c>
      <x:c r="C4564" s="84" t="n">
        <x:f>SQRT('Resumen'!$B$5^3/3)*B4564</x:f>
        <x:v>0.6085272701317347</x:v>
      </x:c>
      <x:c r="D4564" s="84" t="n">
        <x:f>C4564^2-'Resumen'!$B$5^3/3</x:f>
        <x:v>0.03697210516064786</x:v>
      </x:c>
      <x:c r="E4564" s="85" t="n">
        <x:f>D4564+'Resumen'!$B$5^3/3</x:f>
        <x:v>0.3703054384939812</x:v>
      </x:c>
    </x:row>
    <x:row r="4565">
      <x:c r="A4565" s="89" t="n">
        <x:v>4563</x:v>
      </x:c>
      <x:c r="B4565" s="80" t="n">
        <x:v>0.5781610422513819</x:v>
      </x:c>
      <x:c r="C4565" s="84" t="n">
        <x:f>SQRT('Resumen'!$B$5^3/3)*B4565</x:f>
        <x:v>0.3338014333787899</x:v>
      </x:c>
      <x:c r="D4565" s="84" t="n">
        <x:f>C4565^2-'Resumen'!$B$5^3/3</x:f>
        <x:v>-0.2219099364075986</x:v>
      </x:c>
      <x:c r="E4565" s="85" t="n">
        <x:f>D4565+'Resumen'!$B$5^3/3</x:f>
        <x:v>0.11142339692573472</x:v>
      </x:c>
    </x:row>
    <x:row r="4566">
      <x:c r="A4566" s="89" t="n">
        <x:v>4564</x:v>
      </x:c>
      <x:c r="B4566" s="80" t="n">
        <x:v>0.09152573178850636</x:v>
      </x:c>
      <x:c r="C4566" s="84" t="n">
        <x:f>SQRT('Resumen'!$B$5^3/3)*B4566</x:f>
        <x:v>0.05284240588587163</x:v>
      </x:c>
      <x:c r="D4566" s="84" t="n">
        <x:f>C4566^2-'Resumen'!$B$5^3/3</x:f>
        <x:v>-0.3305410134735261</x:v>
      </x:c>
      <x:c r="E4566" s="85" t="n">
        <x:f>D4566+'Resumen'!$B$5^3/3</x:f>
        <x:v>0.002792319859807213</x:v>
      </x:c>
    </x:row>
    <x:row r="4567">
      <x:c r="A4567" s="89" t="n">
        <x:v>4565</x:v>
      </x:c>
      <x:c r="B4567" s="80" t="n">
        <x:v>-0.9951805269281665</x:v>
      </x:c>
      <x:c r="C4567" s="84" t="n">
        <x:f>SQRT('Resumen'!$B$5^3/3)*B4567</x:f>
        <x:v>-0.5745677451142505</x:v>
      </x:c>
      <x:c r="D4567" s="84" t="n">
        <x:f>C4567^2-'Resumen'!$B$5^3/3</x:f>
        <x:v>-0.003205239607659005</x:v>
      </x:c>
      <x:c r="E4567" s="85" t="n">
        <x:f>D4567+'Resumen'!$B$5^3/3</x:f>
        <x:v>0.3301280937256743</x:v>
      </x:c>
    </x:row>
    <x:row r="4568">
      <x:c r="A4568" s="89" t="n">
        <x:v>4566</x:v>
      </x:c>
      <x:c r="B4568" s="80" t="n">
        <x:v>-0.8708122453651244</x:v>
      </x:c>
      <x:c r="C4568" s="84" t="n">
        <x:f>SQRT('Resumen'!$B$5^3/3)*B4568</x:f>
        <x:v>-0.5027636842751769</x:v>
      </x:c>
      <x:c r="D4568" s="84" t="n">
        <x:f>C4568^2-'Resumen'!$B$5^3/3</x:f>
        <x:v>-0.08056201110738354</x:v>
      </x:c>
      <x:c r="E4568" s="85" t="n">
        <x:f>D4568+'Resumen'!$B$5^3/3</x:f>
        <x:v>0.2527713222259498</x:v>
      </x:c>
    </x:row>
    <x:row r="4569">
      <x:c r="A4569" s="89" t="n">
        <x:v>4567</x:v>
      </x:c>
      <x:c r="B4569" s="80" t="n">
        <x:v>0.7283975524047152</x:v>
      </x:c>
      <x:c r="C4569" s="84" t="n">
        <x:f>SQRT('Resumen'!$B$5^3/3)*B4569</x:f>
        <x:v>0.4205405229579268</x:v>
      </x:c>
      <x:c r="D4569" s="84" t="n">
        <x:f>C4569^2-'Resumen'!$B$5^3/3</x:f>
        <x:v>-0.15647900188360675</x:v>
      </x:c>
      <x:c r="E4569" s="85" t="n">
        <x:f>D4569+'Resumen'!$B$5^3/3</x:f>
        <x:v>0.17685433144972657</x:v>
      </x:c>
    </x:row>
    <x:row r="4570">
      <x:c r="A4570" s="89" t="n">
        <x:v>4568</x:v>
      </x:c>
      <x:c r="B4570" s="80" t="n">
        <x:v>-0.29280734721897816</x:v>
      </x:c>
      <x:c r="C4570" s="84" t="n">
        <x:f>SQRT('Resumen'!$B$5^3/3)*B4570</x:f>
        <x:v>-0.16905240073757724</x:v>
      </x:c>
      <x:c r="D4570" s="84" t="n">
        <x:f>C4570^2-'Resumen'!$B$5^3/3</x:f>
        <x:v>-0.3047546191381949</x:v>
      </x:c>
      <x:c r="E4570" s="85" t="n">
        <x:f>D4570+'Resumen'!$B$5^3/3</x:f>
        <x:v>0.02857871419513841</x:v>
      </x:c>
    </x:row>
    <x:row r="4571">
      <x:c r="A4571" s="89" t="n">
        <x:v>4569</x:v>
      </x:c>
      <x:c r="B4571" s="80" t="n">
        <x:v>1.9169459850612665</x:v>
      </x:c>
      <x:c r="C4571" s="84" t="n">
        <x:f>SQRT('Resumen'!$B$5^3/3)*B4571</x:f>
        <x:v>1.1067492804970944</x:v>
      </x:c>
      <x:c r="D4571" s="84" t="n">
        <x:f>C4571^2-'Resumen'!$B$5^3/3</x:f>
        <x:v>0.8915606365475028</x:v>
      </x:c>
      <x:c r="E4571" s="85" t="n">
        <x:f>D4571+'Resumen'!$B$5^3/3</x:f>
        <x:v>1.224893969880836</x:v>
      </x:c>
    </x:row>
    <x:row r="4572">
      <x:c r="A4572" s="89" t="n">
        <x:v>4570</x:v>
      </x:c>
      <x:c r="B4572" s="80" t="n">
        <x:v>-0.10940303048193442</x:v>
      </x:c>
      <x:c r="C4572" s="84" t="n">
        <x:f>SQRT('Resumen'!$B$5^3/3)*B4572</x:f>
        <x:v>-0.06316386909890567</x:v>
      </x:c>
      <x:c r="D4572" s="84" t="n">
        <x:f>C4572^2-'Resumen'!$B$5^3/3</x:f>
        <x:v>-0.32934365897378964</x:v>
      </x:c>
      <x:c r="E4572" s="85" t="n">
        <x:f>D4572+'Resumen'!$B$5^3/3</x:f>
        <x:v>0.003989674359543671</x:v>
      </x:c>
    </x:row>
    <x:row r="4573">
      <x:c r="A4573" s="89" t="n">
        <x:v>4571</x:v>
      </x:c>
      <x:c r="B4573" s="80" t="n">
        <x:v>-0.7599295889541966</x:v>
      </x:c>
      <x:c r="C4573" s="84" t="n">
        <x:f>SQRT('Resumen'!$B$5^3/3)*B4573</x:f>
        <x:v>-0.43874555274786703</x:v>
      </x:c>
      <x:c r="D4573" s="84" t="n">
        <x:f>C4573^2-'Resumen'!$B$5^3/3</x:f>
        <x:v>-0.14083567327730195</x:v>
      </x:c>
      <x:c r="E4573" s="85" t="n">
        <x:f>D4573+'Resumen'!$B$5^3/3</x:f>
        <x:v>0.19249766005603136</x:v>
      </x:c>
    </x:row>
    <x:row r="4574">
      <x:c r="A4574" s="89" t="n">
        <x:v>4572</x:v>
      </x:c>
      <x:c r="B4574" s="80" t="n">
        <x:v>0.34036657850436863</x:v>
      </x:c>
      <x:c r="C4574" s="84" t="n">
        <x:f>SQRT('Resumen'!$B$5^3/3)*B4574</x:f>
        <x:v>0.1965107357226491</x:v>
      </x:c>
      <x:c r="D4574" s="84" t="n">
        <x:f>C4574^2-'Resumen'!$B$5^3/3</x:f>
        <x:v>-0.2947168640790765</x:v>
      </x:c>
      <x:c r="E4574" s="85" t="n">
        <x:f>D4574+'Resumen'!$B$5^3/3</x:f>
        <x:v>0.038616469254256824</x:v>
      </x:c>
    </x:row>
    <x:row r="4575">
      <x:c r="A4575" s="89" t="n">
        <x:v>4573</x:v>
      </x:c>
      <x:c r="B4575" s="80" t="n">
        <x:v>0.1902047254730048</x:v>
      </x:c>
      <x:c r="C4575" s="84" t="n">
        <x:f>SQRT('Resumen'!$B$5^3/3)*B4575</x:f>
        <x:v>0.10981474945297819</x:v>
      </x:c>
      <x:c r="D4575" s="84" t="n">
        <x:f>C4575^2-'Resumen'!$B$5^3/3</x:f>
        <x:v>-0.3212740541359129</x:v>
      </x:c>
      <x:c r="E4575" s="85" t="n">
        <x:f>D4575+'Resumen'!$B$5^3/3</x:f>
        <x:v>0.012059279197420392</x:v>
      </x:c>
    </x:row>
    <x:row r="4576">
      <x:c r="A4576" s="89" t="n">
        <x:v>4574</x:v>
      </x:c>
      <x:c r="B4576" s="80" t="n">
        <x:v>-0.806339491284102</x:v>
      </x:c>
      <x:c r="C4576" s="84" t="n">
        <x:f>SQRT('Resumen'!$B$5^3/3)*B4576</x:f>
        <x:v>-0.46554032235110215</x:v>
      </x:c>
      <x:c r="D4576" s="84" t="n">
        <x:f>C4576^2-'Resumen'!$B$5^3/3</x:f>
        <x:v>-0.1166055415985652</x:v>
      </x:c>
      <x:c r="E4576" s="85" t="n">
        <x:f>D4576+'Resumen'!$B$5^3/3</x:f>
        <x:v>0.2167277917347681</x:v>
      </x:c>
    </x:row>
    <x:row r="4577">
      <x:c r="A4577" s="89" t="n">
        <x:v>4575</x:v>
      </x:c>
      <x:c r="B4577" s="80" t="n">
        <x:v>0.37570243443671214</x:v>
      </x:c>
      <x:c r="C4577" s="84" t="n">
        <x:f>SQRT('Resumen'!$B$5^3/3)*B4577</x:f>
        <x:v>0.21691190165723348</x:v>
      </x:c>
      <x:c r="D4577" s="84" t="n">
        <x:f>C4577^2-'Resumen'!$B$5^3/3</x:f>
        <x:v>-0.286282560252776</x:v>
      </x:c>
      <x:c r="E4577" s="85" t="n">
        <x:f>D4577+'Resumen'!$B$5^3/3</x:f>
        <x:v>0.04705077308055733</x:v>
      </x:c>
    </x:row>
    <x:row r="4578">
      <x:c r="A4578" s="89" t="n">
        <x:v>4576</x:v>
      </x:c>
      <x:c r="B4578" s="80" t="n">
        <x:v>0.9553477087164072</x:v>
      </x:c>
      <x:c r="C4578" s="84" t="n">
        <x:f>SQRT('Resumen'!$B$5^3/3)*B4578</x:f>
        <x:v>0.5515702567971098</x:v>
      </x:c>
      <x:c r="D4578" s="84" t="n">
        <x:f>C4578^2-'Resumen'!$B$5^3/3</x:f>
        <x:v>-0.02910358515010364</x:v>
      </x:c>
      <x:c r="E4578" s="85" t="n">
        <x:f>D4578+'Resumen'!$B$5^3/3</x:f>
        <x:v>0.3042297481832297</x:v>
      </x:c>
    </x:row>
    <x:row r="4579">
      <x:c r="A4579" s="89" t="n">
        <x:v>4577</x:v>
      </x:c>
      <x:c r="B4579" s="80" t="n">
        <x:v>0.2693370927030958</x:v>
      </x:c>
      <x:c r="C4579" s="84" t="n">
        <x:f>SQRT('Resumen'!$B$5^3/3)*B4579</x:f>
        <x:v>0.15550184297488354</x:v>
      </x:c>
      <x:c r="D4579" s="84" t="n">
        <x:f>C4579^2-'Resumen'!$B$5^3/3</x:f>
        <x:v>-0.309152510164748</x:v>
      </x:c>
      <x:c r="E4579" s="85" t="n">
        <x:f>D4579+'Resumen'!$B$5^3/3</x:f>
        <x:v>0.02418082316858533</x:v>
      </x:c>
    </x:row>
    <x:row r="4580">
      <x:c r="A4580" s="89" t="n">
        <x:v>4578</x:v>
      </x:c>
      <x:c r="B4580" s="80" t="n">
        <x:v>-1.1806876045707029</x:v>
      </x:c>
      <x:c r="C4580" s="84" t="n">
        <x:f>SQRT('Resumen'!$B$5^3/3)*B4580</x:f>
        <x:v>-0.6816703063277497</x:v>
      </x:c>
      <x:c r="D4580" s="84" t="n">
        <x:f>C4580^2-'Resumen'!$B$5^3/3</x:f>
        <x:v>0.13134107319563482</x:v>
      </x:c>
      <x:c r="E4580" s="85" t="n">
        <x:f>D4580+'Resumen'!$B$5^3/3</x:f>
        <x:v>0.46467440652896813</x:v>
      </x:c>
    </x:row>
    <x:row r="4581">
      <x:c r="A4581" s="89" t="n">
        <x:v>4579</x:v>
      </x:c>
      <x:c r="B4581" s="80" t="n">
        <x:v>0.008970584304394864</x:v>
      </x:c>
      <x:c r="C4581" s="84" t="n">
        <x:f>SQRT('Resumen'!$B$5^3/3)*B4581</x:f>
        <x:v>0.005179169262930606</x:v>
      </x:c>
      <x:c r="D4581" s="84" t="n">
        <x:f>C4581^2-'Resumen'!$B$5^3/3</x:f>
        <x:v>-0.33330650953907925</x:v>
      </x:c>
      <x:c r="E4581" s="85" t="n">
        <x:f>D4581+'Resumen'!$B$5^3/3</x:f>
        <x:v>0.000026823794254060562</x:v>
      </x:c>
    </x:row>
    <x:row r="4582">
      <x:c r="A4582" s="89" t="n">
        <x:v>4580</x:v>
      </x:c>
      <x:c r="B4582" s="80" t="n">
        <x:v>0.16709794488356536</x:v>
      </x:c>
      <x:c r="C4582" s="84" t="n">
        <x:f>SQRT('Resumen'!$B$5^3/3)*B4582</x:f>
        <x:v>0.0964740434595597</x:v>
      </x:c>
      <x:c r="D4582" s="84" t="n">
        <x:f>C4582^2-'Resumen'!$B$5^3/3</x:f>
        <x:v>-0.3240260922718963</x:v>
      </x:c>
      <x:c r="E4582" s="85" t="n">
        <x:f>D4582+'Resumen'!$B$5^3/3</x:f>
        <x:v>0.009307241061436988</x:v>
      </x:c>
    </x:row>
    <x:row r="4583">
      <x:c r="A4583" s="89" t="n">
        <x:v>4581</x:v>
      </x:c>
      <x:c r="B4583" s="80" t="n">
        <x:v>0.7372261639163531</x:v>
      </x:c>
      <x:c r="C4583" s="84" t="n">
        <x:f>SQRT('Resumen'!$B$5^3/3)*B4583</x:f>
        <x:v>0.4256377241907416</x:v>
      </x:c>
      <x:c r="D4583" s="84" t="n">
        <x:f>C4583^2-'Resumen'!$B$5^3/3</x:f>
        <x:v>-0.15216586107905952</x:v>
      </x:c>
      <x:c r="E4583" s="85" t="n">
        <x:f>D4583+'Resumen'!$B$5^3/3</x:f>
        <x:v>0.1811674722542738</x:v>
      </x:c>
    </x:row>
    <x:row r="4584">
      <x:c r="A4584" s="89" t="n">
        <x:v>4582</x:v>
      </x:c>
      <x:c r="B4584" s="80" t="n">
        <x:v>1.3625723934619935</x:v>
      </x:c>
      <x:c r="C4584" s="84" t="n">
        <x:f>SQRT('Resumen'!$B$5^3/3)*B4584</x:f>
        <x:v>0.7866815381556346</x:v>
      </x:c>
      <x:c r="D4584" s="84" t="n">
        <x:f>C4584^2-'Resumen'!$B$5^3/3</x:f>
        <x:v>0.2855345091415818</x:v>
      </x:c>
      <x:c r="E4584" s="85" t="n">
        <x:f>D4584+'Resumen'!$B$5^3/3</x:f>
        <x:v>0.6188678424749151</x:v>
      </x:c>
    </x:row>
    <x:row r="4585">
      <x:c r="A4585" s="89" t="n">
        <x:v>4583</x:v>
      </x:c>
      <x:c r="B4585" s="80" t="n">
        <x:v>-0.33900134642335084</x:v>
      </x:c>
      <x:c r="C4585" s="84" t="n">
        <x:f>SQRT('Resumen'!$B$5^3/3)*B4585</x:f>
        <x:v>-0.19572251861316717</x:v>
      </x:c>
      <x:c r="D4585" s="84" t="n">
        <x:f>C4585^2-'Resumen'!$B$5^3/3</x:f>
        <x:v>-0.29502602904105174</x:v>
      </x:c>
      <x:c r="E4585" s="85" t="n">
        <x:f>D4585+'Resumen'!$B$5^3/3</x:f>
        <x:v>0.038307304292281574</x:v>
      </x:c>
    </x:row>
    <x:row r="4586">
      <x:c r="A4586" s="89" t="n">
        <x:v>4584</x:v>
      </x:c>
      <x:c r="B4586" s="80" t="n">
        <x:v>1.0345048250801114</x:v>
      </x:c>
      <x:c r="C4586" s="84" t="n">
        <x:f>SQRT('Resumen'!$B$5^3/3)*B4586</x:f>
        <x:v>0.597271639237969</x:v>
      </x:c>
      <x:c r="D4586" s="84" t="n">
        <x:f>C4586^2-'Resumen'!$B$5^3/3</x:f>
        <x:v>0.02340007770467728</x:v>
      </x:c>
      <x:c r="E4586" s="85" t="n">
        <x:f>D4586+'Resumen'!$B$5^3/3</x:f>
        <x:v>0.3567334110380106</x:v>
      </x:c>
    </x:row>
    <x:row r="4587">
      <x:c r="A4587" s="89" t="n">
        <x:v>4585</x:v>
      </x:c>
      <x:c r="B4587" s="80" t="n">
        <x:v>1.4188667459378548</x:v>
      </x:c>
      <x:c r="C4587" s="84" t="n">
        <x:f>SQRT('Resumen'!$B$5^3/3)*B4587</x:f>
        <x:v>0.8191830977114287</x:v>
      </x:c>
      <x:c r="D4587" s="84" t="n">
        <x:f>C4587^2-'Resumen'!$B$5^3/3</x:f>
        <x:v>0.3377276142427588</x:v>
      </x:c>
      <x:c r="E4587" s="85" t="n">
        <x:f>D4587+'Resumen'!$B$5^3/3</x:f>
        <x:v>0.6710609475760921</x:v>
      </x:c>
    </x:row>
    <x:row r="4588">
      <x:c r="A4588" s="89" t="n">
        <x:v>4586</x:v>
      </x:c>
      <x:c r="B4588" s="80" t="n">
        <x:v>1.212282362931695</x:v>
      </x:c>
      <x:c r="C4588" s="84" t="n">
        <x:f>SQRT('Resumen'!$B$5^3/3)*B4588</x:f>
        <x:v>0.6999115485724496</x:v>
      </x:c>
      <x:c r="D4588" s="84" t="n">
        <x:f>C4588^2-'Resumen'!$B$5^3/3</x:f>
        <x:v>0.1565428424917512</x:v>
      </x:c>
      <x:c r="E4588" s="85" t="n">
        <x:f>D4588+'Resumen'!$B$5^3/3</x:f>
        <x:v>0.4898761758250845</x:v>
      </x:c>
    </x:row>
    <x:row r="4589">
      <x:c r="A4589" s="89" t="n">
        <x:v>4587</x:v>
      </x:c>
      <x:c r="B4589" s="80" t="n">
        <x:v>-1.7975502793393423</x:v>
      </x:c>
      <x:c r="C4589" s="84" t="n">
        <x:f>SQRT('Resumen'!$B$5^3/3)*B4589</x:f>
        <x:v>-1.0378161376584563</x:v>
      </x:c>
      <x:c r="D4589" s="84" t="n">
        <x:f>C4589^2-'Resumen'!$B$5^3/3</x:f>
        <x:v>0.7437290022509826</x:v>
      </x:c>
      <x:c r="E4589" s="85" t="n">
        <x:f>D4589+'Resumen'!$B$5^3/3</x:f>
        <x:v>1.0770623355843159</x:v>
      </x:c>
    </x:row>
    <x:row r="4590">
      <x:c r="A4590" s="89" t="n">
        <x:v>4588</x:v>
      </x:c>
      <x:c r="B4590" s="80" t="n">
        <x:v>-2.081728144433067</x:v>
      </x:c>
      <x:c r="C4590" s="84" t="n">
        <x:f>SQRT('Resumen'!$B$5^3/3)*B4590</x:f>
        <x:v>-1.2018863045680512</x:v>
      </x:c>
      <x:c r="D4590" s="84" t="n">
        <x:f>C4590^2-'Resumen'!$B$5^3/3</x:f>
        <x:v>1.111197355774913</x:v>
      </x:c>
      <x:c r="E4590" s="85" t="n">
        <x:f>D4590+'Resumen'!$B$5^3/3</x:f>
        <x:v>1.4445306891082463</x:v>
      </x:c>
    </x:row>
    <x:row r="4591">
      <x:c r="A4591" s="89" t="n">
        <x:v>4589</x:v>
      </x:c>
      <x:c r="B4591" s="80" t="n">
        <x:v>0.7479399628286282</x:v>
      </x:c>
      <x:c r="C4591" s="84" t="n">
        <x:f>SQRT('Resumen'!$B$5^3/3)*B4591</x:f>
        <x:v>0.43182333887678714</x:v>
      </x:c>
      <x:c r="D4591" s="84" t="n">
        <x:f>C4591^2-'Resumen'!$B$5^3/3</x:f>
        <x:v>-0.14686193733463676</x:v>
      </x:c>
      <x:c r="E4591" s="85" t="n">
        <x:f>D4591+'Resumen'!$B$5^3/3</x:f>
        <x:v>0.18647139599869655</x:v>
      </x:c>
    </x:row>
    <x:row r="4592">
      <x:c r="A4592" s="89" t="n">
        <x:v>4590</x:v>
      </x:c>
      <x:c r="B4592" s="80" t="n">
        <x:v>1.0076333149147456</x:v>
      </x:c>
      <x:c r="C4592" s="84" t="n">
        <x:f>SQRT('Resumen'!$B$5^3/3)*B4592</x:f>
        <x:v>0.5817573656104633</x:v>
      </x:c>
      <x:c r="D4592" s="84" t="n">
        <x:f>C4592^2-'Resumen'!$B$5^3/3</x:f>
        <x:v>0.005108299108692982</x:v>
      </x:c>
      <x:c r="E4592" s="85" t="n">
        <x:f>D4592+'Resumen'!$B$5^3/3</x:f>
        <x:v>0.3384416324420263</x:v>
      </x:c>
    </x:row>
    <x:row r="4593">
      <x:c r="A4593" s="89" t="n">
        <x:v>4591</x:v>
      </x:c>
      <x:c r="B4593" s="80" t="n">
        <x:v>0.14545396885459583</x:v>
      </x:c>
      <x:c r="C4593" s="84" t="n">
        <x:f>SQRT('Resumen'!$B$5^3/3)*B4593</x:f>
        <x:v>0.08397788807290034</x:v>
      </x:c>
      <x:c r="D4593" s="84" t="n">
        <x:f>C4593^2-'Resumen'!$B$5^3/3</x:f>
        <x:v>-0.32628104764814875</x:v>
      </x:c>
      <x:c r="E4593" s="85" t="n">
        <x:f>D4593+'Resumen'!$B$5^3/3</x:f>
        <x:v>0.007052285685184567</x:v>
      </x:c>
    </x:row>
    <x:row r="4594">
      <x:c r="A4594" s="89" t="n">
        <x:v>4592</x:v>
      </x:c>
      <x:c r="B4594" s="80" t="n">
        <x:v>-0.6059135973359047</x:v>
      </x:c>
      <x:c r="C4594" s="84" t="n">
        <x:f>SQRT('Resumen'!$B$5^3/3)*B4594</x:f>
        <x:v>-0.34982437852753906</x:v>
      </x:c>
      <x:c r="D4594" s="84" t="n">
        <x:f>C4594^2-'Resumen'!$B$5^3/3</x:f>
        <x:v>-0.2109562375211544</x:v>
      </x:c>
      <x:c r="E4594" s="85" t="n">
        <x:f>D4594+'Resumen'!$B$5^3/3</x:f>
        <x:v>0.12237709581217893</x:v>
      </x:c>
    </x:row>
    <x:row r="4595">
      <x:c r="A4595" s="89" t="n">
        <x:v>4593</x:v>
      </x:c>
      <x:c r="B4595" s="80" t="n">
        <x:v>0.159765162426206</x:v>
      </x:c>
      <x:c r="C4595" s="84" t="n">
        <x:f>SQRT('Resumen'!$B$5^3/3)*B4595</x:f>
        <x:v>0.09224045953389431</x:v>
      </x:c>
      <x:c r="D4595" s="84" t="n">
        <x:f>C4595^2-'Resumen'!$B$5^3/3</x:f>
        <x:v>-0.32482503095830934</x:v>
      </x:c>
      <x:c r="E4595" s="85" t="n">
        <x:f>D4595+'Resumen'!$B$5^3/3</x:f>
        <x:v>0.00850830237502398</x:v>
      </x:c>
    </x:row>
    <x:row r="4596">
      <x:c r="A4596" s="89" t="n">
        <x:v>4594</x:v>
      </x:c>
      <x:c r="B4596" s="80" t="n">
        <x:v>0.9239871161312951</x:v>
      </x:c>
      <x:c r="C4596" s="84" t="n">
        <x:f>SQRT('Resumen'!$B$5^3/3)*B4596</x:f>
        <x:v>0.5334642102261492</x:v>
      </x:c>
      <x:c r="D4596" s="84" t="n">
        <x:f>C4596^2-'Resumen'!$B$5^3/3</x:f>
        <x:v>-0.0487492697411242</x:v>
      </x:c>
      <x:c r="E4596" s="85" t="n">
        <x:f>D4596+'Resumen'!$B$5^3/3</x:f>
        <x:v>0.2845840635922091</x:v>
      </x:c>
    </x:row>
    <x:row r="4597">
      <x:c r="A4597" s="89" t="n">
        <x:v>4595</x:v>
      </x:c>
      <x:c r="B4597" s="80" t="n">
        <x:v>0.1816340372547745</x:v>
      </x:c>
      <x:c r="C4597" s="84" t="n">
        <x:f>SQRT('Resumen'!$B$5^3/3)*B4597</x:f>
        <x:v>0.10486646030304257</x:v>
      </x:c>
      <x:c r="D4597" s="84" t="n">
        <x:f>C4597^2-'Resumen'!$B$5^3/3</x:f>
        <x:v>-0.3223363588368437</x:v>
      </x:c>
      <x:c r="E4597" s="85" t="n">
        <x:f>D4597+'Resumen'!$B$5^3/3</x:f>
        <x:v>0.01099697449648962</x:v>
      </x:c>
    </x:row>
    <x:row r="4598">
      <x:c r="A4598" s="89" t="n">
        <x:v>4596</x:v>
      </x:c>
      <x:c r="B4598" s="80" t="n">
        <x:v>-1.7104808851771753</x:v>
      </x:c>
      <x:c r="C4598" s="84" t="n">
        <x:f>SQRT('Resumen'!$B$5^3/3)*B4598</x:f>
        <x:v>-0.9875465995007515</x:v>
      </x:c>
      <x:c r="D4598" s="84" t="n">
        <x:f>C4598^2-'Resumen'!$B$5^3/3</x:f>
        <x:v>0.6419149528521644</x:v>
      </x:c>
      <x:c r="E4598" s="85" t="n">
        <x:f>D4598+'Resumen'!$B$5^3/3</x:f>
        <x:v>0.9752482861854976</x:v>
      </x:c>
    </x:row>
    <x:row r="4599">
      <x:c r="A4599" s="89" t="n">
        <x:v>4597</x:v>
      </x:c>
      <x:c r="B4599" s="80" t="n">
        <x:v>1.1301541872998682</x:v>
      </x:c>
      <x:c r="C4599" s="84" t="n">
        <x:f>SQRT('Resumen'!$B$5^3/3)*B4599</x:f>
        <x:v>0.6524948242633616</x:v>
      </x:c>
      <x:c r="D4599" s="84" t="n">
        <x:f>C4599^2-'Resumen'!$B$5^3/3</x:f>
        <x:v>0.09241616235714178</x:v>
      </x:c>
      <x:c r="E4599" s="85" t="n">
        <x:f>D4599+'Resumen'!$B$5^3/3</x:f>
        <x:v>0.4257494956904751</x:v>
      </x:c>
    </x:row>
    <x:row r="4600">
      <x:c r="A4600" s="89" t="n">
        <x:v>4598</x:v>
      </x:c>
      <x:c r="B4600" s="80" t="n">
        <x:v>1.1579618427186809</x:v>
      </x:c>
      <x:c r="C4600" s="84" t="n">
        <x:f>SQRT('Resumen'!$B$5^3/3)*B4600</x:f>
        <x:v>0.6685495816049455</x:v>
      </x:c>
      <x:c r="D4600" s="84" t="n">
        <x:f>C4600^2-'Resumen'!$B$5^3/3</x:f>
        <x:v>0.11362520973081436</x:v>
      </x:c>
      <x:c r="E4600" s="85" t="n">
        <x:f>D4600+'Resumen'!$B$5^3/3</x:f>
        <x:v>0.4469585430641477</x:v>
      </x:c>
    </x:row>
    <x:row r="4601">
      <x:c r="A4601" s="89" t="n">
        <x:v>4599</x:v>
      </x:c>
      <x:c r="B4601" s="80" t="n">
        <x:v>-1.3670312449213569</x:v>
      </x:c>
      <x:c r="C4601" s="84" t="n">
        <x:f>SQRT('Resumen'!$B$5^3/3)*B4601</x:f>
        <x:v>-0.7892558572459746</x:v>
      </x:c>
      <x:c r="D4601" s="84" t="n">
        <x:f>C4601^2-'Resumen'!$B$5^3/3</x:f>
        <x:v>0.28959147486374487</x:v>
      </x:c>
      <x:c r="E4601" s="85" t="n">
        <x:f>D4601+'Resumen'!$B$5^3/3</x:f>
        <x:v>0.6229248081970782</x:v>
      </x:c>
    </x:row>
    <x:row r="4602">
      <x:c r="A4602" s="89" t="n">
        <x:v>4600</x:v>
      </x:c>
      <x:c r="B4602" s="80" t="n">
        <x:v>0.6997778878691778</x:v>
      </x:c>
      <x:c r="C4602" s="84" t="n">
        <x:f>SQRT('Resumen'!$B$5^3/3)*B4602</x:f>
        <x:v>0.40401695193421755</x:v>
      </x:c>
      <x:c r="D4602" s="84" t="n">
        <x:f>C4602^2-'Resumen'!$B$5^3/3</x:f>
        <x:v>-0.17010363588311747</x:v>
      </x:c>
      <x:c r="E4602" s="85" t="n">
        <x:f>D4602+'Resumen'!$B$5^3/3</x:f>
        <x:v>0.16322969745021584</x:v>
      </x:c>
    </x:row>
    <x:row r="4603">
      <x:c r="A4603" s="89" t="n">
        <x:v>4601</x:v>
      </x:c>
      <x:c r="B4603" s="80" t="n">
        <x:v>-0.07964233244114262</x:v>
      </x:c>
      <x:c r="C4603" s="84" t="n">
        <x:f>SQRT('Resumen'!$B$5^3/3)*B4603</x:f>
        <x:v>-0.04598152207378335</x:v>
      </x:c>
      <x:c r="D4603" s="84" t="n">
        <x:f>C4603^2-'Resumen'!$B$5^3/3</x:f>
        <x:v>-0.3312190329611115</x:v>
      </x:c>
      <x:c r="E4603" s="85" t="n">
        <x:f>D4603+'Resumen'!$B$5^3/3</x:f>
        <x:v>0.0021143003722218223</x:v>
      </x:c>
    </x:row>
    <x:row r="4604">
      <x:c r="A4604" s="89" t="n">
        <x:v>4602</x:v>
      </x:c>
      <x:c r="B4604" s="80" t="n">
        <x:v>0.7656050872073892</x:v>
      </x:c>
      <x:c r="C4604" s="84" t="n">
        <x:f>SQRT('Resumen'!$B$5^3/3)*B4604</x:f>
        <x:v>0.44202230319213304</x:v>
      </x:c>
      <x:c r="D4604" s="84" t="n">
        <x:f>C4604^2-'Resumen'!$B$5^3/3</x:f>
        <x:v>-0.13794961681405532</x:v>
      </x:c>
      <x:c r="E4604" s="85" t="n">
        <x:f>D4604+'Resumen'!$B$5^3/3</x:f>
        <x:v>0.195383716519278</x:v>
      </x:c>
    </x:row>
    <x:row r="4605">
      <x:c r="A4605" s="89" t="n">
        <x:v>4603</x:v>
      </x:c>
      <x:c r="B4605" s="80" t="n">
        <x:v>1.196931919581721</x:v>
      </x:c>
      <x:c r="C4605" s="84" t="n">
        <x:f>SQRT('Resumen'!$B$5^3/3)*B4605</x:f>
        <x:v>0.691048965972162</x:v>
      </x:c>
      <x:c r="D4605" s="84" t="n">
        <x:f>C4605^2-'Resumen'!$B$5^3/3</x:f>
        <x:v>0.14421534003786102</x:v>
      </x:c>
      <x:c r="E4605" s="85" t="n">
        <x:f>D4605+'Resumen'!$B$5^3/3</x:f>
        <x:v>0.47754867337119433</x:v>
      </x:c>
    </x:row>
    <x:row r="4606">
      <x:c r="A4606" s="89" t="n">
        <x:v>4604</x:v>
      </x:c>
      <x:c r="B4606" s="80" t="n">
        <x:v>1.086495363597681</x:v>
      </x:c>
      <x:c r="C4606" s="84" t="n">
        <x:f>SQRT('Resumen'!$B$5^3/3)*B4606</x:f>
        <x:v>0.6272883906464014</x:v>
      </x:c>
      <x:c r="D4606" s="84" t="n">
        <x:f>C4606^2-'Resumen'!$B$5^3/3</x:f>
        <x:v>0.06015739170641898</x:v>
      </x:c>
      <x:c r="E4606" s="85" t="n">
        <x:f>D4606+'Resumen'!$B$5^3/3</x:f>
        <x:v>0.3934907250397523</x:v>
      </x:c>
    </x:row>
    <x:row r="4607">
      <x:c r="A4607" s="89" t="n">
        <x:v>4605</x:v>
      </x:c>
      <x:c r="B4607" s="80" t="n">
        <x:v>-0.6471796965239979</x:v>
      </x:c>
      <x:c r="C4607" s="84" t="n">
        <x:f>SQRT('Resumen'!$B$5^3/3)*B4607</x:f>
        <x:v>-0.37364937200219045</x:v>
      </x:c>
      <x:c r="D4607" s="84" t="n">
        <x:f>C4607^2-'Resumen'!$B$5^3/3</x:f>
        <x:v>-0.193719480135702</x:v>
      </x:c>
      <x:c r="E4607" s="85" t="n">
        <x:f>D4607+'Resumen'!$B$5^3/3</x:f>
        <x:v>0.1396138531976313</x:v>
      </x:c>
    </x:row>
    <x:row r="4608">
      <x:c r="A4608" s="89" t="n">
        <x:v>4606</x:v>
      </x:c>
      <x:c r="B4608" s="80" t="n">
        <x:v>0.3117277868698621</x:v>
      </x:c>
      <x:c r="C4608" s="84" t="n">
        <x:f>SQRT('Resumen'!$B$5^3/3)*B4608</x:f>
        <x:v>0.17997612166320115</x:v>
      </x:c>
      <x:c r="D4608" s="84" t="n">
        <x:f>C4608^2-'Resumen'!$B$5^3/3</x:f>
        <x:v>-0.3009419289644059</x:v>
      </x:c>
      <x:c r="E4608" s="85" t="n">
        <x:f>D4608+'Resumen'!$B$5^3/3</x:f>
        <x:v>0.0323914043689274</x:v>
      </x:c>
    </x:row>
    <x:row r="4609">
      <x:c r="A4609" s="89" t="n">
        <x:v>4607</x:v>
      </x:c>
      <x:c r="B4609" s="80" t="n">
        <x:v>-0.5083107228129948</x:v>
      </x:c>
      <x:c r="C4609" s="84" t="n">
        <x:f>SQRT('Resumen'!$B$5^3/3)*B4609</x:f>
        <x:v>-0.2934733326480558</x:v>
      </x:c>
      <x:c r="D4609" s="84" t="n">
        <x:f>C4609^2-'Resumen'!$B$5^3/3</x:f>
        <x:v>-0.2472067363577769</x:v>
      </x:c>
      <x:c r="E4609" s="85" t="n">
        <x:f>D4609+'Resumen'!$B$5^3/3</x:f>
        <x:v>0.08612659697555641</x:v>
      </x:c>
    </x:row>
    <x:row r="4610">
      <x:c r="A4610" s="89" t="n">
        <x:v>4608</x:v>
      </x:c>
      <x:c r="B4610" s="80" t="n">
        <x:v>0.6327975014152172</x:v>
      </x:c>
      <x:c r="C4610" s="84" t="n">
        <x:f>SQRT('Resumen'!$B$5^3/3)*B4610</x:f>
        <x:v>0.3653458077845982</x:v>
      </x:c>
      <x:c r="D4610" s="84" t="n">
        <x:f>C4610^2-'Resumen'!$B$5^3/3</x:f>
        <x:v>-0.19985577406755275</x:v>
      </x:c>
      <x:c r="E4610" s="85" t="n">
        <x:f>D4610+'Resumen'!$B$5^3/3</x:f>
        <x:v>0.13347755926578056</x:v>
      </x:c>
    </x:row>
    <x:row r="4611">
      <x:c r="A4611" s="89" t="n">
        <x:v>4609</x:v>
      </x:c>
      <x:c r="B4611" s="80" t="n">
        <x:v>1.2907319561191397</x:v>
      </x:c>
      <x:c r="C4611" s="84" t="n">
        <x:f>SQRT('Resumen'!$B$5^3/3)*B4611</x:f>
        <x:v>0.7452044423170375</x:v>
      </x:c>
      <x:c r="D4611" s="84" t="n">
        <x:f>C4611^2-'Resumen'!$B$5^3/3</x:f>
        <x:v>0.22199632751571358</x:v>
      </x:c>
      <x:c r="E4611" s="85" t="n">
        <x:f>D4611+'Resumen'!$B$5^3/3</x:f>
        <x:v>0.5553296608490469</x:v>
      </x:c>
    </x:row>
    <x:row r="4612">
      <x:c r="A4612" s="89" t="n">
        <x:v>4610</x:v>
      </x:c>
      <x:c r="B4612" s="80" t="n">
        <x:v>0.064776165800806</x:v>
      </x:c>
      <x:c r="C4612" s="84" t="n">
        <x:f>SQRT('Resumen'!$B$5^3/3)*B4612</x:f>
        <x:v>0.03739853676216717</x:v>
      </x:c>
      <x:c r="D4612" s="84" t="n">
        <x:f>C4612^2-'Resumen'!$B$5^3/3</x:f>
        <x:v>-0.33193468278138216</x:v>
      </x:c>
      <x:c r="E4612" s="85" t="n">
        <x:f>D4612+'Resumen'!$B$5^3/3</x:f>
        <x:v>0.0013986505519511527</x:v>
      </x:c>
    </x:row>
    <x:row r="4613">
      <x:c r="A4613" s="89" t="n">
        <x:v>4611</x:v>
      </x:c>
      <x:c r="B4613" s="80" t="n">
        <x:v>-0.5959161966708311</x:v>
      </x:c>
      <x:c r="C4613" s="84" t="n">
        <x:f>SQRT('Resumen'!$B$5^3/3)*B4613</x:f>
        <x:v>-0.34405237656236226</x:v>
      </x:c>
      <x:c r="D4613" s="84" t="n">
        <x:f>C4613^2-'Resumen'!$B$5^3/3</x:f>
        <x:v>-0.21496129551512377</x:v>
      </x:c>
      <x:c r="E4613" s="85" t="n">
        <x:f>D4613+'Resumen'!$B$5^3/3</x:f>
        <x:v>0.11837203781820954</x:v>
      </x:c>
    </x:row>
    <x:row r="4614">
      <x:c r="A4614" s="89" t="n">
        <x:v>4612</x:v>
      </x:c>
      <x:c r="B4614" s="80" t="n">
        <x:v>-0.9355566497229866</x:v>
      </x:c>
      <x:c r="C4614" s="84" t="n">
        <x:f>SQRT('Resumen'!$B$5^3/3)*B4614</x:f>
        <x:v>-0.5401438835597107</x:v>
      </x:c>
      <x:c r="D4614" s="84" t="n">
        <x:f>C4614^2-'Resumen'!$B$5^3/3</x:f>
        <x:v>-0.04157791838636704</x:v>
      </x:c>
      <x:c r="E4614" s="85" t="n">
        <x:f>D4614+'Resumen'!$B$5^3/3</x:f>
        <x:v>0.2917554149469663</x:v>
      </x:c>
    </x:row>
    <x:row r="4615">
      <x:c r="A4615" s="89" t="n">
        <x:v>4613</x:v>
      </x:c>
      <x:c r="B4615" s="80" t="n">
        <x:v>2.110238624052545</x:v>
      </x:c>
      <x:c r="C4615" s="84" t="n">
        <x:f>SQRT('Resumen'!$B$5^3/3)*B4615</x:f>
        <x:v>1.2183468376510822</x:v>
      </x:c>
      <x:c r="D4615" s="84" t="n">
        <x:f>C4615^2-'Resumen'!$B$5^3/3</x:f>
        <x:v>1.1510356834810591</x:v>
      </x:c>
      <x:c r="E4615" s="85" t="n">
        <x:f>D4615+'Resumen'!$B$5^3/3</x:f>
        <x:v>1.4843690168143924</x:v>
      </x:c>
    </x:row>
    <x:row r="4616">
      <x:c r="A4616" s="89" t="n">
        <x:v>4614</x:v>
      </x:c>
      <x:c r="B4616" s="80" t="n">
        <x:v>0.2236690854265904</x:v>
      </x:c>
      <x:c r="C4616" s="84" t="n">
        <x:f>SQRT('Resumen'!$B$5^3/3)*B4616</x:f>
        <x:v>0.12913540668043935</x:v>
      </x:c>
      <x:c r="D4616" s="84" t="n">
        <x:f>C4616^2-'Resumen'!$B$5^3/3</x:f>
        <x:v>-0.31665738007481087</x:v>
      </x:c>
      <x:c r="E4616" s="85" t="n">
        <x:f>D4616+'Resumen'!$B$5^3/3</x:f>
        <x:v>0.016675953258522447</x:v>
      </x:c>
    </x:row>
    <x:row r="4617">
      <x:c r="A4617" s="89" t="n">
        <x:v>4615</x:v>
      </x:c>
      <x:c r="B4617" s="80" t="n">
        <x:v>0.945860573942636</x:v>
      </x:c>
      <x:c r="C4617" s="84" t="n">
        <x:f>SQRT('Resumen'!$B$5^3/3)*B4617</x:f>
        <x:v>0.5460928569816348</x:v>
      </x:c>
      <x:c r="D4617" s="84" t="n">
        <x:f>C4617^2-'Resumen'!$B$5^3/3</x:f>
        <x:v>-0.035115924886969074</x:v>
      </x:c>
      <x:c r="E4617" s="85" t="n">
        <x:f>D4617+'Resumen'!$B$5^3/3</x:f>
        <x:v>0.29821740844636424</x:v>
      </x:c>
    </x:row>
    <x:row r="4618">
      <x:c r="A4618" s="89" t="n">
        <x:v>4616</x:v>
      </x:c>
      <x:c r="B4618" s="80" t="n">
        <x:v>-0.10975094453530358</x:v>
      </x:c>
      <x:c r="C4618" s="84" t="n">
        <x:f>SQRT('Resumen'!$B$5^3/3)*B4618</x:f>
        <x:v>-0.06336473737127321</x:v>
      </x:c>
      <x:c r="D4618" s="84" t="n">
        <x:f>C4618^2-'Resumen'!$B$5^3/3</x:f>
        <x:v>-0.3293182433912029</x:v>
      </x:c>
      <x:c r="E4618" s="85" t="n">
        <x:f>D4618+'Resumen'!$B$5^3/3</x:f>
        <x:v>0.004015089942130401</x:v>
      </x:c>
    </x:row>
    <x:row r="4619">
      <x:c r="A4619" s="89" t="n">
        <x:v>4617</x:v>
      </x:c>
      <x:c r="B4619" s="80" t="n">
        <x:v>0.3752487137989917</x:v>
      </x:c>
      <x:c r="C4619" s="84" t="n">
        <x:f>SQRT('Resumen'!$B$5^3/3)*B4619</x:f>
        <x:v>0.2166499459249087</x:v>
      </x:c>
      <x:c r="D4619" s="84" t="n">
        <x:f>C4619^2-'Resumen'!$B$5^3/3</x:f>
        <x:v>-0.28639613426406746</x:v>
      </x:c>
      <x:c r="E4619" s="85" t="n">
        <x:f>D4619+'Resumen'!$B$5^3/3</x:f>
        <x:v>0.046937199069265856</x:v>
      </x:c>
    </x:row>
    <x:row r="4620">
      <x:c r="A4620" s="89" t="n">
        <x:v>4618</x:v>
      </x:c>
      <x:c r="B4620" s="80" t="n">
        <x:v>-0.4318986834059513</x:v>
      </x:c>
      <x:c r="C4620" s="84" t="n">
        <x:f>SQRT('Resumen'!$B$5^3/3)*B4620</x:f>
        <x:v>-0.24935682112707092</x:v>
      </x:c>
      <x:c r="D4620" s="84" t="n">
        <x:f>C4620^2-'Resumen'!$B$5^3/3</x:f>
        <x:v>-0.2711545090907353</x:v>
      </x:c>
      <x:c r="E4620" s="85" t="n">
        <x:f>D4620+'Resumen'!$B$5^3/3</x:f>
        <x:v>0.06217882424259802</x:v>
      </x:c>
    </x:row>
    <x:row r="4621">
      <x:c r="A4621" s="89" t="n">
        <x:v>4619</x:v>
      </x:c>
      <x:c r="B4621" s="80" t="n">
        <x:v>-0.2868664191903834</x:v>
      </x:c>
      <x:c r="C4621" s="84" t="n">
        <x:f>SQRT('Resumen'!$B$5^3/3)*B4621</x:f>
        <x:v>-0.16562240434103187</x:v>
      </x:c>
      <x:c r="D4621" s="84" t="n">
        <x:f>C4621^2-'Resumen'!$B$5^3/3</x:f>
        <x:v>-0.3059025525136291</x:v>
      </x:c>
      <x:c r="E4621" s="85" t="n">
        <x:f>D4621+'Resumen'!$B$5^3/3</x:f>
        <x:v>0.027430780819704237</x:v>
      </x:c>
    </x:row>
    <x:row r="4622">
      <x:c r="A4622" s="89" t="n">
        <x:v>4620</x:v>
      </x:c>
      <x:c r="B4622" s="80" t="n">
        <x:v>-0.7290122592755169</x:v>
      </x:c>
      <x:c r="C4622" s="84" t="n">
        <x:f>SQRT('Resumen'!$B$5^3/3)*B4622</x:f>
        <x:v>-0.42089542413525693</x:v>
      </x:c>
      <x:c r="D4622" s="84" t="n">
        <x:f>C4622^2-'Resumen'!$B$5^3/3</x:f>
        <x:v>-0.1561803752753355</x:v>
      </x:c>
      <x:c r="E4622" s="85" t="n">
        <x:f>D4622+'Resumen'!$B$5^3/3</x:f>
        <x:v>0.17715295805799783</x:v>
      </x:c>
    </x:row>
    <x:row r="4623">
      <x:c r="A4623" s="89" t="n">
        <x:v>4621</x:v>
      </x:c>
      <x:c r="B4623" s="80" t="n">
        <x:v>0.7461169239866008</x:v>
      </x:c>
      <x:c r="C4623" s="84" t="n">
        <x:f>SQRT('Resumen'!$B$5^3/3)*B4623</x:f>
        <x:v>0.4307708069105995</x:v>
      </x:c>
      <x:c r="D4623" s="84" t="n">
        <x:f>C4623^2-'Resumen'!$B$5^3/3</x:f>
        <x:v>-0.14776984524692433</x:v>
      </x:c>
      <x:c r="E4623" s="85" t="n">
        <x:f>D4623+'Resumen'!$B$5^3/3</x:f>
        <x:v>0.185563488086409</x:v>
      </x:c>
    </x:row>
    <x:row r="4624">
      <x:c r="A4624" s="89" t="n">
        <x:v>4622</x:v>
      </x:c>
      <x:c r="B4624" s="80" t="n">
        <x:v>-2.2221534031563843</x:v>
      </x:c>
      <x:c r="C4624" s="84" t="n">
        <x:f>SQRT('Resumen'!$B$5^3/3)*B4624</x:f>
        <x:v>-1.2829608654929814</x:v>
      </x:c>
      <x:c r="D4624" s="84" t="n">
        <x:f>C4624^2-'Resumen'!$B$5^3/3</x:f>
        <x:v>1.3126552490531667</x:v>
      </x:c>
      <x:c r="E4624" s="85" t="n">
        <x:f>D4624+'Resumen'!$B$5^3/3</x:f>
        <x:v>1.6459885823865</x:v>
      </x:c>
    </x:row>
    <x:row r="4625">
      <x:c r="A4625" s="89" t="n">
        <x:v>4623</x:v>
      </x:c>
      <x:c r="B4625" s="80" t="n">
        <x:v>-0.7664620869866519</x:v>
      </x:c>
      <x:c r="C4625" s="84" t="n">
        <x:f>SQRT('Resumen'!$B$5^3/3)*B4625</x:f>
        <x:v>-0.44251709224538577</x:v>
      </x:c>
      <x:c r="D4625" s="84" t="n">
        <x:f>C4625^2-'Resumen'!$B$5^3/3</x:f>
        <x:v>-0.13751195640402206</x:v>
      </x:c>
      <x:c r="E4625" s="85" t="n">
        <x:f>D4625+'Resumen'!$B$5^3/3</x:f>
        <x:v>0.19582137692931126</x:v>
      </x:c>
    </x:row>
    <x:row r="4626">
      <x:c r="A4626" s="89" t="n">
        <x:v>4624</x:v>
      </x:c>
      <x:c r="B4626" s="80" t="n">
        <x:v>0.30665055783851763</x:v>
      </x:c>
      <x:c r="C4626" s="84" t="n">
        <x:f>SQRT('Resumen'!$B$5^3/3)*B4626</x:f>
        <x:v>0.17704478211521704</x:v>
      </x:c>
      <x:c r="D4626" s="84" t="n">
        <x:f>C4626^2-'Resumen'!$B$5^3/3</x:f>
        <x:v>-0.30198847845910864</x:v>
      </x:c>
      <x:c r="E4626" s="85" t="n">
        <x:f>D4626+'Resumen'!$B$5^3/3</x:f>
        <x:v>0.03134485487422467</x:v>
      </x:c>
    </x:row>
    <x:row r="4627">
      <x:c r="A4627" s="89" t="n">
        <x:v>4625</x:v>
      </x:c>
      <x:c r="B4627" s="80" t="n">
        <x:v>-0.8935020507720287</x:v>
      </x:c>
      <x:c r="C4627" s="84" t="n">
        <x:f>SQRT('Resumen'!$B$5^3/3)*B4627</x:f>
        <x:v>-0.5158636495347134</x:v>
      </x:c>
      <x:c r="D4627" s="84" t="n">
        <x:f>C4627^2-'Resumen'!$B$5^3/3</x:f>
        <x:v>-0.0672180284220597</x:v>
      </x:c>
      <x:c r="E4627" s="85" t="n">
        <x:f>D4627+'Resumen'!$B$5^3/3</x:f>
        <x:v>0.2661153049112736</x:v>
      </x:c>
    </x:row>
    <x:row r="4628">
      <x:c r="A4628" s="89" t="n">
        <x:v>4626</x:v>
      </x:c>
      <x:c r="B4628" s="80" t="n">
        <x:v>-0.8224180170263425</x:v>
      </x:c>
      <x:c r="C4628" s="84" t="n">
        <x:f>SQRT('Resumen'!$B$5^3/3)*B4628</x:f>
        <x:v>-0.47482326351655707</x:v>
      </x:c>
      <x:c r="D4628" s="84" t="n">
        <x:f>C4628^2-'Resumen'!$B$5^3/3</x:f>
        <x:v>-0.10787620175681953</x:v>
      </x:c>
      <x:c r="E4628" s="85" t="n">
        <x:f>D4628+'Resumen'!$B$5^3/3</x:f>
        <x:v>0.2254571315765138</x:v>
      </x:c>
    </x:row>
    <x:row r="4629">
      <x:c r="A4629" s="89" t="n">
        <x:v>4627</x:v>
      </x:c>
      <x:c r="B4629" s="80" t="n">
        <x:v>0.2616927806391089</x:v>
      </x:c>
      <x:c r="C4629" s="84" t="n">
        <x:f>SQRT('Resumen'!$B$5^3/3)*B4629</x:f>
        <x:v>0.1510883973469712</x:v>
      </x:c>
      <x:c r="D4629" s="84" t="n">
        <x:f>C4629^2-'Resumen'!$B$5^3/3</x:f>
        <x:v>-0.31050562952045707</x:v>
      </x:c>
      <x:c r="E4629" s="85" t="n">
        <x:f>D4629+'Resumen'!$B$5^3/3</x:f>
        <x:v>0.022827703812876243</x:v>
      </x:c>
    </x:row>
    <x:row r="4630">
      <x:c r="A4630" s="89" t="n">
        <x:v>4628</x:v>
      </x:c>
      <x:c r="B4630" s="80" t="n">
        <x:v>-1.1302406268860896</x:v>
      </x:c>
      <x:c r="C4630" s="84" t="n">
        <x:f>SQRT('Resumen'!$B$5^3/3)*B4630</x:f>
        <x:v>-0.6525447301817352</x:v>
      </x:c>
      <x:c r="D4630" s="84" t="n">
        <x:f>C4630^2-'Resumen'!$B$5^3/3</x:f>
        <x:v>0.09248129155462026</x:v>
      </x:c>
      <x:c r="E4630" s="85" t="n">
        <x:f>D4630+'Resumen'!$B$5^3/3</x:f>
        <x:v>0.4258146248879536</x:v>
      </x:c>
    </x:row>
    <x:row r="4631">
      <x:c r="A4631" s="89" t="n">
        <x:v>4629</x:v>
      </x:c>
      <x:c r="B4631" s="80" t="n">
        <x:v>-0.9568992672498573</x:v>
      </x:c>
      <x:c r="C4631" s="84" t="n">
        <x:f>SQRT('Resumen'!$B$5^3/3)*B4631</x:f>
        <x:v>-0.5524660495340608</x:v>
      </x:c>
      <x:c r="D4631" s="84" t="n">
        <x:f>C4631^2-'Resumen'!$B$5^3/3</x:f>
        <x:v>-0.02811459744556205</x:v>
      </x:c>
      <x:c r="E4631" s="85" t="n">
        <x:f>D4631+'Resumen'!$B$5^3/3</x:f>
        <x:v>0.30521873588777126</x:v>
      </x:c>
    </x:row>
    <x:row r="4632">
      <x:c r="A4632" s="89" t="n">
        <x:v>4630</x:v>
      </x:c>
      <x:c r="B4632" s="80" t="n">
        <x:v>-0.1625037547048286</x:v>
      </x:c>
      <x:c r="C4632" s="84" t="n">
        <x:f>SQRT('Resumen'!$B$5^3/3)*B4632</x:f>
        <x:v>-0.09382158652315771</x:v>
      </x:c>
      <x:c r="D4632" s="84" t="n">
        <x:f>C4632^2-'Resumen'!$B$5^3/3</x:f>
        <x:v>-0.32453084323561093</x:v>
      </x:c>
      <x:c r="E4632" s="85" t="n">
        <x:f>D4632+'Resumen'!$B$5^3/3</x:f>
        <x:v>0.008802490097722382</x:v>
      </x:c>
    </x:row>
    <x:row r="4633">
      <x:c r="A4633" s="89" t="n">
        <x:v>4631</x:v>
      </x:c>
      <x:c r="B4633" s="80" t="n">
        <x:v>-0.2075600446862891</x:v>
      </x:c>
      <x:c r="C4633" s="84" t="n">
        <x:f>SQRT('Resumen'!$B$5^3/3)*B4633</x:f>
        <x:v>-0.11983484767263976</x:v>
      </x:c>
      <x:c r="D4633" s="84" t="n">
        <x:f>C4633^2-'Resumen'!$B$5^3/3</x:f>
        <x:v>-0.3189729426166085</x:v>
      </x:c>
      <x:c r="E4633" s="85" t="n">
        <x:f>D4633+'Resumen'!$B$5^3/3</x:f>
        <x:v>0.014360390716724791</x:v>
      </x:c>
    </x:row>
    <x:row r="4634">
      <x:c r="A4634" s="89" t="n">
        <x:v>4632</x:v>
      </x:c>
      <x:c r="B4634" s="80" t="n">
        <x:v>0.012281542987160913</x:v>
      </x:c>
      <x:c r="C4634" s="84" t="n">
        <x:f>SQRT('Resumen'!$B$5^3/3)*B4634</x:f>
        <x:v>0.0070907521497013135</x:v>
      </x:c>
      <x:c r="D4634" s="84" t="n">
        <x:f>C4634^2-'Resumen'!$B$5^3/3</x:f>
        <x:v>-0.3332830545672848</x:v>
      </x:c>
      <x:c r="E4634" s="85" t="n">
        <x:f>D4634+'Resumen'!$B$5^3/3</x:f>
        <x:v>0.00005027876604851711</x:v>
      </x:c>
    </x:row>
    <x:row r="4635">
      <x:c r="A4635" s="89" t="n">
        <x:v>4633</x:v>
      </x:c>
      <x:c r="B4635" s="80" t="n">
        <x:v>0.0629352706680673</x:v>
      </x:c>
      <x:c r="C4635" s="84" t="n">
        <x:f>SQRT('Resumen'!$B$5^3/3)*B4635</x:f>
        <x:v>0.03633569546173061</x:v>
      </x:c>
      <x:c r="D4635" s="84" t="n">
        <x:f>C4635^2-'Resumen'!$B$5^3/3</x:f>
        <x:v>-0.33201305056864566</x:v>
      </x:c>
      <x:c r="E4635" s="85" t="n">
        <x:f>D4635+'Resumen'!$B$5^3/3</x:f>
        <x:v>0.0013202827646876525</x:v>
      </x:c>
    </x:row>
    <x:row r="4636">
      <x:c r="A4636" s="89" t="n">
        <x:v>4634</x:v>
      </x:c>
      <x:c r="B4636" s="80" t="n">
        <x:v>-0.3560084221036583</x:v>
      </x:c>
      <x:c r="C4636" s="84" t="n">
        <x:f>SQRT('Resumen'!$B$5^3/3)*B4636</x:f>
        <x:v>-0.205541558335321</x:v>
      </x:c>
      <x:c r="D4636" s="84" t="n">
        <x:f>C4636^2-'Resumen'!$B$5^3/3</x:f>
        <x:v>-0.29108600113042116</x:v>
      </x:c>
      <x:c r="E4636" s="85" t="n">
        <x:f>D4636+'Resumen'!$B$5^3/3</x:f>
        <x:v>0.04224733220291216</x:v>
      </x:c>
    </x:row>
    <x:row r="4637">
      <x:c r="A4637" s="89" t="n">
        <x:v>4635</x:v>
      </x:c>
      <x:c r="B4637" s="80" t="n">
        <x:v>0.14233020653311593</x:v>
      </x:c>
      <x:c r="C4637" s="84" t="n">
        <x:f>SQRT('Resumen'!$B$5^3/3)*B4637</x:f>
        <x:v>0.08217438305570951</x:v>
      </x:c>
      <x:c r="D4637" s="84" t="n">
        <x:f>C4637^2-'Resumen'!$B$5^3/3</x:f>
        <x:v>-0.3265807041027468</x:v>
      </x:c>
      <x:c r="E4637" s="85" t="n">
        <x:f>D4637+'Resumen'!$B$5^3/3</x:f>
        <x:v>0.006752629230586504</x:v>
      </x:c>
    </x:row>
    <x:row r="4638">
      <x:c r="A4638" s="89" t="n">
        <x:v>4636</x:v>
      </x:c>
      <x:c r="B4638" s="80" t="n">
        <x:v>-1.2847346321659707</x:v>
      </x:c>
      <x:c r="C4638" s="84" t="n">
        <x:f>SQRT('Resumen'!$B$5^3/3)*B4638</x:f>
        <x:v>-0.7417418857182579</x:v>
      </x:c>
      <x:c r="D4638" s="84" t="n">
        <x:f>C4638^2-'Resumen'!$B$5^3/3</x:f>
        <x:v>0.2168476916955439</x:v>
      </x:c>
      <x:c r="E4638" s="85" t="n">
        <x:f>D4638+'Resumen'!$B$5^3/3</x:f>
        <x:v>0.5501810250288772</x:v>
      </x:c>
    </x:row>
    <x:row r="4639">
      <x:c r="A4639" s="89" t="n">
        <x:v>4637</x:v>
      </x:c>
      <x:c r="B4639" s="80" t="n">
        <x:v>-0.011241734496030336</x:v>
      </x:c>
      <x:c r="C4639" s="84" t="n">
        <x:f>SQRT('Resumen'!$B$5^3/3)*B4639</x:f>
        <x:v>-0.006490418437441416</x:v>
      </x:c>
      <x:c r="D4639" s="84" t="n">
        <x:f>C4639^2-'Resumen'!$B$5^3/3</x:f>
        <x:v>-0.33329120780184024</x:v>
      </x:c>
      <x:c r="E4639" s="85" t="n">
        <x:f>D4639+'Resumen'!$B$5^3/3</x:f>
        <x:v>0.00004212553149307574</x:v>
      </x:c>
    </x:row>
    <x:row r="4640">
      <x:c r="A4640" s="89" t="n">
        <x:v>4638</x:v>
      </x:c>
      <x:c r="B4640" s="80" t="n">
        <x:v>-0.0358270672036505</x:v>
      </x:c>
      <x:c r="C4640" s="84" t="n">
        <x:f>SQRT('Resumen'!$B$5^3/3)*B4640</x:f>
        <x:v>-0.02068476689430243</x:v>
      </x:c>
      <x:c r="D4640" s="84" t="n">
        <x:f>C4640^2-'Resumen'!$B$5^3/3</x:f>
        <x:v>-0.3329054737518617</x:v>
      </x:c>
      <x:c r="E4640" s="85" t="n">
        <x:f>D4640+'Resumen'!$B$5^3/3</x:f>
        <x:v>0.0004278595814716235</x:v>
      </x:c>
    </x:row>
    <x:row r="4641">
      <x:c r="A4641" s="89" t="n">
        <x:v>4639</x:v>
      </x:c>
      <x:c r="B4641" s="80" t="n">
        <x:v>2.4071248267235887</x:v>
      </x:c>
      <x:c r="C4641" s="84" t="n">
        <x:f>SQRT('Resumen'!$B$5^3/3)*B4641</x:f>
        <x:v>1.389754166681895</x:v>
      </x:c>
      <x:c r="D4641" s="84" t="n">
        <x:f>C4641^2-'Resumen'!$B$5^3/3</x:f>
        <x:v>1.5980833104763554</x:v>
      </x:c>
      <x:c r="E4641" s="85" t="n">
        <x:f>D4641+'Resumen'!$B$5^3/3</x:f>
        <x:v>1.9314166438096887</x:v>
      </x:c>
    </x:row>
    <x:row r="4642">
      <x:c r="A4642" s="89" t="n">
        <x:v>4640</x:v>
      </x:c>
      <x:c r="B4642" s="80" t="n">
        <x:v>0.041817715104558964</x:v>
      </x:c>
      <x:c r="C4642" s="84" t="n">
        <x:f>SQRT('Resumen'!$B$5^3/3)*B4642</x:f>
        <x:v>0.024143469072512195</x:v>
      </x:c>
      <x:c r="D4642" s="84" t="n">
        <x:f>C4642^2-'Resumen'!$B$5^3/3</x:f>
        <x:v>-0.332750426234478</x:v>
      </x:c>
      <x:c r="E4642" s="85" t="n">
        <x:f>D4642+'Resumen'!$B$5^3/3</x:f>
        <x:v>0.0005829070988553342</x:v>
      </x:c>
    </x:row>
    <x:row r="4643">
      <x:c r="A4643" s="89" t="n">
        <x:v>4641</x:v>
      </x:c>
      <x:c r="B4643" s="80" t="n">
        <x:v>-1.2888336014555974</x:v>
      </x:c>
      <x:c r="C4643" s="84" t="n">
        <x:f>SQRT('Resumen'!$B$5^3/3)*B4643</x:f>
        <x:v>-0.744108426741024</x:v>
      </x:c>
      <x:c r="D4643" s="84" t="n">
        <x:f>C4643^2-'Resumen'!$B$5^3/3</x:f>
        <x:v>0.22036401741366846</x:v>
      </x:c>
      <x:c r="E4643" s="85" t="n">
        <x:f>D4643+'Resumen'!$B$5^3/3</x:f>
        <x:v>0.5536973507470018</x:v>
      </x:c>
    </x:row>
    <x:row r="4644">
      <x:c r="A4644" s="89" t="n">
        <x:v>4642</x:v>
      </x:c>
      <x:c r="B4644" s="80" t="n">
        <x:v>-2.4178103033401523</x:v>
      </x:c>
      <x:c r="C4644" s="84" t="n">
        <x:f>SQRT('Resumen'!$B$5^3/3)*B4644</x:f>
        <x:v>-1.3959234294828875</x:v>
      </x:c>
      <x:c r="D4644" s="84" t="n">
        <x:f>C4644^2-'Resumen'!$B$5^3/3</x:f>
        <x:v>1.6152688876459327</x:v>
      </x:c>
      <x:c r="E4644" s="85" t="n">
        <x:f>D4644+'Resumen'!$B$5^3/3</x:f>
        <x:v>1.948602220979266</x:v>
      </x:c>
    </x:row>
    <x:row r="4645">
      <x:c r="A4645" s="89" t="n">
        <x:v>4643</x:v>
      </x:c>
      <x:c r="B4645" s="80" t="n">
        <x:v>0.26423519537447676</x:v>
      </x:c>
      <x:c r="C4645" s="84" t="n">
        <x:f>SQRT('Resumen'!$B$5^3/3)*B4645</x:f>
        <x:v>0.1525562611788275</x:v>
      </x:c>
      <x:c r="D4645" s="84" t="n">
        <x:f>C4645^2-'Resumen'!$B$5^3/3</x:f>
        <x:v>-0.3100599205084707</x:v>
      </x:c>
      <x:c r="E4645" s="85" t="n">
        <x:f>D4645+'Resumen'!$B$5^3/3</x:f>
        <x:v>0.023273412824862616</x:v>
      </x:c>
    </x:row>
    <x:row r="4646">
      <x:c r="A4646" s="89" t="n">
        <x:v>4644</x:v>
      </x:c>
      <x:c r="B4646" s="80" t="n">
        <x:v>0.7222245027959204</x:v>
      </x:c>
      <x:c r="C4646" s="84" t="n">
        <x:f>SQRT('Resumen'!$B$5^3/3)*B4646</x:f>
        <x:v>0.41697651110456824</x:v>
      </x:c>
      <x:c r="D4646" s="84" t="n">
        <x:f>C4646^2-'Resumen'!$B$5^3/3</x:f>
        <x:v>-0.1594639225203952</x:v>
      </x:c>
      <x:c r="E4646" s="85" t="n">
        <x:f>D4646+'Resumen'!$B$5^3/3</x:f>
        <x:v>0.1738694108129381</x:v>
      </x:c>
    </x:row>
    <x:row r="4647">
      <x:c r="A4647" s="89" t="n">
        <x:v>4645</x:v>
      </x:c>
      <x:c r="B4647" s="80" t="n">
        <x:v>0.7604356306815502</x:v>
      </x:c>
      <x:c r="C4647" s="84" t="n">
        <x:f>SQRT('Resumen'!$B$5^3/3)*B4647</x:f>
        <x:v>0.43903771607537584</x:v>
      </x:c>
      <x:c r="D4647" s="84" t="n">
        <x:f>C4647^2-'Resumen'!$B$5^3/3</x:f>
        <x:v>-0.14057921719665098</x:v>
      </x:c>
      <x:c r="E4647" s="85" t="n">
        <x:f>D4647+'Resumen'!$B$5^3/3</x:f>
        <x:v>0.19275411613668234</x:v>
      </x:c>
    </x:row>
    <x:row r="4648">
      <x:c r="A4648" s="89" t="n">
        <x:v>4646</x:v>
      </x:c>
      <x:c r="B4648" s="80" t="n">
        <x:v>1.6191845196610317</x:v>
      </x:c>
      <x:c r="C4648" s="84" t="n">
        <x:f>SQRT('Resumen'!$B$5^3/3)*B4648</x:f>
        <x:v>0.9348366182939715</x:v>
      </x:c>
      <x:c r="D4648" s="84" t="n">
        <x:f>C4648^2-'Resumen'!$B$5^3/3</x:f>
        <x:v>0.5405861695699752</x:v>
      </x:c>
      <x:c r="E4648" s="85" t="n">
        <x:f>D4648+'Resumen'!$B$5^3/3</x:f>
        <x:v>0.8739195029033084</x:v>
      </x:c>
    </x:row>
    <x:row r="4649">
      <x:c r="A4649" s="89" t="n">
        <x:v>4647</x:v>
      </x:c>
      <x:c r="B4649" s="80" t="n">
        <x:v>-0.6891453091774029</x:v>
      </x:c>
      <x:c r="C4649" s="84" t="n">
        <x:f>SQRT('Resumen'!$B$5^3/3)*B4649</x:f>
        <x:v>-0.3978782297643414</x:v>
      </x:c>
      <x:c r="D4649" s="84" t="n">
        <x:f>C4649^2-'Resumen'!$B$5^3/3</x:f>
        <x:v>-0.17502624761292726</x:v>
      </x:c>
      <x:c r="E4649" s="85" t="n">
        <x:f>D4649+'Resumen'!$B$5^3/3</x:f>
        <x:v>0.15830708572040605</x:v>
      </x:c>
    </x:row>
    <x:row r="4650">
      <x:c r="A4650" s="89" t="n">
        <x:v>4648</x:v>
      </x:c>
      <x:c r="B4650" s="80" t="n">
        <x:v>0.4393916281698602</x:v>
      </x:c>
      <x:c r="C4650" s="84" t="n">
        <x:f>SQRT('Resumen'!$B$5^3/3)*B4650</x:f>
        <x:v>0.25368287480353674</x:v>
      </x:c>
      <x:c r="D4650" s="84" t="n">
        <x:f>C4650^2-'Resumen'!$B$5^3/3</x:f>
        <x:v>-0.26897833236474644</x:v>
      </x:c>
      <x:c r="E4650" s="85" t="n">
        <x:f>D4650+'Resumen'!$B$5^3/3</x:f>
        <x:v>0.06435500096858687</x:v>
      </x:c>
    </x:row>
    <x:row r="4651">
      <x:c r="A4651" s="89" t="n">
        <x:v>4649</x:v>
      </x:c>
      <x:c r="B4651" s="80" t="n">
        <x:v>1.3505014668935293</x:v>
      </x:c>
      <x:c r="C4651" s="84" t="n">
        <x:f>SQRT('Resumen'!$B$5^3/3)*B4651</x:f>
        <x:v>0.7797123854519636</x:v>
      </x:c>
      <x:c r="D4651" s="84" t="n">
        <x:f>C4651^2-'Resumen'!$B$5^3/3</x:f>
        <x:v>0.2746180706938582</x:v>
      </x:c>
      <x:c r="E4651" s="85" t="n">
        <x:f>D4651+'Resumen'!$B$5^3/3</x:f>
        <x:v>0.6079514040271915</x:v>
      </x:c>
    </x:row>
    <x:row r="4652">
      <x:c r="A4652" s="89" t="n">
        <x:v>4650</x:v>
      </x:c>
      <x:c r="B4652" s="80" t="n">
        <x:v>0.6931306320858875</x:v>
      </x:c>
      <x:c r="C4652" s="84" t="n">
        <x:f>SQRT('Resumen'!$B$5^3/3)*B4652</x:f>
        <x:v>0.4001791570183626</x:v>
      </x:c>
      <x:c r="D4652" s="84" t="n">
        <x:f>C4652^2-'Resumen'!$B$5^3/3</x:f>
        <x:v>-0.173189975621406</x:v>
      </x:c>
      <x:c r="E4652" s="85" t="n">
        <x:f>D4652+'Resumen'!$B$5^3/3</x:f>
        <x:v>0.1601433577119273</x:v>
      </x:c>
    </x:row>
    <x:row r="4653">
      <x:c r="A4653" s="89" t="n">
        <x:v>4651</x:v>
      </x:c>
      <x:c r="B4653" s="80" t="n">
        <x:v>-0.135959045880202</x:v>
      </x:c>
      <x:c r="C4653" s="84" t="n">
        <x:f>SQRT('Resumen'!$B$5^3/3)*B4653</x:f>
        <x:v>-0.07849599173769929</x:v>
      </x:c>
      <x:c r="D4653" s="84" t="n">
        <x:f>C4653^2-'Resumen'!$B$5^3/3</x:f>
        <x:v>-0.3271717126144484</x:v>
      </x:c>
      <x:c r="E4653" s="85" t="n">
        <x:f>D4653+'Resumen'!$B$5^3/3</x:f>
        <x:v>0.00616162071888493</x:v>
      </x:c>
    </x:row>
    <x:row r="4654">
      <x:c r="A4654" s="89" t="n">
        <x:v>4652</x:v>
      </x:c>
      <x:c r="B4654" s="80" t="n">
        <x:v>-1.172763936468506</x:v>
      </x:c>
      <x:c r="C4654" s="84" t="n">
        <x:f>SQRT('Resumen'!$B$5^3/3)*B4654</x:f>
        <x:v>-0.6770955744159771</x:v>
      </x:c>
      <x:c r="D4654" s="84" t="n">
        <x:f>C4654^2-'Resumen'!$B$5^3/3</x:f>
        <x:v>0.12512508356036872</x:v>
      </x:c>
      <x:c r="E4654" s="85" t="n">
        <x:f>D4654+'Resumen'!$B$5^3/3</x:f>
        <x:v>0.45845841689370204</x:v>
      </x:c>
    </x:row>
    <x:row r="4655">
      <x:c r="A4655" s="89" t="n">
        <x:v>4653</x:v>
      </x:c>
      <x:c r="B4655" s="80" t="n">
        <x:v>-0.25828580819969177</x:v>
      </x:c>
      <x:c r="C4655" s="84" t="n">
        <x:f>SQRT('Resumen'!$B$5^3/3)*B4655</x:f>
        <x:v>-0.1491213808919521</x:v>
      </x:c>
      <x:c r="D4655" s="84" t="n">
        <x:f>C4655^2-'Resumen'!$B$5^3/3</x:f>
        <x:v>-0.3110961470942107</x:v>
      </x:c>
      <x:c r="E4655" s="85" t="n">
        <x:f>D4655+'Resumen'!$B$5^3/3</x:f>
        <x:v>0.02223718623912263</x:v>
      </x:c>
    </x:row>
    <x:row r="4656">
      <x:c r="A4656" s="89" t="n">
        <x:v>4654</x:v>
      </x:c>
      <x:c r="B4656" s="80" t="n">
        <x:v>0.6328991262059576</x:v>
      </x:c>
      <x:c r="C4656" s="84" t="n">
        <x:f>SQRT('Resumen'!$B$5^3/3)*B4656</x:f>
        <x:v>0.3654044808848885</x:v>
      </x:c>
      <x:c r="D4656" s="84" t="n">
        <x:f>C4656^2-'Resumen'!$B$5^3/3</x:f>
        <x:v>-0.19981289868257845</x:v>
      </x:c>
      <x:c r="E4656" s="85" t="n">
        <x:f>D4656+'Resumen'!$B$5^3/3</x:f>
        <x:v>0.13352043465075486</x:v>
      </x:c>
    </x:row>
    <x:row r="4657">
      <x:c r="A4657" s="89" t="n">
        <x:v>4655</x:v>
      </x:c>
      <x:c r="B4657" s="80" t="n">
        <x:v>-0.8460519595094411</x:v>
      </x:c>
      <x:c r="C4657" s="84" t="n">
        <x:f>SQRT('Resumen'!$B$5^3/3)*B4657</x:f>
        <x:v>-0.48846832657118616</x:v>
      </x:c>
      <x:c r="D4657" s="84" t="n">
        <x:f>C4657^2-'Resumen'!$B$5^3/3</x:f>
        <x:v>-0.09473202727007835</x:v>
      </x:c>
      <x:c r="E4657" s="85" t="n">
        <x:f>D4657+'Resumen'!$B$5^3/3</x:f>
        <x:v>0.23860130606325497</x:v>
      </x:c>
    </x:row>
    <x:row r="4658">
      <x:c r="A4658" s="89" t="n">
        <x:v>4656</x:v>
      </x:c>
      <x:c r="B4658" s="80" t="n">
        <x:v>1.6819702887300103</x:v>
      </x:c>
      <x:c r="C4658" s="84" t="n">
        <x:f>SQRT('Resumen'!$B$5^3/3)*B4658</x:f>
        <x:v>0.9710859989672239</x:v>
      </x:c>
      <x:c r="D4658" s="84" t="n">
        <x:f>C4658^2-'Resumen'!$B$5^3/3</x:f>
        <x:v>0.6096746840568379</x:v>
      </x:c>
      <x:c r="E4658" s="85" t="n">
        <x:f>D4658+'Resumen'!$B$5^3/3</x:f>
        <x:v>0.9430080173901711</x:v>
      </x:c>
    </x:row>
    <x:row r="4659">
      <x:c r="A4659" s="89" t="n">
        <x:v>4657</x:v>
      </x:c>
      <x:c r="B4659" s="80" t="n">
        <x:v>-0.5017216476661163</x:v>
      </x:c>
      <x:c r="C4659" s="84" t="n">
        <x:f>SQRT('Resumen'!$B$5^3/3)*B4659</x:f>
        <x:v>-0.2896691283382948</x:v>
      </x:c>
      <x:c r="D4659" s="84" t="n">
        <x:f>C4659^2-'Resumen'!$B$5^3/3</x:f>
        <x:v>-0.24942512942106582</x:v>
      </x:c>
      <x:c r="E4659" s="85" t="n">
        <x:f>D4659+'Resumen'!$B$5^3/3</x:f>
        <x:v>0.0839082039122675</x:v>
      </x:c>
    </x:row>
    <x:row r="4660">
      <x:c r="A4660" s="89" t="n">
        <x:v>4658</x:v>
      </x:c>
      <x:c r="B4660" s="80" t="n">
        <x:v>-1.7754641244284404</x:v>
      </x:c>
      <x:c r="C4660" s="84" t="n">
        <x:f>SQRT('Resumen'!$B$5^3/3)*B4660</x:f>
        <x:v>-1.0250646901752831</x:v>
      </x:c>
      <x:c r="D4660" s="84" t="n">
        <x:f>C4660^2-'Resumen'!$B$5^3/3</x:f>
        <x:v>0.717424285710816</x:v>
      </x:c>
      <x:c r="E4660" s="85" t="n">
        <x:f>D4660+'Resumen'!$B$5^3/3</x:f>
        <x:v>1.0507576190441492</x:v>
      </x:c>
    </x:row>
    <x:row r="4661">
      <x:c r="A4661" s="89" t="n">
        <x:v>4659</x:v>
      </x:c>
      <x:c r="B4661" s="80" t="n">
        <x:v>-1.6784938494036659</x:v>
      </x:c>
      <x:c r="C4661" s="84" t="n">
        <x:f>SQRT('Resumen'!$B$5^3/3)*B4661</x:f>
        <x:v>-0.9690788757863376</x:v>
      </x:c>
      <x:c r="D4661" s="84" t="n">
        <x:f>C4661^2-'Resumen'!$B$5^3/3</x:f>
        <x:v>0.6057805341619786</x:v>
      </x:c>
      <x:c r="E4661" s="85" t="n">
        <x:f>D4661+'Resumen'!$B$5^3/3</x:f>
        <x:v>0.9391138674953119</x:v>
      </x:c>
    </x:row>
    <x:row r="4662">
      <x:c r="A4662" s="89" t="n">
        <x:v>4660</x:v>
      </x:c>
      <x:c r="B4662" s="80" t="n">
        <x:v>-1.1621036639764608</x:v>
      </x:c>
      <x:c r="C4662" s="84" t="n">
        <x:f>SQRT('Resumen'!$B$5^3/3)*B4662</x:f>
        <x:v>-0.67094086322306</x:v>
      </x:c>
      <x:c r="D4662" s="84" t="n">
        <x:f>C4662^2-'Resumen'!$B$5^3/3</x:f>
        <x:v>0.1168283086091716</x:v>
      </x:c>
      <x:c r="E4662" s="85" t="n">
        <x:f>D4662+'Resumen'!$B$5^3/3</x:f>
        <x:v>0.4501616419425049</x:v>
      </x:c>
    </x:row>
    <x:row r="4663">
      <x:c r="A4663" s="89" t="n">
        <x:v>4661</x:v>
      </x:c>
      <x:c r="B4663" s="80" t="n">
        <x:v>-2.3355829490096864</x:v>
      </x:c>
      <x:c r="C4663" s="84" t="n">
        <x:f>SQRT('Resumen'!$B$5^3/3)*B4663</x:f>
        <x:v>-1.3484494443254424</x:v>
      </x:c>
      <x:c r="D4663" s="84" t="n">
        <x:f>C4663^2-'Resumen'!$B$5^3/3</x:f>
        <x:v>1.4849825705682613</x:v>
      </x:c>
      <x:c r="E4663" s="85" t="n">
        <x:f>D4663+'Resumen'!$B$5^3/3</x:f>
        <x:v>1.8183159039015946</x:v>
      </x:c>
    </x:row>
    <x:row r="4664">
      <x:c r="A4664" s="89" t="n">
        <x:v>4662</x:v>
      </x:c>
      <x:c r="B4664" s="80" t="n">
        <x:v>-0.6531409945098604</x:v>
      </x:c>
      <x:c r="C4664" s="84" t="n">
        <x:f>SQRT('Resumen'!$B$5^3/3)*B4664</x:f>
        <x:v>-0.3770911289990478</x:v>
      </x:c>
      <x:c r="D4664" s="84" t="n">
        <x:f>C4664^2-'Resumen'!$B$5^3/3</x:f>
        <x:v>-0.1911356137635568</x:v>
      </x:c>
      <x:c r="E4664" s="85" t="n">
        <x:f>D4664+'Resumen'!$B$5^3/3</x:f>
        <x:v>0.1421977195697765</x:v>
      </x:c>
    </x:row>
    <x:row r="4665">
      <x:c r="A4665" s="89" t="n">
        <x:v>4663</x:v>
      </x:c>
      <x:c r="B4665" s="80" t="n">
        <x:v>-0.8140127021956296</x:v>
      </x:c>
      <x:c r="C4665" s="84" t="n">
        <x:f>SQRT('Resumen'!$B$5^3/3)*B4665</x:f>
        <x:v>-0.4699704527364214</x:v>
      </x:c>
      <x:c r="D4665" s="84" t="n">
        <x:f>C4665^2-'Resumen'!$B$5^3/3</x:f>
        <x:v>-0.11246110688805641</x:v>
      </x:c>
      <x:c r="E4665" s="85" t="n">
        <x:f>D4665+'Resumen'!$B$5^3/3</x:f>
        <x:v>0.2208722264452769</x:v>
      </x:c>
    </x:row>
    <x:row r="4666">
      <x:c r="A4666" s="89" t="n">
        <x:v>4664</x:v>
      </x:c>
      <x:c r="B4666" s="80" t="n">
        <x:v>-0.8029352342031755</x:v>
      </x:c>
      <x:c r="C4666" s="84" t="n">
        <x:f>SQRT('Resumen'!$B$5^3/3)*B4666</x:f>
        <x:v>-0.46357487360903854</x:v>
      </x:c>
      <x:c r="D4666" s="84" t="n">
        <x:f>C4666^2-'Resumen'!$B$5^3/3</x:f>
        <x:v>-0.11843166989169726</x:v>
      </x:c>
      <x:c r="E4666" s="85" t="n">
        <x:f>D4666+'Resumen'!$B$5^3/3</x:f>
        <x:v>0.21490166344163605</x:v>
      </x:c>
    </x:row>
    <x:row r="4667">
      <x:c r="A4667" s="89" t="n">
        <x:v>4665</x:v>
      </x:c>
      <x:c r="B4667" s="80" t="n">
        <x:v>-0.4158235236467924</x:v>
      </x:c>
      <x:c r="C4667" s="84" t="n">
        <x:f>SQRT('Resumen'!$B$5^3/3)*B4667</x:f>
        <x:v>-0.24007582331285432</x:v>
      </x:c>
      <x:c r="D4667" s="84" t="n">
        <x:f>C4667^2-'Resumen'!$B$5^3/3</x:f>
        <x:v>-0.27569693239398846</x:v>
      </x:c>
      <x:c r="E4667" s="85" t="n">
        <x:f>D4667+'Resumen'!$B$5^3/3</x:f>
        <x:v>0.057636400939344856</x:v>
      </x:c>
    </x:row>
    <x:row r="4668">
      <x:c r="A4668" s="89" t="n">
        <x:v>4666</x:v>
      </x:c>
      <x:c r="B4668" s="80" t="n">
        <x:v>-1.0517028745894235</x:v>
      </x:c>
      <x:c r="C4668" s="84" t="n">
        <x:f>SQRT('Resumen'!$B$5^3/3)*B4668</x:f>
        <x:v>-0.6072009377517068</x:v>
      </x:c>
      <x:c r="D4668" s="84" t="n">
        <x:f>C4668^2-'Resumen'!$B$5^3/3</x:f>
        <x:v>0.03535964547321879</x:v>
      </x:c>
      <x:c r="E4668" s="85" t="n">
        <x:f>D4668+'Resumen'!$B$5^3/3</x:f>
        <x:v>0.3686929788065521</x:v>
      </x:c>
    </x:row>
    <x:row r="4669">
      <x:c r="A4669" s="89" t="n">
        <x:v>4667</x:v>
      </x:c>
      <x:c r="B4669" s="80" t="n">
        <x:v>1.3945120205557828</x:v>
      </x:c>
      <x:c r="C4669" s="84" t="n">
        <x:f>SQRT('Resumen'!$B$5^3/3)*B4669</x:f>
        <x:v>0.8051218904560501</x:v>
      </x:c>
      <x:c r="D4669" s="84" t="n">
        <x:f>C4669^2-'Resumen'!$B$5^3/3</x:f>
        <x:v>0.3148879251581906</x:v>
      </x:c>
      <x:c r="E4669" s="85" t="n">
        <x:f>D4669+'Resumen'!$B$5^3/3</x:f>
        <x:v>0.6482212584915239</x:v>
      </x:c>
    </x:row>
    <x:row r="4670">
      <x:c r="A4670" s="89" t="n">
        <x:v>4668</x:v>
      </x:c>
      <x:c r="B4670" s="80" t="n">
        <x:v>0.8155784606835547</x:v>
      </x:c>
      <x:c r="C4670" s="84" t="n">
        <x:f>SQRT('Resumen'!$B$5^3/3)*B4670</x:f>
        <x:v>0.47087444382091087</x:v>
      </x:c>
      <x:c r="D4670" s="84" t="n">
        <x:f>C4670^2-'Resumen'!$B$5^3/3</x:f>
        <x:v>-0.11161059148968117</x:v>
      </x:c>
      <x:c r="E4670" s="85" t="n">
        <x:f>D4670+'Resumen'!$B$5^3/3</x:f>
        <x:v>0.22172274184365215</x:v>
      </x:c>
    </x:row>
    <x:row r="4671">
      <x:c r="A4671" s="89" t="n">
        <x:v>4669</x:v>
      </x:c>
      <x:c r="B4671" s="80" t="n">
        <x:v>-1.7829131554361581</x:v>
      </x:c>
      <x:c r="C4671" s="84" t="n">
        <x:f>SQRT('Resumen'!$B$5^3/3)*B4671</x:f>
        <x:v>-1.0293653902327908</x:v>
      </x:c>
      <x:c r="D4671" s="84" t="n">
        <x:f>C4671^2-'Resumen'!$B$5^3/3</x:f>
        <x:v>0.7262597732757725</x:v>
      </x:c>
      <x:c r="E4671" s="85" t="n">
        <x:f>D4671+'Resumen'!$B$5^3/3</x:f>
        <x:v>1.0595931066091058</x:v>
      </x:c>
    </x:row>
    <x:row r="4672">
      <x:c r="A4672" s="89" t="n">
        <x:v>4670</x:v>
      </x:c>
      <x:c r="B4672" s="80" t="n">
        <x:v>0.3850434413725892</x:v>
      </x:c>
      <x:c r="C4672" s="84" t="n">
        <x:f>SQRT('Resumen'!$B$5^3/3)*B4672</x:f>
        <x:v>0.22230493452616426</x:v>
      </x:c>
      <x:c r="D4672" s="84" t="n">
        <x:f>C4672^2-'Resumen'!$B$5^3/3</x:f>
        <x:v>-0.28391384941865117</x:v>
      </x:c>
      <x:c r="E4672" s="85" t="n">
        <x:f>D4672+'Resumen'!$B$5^3/3</x:f>
        <x:v>0.04941948391468215</x:v>
      </x:c>
    </x:row>
    <x:row r="4673">
      <x:c r="A4673" s="89" t="n">
        <x:v>4671</x:v>
      </x:c>
      <x:c r="B4673" s="80" t="n">
        <x:v>0.9467092530745237</x:v>
      </x:c>
      <x:c r="C4673" s="84" t="n">
        <x:f>SQRT('Resumen'!$B$5^3/3)*B4673</x:f>
        <x:v>0.5465828421068858</x:v>
      </x:c>
      <x:c r="D4673" s="84" t="n">
        <x:f>C4673^2-'Resumen'!$B$5^3/3</x:f>
        <x:v>-0.03458053004769246</x:v>
      </x:c>
      <x:c r="E4673" s="85" t="n">
        <x:f>D4673+'Resumen'!$B$5^3/3</x:f>
        <x:v>0.29875280328564086</x:v>
      </x:c>
    </x:row>
    <x:row r="4674">
      <x:c r="A4674" s="89" t="n">
        <x:v>4672</x:v>
      </x:c>
      <x:c r="B4674" s="80" t="n">
        <x:v>1.5231486821559188</x:v>
      </x:c>
      <x:c r="C4674" s="84" t="n">
        <x:f>SQRT('Resumen'!$B$5^3/3)*B4674</x:f>
        <x:v>0.8793903016585434</x:v>
      </x:c>
      <x:c r="D4674" s="84" t="n">
        <x:f>C4674^2-'Resumen'!$B$5^3/3</x:f>
        <x:v>0.43999396931777063</x:v>
      </x:c>
      <x:c r="E4674" s="85" t="n">
        <x:f>D4674+'Resumen'!$B$5^3/3</x:f>
        <x:v>0.7733273026511039</x:v>
      </x:c>
    </x:row>
    <x:row r="4675">
      <x:c r="A4675" s="89" t="n">
        <x:v>4673</x:v>
      </x:c>
      <x:c r="B4675" s="80" t="n">
        <x:v>-0.3555301931821948</x:v>
      </x:c>
      <x:c r="C4675" s="84" t="n">
        <x:f>SQRT('Resumen'!$B$5^3/3)*B4675</x:f>
        <x:v>-0.2052654527387798</x:v>
      </x:c>
      <x:c r="D4675" s="84" t="n">
        <x:f>C4675^2-'Resumen'!$B$5^3/3</x:f>
        <x:v>-0.2911994272452771</x:v>
      </x:c>
      <x:c r="E4675" s="85" t="n">
        <x:f>D4675+'Resumen'!$B$5^3/3</x:f>
        <x:v>0.04213390608805623</x:v>
      </x:c>
    </x:row>
    <x:row r="4676">
      <x:c r="A4676" s="89" t="n">
        <x:v>4674</x:v>
      </x:c>
      <x:c r="B4676" s="80" t="n">
        <x:v>0.4516685859854212</x:v>
      </x:c>
      <x:c r="C4676" s="84" t="n">
        <x:f>SQRT('Resumen'!$B$5^3/3)*B4676</x:f>
        <x:v>0.2607709797031805</x:v>
      </x:c>
      <x:c r="D4676" s="84" t="n">
        <x:f>C4676^2-'Resumen'!$B$5^3/3</x:f>
        <x:v>-0.26533182947797673</x:v>
      </x:c>
      <x:c r="E4676" s="85" t="n">
        <x:f>D4676+'Resumen'!$B$5^3/3</x:f>
        <x:v>0.06800150385535658</x:v>
      </x:c>
    </x:row>
    <x:row r="4677">
      <x:c r="A4677" s="89" t="n">
        <x:v>4675</x:v>
      </x:c>
      <x:c r="B4677" s="80" t="n">
        <x:v>0.3554486331232477</x:v>
      </x:c>
      <x:c r="C4677" s="84" t="n">
        <x:f>SQRT('Resumen'!$B$5^3/3)*B4677</x:f>
        <x:v>0.20521836401679158</x:v>
      </x:c>
      <x:c r="D4677" s="84" t="n">
        <x:f>C4677^2-'Resumen'!$B$5^3/3</x:f>
        <x:v>-0.29121875640360495</x:v>
      </x:c>
      <x:c r="E4677" s="85" t="n">
        <x:f>D4677+'Resumen'!$B$5^3/3</x:f>
        <x:v>0.042114576929728365</x:v>
      </x:c>
    </x:row>
    <x:row r="4678">
      <x:c r="A4678" s="89" t="n">
        <x:v>4676</x:v>
      </x:c>
      <x:c r="B4678" s="80" t="n">
        <x:v>-0.40978173365261994</x:v>
      </x:c>
      <x:c r="C4678" s="84" t="n">
        <x:f>SQRT('Resumen'!$B$5^3/3)*B4678</x:f>
        <x:v>-0.23658759423333164</x:v>
      </x:c>
      <x:c r="D4678" s="84" t="n">
        <x:f>C4678^2-'Resumen'!$B$5^3/3</x:f>
        <x:v>-0.27735964358821774</x:v>
      </x:c>
      <x:c r="E4678" s="85" t="n">
        <x:f>D4678+'Resumen'!$B$5^3/3</x:f>
        <x:v>0.055973689745115573</x:v>
      </x:c>
    </x:row>
    <x:row r="4679">
      <x:c r="A4679" s="89" t="n">
        <x:v>4677</x:v>
      </x:c>
      <x:c r="B4679" s="80" t="n">
        <x:v>0.31547709766795945</x:v>
      </x:c>
      <x:c r="C4679" s="84" t="n">
        <x:f>SQRT('Resumen'!$B$5^3/3)*B4679</x:f>
        <x:v>0.18214078726175822</x:v>
      </x:c>
      <x:c r="D4679" s="84" t="n">
        <x:f>C4679^2-'Resumen'!$B$5^3/3</x:f>
        <x:v>-0.30015806694900027</x:v>
      </x:c>
      <x:c r="E4679" s="85" t="n">
        <x:f>D4679+'Resumen'!$B$5^3/3</x:f>
        <x:v>0.033175266384333046</x:v>
      </x:c>
    </x:row>
    <x:row r="4680">
      <x:c r="A4680" s="89" t="n">
        <x:v>4678</x:v>
      </x:c>
      <x:c r="B4680" s="80" t="n">
        <x:v>-0.7099394747892004</x:v>
      </x:c>
      <x:c r="C4680" s="84" t="n">
        <x:f>SQRT('Resumen'!$B$5^3/3)*B4680</x:f>
        <x:v>-0.40988374687788637</x:v>
      </x:c>
      <x:c r="D4680" s="84" t="n">
        <x:f>C4680^2-'Resumen'!$B$5^3/3</x:f>
        <x:v>-0.16532864737867808</x:v>
      </x:c>
      <x:c r="E4680" s="85" t="n">
        <x:f>D4680+'Resumen'!$B$5^3/3</x:f>
        <x:v>0.16800468595465523</x:v>
      </x:c>
    </x:row>
    <x:row r="4681">
      <x:c r="A4681" s="89" t="n">
        <x:v>4679</x:v>
      </x:c>
      <x:c r="B4681" s="80" t="n">
        <x:v>-0.37040248891700944</x:v>
      </x:c>
      <x:c r="C4681" s="84" t="n">
        <x:f>SQRT('Resumen'!$B$5^3/3)*B4681</x:f>
        <x:v>-0.21385197668474276</x:v>
      </x:c>
      <x:c r="D4681" s="84" t="n">
        <x:f>C4681^2-'Resumen'!$B$5^3/3</x:f>
        <x:v>-0.28760066540136153</x:v>
      </x:c>
      <x:c r="E4681" s="85" t="n">
        <x:f>D4681+'Resumen'!$B$5^3/3</x:f>
        <x:v>0.04573266793197178</x:v>
      </x:c>
    </x:row>
    <x:row r="4682">
      <x:c r="A4682" s="89" t="n">
        <x:v>4680</x:v>
      </x:c>
      <x:c r="B4682" s="80" t="n">
        <x:v>1.9716173851525636</x:v>
      </x:c>
      <x:c r="C4682" s="84" t="n">
        <x:f>SQRT('Resumen'!$B$5^3/3)*B4682</x:f>
        <x:v>1.1383138280567786</x:v>
      </x:c>
      <x:c r="D4682" s="84" t="n">
        <x:f>C4682^2-'Resumen'!$B$5^3/3</x:f>
        <x:v>0.9624250378119441</x:v>
      </x:c>
      <x:c r="E4682" s="85" t="n">
        <x:f>D4682+'Resumen'!$B$5^3/3</x:f>
        <x:v>1.2957583711452774</x:v>
      </x:c>
    </x:row>
    <x:row r="4683">
      <x:c r="A4683" s="89" t="n">
        <x:v>4681</x:v>
      </x:c>
      <x:c r="B4683" s="80" t="n">
        <x:v>1.9248007837917787</x:v>
      </x:c>
      <x:c r="C4683" s="84" t="n">
        <x:f>SQRT('Resumen'!$B$5^3/3)*B4683</x:f>
        <x:v>1.111284250658586</x:v>
      </x:c>
      <x:c r="D4683" s="84" t="n">
        <x:f>C4683^2-'Resumen'!$B$5^3/3</x:f>
        <x:v>0.9016193524284819</x:v>
      </x:c>
      <x:c r="E4683" s="85" t="n">
        <x:f>D4683+'Resumen'!$B$5^3/3</x:f>
        <x:v>1.2349526857618152</x:v>
      </x:c>
    </x:row>
    <x:row r="4684">
      <x:c r="A4684" s="89" t="n">
        <x:v>4682</x:v>
      </x:c>
      <x:c r="B4684" s="80" t="n">
        <x:v>-0.43211184177189765</x:v>
      </x:c>
      <x:c r="C4684" s="84" t="n">
        <x:f>SQRT('Resumen'!$B$5^3/3)*B4684</x:f>
        <x:v>-0.24947988816703007</x:v>
      </x:c>
      <x:c r="D4684" s="84" t="n">
        <x:f>C4684^2-'Resumen'!$B$5^3/3</x:f>
        <x:v>-0.2710931187334995</x:v>
      </x:c>
      <x:c r="E4684" s="85" t="n">
        <x:f>D4684+'Resumen'!$B$5^3/3</x:f>
        <x:v>0.06224021459983381</x:v>
      </x:c>
    </x:row>
    <x:row r="4685">
      <x:c r="A4685" s="89" t="n">
        <x:v>4683</x:v>
      </x:c>
      <x:c r="B4685" s="80" t="n">
        <x:v>0.7140635789019982</x:v>
      </x:c>
      <x:c r="C4685" s="84" t="n">
        <x:f>SQRT('Resumen'!$B$5^3/3)*B4685</x:f>
        <x:v>0.4122647994975762</x:v>
      </x:c>
      <x:c r="D4685" s="84" t="n">
        <x:f>C4685^2-'Resumen'!$B$5^3/3</x:f>
        <x:v>-0.1633710684285566</x:v>
      </x:c>
      <x:c r="E4685" s="85" t="n">
        <x:f>D4685+'Resumen'!$B$5^3/3</x:f>
        <x:v>0.16996226490477673</x:v>
      </x:c>
    </x:row>
    <x:row r="4686">
      <x:c r="A4686" s="89" t="n">
        <x:v>4684</x:v>
      </x:c>
      <x:c r="B4686" s="80" t="n">
        <x:v>0.4485992445001372</x:v>
      </x:c>
      <x:c r="C4686" s="84" t="n">
        <x:f>SQRT('Resumen'!$B$5^3/3)*B4686</x:f>
        <x:v>0.25899889457041697</x:v>
      </x:c>
      <x:c r="D4686" s="84" t="n">
        <x:f>C4686^2-'Resumen'!$B$5^3/3</x:f>
        <x:v>-0.26625290594463535</x:v>
      </x:c>
      <x:c r="E4686" s="85" t="n">
        <x:f>D4686+'Resumen'!$B$5^3/3</x:f>
        <x:v>0.06708042738869796</x:v>
      </x:c>
    </x:row>
    <x:row r="4687">
      <x:c r="A4687" s="89" t="n">
        <x:v>4685</x:v>
      </x:c>
      <x:c r="B4687" s="80" t="n">
        <x:v>0.5636762510064018</x:v>
      </x:c>
      <x:c r="C4687" s="84" t="n">
        <x:f>SQRT('Resumen'!$B$5^3/3)*B4687</x:f>
        <x:v>0.32543863525434513</x:v>
      </x:c>
      <x:c r="D4687" s="84" t="n">
        <x:f>C4687^2-'Resumen'!$B$5^3/3</x:f>
        <x:v>-0.2274230280171226</x:v>
      </x:c>
      <x:c r="E4687" s="85" t="n">
        <x:f>D4687+'Resumen'!$B$5^3/3</x:f>
        <x:v>0.1059103053162107</x:v>
      </x:c>
    </x:row>
    <x:row r="4688">
      <x:c r="A4688" s="89" t="n">
        <x:v>4686</x:v>
      </x:c>
      <x:c r="B4688" s="80" t="n">
        <x:v>0.7423159311534543</x:v>
      </x:c>
      <x:c r="C4688" s="84" t="n">
        <x:f>SQRT('Resumen'!$B$5^3/3)*B4688</x:f>
        <x:v>0.42857630267519453</x:v>
      </x:c>
      <x:c r="D4688" s="84" t="n">
        <x:f>C4688^2-'Resumen'!$B$5^3/3</x:f>
        <x:v>-0.14965568611859337</x:v>
      </x:c>
      <x:c r="E4688" s="85" t="n">
        <x:f>D4688+'Resumen'!$B$5^3/3</x:f>
        <x:v>0.18367764721473995</x:v>
      </x:c>
    </x:row>
    <x:row r="4689">
      <x:c r="A4689" s="89" t="n">
        <x:v>4687</x:v>
      </x:c>
      <x:c r="B4689" s="80" t="n">
        <x:v>1.2121183659298937</x:v>
      </x:c>
      <x:c r="C4689" s="84" t="n">
        <x:f>SQRT('Resumen'!$B$5^3/3)*B4689</x:f>
        <x:v>0.6998168648593134</x:v>
      </x:c>
      <x:c r="D4689" s="84" t="n">
        <x:f>C4689^2-'Resumen'!$B$5^3/3</x:f>
        <x:v>0.1564103110081852</x:v>
      </x:c>
      <x:c r="E4689" s="85" t="n">
        <x:f>D4689+'Resumen'!$B$5^3/3</x:f>
        <x:v>0.4897436443415185</x:v>
      </x:c>
    </x:row>
    <x:row r="4690">
      <x:c r="A4690" s="89" t="n">
        <x:v>4688</x:v>
      </x:c>
      <x:c r="B4690" s="80" t="n">
        <x:v>0.2459002168129673</x:v>
      </x:c>
      <x:c r="C4690" s="84" t="n">
        <x:f>SQRT('Resumen'!$B$5^3/3)*B4690</x:f>
        <x:v>0.141970556370754</x:v>
      </x:c>
      <x:c r="D4690" s="84" t="n">
        <x:f>C4690^2-'Resumen'!$B$5^3/3</x:f>
        <x:v>-0.31317769445711185</x:v>
      </x:c>
      <x:c r="E4690" s="85" t="n">
        <x:f>D4690+'Resumen'!$B$5^3/3</x:f>
        <x:v>0.02015563887622146</x:v>
      </x:c>
    </x:row>
    <x:row r="4691">
      <x:c r="A4691" s="89" t="n">
        <x:v>4689</x:v>
      </x:c>
      <x:c r="B4691" s="80" t="n">
        <x:v>-1.423609526082909</x:v>
      </x:c>
      <x:c r="C4691" s="84" t="n">
        <x:f>SQRT('Resumen'!$B$5^3/3)*B4691</x:f>
        <x:v>-0.821921343104883</x:v>
      </x:c>
      <x:c r="D4691" s="84" t="n">
        <x:f>C4691^2-'Resumen'!$B$5^3/3</x:f>
        <x:v>0.3422213609180014</x:v>
      </x:c>
      <x:c r="E4691" s="85" t="n">
        <x:f>D4691+'Resumen'!$B$5^3/3</x:f>
        <x:v>0.6755546942513347</x:v>
      </x:c>
    </x:row>
    <x:row r="4692">
      <x:c r="A4692" s="89" t="n">
        <x:v>4690</x:v>
      </x:c>
      <x:c r="B4692" s="80" t="n">
        <x:v>-1.4915182875525572</x:v>
      </x:c>
      <x:c r="C4692" s="84" t="n">
        <x:f>SQRT('Resumen'!$B$5^3/3)*B4692</x:f>
        <x:v>-0.8611284848197185</x:v>
      </x:c>
      <x:c r="D4692" s="84" t="n">
        <x:f>C4692^2-'Resumen'!$B$5^3/3</x:f>
        <x:v>0.40820893403457087</x:v>
      </x:c>
      <x:c r="E4692" s="85" t="n">
        <x:f>D4692+'Resumen'!$B$5^3/3</x:f>
        <x:v>0.7415422673679042</x:v>
      </x:c>
    </x:row>
    <x:row r="4693">
      <x:c r="A4693" s="89" t="n">
        <x:v>4691</x:v>
      </x:c>
      <x:c r="B4693" s="80" t="n">
        <x:v>-0.6466213576555527</x:v>
      </x:c>
      <x:c r="C4693" s="84" t="n">
        <x:f>SQRT('Resumen'!$B$5^3/3)*B4693</x:f>
        <x:v>-0.37332701490619463</x:v>
      </x:c>
      <x:c r="D4693" s="84" t="n">
        <x:f>C4693^2-'Resumen'!$B$5^3/3</x:f>
        <x:v>-0.19396027327456325</x:v>
      </x:c>
      <x:c r="E4693" s="85" t="n">
        <x:f>D4693+'Resumen'!$B$5^3/3</x:f>
        <x:v>0.13937306005877007</x:v>
      </x:c>
    </x:row>
    <x:row r="4694">
      <x:c r="A4694" s="89" t="n">
        <x:v>4692</x:v>
      </x:c>
      <x:c r="B4694" s="80" t="n">
        <x:v>0.3572183071734115</x:v>
      </x:c>
      <x:c r="C4694" s="84" t="n">
        <x:f>SQRT('Resumen'!$B$5^3/3)*B4694</x:f>
        <x:v>0.20624008580603156</x:v>
      </x:c>
      <x:c r="D4694" s="84" t="n">
        <x:f>C4694^2-'Resumen'!$B$5^3/3</x:f>
        <x:v>-0.2907983603400541</x:v>
      </x:c>
      <x:c r="E4694" s="85" t="n">
        <x:f>D4694+'Resumen'!$B$5^3/3</x:f>
        <x:v>0.04253497299327924</x:v>
      </x:c>
    </x:row>
    <x:row r="4695">
      <x:c r="A4695" s="89" t="n">
        <x:v>4693</x:v>
      </x:c>
      <x:c r="B4695" s="80" t="n">
        <x:v>0.1170246878818794</x:v>
      </x:c>
      <x:c r="C4695" s="84" t="n">
        <x:f>SQRT('Resumen'!$B$5^3/3)*B4695</x:f>
        <x:v>0.067564235050435</x:v>
      </x:c>
      <x:c r="D4695" s="84" t="n">
        <x:f>C4695^2-'Resumen'!$B$5^3/3</x:f>
        <x:v>-0.3287684074753829</x:v>
      </x:c>
      <x:c r="E4695" s="85" t="n">
        <x:f>D4695+'Resumen'!$B$5^3/3</x:f>
        <x:v>0.00456492585795043</x:v>
      </x:c>
    </x:row>
    <x:row r="4696">
      <x:c r="A4696" s="89" t="n">
        <x:v>4694</x:v>
      </x:c>
      <x:c r="B4696" s="80" t="n">
        <x:v>-0.8302253693366038</x:v>
      </x:c>
      <x:c r="C4696" s="84" t="n">
        <x:f>SQRT('Resumen'!$B$5^3/3)*B4696</x:f>
        <x:v>-0.47933084047454466</x:v>
      </x:c>
      <x:c r="D4696" s="84" t="n">
        <x:f>C4696^2-'Resumen'!$B$5^3/3</x:f>
        <x:v>-0.10357527870329994</x:v>
      </x:c>
      <x:c r="E4696" s="85" t="n">
        <x:f>D4696+'Resumen'!$B$5^3/3</x:f>
        <x:v>0.22975805463003338</x:v>
      </x:c>
    </x:row>
    <x:row r="4697">
      <x:c r="A4697" s="89" t="n">
        <x:v>4695</x:v>
      </x:c>
      <x:c r="B4697" s="80" t="n">
        <x:v>-0.875291935774741</x:v>
      </x:c>
      <x:c r="C4697" s="84" t="n">
        <x:f>SQRT('Resumen'!$B$5^3/3)*B4697</x:f>
        <x:v>-0.5053500347390553</x:v>
      </x:c>
      <x:c r="D4697" s="84" t="n">
        <x:f>C4697^2-'Resumen'!$B$5^3/3</x:f>
        <x:v>-0.07795467572256898</x:v>
      </x:c>
      <x:c r="E4697" s="85" t="n">
        <x:f>D4697+'Resumen'!$B$5^3/3</x:f>
        <x:v>0.25537865761076434</x:v>
      </x:c>
    </x:row>
    <x:row r="4698">
      <x:c r="A4698" s="89" t="n">
        <x:v>4696</x:v>
      </x:c>
      <x:c r="B4698" s="80" t="n">
        <x:v>-0.5042563290933282</x:v>
      </x:c>
      <x:c r="C4698" s="84" t="n">
        <x:f>SQRT('Resumen'!$B$5^3/3)*B4698</x:f>
        <x:v>-0.29113252734260553</x:v>
      </x:c>
      <x:c r="D4698" s="84" t="n">
        <x:f>C4698^2-'Resumen'!$B$5^3/3</x:f>
        <x:v>-0.24857518485644037</x:v>
      </x:c>
      <x:c r="E4698" s="85" t="n">
        <x:f>D4698+'Resumen'!$B$5^3/3</x:f>
        <x:v>0.08475814847689295</x:v>
      </x:c>
    </x:row>
    <x:row r="4699">
      <x:c r="A4699" s="89" t="n">
        <x:v>4697</x:v>
      </x:c>
      <x:c r="B4699" s="80" t="n">
        <x:v>0.2907530508683886</x:v>
      </x:c>
      <x:c r="C4699" s="84" t="n">
        <x:f>SQRT('Resumen'!$B$5^3/3)*B4699</x:f>
        <x:v>0.1678663521865691</x:v>
      </x:c>
      <x:c r="D4699" s="84" t="n">
        <x:f>C4699^2-'Resumen'!$B$5^3/3</x:f>
        <x:v>-0.30515422113690804</x:v>
      </x:c>
      <x:c r="E4699" s="85" t="n">
        <x:f>D4699+'Resumen'!$B$5^3/3</x:f>
        <x:v>0.02817911219642527</x:v>
      </x:c>
    </x:row>
    <x:row r="4700">
      <x:c r="A4700" s="89" t="n">
        <x:v>4698</x:v>
      </x:c>
      <x:c r="B4700" s="80" t="n">
        <x:v>-0.3857772534893461</x:v>
      </x:c>
      <x:c r="C4700" s="84" t="n">
        <x:f>SQRT('Resumen'!$B$5^3/3)*B4700</x:f>
        <x:v>-0.22272860114930845</x:v>
      </x:c>
      <x:c r="D4700" s="84" t="n">
        <x:f>C4700^2-'Resumen'!$B$5^3/3</x:f>
        <x:v>-0.2837253035634056</x:v>
      </x:c>
      <x:c r="E4700" s="85" t="n">
        <x:f>D4700+'Resumen'!$B$5^3/3</x:f>
        <x:v>0.04960802976992773</x:v>
      </x:c>
    </x:row>
    <x:row r="4701">
      <x:c r="A4701" s="89" t="n">
        <x:v>4699</x:v>
      </x:c>
      <x:c r="B4701" s="80" t="n">
        <x:v>-0.780650647511802</x:v>
      </x:c>
      <x:c r="C4701" s="84" t="n">
        <x:f>SQRT('Resumen'!$B$5^3/3)*B4701</x:f>
        <x:v>-0.4507088614839945</x:v>
      </x:c>
      <x:c r="D4701" s="84" t="n">
        <x:f>C4701^2-'Resumen'!$B$5^3/3</x:f>
        <x:v>-0.13019485551313476</x:v>
      </x:c>
      <x:c r="E4701" s="85" t="n">
        <x:f>D4701+'Resumen'!$B$5^3/3</x:f>
        <x:v>0.20313847782019856</x:v>
      </x:c>
    </x:row>
    <x:row r="4702">
      <x:c r="A4702" s="89" t="n">
        <x:v>4700</x:v>
      </x:c>
      <x:c r="B4702" s="80" t="n">
        <x:v>-1.1067132091419218</x:v>
      </x:c>
      <x:c r="C4702" s="84" t="n">
        <x:f>SQRT('Resumen'!$B$5^3/3)*B4702</x:f>
        <x:v>-0.6389611692138031</x:v>
      </x:c>
      <x:c r="D4702" s="84" t="n">
        <x:f>C4702^2-'Resumen'!$B$5^3/3</x:f>
        <x:v>0.074938042429737</x:v>
      </x:c>
      <x:c r="E4702" s="85" t="n">
        <x:f>D4702+'Resumen'!$B$5^3/3</x:f>
        <x:v>0.4082713757630703</x:v>
      </x:c>
    </x:row>
    <x:row r="4703">
      <x:c r="A4703" s="89" t="n">
        <x:v>4701</x:v>
      </x:c>
      <x:c r="B4703" s="80" t="n">
        <x:v>-0.36880218064253834</x:v>
      </x:c>
      <x:c r="C4703" s="84" t="n">
        <x:f>SQRT('Resumen'!$B$5^3/3)*B4703</x:f>
        <x:v>-0.2129280382716905</x:v>
      </x:c>
      <x:c r="D4703" s="84" t="n">
        <x:f>C4703^2-'Resumen'!$B$5^3/3</x:f>
        <x:v>-0.28799498385110284</x:v>
      </x:c>
      <x:c r="E4703" s="85" t="n">
        <x:f>D4703+'Resumen'!$B$5^3/3</x:f>
        <x:v>0.04533834948223048</x:v>
      </x:c>
    </x:row>
    <x:row r="4704">
      <x:c r="A4704" s="89" t="n">
        <x:v>4702</x:v>
      </x:c>
      <x:c r="B4704" s="80" t="n">
        <x:v>0.09143797159660479</x:v>
      </x:c>
      <x:c r="C4704" s="84" t="n">
        <x:f>SQRT('Resumen'!$B$5^3/3)*B4704</x:f>
        <x:v>0.05279173751545312</x:v>
      </x:c>
      <x:c r="D4704" s="84" t="n">
        <x:f>C4704^2-'Resumen'!$B$5^3/3</x:f>
        <x:v>-0.3305463657834328</x:v>
      </x:c>
      <x:c r="E4704" s="85" t="n">
        <x:f>D4704+'Resumen'!$B$5^3/3</x:f>
        <x:v>0.0027869675499004876</x:v>
      </x:c>
    </x:row>
    <x:row r="4705">
      <x:c r="A4705" s="89" t="n">
        <x:v>4703</x:v>
      </x:c>
      <x:c r="B4705" s="80" t="n">
        <x:v>0.6162962478046223</x:v>
      </x:c>
      <x:c r="C4705" s="84" t="n">
        <x:f>SQRT('Resumen'!$B$5^3/3)*B4705</x:f>
        <x:v>0.355818804570555</x:v>
      </x:c>
      <x:c r="D4705" s="84" t="n">
        <x:f>C4705^2-'Resumen'!$B$5^3/3</x:f>
        <x:v>-0.2067263116473145</x:v>
      </x:c>
      <x:c r="E4705" s="85" t="n">
        <x:f>D4705+'Resumen'!$B$5^3/3</x:f>
        <x:v>0.1266070216860188</x:v>
      </x:c>
    </x:row>
    <x:row r="4706">
      <x:c r="A4706" s="89" t="n">
        <x:v>4704</x:v>
      </x:c>
      <x:c r="B4706" s="80" t="n">
        <x:v>-0.6611185127910076</x:v>
      </x:c>
      <x:c r="C4706" s="84" t="n">
        <x:f>SQRT('Resumen'!$B$5^3/3)*B4706</x:f>
        <x:v>-0.3816969513261333</x:v>
      </x:c>
      <x:c r="D4706" s="84" t="n">
        <x:f>C4706^2-'Resumen'!$B$5^3/3</x:f>
        <x:v>-0.18764077068166873</x:v>
      </x:c>
      <x:c r="E4706" s="85" t="n">
        <x:f>D4706+'Resumen'!$B$5^3/3</x:f>
        <x:v>0.14569256265166458</x:v>
      </x:c>
    </x:row>
    <x:row r="4707">
      <x:c r="A4707" s="89" t="n">
        <x:v>4705</x:v>
      </x:c>
      <x:c r="B4707" s="80" t="n">
        <x:v>0.1789721156372452</x:v>
      </x:c>
      <x:c r="C4707" s="84" t="n">
        <x:f>SQRT('Resumen'!$B$5^3/3)*B4707</x:f>
        <x:v>0.10332959914060033</x:v>
      </x:c>
      <x:c r="D4707" s="84" t="n">
        <x:f>C4707^2-'Resumen'!$B$5^3/3</x:f>
        <x:v>-0.32265632727477617</x:v>
      </x:c>
      <x:c r="E4707" s="85" t="n">
        <x:f>D4707+'Resumen'!$B$5^3/3</x:f>
        <x:v>0.010677006058557148</x:v>
      </x:c>
    </x:row>
    <x:row r="4708">
      <x:c r="A4708" s="89" t="n">
        <x:v>4706</x:v>
      </x:c>
      <x:c r="B4708" s="80" t="n">
        <x:v>-0.5985747184417725</x:v>
      </x:c>
      <x:c r="C4708" s="84" t="n">
        <x:f>SQRT('Resumen'!$B$5^3/3)*B4708</x:f>
        <x:v>-0.34558727482246177</x:v>
      </x:c>
      <x:c r="D4708" s="84" t="n">
        <x:f>C4708^2-'Resumen'!$B$5^3/3</x:f>
        <x:v>-0.2139027688141176</x:v>
      </x:c>
      <x:c r="E4708" s="85" t="n">
        <x:f>D4708+'Resumen'!$B$5^3/3</x:f>
        <x:v>0.11943056451921572</x:v>
      </x:c>
    </x:row>
    <x:row r="4709">
      <x:c r="A4709" s="89" t="n">
        <x:v>4707</x:v>
      </x:c>
      <x:c r="B4709" s="80" t="n">
        <x:v>0.59952625633118</x:v>
      </x:c>
      <x:c r="C4709" s="84" t="n">
        <x:f>SQRT('Resumen'!$B$5^3/3)*B4709</x:f>
        <x:v>0.3461366454790553</x:v>
      </x:c>
      <x:c r="D4709" s="84" t="n">
        <x:f>C4709^2-'Resumen'!$B$5^3/3</x:f>
        <x:v>-0.2135227559898401</x:v>
      </x:c>
      <x:c r="E4709" s="85" t="n">
        <x:f>D4709+'Resumen'!$B$5^3/3</x:f>
        <x:v>0.11981057734349321</x:v>
      </x:c>
    </x:row>
    <x:row r="4710">
      <x:c r="A4710" s="89" t="n">
        <x:v>4708</x:v>
      </x:c>
      <x:c r="B4710" s="80" t="n">
        <x:v>1.4440354446495796</x:v>
      </x:c>
      <x:c r="C4710" s="84" t="n">
        <x:f>SQRT('Resumen'!$B$5^3/3)*B4710</x:f>
        <x:v>0.8337142526877956</x:v>
      </x:c>
      <x:c r="D4710" s="84" t="n">
        <x:f>C4710^2-'Resumen'!$B$5^3/3</x:f>
        <x:v>0.3617461218014362</x:v>
      </x:c>
      <x:c r="E4710" s="85" t="n">
        <x:f>D4710+'Resumen'!$B$5^3/3</x:f>
        <x:v>0.6950794551347695</x:v>
      </x:c>
    </x:row>
    <x:row r="4711">
      <x:c r="A4711" s="89" t="n">
        <x:v>4709</x:v>
      </x:c>
      <x:c r="B4711" s="80" t="n">
        <x:v>0.3593391803916984</x:v>
      </x:c>
      <x:c r="C4711" s="84" t="n">
        <x:f>SQRT('Resumen'!$B$5^3/3)*B4711</x:f>
        <x:v>0.20746457252952655</x:v>
      </x:c>
      <x:c r="D4711" s="84" t="n">
        <x:f>C4711^2-'Resumen'!$B$5^3/3</x:f>
        <x:v>-0.29029178447847415</x:v>
      </x:c>
      <x:c r="E4711" s="85" t="n">
        <x:f>D4711+'Resumen'!$B$5^3/3</x:f>
        <x:v>0.04304154885485917</x:v>
      </x:c>
    </x:row>
    <x:row r="4712">
      <x:c r="A4712" s="89" t="n">
        <x:v>4710</x:v>
      </x:c>
      <x:c r="B4712" s="80" t="n">
        <x:v>0.520741712068587</x:v>
      </x:c>
      <x:c r="C4712" s="84" t="n">
        <x:f>SQRT('Resumen'!$B$5^3/3)*B4712</x:f>
        <x:v>0.3006503676410653</x:v>
      </x:c>
      <x:c r="D4712" s="84" t="n">
        <x:f>C4712^2-'Resumen'!$B$5^3/3</x:f>
        <x:v>-0.2429426897706256</x:v>
      </x:c>
      <x:c r="E4712" s="85" t="n">
        <x:f>D4712+'Resumen'!$B$5^3/3</x:f>
        <x:v>0.0903906435627077</x:v>
      </x:c>
    </x:row>
    <x:row r="4713">
      <x:c r="A4713" s="89" t="n">
        <x:v>4711</x:v>
      </x:c>
      <x:c r="B4713" s="80" t="n">
        <x:v>-2.1304767139427714</x:v>
      </x:c>
      <x:c r="C4713" s="84" t="n">
        <x:f>SQRT('Resumen'!$B$5^3/3)*B4713</x:f>
        <x:v>-1.2300313042970883</x:v>
      </x:c>
      <x:c r="D4713" s="84" t="n">
        <x:f>C4713^2-'Resumen'!$B$5^3/3</x:f>
        <x:v>1.179643676217463</x:v>
      </x:c>
      <x:c r="E4713" s="85" t="n">
        <x:f>D4713+'Resumen'!$B$5^3/3</x:f>
        <x:v>1.5129770095507962</x:v>
      </x:c>
    </x:row>
    <x:row r="4714">
      <x:c r="A4714" s="89" t="n">
        <x:v>4712</x:v>
      </x:c>
      <x:c r="B4714" s="80" t="n">
        <x:v>0.1793597535416327</x:v>
      </x:c>
      <x:c r="C4714" s="84" t="n">
        <x:f>SQRT('Resumen'!$B$5^3/3)*B4714</x:f>
        <x:v>0.10355340198904656</x:v>
      </x:c>
      <x:c r="D4714" s="84" t="n">
        <x:f>C4714^2-'Resumen'!$B$5^3/3</x:f>
        <x:v>-0.32261002626982827</x:v>
      </x:c>
      <x:c r="E4714" s="85" t="n">
        <x:f>D4714+'Resumen'!$B$5^3/3</x:f>
        <x:v>0.01072330706350505</x:v>
      </x:c>
    </x:row>
    <x:row r="4715">
      <x:c r="A4715" s="89" t="n">
        <x:v>4713</x:v>
      </x:c>
      <x:c r="B4715" s="80" t="n">
        <x:v>1.3985478435042027</x:v>
      </x:c>
      <x:c r="C4715" s="84" t="n">
        <x:f>SQRT('Resumen'!$B$5^3/3)*B4715</x:f>
        <x:v>0.807451973921722</x:v>
      </x:c>
      <x:c r="D4715" s="84" t="n">
        <x:f>C4715^2-'Resumen'!$B$5^3/3</x:f>
        <x:v>0.3186453568567518</x:v>
      </x:c>
      <x:c r="E4715" s="85" t="n">
        <x:f>D4715+'Resumen'!$B$5^3/3</x:f>
        <x:v>0.6519786901900851</x:v>
      </x:c>
    </x:row>
    <x:row r="4716">
      <x:c r="A4716" s="89" t="n">
        <x:v>4714</x:v>
      </x:c>
      <x:c r="B4716" s="80" t="n">
        <x:v>1.4440704322040105</x:v>
      </x:c>
      <x:c r="C4716" s="84" t="n">
        <x:f>SQRT('Resumen'!$B$5^3/3)*B4716</x:f>
        <x:v>0.8337344527617646</x:v>
      </x:c>
      <x:c r="D4716" s="84" t="n">
        <x:f>C4716^2-'Resumen'!$B$5^3/3</x:f>
        <x:v>0.36177980438862584</x:v>
      </x:c>
      <x:c r="E4716" s="85" t="n">
        <x:f>D4716+'Resumen'!$B$5^3/3</x:f>
        <x:v>0.6951131377219592</x:v>
      </x:c>
    </x:row>
    <x:row r="4717">
      <x:c r="A4717" s="89" t="n">
        <x:v>4715</x:v>
      </x:c>
      <x:c r="B4717" s="80" t="n">
        <x:v>0.21218766044491782</x:v>
      </x:c>
      <x:c r="C4717" s="84" t="n">
        <x:f>SQRT('Resumen'!$B$5^3/3)*B4717</x:f>
        <x:v>0.12250660287659021</x:v>
      </x:c>
      <x:c r="D4717" s="84" t="n">
        <x:f>C4717^2-'Resumen'!$B$5^3/3</x:f>
        <x:v>-0.3183254655849707</x:v>
      </x:c>
      <x:c r="E4717" s="85" t="n">
        <x:f>D4717+'Resumen'!$B$5^3/3</x:f>
        <x:v>0.015007867748362602</x:v>
      </x:c>
    </x:row>
    <x:row r="4718">
      <x:c r="A4718" s="89" t="n">
        <x:v>4716</x:v>
      </x:c>
      <x:c r="B4718" s="80" t="n">
        <x:v>0.7963915649873736</x:v>
      </x:c>
      <x:c r="C4718" s="84" t="n">
        <x:f>SQRT('Resumen'!$B$5^3/3)*B4718</x:f>
        <x:v>0.45979688442580746</x:v>
      </x:c>
      <x:c r="D4718" s="84" t="n">
        <x:f>C4718^2-'Resumen'!$B$5^3/3</x:f>
        <x:v>-0.12192015840565398</x:v>
      </x:c>
      <x:c r="E4718" s="85" t="n">
        <x:f>D4718+'Resumen'!$B$5^3/3</x:f>
        <x:v>0.21141317492767933</x:v>
      </x:c>
    </x:row>
    <x:row r="4719">
      <x:c r="A4719" s="89" t="n">
        <x:v>4717</x:v>
      </x:c>
      <x:c r="B4719" s="80" t="n">
        <x:v>-0.5868514159561129</x:v>
      </x:c>
      <x:c r="C4719" s="84" t="n">
        <x:f>SQRT('Resumen'!$B$5^3/3)*B4719</x:f>
        <x:v>-0.3388188229765748</x:v>
      </x:c>
      <x:c r="D4719" s="84" t="n">
        <x:f>C4719^2-'Resumen'!$B$5^3/3</x:f>
        <x:v>-0.2185351385301018</x:v>
      </x:c>
      <x:c r="E4719" s="85" t="n">
        <x:f>D4719+'Resumen'!$B$5^3/3</x:f>
        <x:v>0.1147981948032315</x:v>
      </x:c>
    </x:row>
    <x:row r="4720">
      <x:c r="A4720" s="89" t="n">
        <x:v>4718</x:v>
      </x:c>
      <x:c r="B4720" s="80" t="n">
        <x:v>1.1569664332629084</x:v>
      </x:c>
      <x:c r="C4720" s="84" t="n">
        <x:f>SQRT('Resumen'!$B$5^3/3)*B4720</x:f>
        <x:v>0.6679748816877014</x:v>
      </x:c>
      <x:c r="D4720" s="84" t="n">
        <x:f>C4720^2-'Resumen'!$B$5^3/3</x:f>
        <x:v>0.1128571092323653</x:v>
      </x:c>
      <x:c r="E4720" s="85" t="n">
        <x:f>D4720+'Resumen'!$B$5^3/3</x:f>
        <x:v>0.4461904425656986</x:v>
      </x:c>
    </x:row>
    <x:row r="4721">
      <x:c r="A4721" s="89" t="n">
        <x:v>4719</x:v>
      </x:c>
      <x:c r="B4721" s="80" t="n">
        <x:v>0.24500972068955248</x:v>
      </x:c>
      <x:c r="C4721" s="84" t="n">
        <x:f>SQRT('Resumen'!$B$5^3/3)*B4721</x:f>
        <x:v>0.14145642819418813</x:v>
      </x:c>
      <x:c r="D4721" s="84" t="n">
        <x:f>C4721^2-'Resumen'!$B$5^3/3</x:f>
        <x:v>-0.3133234122558758</x:v>
      </x:c>
      <x:c r="E4721" s="85" t="n">
        <x:f>D4721+'Resumen'!$B$5^3/3</x:f>
        <x:v>0.020009921077457526</x:v>
      </x:c>
    </x:row>
    <x:row r="4722">
      <x:c r="A4722" s="89" t="n">
        <x:v>4720</x:v>
      </x:c>
      <x:c r="B4722" s="80" t="n">
        <x:v>0.6063848542113337</x:v>
      </x:c>
      <x:c r="C4722" s="84" t="n">
        <x:f>SQRT('Resumen'!$B$5^3/3)*B4722</x:f>
        <x:v>0.3500964588114255</x:v>
      </x:c>
      <x:c r="D4722" s="84" t="n">
        <x:f>C4722^2-'Resumen'!$B$5^3/3</x:f>
        <x:v>-0.2107658028610332</x:v>
      </x:c>
      <x:c r="E4722" s="85" t="n">
        <x:f>D4722+'Resumen'!$B$5^3/3</x:f>
        <x:v>0.12256753047230012</x:v>
      </x:c>
    </x:row>
    <x:row r="4723">
      <x:c r="A4723" s="89" t="n">
        <x:v>4721</x:v>
      </x:c>
      <x:c r="B4723" s="80" t="n">
        <x:v>-2.3918972109535703</x:v>
      </x:c>
      <x:c r="C4723" s="84" t="n">
        <x:f>SQRT('Resumen'!$B$5^3/3)*B4723</x:f>
        <x:v>-1.380962498617959</x:v>
      </x:c>
      <x:c r="D4723" s="84" t="n">
        <x:f>C4723^2-'Resumen'!$B$5^3/3</x:f>
        <x:v>1.573724089255823</x:v>
      </x:c>
      <x:c r="E4723" s="85" t="n">
        <x:f>D4723+'Resumen'!$B$5^3/3</x:f>
        <x:v>1.9070574225891563</x:v>
      </x:c>
    </x:row>
    <x:row r="4724">
      <x:c r="A4724" s="89" t="n">
        <x:v>4722</x:v>
      </x:c>
      <x:c r="B4724" s="80" t="n">
        <x:v>0.46335158959420636</x:v>
      </x:c>
      <x:c r="C4724" s="84" t="n">
        <x:f>SQRT('Resumen'!$B$5^3/3)*B4724</x:f>
        <x:v>0.26751616498165603</x:v>
      </x:c>
      <x:c r="D4724" s="84" t="n">
        <x:f>C4724^2-'Resumen'!$B$5^3/3</x:f>
        <x:v>-0.2617684348068407</x:v>
      </x:c>
      <x:c r="E4724" s="85" t="n">
        <x:f>D4724+'Resumen'!$B$5^3/3</x:f>
        <x:v>0.07156489852649262</x:v>
      </x:c>
    </x:row>
    <x:row r="4725">
      <x:c r="A4725" s="89" t="n">
        <x:v>4723</x:v>
      </x:c>
      <x:c r="B4725" s="80" t="n">
        <x:v>1.9427965228444932</x:v>
      </x:c>
      <x:c r="C4725" s="84" t="n">
        <x:f>SQRT('Resumen'!$B$5^3/3)*B4725</x:f>
        <x:v>1.1216740954449371</x:v>
      </x:c>
      <x:c r="D4725" s="84" t="n">
        <x:f>C4725^2-'Resumen'!$B$5^3/3</x:f>
        <x:v>0.9248194430588847</x:v>
      </x:c>
      <x:c r="E4725" s="85" t="n">
        <x:f>D4725+'Resumen'!$B$5^3/3</x:f>
        <x:v>1.258152776392218</x:v>
      </x:c>
    </x:row>
    <x:row r="4726">
      <x:c r="A4726" s="89" t="n">
        <x:v>4724</x:v>
      </x:c>
      <x:c r="B4726" s="80" t="n">
        <x:v>-1.8643045941501348</x:v>
      </x:c>
      <x:c r="C4726" s="84" t="n">
        <x:f>SQRT('Resumen'!$B$5^3/3)*B4726</x:f>
        <x:v>-1.0763567592840364</x:v>
      </x:c>
      <x:c r="D4726" s="84" t="n">
        <x:f>C4726^2-'Resumen'!$B$5^3/3</x:f>
        <x:v>0.8252105399230998</x:v>
      </x:c>
      <x:c r="E4726" s="85" t="n">
        <x:f>D4726+'Resumen'!$B$5^3/3</x:f>
        <x:v>1.158543873256433</x:v>
      </x:c>
    </x:row>
    <x:row r="4727">
      <x:c r="A4727" s="89" t="n">
        <x:v>4725</x:v>
      </x:c>
      <x:c r="B4727" s="80" t="n">
        <x:v>-0.7187187587428208</x:v>
      </x:c>
      <x:c r="C4727" s="84" t="n">
        <x:f>SQRT('Resumen'!$B$5^3/3)*B4727</x:f>
        <x:v>-0.41495246883180126</x:v>
      </x:c>
      <x:c r="D4727" s="84" t="n">
        <x:f>C4727^2-'Resumen'!$B$5^3/3</x:f>
        <x:v>-0.1611477819437263</x:v>
      </x:c>
      <x:c r="E4727" s="85" t="n">
        <x:f>D4727+'Resumen'!$B$5^3/3</x:f>
        <x:v>0.172185551389607</x:v>
      </x:c>
    </x:row>
    <x:row r="4728">
      <x:c r="A4728" s="89" t="n">
        <x:v>4726</x:v>
      </x:c>
      <x:c r="B4728" s="80" t="n">
        <x:v>-0.8120833243742166</x:v>
      </x:c>
      <x:c r="C4728" s="84" t="n">
        <x:f>SQRT('Resumen'!$B$5^3/3)*B4728</x:f>
        <x:v>-0.4688565259318601</x:v>
      </x:c>
      <x:c r="D4728" s="84" t="n">
        <x:f>C4728^2-'Resumen'!$B$5^3/3</x:f>
        <x:v>-0.11350689142444029</x:v>
      </x:c>
      <x:c r="E4728" s="85" t="n">
        <x:f>D4728+'Resumen'!$B$5^3/3</x:f>
        <x:v>0.21982644190889303</x:v>
      </x:c>
    </x:row>
    <x:row r="4729">
      <x:c r="A4729" s="89" t="n">
        <x:v>4727</x:v>
      </x:c>
      <x:c r="B4729" s="80" t="n">
        <x:v>1.3497219600851778</x:v>
      </x:c>
      <x:c r="C4729" s="84" t="n">
        <x:f>SQRT('Resumen'!$B$5^3/3)*B4729</x:f>
        <x:v>0.7792623369863266</x:v>
      </x:c>
      <x:c r="D4729" s="84" t="n">
        <x:f>C4729^2-'Resumen'!$B$5^3/3</x:f>
        <x:v>0.2739164565120579</x:v>
      </x:c>
      <x:c r="E4729" s="85" t="n">
        <x:f>D4729+'Resumen'!$B$5^3/3</x:f>
        <x:v>0.6072497898453912</x:v>
      </x:c>
    </x:row>
    <x:row r="4730">
      <x:c r="A4730" s="89" t="n">
        <x:v>4728</x:v>
      </x:c>
      <x:c r="B4730" s="80" t="n">
        <x:v>0.0436397912339431</x:v>
      </x:c>
      <x:c r="C4730" s="84" t="n">
        <x:f>SQRT('Resumen'!$B$5^3/3)*B4730</x:f>
        <x:v>0.025195445216296117</x:v>
      </x:c>
      <x:c r="D4730" s="84" t="n">
        <x:f>C4730^2-'Resumen'!$B$5^3/3</x:f>
        <x:v>-0.33269852287368595</x:v>
      </x:c>
      <x:c r="E4730" s="85" t="n">
        <x:f>D4730+'Resumen'!$B$5^3/3</x:f>
        <x:v>0.0006348104596473614</x:v>
      </x:c>
    </x:row>
    <x:row r="4731">
      <x:c r="A4731" s="89" t="n">
        <x:v>4729</x:v>
      </x:c>
      <x:c r="B4731" s="80" t="n">
        <x:v>1.2542157366986582</x:v>
      </x:c>
      <x:c r="C4731" s="84" t="n">
        <x:f>SQRT('Resumen'!$B$5^3/3)*B4731</x:f>
        <x:v>0.724121793204835</x:v>
      </x:c>
      <x:c r="D4731" s="84" t="n">
        <x:f>C4731^2-'Resumen'!$B$5^3/3</x:f>
        <x:v>0.19101903806085258</x:v>
      </x:c>
      <x:c r="E4731" s="85" t="n">
        <x:f>D4731+'Resumen'!$B$5^3/3</x:f>
        <x:v>0.5243523713941859</x:v>
      </x:c>
    </x:row>
    <x:row r="4732">
      <x:c r="A4732" s="89" t="n">
        <x:v>4730</x:v>
      </x:c>
      <x:c r="B4732" s="80" t="n">
        <x:v>-0.1954410395592551</x:v>
      </x:c>
      <x:c r="C4732" s="84" t="n">
        <x:f>SQRT('Resumen'!$B$5^3/3)*B4732</x:f>
        <x:v>-0.11283793680023622</x:v>
      </x:c>
      <x:c r="D4732" s="84" t="n">
        <x:f>C4732^2-'Resumen'!$B$5^3/3</x:f>
        <x:v>-0.3206009333519992</x:v>
      </x:c>
      <x:c r="E4732" s="85" t="n">
        <x:f>D4732+'Resumen'!$B$5^3/3</x:f>
        <x:v>0.01273239998133413</x:v>
      </x:c>
    </x:row>
    <x:row r="4733">
      <x:c r="A4733" s="89" t="n">
        <x:v>4731</x:v>
      </x:c>
      <x:c r="B4733" s="80" t="n">
        <x:v>-0.8591330168263761</x:v>
      </x:c>
      <x:c r="C4733" s="84" t="n">
        <x:f>SQRT('Resumen'!$B$5^3/3)*B4733</x:f>
        <x:v>-0.4960206785344035</x:v>
      </x:c>
      <x:c r="D4733" s="84" t="n">
        <x:f>C4733^2-'Resumen'!$B$5^3/3</x:f>
        <x:v>-0.08729681979960324</x:v>
      </x:c>
      <x:c r="E4733" s="85" t="n">
        <x:f>D4733+'Resumen'!$B$5^3/3</x:f>
        <x:v>0.24603651353373007</x:v>
      </x:c>
    </x:row>
    <x:row r="4734">
      <x:c r="A4734" s="89" t="n">
        <x:v>4732</x:v>
      </x:c>
      <x:c r="B4734" s="80" t="n">
        <x:v>-0.7486259159546551</x:v>
      </x:c>
      <x:c r="C4734" s="84" t="n">
        <x:f>SQRT('Resumen'!$B$5^3/3)*B4734</x:f>
        <x:v>-0.4322193740987503</x:v>
      </x:c>
      <x:c r="D4734" s="84" t="n">
        <x:f>C4734^2-'Resumen'!$B$5^3/3</x:f>
        <x:v>-0.14651974598701786</x:v>
      </x:c>
      <x:c r="E4734" s="85" t="n">
        <x:f>D4734+'Resumen'!$B$5^3/3</x:f>
        <x:v>0.18681358734631545</x:v>
      </x:c>
    </x:row>
    <x:row r="4735">
      <x:c r="A4735" s="89" t="n">
        <x:v>4733</x:v>
      </x:c>
      <x:c r="B4735" s="80" t="n">
        <x:v>0.19941131924176633</x:v>
      </x:c>
      <x:c r="C4735" s="84" t="n">
        <x:f>SQRT('Resumen'!$B$5^3/3)*B4735</x:f>
        <x:v>0.11513017884369219</x:v>
      </x:c>
      <x:c r="D4735" s="84" t="n">
        <x:f>C4735^2-'Resumen'!$B$5^3/3</x:f>
        <x:v>-0.3200783752527528</x:v>
      </x:c>
      <x:c r="E4735" s="85" t="n">
        <x:f>D4735+'Resumen'!$B$5^3/3</x:f>
        <x:v>0.013254958080580526</x:v>
      </x:c>
    </x:row>
    <x:row r="4736">
      <x:c r="A4736" s="89" t="n">
        <x:v>4734</x:v>
      </x:c>
      <x:c r="B4736" s="80" t="n">
        <x:v>-0.19586254881250978</x:v>
      </x:c>
      <x:c r="C4736" s="84" t="n">
        <x:f>SQRT('Resumen'!$B$5^3/3)*B4736</x:f>
        <x:v>-0.11308129528106874</x:v>
      </x:c>
      <x:c r="D4736" s="84" t="n">
        <x:f>C4736^2-'Resumen'!$B$5^3/3</x:f>
        <x:v>-0.32054595399088903</x:v>
      </x:c>
      <x:c r="E4736" s="85" t="n">
        <x:f>D4736+'Resumen'!$B$5^3/3</x:f>
        <x:v>0.012787379342444283</x:v>
      </x:c>
    </x:row>
    <x:row r="4737">
      <x:c r="A4737" s="89" t="n">
        <x:v>4735</x:v>
      </x:c>
      <x:c r="B4737" s="80" t="n">
        <x:v>0.18668784382987444</x:v>
      </x:c>
      <x:c r="C4737" s="84" t="n">
        <x:f>SQRT('Resumen'!$B$5^3/3)*B4737</x:f>
        <x:v>0.10778427688960882</x:v>
      </x:c>
      <x:c r="D4737" s="84" t="n">
        <x:f>C4737^2-'Resumen'!$B$5^3/3</x:f>
        <x:v>-0.32171588298871745</x:v>
      </x:c>
      <x:c r="E4737" s="85" t="n">
        <x:f>D4737+'Resumen'!$B$5^3/3</x:f>
        <x:v>0.011617450344615865</x:v>
      </x:c>
    </x:row>
    <x:row r="4738">
      <x:c r="A4738" s="89" t="n">
        <x:v>4736</x:v>
      </x:c>
      <x:c r="B4738" s="80" t="n">
        <x:v>0.8693403608125955</x:v>
      </x:c>
      <x:c r="C4738" s="84" t="n">
        <x:f>SQRT('Resumen'!$B$5^3/3)*B4738</x:f>
        <x:v>0.5019138913325584</x:v>
      </x:c>
      <x:c r="D4738" s="84" t="n">
        <x:f>C4738^2-'Resumen'!$B$5^3/3</x:f>
        <x:v>-0.0814157790207421</x:v>
      </x:c>
      <x:c r="E4738" s="85" t="n">
        <x:f>D4738+'Resumen'!$B$5^3/3</x:f>
        <x:v>0.2519175543125912</x:v>
      </x:c>
    </x:row>
    <x:row r="4739">
      <x:c r="A4739" s="89" t="n">
        <x:v>4737</x:v>
      </x:c>
      <x:c r="B4739" s="80" t="n">
        <x:v>0.49384155440313954</x:v>
      </x:c>
      <x:c r="C4739" s="84" t="n">
        <x:f>SQRT('Resumen'!$B$5^3/3)*B4739</x:f>
        <x:v>0.2851195543716758</x:v>
      </x:c>
      <x:c r="D4739" s="84" t="n">
        <x:f>C4739^2-'Resumen'!$B$5^3/3</x:f>
        <x:v>-0.25204017304823034</x:v>
      </x:c>
      <x:c r="E4739" s="85" t="n">
        <x:f>D4739+'Resumen'!$B$5^3/3</x:f>
        <x:v>0.08129316028510297</x:v>
      </x:c>
    </x:row>
    <x:row r="4740">
      <x:c r="A4740" s="89" t="n">
        <x:v>4738</x:v>
      </x:c>
      <x:c r="B4740" s="80" t="n">
        <x:v>-1.906904547504037</x:v>
      </x:c>
      <x:c r="C4740" s="84" t="n">
        <x:f>SQRT('Resumen'!$B$5^3/3)*B4740</x:f>
        <x:v>-1.100951853820377</x:v>
      </x:c>
      <x:c r="D4740" s="84" t="n">
        <x:f>C4740^2-'Resumen'!$B$5^3/3</x:f>
        <x:v>0.8787616510971916</x:v>
      </x:c>
      <x:c r="E4740" s="85" t="n">
        <x:f>D4740+'Resumen'!$B$5^3/3</x:f>
        <x:v>1.2120949844305249</x:v>
      </x:c>
    </x:row>
    <x:row r="4741">
      <x:c r="A4741" s="89" t="n">
        <x:v>4739</x:v>
      </x:c>
      <x:c r="B4741" s="80" t="n">
        <x:v>-0.15258872255831107</x:v>
      </x:c>
      <x:c r="C4741" s="84" t="n">
        <x:f>SQRT('Resumen'!$B$5^3/3)*B4741</x:f>
        <x:v>-0.08809714004434202</x:v>
      </x:c>
      <x:c r="D4741" s="84" t="n">
        <x:f>C4741^2-'Resumen'!$B$5^3/3</x:f>
        <x:v>-0.32557222724934093</x:v>
      </x:c>
      <x:c r="E4741" s="85" t="n">
        <x:f>D4741+'Resumen'!$B$5^3/3</x:f>
        <x:v>0.007761106083992386</x:v>
      </x:c>
    </x:row>
    <x:row r="4742">
      <x:c r="A4742" s="89" t="n">
        <x:v>4740</x:v>
      </x:c>
      <x:c r="B4742" s="80" t="n">
        <x:v>-0.9078063685842807</x:v>
      </x:c>
      <x:c r="C4742" s="84" t="n">
        <x:f>SQRT('Resumen'!$B$5^3/3)*B4742</x:f>
        <x:v>-0.524122251274191</x:v>
      </x:c>
      <x:c r="D4742" s="84" t="n">
        <x:f>C4742^2-'Resumen'!$B$5^3/3</x:f>
        <x:v>-0.058629199052607106</x:v>
      </x:c>
      <x:c r="E4742" s="85" t="n">
        <x:f>D4742+'Resumen'!$B$5^3/3</x:f>
        <x:v>0.2747041342807262</x:v>
      </x:c>
    </x:row>
    <x:row r="4743">
      <x:c r="A4743" s="89" t="n">
        <x:v>4741</x:v>
      </x:c>
      <x:c r="B4743" s="80" t="n">
        <x:v>0.07747238860371125</x:v>
      </x:c>
      <x:c r="C4743" s="84" t="n">
        <x:f>SQRT('Resumen'!$B$5^3/3)*B4743</x:f>
        <x:v>0.044728704415115984</x:v>
      </x:c>
      <x:c r="D4743" s="84" t="n">
        <x:f>C4743^2-'Resumen'!$B$5^3/3</x:f>
        <x:v>-0.3313326763346785</x:v>
      </x:c>
      <x:c r="E4743" s="85" t="n">
        <x:f>D4743+'Resumen'!$B$5^3/3</x:f>
        <x:v>0.002000656998654815</x:v>
      </x:c>
    </x:row>
    <x:row r="4744">
      <x:c r="A4744" s="89" t="n">
        <x:v>4742</x:v>
      </x:c>
      <x:c r="B4744" s="80" t="n">
        <x:v>1.1589606477138616</x:v>
      </x:c>
      <x:c r="C4744" s="84" t="n">
        <x:f>SQRT('Resumen'!$B$5^3/3)*B4744</x:f>
        <x:v>0.669126241937781</x:v>
      </x:c>
      <x:c r="D4744" s="84" t="n">
        <x:f>C4744^2-'Resumen'!$B$5^3/3</x:f>
        <x:v>0.11439659431644456</x:v>
      </x:c>
      <x:c r="E4744" s="85" t="n">
        <x:f>D4744+'Resumen'!$B$5^3/3</x:f>
        <x:v>0.44772992764977787</x:v>
      </x:c>
    </x:row>
    <x:row r="4745">
      <x:c r="A4745" s="89" t="n">
        <x:v>4743</x:v>
      </x:c>
      <x:c r="B4745" s="80" t="n">
        <x:v>0.37698766276094625</x:v>
      </x:c>
      <x:c r="C4745" s="84" t="n">
        <x:f>SQRT('Resumen'!$B$5^3/3)*B4745</x:f>
        <x:v>0.21765392857620017</x:v>
      </x:c>
      <x:c r="D4745" s="84" t="n">
        <x:f>C4745^2-'Resumen'!$B$5^3/3</x:f>
        <x:v>-0.28596010070867967</x:v>
      </x:c>
      <x:c r="E4745" s="85" t="n">
        <x:f>D4745+'Resumen'!$B$5^3/3</x:f>
        <x:v>0.04737323262465365</x:v>
      </x:c>
    </x:row>
    <x:row r="4746">
      <x:c r="A4746" s="89" t="n">
        <x:v>4744</x:v>
      </x:c>
      <x:c r="B4746" s="80" t="n">
        <x:v>1.7911031006468756</x:v>
      </x:c>
      <x:c r="C4746" s="84" t="n">
        <x:f>SQRT('Resumen'!$B$5^3/3)*B4746</x:f>
        <x:v>1.034093857304847</x:v>
      </x:c>
      <x:c r="D4746" s="84" t="n">
        <x:f>C4746^2-'Resumen'!$B$5^3/3</x:f>
        <x:v>0.7360167723822841</x:v>
      </x:c>
      <x:c r="E4746" s="85" t="n">
        <x:f>D4746+'Resumen'!$B$5^3/3</x:f>
        <x:v>1.0693501057156174</x:v>
      </x:c>
    </x:row>
    <x:row r="4747">
      <x:c r="A4747" s="89" t="n">
        <x:v>4745</x:v>
      </x:c>
      <x:c r="B4747" s="80" t="n">
        <x:v>0.34664020677911267</x:v>
      </x:c>
      <x:c r="C4747" s="84" t="n">
        <x:f>SQRT('Resumen'!$B$5^3/3)*B4747</x:f>
        <x:v>0.20013281669586822</x:v>
      </x:c>
      <x:c r="D4747" s="84" t="n">
        <x:f>C4747^2-'Resumen'!$B$5^3/3</x:f>
        <x:v>-0.2932801890147113</x:v>
      </x:c>
      <x:c r="E4747" s="85" t="n">
        <x:f>D4747+'Resumen'!$B$5^3/3</x:f>
        <x:v>0.040053144318622</x:v>
      </x:c>
    </x:row>
    <x:row r="4748">
      <x:c r="A4748" s="89" t="n">
        <x:v>4746</x:v>
      </x:c>
      <x:c r="B4748" s="80" t="n">
        <x:v>1.2225239583743956</x:v>
      </x:c>
      <x:c r="C4748" s="84" t="n">
        <x:f>SQRT('Resumen'!$B$5^3/3)*B4748</x:f>
        <x:v>0.7058245364582242</x:v>
      </x:c>
      <x:c r="D4748" s="84" t="n">
        <x:f>C4748^2-'Resumen'!$B$5^3/3</x:f>
        <x:v>0.16485494293313374</x:v>
      </x:c>
      <x:c r="E4748" s="85" t="n">
        <x:f>D4748+'Resumen'!$B$5^3/3</x:f>
        <x:v>0.49818827626646706</x:v>
      </x:c>
    </x:row>
    <x:row r="4749">
      <x:c r="A4749" s="89" t="n">
        <x:v>4747</x:v>
      </x:c>
      <x:c r="B4749" s="80" t="n">
        <x:v>1.379446585023057</x:v>
      </x:c>
      <x:c r="C4749" s="84" t="n">
        <x:f>SQRT('Resumen'!$B$5^3/3)*B4749</x:f>
        <x:v>0.7964238571957719</x:v>
      </x:c>
      <x:c r="D4749" s="84" t="n">
        <x:f>C4749^2-'Resumen'!$B$5^3/3</x:f>
        <x:v>0.300957626977258</x:v>
      </x:c>
      <x:c r="E4749" s="85" t="n">
        <x:f>D4749+'Resumen'!$B$5^3/3</x:f>
        <x:v>0.6342909603105913</x:v>
      </x:c>
    </x:row>
    <x:row r="4750">
      <x:c r="A4750" s="89" t="n">
        <x:v>4748</x:v>
      </x:c>
      <x:c r="B4750" s="80" t="n">
        <x:v>-0.21788817163724927</x:v>
      </x:c>
      <x:c r="C4750" s="84" t="n">
        <x:f>SQRT('Resumen'!$B$5^3/3)*B4750</x:f>
        <x:v>-0.12579779454800125</x:v>
      </x:c>
      <x:c r="D4750" s="84" t="n">
        <x:f>C4750^2-'Resumen'!$B$5^3/3</x:f>
        <x:v>-0.3175082482201922</x:v>
      </x:c>
      <x:c r="E4750" s="85" t="n">
        <x:f>D4750+'Resumen'!$B$5^3/3</x:f>
        <x:v>0.015825085113141124</x:v>
      </x:c>
    </x:row>
    <x:row r="4751">
      <x:c r="A4751" s="89" t="n">
        <x:v>4749</x:v>
      </x:c>
      <x:c r="B4751" s="80" t="n">
        <x:v>-1.1730258426085964</x:v>
      </x:c>
      <x:c r="C4751" s="84" t="n">
        <x:f>SQRT('Resumen'!$B$5^3/3)*B4751</x:f>
        <x:v>-0.6772467859964607</x:v>
      </x:c>
      <x:c r="D4751" s="84" t="n">
        <x:f>C4751^2-'Resumen'!$B$5^3/3</x:f>
        <x:v>0.12532987580920252</x:v>
      </x:c>
      <x:c r="E4751" s="85" t="n">
        <x:f>D4751+'Resumen'!$B$5^3/3</x:f>
        <x:v>0.45866320914253583</x:v>
      </x:c>
    </x:row>
    <x:row r="4752">
      <x:c r="A4752" s="89" t="n">
        <x:v>4750</x:v>
      </x:c>
      <x:c r="B4752" s="80" t="n">
        <x:v>-0.18524305193359134</x:v>
      </x:c>
      <x:c r="C4752" s="84" t="n">
        <x:f>SQRT('Resumen'!$B$5^3/3)*B4752</x:f>
        <x:v>-0.10695012589936678</x:v>
      </x:c>
      <x:c r="D4752" s="84" t="n">
        <x:f>C4752^2-'Resumen'!$B$5^3/3</x:f>
        <x:v>-0.3218950039034429</x:v>
      </x:c>
      <x:c r="E4752" s="85" t="n">
        <x:f>D4752+'Resumen'!$B$5^3/3</x:f>
        <x:v>0.011438329429890426</x:v>
      </x:c>
    </x:row>
    <x:row r="4753">
      <x:c r="A4753" s="89" t="n">
        <x:v>4751</x:v>
      </x:c>
      <x:c r="B4753" s="80" t="n">
        <x:v>-2.595004627090256</x:v>
      </x:c>
      <x:c r="C4753" s="84" t="n">
        <x:f>SQRT('Resumen'!$B$5^3/3)*B4753</x:f>
        <x:v>-1.4982266199988836</x:v>
      </x:c>
      <x:c r="D4753" s="84" t="n">
        <x:f>C4753^2-'Resumen'!$B$5^3/3</x:f>
        <x:v>1.911349671539946</x:v>
      </x:c>
      <x:c r="E4753" s="85" t="n">
        <x:f>D4753+'Resumen'!$B$5^3/3</x:f>
        <x:v>2.2446830048732793</x:v>
      </x:c>
    </x:row>
    <x:row r="4754">
      <x:c r="A4754" s="89" t="n">
        <x:v>4752</x:v>
      </x:c>
      <x:c r="B4754" s="80" t="n">
        <x:v>0.41948778924857805</x:v>
      </x:c>
      <x:c r="C4754" s="84" t="n">
        <x:f>SQRT('Resumen'!$B$5^3/3)*B4754</x:f>
        <x:v>0.24219138804442752</x:v>
      </x:c>
      <x:c r="D4754" s="84" t="n">
        <x:f>C4754^2-'Resumen'!$B$5^3/3</x:f>
        <x:v>-0.27467666489044684</x:v>
      </x:c>
      <x:c r="E4754" s="85" t="n">
        <x:f>D4754+'Resumen'!$B$5^3/3</x:f>
        <x:v>0.05865666844288647</x:v>
      </x:c>
    </x:row>
    <x:row r="4755">
      <x:c r="A4755" s="89" t="n">
        <x:v>4753</x:v>
      </x:c>
      <x:c r="B4755" s="80" t="n">
        <x:v>1.5799777595897393</x:v>
      </x:c>
      <x:c r="C4755" s="84" t="n">
        <x:f>SQRT('Resumen'!$B$5^3/3)*B4755</x:f>
        <x:v>0.9122005848127578</x:v>
      </x:c>
      <x:c r="D4755" s="84" t="n">
        <x:f>C4755^2-'Resumen'!$B$5^3/3</x:f>
        <x:v>0.498776573599404</x:v>
      </x:c>
      <x:c r="E4755" s="85" t="n">
        <x:f>D4755+'Resumen'!$B$5^3/3</x:f>
        <x:v>0.8321099069327373</x:v>
      </x:c>
    </x:row>
    <x:row r="4756">
      <x:c r="A4756" s="89" t="n">
        <x:v>4754</x:v>
      </x:c>
      <x:c r="B4756" s="80" t="n">
        <x:v>0.6622906978276047</x:v>
      </x:c>
      <x:c r="C4756" s="84" t="n">
        <x:f>SQRT('Resumen'!$B$5^3/3)*B4756</x:f>
        <x:v>0.38237371267255266</x:v>
      </x:c>
      <x:c r="D4756" s="84" t="n">
        <x:f>C4756^2-'Resumen'!$B$5^3/3</x:f>
        <x:v>-0.18712367719034145</x:v>
      </x:c>
      <x:c r="E4756" s="85" t="n">
        <x:f>D4756+'Resumen'!$B$5^3/3</x:f>
        <x:v>0.14620965614299186</x:v>
      </x:c>
    </x:row>
    <x:row r="4757">
      <x:c r="A4757" s="89" t="n">
        <x:v>4755</x:v>
      </x:c>
      <x:c r="B4757" s="80" t="n">
        <x:v>-0.5800874817983491</x:v>
      </x:c>
      <x:c r="C4757" s="84" t="n">
        <x:f>SQRT('Resumen'!$B$5^3/3)*B4757</x:f>
        <x:v>-0.33491366376980897</x:v>
      </x:c>
      <x:c r="D4757" s="84" t="n">
        <x:f>C4757^2-'Resumen'!$B$5^3/3</x:f>
        <x:v>-0.22116617115361667</x:v>
      </x:c>
      <x:c r="E4757" s="85" t="n">
        <x:f>D4757+'Resumen'!$B$5^3/3</x:f>
        <x:v>0.11216716217971665</x:v>
      </x:c>
    </x:row>
    <x:row r="4758">
      <x:c r="A4758" s="89" t="n">
        <x:v>4756</x:v>
      </x:c>
      <x:c r="B4758" s="80" t="n">
        <x:v>0.1607044085612022</x:v>
      </x:c>
      <x:c r="C4758" s="84" t="n">
        <x:f>SQRT('Resumen'!$B$5^3/3)*B4758</x:f>
        <x:v>0.09278273354276968</x:v>
      </x:c>
      <x:c r="D4758" s="84" t="n">
        <x:f>C4758^2-'Resumen'!$B$5^3/3</x:f>
        <x:v>-0.3247246976896647</x:v>
      </x:c>
      <x:c r="E4758" s="85" t="n">
        <x:f>D4758+'Resumen'!$B$5^3/3</x:f>
        <x:v>0.008608635643668594</x:v>
      </x:c>
    </x:row>
    <x:row r="4759">
      <x:c r="A4759" s="89" t="n">
        <x:v>4757</x:v>
      </x:c>
      <x:c r="B4759" s="80" t="n">
        <x:v>-2.093954691979165</x:v>
      </x:c>
      <x:c r="C4759" s="84" t="n">
        <x:f>SQRT('Resumen'!$B$5^3/3)*B4759</x:f>
        <x:v>-1.208945305085051</x:v>
      </x:c>
      <x:c r="D4759" s="84" t="n">
        <x:f>C4759^2-'Resumen'!$B$5^3/3</x:f>
        <x:v>1.1282154173538537</x:v>
      </x:c>
      <x:c r="E4759" s="85" t="n">
        <x:f>D4759+'Resumen'!$B$5^3/3</x:f>
        <x:v>1.461548750687187</x:v>
      </x:c>
    </x:row>
    <x:row r="4760">
      <x:c r="A4760" s="89" t="n">
        <x:v>4758</x:v>
      </x:c>
      <x:c r="B4760" s="80" t="n">
        <x:v>1.5235498481803407</x:v>
      </x:c>
      <x:c r="C4760" s="84" t="n">
        <x:f>SQRT('Resumen'!$B$5^3/3)*B4760</x:f>
        <x:v>0.879621914970733</x:v>
      </x:c>
      <x:c r="D4760" s="84" t="n">
        <x:f>C4760^2-'Resumen'!$B$5^3/3</x:f>
        <x:v>0.44040137996344625</x:v>
      </x:c>
      <x:c r="E4760" s="85" t="n">
        <x:f>D4760+'Resumen'!$B$5^3/3</x:f>
        <x:v>0.7737347132967796</x:v>
      </x:c>
    </x:row>
    <x:row r="4761">
      <x:c r="A4761" s="89" t="n">
        <x:v>4759</x:v>
      </x:c>
      <x:c r="B4761" s="80" t="n">
        <x:v>0.9948385311195787</x:v>
      </x:c>
      <x:c r="C4761" s="84" t="n">
        <x:f>SQRT('Resumen'!$B$5^3/3)*B4761</x:f>
        <x:v>0.5743702937421006</x:v>
      </x:c>
      <x:c r="D4761" s="84" t="n">
        <x:f>C4761^2-'Resumen'!$B$5^3/3</x:f>
        <x:v>-0.003432098999946398</x:v>
      </x:c>
      <x:c r="E4761" s="85" t="n">
        <x:f>D4761+'Resumen'!$B$5^3/3</x:f>
        <x:v>0.3299012343333869</x:v>
      </x:c>
    </x:row>
    <x:row r="4762">
      <x:c r="A4762" s="89" t="n">
        <x:v>4760</x:v>
      </x:c>
      <x:c r="B4762" s="80" t="n">
        <x:v>-0.7433303972243599</x:v>
      </x:c>
      <x:c r="C4762" s="84" t="n">
        <x:f>SQRT('Resumen'!$B$5^3/3)*B4762</x:f>
        <x:v>-0.4291620049343156</x:v>
      </x:c>
      <x:c r="D4762" s="84" t="n">
        <x:f>C4762^2-'Resumen'!$B$5^3/3</x:f>
        <x:v>-0.14915330685409178</x:v>
      </x:c>
      <x:c r="E4762" s="85" t="n">
        <x:f>D4762+'Resumen'!$B$5^3/3</x:f>
        <x:v>0.18418002647924153</x:v>
      </x:c>
    </x:row>
    <x:row r="4763">
      <x:c r="A4763" s="89" t="n">
        <x:v>4761</x:v>
      </x:c>
      <x:c r="B4763" s="80" t="n">
        <x:v>1.6046271781535602</x:v>
      </x:c>
      <x:c r="C4763" s="84" t="n">
        <x:f>SQRT('Resumen'!$B$5^3/3)*B4763</x:f>
        <x:v>0.9264319332559475</x:v>
      </x:c>
      <x:c r="D4763" s="84" t="n">
        <x:f>C4763^2-'Resumen'!$B$5^3/3</x:f>
        <x:v>0.5249427936230191</x:v>
      </x:c>
      <x:c r="E4763" s="85" t="n">
        <x:f>D4763+'Resumen'!$B$5^3/3</x:f>
        <x:v>0.8582761269563524</x:v>
      </x:c>
    </x:row>
    <x:row r="4764">
      <x:c r="A4764" s="89" t="n">
        <x:v>4762</x:v>
      </x:c>
      <x:c r="B4764" s="80" t="n">
        <x:v>-0.6706070456189365</x:v>
      </x:c>
      <x:c r="C4764" s="84" t="n">
        <x:f>SQRT('Resumen'!$B$5^3/3)*B4764</x:f>
        <x:v>-0.3871751583085526</x:v>
      </x:c>
      <x:c r="D4764" s="84" t="n">
        <x:f>C4764^2-'Resumen'!$B$5^3/3</x:f>
        <x:v>-0.18342873012208055</x:v>
      </x:c>
      <x:c r="E4764" s="85" t="n">
        <x:f>D4764+'Resumen'!$B$5^3/3</x:f>
        <x:v>0.14990460321125276</x:v>
      </x:c>
    </x:row>
    <x:row r="4765">
      <x:c r="A4765" s="89" t="n">
        <x:v>4763</x:v>
      </x:c>
      <x:c r="B4765" s="80" t="n">
        <x:v>1.240284377449404</x:v>
      </x:c>
      <x:c r="C4765" s="84" t="n">
        <x:f>SQRT('Resumen'!$B$5^3/3)*B4765</x:f>
        <x:v>0.7160785191921007</x:v>
      </x:c>
      <x:c r="D4765" s="84" t="n">
        <x:f>C4765^2-'Resumen'!$B$5^3/3</x:f>
        <x:v>0.17943511231501846</x:v>
      </x:c>
      <x:c r="E4765" s="85" t="n">
        <x:f>D4765+'Resumen'!$B$5^3/3</x:f>
        <x:v>0.5127684456483518</x:v>
      </x:c>
    </x:row>
    <x:row r="4766">
      <x:c r="A4766" s="89" t="n">
        <x:v>4764</x:v>
      </x:c>
      <x:c r="B4766" s="80" t="n">
        <x:v>-0.9764548582685736</x:v>
      </x:c>
      <x:c r="C4766" s="84" t="n">
        <x:f>SQRT('Resumen'!$B$5^3/3)*B4766</x:f>
        <x:v>-0.5637564752728788</x:v>
      </x:c>
      <x:c r="D4766" s="84" t="n">
        <x:f>C4766^2-'Resumen'!$B$5^3/3</x:f>
        <x:v>-0.015511969921233382</x:v>
      </x:c>
      <x:c r="E4766" s="85" t="n">
        <x:f>D4766+'Resumen'!$B$5^3/3</x:f>
        <x:v>0.31782136341209993</x:v>
      </x:c>
    </x:row>
    <x:row r="4767">
      <x:c r="A4767" s="89" t="n">
        <x:v>4765</x:v>
      </x:c>
      <x:c r="B4767" s="80" t="n">
        <x:v>-1.2078755856162708</x:v>
      </x:c>
      <x:c r="C4767" s="84" t="n">
        <x:f>SQRT('Resumen'!$B$5^3/3)*B4767</x:f>
        <x:v>-0.6973672945031308</x:v>
      </x:c>
      <x:c r="D4767" s="84" t="n">
        <x:f>C4767^2-'Resumen'!$B$5^3/3</x:f>
        <x:v>0.15298781010928308</x:v>
      </x:c>
      <x:c r="E4767" s="85" t="n">
        <x:f>D4767+'Resumen'!$B$5^3/3</x:f>
        <x:v>0.4863211434426164</x:v>
      </x:c>
    </x:row>
    <x:row r="4768">
      <x:c r="A4768" s="89" t="n">
        <x:v>4766</x:v>
      </x:c>
      <x:c r="B4768" s="80" t="n">
        <x:v>-0.6445958633290355</x:v>
      </x:c>
      <x:c r="C4768" s="84" t="n">
        <x:f>SQRT('Resumen'!$B$5^3/3)*B4768</x:f>
        <x:v>-0.37215759521153785</x:v>
      </x:c>
      <x:c r="D4768" s="84" t="n">
        <x:f>C4768^2-'Resumen'!$B$5^3/3</x:f>
        <x:v>-0.19483205765969847</x:v>
      </x:c>
      <x:c r="E4768" s="85" t="n">
        <x:f>D4768+'Resumen'!$B$5^3/3</x:f>
        <x:v>0.13850127567363485</x:v>
      </x:c>
    </x:row>
    <x:row r="4769">
      <x:c r="A4769" s="89" t="n">
        <x:v>4767</x:v>
      </x:c>
      <x:c r="B4769" s="80" t="n">
        <x:v>1.0042337076389705</x:v>
      </x:c>
      <x:c r="C4769" s="84" t="n">
        <x:f>SQRT('Resumen'!$B$5^3/3)*B4769</x:f>
        <x:v>0.5797946014346556</x:v>
      </x:c>
      <x:c r="D4769" s="84" t="n">
        <x:f>C4769^2-'Resumen'!$B$5^3/3</x:f>
        <x:v>0.002828446519437755</x:v>
      </x:c>
      <x:c r="E4769" s="85" t="n">
        <x:f>D4769+'Resumen'!$B$5^3/3</x:f>
        <x:v>0.33616177985277107</x:v>
      </x:c>
    </x:row>
    <x:row r="4770">
      <x:c r="A4770" s="89" t="n">
        <x:v>4768</x:v>
      </x:c>
      <x:c r="B4770" s="80" t="n">
        <x:v>-0.7785362133047037</x:v>
      </x:c>
      <x:c r="C4770" s="84" t="n">
        <x:f>SQRT('Resumen'!$B$5^3/3)*B4770</x:f>
        <x:v>-0.44948809232534254</x:v>
      </x:c>
      <x:c r="D4770" s="84" t="n">
        <x:f>C4770^2-'Resumen'!$B$5^3/3</x:f>
        <x:v>-0.13129378819105766</x:v>
      </x:c>
      <x:c r="E4770" s="85" t="n">
        <x:f>D4770+'Resumen'!$B$5^3/3</x:f>
        <x:v>0.20203954514227565</x:v>
      </x:c>
    </x:row>
    <x:row r="4771">
      <x:c r="A4771" s="89" t="n">
        <x:v>4769</x:v>
      </x:c>
      <x:c r="B4771" s="80" t="n">
        <x:v>-0.11049540783501052</x:v>
      </x:c>
      <x:c r="C4771" s="84" t="n">
        <x:f>SQRT('Resumen'!$B$5^3/3)*B4771</x:f>
        <x:v>-0.0637945534577608</x:v>
      </x:c>
      <x:c r="D4771" s="84" t="n">
        <x:f>C4771^2-'Resumen'!$B$5^3/3</x:f>
        <x:v>-0.3292635882824582</x:v>
      </x:c>
      <x:c r="E4771" s="85" t="n">
        <x:f>D4771+'Resumen'!$B$5^3/3</x:f>
        <x:v>0.004069745050875095</x:v>
      </x:c>
    </x:row>
    <x:row r="4772">
      <x:c r="A4772" s="89" t="n">
        <x:v>4770</x:v>
      </x:c>
      <x:c r="B4772" s="80" t="n">
        <x:v>0.611400240659315</x:v>
      </x:c>
      <x:c r="C4772" s="84" t="n">
        <x:f>SQRT('Resumen'!$B$5^3/3)*B4772</x:f>
        <x:v>0.35299209352725747</x:v>
      </x:c>
      <x:c r="D4772" s="84" t="n">
        <x:f>C4772^2-'Resumen'!$B$5^3/3</x:f>
        <x:v>-0.2087299152405772</x:v>
      </x:c>
      <x:c r="E4772" s="85" t="n">
        <x:f>D4772+'Resumen'!$B$5^3/3</x:f>
        <x:v>0.1246034180927561</x:v>
      </x:c>
    </x:row>
    <x:row r="4773">
      <x:c r="A4773" s="89" t="n">
        <x:v>4771</x:v>
      </x:c>
      <x:c r="B4773" s="80" t="n">
        <x:v>0.10784849848779077</x:v>
      </x:c>
      <x:c r="C4773" s="84" t="n">
        <x:f>SQRT('Resumen'!$B$5^3/3)*B4773</x:f>
        <x:v>0.062266359633622946</x:v>
      </x:c>
      <x:c r="D4773" s="84" t="n">
        <x:f>C4773^2-'Resumen'!$B$5^3/3</x:f>
        <x:v>-0.32945623379130967</x:v>
      </x:c>
      <x:c r="E4773" s="85" t="n">
        <x:f>D4773+'Resumen'!$B$5^3/3</x:f>
        <x:v>0.003877099542023643</x:v>
      </x:c>
    </x:row>
    <x:row r="4774">
      <x:c r="A4774" s="89" t="n">
        <x:v>4772</x:v>
      </x:c>
      <x:c r="B4774" s="80" t="n">
        <x:v>-1.4592997729022052</x:v>
      </x:c>
      <x:c r="C4774" s="84" t="n">
        <x:f>SQRT('Resumen'!$B$5^3/3)*B4774</x:f>
        <x:v>-0.8425271167134479</x:v>
      </x:c>
      <x:c r="D4774" s="84" t="n">
        <x:f>C4774^2-'Resumen'!$B$5^3/3</x:f>
        <x:v>0.37651860906414264</x:v>
      </x:c>
      <x:c r="E4774" s="85" t="n">
        <x:f>D4774+'Resumen'!$B$5^3/3</x:f>
        <x:v>0.709851942397476</x:v>
      </x:c>
    </x:row>
    <x:row r="4775">
      <x:c r="A4775" s="89" t="n">
        <x:v>4773</x:v>
      </x:c>
      <x:c r="B4775" s="80" t="n">
        <x:v>-0.6225956611855282</x:v>
      </x:c>
      <x:c r="C4775" s="84" t="n">
        <x:f>SQRT('Resumen'!$B$5^3/3)*B4775</x:f>
        <x:v>-0.35945577258175776</x:v>
      </x:c>
      <x:c r="D4775" s="84" t="n">
        <x:f>C4775^2-'Resumen'!$B$5^3/3</x:f>
        <x:v>-0.20412488089098496</x:v>
      </x:c>
      <x:c r="E4775" s="85" t="n">
        <x:f>D4775+'Resumen'!$B$5^3/3</x:f>
        <x:v>0.12920845244234835</x:v>
      </x:c>
    </x:row>
    <x:row r="4776">
      <x:c r="A4776" s="89" t="n">
        <x:v>4774</x:v>
      </x:c>
      <x:c r="B4776" s="80" t="n">
        <x:v>-1.164249249902962</x:v>
      </x:c>
      <x:c r="C4776" s="84" t="n">
        <x:f>SQRT('Resumen'!$B$5^3/3)*B4776</x:f>
        <x:v>-0.6721796178352949</x:v>
      </x:c>
      <x:c r="D4776" s="84" t="n">
        <x:f>C4776^2-'Resumen'!$B$5^3/3</x:f>
        <x:v>0.11849210529986975</x:v>
      </x:c>
      <x:c r="E4776" s="85" t="n">
        <x:f>D4776+'Resumen'!$B$5^3/3</x:f>
        <x:v>0.45182543863320307</x:v>
      </x:c>
    </x:row>
    <x:row r="4777">
      <x:c r="A4777" s="89" t="n">
        <x:v>4775</x:v>
      </x:c>
      <x:c r="B4777" s="80" t="n">
        <x:v>-2.4563372056212773</x:v>
      </x:c>
      <x:c r="C4777" s="84" t="n">
        <x:f>SQRT('Resumen'!$B$5^3/3)*B4777</x:f>
        <x:v>-1.4181669468859375</x:v>
      </x:c>
      <x:c r="D4777" s="84" t="n">
        <x:f>C4777^2-'Resumen'!$B$5^3/3</x:f>
        <x:v>1.677864155906448</x:v>
      </x:c>
      <x:c r="E4777" s="85" t="n">
        <x:f>D4777+'Resumen'!$B$5^3/3</x:f>
        <x:v>2.0111974892397813</x:v>
      </x:c>
    </x:row>
    <x:row r="4778">
      <x:c r="A4778" s="89" t="n">
        <x:v>4776</x:v>
      </x:c>
      <x:c r="B4778" s="80" t="n">
        <x:v>-0.8836452811327817</x:v>
      </x:c>
      <x:c r="C4778" s="84" t="n">
        <x:f>SQRT('Resumen'!$B$5^3/3)*B4778</x:f>
        <x:v>-0.510172840930154</x:v>
      </x:c>
      <x:c r="D4778" s="84" t="n">
        <x:f>C4778^2-'Resumen'!$B$5^3/3</x:f>
        <x:v>-0.0730570057105891</x:v>
      </x:c>
      <x:c r="E4778" s="85" t="n">
        <x:f>D4778+'Resumen'!$B$5^3/3</x:f>
        <x:v>0.2602763276227442</x:v>
      </x:c>
    </x:row>
    <x:row r="4779">
      <x:c r="A4779" s="89" t="n">
        <x:v>4777</x:v>
      </x:c>
      <x:c r="B4779" s="80" t="n">
        <x:v>0.2093507778964657</x:v>
      </x:c>
      <x:c r="C4779" s="84" t="n">
        <x:f>SQRT('Resumen'!$B$5^3/3)*B4779</x:f>
        <x:v>0.12086872797358202</x:v>
      </x:c>
      <x:c r="D4779" s="84" t="n">
        <x:f>C4779^2-'Resumen'!$B$5^3/3</x:f>
        <x:v>-0.3187240839313815</x:v>
      </x:c>
      <x:c r="E4779" s="85" t="n">
        <x:f>D4779+'Resumen'!$B$5^3/3</x:f>
        <x:v>0.014609249401951796</x:v>
      </x:c>
    </x:row>
    <x:row r="4780">
      <x:c r="A4780" s="89" t="n">
        <x:v>4778</x:v>
      </x:c>
      <x:c r="B4780" s="80" t="n">
        <x:v>0.8641299841531803</x:v>
      </x:c>
      <x:c r="C4780" s="84" t="n">
        <x:f>SQRT('Resumen'!$B$5^3/3)*B4780</x:f>
        <x:v>0.4989056789656657</x:v>
      </x:c>
      <x:c r="D4780" s="84" t="n">
        <x:f>C4780^2-'Resumen'!$B$5^3/3</x:f>
        <x:v>-0.08442645682914146</x:v>
      </x:c>
      <x:c r="E4780" s="85" t="n">
        <x:f>D4780+'Resumen'!$B$5^3/3</x:f>
        <x:v>0.24890687650419185</x:v>
      </x:c>
    </x:row>
    <x:row r="4781">
      <x:c r="A4781" s="89" t="n">
        <x:v>4779</x:v>
      </x:c>
      <x:c r="B4781" s="80" t="n">
        <x:v>-0.6986937121543854</x:v>
      </x:c>
      <x:c r="C4781" s="84" t="n">
        <x:f>SQRT('Resumen'!$B$5^3/3)*B4781</x:f>
        <x:v>-0.40339100279343326</x:v>
      </x:c>
      <x:c r="D4781" s="84" t="n">
        <x:f>C4781^2-'Resumen'!$B$5^3/3</x:f>
        <x:v>-0.17060903219864162</x:v>
      </x:c>
      <x:c r="E4781" s="85" t="n">
        <x:f>D4781+'Resumen'!$B$5^3/3</x:f>
        <x:v>0.1627243011346917</x:v>
      </x:c>
    </x:row>
    <x:row r="4782">
      <x:c r="A4782" s="89" t="n">
        <x:v>4780</x:v>
      </x:c>
      <x:c r="B4782" s="80" t="n">
        <x:v>-0.3978333273144902</x:v>
      </x:c>
      <x:c r="C4782" s="84" t="n">
        <x:f>SQRT('Resumen'!$B$5^3/3)*B4782</x:f>
        <x:v>-0.22968917861762542</x:v>
      </x:c>
      <x:c r="D4782" s="84" t="n">
        <x:f>C4782^2-'Resumen'!$B$5^3/3</x:f>
        <x:v>-0.2805762145592939</x:v>
      </x:c>
      <x:c r="E4782" s="85" t="n">
        <x:f>D4782+'Resumen'!$B$5^3/3</x:f>
        <x:v>0.052757118774039435</x:v>
      </x:c>
    </x:row>
    <x:row r="4783">
      <x:c r="A4783" s="89" t="n">
        <x:v>4781</x:v>
      </x:c>
      <x:c r="B4783" s="80" t="n">
        <x:v>1.0643056651430747</x:v>
      </x:c>
      <x:c r="C4783" s="84" t="n">
        <x:f>SQRT('Resumen'!$B$5^3/3)*B4783</x:f>
        <x:v>0.6144771622703978</x:v>
      </x:c>
      <x:c r="D4783" s="84" t="n">
        <x:f>C4783^2-'Resumen'!$B$5^3/3</x:f>
        <x:v>0.044248849618547526</x:v>
      </x:c>
      <x:c r="E4783" s="85" t="n">
        <x:f>D4783+'Resumen'!$B$5^3/3</x:f>
        <x:v>0.37758218295188084</x:v>
      </x:c>
    </x:row>
    <x:row r="4784">
      <x:c r="A4784" s="89" t="n">
        <x:v>4782</x:v>
      </x:c>
      <x:c r="B4784" s="80" t="n">
        <x:v>0.17912494554497055</x:v>
      </x:c>
      <x:c r="C4784" s="84" t="n">
        <x:f>SQRT('Resumen'!$B$5^3/3)*B4784</x:f>
        <x:v>0.1034178355289658</x:v>
      </x:c>
      <x:c r="D4784" s="84" t="n">
        <x:f>C4784^2-'Resumen'!$B$5^3/3</x:f>
        <x:v>-0.3226380846278371</x:v>
      </x:c>
      <x:c r="E4784" s="85" t="n">
        <x:f>D4784+'Resumen'!$B$5^3/3</x:f>
        <x:v>0.010695248705496208</x:v>
      </x:c>
    </x:row>
    <x:row r="4785">
      <x:c r="A4785" s="89" t="n">
        <x:v>4783</x:v>
      </x:c>
      <x:c r="B4785" s="80" t="n">
        <x:v>1.5715254003658021</x:v>
      </x:c>
      <x:c r="C4785" s="84" t="n">
        <x:f>SQRT('Resumen'!$B$5^3/3)*B4785</x:f>
        <x:v>0.9073206129395303</x:v>
      </x:c>
      <x:c r="D4785" s="84" t="n">
        <x:f>C4785^2-'Resumen'!$B$5^3/3</x:f>
        <x:v>0.4898973613316316</x:v>
      </x:c>
      <x:c r="E4785" s="85" t="n">
        <x:f>D4785+'Resumen'!$B$5^3/3</x:f>
        <x:v>0.8232306946649649</x:v>
      </x:c>
    </x:row>
    <x:row r="4786">
      <x:c r="A4786" s="89" t="n">
        <x:v>4784</x:v>
      </x:c>
      <x:c r="B4786" s="80" t="n">
        <x:v>-0.28424636466814746</x:v>
      </x:c>
      <x:c r="C4786" s="84" t="n">
        <x:f>SQRT('Resumen'!$B$5^3/3)*B4786</x:f>
        <x:v>-0.16410971515732745</x:v>
      </x:c>
      <x:c r="D4786" s="84" t="n">
        <x:f>C4786^2-'Resumen'!$B$5^3/3</x:f>
        <x:v>-0.3064013347243142</x:v>
      </x:c>
      <x:c r="E4786" s="85" t="n">
        <x:f>D4786+'Resumen'!$B$5^3/3</x:f>
        <x:v>0.026931998609019125</x:v>
      </x:c>
    </x:row>
    <x:row r="4787">
      <x:c r="A4787" s="89" t="n">
        <x:v>4785</x:v>
      </x:c>
      <x:c r="B4787" s="80" t="n">
        <x:v>-0.6211307762039125</x:v>
      </x:c>
      <x:c r="C4787" s="84" t="n">
        <x:f>SQRT('Resumen'!$B$5^3/3)*B4787</x:f>
        <x:v>-0.3586100208432901</x:v>
      </x:c>
      <x:c r="D4787" s="84" t="n">
        <x:f>C4787^2-'Resumen'!$B$5^3/3</x:f>
        <x:v>-0.20473218628410836</x:v>
      </x:c>
      <x:c r="E4787" s="85" t="n">
        <x:f>D4787+'Resumen'!$B$5^3/3</x:f>
        <x:v>0.12860114704922496</x:v>
      </x:c>
    </x:row>
    <x:row r="4788">
      <x:c r="A4788" s="89" t="n">
        <x:v>4786</x:v>
      </x:c>
      <x:c r="B4788" s="80" t="n">
        <x:v>0.3248682000479711</x:v>
      </x:c>
      <x:c r="C4788" s="84" t="n">
        <x:f>SQRT('Resumen'!$B$5^3/3)*B4788</x:f>
        <x:v>0.18756274274884532</x:v>
      </x:c>
      <x:c r="D4788" s="84" t="n">
        <x:f>C4788^2-'Resumen'!$B$5^3/3</x:f>
        <x:v>-0.2981535508658638</x:v>
      </x:c>
      <x:c r="E4788" s="85" t="n">
        <x:f>D4788+'Resumen'!$B$5^3/3</x:f>
        <x:v>0.0351797824674695</x:v>
      </x:c>
    </x:row>
    <x:row r="4789">
      <x:c r="A4789" s="89" t="n">
        <x:v>4787</x:v>
      </x:c>
      <x:c r="B4789" s="80" t="n">
        <x:v>0.9367335639641177</x:v>
      </x:c>
      <x:c r="C4789" s="84" t="n">
        <x:f>SQRT('Resumen'!$B$5^3/3)*B4789</x:f>
        <x:v>0.5408233753136408</x:v>
      </x:c>
      <x:c r="D4789" s="84" t="n">
        <x:f>C4789^2-'Resumen'!$B$5^3/3</x:f>
        <x:v>-0.04084341004769415</x:v>
      </x:c>
      <x:c r="E4789" s="85" t="n">
        <x:f>D4789+'Resumen'!$B$5^3/3</x:f>
        <x:v>0.29248992328563916</x:v>
      </x:c>
    </x:row>
    <x:row r="4790">
      <x:c r="A4790" s="89" t="n">
        <x:v>4788</x:v>
      </x:c>
      <x:c r="B4790" s="80" t="n">
        <x:v>-1.3644944780730761</x:v>
      </x:c>
      <x:c r="C4790" s="84" t="n">
        <x:f>SQRT('Resumen'!$B$5^3/3)*B4790</x:f>
        <x:v>-0.7877912542232484</x:v>
      </x:c>
      <x:c r="D4790" s="84" t="n">
        <x:f>C4790^2-'Resumen'!$B$5^3/3</x:f>
        <x:v>0.2872817268973054</x:v>
      </x:c>
      <x:c r="E4790" s="85" t="n">
        <x:f>D4790+'Resumen'!$B$5^3/3</x:f>
        <x:v>0.6206150602306387</x:v>
      </x:c>
    </x:row>
    <x:row r="4791">
      <x:c r="A4791" s="89" t="n">
        <x:v>4789</x:v>
      </x:c>
      <x:c r="B4791" s="80" t="n">
        <x:v>0.7538491416249513</x:v>
      </x:c>
      <x:c r="C4791" s="84" t="n">
        <x:f>SQRT('Resumen'!$B$5^3/3)*B4791</x:f>
        <x:v>0.43523500484553396</x:v>
      </x:c>
      <x:c r="D4791" s="84" t="n">
        <x:f>C4791^2-'Resumen'!$B$5^3/3</x:f>
        <x:v>-0.14390382389044135</x:v>
      </x:c>
      <x:c r="E4791" s="85" t="n">
        <x:f>D4791+'Resumen'!$B$5^3/3</x:f>
        <x:v>0.18942950944289197</x:v>
      </x:c>
    </x:row>
    <x:row r="4792">
      <x:c r="A4792" s="89" t="n">
        <x:v>4790</x:v>
      </x:c>
      <x:c r="B4792" s="80" t="n">
        <x:v>-0.6865303412105099</x:v>
      </x:c>
      <x:c r="C4792" s="84" t="n">
        <x:f>SQRT('Resumen'!$B$5^3/3)*B4792</x:f>
        <x:v>-0.3963684773047335</x:v>
      </x:c>
      <x:c r="D4792" s="84" t="n">
        <x:f>C4792^2-'Resumen'!$B$5^3/3</x:f>
        <x:v>-0.17622536353246027</x:v>
      </x:c>
      <x:c r="E4792" s="85" t="n">
        <x:f>D4792+'Resumen'!$B$5^3/3</x:f>
        <x:v>0.15710796980087305</x:v>
      </x:c>
    </x:row>
    <x:row r="4793">
      <x:c r="A4793" s="89" t="n">
        <x:v>4791</x:v>
      </x:c>
      <x:c r="B4793" s="80" t="n">
        <x:v>1.8831430915047815</x:v>
      </x:c>
      <x:c r="C4793" s="84" t="n">
        <x:f>SQRT('Resumen'!$B$5^3/3)*B4793</x:f>
        <x:v>1.0872331708028695</x:v>
      </x:c>
      <x:c r="D4793" s="84" t="n">
        <x:f>C4793^2-'Resumen'!$B$5^3/3</x:f>
        <x:v>0.8487426343607283</x:v>
      </x:c>
      <x:c r="E4793" s="85" t="n">
        <x:f>D4793+'Resumen'!$B$5^3/3</x:f>
        <x:v>1.1820759676940615</x:v>
      </x:c>
    </x:row>
    <x:row r="4794">
      <x:c r="A4794" s="89" t="n">
        <x:v>4792</x:v>
      </x:c>
      <x:c r="B4794" s="80" t="n">
        <x:v>1.873020850383936</x:v>
      </x:c>
      <x:c r="C4794" s="84" t="n">
        <x:f>SQRT('Resumen'!$B$5^3/3)*B4794</x:f>
        <x:v>1.0813890921669471</x:v>
      </x:c>
      <x:c r="D4794" s="84" t="n">
        <x:f>C4794^2-'Resumen'!$B$5^3/3</x:f>
        <x:v>0.8360690353243208</x:v>
      </x:c>
      <x:c r="E4794" s="85" t="n">
        <x:f>D4794+'Resumen'!$B$5^3/3</x:f>
        <x:v>1.169402368657654</x:v>
      </x:c>
    </x:row>
    <x:row r="4795">
      <x:c r="A4795" s="89" t="n">
        <x:v>4793</x:v>
      </x:c>
      <x:c r="B4795" s="80" t="n">
        <x:v>0.037161589545075945</x:v>
      </x:c>
      <x:c r="C4795" s="84" t="n">
        <x:f>SQRT('Resumen'!$B$5^3/3)*B4795</x:f>
        <x:v>0.02145525372736398</x:v>
      </x:c>
      <x:c r="D4795" s="84" t="n">
        <x:f>C4795^2-'Resumen'!$B$5^3/3</x:f>
        <x:v>-0.33287300542082776</x:v>
      </x:c>
      <x:c r="E4795" s="85" t="n">
        <x:f>D4795+'Resumen'!$B$5^3/3</x:f>
        <x:v>0.0004603279125055537</x:v>
      </x:c>
    </x:row>
    <x:row r="4796">
      <x:c r="A4796" s="89" t="n">
        <x:v>4794</x:v>
      </x:c>
      <x:c r="B4796" s="80" t="n">
        <x:v>-0.14278557621959467</x:v>
      </x:c>
      <x:c r="C4796" s="84" t="n">
        <x:f>SQRT('Resumen'!$B$5^3/3)*B4796</x:f>
        <x:v>-0.08243729086677881</x:v>
      </x:c>
      <x:c r="D4796" s="84" t="n">
        <x:f>C4796^2-'Resumen'!$B$5^3/3</x:f>
        <x:v>-0.3265374264078794</x:v>
      </x:c>
      <x:c r="E4796" s="85" t="n">
        <x:f>D4796+'Resumen'!$B$5^3/3</x:f>
        <x:v>0.006795906925453898</x:v>
      </x:c>
    </x:row>
    <x:row r="4797">
      <x:c r="A4797" s="89" t="n">
        <x:v>4795</x:v>
      </x:c>
      <x:c r="B4797" s="80" t="n">
        <x:v>-0.1365303808591559</x:v>
      </x:c>
      <x:c r="C4797" s="84" t="n">
        <x:f>SQRT('Resumen'!$B$5^3/3)*B4797</x:f>
        <x:v>-0.07882585214159578</x:v>
      </x:c>
      <x:c r="D4797" s="84" t="n">
        <x:f>C4797^2-'Resumen'!$B$5^3/3</x:f>
        <x:v>-0.3271198183674846</x:v>
      </x:c>
      <x:c r="E4797" s="85" t="n">
        <x:f>D4797+'Resumen'!$B$5^3/3</x:f>
        <x:v>0.00621351496584871</x:v>
      </x:c>
    </x:row>
    <x:row r="4798">
      <x:c r="A4798" s="89" t="n">
        <x:v>4796</x:v>
      </x:c>
      <x:c r="B4798" s="80" t="n">
        <x:v>0.29992907173390015</x:v>
      </x:c>
      <x:c r="C4798" s="84" t="n">
        <x:f>SQRT('Resumen'!$B$5^3/3)*B4798</x:f>
        <x:v>0.1731641303033618</x:v>
      </x:c>
      <x:c r="D4798" s="84" t="n">
        <x:f>C4798^2-'Resumen'!$B$5^3/3</x:f>
        <x:v>-0.3033475173096136</x:v>
      </x:c>
      <x:c r="E4798" s="85" t="n">
        <x:f>D4798+'Resumen'!$B$5^3/3</x:f>
        <x:v>0.02998581602371969</x:v>
      </x:c>
    </x:row>
    <x:row r="4799">
      <x:c r="A4799" s="89" t="n">
        <x:v>4797</x:v>
      </x:c>
      <x:c r="B4799" s="80" t="n">
        <x:v>-1.2254701002935662</x:v>
      </x:c>
      <x:c r="C4799" s="84" t="n">
        <x:f>SQRT('Resumen'!$B$5^3/3)*B4799</x:f>
        <x:v>-0.7075254922883281</x:v>
      </x:c>
      <x:c r="D4799" s="84" t="n">
        <x:f>C4799^2-'Resumen'!$B$5^3/3</x:f>
        <x:v>0.1672589889045077</x:v>
      </x:c>
      <x:c r="E4799" s="85" t="n">
        <x:f>D4799+'Resumen'!$B$5^3/3</x:f>
        <x:v>0.500592322237841</x:v>
      </x:c>
    </x:row>
    <x:row r="4800">
      <x:c r="A4800" s="89" t="n">
        <x:v>4798</x:v>
      </x:c>
      <x:c r="B4800" s="80" t="n">
        <x:v>-1.3221634439914196</x:v>
      </x:c>
      <x:c r="C4800" s="84" t="n">
        <x:f>SQRT('Resumen'!$B$5^3/3)*B4800</x:f>
        <x:v>-0.7633514203011288</x:v>
      </x:c>
      <x:c r="D4800" s="84" t="n">
        <x:f>C4800^2-'Resumen'!$B$5^3/3</x:f>
        <x:v>0.24937205754241726</x:v>
      </x:c>
      <x:c r="E4800" s="85" t="n">
        <x:f>D4800+'Resumen'!$B$5^3/3</x:f>
        <x:v>0.5827053908757506</x:v>
      </x:c>
    </x:row>
    <x:row r="4801">
      <x:c r="A4801" s="89" t="n">
        <x:v>4799</x:v>
      </x:c>
      <x:c r="B4801" s="80" t="n">
        <x:v>0.8451630572970623</x:v>
      </x:c>
      <x:c r="C4801" s="84" t="n">
        <x:f>SQRT('Resumen'!$B$5^3/3)*B4801</x:f>
        <x:v>0.487955118639586</x:v>
      </x:c>
      <x:c r="D4801" s="84" t="n">
        <x:f>C4801^2-'Resumen'!$B$5^3/3</x:f>
        <x:v>-0.09523313552676085</x:v>
      </x:c>
      <x:c r="E4801" s="85" t="n">
        <x:f>D4801+'Resumen'!$B$5^3/3</x:f>
        <x:v>0.23810019780657246</x:v>
      </x:c>
    </x:row>
    <x:row r="4802">
      <x:c r="A4802" s="89" t="n">
        <x:v>4800</x:v>
      </x:c>
      <x:c r="B4802" s="80" t="n">
        <x:v>-0.6201381449775224</x:v>
      </x:c>
      <x:c r="C4802" s="84" t="n">
        <x:f>SQRT('Resumen'!$B$5^3/3)*B4802</x:f>
        <x:v>-0.3580369249375277</x:v>
      </x:c>
      <x:c r="D4802" s="84" t="n">
        <x:f>C4802^2-'Resumen'!$B$5^3/3</x:f>
        <x:v>-0.20514289371461247</x:v>
      </x:c>
      <x:c r="E4802" s="85" t="n">
        <x:f>D4802+'Resumen'!$B$5^3/3</x:f>
        <x:v>0.12819043961872084</x:v>
      </x:c>
    </x:row>
    <x:row r="4803">
      <x:c r="A4803" s="89" t="n">
        <x:v>4801</x:v>
      </x:c>
      <x:c r="B4803" s="80" t="n">
        <x:v>-0.9021383636830392</x:v>
      </x:c>
      <x:c r="C4803" s="84" t="n">
        <x:f>SQRT('Resumen'!$B$5^3/3)*B4803</x:f>
        <x:v>-0.5208498271186912</x:v>
      </x:c>
      <x:c r="D4803" s="84" t="n">
        <x:f>C4803^2-'Resumen'!$B$5^3/3</x:f>
        <x:v>-0.06204879092376281</x:v>
      </x:c>
      <x:c r="E4803" s="85" t="n">
        <x:f>D4803+'Resumen'!$B$5^3/3</x:f>
        <x:v>0.2712845424095705</x:v>
      </x:c>
    </x:row>
    <x:row r="4804">
      <x:c r="A4804" s="89" t="n">
        <x:v>4802</x:v>
      </x:c>
      <x:c r="B4804" s="80" t="n">
        <x:v>-1.057690066519561</x:v>
      </x:c>
      <x:c r="C4804" s="84" t="n">
        <x:f>SQRT('Resumen'!$B$5^3/3)*B4804</x:f>
        <x:v>-0.6106576446242616</x:v>
      </x:c>
      <x:c r="D4804" s="84" t="n">
        <x:f>C4804^2-'Resumen'!$B$5^3/3</x:f>
        <x:v>0.03956942560471771</x:v>
      </x:c>
      <x:c r="E4804" s="85" t="n">
        <x:f>D4804+'Resumen'!$B$5^3/3</x:f>
        <x:v>0.372902758938051</x:v>
      </x:c>
    </x:row>
    <x:row r="4805">
      <x:c r="A4805" s="89" t="n">
        <x:v>4803</x:v>
      </x:c>
      <x:c r="B4805" s="80" t="n">
        <x:v>1.514682207672636</x:v>
      </x:c>
      <x:c r="C4805" s="84" t="n">
        <x:f>SQRT('Resumen'!$B$5^3/3)*B4805</x:f>
        <x:v>0.874502180336533</x:v>
      </x:c>
      <x:c r="D4805" s="84" t="n">
        <x:f>C4805^2-'Resumen'!$B$5^3/3</x:f>
        <x:v>0.43142073008001686</x:v>
      </x:c>
      <x:c r="E4805" s="85" t="n">
        <x:f>D4805+'Resumen'!$B$5^3/3</x:f>
        <x:v>0.7647540634133502</x:v>
      </x:c>
    </x:row>
    <x:row r="4806">
      <x:c r="A4806" s="89" t="n">
        <x:v>4804</x:v>
      </x:c>
      <x:c r="B4806" s="80" t="n">
        <x:v>-0.11668494802938327</x:v>
      </x:c>
      <x:c r="C4806" s="84" t="n">
        <x:f>SQRT('Resumen'!$B$5^3/3)*B4806</x:f>
        <x:v>-0.06736808615514192</x:v>
      </x:c>
      <x:c r="D4806" s="84" t="n">
        <x:f>C4806^2-'Resumen'!$B$5^3/3</x:f>
        <x:v>-0.3287948743011267</x:v>
      </x:c>
      <x:c r="E4806" s="85" t="n">
        <x:f>D4806+'Resumen'!$B$5^3/3</x:f>
        <x:v>0.004538459032206621</x:v>
      </x:c>
    </x:row>
    <x:row r="4807">
      <x:c r="A4807" s="89" t="n">
        <x:v>4805</x:v>
      </x:c>
      <x:c r="B4807" s="80" t="n">
        <x:v>-0.03016121408583232</x:v>
      </x:c>
      <x:c r="C4807" s="84" t="n">
        <x:f>SQRT('Resumen'!$B$5^3/3)*B4807</x:f>
        <x:v>-0.01741358507154122</x:v>
      </x:c>
      <x:c r="D4807" s="84" t="n">
        <x:f>C4807^2-'Resumen'!$B$5^3/3</x:f>
        <x:v>-0.3330301003882895</x:v>
      </x:c>
      <x:c r="E4807" s="85" t="n">
        <x:f>D4807+'Resumen'!$B$5^3/3</x:f>
        <x:v>0.0003032329450438076</x:v>
      </x:c>
    </x:row>
    <x:row r="4808">
      <x:c r="A4808" s="89" t="n">
        <x:v>4806</x:v>
      </x:c>
      <x:c r="B4808" s="80" t="n">
        <x:v>0.8253864617217287</x:v>
      </x:c>
      <x:c r="C4808" s="84" t="n">
        <x:f>SQRT('Resumen'!$B$5^3/3)*B4808</x:f>
        <x:v>0.4765370958605128</x:v>
      </x:c>
      <x:c r="D4808" s="84" t="n">
        <x:f>C4808^2-'Resumen'!$B$5^3/3</x:f>
        <x:v>-0.10624572960216175</x:v>
      </x:c>
      <x:c r="E4808" s="85" t="n">
        <x:f>D4808+'Resumen'!$B$5^3/3</x:f>
        <x:v>0.22708760373117157</x:v>
      </x:c>
    </x:row>
    <x:row r="4809">
      <x:c r="A4809" s="89" t="n">
        <x:v>4807</x:v>
      </x:c>
      <x:c r="B4809" s="80" t="n">
        <x:v>-1.8255429763882696</x:v>
      </x:c>
      <x:c r="C4809" s="84" t="n">
        <x:f>SQRT('Resumen'!$B$5^3/3)*B4809</x:f>
        <x:v>-1.053977728834998</x:v>
      </x:c>
      <x:c r="D4809" s="84" t="n">
        <x:f>C4809^2-'Resumen'!$B$5^3/3</x:f>
        <x:v>0.7775357195468475</x:v>
      </x:c>
      <x:c r="E4809" s="85" t="n">
        <x:f>D4809+'Resumen'!$B$5^3/3</x:f>
        <x:v>1.1108690528801808</x:v>
      </x:c>
    </x:row>
    <x:row r="4810">
      <x:c r="A4810" s="89" t="n">
        <x:v>4808</x:v>
      </x:c>
      <x:c r="B4810" s="80" t="n">
        <x:v>0.769449935812862</x:v>
      </x:c>
      <x:c r="C4810" s="84" t="n">
        <x:f>SQRT('Resumen'!$B$5^3/3)*B4810</x:f>
        <x:v>0.44424212756949616</x:v>
      </x:c>
      <x:c r="D4810" s="84" t="n">
        <x:f>C4810^2-'Resumen'!$B$5^3/3</x:f>
        <x:v>-0.1359822654258608</x:v>
      </x:c>
      <x:c r="E4810" s="85" t="n">
        <x:f>D4810+'Resumen'!$B$5^3/3</x:f>
        <x:v>0.1973510679074725</x:v>
      </x:c>
    </x:row>
    <x:row r="4811">
      <x:c r="A4811" s="89" t="n">
        <x:v>4809</x:v>
      </x:c>
      <x:c r="B4811" s="80" t="n">
        <x:v>0.6465594615654396</x:v>
      </x:c>
      <x:c r="C4811" s="84" t="n">
        <x:f>SQRT('Resumen'!$B$5^3/3)*B4811</x:f>
        <x:v>0.373291279181906</x:v>
      </x:c>
      <x:c r="D4811" s="84" t="n">
        <x:f>C4811^2-'Resumen'!$B$5^3/3</x:f>
        <x:v>-0.19398695422006962</x:v>
      </x:c>
      <x:c r="E4811" s="85" t="n">
        <x:f>D4811+'Resumen'!$B$5^3/3</x:f>
        <x:v>0.1393463791132637</x:v>
      </x:c>
    </x:row>
    <x:row r="4812">
      <x:c r="A4812" s="89" t="n">
        <x:v>4810</x:v>
      </x:c>
      <x:c r="B4812" s="80" t="n">
        <x:v>-0.5290923877431357</x:v>
      </x:c>
      <x:c r="C4812" s="84" t="n">
        <x:f>SQRT('Resumen'!$B$5^3/3)*B4812</x:f>
        <x:v>-0.30547163248968123</x:v>
      </x:c>
      <x:c r="D4812" s="84" t="n">
        <x:f>C4812^2-'Resumen'!$B$5^3/3</x:f>
        <x:v>-0.24002041507742244</x:v>
      </x:c>
      <x:c r="E4812" s="85" t="n">
        <x:f>D4812+'Resumen'!$B$5^3/3</x:f>
        <x:v>0.09331291825591087</x:v>
      </x:c>
    </x:row>
    <x:row r="4813">
      <x:c r="A4813" s="89" t="n">
        <x:v>4811</x:v>
      </x:c>
      <x:c r="B4813" s="80" t="n">
        <x:v>1.768683798950591</x:v>
      </x:c>
      <x:c r="C4813" s="84" t="n">
        <x:f>SQRT('Resumen'!$B$5^3/3)*B4813</x:f>
        <x:v>1.0211500674354537</x:v>
      </x:c>
      <x:c r="D4813" s="84" t="n">
        <x:f>C4813^2-'Resumen'!$B$5^3/3</x:f>
        <x:v>0.7094141268900984</x:v>
      </x:c>
      <x:c r="E4813" s="85" t="n">
        <x:f>D4813+'Resumen'!$B$5^3/3</x:f>
        <x:v>1.0427474602234317</x:v>
      </x:c>
    </x:row>
    <x:row r="4814">
      <x:c r="A4814" s="89" t="n">
        <x:v>4812</x:v>
      </x:c>
      <x:c r="B4814" s="80" t="n">
        <x:v>-0.04865583868039267</x:v>
      </x:c>
      <x:c r="C4814" s="84" t="n">
        <x:f>SQRT('Resumen'!$B$5^3/3)*B4814</x:f>
        <x:v>-0.028091461559771713</x:v>
      </x:c>
      <x:c r="D4814" s="84" t="n">
        <x:f>C4814^2-'Resumen'!$B$5^3/3</x:f>
        <x:v>-0.3325442031207692</x:v>
      </x:c>
      <x:c r="E4814" s="85" t="n">
        <x:f>D4814+'Resumen'!$B$5^3/3</x:f>
        <x:v>0.0007891302125641042</x:v>
      </x:c>
    </x:row>
    <x:row r="4815">
      <x:c r="A4815" s="89" t="n">
        <x:v>4813</x:v>
      </x:c>
      <x:c r="B4815" s="80" t="n">
        <x:v>0.8710707422045739</x:v>
      </x:c>
      <x:c r="C4815" s="84" t="n">
        <x:f>SQRT('Resumen'!$B$5^3/3)*B4815</x:f>
        <x:v>0.5029129274950178</x:v>
      </x:c>
      <x:c r="D4815" s="84" t="n">
        <x:f>C4815^2-'Resumen'!$B$5^3/3</x:f>
        <x:v>-0.08041192069172426</x:v>
      </x:c>
      <x:c r="E4815" s="85" t="n">
        <x:f>D4815+'Resumen'!$B$5^3/3</x:f>
        <x:v>0.25292141264160906</x:v>
      </x:c>
    </x:row>
    <x:row r="4816">
      <x:c r="A4816" s="89" t="n">
        <x:v>4814</x:v>
      </x:c>
      <x:c r="B4816" s="80" t="n">
        <x:v>0.3057898672518746</x:v>
      </x:c>
      <x:c r="C4816" s="84" t="n">
        <x:f>SQRT('Resumen'!$B$5^3/3)*B4816</x:f>
        <x:v>0.17654786217332974</x:v>
      </x:c>
      <x:c r="D4816" s="84" t="n">
        <x:f>C4816^2-'Resumen'!$B$5^3/3</x:f>
        <x:v>-0.3021641856953603</x:v>
      </x:c>
      <x:c r="E4816" s="85" t="n">
        <x:f>D4816+'Resumen'!$B$5^3/3</x:f>
        <x:v>0.031169147637973016</x:v>
      </x:c>
    </x:row>
    <x:row r="4817">
      <x:c r="A4817" s="89" t="n">
        <x:v>4815</x:v>
      </x:c>
      <x:c r="B4817" s="80" t="n">
        <x:v>-0.5831401806893374</x:v>
      </x:c>
      <x:c r="C4817" s="84" t="n">
        <x:f>SQRT('Resumen'!$B$5^3/3)*B4817</x:f>
        <x:v>-0.3366761402962759</x:v>
      </x:c>
      <x:c r="D4817" s="84" t="n">
        <x:f>C4817^2-'Resumen'!$B$5^3/3</x:f>
        <x:v>-0.21998250988853565</x:v>
      </x:c>
      <x:c r="E4817" s="85" t="n">
        <x:f>D4817+'Resumen'!$B$5^3/3</x:f>
        <x:v>0.11335082344479766</x:v>
      </x:c>
    </x:row>
    <x:row r="4818">
      <x:c r="A4818" s="89" t="n">
        <x:v>4816</x:v>
      </x:c>
      <x:c r="B4818" s="80" t="n">
        <x:v>1.385732436288527</x:v>
      </x:c>
      <x:c r="C4818" s="84" t="n">
        <x:f>SQRT('Resumen'!$B$5^3/3)*B4818</x:f>
        <x:v>0.8000529951159769</x:v>
      </x:c>
      <x:c r="D4818" s="84" t="n">
        <x:f>C4818^2-'Resumen'!$B$5^3/3</x:f>
        <x:v>0.30675146166071215</x:v>
      </x:c>
      <x:c r="E4818" s="85" t="n">
        <x:f>D4818+'Resumen'!$B$5^3/3</x:f>
        <x:v>0.6400847949940455</x:v>
      </x:c>
    </x:row>
    <x:row r="4819">
      <x:c r="A4819" s="89" t="n">
        <x:v>4817</x:v>
      </x:c>
      <x:c r="B4819" s="80" t="n">
        <x:v>-0.3673242712418631</x:v>
      </x:c>
      <x:c r="C4819" s="84" t="n">
        <x:f>SQRT('Resumen'!$B$5^3/3)*B4819</x:f>
        <x:v>-0.21207476688137278</x:v>
      </x:c>
      <x:c r="D4819" s="84" t="n">
        <x:f>C4819^2-'Resumen'!$B$5^3/3</x:f>
        <x:v>-0.2883576265855447</x:v>
      </x:c>
      <x:c r="E4819" s="85" t="n">
        <x:f>D4819+'Resumen'!$B$5^3/3</x:f>
        <x:v>0.04497570674778861</x:v>
      </x:c>
    </x:row>
    <x:row r="4820">
      <x:c r="A4820" s="89" t="n">
        <x:v>4818</x:v>
      </x:c>
      <x:c r="B4820" s="80" t="n">
        <x:v>0.8451456797553067</x:v>
      </x:c>
      <x:c r="C4820" s="84" t="n">
        <x:f>SQRT('Resumen'!$B$5^3/3)*B4820</x:f>
        <x:v>0.48794508571117556</x:v>
      </x:c>
      <x:c r="D4820" s="84" t="n">
        <x:f>C4820^2-'Resumen'!$B$5^3/3</x:f>
        <x:v>-0.09524292666364684</x:v>
      </x:c>
      <x:c r="E4820" s="85" t="n">
        <x:f>D4820+'Resumen'!$B$5^3/3</x:f>
        <x:v>0.23809040666968648</x:v>
      </x:c>
    </x:row>
    <x:row r="4821">
      <x:c r="A4821" s="89" t="n">
        <x:v>4819</x:v>
      </x:c>
      <x:c r="B4821" s="80" t="n">
        <x:v>-0.46926058281691324</x:v>
      </x:c>
      <x:c r="C4821" s="84" t="n">
        <x:f>SQRT('Resumen'!$B$5^3/3)*B4821</x:f>
        <x:v>-0.27092772380942554</x:v>
      </x:c>
      <x:c r="D4821" s="84" t="n">
        <x:f>C4821^2-'Resumen'!$B$5^3/3</x:f>
        <x:v>-0.259931501804777</x:v>
      </x:c>
      <x:c r="E4821" s="85" t="n">
        <x:f>D4821+'Resumen'!$B$5^3/3</x:f>
        <x:v>0.07340183152855634</x:v>
      </x:c>
    </x:row>
    <x:row r="4822">
      <x:c r="A4822" s="89" t="n">
        <x:v>4820</x:v>
      </x:c>
      <x:c r="B4822" s="80" t="n">
        <x:v>0.6174680873873817</x:v>
      </x:c>
      <x:c r="C4822" s="84" t="n">
        <x:f>SQRT('Resumen'!$B$5^3/3)*B4822</x:f>
        <x:v>0.3564953664691082</x:v>
      </x:c>
      <x:c r="D4822" s="84" t="n">
        <x:f>C4822^2-'Resumen'!$B$5^3/3</x:f>
        <x:v>-0.20624438701938957</x:v>
      </x:c>
      <x:c r="E4822" s="85" t="n">
        <x:f>D4822+'Resumen'!$B$5^3/3</x:f>
        <x:v>0.12708894631394374</x:v>
      </x:c>
    </x:row>
    <x:row r="4823">
      <x:c r="A4823" s="89" t="n">
        <x:v>4821</x:v>
      </x:c>
      <x:c r="B4823" s="80" t="n">
        <x:v>0.143424023709938</x:v>
      </x:c>
      <x:c r="C4823" s="84" t="n">
        <x:f>SQRT('Resumen'!$B$5^3/3)*B4823</x:f>
        <x:v>0.08280589869719197</x:v>
      </x:c>
      <x:c r="D4823" s="84" t="n">
        <x:f>C4823^2-'Resumen'!$B$5^3/3</x:f>
        <x:v>-0.3264765164742837</x:v>
      </x:c>
      <x:c r="E4823" s="85" t="n">
        <x:f>D4823+'Resumen'!$B$5^3/3</x:f>
        <x:v>0.006856816859049597</x:v>
      </x:c>
    </x:row>
    <x:row r="4824">
      <x:c r="A4824" s="89" t="n">
        <x:v>4822</x:v>
      </x:c>
      <x:c r="B4824" s="80" t="n">
        <x:v>1.1938694758902444</x:v>
      </x:c>
      <x:c r="C4824" s="84" t="n">
        <x:f>SQRT('Resumen'!$B$5^3/3)*B4824</x:f>
        <x:v>0.68928086328251</x:v>
      </x:c>
      <x:c r="D4824" s="84" t="n">
        <x:f>C4824^2-'Resumen'!$B$5^3/3</x:f>
        <x:v>0.141774775154149</x:v>
      </x:c>
      <x:c r="E4824" s="85" t="n">
        <x:f>D4824+'Resumen'!$B$5^3/3</x:f>
        <x:v>0.4751081084874823</x:v>
      </x:c>
    </x:row>
    <x:row r="4825">
      <x:c r="A4825" s="89" t="n">
        <x:v>4823</x:v>
      </x:c>
      <x:c r="B4825" s="80" t="n">
        <x:v>-0.8982108745889957</x:v>
      </x:c>
      <x:c r="C4825" s="84" t="n">
        <x:f>SQRT('Resumen'!$B$5^3/3)*B4825</x:f>
        <x:v>-0.5185822902330058</x:v>
      </x:c>
      <x:c r="D4825" s="84" t="n">
        <x:f>C4825^2-'Resumen'!$B$5^3/3</x:f>
        <x:v>-0.06440574159002382</x:v>
      </x:c>
      <x:c r="E4825" s="85" t="n">
        <x:f>D4825+'Resumen'!$B$5^3/3</x:f>
        <x:v>0.2689275917433095</x:v>
      </x:c>
    </x:row>
    <x:row r="4826">
      <x:c r="A4826" s="89" t="n">
        <x:v>4824</x:v>
      </x:c>
      <x:c r="B4826" s="80" t="n">
        <x:v>1.4348857701201532</x:v>
      </x:c>
      <x:c r="C4826" s="84" t="n">
        <x:f>SQRT('Resumen'!$B$5^3/3)*B4826</x:f>
        <x:v>0.8284316856352338</x:v>
      </x:c>
      <x:c r="D4826" s="84" t="n">
        <x:f>C4826^2-'Resumen'!$B$5^3/3</x:f>
        <x:v>0.3529657244311016</x:v>
      </x:c>
      <x:c r="E4826" s="85" t="n">
        <x:f>D4826+'Resumen'!$B$5^3/3</x:f>
        <x:v>0.6862990577644349</x:v>
      </x:c>
    </x:row>
    <x:row r="4827">
      <x:c r="A4827" s="89" t="n">
        <x:v>4825</x:v>
      </x:c>
      <x:c r="B4827" s="80" t="n">
        <x:v>0.5039821010809036</x:v>
      </x:c>
      <x:c r="C4827" s="84" t="n">
        <x:f>SQRT('Resumen'!$B$5^3/3)*B4827</x:f>
        <x:v>0.29097420172581284</x:v>
      </x:c>
      <x:c r="D4827" s="84" t="n">
        <x:f>C4827^2-'Resumen'!$B$5^3/3</x:f>
        <x:v>-0.2486673472633593</x:v>
      </x:c>
      <x:c r="E4827" s="85" t="n">
        <x:f>D4827+'Resumen'!$B$5^3/3</x:f>
        <x:v>0.08466598606997403</x:v>
      </x:c>
    </x:row>
    <x:row r="4828">
      <x:c r="A4828" s="89" t="n">
        <x:v>4826</x:v>
      </x:c>
      <x:c r="B4828" s="80" t="n">
        <x:v>-0.07437634831821555</x:v>
      </x:c>
      <x:c r="C4828" s="84" t="n">
        <x:f>SQRT('Resumen'!$B$5^3/3)*B4828</x:f>
        <x:v>-0.04294120472286311</x:v>
      </x:c>
      <x:c r="D4828" s="84" t="n">
        <x:f>C4828^2-'Resumen'!$B$5^3/3</x:f>
        <x:v>-0.33148938627028246</x:v>
      </x:c>
      <x:c r="E4828" s="85" t="n">
        <x:f>D4828+'Resumen'!$B$5^3/3</x:f>
        <x:v>0.0018439470630508548</x:v>
      </x:c>
    </x:row>
    <x:row r="4829">
      <x:c r="A4829" s="89" t="n">
        <x:v>4827</x:v>
      </x:c>
      <x:c r="B4829" s="80" t="n">
        <x:v>-0.5793840830905033</x:v>
      </x:c>
      <x:c r="C4829" s="84" t="n">
        <x:f>SQRT('Resumen'!$B$5^3/3)*B4829</x:f>
        <x:v>-0.33450755633648654</x:v>
      </x:c>
      <x:c r="D4829" s="84" t="n">
        <x:f>C4829^2-'Resumen'!$B$5^3/3</x:f>
        <x:v>-0.2214380280871256</x:v>
      </x:c>
      <x:c r="E4829" s="85" t="n">
        <x:f>D4829+'Resumen'!$B$5^3/3</x:f>
        <x:v>0.11189530524620772</x:v>
      </x:c>
    </x:row>
    <x:row r="4830">
      <x:c r="A4830" s="89" t="n">
        <x:v>4828</x:v>
      </x:c>
      <x:c r="B4830" s="80" t="n">
        <x:v>-1.2691157343309452</x:v>
      </x:c>
      <x:c r="C4830" s="84" t="n">
        <x:f>SQRT('Resumen'!$B$5^3/3)*B4830</x:f>
        <x:v>-0.7327243108487608</x:v>
      </x:c>
      <x:c r="D4830" s="84" t="n">
        <x:f>C4830^2-'Resumen'!$B$5^3/3</x:f>
        <x:v>0.20355158237545806</x:v>
      </x:c>
      <x:c r="E4830" s="85" t="n">
        <x:f>D4830+'Resumen'!$B$5^3/3</x:f>
        <x:v>0.5368849157087914</x:v>
      </x:c>
    </x:row>
    <x:row r="4831">
      <x:c r="A4831" s="89" t="n">
        <x:v>4829</x:v>
      </x:c>
      <x:c r="B4831" s="80" t="n">
        <x:v>1.440799230871735</x:v>
      </x:c>
      <x:c r="C4831" s="84" t="n">
        <x:f>SQRT('Resumen'!$B$5^3/3)*B4831</x:f>
        <x:v>0.8318458237920019</x:v>
      </x:c>
      <x:c r="D4831" s="84" t="n">
        <x:f>C4831^2-'Resumen'!$B$5^3/3</x:f>
        <x:v>0.35863414122686094</x:v>
      </x:c>
      <x:c r="E4831" s="85" t="n">
        <x:f>D4831+'Resumen'!$B$5^3/3</x:f>
        <x:v>0.6919674745601943</x:v>
      </x:c>
    </x:row>
    <x:row r="4832">
      <x:c r="A4832" s="89" t="n">
        <x:v>4830</x:v>
      </x:c>
      <x:c r="B4832" s="80" t="n">
        <x:v>0.7129026355794308</x:v>
      </x:c>
      <x:c r="C4832" s="84" t="n">
        <x:f>SQRT('Resumen'!$B$5^3/3)*B4832</x:f>
        <x:v>0.411594528557778</x:v>
      </x:c>
      <x:c r="D4832" s="84" t="n">
        <x:f>C4832^2-'Resumen'!$B$5^3/3</x:f>
        <x:v>-0.16392327739463378</x:v>
      </x:c>
      <x:c r="E4832" s="85" t="n">
        <x:f>D4832+'Resumen'!$B$5^3/3</x:f>
        <x:v>0.16941005593869954</x:v>
      </x:c>
    </x:row>
    <x:row r="4833">
      <x:c r="A4833" s="89" t="n">
        <x:v>4831</x:v>
      </x:c>
      <x:c r="B4833" s="80" t="n">
        <x:v>0.7793228061850218</x:v>
      </x:c>
      <x:c r="C4833" s="84" t="n">
        <x:f>SQRT('Resumen'!$B$5^3/3)*B4833</x:f>
        <x:v>0.4499422319365369</x:v>
      </x:c>
      <x:c r="D4833" s="84" t="n">
        <x:f>C4833^2-'Resumen'!$B$5^3/3</x:f>
        <x:v>-0.13088532125330096</x:v>
      </x:c>
      <x:c r="E4833" s="85" t="n">
        <x:f>D4833+'Resumen'!$B$5^3/3</x:f>
        <x:v>0.20244801208003235</x:v>
      </x:c>
    </x:row>
    <x:row r="4834">
      <x:c r="A4834" s="89" t="n">
        <x:v>4832</x:v>
      </x:c>
      <x:c r="B4834" s="80" t="n">
        <x:v>1.3735435672103324</x:v>
      </x:c>
      <x:c r="C4834" s="84" t="n">
        <x:f>SQRT('Resumen'!$B$5^3/3)*B4834</x:f>
        <x:v>0.7930157482725643</x:v>
      </x:c>
      <x:c r="D4834" s="84" t="n">
        <x:f>C4834^2-'Resumen'!$B$5^3/3</x:f>
        <x:v>0.29554064367496174</x:v>
      </x:c>
      <x:c r="E4834" s="85" t="n">
        <x:f>D4834+'Resumen'!$B$5^3/3</x:f>
        <x:v>0.6288739770082951</x:v>
      </x:c>
    </x:row>
    <x:row r="4835">
      <x:c r="A4835" s="89" t="n">
        <x:v>4833</x:v>
      </x:c>
      <x:c r="B4835" s="80" t="n">
        <x:v>-0.12985202282667865</x:v>
      </x:c>
      <x:c r="C4835" s="84" t="n">
        <x:f>SQRT('Resumen'!$B$5^3/3)*B4835</x:f>
        <x:v>-0.07497010033380035</x:v>
      </x:c>
      <x:c r="D4835" s="84" t="n">
        <x:f>C4835^2-'Resumen'!$B$5^3/3</x:f>
        <x:v>-0.3277128173892732</x:v>
      </x:c>
      <x:c r="E4835" s="85" t="n">
        <x:f>D4835+'Resumen'!$B$5^3/3</x:f>
        <x:v>0.0056205159440601005</x:v>
      </x:c>
    </x:row>
    <x:row r="4836">
      <x:c r="A4836" s="89" t="n">
        <x:v>4834</x:v>
      </x:c>
      <x:c r="B4836" s="80" t="n">
        <x:v>-0.7189544938817075</x:v>
      </x:c>
      <x:c r="C4836" s="84" t="n">
        <x:f>SQRT('Resumen'!$B$5^3/3)*B4836</x:f>
        <x:v>-0.41508857057769494</x:v>
      </x:c>
      <x:c r="D4836" s="84" t="n">
        <x:f>C4836^2-'Resumen'!$B$5^3/3</x:f>
        <x:v>-0.1610348119090993</x:v>
      </x:c>
      <x:c r="E4836" s="85" t="n">
        <x:f>D4836+'Resumen'!$B$5^3/3</x:f>
        <x:v>0.17229852142423402</x:v>
      </x:c>
    </x:row>
    <x:row r="4837">
      <x:c r="A4837" s="89" t="n">
        <x:v>4835</x:v>
      </x:c>
      <x:c r="B4837" s="80" t="n">
        <x:v>2.1164501737399113</x:v>
      </x:c>
      <x:c r="C4837" s="84" t="n">
        <x:f>SQRT('Resumen'!$B$5^3/3)*B4837</x:f>
        <x:v>1.221933077535168</x:v>
      </x:c>
      <x:c r="D4837" s="84" t="n">
        <x:f>C4837^2-'Resumen'!$B$5^3/3</x:f>
        <x:v>1.1597871126412336</x:v>
      </x:c>
      <x:c r="E4837" s="85" t="n">
        <x:f>D4837+'Resumen'!$B$5^3/3</x:f>
        <x:v>1.4931204459745668</x:v>
      </x:c>
    </x:row>
    <x:row r="4838">
      <x:c r="A4838" s="89" t="n">
        <x:v>4836</x:v>
      </x:c>
      <x:c r="B4838" s="80" t="n">
        <x:v>-0.3225498013104991</x:v>
      </x:c>
      <x:c r="C4838" s="84" t="n">
        <x:f>SQRT('Resumen'!$B$5^3/3)*B4838</x:f>
        <x:v>-0.18622421461367694</x:v>
      </x:c>
      <x:c r="D4838" s="84" t="n">
        <x:f>C4838^2-'Resumen'!$B$5^3/3</x:f>
        <x:v>-0.2986538752248525</x:v>
      </x:c>
      <x:c r="E4838" s="85" t="n">
        <x:f>D4838+'Resumen'!$B$5^3/3</x:f>
        <x:v>0.03467945810848083</x:v>
      </x:c>
    </x:row>
    <x:row r="4839">
      <x:c r="A4839" s="89" t="n">
        <x:v>4837</x:v>
      </x:c>
      <x:c r="B4839" s="80" t="n">
        <x:v>0.7260075605310026</x:v>
      </x:c>
      <x:c r="C4839" s="84" t="n">
        <x:f>SQRT('Resumen'!$B$5^3/3)*B4839</x:f>
        <x:v>0.4191606605062778</x:v>
      </x:c>
      <x:c r="D4839" s="84" t="n">
        <x:f>C4839^2-'Resumen'!$B$5^3/3</x:f>
        <x:v>-0.15763767401727422</x:v>
      </x:c>
      <x:c r="E4839" s="85" t="n">
        <x:f>D4839+'Resumen'!$B$5^3/3</x:f>
        <x:v>0.1756956593160591</x:v>
      </x:c>
    </x:row>
    <x:row r="4840">
      <x:c r="A4840" s="89" t="n">
        <x:v>4838</x:v>
      </x:c>
      <x:c r="B4840" s="80" t="n">
        <x:v>-0.3981008541221867</x:v>
      </x:c>
      <x:c r="C4840" s="84" t="n">
        <x:f>SQRT('Resumen'!$B$5^3/3)*B4840</x:f>
        <x:v>-0.22984363529206442</x:v>
      </x:c>
      <x:c r="D4840" s="84" t="n">
        <x:f>C4840^2-'Resumen'!$B$5^3/3</x:f>
        <x:v>-0.2805052366490618</x:v>
      </x:c>
      <x:c r="E4840" s="85" t="n">
        <x:f>D4840+'Resumen'!$B$5^3/3</x:f>
        <x:v>0.05282809668427152</x:v>
      </x:c>
    </x:row>
    <x:row r="4841">
      <x:c r="A4841" s="89" t="n">
        <x:v>4839</x:v>
      </x:c>
      <x:c r="B4841" s="80" t="n">
        <x:v>2.2859069972875</x:v>
      </x:c>
      <x:c r="C4841" s="84" t="n">
        <x:f>SQRT('Resumen'!$B$5^3/3)*B4841</x:f>
        <x:v>1.3197690202263872</x:v>
      </x:c>
      <x:c r="D4841" s="84" t="n">
        <x:f>C4841^2-'Resumen'!$B$5^3/3</x:f>
        <x:v>1.4084569334159849</x:v>
      </x:c>
      <x:c r="E4841" s="85" t="n">
        <x:f>D4841+'Resumen'!$B$5^3/3</x:f>
        <x:v>1.7417902667493181</x:v>
      </x:c>
    </x:row>
    <x:row r="4842">
      <x:c r="A4842" s="89" t="n">
        <x:v>4840</x:v>
      </x:c>
      <x:c r="B4842" s="80" t="n">
        <x:v>0.14911548781061665</x:v>
      </x:c>
      <x:c r="C4842" s="84" t="n">
        <x:f>SQRT('Resumen'!$B$5^3/3)*B4842</x:f>
        <x:v>0.08609186702780187</x:v>
      </x:c>
      <x:c r="D4842" s="84" t="n">
        <x:f>C4842^2-'Resumen'!$B$5^3/3</x:f>
        <x:v>-0.3259215237650006</x:v>
      </x:c>
      <x:c r="E4842" s="85" t="n">
        <x:f>D4842+'Resumen'!$B$5^3/3</x:f>
        <x:v>0.007411809568332706</x:v>
      </x:c>
    </x:row>
    <x:row r="4843">
      <x:c r="A4843" s="89" t="n">
        <x:v>4841</x:v>
      </x:c>
      <x:c r="B4843" s="80" t="n">
        <x:v>-1.3312080918224056</x:v>
      </x:c>
      <x:c r="C4843" s="84" t="n">
        <x:f>SQRT('Resumen'!$B$5^3/3)*B4843</x:f>
        <x:v>-0.7685733501610739</x:v>
      </x:c>
      <x:c r="D4843" s="84" t="n">
        <x:f>C4843^2-'Resumen'!$B$5^3/3</x:f>
        <x:v>0.25737166124448335</x:v>
      </x:c>
      <x:c r="E4843" s="85" t="n">
        <x:f>D4843+'Resumen'!$B$5^3/3</x:f>
        <x:v>0.5907049945778167</x:v>
      </x:c>
    </x:row>
    <x:row r="4844">
      <x:c r="A4844" s="89" t="n">
        <x:v>4842</x:v>
      </x:c>
      <x:c r="B4844" s="80" t="n">
        <x:v>0.5554249932789771</x:v>
      </x:c>
      <x:c r="C4844" s="84" t="n">
        <x:f>SQRT('Resumen'!$B$5^3/3)*B4844</x:f>
        <x:v>0.3206747693842635</x:v>
      </x:c>
      <x:c r="D4844" s="84" t="n">
        <x:f>C4844^2-'Resumen'!$B$5^3/3</x:f>
        <x:v>-0.23050102561368274</x:v>
      </x:c>
      <x:c r="E4844" s="85" t="n">
        <x:f>D4844+'Resumen'!$B$5^3/3</x:f>
        <x:v>0.10283230771965057</x:v>
      </x:c>
    </x:row>
    <x:row r="4845">
      <x:c r="A4845" s="89" t="n">
        <x:v>4843</x:v>
      </x:c>
      <x:c r="B4845" s="80" t="n">
        <x:v>-0.294603619713814</x:v>
      </x:c>
      <x:c r="C4845" s="84" t="n">
        <x:f>SQRT('Resumen'!$B$5^3/3)*B4845</x:f>
        <x:v>-0.17008947914600864</x:v>
      </x:c>
      <x:c r="D4845" s="84" t="n">
        <x:f>C4845^2-'Resumen'!$B$5^3/3</x:f>
        <x:v>-0.3044029024171728</x:v>
      </x:c>
      <x:c r="E4845" s="85" t="n">
        <x:f>D4845+'Resumen'!$B$5^3/3</x:f>
        <x:v>0.028930430916160488</x:v>
      </x:c>
    </x:row>
    <x:row r="4846">
      <x:c r="A4846" s="89" t="n">
        <x:v>4844</x:v>
      </x:c>
      <x:c r="B4846" s="80" t="n">
        <x:v>-0.5578874450401418</x:v>
      </x:c>
      <x:c r="C4846" s="84" t="n">
        <x:f>SQRT('Resumen'!$B$5^3/3)*B4846</x:f>
        <x:v>-0.32209646657143837</x:v>
      </x:c>
      <x:c r="D4846" s="84" t="n">
        <x:f>C4846^2-'Resumen'!$B$5^3/3</x:f>
        <x:v>-0.2295871995555276</x:v>
      </x:c>
      <x:c r="E4846" s="85" t="n">
        <x:f>D4846+'Resumen'!$B$5^3/3</x:f>
        <x:v>0.10374613377780573</x:v>
      </x:c>
    </x:row>
    <x:row r="4847">
      <x:c r="A4847" s="89" t="n">
        <x:v>4845</x:v>
      </x:c>
      <x:c r="B4847" s="80" t="n">
        <x:v>0.40126770385341687</x:v>
      </x:c>
      <x:c r="C4847" s="84" t="n">
        <x:f>SQRT('Resumen'!$B$5^3/3)*B4847</x:f>
        <x:v>0.23167201683687325</x:v>
      </x:c>
      <x:c r="D4847" s="84" t="n">
        <x:f>C4847^2-'Resumen'!$B$5^3/3</x:f>
        <x:v>-0.2796614099480688</x:v>
      </x:c>
      <x:c r="E4847" s="85" t="n">
        <x:f>D4847+'Resumen'!$B$5^3/3</x:f>
        <x:v>0.0536719233852645</x:v>
      </x:c>
    </x:row>
    <x:row r="4848">
      <x:c r="A4848" s="89" t="n">
        <x:v>4846</x:v>
      </x:c>
      <x:c r="B4848" s="80" t="n">
        <x:v>0.03651327809291187</x:v>
      </x:c>
      <x:c r="C4848" s="84" t="n">
        <x:f>SQRT('Resumen'!$B$5^3/3)*B4848</x:f>
        <x:v>0.02108095093593833</x:v>
      </x:c>
      <x:c r="D4848" s="84" t="n">
        <x:f>C4848^2-'Resumen'!$B$5^3/3</x:f>
        <x:v>-0.3328889268409699</x:v>
      </x:c>
      <x:c r="E4848" s="85" t="n">
        <x:f>D4848+'Resumen'!$B$5^3/3</x:f>
        <x:v>0.0004444064923634361</x:v>
      </x:c>
    </x:row>
    <x:row r="4849">
      <x:c r="A4849" s="89" t="n">
        <x:v>4847</x:v>
      </x:c>
      <x:c r="B4849" s="80" t="n">
        <x:v>0.49227884278631023</x:v>
      </x:c>
      <x:c r="C4849" s="84" t="n">
        <x:f>SQRT('Resumen'!$B$5^3/3)*B4849</x:f>
        <x:v>0.28421732239903363</x:v>
      </x:c>
      <x:c r="D4849" s="84" t="n">
        <x:f>C4849^2-'Resumen'!$B$5^3/3</x:f>
        <x:v>-0.25255384698165706</x:v>
      </x:c>
      <x:c r="E4849" s="85" t="n">
        <x:f>D4849+'Resumen'!$B$5^3/3</x:f>
        <x:v>0.08077948635167626</x:v>
      </x:c>
    </x:row>
    <x:row r="4850">
      <x:c r="A4850" s="89" t="n">
        <x:v>4848</x:v>
      </x:c>
      <x:c r="B4850" s="80" t="n">
        <x:v>-0.13365067199617067</x:v>
      </x:c>
      <x:c r="C4850" s="84" t="n">
        <x:f>SQRT('Resumen'!$B$5^3/3)*B4850</x:f>
        <x:v>-0.07716325145436351</x:v>
      </x:c>
      <x:c r="D4850" s="84" t="n">
        <x:f>C4850^2-'Resumen'!$B$5^3/3</x:f>
        <x:v>-0.327379165958324</x:v>
      </x:c>
      <x:c r="E4850" s="85" t="n">
        <x:f>D4850+'Resumen'!$B$5^3/3</x:f>
        <x:v>0.005954167375009312</x:v>
      </x:c>
    </x:row>
    <x:row r="4851">
      <x:c r="A4851" s="89" t="n">
        <x:v>4849</x:v>
      </x:c>
      <x:c r="B4851" s="80" t="n">
        <x:v>-1.5157109979835204</x:v>
      </x:c>
      <x:c r="C4851" s="84" t="n">
        <x:f>SQRT('Resumen'!$B$5^3/3)*B4851</x:f>
        <x:v>-0.8750961526994617</x:v>
      </x:c>
      <x:c r="D4851" s="84" t="n">
        <x:f>C4851^2-'Resumen'!$B$5^3/3</x:f>
        <x:v>0.43245994313606634</x:v>
      </x:c>
      <x:c r="E4851" s="85" t="n">
        <x:f>D4851+'Resumen'!$B$5^3/3</x:f>
        <x:v>0.7657932764693997</x:v>
      </x:c>
    </x:row>
    <x:row r="4852">
      <x:c r="A4852" s="89" t="n">
        <x:v>4850</x:v>
      </x:c>
      <x:c r="B4852" s="80" t="n">
        <x:v>0.38361498157424084</x:v>
      </x:c>
      <x:c r="C4852" s="84" t="n">
        <x:f>SQRT('Resumen'!$B$5^3/3)*B4852</x:f>
        <x:v>0.22148021287706127</x:v>
      </x:c>
      <x:c r="D4852" s="84" t="n">
        <x:f>C4852^2-'Resumen'!$B$5^3/3</x:f>
        <x:v>-0.28427984863726496</x:v>
      </x:c>
      <x:c r="E4852" s="85" t="n">
        <x:f>D4852+'Resumen'!$B$5^3/3</x:f>
        <x:v>0.04905348469606835</x:v>
      </x:c>
    </x:row>
    <x:row r="4853">
      <x:c r="A4853" s="89" t="n">
        <x:v>4851</x:v>
      </x:c>
      <x:c r="B4853" s="80" t="n">
        <x:v>-0.8419326767825178</x:v>
      </x:c>
      <x:c r="C4853" s="84" t="n">
        <x:f>SQRT('Resumen'!$B$5^3/3)*B4853</x:f>
        <x:v>-0.4860900575799288</x:v>
      </x:c>
      <x:c r="D4853" s="84" t="n">
        <x:f>C4853^2-'Resumen'!$B$5^3/3</x:f>
        <x:v>-0.09704978925527483</x:v>
      </x:c>
      <x:c r="E4853" s="85" t="n">
        <x:f>D4853+'Resumen'!$B$5^3/3</x:f>
        <x:v>0.2362835440780585</x:v>
      </x:c>
    </x:row>
    <x:row r="4854">
      <x:c r="A4854" s="89" t="n">
        <x:v>4852</x:v>
      </x:c>
      <x:c r="B4854" s="80" t="n">
        <x:v>-0.04618384439581757</x:v>
      </x:c>
      <x:c r="C4854" s="84" t="n">
        <x:f>SQRT('Resumen'!$B$5^3/3)*B4854</x:f>
        <x:v>-0.02666425499413706</x:v>
      </x:c>
      <x:c r="D4854" s="84" t="n">
        <x:f>C4854^2-'Resumen'!$B$5^3/3</x:f>
        <x:v>-0.33262235083894093</x:v>
      </x:c>
      <x:c r="E4854" s="85" t="n">
        <x:f>D4854+'Resumen'!$B$5^3/3</x:f>
        <x:v>0.000710982494392387</x:v>
      </x:c>
    </x:row>
    <x:row r="4855">
      <x:c r="A4855" s="89" t="n">
        <x:v>4853</x:v>
      </x:c>
      <x:c r="B4855" s="80" t="n">
        <x:v>-0.01925304025937832</x:v>
      </x:c>
      <x:c r="C4855" s="84" t="n">
        <x:f>SQRT('Resumen'!$B$5^3/3)*B4855</x:f>
        <x:v>-0.011115747976470775</x:v>
      </x:c>
      <x:c r="D4855" s="84" t="n">
        <x:f>C4855^2-'Resumen'!$B$5^3/3</x:f>
        <x:v>-0.3332097734802569</x:v>
      </x:c>
      <x:c r="E4855" s="85" t="n">
        <x:f>D4855+'Resumen'!$B$5^3/3</x:f>
        <x:v>0.00012355985307643813</x:v>
      </x:c>
    </x:row>
    <x:row r="4856">
      <x:c r="A4856" s="89" t="n">
        <x:v>4854</x:v>
      </x:c>
      <x:c r="B4856" s="80" t="n">
        <x:v>-0.9600243188556336</x:v>
      </x:c>
      <x:c r="C4856" s="84" t="n">
        <x:f>SQRT('Resumen'!$B$5^3/3)*B4856</x:f>
        <x:v>-0.5542702989198871</x:v>
      </x:c>
      <x:c r="D4856" s="84" t="n">
        <x:f>C4856^2-'Resumen'!$B$5^3/3</x:f>
        <x:v>-0.02611776906859231</x:v>
      </x:c>
      <x:c r="E4856" s="85" t="n">
        <x:f>D4856+'Resumen'!$B$5^3/3</x:f>
        <x:v>0.307215564264741</x:v>
      </x:c>
    </x:row>
    <x:row r="4857">
      <x:c r="A4857" s="89" t="n">
        <x:v>4855</x:v>
      </x:c>
      <x:c r="B4857" s="80" t="n">
        <x:v>-2.060835572814342</x:v>
      </x:c>
      <x:c r="C4857" s="84" t="n">
        <x:f>SQRT('Resumen'!$B$5^3/3)*B4857</x:f>
        <x:v>-1.189823972719917</x:v>
      </x:c>
      <x:c r="D4857" s="84" t="n">
        <x:f>C4857^2-'Resumen'!$B$5^3/3</x:f>
        <x:v>1.0823477527256724</x:v>
      </x:c>
      <x:c r="E4857" s="85" t="n">
        <x:f>D4857+'Resumen'!$B$5^3/3</x:f>
        <x:v>1.4156810860590057</x:v>
      </x:c>
    </x:row>
    <x:row r="4858">
      <x:c r="A4858" s="89" t="n">
        <x:v>4856</x:v>
      </x:c>
      <x:c r="B4858" s="80" t="n">
        <x:v>1.0155042834722643</x:v>
      </x:c>
      <x:c r="C4858" s="84" t="n">
        <x:f>SQRT('Resumen'!$B$5^3/3)*B4858</x:f>
        <x:v>0.5863016714259298</x:v>
      </x:c>
      <x:c r="D4858" s="84" t="n">
        <x:f>C4858^2-'Resumen'!$B$5^3/3</x:f>
        <x:v>0.01041631658350567</x:v>
      </x:c>
      <x:c r="E4858" s="85" t="n">
        <x:f>D4858+'Resumen'!$B$5^3/3</x:f>
        <x:v>0.343749649916839</x:v>
      </x:c>
    </x:row>
    <x:row r="4859">
      <x:c r="A4859" s="89" t="n">
        <x:v>4857</x:v>
      </x:c>
      <x:c r="B4859" s="80" t="n">
        <x:v>0.26405349654205085</x:v>
      </x:c>
      <x:c r="C4859" s="84" t="n">
        <x:f>SQRT('Resumen'!$B$5^3/3)*B4859</x:f>
        <x:v>0.15245135730901496</x:v>
      </x:c>
      <x:c r="D4859" s="84" t="n">
        <x:f>C4859^2-'Resumen'!$B$5^3/3</x:f>
        <x:v>-0.31009191698797234</x:v>
      </x:c>
      <x:c r="E4859" s="85" t="n">
        <x:f>D4859+'Resumen'!$B$5^3/3</x:f>
        <x:v>0.023241416345360977</x:v>
      </x:c>
    </x:row>
    <x:row r="4860">
      <x:c r="A4860" s="89" t="n">
        <x:v>4858</x:v>
      </x:c>
      <x:c r="B4860" s="80" t="n">
        <x:v>1.6034106617051993</x:v>
      </x:c>
      <x:c r="C4860" s="84" t="n">
        <x:f>SQRT('Resumen'!$B$5^3/3)*B4860</x:f>
        <x:v>0.9257295771570128</x:v>
      </x:c>
      <x:c r="D4860" s="84" t="n">
        <x:f>C4860^2-'Resumen'!$B$5^3/3</x:f>
        <x:v>0.5236419166899684</x:v>
      </x:c>
      <x:c r="E4860" s="85" t="n">
        <x:f>D4860+'Resumen'!$B$5^3/3</x:f>
        <x:v>0.8569752500233017</x:v>
      </x:c>
    </x:row>
    <x:row r="4861">
      <x:c r="A4861" s="89" t="n">
        <x:v>4859</x:v>
      </x:c>
      <x:c r="B4861" s="80" t="n">
        <x:v>-0.9026618657527614</x:v>
      </x:c>
      <x:c r="C4861" s="84" t="n">
        <x:f>SQRT('Resumen'!$B$5^3/3)*B4861</x:f>
        <x:v>-0.5211520711795666</x:v>
      </x:c>
      <x:c r="D4861" s="84" t="n">
        <x:f>C4861^2-'Resumen'!$B$5^3/3</x:f>
        <x:v>-0.06173385203858123</x:v>
      </x:c>
      <x:c r="E4861" s="85" t="n">
        <x:f>D4861+'Resumen'!$B$5^3/3</x:f>
        <x:v>0.2715994812947521</x:v>
      </x:c>
    </x:row>
    <x:row r="4862">
      <x:c r="A4862" s="89" t="n">
        <x:v>4860</x:v>
      </x:c>
      <x:c r="B4862" s="80" t="n">
        <x:v>0.5898613144994908</x:v>
      </x:c>
      <x:c r="C4862" s="84" t="n">
        <x:f>SQRT('Resumen'!$B$5^3/3)*B4862</x:f>
        <x:v>0.34055658871082745</x:v>
      </x:c>
      <x:c r="D4862" s="84" t="n">
        <x:f>C4862^2-'Resumen'!$B$5^3/3</x:f>
        <x:v>-0.21735454321897762</x:v>
      </x:c>
      <x:c r="E4862" s="85" t="n">
        <x:f>D4862+'Resumen'!$B$5^3/3</x:f>
        <x:v>0.11597879011435569</x:v>
      </x:c>
    </x:row>
    <x:row r="4863">
      <x:c r="A4863" s="89" t="n">
        <x:v>4861</x:v>
      </x:c>
      <x:c r="B4863" s="80" t="n">
        <x:v>-1.5731110475959227</x:v>
      </x:c>
      <x:c r="C4863" s="84" t="n">
        <x:f>SQRT('Resumen'!$B$5^3/3)*B4863</x:f>
        <x:v>-0.9082360867946802</x:v>
      </x:c>
      <x:c r="D4863" s="84" t="n">
        <x:f>C4863^2-'Resumen'!$B$5^3/3</x:f>
        <x:v>0.49155945602278045</x:v>
      </x:c>
      <x:c r="E4863" s="85" t="n">
        <x:f>D4863+'Resumen'!$B$5^3/3</x:f>
        <x:v>0.8248927893561138</x:v>
      </x:c>
    </x:row>
    <x:row r="4864">
      <x:c r="A4864" s="89" t="n">
        <x:v>4862</x:v>
      </x:c>
      <x:c r="B4864" s="80" t="n">
        <x:v>0.02797829134026682</x:v>
      </x:c>
      <x:c r="C4864" s="84" t="n">
        <x:f>SQRT('Resumen'!$B$5^3/3)*B4864</x:f>
        <x:v>0.016153274036768823</x:v>
      </x:c>
      <x:c r="D4864" s="84" t="n">
        <x:f>C4864^2-'Resumen'!$B$5^3/3</x:f>
        <x:v>-0.3330724050712264</x:v>
      </x:c>
      <x:c r="E4864" s="85" t="n">
        <x:f>D4864+'Resumen'!$B$5^3/3</x:f>
        <x:v>0.00026092826210694087</x:v>
      </x:c>
    </x:row>
    <x:row r="4865">
      <x:c r="A4865" s="89" t="n">
        <x:v>4863</x:v>
      </x:c>
      <x:c r="B4865" s="80" t="n">
        <x:v>0.6140308288563538</x:v>
      </x:c>
      <x:c r="C4865" s="84" t="n">
        <x:f>SQRT('Resumen'!$B$5^3/3)*B4865</x:f>
        <x:v>0.3545108643309449</x:v>
      </x:c>
      <x:c r="D4865" s="84" t="n">
        <x:f>C4865^2-'Resumen'!$B$5^3/3</x:f>
        <x:v>-0.20765538040465967</x:v>
      </x:c>
      <x:c r="E4865" s="85" t="n">
        <x:f>D4865+'Resumen'!$B$5^3/3</x:f>
        <x:v>0.12567795292867365</x:v>
      </x:c>
    </x:row>
    <x:row r="4866">
      <x:c r="A4866" s="89" t="n">
        <x:v>4864</x:v>
      </x:c>
      <x:c r="B4866" s="80" t="n">
        <x:v>0.10475157604605775</x:v>
      </x:c>
      <x:c r="C4866" s="84" t="n">
        <x:f>SQRT('Resumen'!$B$5^3/3)*B4866</x:f>
        <x:v>0.060478350628229</x:v>
      </x:c>
      <x:c r="D4866" s="84" t="n">
        <x:f>C4866^2-'Resumen'!$B$5^3/3</x:f>
        <x:v>-0.3296757024386223</x:v>
      </x:c>
      <x:c r="E4866" s="85" t="n">
        <x:f>D4866+'Resumen'!$B$5^3/3</x:f>
        <x:v>0.003657630894710995</x:v>
      </x:c>
    </x:row>
    <x:row r="4867">
      <x:c r="A4867" s="89" t="n">
        <x:v>4865</x:v>
      </x:c>
      <x:c r="B4867" s="80" t="n">
        <x:v>-0.5633539622428363</x:v>
      </x:c>
      <x:c r="C4867" s="84" t="n">
        <x:f>SQRT('Resumen'!$B$5^3/3)*B4867</x:f>
        <x:v>-0.32525256174994377</x:v>
      </x:c>
      <x:c r="D4867" s="84" t="n">
        <x:f>C4867^2-'Resumen'!$B$5^3/3</x:f>
        <x:v>-0.2275441044084323</x:v>
      </x:c>
      <x:c r="E4867" s="85" t="n">
        <x:f>D4867+'Resumen'!$B$5^3/3</x:f>
        <x:v>0.105789228924901</x:v>
      </x:c>
    </x:row>
    <x:row r="4868">
      <x:c r="A4868" s="89" t="n">
        <x:v>4866</x:v>
      </x:c>
      <x:c r="B4868" s="80" t="n">
        <x:v>-0.6825696618122961</x:v>
      </x:c>
      <x:c r="C4868" s="84" t="n">
        <x:f>SQRT('Resumen'!$B$5^3/3)*B4868</x:f>
        <x:v>-0.3940817779880009</x:v>
      </x:c>
      <x:c r="D4868" s="84" t="n">
        <x:f>C4868^2-'Resumen'!$B$5^3/3</x:f>
        <x:v>-0.17803288559114927</x:v>
      </x:c>
      <x:c r="E4868" s="85" t="n">
        <x:f>D4868+'Resumen'!$B$5^3/3</x:f>
        <x:v>0.15530044774218404</x:v>
      </x:c>
    </x:row>
    <x:row r="4869">
      <x:c r="A4869" s="89" t="n">
        <x:v>4867</x:v>
      </x:c>
      <x:c r="B4869" s="80" t="n">
        <x:v>1.9579151947506437</x:v>
      </x:c>
      <x:c r="C4869" s="84" t="n">
        <x:f>SQRT('Resumen'!$B$5^3/3)*B4869</x:f>
        <x:v>1.1304028647397426</x:v>
      </x:c>
      <x:c r="D4869" s="84" t="n">
        <x:f>C4869^2-'Resumen'!$B$5^3/3</x:f>
        <x:v>0.9444773032784837</x:v>
      </x:c>
      <x:c r="E4869" s="85" t="n">
        <x:f>D4869+'Resumen'!$B$5^3/3</x:f>
        <x:v>1.277810636611817</x:v>
      </x:c>
    </x:row>
    <x:row r="4870">
      <x:c r="A4870" s="89" t="n">
        <x:v>4868</x:v>
      </x:c>
      <x:c r="B4870" s="80" t="n">
        <x:v>1.3326251752854803</x:v>
      </x:c>
      <x:c r="C4870" s="84" t="n">
        <x:f>SQRT('Resumen'!$B$5^3/3)*B4870</x:f>
        <x:v>0.7693915036799442</x:v>
      </x:c>
      <x:c r="D4870" s="84" t="n">
        <x:f>C4870^2-'Resumen'!$B$5^3/3</x:f>
        <x:v>0.25862995260155236</x:v>
      </x:c>
      <x:c r="E4870" s="85" t="n">
        <x:f>D4870+'Resumen'!$B$5^3/3</x:f>
        <x:v>0.5919632859348857</x:v>
      </x:c>
    </x:row>
    <x:row r="4871">
      <x:c r="A4871" s="89" t="n">
        <x:v>4869</x:v>
      </x:c>
      <x:c r="B4871" s="80" t="n">
        <x:v>0.28402598854356326</x:v>
      </x:c>
      <x:c r="C4871" s="84" t="n">
        <x:f>SQRT('Resumen'!$B$5^3/3)*B4871</x:f>
        <x:v>0.1639824809424758</x:v>
      </x:c>
      <x:c r="D4871" s="84" t="n">
        <x:f>C4871^2-'Resumen'!$B$5^3/3</x:f>
        <x:v>-0.30644307927728387</x:v>
      </x:c>
      <x:c r="E4871" s="85" t="n">
        <x:f>D4871+'Resumen'!$B$5^3/3</x:f>
        <x:v>0.026890254056049445</x:v>
      </x:c>
    </x:row>
    <x:row r="4872">
      <x:c r="A4872" s="89" t="n">
        <x:v>4870</x:v>
      </x:c>
      <x:c r="B4872" s="80" t="n">
        <x:v>1.9626930580039164</x:v>
      </x:c>
      <x:c r="C4872" s="84" t="n">
        <x:f>SQRT('Resumen'!$B$5^3/3)*B4872</x:f>
        <x:v>1.1331613653751709</x:v>
      </x:c>
      <x:c r="D4872" s="84" t="n">
        <x:f>C4872^2-'Resumen'!$B$5^3/3</x:f>
        <x:v>0.9507213466455882</x:v>
      </x:c>
      <x:c r="E4872" s="85" t="n">
        <x:f>D4872+'Resumen'!$B$5^3/3</x:f>
        <x:v>1.2840546799789214</x:v>
      </x:c>
    </x:row>
    <x:row r="4873">
      <x:c r="A4873" s="89" t="n">
        <x:v>4871</x:v>
      </x:c>
      <x:c r="B4873" s="80" t="n">
        <x:v>-1.904211989803909</x:v>
      </x:c>
      <x:c r="C4873" s="84" t="n">
        <x:f>SQRT('Resumen'!$B$5^3/3)*B4873</x:f>
        <x:v>-1.0993973049073997</x:v>
      </x:c>
      <x:c r="D4873" s="84" t="n">
        <x:f>C4873^2-'Resumen'!$B$5^3/3</x:f>
        <x:v>0.8753411007043208</x:v>
      </x:c>
      <x:c r="E4873" s="85" t="n">
        <x:f>D4873+'Resumen'!$B$5^3/3</x:f>
        <x:v>1.208674434037654</x:v>
      </x:c>
    </x:row>
    <x:row r="4874">
      <x:c r="A4874" s="89" t="n">
        <x:v>4872</x:v>
      </x:c>
      <x:c r="B4874" s="80" t="n">
        <x:v>0.35549371628215914</x:v>
      </x:c>
      <x:c r="C4874" s="84" t="n">
        <x:f>SQRT('Resumen'!$B$5^3/3)*B4874</x:f>
        <x:v>0.205244392790725</x:v>
      </x:c>
      <x:c r="D4874" s="84" t="n">
        <x:f>C4874^2-'Resumen'!$B$5^3/3</x:f>
        <x:v>-0.2912080725612999</x:v>
      </x:c>
      <x:c r="E4874" s="85" t="n">
        <x:f>D4874+'Resumen'!$B$5^3/3</x:f>
        <x:v>0.042125260772033435</x:v>
      </x:c>
    </x:row>
    <x:row r="4875">
      <x:c r="A4875" s="89" t="n">
        <x:v>4873</x:v>
      </x:c>
      <x:c r="B4875" s="80" t="n">
        <x:v>-1.182159693939462</x:v>
      </x:c>
      <x:c r="C4875" s="84" t="n">
        <x:f>SQRT('Resumen'!$B$5^3/3)*B4875</x:f>
        <x:v>-0.682520217521074</x:v>
      </x:c>
      <x:c r="D4875" s="84" t="n">
        <x:f>C4875^2-'Resumen'!$B$5^3/3</x:f>
        <x:v>0.13250051399168078</x:v>
      </x:c>
      <x:c r="E4875" s="85" t="n">
        <x:f>D4875+'Resumen'!$B$5^3/3</x:f>
        <x:v>0.4658338473250141</x:v>
      </x:c>
    </x:row>
    <x:row r="4876">
      <x:c r="A4876" s="89" t="n">
        <x:v>4874</x:v>
      </x:c>
      <x:c r="B4876" s="80" t="n">
        <x:v>-0.387682917607841</x:v>
      </x:c>
      <x:c r="C4876" s="84" t="n">
        <x:f>SQRT('Resumen'!$B$5^3/3)*B4876</x:f>
        <x:v>-0.2238288368411065</x:v>
      </x:c>
      <x:c r="D4876" s="84" t="n">
        <x:f>C4876^2-'Resumen'!$B$5^3/3</x:f>
        <x:v>-0.2832339851316906</x:v>
      </x:c>
      <x:c r="E4876" s="85" t="n">
        <x:f>D4876+'Resumen'!$B$5^3/3</x:f>
        <x:v>0.05009934820164269</x:v>
      </x:c>
    </x:row>
    <x:row r="4877">
      <x:c r="A4877" s="89" t="n">
        <x:v>4875</x:v>
      </x:c>
      <x:c r="B4877" s="80" t="n">
        <x:v>-0.6731723713275389</x:v>
      </x:c>
      <x:c r="C4877" s="84" t="n">
        <x:f>SQRT('Resumen'!$B$5^3/3)*B4877</x:f>
        <x:v>-0.3886562497969733</x:v>
      </x:c>
      <x:c r="D4877" s="84" t="n">
        <x:f>C4877^2-'Resumen'!$B$5^3/3</x:f>
        <x:v>-0.18227965282708603</x:v>
      </x:c>
      <x:c r="E4877" s="85" t="n">
        <x:f>D4877+'Resumen'!$B$5^3/3</x:f>
        <x:v>0.1510536805062473</x:v>
      </x:c>
    </x:row>
    <x:row r="4878">
      <x:c r="A4878" s="89" t="n">
        <x:v>4876</x:v>
      </x:c>
      <x:c r="B4878" s="80" t="n">
        <x:v>-0.14520101951577022</x:v>
      </x:c>
      <x:c r="C4878" s="84" t="n">
        <x:f>SQRT('Resumen'!$B$5^3/3)*B4878</x:f>
        <x:v>-0.08383184770403804</x:v>
      </x:c>
      <x:c r="D4878" s="84" t="n">
        <x:f>C4878^2-'Resumen'!$B$5^3/3</x:f>
        <x:v>-0.3263055546438603</x:v>
      </x:c>
      <x:c r="E4878" s="85" t="n">
        <x:f>D4878+'Resumen'!$B$5^3/3</x:f>
        <x:v>0.007027778689473019</x:v>
      </x:c>
    </x:row>
    <x:row r="4879">
      <x:c r="A4879" s="89" t="n">
        <x:v>4877</x:v>
      </x:c>
      <x:c r="B4879" s="80" t="n">
        <x:v>-0.4560399023397863</x:v>
      </x:c>
      <x:c r="C4879" s="84" t="n">
        <x:f>SQRT('Resumen'!$B$5^3/3)*B4879</x:f>
        <x:v>-0.26329476037708627</x:v>
      </x:c>
      <x:c r="D4879" s="84" t="n">
        <x:f>C4879^2-'Resumen'!$B$5^3/3</x:f>
        <x:v>-0.26400920249130605</x:v>
      </x:c>
      <x:c r="E4879" s="85" t="n">
        <x:f>D4879+'Resumen'!$B$5^3/3</x:f>
        <x:v>0.06932413084202727</x:v>
      </x:c>
    </x:row>
    <x:row r="4880">
      <x:c r="A4880" s="89" t="n">
        <x:v>4878</x:v>
      </x:c>
      <x:c r="B4880" s="80" t="n">
        <x:v>1.4931943563053944</x:v>
      </x:c>
      <x:c r="C4880" s="84" t="n">
        <x:f>SQRT('Resumen'!$B$5^3/3)*B4880</x:f>
        <x:v>0.8620961635653493</x:v>
      </x:c>
      <x:c r="D4880" s="84" t="n">
        <x:f>C4880^2-'Resumen'!$B$5^3/3</x:f>
        <x:v>0.40987646190076027</x:v>
      </x:c>
      <x:c r="E4880" s="85" t="n">
        <x:f>D4880+'Resumen'!$B$5^3/3</x:f>
        <x:v>0.7432097952340936</x:v>
      </x:c>
    </x:row>
    <x:row r="4881">
      <x:c r="A4881" s="89" t="n">
        <x:v>4879</x:v>
      </x:c>
      <x:c r="B4881" s="80" t="n">
        <x:v>0.7037024814586913</x:v>
      </x:c>
      <x:c r="C4881" s="84" t="n">
        <x:f>SQRT('Resumen'!$B$5^3/3)*B4881</x:f>
        <x:v>0.406282817099583</x:v>
      </x:c>
      <x:c r="D4881" s="84" t="n">
        <x:f>C4881^2-'Resumen'!$B$5^3/3</x:f>
        <x:v>-0.16826760586296008</x:v>
      </x:c>
      <x:c r="E4881" s="85" t="n">
        <x:f>D4881+'Resumen'!$B$5^3/3</x:f>
        <x:v>0.16506572747037324</x:v>
      </x:c>
    </x:row>
    <x:row r="4882">
      <x:c r="A4882" s="89" t="n">
        <x:v>4880</x:v>
      </x:c>
      <x:c r="B4882" s="80" t="n">
        <x:v>0.8142482608724498</x:v>
      </x:c>
      <x:c r="C4882" s="84" t="n">
        <x:f>SQRT('Resumen'!$B$5^3/3)*B4882</x:f>
        <x:v>0.4701064526018935</x:v>
      </x:c>
      <x:c r="D4882" s="84" t="n">
        <x:f>C4882^2-'Resumen'!$B$5^3/3</x:f>
        <x:v>-0.112333256555397</x:v>
      </x:c>
      <x:c r="E4882" s="85" t="n">
        <x:f>D4882+'Resumen'!$B$5^3/3</x:f>
        <x:v>0.22100007677793632</x:v>
      </x:c>
    </x:row>
    <x:row r="4883">
      <x:c r="A4883" s="89" t="n">
        <x:v>4881</x:v>
      </x:c>
      <x:c r="B4883" s="80" t="n">
        <x:v>0.874862874532263</x:v>
      </x:c>
      <x:c r="C4883" s="84" t="n">
        <x:f>SQRT('Resumen'!$B$5^3/3)*B4883</x:f>
        <x:v>0.5051023161152118</x:v>
      </x:c>
      <x:c r="D4883" s="84" t="n">
        <x:f>C4883^2-'Resumen'!$B$5^3/3</x:f>
        <x:v>-0.0782049835883819</x:v>
      </x:c>
      <x:c r="E4883" s="85" t="n">
        <x:f>D4883+'Resumen'!$B$5^3/3</x:f>
        <x:v>0.2551283497449514</x:v>
      </x:c>
    </x:row>
    <x:row r="4884">
      <x:c r="A4884" s="89" t="n">
        <x:v>4882</x:v>
      </x:c>
      <x:c r="B4884" s="80" t="n">
        <x:v>0.0304830451115164</x:v>
      </x:c>
      <x:c r="C4884" s="84" t="n">
        <x:f>SQRT('Resumen'!$B$5^3/3)*B4884</x:f>
        <x:v>0.0175993943008535</x:v>
      </x:c>
      <x:c r="D4884" s="84" t="n">
        <x:f>C4884^2-'Resumen'!$B$5^3/3</x:f>
        <x:v>-0.3330235946535764</x:v>
      </x:c>
      <x:c r="E4884" s="85" t="n">
        <x:f>D4884+'Resumen'!$B$5^3/3</x:f>
        <x:v>0.00030973867975692126</x:v>
      </x:c>
    </x:row>
    <x:row r="4885">
      <x:c r="A4885" s="89" t="n">
        <x:v>4883</x:v>
      </x:c>
      <x:c r="B4885" s="80" t="n">
        <x:v>0.3536143542730988</x:v>
      </x:c>
      <x:c r="C4885" s="84" t="n">
        <x:f>SQRT('Resumen'!$B$5^3/3)*B4885</x:f>
        <x:v>0.20415934262888927</x:v>
      </x:c>
      <x:c r="D4885" s="84" t="n">
        <x:f>C4885^2-'Resumen'!$B$5^3/3</x:f>
        <x:v>-0.2916522961506731</x:v>
      </x:c>
      <x:c r="E4885" s="85" t="n">
        <x:f>D4885+'Resumen'!$B$5^3/3</x:f>
        <x:v>0.0416810371826602</x:v>
      </x:c>
    </x:row>
    <x:row r="4886">
      <x:c r="A4886" s="89" t="n">
        <x:v>4884</x:v>
      </x:c>
      <x:c r="B4886" s="80" t="n">
        <x:v>-1.9869472208413743</x:v>
      </x:c>
      <x:c r="C4886" s="84" t="n">
        <x:f>SQRT('Resumen'!$B$5^3/3)*B4886</x:f>
        <x:v>-1.147164512818346</x:v>
      </x:c>
      <x:c r="D4886" s="84" t="n">
        <x:f>C4886^2-'Resumen'!$B$5^3/3</x:f>
        <x:v>0.98265308613642</x:v>
      </x:c>
      <x:c r="E4886" s="85" t="n">
        <x:f>D4886+'Resumen'!$B$5^3/3</x:f>
        <x:v>1.3159864194697533</x:v>
      </x:c>
    </x:row>
    <x:row r="4887">
      <x:c r="A4887" s="89" t="n">
        <x:v>4885</x:v>
      </x:c>
      <x:c r="B4887" s="80" t="n">
        <x:v>1.2568709228632118</x:v>
      </x:c>
      <x:c r="C4887" s="84" t="n">
        <x:f>SQRT('Resumen'!$B$5^3/3)*B4887</x:f>
        <x:v>0.7256547656516886</x:v>
      </x:c>
      <x:c r="D4887" s="84" t="n">
        <x:f>C4887^2-'Resumen'!$B$5^3/3</x:f>
        <x:v>0.19324150557967384</x:v>
      </x:c>
      <x:c r="E4887" s="85" t="n">
        <x:f>D4887+'Resumen'!$B$5^3/3</x:f>
        <x:v>0.5265748389130072</x:v>
      </x:c>
    </x:row>
    <x:row r="4888">
      <x:c r="A4888" s="89" t="n">
        <x:v>4886</x:v>
      </x:c>
      <x:c r="B4888" s="80" t="n">
        <x:v>-0.26160157584754906</x:v>
      </x:c>
      <x:c r="C4888" s="84" t="n">
        <x:f>SQRT('Resumen'!$B$5^3/3)*B4888</x:f>
        <x:v>-0.15103574023601274</x:v>
      </x:c>
      <x:c r="D4888" s="84" t="n">
        <x:f>C4888^2-'Resumen'!$B$5^3/3</x:f>
        <x:v>-0.310521538504693</x:v>
      </x:c>
      <x:c r="E4888" s="85" t="n">
        <x:f>D4888+'Resumen'!$B$5^3/3</x:f>
        <x:v>0.02281179482864032</x:v>
      </x:c>
    </x:row>
    <x:row r="4889">
      <x:c r="A4889" s="89" t="n">
        <x:v>4887</x:v>
      </x:c>
      <x:c r="B4889" s="80" t="n">
        <x:v>-0.7329038127757465</x:v>
      </x:c>
      <x:c r="C4889" s="84" t="n">
        <x:f>SQRT('Resumen'!$B$5^3/3)*B4889</x:f>
        <x:v>-0.42314221359618026</x:v>
      </x:c>
      <x:c r="D4889" s="84" t="n">
        <x:f>C4889^2-'Resumen'!$B$5^3/3</x:f>
        <x:v>-0.15428400040625787</x:v>
      </x:c>
      <x:c r="E4889" s="85" t="n">
        <x:f>D4889+'Resumen'!$B$5^3/3</x:f>
        <x:v>0.17904933292707545</x:v>
      </x:c>
    </x:row>
    <x:row r="4890">
      <x:c r="A4890" s="89" t="n">
        <x:v>4888</x:v>
      </x:c>
      <x:c r="B4890" s="80" t="n">
        <x:v>-0.008888439510389923</x:v>
      </x:c>
      <x:c r="C4890" s="84" t="n">
        <x:f>SQRT('Resumen'!$B$5^3/3)*B4890</x:f>
        <x:v>-0.005131742943999327</x:v>
      </x:c>
      <x:c r="D4890" s="84" t="n">
        <x:f>C4890^2-'Resumen'!$B$5^3/3</x:f>
        <x:v>-0.33330699854769</x:v>
      </x:c>
      <x:c r="E4890" s="85" t="n">
        <x:f>D4890+'Resumen'!$B$5^3/3</x:f>
        <x:v>0.000026334785643289393</x:v>
      </x:c>
    </x:row>
    <x:row r="4891">
      <x:c r="A4891" s="89" t="n">
        <x:v>4889</x:v>
      </x:c>
      <x:c r="B4891" s="80" t="n">
        <x:v>-0.6987476926106376</x:v>
      </x:c>
      <x:c r="C4891" s="84" t="n">
        <x:f>SQRT('Resumen'!$B$5^3/3)*B4891</x:f>
        <x:v>-0.4034221684243815</x:v>
      </x:c>
      <x:c r="D4891" s="84" t="n">
        <x:f>C4891^2-'Resumen'!$B$5^3/3</x:f>
        <x:v>-0.17058388735710328</x:v>
      </x:c>
      <x:c r="E4891" s="85" t="n">
        <x:f>D4891+'Resumen'!$B$5^3/3</x:f>
        <x:v>0.16274944597623003</x:v>
      </x:c>
    </x:row>
    <x:row r="4892">
      <x:c r="A4892" s="89" t="n">
        <x:v>4890</x:v>
      </x:c>
      <x:c r="B4892" s="80" t="n">
        <x:v>1.1754962466061987</x:v>
      </x:c>
      <x:c r="C4892" s="84" t="n">
        <x:f>SQRT('Resumen'!$B$5^3/3)*B4892</x:f>
        <x:v>0.6786730744094834</x:v>
      </x:c>
      <x:c r="D4892" s="84" t="n">
        <x:f>C4892^2-'Resumen'!$B$5^3/3</x:f>
        <x:v>0.1272638085950869</x:v>
      </x:c>
      <x:c r="E4892" s="85" t="n">
        <x:f>D4892+'Resumen'!$B$5^3/3</x:f>
        <x:v>0.4605971419284202</x:v>
      </x:c>
    </x:row>
    <x:row r="4893">
      <x:c r="A4893" s="89" t="n">
        <x:v>4891</x:v>
      </x:c>
      <x:c r="B4893" s="80" t="n">
        <x:v>1.5073057401314502</x:v>
      </x:c>
      <x:c r="C4893" s="84" t="n">
        <x:f>SQRT('Resumen'!$B$5^3/3)*B4893</x:f>
        <x:v>0.8702433748159608</x:v>
      </x:c>
      <x:c r="D4893" s="84" t="n">
        <x:f>C4893^2-'Resumen'!$B$5^3/3</x:f>
        <x:v>0.4239901980777396</x:v>
      </x:c>
      <x:c r="E4893" s="85" t="n">
        <x:f>D4893+'Resumen'!$B$5^3/3</x:f>
        <x:v>0.7573235314110729</x:v>
      </x:c>
    </x:row>
    <x:row r="4894">
      <x:c r="A4894" s="89" t="n">
        <x:v>4892</x:v>
      </x:c>
      <x:c r="B4894" s="80" t="n">
        <x:v>0.5377583687644232</x:v>
      </x:c>
      <x:c r="C4894" s="84" t="n">
        <x:f>SQRT('Resumen'!$B$5^3/3)*B4894</x:f>
        <x:v>0.31047493896511374</x:v>
      </x:c>
      <x:c r="D4894" s="84" t="n">
        <x:f>C4894^2-'Resumen'!$B$5^3/3</x:f>
        <x:v>-0.2369386456079422</x:v>
      </x:c>
      <x:c r="E4894" s="85" t="n">
        <x:f>D4894+'Resumen'!$B$5^3/3</x:f>
        <x:v>0.09639468772539111</x:v>
      </x:c>
    </x:row>
    <x:row r="4895">
      <x:c r="A4895" s="89" t="n">
        <x:v>4893</x:v>
      </x:c>
      <x:c r="B4895" s="80" t="n">
        <x:v>1.155461989052542</x:v>
      </x:c>
      <x:c r="C4895" s="84" t="n">
        <x:f>SQRT('Resumen'!$B$5^3/3)*B4895</x:f>
        <x:v>0.6671062904178655</x:v>
      </x:c>
      <x:c r="D4895" s="84" t="n">
        <x:f>C4895^2-'Resumen'!$B$5^3/3</x:f>
        <x:v>0.11169746938175218</x:v>
      </x:c>
      <x:c r="E4895" s="85" t="n">
        <x:f>D4895+'Resumen'!$B$5^3/3</x:f>
        <x:v>0.4450308027150855</x:v>
      </x:c>
    </x:row>
    <x:row r="4896">
      <x:c r="A4896" s="89" t="n">
        <x:v>4894</x:v>
      </x:c>
      <x:c r="B4896" s="80" t="n">
        <x:v>0.5559443921429736</x:v>
      </x:c>
      <x:c r="C4896" s="84" t="n">
        <x:f>SQRT('Resumen'!$B$5^3/3)*B4896</x:f>
        <x:v>0.32097464445820867</x:v>
      </x:c>
      <x:c r="D4896" s="84" t="n">
        <x:f>C4896^2-'Resumen'!$B$5^3/3</x:f>
        <x:v>-0.23030861094825986</x:v>
      </x:c>
      <x:c r="E4896" s="85" t="n">
        <x:f>D4896+'Resumen'!$B$5^3/3</x:f>
        <x:v>0.10302472238507346</x:v>
      </x:c>
    </x:row>
    <x:row r="4897">
      <x:c r="A4897" s="89" t="n">
        <x:v>4895</x:v>
      </x:c>
      <x:c r="B4897" s="80" t="n">
        <x:v>-0.9935195616162269</x:v>
      </x:c>
      <x:c r="C4897" s="84" t="n">
        <x:f>SQRT('Resumen'!$B$5^3/3)*B4897</x:f>
        <x:v>-0.5736087863442876</x:v>
      </x:c>
      <x:c r="D4897" s="84" t="n">
        <x:f>C4897^2-'Resumen'!$B$5^3/3</x:f>
        <x:v>-0.0043062935619667675</x:v>
      </x:c>
      <x:c r="E4897" s="85" t="n">
        <x:f>D4897+'Resumen'!$B$5^3/3</x:f>
        <x:v>0.32902703977136655</x:v>
      </x:c>
    </x:row>
    <x:row r="4898">
      <x:c r="A4898" s="89" t="n">
        <x:v>4896</x:v>
      </x:c>
      <x:c r="B4898" s="80" t="n">
        <x:v>-0.8640522845850105</x:v>
      </x:c>
      <x:c r="C4898" s="84" t="n">
        <x:f>SQRT('Resumen'!$B$5^3/3)*B4898</x:f>
        <x:v>-0.49886081909906693</x:v>
      </x:c>
      <x:c r="D4898" s="84" t="n">
        <x:f>C4898^2-'Resumen'!$B$5^3/3</x:f>
        <x:v>-0.08447121650114134</x:v>
      </x:c>
      <x:c r="E4898" s="85" t="n">
        <x:f>D4898+'Resumen'!$B$5^3/3</x:f>
        <x:v>0.24886211683219198</x:v>
      </x:c>
    </x:row>
    <x:row r="4899">
      <x:c r="A4899" s="89" t="n">
        <x:v>4897</x:v>
      </x:c>
      <x:c r="B4899" s="80" t="n">
        <x:v>0.6334952213512265</x:v>
      </x:c>
      <x:c r="C4899" s="84" t="n">
        <x:f>SQRT('Resumen'!$B$5^3/3)*B4899</x:f>
        <x:v>0.36574863657747214</x:v>
      </x:c>
      <x:c r="D4899" s="84" t="n">
        <x:f>C4899^2-'Resumen'!$B$5^3/3</x:f>
        <x:v>-0.1995612681750535</x:v>
      </x:c>
      <x:c r="E4899" s="85" t="n">
        <x:f>D4899+'Resumen'!$B$5^3/3</x:f>
        <x:v>0.1337720651582798</x:v>
      </x:c>
    </x:row>
    <x:row r="4900">
      <x:c r="A4900" s="89" t="n">
        <x:v>4898</x:v>
      </x:c>
      <x:c r="B4900" s="80" t="n">
        <x:v>-0.02268542379993744</x:v>
      </x:c>
      <x:c r="C4900" s="84" t="n">
        <x:f>SQRT('Resumen'!$B$5^3/3)*B4900</x:f>
        <x:v>-0.013097435537574623</x:v>
      </x:c>
      <x:c r="D4900" s="84" t="n">
        <x:f>C4900^2-'Resumen'!$B$5^3/3</x:f>
        <x:v>-0.3331617905156724</x:v>
      </x:c>
      <x:c r="E4900" s="85" t="n">
        <x:f>D4900+'Resumen'!$B$5^3/3</x:f>
        <x:v>0.00017154281766090795</x:v>
      </x:c>
    </x:row>
    <x:row r="4901">
      <x:c r="A4901" s="89" t="n">
        <x:v>4899</x:v>
      </x:c>
      <x:c r="B4901" s="80" t="n">
        <x:v>-0.20326655138401248</x:v>
      </x:c>
      <x:c r="C4901" s="84" t="n">
        <x:f>SQRT('Resumen'!$B$5^3/3)*B4901</x:f>
        <x:v>-0.1173559981588065</x:v>
      </x:c>
      <x:c r="D4901" s="84" t="n">
        <x:f>C4901^2-'Resumen'!$B$5^3/3</x:f>
        <x:v>-0.31956090302948353</x:v>
      </x:c>
      <x:c r="E4901" s="85" t="n">
        <x:f>D4901+'Resumen'!$B$5^3/3</x:f>
        <x:v>0.01377243030384978</x:v>
      </x:c>
    </x:row>
    <x:row r="4902">
      <x:c r="A4902" s="89" t="n">
        <x:v>4900</x:v>
      </x:c>
      <x:c r="B4902" s="80" t="n">
        <x:v>0.6913979715200395</x:v>
      </x:c>
      <x:c r="C4902" s="84" t="n">
        <x:f>SQRT('Resumen'!$B$5^3/3)*B4902</x:f>
        <x:v>0.39917880497425595</x:v>
      </x:c>
      <x:c r="D4902" s="84" t="n">
        <x:f>C4902^2-'Resumen'!$B$5^3/3</x:f>
        <x:v>-0.17398961499265825</x:v>
      </x:c>
      <x:c r="E4902" s="85" t="n">
        <x:f>D4902+'Resumen'!$B$5^3/3</x:f>
        <x:v>0.15934371834067507</x:v>
      </x:c>
    </x:row>
    <x:row r="4903">
      <x:c r="A4903" s="89" t="n">
        <x:v>4901</x:v>
      </x:c>
      <x:c r="B4903" s="80" t="n">
        <x:v>-0.540435314037875</x:v>
      </x:c>
      <x:c r="C4903" s="84" t="n">
        <x:f>SQRT('Resumen'!$B$5^3/3)*B4903</x:f>
        <x:v>-0.3120204740393471</x:v>
      </x:c>
      <x:c r="D4903" s="84" t="n">
        <x:f>C4903^2-'Resumen'!$B$5^3/3</x:f>
        <x:v>-0.23597655711359444</x:v>
      </x:c>
      <x:c r="E4903" s="85" t="n">
        <x:f>D4903+'Resumen'!$B$5^3/3</x:f>
        <x:v>0.09735677621973887</x:v>
      </x:c>
    </x:row>
    <x:row r="4904">
      <x:c r="A4904" s="89" t="n">
        <x:v>4902</x:v>
      </x:c>
      <x:c r="B4904" s="80" t="n">
        <x:v>0.11902250343503891</x:v>
      </x:c>
      <x:c r="C4904" s="84" t="n">
        <x:f>SQRT('Resumen'!$B$5^3/3)*B4904</x:f>
        <x:v>0.06871767439784286</x:v>
      </x:c>
      <x:c r="D4904" s="84" t="n">
        <x:f>C4904^2-'Resumen'!$B$5^3/3</x:f>
        <x:v>-0.32861121455868536</x:v>
      </x:c>
      <x:c r="E4904" s="85" t="n">
        <x:f>D4904+'Resumen'!$B$5^3/3</x:f>
        <x:v>0.004722118774647954</x:v>
      </x:c>
    </x:row>
    <x:row r="4905">
      <x:c r="A4905" s="89" t="n">
        <x:v>4903</x:v>
      </x:c>
      <x:c r="B4905" s="80" t="n">
        <x:v>0.8265370174252756</x:v>
      </x:c>
      <x:c r="C4905" s="84" t="n">
        <x:f>SQRT('Resumen'!$B$5^3/3)*B4905</x:f>
        <x:v>0.47720136950567327</x:v>
      </x:c>
      <x:c r="D4905" s="84" t="n">
        <x:f>C4905^2-'Resumen'!$B$5^3/3</x:f>
        <x:v>-0.10561218627524321</x:v>
      </x:c>
      <x:c r="E4905" s="85" t="n">
        <x:f>D4905+'Resumen'!$B$5^3/3</x:f>
        <x:v>0.2277211470580901</x:v>
      </x:c>
    </x:row>
    <x:row r="4906">
      <x:c r="A4906" s="89" t="n">
        <x:v>4904</x:v>
      </x:c>
      <x:c r="B4906" s="80" t="n">
        <x:v>-1.377859665870911</x:v>
      </x:c>
      <x:c r="C4906" s="84" t="n">
        <x:f>SQRT('Resumen'!$B$5^3/3)*B4906</x:f>
        <x:v>-0.7955076489960983</x:v>
      </x:c>
      <x:c r="D4906" s="84" t="n">
        <x:f>C4906^2-'Resumen'!$B$5^3/3</x:f>
        <x:v>0.29949908627796623</x:v>
      </x:c>
      <x:c r="E4906" s="85" t="n">
        <x:f>D4906+'Resumen'!$B$5^3/3</x:f>
        <x:v>0.6328324196112995</x:v>
      </x:c>
    </x:row>
    <x:row r="4907">
      <x:c r="A4907" s="89" t="n">
        <x:v>4905</x:v>
      </x:c>
      <x:c r="B4907" s="80" t="n">
        <x:v>-0.49968792391462574</x:v>
      </x:c>
      <x:c r="C4907" s="84" t="n">
        <x:f>SQRT('Resumen'!$B$5^3/3)*B4907</x:f>
        <x:v>-0.2884949573829144</x:v>
      </x:c>
      <x:c r="D4907" s="84" t="n">
        <x:f>C4907^2-'Resumen'!$B$5^3/3</x:f>
        <x:v>-0.2501039928979637</x:v>
      </x:c>
      <x:c r="E4907" s="85" t="n">
        <x:f>D4907+'Resumen'!$B$5^3/3</x:f>
        <x:v>0.08322934043536961</x:v>
      </x:c>
    </x:row>
    <x:row r="4908">
      <x:c r="A4908" s="89" t="n">
        <x:v>4906</x:v>
      </x:c>
      <x:c r="B4908" s="80" t="n">
        <x:v>1.0711239305387403</x:v>
      </x:c>
      <x:c r="C4908" s="84" t="n">
        <x:f>SQRT('Resumen'!$B$5^3/3)*B4908</x:f>
        <x:v>0.6184136896319917</x:v>
      </x:c>
      <x:c r="D4908" s="84" t="n">
        <x:f>C4908^2-'Resumen'!$B$5^3/3</x:f>
        <x:v>0.049102158190920064</x:v>
      </x:c>
      <x:c r="E4908" s="85" t="n">
        <x:f>D4908+'Resumen'!$B$5^3/3</x:f>
        <x:v>0.3824354915242534</x:v>
      </x:c>
    </x:row>
    <x:row r="4909">
      <x:c r="A4909" s="89" t="n">
        <x:v>4907</x:v>
      </x:c>
      <x:c r="B4909" s="80" t="n">
        <x:v>-0.21704097481528026</x:v>
      </x:c>
      <x:c r="C4909" s="84" t="n">
        <x:f>SQRT('Resumen'!$B$5^3/3)*B4909</x:f>
        <x:v>-0.12530866523478085</x:v>
      </x:c>
      <x:c r="D4909" s="84" t="n">
        <x:f>C4909^2-'Resumen'!$B$5^3/3</x:f>
        <x:v>-0.31763107175041094</x:v>
      </x:c>
      <x:c r="E4909" s="85" t="n">
        <x:f>D4909+'Resumen'!$B$5^3/3</x:f>
        <x:v>0.015702261582922372</x:v>
      </x:c>
    </x:row>
    <x:row r="4910">
      <x:c r="A4910" s="89" t="n">
        <x:v>4908</x:v>
      </x:c>
      <x:c r="B4910" s="80" t="n">
        <x:v>-0.5110841272510823</x:v>
      </x:c>
      <x:c r="C4910" s="84" t="n">
        <x:f>SQRT('Resumen'!$B$5^3/3)*B4910</x:f>
        <x:v>-0.2950745584469573</x:v>
      </x:c>
      <x:c r="D4910" s="84" t="n">
        <x:f>C4910^2-'Resumen'!$B$5^3/3</x:f>
        <x:v>-0.24626433829066652</x:v>
      </x:c>
      <x:c r="E4910" s="85" t="n">
        <x:f>D4910+'Resumen'!$B$5^3/3</x:f>
        <x:v>0.0870689950426668</x:v>
      </x:c>
    </x:row>
    <x:row r="4911">
      <x:c r="A4911" s="89" t="n">
        <x:v>4909</x:v>
      </x:c>
      <x:c r="B4911" s="80" t="n">
        <x:v>-0.8954393012653726</x:v>
      </x:c>
      <x:c r="C4911" s="84" t="n">
        <x:f>SQRT('Resumen'!$B$5^3/3)*B4911</x:f>
        <x:v>-0.5169821216285333</x:v>
      </x:c>
      <x:c r="D4911" s="84" t="n">
        <x:f>C4911^2-'Resumen'!$B$5^3/3</x:f>
        <x:v>-0.06606281924979374</x:v>
      </x:c>
      <x:c r="E4911" s="85" t="n">
        <x:f>D4911+'Resumen'!$B$5^3/3</x:f>
        <x:v>0.2672705140835396</x:v>
      </x:c>
    </x:row>
    <x:row r="4912">
      <x:c r="A4912" s="89" t="n">
        <x:v>4910</x:v>
      </x:c>
      <x:c r="B4912" s="80" t="n">
        <x:v>1.230229376779178</x:v>
      </x:c>
      <x:c r="C4912" s="84" t="n">
        <x:f>SQRT('Resumen'!$B$5^3/3)*B4912</x:f>
        <x:v>0.710273261848444</x:v>
      </x:c>
      <x:c r="D4912" s="84" t="n">
        <x:f>C4912^2-'Resumen'!$B$5^3/3</x:f>
        <x:v>0.17115477316349498</x:v>
      </x:c>
      <x:c r="E4912" s="85" t="n">
        <x:f>D4912+'Resumen'!$B$5^3/3</x:f>
        <x:v>0.5044881064968283</x:v>
      </x:c>
    </x:row>
    <x:row r="4913">
      <x:c r="A4913" s="89" t="n">
        <x:v>4911</x:v>
      </x:c>
      <x:c r="B4913" s="80" t="n">
        <x:v>-0.5998165547484321</x:v>
      </x:c>
      <x:c r="C4913" s="84" t="n">
        <x:f>SQRT('Resumen'!$B$5^3/3)*B4913</x:f>
        <x:v>-0.34630424934840115</x:v>
      </x:c>
      <x:c r="D4913" s="84" t="n">
        <x:f>C4913^2-'Resumen'!$B$5^3/3</x:f>
        <x:v>-0.2134067002165737</x:v>
      </x:c>
      <x:c r="E4913" s="85" t="n">
        <x:f>D4913+'Resumen'!$B$5^3/3</x:f>
        <x:v>0.1199266331167596</x:v>
      </x:c>
    </x:row>
    <x:row r="4914">
      <x:c r="A4914" s="89" t="n">
        <x:v>4912</x:v>
      </x:c>
      <x:c r="B4914" s="80" t="n">
        <x:v>-0.6106688101320182</x:v>
      </x:c>
      <x:c r="C4914" s="84" t="n">
        <x:f>SQRT('Resumen'!$B$5^3/3)*B4914</x:f>
        <x:v>-0.3525698019154292</x:v>
      </x:c>
      <x:c r="D4914" s="84" t="n">
        <x:f>C4914^2-'Resumen'!$B$5^3/3</x:f>
        <x:v>-0.20902786811064833</x:v>
      </x:c>
      <x:c r="E4914" s="85" t="n">
        <x:f>D4914+'Resumen'!$B$5^3/3</x:f>
        <x:v>0.12430546522268499</x:v>
      </x:c>
    </x:row>
    <x:row r="4915">
      <x:c r="A4915" s="89" t="n">
        <x:v>4913</x:v>
      </x:c>
      <x:c r="B4915" s="80" t="n">
        <x:v>0.7467415224994143</x:v>
      </x:c>
      <x:c r="C4915" s="84" t="n">
        <x:f>SQRT('Resumen'!$B$5^3/3)*B4915</x:f>
        <x:v>0.4311314190301078</x:v>
      </x:c>
      <x:c r="D4915" s="84" t="n">
        <x:f>C4915^2-'Resumen'!$B$5^3/3</x:f>
        <x:v>-0.1474590328584189</x:v>
      </x:c>
      <x:c r="E4915" s="85" t="n">
        <x:f>D4915+'Resumen'!$B$5^3/3</x:f>
        <x:v>0.1858743004749144</x:v>
      </x:c>
    </x:row>
    <x:row r="4916">
      <x:c r="A4916" s="89" t="n">
        <x:v>4914</x:v>
      </x:c>
      <x:c r="B4916" s="80" t="n">
        <x:v>-2.2816804789792497</x:v>
      </x:c>
      <x:c r="C4916" s="84" t="n">
        <x:f>SQRT('Resumen'!$B$5^3/3)*B4916</x:f>
        <x:v>-1.317328838743384</x:v>
      </x:c>
      <x:c r="D4916" s="84" t="n">
        <x:f>C4916^2-'Resumen'!$B$5^3/3</x:f>
        <x:v>1.402021936051659</x:v>
      </x:c>
      <x:c r="E4916" s="85" t="n">
        <x:f>D4916+'Resumen'!$B$5^3/3</x:f>
        <x:v>1.7353552693849923</x:v>
      </x:c>
    </x:row>
    <x:row r="4917">
      <x:c r="A4917" s="89" t="n">
        <x:v>4915</x:v>
      </x:c>
      <x:c r="B4917" s="80" t="n">
        <x:v>0.9907519079493481</x:v>
      </x:c>
      <x:c r="C4917" s="84" t="n">
        <x:f>SQRT('Resumen'!$B$5^3/3)*B4917</x:f>
        <x:v>0.5720108807546914</x:v>
      </x:c>
      <x:c r="D4917" s="84" t="n">
        <x:f>C4917^2-'Resumen'!$B$5^3/3</x:f>
        <x:v>-0.006136885631575495</x:v>
      </x:c>
      <x:c r="E4917" s="85" t="n">
        <x:f>D4917+'Resumen'!$B$5^3/3</x:f>
        <x:v>0.3271964477017578</x:v>
      </x:c>
    </x:row>
    <x:row r="4918">
      <x:c r="A4918" s="89" t="n">
        <x:v>4916</x:v>
      </x:c>
      <x:c r="B4918" s="80" t="n">
        <x:v>-1.5248694899322395</x:v>
      </x:c>
      <x:c r="C4918" s="84" t="n">
        <x:f>SQRT('Resumen'!$B$5^3/3)*B4918</x:f>
        <x:v>-0.8803838104914258</x:v>
      </x:c>
      <x:c r="D4918" s="84" t="n">
        <x:f>C4918^2-'Resumen'!$B$5^3/3</x:f>
        <x:v>0.44174232044206935</x:v>
      </x:c>
      <x:c r="E4918" s="85" t="n">
        <x:f>D4918+'Resumen'!$B$5^3/3</x:f>
        <x:v>0.7750756537754027</x:v>
      </x:c>
    </x:row>
    <x:row r="4919">
      <x:c r="A4919" s="89" t="n">
        <x:v>4917</x:v>
      </x:c>
      <x:c r="B4919" s="80" t="n">
        <x:v>-0.12401360958578951</x:v>
      </x:c>
      <x:c r="C4919" s="84" t="n">
        <x:f>SQRT('Resumen'!$B$5^3/3)*B4919</x:f>
        <x:v>-0.07159929087753272</x:v>
      </x:c>
      <x:c r="D4919" s="84" t="n">
        <x:f>C4919^2-'Resumen'!$B$5^3/3</x:f>
        <x:v>-0.3282068748791678</x:v>
      </x:c>
      <x:c r="E4919" s="85" t="n">
        <x:f>D4919+'Resumen'!$B$5^3/3</x:f>
        <x:v>0.005126458454165539</x:v>
      </x:c>
    </x:row>
    <x:row r="4920">
      <x:c r="A4920" s="89" t="n">
        <x:v>4918</x:v>
      </x:c>
      <x:c r="B4920" s="80" t="n">
        <x:v>-0.11381719237263918</x:v>
      </x:c>
      <x:c r="C4920" s="84" t="n">
        <x:f>SQRT('Resumen'!$B$5^3/3)*B4920</x:f>
        <x:v>-0.06571238665475065</x:v>
      </x:c>
      <x:c r="D4920" s="84" t="n">
        <x:f>C4920^2-'Resumen'!$B$5^3/3</x:f>
        <x:v>-0.32901521557346985</x:v>
      </x:c>
      <x:c r="E4920" s="85" t="n">
        <x:f>D4920+'Resumen'!$B$5^3/3</x:f>
        <x:v>0.00431811775986346</x:v>
      </x:c>
    </x:row>
    <x:row r="4921">
      <x:c r="A4921" s="89" t="n">
        <x:v>4919</x:v>
      </x:c>
      <x:c r="B4921" s="80" t="n">
        <x:v>1.4173694217821111</x:v>
      </x:c>
      <x:c r="C4921" s="84" t="n">
        <x:f>SQRT('Resumen'!$B$5^3/3)*B4921</x:f>
        <x:v>0.818318617207046</x:v>
      </x:c>
      <x:c r="D4921" s="84" t="n">
        <x:f>C4921^2-'Resumen'!$B$5^3/3</x:f>
        <x:v>0.3363120259343186</x:v>
      </x:c>
      <x:c r="E4921" s="85" t="n">
        <x:f>D4921+'Resumen'!$B$5^3/3</x:f>
        <x:v>0.6696453592676519</x:v>
      </x:c>
    </x:row>
    <x:row r="4922">
      <x:c r="A4922" s="89" t="n">
        <x:v>4920</x:v>
      </x:c>
      <x:c r="B4922" s="80" t="n">
        <x:v>0.2876757570160128</x:v>
      </x:c>
      <x:c r="C4922" s="84" t="n">
        <x:f>SQRT('Resumen'!$B$5^3/3)*B4922</x:f>
        <x:v>0.16608967575252434</x:v>
      </x:c>
      <x:c r="D4922" s="84" t="n">
        <x:f>C4922^2-'Resumen'!$B$5^3/3</x:f>
        <x:v>-0.30574755294175465</x:v>
      </x:c>
      <x:c r="E4922" s="85" t="n">
        <x:f>D4922+'Resumen'!$B$5^3/3</x:f>
        <x:v>0.027585780391578663</x:v>
      </x:c>
    </x:row>
    <x:row r="4923">
      <x:c r="A4923" s="89" t="n">
        <x:v>4921</x:v>
      </x:c>
      <x:c r="B4923" s="80" t="n">
        <x:v>0.006707400098231211</x:v>
      </x:c>
      <x:c r="C4923" s="84" t="n">
        <x:f>SQRT('Resumen'!$B$5^3/3)*B4923</x:f>
        <x:v>0.003872519252276312</x:v>
      </x:c>
      <x:c r="D4923" s="84" t="n">
        <x:f>C4923^2-'Resumen'!$B$5^3/3</x:f>
        <x:v>-0.3333183369279741</x:v>
      </x:c>
      <x:c r="E4923" s="85" t="n">
        <x:f>D4923+'Resumen'!$B$5^3/3</x:f>
        <x:v>0.00001499640535923552</x:v>
      </x:c>
    </x:row>
    <x:row r="4924">
      <x:c r="A4924" s="89" t="n">
        <x:v>4922</x:v>
      </x:c>
      <x:c r="B4924" s="80" t="n">
        <x:v>-0.35174360911434194</x:v>
      </x:c>
      <x:c r="C4924" s="84" t="n">
        <x:f>SQRT('Resumen'!$B$5^3/3)*B4924</x:f>
        <x:v>-0.2030792674078958</x:v>
      </x:c>
      <x:c r="D4924" s="84" t="n">
        <x:f>C4924^2-'Resumen'!$B$5^3/3</x:f>
        <x:v>-0.29209214448240567</x:v>
      </x:c>
      <x:c r="E4924" s="85" t="n">
        <x:f>D4924+'Resumen'!$B$5^3/3</x:f>
        <x:v>0.041241188850927646</x:v>
      </x:c>
    </x:row>
    <x:row r="4925">
      <x:c r="A4925" s="89" t="n">
        <x:v>4923</x:v>
      </x:c>
      <x:c r="B4925" s="80" t="n">
        <x:v>-0.1447352876420207</x:v>
      </x:c>
      <x:c r="C4925" s="84" t="n">
        <x:f>SQRT('Resumen'!$B$5^3/3)*B4925</x:f>
        <x:v>-0.08356295728135857</x:v>
      </x:c>
      <x:c r="D4925" s="84" t="n">
        <x:f>C4925^2-'Resumen'!$B$5^3/3</x:f>
        <x:v>-0.32635056550372715</x:v>
      </x:c>
      <x:c r="E4925" s="85" t="n">
        <x:f>D4925+'Resumen'!$B$5^3/3</x:f>
        <x:v>0.006982767829606162</x:v>
      </x:c>
    </x:row>
    <x:row r="4926">
      <x:c r="A4926" s="89" t="n">
        <x:v>4924</x:v>
      </x:c>
      <x:c r="B4926" s="80" t="n">
        <x:v>1.33495344624053</x:v>
      </x:c>
      <x:c r="C4926" s="84" t="n">
        <x:f>SQRT('Resumen'!$B$5^3/3)*B4926</x:f>
        <x:v>0.7707357315425886</x:v>
      </x:c>
      <x:c r="D4926" s="84" t="n">
        <x:f>C4926^2-'Resumen'!$B$5^3/3</x:f>
        <x:v>0.2607002345431559</x:v>
      </x:c>
      <x:c r="E4926" s="85" t="n">
        <x:f>D4926+'Resumen'!$B$5^3/3</x:f>
        <x:v>0.5940335678764892</x:v>
      </x:c>
    </x:row>
    <x:row r="4927">
      <x:c r="A4927" s="89" t="n">
        <x:v>4925</x:v>
      </x:c>
      <x:c r="B4927" s="80" t="n">
        <x:v>1.0749987112421993</x:v>
      </x:c>
      <x:c r="C4927" s="84" t="n">
        <x:f>SQRT('Resumen'!$B$5^3/3)*B4927</x:f>
        <x:v>0.6206507953141844</x:v>
      </x:c>
      <x:c r="D4927" s="84" t="n">
        <x:f>C4927^2-'Resumen'!$B$5^3/3</x:f>
        <x:v>0.05187407639079633</x:v>
      </x:c>
      <x:c r="E4927" s="85" t="n">
        <x:f>D4927+'Resumen'!$B$5^3/3</x:f>
        <x:v>0.38520740972412965</x:v>
      </x:c>
    </x:row>
    <x:row r="4928">
      <x:c r="A4928" s="89" t="n">
        <x:v>4926</x:v>
      </x:c>
      <x:c r="B4928" s="80" t="n">
        <x:v>1.1879826006668346</x:v>
      </x:c>
      <x:c r="C4928" s="84" t="n">
        <x:f>SQRT('Resumen'!$B$5^3/3)*B4928</x:f>
        <x:v>0.6858820742875886</x:v>
      </x:c>
      <x:c r="D4928" s="84" t="n">
        <x:f>C4928^2-'Resumen'!$B$5^3/3</x:f>
        <x:v>0.13710088649571195</x:v>
      </x:c>
      <x:c r="E4928" s="85" t="n">
        <x:f>D4928+'Resumen'!$B$5^3/3</x:f>
        <x:v>0.47043421982904526</x:v>
      </x:c>
    </x:row>
    <x:row r="4929">
      <x:c r="A4929" s="89" t="n">
        <x:v>4927</x:v>
      </x:c>
      <x:c r="B4929" s="80" t="n">
        <x:v>-1.201774715311079</x:v>
      </x:c>
      <x:c r="C4929" s="84" t="n">
        <x:f>SQRT('Resumen'!$B$5^3/3)*B4929</x:f>
        <x:v>-0.6938449553901372</x:v>
      </x:c>
      <x:c r="D4929" s="84" t="n">
        <x:f>C4929^2-'Resumen'!$B$5^3/3</x:f>
        <x:v>0.14808748878700823</x:v>
      </x:c>
      <x:c r="E4929" s="85" t="n">
        <x:f>D4929+'Resumen'!$B$5^3/3</x:f>
        <x:v>0.48142082212034154</x:v>
      </x:c>
    </x:row>
    <x:row r="4930">
      <x:c r="A4930" s="89" t="n">
        <x:v>4928</x:v>
      </x:c>
      <x:c r="B4930" s="80" t="n">
        <x:v>-0.3861332663983516</x:v>
      </x:c>
      <x:c r="C4930" s="84" t="n">
        <x:f>SQRT('Resumen'!$B$5^3/3)*B4930</x:f>
        <x:v>-0.22293414529815778</x:v>
      </x:c>
      <x:c r="D4930" s="84" t="n">
        <x:f>C4930^2-'Resumen'!$B$5^3/3</x:f>
        <x:v>-0.2836337001935132</x:v>
      </x:c>
      <x:c r="E4930" s="85" t="n">
        <x:f>D4930+'Resumen'!$B$5^3/3</x:f>
        <x:v>0.04969963313982012</x:v>
      </x:c>
    </x:row>
    <x:row r="4931">
      <x:c r="A4931" s="89" t="n">
        <x:v>4929</x:v>
      </x:c>
      <x:c r="B4931" s="80" t="n">
        <x:v>1.552544723634145</x:v>
      </x:c>
      <x:c r="C4931" s="84" t="n">
        <x:f>SQRT('Resumen'!$B$5^3/3)*B4931</x:f>
        <x:v>0.8963621141191067</x:v>
      </x:c>
      <x:c r="D4931" s="84" t="n">
        <x:f>C4931^2-'Resumen'!$B$5^3/3</x:f>
        <x:v>0.47013170629474116</x:v>
      </x:c>
      <x:c r="E4931" s="85" t="n">
        <x:f>D4931+'Resumen'!$B$5^3/3</x:f>
        <x:v>0.8034650396280745</x:v>
      </x:c>
    </x:row>
    <x:row r="4932">
      <x:c r="A4932" s="89" t="n">
        <x:v>4930</x:v>
      </x:c>
      <x:c r="B4932" s="80" t="n">
        <x:v>0.3499172553023812</x:v>
      </x:c>
      <x:c r="C4932" s="84" t="n">
        <x:f>SQRT('Resumen'!$B$5^3/3)*B4932</x:f>
        <x:v>0.20202482154292478</x:v>
      </x:c>
      <x:c r="D4932" s="84" t="n">
        <x:f>C4932^2-'Resumen'!$B$5^3/3</x:f>
        <x:v>-0.2925193048138827</x:v>
      </x:c>
      <x:c r="E4932" s="85" t="n">
        <x:f>D4932+'Resumen'!$B$5^3/3</x:f>
        <x:v>0.040814028519450596</x:v>
      </x:c>
    </x:row>
    <x:row r="4933">
      <x:c r="A4933" s="89" t="n">
        <x:v>4931</x:v>
      </x:c>
      <x:c r="B4933" s="80" t="n">
        <x:v>0.6314934397095903</x:v>
      </x:c>
      <x:c r="C4933" s="84" t="n">
        <x:f>SQRT('Resumen'!$B$5^3/3)*B4933</x:f>
        <x:v>0.36459290740781464</x:v>
      </x:c>
      <x:c r="D4933" s="84" t="n">
        <x:f>C4933^2-'Resumen'!$B$5^3/3</x:f>
        <x:v>-0.20040534520125003</x:v>
      </x:c>
      <x:c r="E4933" s="85" t="n">
        <x:f>D4933+'Resumen'!$B$5^3/3</x:f>
        <x:v>0.13292798813208329</x:v>
      </x:c>
    </x:row>
    <x:row r="4934">
      <x:c r="A4934" s="89" t="n">
        <x:v>4932</x:v>
      </x:c>
      <x:c r="B4934" s="80" t="n">
        <x:v>0.09351975750793957</x:v>
      </x:c>
      <x:c r="C4934" s="84" t="n">
        <x:f>SQRT('Resumen'!$B$5^3/3)*B4934</x:f>
        <x:v>0.053993657171757435</x:v>
      </x:c>
      <x:c r="D4934" s="84" t="n">
        <x:f>C4934^2-'Resumen'!$B$5^3/3</x:f>
        <x:v>-0.33041801831855205</x:v>
      </x:c>
      <x:c r="E4934" s="85" t="n">
        <x:f>D4934+'Resumen'!$B$5^3/3</x:f>
        <x:v>0.002915315014781261</x:v>
      </x:c>
    </x:row>
    <x:row r="4935">
      <x:c r="A4935" s="89" t="n">
        <x:v>4933</x:v>
      </x:c>
      <x:c r="B4935" s="80" t="n">
        <x:v>-1.5536846779480245</x:v>
      </x:c>
      <x:c r="C4935" s="84" t="n">
        <x:f>SQRT('Resumen'!$B$5^3/3)*B4935</x:f>
        <x:v>-0.8970202670490889</x:v>
      </x:c>
      <x:c r="D4935" s="84" t="n">
        <x:f>C4935^2-'Resumen'!$B$5^3/3</x:f>
        <x:v>0.4713120261634854</x:v>
      </x:c>
      <x:c r="E4935" s="85" t="n">
        <x:f>D4935+'Resumen'!$B$5^3/3</x:f>
        <x:v>0.8046453594968187</x:v>
      </x:c>
    </x:row>
    <x:row r="4936">
      <x:c r="A4936" s="89" t="n">
        <x:v>4934</x:v>
      </x:c>
      <x:c r="B4936" s="80" t="n">
        <x:v>-1.0437300527357705</x:v>
      </x:c>
      <x:c r="C4936" s="84" t="n">
        <x:f>SQRT('Resumen'!$B$5^3/3)*B4936</x:f>
        <x:v>-0.6025978269082993</x:v>
      </x:c>
      <x:c r="D4936" s="84" t="n">
        <x:f>C4936^2-'Resumen'!$B$5^3/3</x:f>
        <x:v>0.029790807661271346</x:v>
      </x:c>
      <x:c r="E4936" s="85" t="n">
        <x:f>D4936+'Resumen'!$B$5^3/3</x:f>
        <x:v>0.36312414099460466</x:v>
      </x:c>
    </x:row>
    <x:row r="4937">
      <x:c r="A4937" s="89" t="n">
        <x:v>4935</x:v>
      </x:c>
      <x:c r="B4937" s="80" t="n">
        <x:v>0.39137892251597467</x:v>
      </x:c>
      <x:c r="C4937" s="84" t="n">
        <x:f>SQRT('Resumen'!$B$5^3/3)*B4937</x:f>
        <x:v>0.22596272626974365</x:v>
      </x:c>
      <x:c r="D4937" s="84" t="n">
        <x:f>C4937^2-'Resumen'!$B$5^3/3</x:f>
        <x:v>-0.28227417967007823</x:v>
      </x:c>
      <x:c r="E4937" s="85" t="n">
        <x:f>D4937+'Resumen'!$B$5^3/3</x:f>
        <x:v>0.051059153663255086</x:v>
      </x:c>
    </x:row>
    <x:row r="4938">
      <x:c r="A4938" s="89" t="n">
        <x:v>4936</x:v>
      </x:c>
      <x:c r="B4938" s="80" t="n">
        <x:v>-0.9148134583213964</x:v>
      </x:c>
      <x:c r="C4938" s="84" t="n">
        <x:f>SQRT('Resumen'!$B$5^3/3)*B4938</x:f>
        <x:v>-0.5281677964201507</x:v>
      </x:c>
      <x:c r="D4938" s="84" t="n">
        <x:f>C4938^2-'Resumen'!$B$5^3/3</x:f>
        <x:v>-0.05437211215801563</x:v>
      </x:c>
      <x:c r="E4938" s="85" t="n">
        <x:f>D4938+'Resumen'!$B$5^3/3</x:f>
        <x:v>0.2789612211753177</x:v>
      </x:c>
    </x:row>
    <x:row r="4939">
      <x:c r="A4939" s="89" t="n">
        <x:v>4937</x:v>
      </x:c>
      <x:c r="B4939" s="80" t="n">
        <x:v>0.19338062649834803</x:v>
      </x:c>
      <x:c r="C4939" s="84" t="n">
        <x:f>SQRT('Resumen'!$B$5^3/3)*B4939</x:f>
        <x:v>0.1116483567648797</x:v>
      </x:c>
      <x:c r="D4939" s="84" t="n">
        <x:f>C4939^2-'Resumen'!$B$5^3/3</x:f>
        <x:v>-0.32086797776503545</x:v>
      </x:c>
      <x:c r="E4939" s="85" t="n">
        <x:f>D4939+'Resumen'!$B$5^3/3</x:f>
        <x:v>0.012465355568297865</x:v>
      </x:c>
    </x:row>
    <x:row r="4940">
      <x:c r="A4940" s="89" t="n">
        <x:v>4938</x:v>
      </x:c>
      <x:c r="B4940" s="80" t="n">
        <x:v>0.06651315447561787</x:v>
      </x:c>
      <x:c r="C4940" s="84" t="n">
        <x:f>SQRT('Resumen'!$B$5^3/3)*B4940</x:f>
        <x:v>0.038401387641149136</x:v>
      </x:c>
      <x:c r="D4940" s="84" t="n">
        <x:f>C4940^2-'Resumen'!$B$5^3/3</x:f>
        <x:v>-0.3318586667605675</x:v>
      </x:c>
      <x:c r="E4940" s="85" t="n">
        <x:f>D4940+'Resumen'!$B$5^3/3</x:f>
        <x:v>0.0014746665727657926</x:v>
      </x:c>
    </x:row>
    <x:row r="4941">
      <x:c r="A4941" s="89" t="n">
        <x:v>4939</x:v>
      </x:c>
      <x:c r="B4941" s="80" t="n">
        <x:v>0.04132327992108211</x:v>
      </x:c>
      <x:c r="C4941" s="84" t="n">
        <x:f>SQRT('Resumen'!$B$5^3/3)*B4941</x:f>
        <x:v>0.023858006786235012</x:v>
      </x:c>
      <x:c r="D4941" s="84" t="n">
        <x:f>C4941^2-'Resumen'!$B$5^3/3</x:f>
        <x:v>-0.33276412884552126</x:v>
      </x:c>
      <x:c r="E4941" s="85" t="n">
        <x:f>D4941+'Resumen'!$B$5^3/3</x:f>
        <x:v>0.0005692044878120583</x:v>
      </x:c>
    </x:row>
    <x:row r="4942">
      <x:c r="A4942" s="89" t="n">
        <x:v>4940</x:v>
      </x:c>
      <x:c r="B4942" s="80" t="n">
        <x:v>-0.7113739323120878</x:v>
      </x:c>
      <x:c r="C4942" s="84" t="n">
        <x:f>SQRT('Resumen'!$B$5^3/3)*B4942</x:f>
        <x:v>-0.4107119313148665</x:v>
      </x:c>
      <x:c r="D4942" s="84" t="n">
        <x:f>C4942^2-'Resumen'!$B$5^3/3</x:f>
        <x:v>-0.1646490428089457</x:v>
      </x:c>
      <x:c r="E4942" s="85" t="n">
        <x:f>D4942+'Resumen'!$B$5^3/3</x:f>
        <x:v>0.1686842905243876</x:v>
      </x:c>
    </x:row>
    <x:row r="4943">
      <x:c r="A4943" s="89" t="n">
        <x:v>4941</x:v>
      </x:c>
      <x:c r="B4943" s="80" t="n">
        <x:v>0.4742787083545162</x:v>
      </x:c>
      <x:c r="C4943" s="84" t="n">
        <x:f>SQRT('Resumen'!$B$5^3/3)*B4943</x:f>
        <x:v>0.2738249399393879</x:v>
      </x:c>
      <x:c r="D4943" s="84" t="n">
        <x:f>C4943^2-'Resumen'!$B$5^3/3</x:f>
        <x:v>-0.2583532356005239</x:v>
      </x:c>
      <x:c r="E4943" s="85" t="n">
        <x:f>D4943+'Resumen'!$B$5^3/3</x:f>
        <x:v>0.07498009773280939</x:v>
      </x:c>
    </x:row>
    <x:row r="4944">
      <x:c r="A4944" s="89" t="n">
        <x:v>4942</x:v>
      </x:c>
      <x:c r="B4944" s="80" t="n">
        <x:v>-0.37064828072695066</x:v>
      </x:c>
      <x:c r="C4944" s="84" t="n">
        <x:f>SQRT('Resumen'!$B$5^3/3)*B4944</x:f>
        <x:v>-0.21399388465237693</x:v>
      </x:c>
      <x:c r="D4944" s="84" t="n">
        <x:f>C4944^2-'Resumen'!$B$5^3/3</x:f>
        <x:v>-0.2875399506647185</x:v>
      </x:c>
      <x:c r="E4944" s="85" t="n">
        <x:f>D4944+'Resumen'!$B$5^3/3</x:f>
        <x:v>0.045793382668614824</x:v>
      </x:c>
    </x:row>
    <x:row r="4945">
      <x:c r="A4945" s="89" t="n">
        <x:v>4943</x:v>
      </x:c>
      <x:c r="B4945" s="80" t="n">
        <x:v>1.316489242247399</x:v>
      </x:c>
      <x:c r="C4945" s="84" t="n">
        <x:f>SQRT('Resumen'!$B$5^3/3)*B4945</x:f>
        <x:v>0.7600754183967823</x:v>
      </x:c>
      <x:c r="D4945" s="84" t="n">
        <x:f>C4945^2-'Resumen'!$B$5^3/3</x:f>
        <x:v>0.24438130831771027</x:v>
      </x:c>
      <x:c r="E4945" s="85" t="n">
        <x:f>D4945+'Resumen'!$B$5^3/3</x:f>
        <x:v>0.5777146416510436</x:v>
      </x:c>
    </x:row>
    <x:row r="4946">
      <x:c r="A4946" s="89" t="n">
        <x:v>4944</x:v>
      </x:c>
      <x:c r="B4946" s="80" t="n">
        <x:v>1.4191396349506906</x:v>
      </x:c>
      <x:c r="C4946" s="84" t="n">
        <x:f>SQRT('Resumen'!$B$5^3/3)*B4946</x:f>
        <x:v>0.8193406502564484</x:v>
      </x:c>
      <x:c r="D4946" s="84" t="n">
        <x:f>C4946^2-'Resumen'!$B$5^3/3</x:f>
        <x:v>0.3379857678293264</x:v>
      </x:c>
      <x:c r="E4946" s="85" t="n">
        <x:f>D4946+'Resumen'!$B$5^3/3</x:f>
        <x:v>0.6713191011626597</x:v>
      </x:c>
    </x:row>
    <x:row r="4947">
      <x:c r="A4947" s="89" t="n">
        <x:v>4945</x:v>
      </x:c>
      <x:c r="B4947" s="80" t="n">
        <x:v>-1.569021971403205</x:v>
      </x:c>
      <x:c r="C4947" s="84" t="n">
        <x:f>SQRT('Resumen'!$B$5^3/3)*B4947</x:f>
        <x:v>-0.9058752575540776</x:v>
      </x:c>
      <x:c r="D4947" s="84" t="n">
        <x:f>C4947^2-'Resumen'!$B$5^3/3</x:f>
        <x:v>0.4872766489153331</x:v>
      </x:c>
      <x:c r="E4947" s="85" t="n">
        <x:f>D4947+'Resumen'!$B$5^3/3</x:f>
        <x:v>0.8206099822486664</x:v>
      </x:c>
    </x:row>
    <x:row r="4948">
      <x:c r="A4948" s="89" t="n">
        <x:v>4946</x:v>
      </x:c>
      <x:c r="B4948" s="80" t="n">
        <x:v>-0.42177779174979324</x:v>
      </x:c>
      <x:c r="C4948" s="84" t="n">
        <x:f>SQRT('Resumen'!$B$5^3/3)*B4948</x:f>
        <x:v>-0.24351352160494902</x:v>
      </x:c>
      <x:c r="D4948" s="84" t="n">
        <x:f>C4948^2-'Resumen'!$B$5^3/3</x:f>
        <x:v>-0.27403449812888936</x:v>
      </x:c>
      <x:c r="E4948" s="85" t="n">
        <x:f>D4948+'Resumen'!$B$5^3/3</x:f>
        <x:v>0.059298835204443956</x:v>
      </x:c>
    </x:row>
    <x:row r="4949">
      <x:c r="A4949" s="89" t="n">
        <x:v>4947</x:v>
      </x:c>
      <x:c r="B4949" s="80" t="n">
        <x:v>2.382816769103242</x:v>
      </x:c>
      <x:c r="C4949" s="84" t="n">
        <x:f>SQRT('Resumen'!$B$5^3/3)*B4949</x:f>
        <x:v>1.375719903071311</x:v>
      </x:c>
      <x:c r="D4949" s="84" t="n">
        <x:f>C4949^2-'Resumen'!$B$5^3/3</x:f>
        <x:v>1.559271918373204</x:v>
      </x:c>
      <x:c r="E4949" s="85" t="n">
        <x:f>D4949+'Resumen'!$B$5^3/3</x:f>
        <x:v>1.8926052517065373</x:v>
      </x:c>
    </x:row>
    <x:row r="4950">
      <x:c r="A4950" s="89" t="n">
        <x:v>4948</x:v>
      </x:c>
      <x:c r="B4950" s="80" t="n">
        <x:v>-0.5746529388488119</x:v>
      </x:c>
      <x:c r="C4950" s="84" t="n">
        <x:f>SQRT('Resumen'!$B$5^3/3)*B4950</x:f>
        <x:v>-0.33177602893497105</x:v>
      </x:c>
      <x:c r="D4950" s="84" t="n">
        <x:f>C4950^2-'Resumen'!$B$5^3/3</x:f>
        <x:v>-0.22325799995747458</x:v>
      </x:c>
      <x:c r="E4950" s="85" t="n">
        <x:f>D4950+'Resumen'!$B$5^3/3</x:f>
        <x:v>0.11007533337585873</x:v>
      </x:c>
    </x:row>
    <x:row r="4951">
      <x:c r="A4951" s="89" t="n">
        <x:v>4949</x:v>
      </x:c>
      <x:c r="B4951" s="80" t="n">
        <x:v>1.5419377966056589</x:v>
      </x:c>
      <x:c r="C4951" s="84" t="n">
        <x:f>SQRT('Resumen'!$B$5^3/3)*B4951</x:f>
        <x:v>0.8902382019439355</x:v>
      </x:c>
      <x:c r="D4951" s="84" t="n">
        <x:f>C4951^2-'Resumen'!$B$5^3/3</x:f>
        <x:v>0.45919072286703805</x:v>
      </x:c>
      <x:c r="E4951" s="85" t="n">
        <x:f>D4951+'Resumen'!$B$5^3/3</x:f>
        <x:v>0.7925240562003714</x:v>
      </x:c>
    </x:row>
    <x:row r="4952">
      <x:c r="A4952" s="89" t="n">
        <x:v>4950</x:v>
      </x:c>
      <x:c r="B4952" s="80" t="n">
        <x:v>-1.2514660842805723</x:v>
      </x:c>
      <x:c r="C4952" s="84" t="n">
        <x:f>SQRT('Resumen'!$B$5^3/3)*B4952</x:f>
        <x:v>-0.7225342806410753</x:v>
      </x:c>
      <x:c r="D4952" s="84" t="n">
        <x:f>C4952^2-'Resumen'!$B$5^3/3</x:f>
        <x:v>0.18872245336818277</x:v>
      </x:c>
      <x:c r="E4952" s="85" t="n">
        <x:f>D4952+'Resumen'!$B$5^3/3</x:f>
        <x:v>0.5220557867015161</x:v>
      </x:c>
    </x:row>
    <x:row r="4953">
      <x:c r="A4953" s="89" t="n">
        <x:v>4951</x:v>
      </x:c>
      <x:c r="B4953" s="80" t="n">
        <x:v>2.2122384487184172</x:v>
      </x:c>
      <x:c r="C4953" s="84" t="n">
        <x:f>SQRT('Resumen'!$B$5^3/3)*B4953</x:f>
        <x:v>1.2772364638792182</x:v>
      </x:c>
      <x:c r="D4953" s="84" t="n">
        <x:f>C4953^2-'Resumen'!$B$5^3/3</x:f>
        <x:v>1.2979996513293561</x:v>
      </x:c>
      <x:c r="E4953" s="85" t="n">
        <x:f>D4953+'Resumen'!$B$5^3/3</x:f>
        <x:v>1.6313329846626894</x:v>
      </x:c>
    </x:row>
    <x:row r="4954">
      <x:c r="A4954" s="89" t="n">
        <x:v>4952</x:v>
      </x:c>
      <x:c r="B4954" s="80" t="n">
        <x:v>0.07859768846878187</x:v>
      </x:c>
      <x:c r="C4954" s="84" t="n">
        <x:f>SQRT('Resumen'!$B$5^3/3)*B4954</x:f>
        <x:v>0.045378396595133555</x:v>
      </x:c>
      <x:c r="D4954" s="84" t="n">
        <x:f>C4954^2-'Resumen'!$B$5^3/3</x:f>
        <x:v>-0.33127413445578807</x:v>
      </x:c>
      <x:c r="E4954" s="85" t="n">
        <x:f>D4954+'Resumen'!$B$5^3/3</x:f>
        <x:v>0.002059198877545243</x:v>
      </x:c>
    </x:row>
    <x:row r="4955">
      <x:c r="A4955" s="89" t="n">
        <x:v>4953</x:v>
      </x:c>
      <x:c r="B4955" s="80" t="n">
        <x:v>-0.2703796279918545</x:v>
      </x:c>
      <x:c r="C4955" s="84" t="n">
        <x:f>SQRT('Resumen'!$B$5^3/3)*B4955</x:f>
        <x:v>-0.15610375100448806</x:v>
      </x:c>
      <x:c r="D4955" s="84" t="n">
        <x:f>C4955^2-'Resumen'!$B$5^3/3</x:f>
        <x:v>-0.3089649522556621</x:v>
      </x:c>
      <x:c r="E4955" s="85" t="n">
        <x:f>D4955+'Resumen'!$B$5^3/3</x:f>
        <x:v>0.024368381077671197</x:v>
      </x:c>
    </x:row>
    <x:row r="4956">
      <x:c r="A4956" s="89" t="n">
        <x:v>4954</x:v>
      </x:c>
      <x:c r="B4956" s="80" t="n">
        <x:v>0.8881209537735781</x:v>
      </x:c>
      <x:c r="C4956" s="84" t="n">
        <x:f>SQRT('Resumen'!$B$5^3/3)*B4956</x:f>
        <x:v>0.5127568717341224</x:v>
      </x:c>
      <x:c r="D4956" s="84" t="n">
        <x:f>C4956^2-'Resumen'!$B$5^3/3</x:f>
        <x:v>-0.07041372382277006</x:v>
      </x:c>
      <x:c r="E4956" s="85" t="n">
        <x:f>D4956+'Resumen'!$B$5^3/3</x:f>
        <x:v>0.26291960951056326</x:v>
      </x:c>
    </x:row>
    <x:row r="4957">
      <x:c r="A4957" s="89" t="n">
        <x:v>4955</x:v>
      </x:c>
      <x:c r="B4957" s="80" t="n">
        <x:v>1.1644469267243187</x:v>
      </x:c>
      <x:c r="C4957" s="84" t="n">
        <x:f>SQRT('Resumen'!$B$5^3/3)*B4957</x:f>
        <x:v>0.6722937466013178</x:v>
      </x:c>
      <x:c r="D4957" s="84" t="n">
        <x:f>C4957^2-'Resumen'!$B$5^3/3</x:f>
        <x:v>0.11864554838590358</x:v>
      </x:c>
      <x:c r="E4957" s="85" t="n">
        <x:f>D4957+'Resumen'!$B$5^3/3</x:f>
        <x:v>0.4519788817192369</x:v>
      </x:c>
    </x:row>
    <x:row r="4958">
      <x:c r="A4958" s="89" t="n">
        <x:v>4956</x:v>
      </x:c>
      <x:c r="B4958" s="80" t="n">
        <x:v>-0.3481213989619653</x:v>
      </x:c>
      <x:c r="C4958" s="84" t="n">
        <x:f>SQRT('Resumen'!$B$5^3/3)*B4958</x:f>
        <x:v>-0.20098798340135976</x:v>
      </x:c>
      <x:c r="D4958" s="84" t="n">
        <x:f>C4958^2-'Resumen'!$B$5^3/3</x:f>
        <x:v>-0.2929371638615881</x:v>
      </x:c>
      <x:c r="E4958" s="85" t="n">
        <x:f>D4958+'Resumen'!$B$5^3/3</x:f>
        <x:v>0.040396169471745236</x:v>
      </x:c>
    </x:row>
    <x:row r="4959">
      <x:c r="A4959" s="89" t="n">
        <x:v>4957</x:v>
      </x:c>
      <x:c r="B4959" s="80" t="n">
        <x:v>1.2084796905189854</x:v>
      </x:c>
      <x:c r="C4959" s="84" t="n">
        <x:f>SQRT('Resumen'!$B$5^3/3)*B4959</x:f>
        <x:v>0.6977160746313318</x:v>
      </x:c>
      <x:c r="D4959" s="84" t="n">
        <x:f>C4959^2-'Resumen'!$B$5^3/3</x:f>
        <x:v>0.1534743874656208</x:v>
      </x:c>
      <x:c r="E4959" s="85" t="n">
        <x:f>D4959+'Resumen'!$B$5^3/3</x:f>
        <x:v>0.4868077207989541</x:v>
      </x:c>
    </x:row>
    <x:row r="4960">
      <x:c r="A4960" s="89" t="n">
        <x:v>4958</x:v>
      </x:c>
      <x:c r="B4960" s="80" t="n">
        <x:v>1.1605978146784697</x:v>
      </x:c>
      <x:c r="C4960" s="84" t="n">
        <x:f>SQRT('Resumen'!$B$5^3/3)*B4960</x:f>
        <x:v>0.6700714607255058</x:v>
      </x:c>
      <x:c r="D4960" s="84" t="n">
        <x:f>C4960^2-'Resumen'!$B$5^3/3</x:f>
        <x:v>0.1156624291454798</x:v>
      </x:c>
      <x:c r="E4960" s="85" t="n">
        <x:f>D4960+'Resumen'!$B$5^3/3</x:f>
        <x:v>0.4489957624788131</x:v>
      </x:c>
    </x:row>
    <x:row r="4961">
      <x:c r="A4961" s="89" t="n">
        <x:v>4959</x:v>
      </x:c>
      <x:c r="B4961" s="80" t="n">
        <x:v>0.6110916164715202</x:v>
      </x:c>
      <x:c r="C4961" s="84" t="n">
        <x:f>SQRT('Resumen'!$B$5^3/3)*B4961</x:f>
        <x:v>0.35281390926935574</x:v>
      </x:c>
      <x:c r="D4961" s="84" t="n">
        <x:f>C4961^2-'Resumen'!$B$5^3/3</x:f>
        <x:v>-0.20885567875940814</x:v>
      </x:c>
      <x:c r="E4961" s="85" t="n">
        <x:f>D4961+'Resumen'!$B$5^3/3</x:f>
        <x:v>0.12447765457392518</x:v>
      </x:c>
    </x:row>
    <x:row r="4962">
      <x:c r="A4962" s="89" t="n">
        <x:v>4960</x:v>
      </x:c>
      <x:c r="B4962" s="80" t="n">
        <x:v>-1.9663620072518624</x:v>
      </x:c>
      <x:c r="C4962" s="84" t="n">
        <x:f>SQRT('Resumen'!$B$5^3/3)*B4962</x:f>
        <x:v>-1.1352796342111156</x:v>
      </x:c>
      <x:c r="D4962" s="84" t="n">
        <x:f>C4962^2-'Resumen'!$B$5^3/3</x:f>
        <x:v>0.9555265145211911</x:v>
      </x:c>
      <x:c r="E4962" s="85" t="n">
        <x:f>D4962+'Resumen'!$B$5^3/3</x:f>
        <x:v>1.2888598478545243</x:v>
      </x:c>
    </x:row>
    <x:row r="4963">
      <x:c r="A4963" s="89" t="n">
        <x:v>4961</x:v>
      </x:c>
      <x:c r="B4963" s="80" t="n">
        <x:v>0.1549272894327897</x:v>
      </x:c>
      <x:c r="C4963" s="84" t="n">
        <x:f>SQRT('Resumen'!$B$5^3/3)*B4963</x:f>
        <x:v>0.08944731225884019</x:v>
      </x:c>
      <x:c r="D4963" s="84" t="n">
        <x:f>C4963^2-'Resumen'!$B$5^3/3</x:f>
        <x:v>-0.32533251166300287</x:v>
      </x:c>
      <x:c r="E4963" s="85" t="n">
        <x:f>D4963+'Resumen'!$B$5^3/3</x:f>
        <x:v>0.008000821670330449</x:v>
      </x:c>
    </x:row>
    <x:row r="4964">
      <x:c r="A4964" s="89" t="n">
        <x:v>4962</x:v>
      </x:c>
      <x:c r="B4964" s="80" t="n">
        <x:v>1.589185552570181</x:v>
      </x:c>
      <x:c r="C4964" s="84" t="n">
        <x:f>SQRT('Resumen'!$B$5^3/3)*B4964</x:f>
        <x:v>0.9175167065686581</x:v>
      </x:c>
      <x:c r="D4964" s="84" t="n">
        <x:f>C4964^2-'Resumen'!$B$5^3/3</x:f>
        <x:v>0.5085035734992638</x:v>
      </x:c>
      <x:c r="E4964" s="85" t="n">
        <x:f>D4964+'Resumen'!$B$5^3/3</x:f>
        <x:v>0.841836906832597</x:v>
      </x:c>
    </x:row>
    <x:row r="4965">
      <x:c r="A4965" s="89" t="n">
        <x:v>4963</x:v>
      </x:c>
      <x:c r="B4965" s="80" t="n">
        <x:v>-0.35381760010723406</x:v>
      </x:c>
      <x:c r="C4965" s="84" t="n">
        <x:f>SQRT('Resumen'!$B$5^3/3)*B4965</x:f>
        <x:v>-0.20427668666593893</x:v>
      </x:c>
      <x:c r="D4965" s="84" t="n">
        <x:f>C4965^2-'Resumen'!$B$5^3/3</x:f>
        <x:v>-0.2916043686181191</x:v>
      </x:c>
      <x:c r="E4965" s="85" t="n">
        <x:f>D4965+'Resumen'!$B$5^3/3</x:f>
        <x:v>0.0417289647152142</x:v>
      </x:c>
    </x:row>
    <x:row r="4966">
      <x:c r="A4966" s="89" t="n">
        <x:v>4964</x:v>
      </x:c>
      <x:c r="B4966" s="80" t="n">
        <x:v>0.582994570473564</x:v>
      </x:c>
      <x:c r="C4966" s="84" t="n">
        <x:f>SQRT('Resumen'!$B$5^3/3)*B4966</x:f>
        <x:v>0.3365920721990024</x:v>
      </x:c>
      <x:c r="D4966" s="84" t="n">
        <x:f>C4966^2-'Resumen'!$B$5^3/3</x:f>
        <x:v>-0.2200391102661149</x:v>
      </x:c>
      <x:c r="E4966" s="85" t="n">
        <x:f>D4966+'Resumen'!$B$5^3/3</x:f>
        <x:v>0.11329422306721842</x:v>
      </x:c>
    </x:row>
    <x:row r="4967">
      <x:c r="A4967" s="89" t="n">
        <x:v>4965</x:v>
      </x:c>
      <x:c r="B4967" s="80" t="n">
        <x:v>0.563082697314487</x:v>
      </x:c>
      <x:c r="C4967" s="84" t="n">
        <x:f>SQRT('Resumen'!$B$5^3/3)*B4967</x:f>
        <x:v>0.3250959468705396</x:v>
      </x:c>
      <x:c r="D4967" s="84" t="n">
        <x:f>C4967^2-'Resumen'!$B$5^3/3</x:f>
        <x:v>-0.2276459586616806</x:v>
      </x:c>
      <x:c r="E4967" s="85" t="n">
        <x:f>D4967+'Resumen'!$B$5^3/3</x:f>
        <x:v>0.1056873746716527</x:v>
      </x:c>
    </x:row>
    <x:row r="4968">
      <x:c r="A4968" s="89" t="n">
        <x:v>4966</x:v>
      </x:c>
      <x:c r="B4968" s="80" t="n">
        <x:v>-0.8236084989973458</x:v>
      </x:c>
      <x:c r="C4968" s="84" t="n">
        <x:f>SQRT('Resumen'!$B$5^3/3)*B4968</x:f>
        <x:v>-0.4755105886029812</x:v>
      </x:c>
      <x:c r="D4968" s="84" t="n">
        <x:f>C4968^2-'Resumen'!$B$5^3/3</x:f>
        <x:v>-0.10722301345977969</x:v>
      </x:c>
      <x:c r="E4968" s="85" t="n">
        <x:f>D4968+'Resumen'!$B$5^3/3</x:f>
        <x:v>0.22611031987355362</x:v>
      </x:c>
    </x:row>
    <x:row r="4969">
      <x:c r="A4969" s="89" t="n">
        <x:v>4967</x:v>
      </x:c>
      <x:c r="B4969" s="80" t="n">
        <x:v>0.9088192600275279</x:v>
      </x:c>
      <x:c r="C4969" s="84" t="n">
        <x:f>SQRT('Resumen'!$B$5^3/3)*B4969</x:f>
        <x:v>0.5247070444216096</x:v>
      </x:c>
      <x:c r="D4969" s="84" t="n">
        <x:f>C4969^2-'Resumen'!$B$5^3/3</x:f>
        <x:v>-0.05801585086767225</x:v>
      </x:c>
      <x:c r="E4969" s="85" t="n">
        <x:f>D4969+'Resumen'!$B$5^3/3</x:f>
        <x:v>0.27531748246566107</x:v>
      </x:c>
    </x:row>
    <x:row r="4970">
      <x:c r="A4970" s="89" t="n">
        <x:v>4968</x:v>
      </x:c>
      <x:c r="B4970" s="80" t="n">
        <x:v>-1.0491693732552825</x:v>
      </x:c>
      <x:c r="C4970" s="84" t="n">
        <x:f>SQRT('Resumen'!$B$5^3/3)*B4970</x:f>
        <x:v>-0.6057382200744482</x:v>
      </x:c>
      <x:c r="D4970" s="84" t="n">
        <x:f>C4970^2-'Resumen'!$B$5^3/3</x:f>
        <x:v>0.03358545792562734</x:v>
      </x:c>
      <x:c r="E4970" s="85" t="n">
        <x:f>D4970+'Resumen'!$B$5^3/3</x:f>
        <x:v>0.36691879125896065</x:v>
      </x:c>
    </x:row>
    <x:row r="4971">
      <x:c r="A4971" s="89" t="n">
        <x:v>4969</x:v>
      </x:c>
      <x:c r="B4971" s="80" t="n">
        <x:v>0.12931896932824094</x:v>
      </x:c>
      <x:c r="C4971" s="84" t="n">
        <x:f>SQRT('Resumen'!$B$5^3/3)*B4971</x:f>
        <x:v>0.07466234175298486</x:v>
      </x:c>
      <x:c r="D4971" s="84" t="n">
        <x:f>C4971^2-'Resumen'!$B$5^3/3</x:f>
        <x:v>-0.3277588680572938</x:v>
      </x:c>
      <x:c r="E4971" s="85" t="n">
        <x:f>D4971+'Resumen'!$B$5^3/3</x:f>
        <x:v>0.0055744652760394975</x:v>
      </x:c>
    </x:row>
    <x:row r="4972">
      <x:c r="A4972" s="89" t="n">
        <x:v>4970</x:v>
      </x:c>
      <x:c r="B4972" s="80" t="n">
        <x:v>1.0755101556630344</x:v>
      </x:c>
      <x:c r="C4972" s="84" t="n">
        <x:f>SQRT('Resumen'!$B$5^3/3)*B4972</x:f>
        <x:v>0.6209460778882292</x:v>
      </x:c>
      <x:c r="D4972" s="84" t="n">
        <x:f>C4972^2-'Resumen'!$B$5^3/3</x:f>
        <x:v>0.052240698311441514</x:v>
      </x:c>
      <x:c r="E4972" s="85" t="n">
        <x:f>D4972+'Resumen'!$B$5^3/3</x:f>
        <x:v>0.38557403164477483</x:v>
      </x:c>
    </x:row>
    <x:row r="4973">
      <x:c r="A4973" s="89" t="n">
        <x:v>4971</x:v>
      </x:c>
      <x:c r="B4973" s="80" t="n">
        <x:v>0.3600053097820261</x:v>
      </x:c>
      <x:c r="C4973" s="84" t="n">
        <x:f>SQRT('Resumen'!$B$5^3/3)*B4973</x:f>
        <x:v>0.20784916251234736</x:v>
      </x:c>
      <x:c r="D4973" s="84" t="n">
        <x:f>C4973^2-'Resumen'!$B$5^3/3</x:f>
        <x:v>-0.2901320589762491</x:v>
      </x:c>
      <x:c r="E4973" s="85" t="n">
        <x:f>D4973+'Resumen'!$B$5^3/3</x:f>
        <x:v>0.04320127435708421</x:v>
      </x:c>
    </x:row>
    <x:row r="4974">
      <x:c r="A4974" s="89" t="n">
        <x:v>4972</x:v>
      </x:c>
      <x:c r="B4974" s="80" t="n">
        <x:v>0.2937412570449</x:v>
      </x:c>
      <x:c r="C4974" s="84" t="n">
        <x:f>SQRT('Resumen'!$B$5^3/3)*B4974</x:f>
        <x:v>0.16959159382697206</x:v>
      </x:c>
      <x:c r="D4974" s="84" t="n">
        <x:f>C4974^2-'Resumen'!$B$5^3/3</x:f>
        <x:v>-0.30457202463656063</x:v>
      </x:c>
      <x:c r="E4974" s="85" t="n">
        <x:f>D4974+'Resumen'!$B$5^3/3</x:f>
        <x:v>0.02876130869677268</x:v>
      </x:c>
    </x:row>
    <x:row r="4975">
      <x:c r="A4975" s="89" t="n">
        <x:v>4973</x:v>
      </x:c>
      <x:c r="B4975" s="80" t="n">
        <x:v>0.24594685490332072</x:v>
      </x:c>
      <x:c r="C4975" s="84" t="n">
        <x:f>SQRT('Resumen'!$B$5^3/3)*B4975</x:f>
        <x:v>0.14199748288477404</x:v>
      </x:c>
      <x:c r="D4975" s="84" t="n">
        <x:f>C4975^2-'Resumen'!$B$5^3/3</x:f>
        <x:v>-0.3131700481877216</x:v>
      </x:c>
      <x:c r="E4975" s="85" t="n">
        <x:f>D4975+'Resumen'!$B$5^3/3</x:f>
        <x:v>0.02016328514561172</x:v>
      </x:c>
    </x:row>
    <x:row r="4976">
      <x:c r="A4976" s="89" t="n">
        <x:v>4974</x:v>
      </x:c>
      <x:c r="B4976" s="80" t="n">
        <x:v>-0.5711548966201431</x:v>
      </x:c>
      <x:c r="C4976" s="84" t="n">
        <x:f>SQRT('Resumen'!$B$5^3/3)*B4976</x:f>
        <x:v>-0.32975643331261245</x:v>
      </x:c>
      <x:c r="D4976" s="84" t="n">
        <x:f>C4976^2-'Resumen'!$B$5^3/3</x:f>
        <x:v>-0.2245940280222779</x:v>
      </x:c>
      <x:c r="E4976" s="85" t="n">
        <x:f>D4976+'Resumen'!$B$5^3/3</x:f>
        <x:v>0.10873930531105541</x:v>
      </x:c>
    </x:row>
    <x:row r="4977">
      <x:c r="A4977" s="89" t="n">
        <x:v>4975</x:v>
      </x:c>
      <x:c r="B4977" s="80" t="n">
        <x:v>1.192396398034694</x:v>
      </x:c>
      <x:c r="C4977" s="84" t="n">
        <x:f>SQRT('Resumen'!$B$5^3/3)*B4977</x:f>
        <x:v>0.6884303813860707</x:v>
      </x:c>
      <x:c r="D4977" s="84" t="n">
        <x:f>C4977^2-'Resumen'!$B$5^3/3</x:f>
        <x:v>0.14060305668203749</x:v>
      </x:c>
      <x:c r="E4977" s="85" t="n">
        <x:f>D4977+'Resumen'!$B$5^3/3</x:f>
        <x:v>0.4739363900153708</x:v>
      </x:c>
    </x:row>
    <x:row r="4978">
      <x:c r="A4978" s="89" t="n">
        <x:v>4976</x:v>
      </x:c>
      <x:c r="B4978" s="80" t="n">
        <x:v>0.7389362623204074</x:v>
      </x:c>
      <x:c r="C4978" s="84" t="n">
        <x:f>SQRT('Resumen'!$B$5^3/3)*B4978</x:f>
        <x:v>0.4266250499646631</x:v>
      </x:c>
      <x:c r="D4978" s="84" t="n">
        <x:f>C4978^2-'Resumen'!$B$5^3/3</x:f>
        <x:v>-0.15132440007598202</x:v>
      </x:c>
      <x:c r="E4978" s="85" t="n">
        <x:f>D4978+'Resumen'!$B$5^3/3</x:f>
        <x:v>0.1820089332573513</x:v>
      </x:c>
    </x:row>
    <x:row r="4979">
      <x:c r="A4979" s="89" t="n">
        <x:v>4977</x:v>
      </x:c>
      <x:c r="B4979" s="80" t="n">
        <x:v>0.7960402758101282</x:v>
      </x:c>
      <x:c r="C4979" s="84" t="n">
        <x:f>SQRT('Resumen'!$B$5^3/3)*B4979</x:f>
        <x:v>0.4595940675247614</x:v>
      </x:c>
      <x:c r="D4979" s="84" t="n">
        <x:f>C4979^2-'Resumen'!$B$5^3/3</x:f>
        <x:v>-0.12210662642937839</x:v>
      </x:c>
      <x:c r="E4979" s="85" t="n">
        <x:f>D4979+'Resumen'!$B$5^3/3</x:f>
        <x:v>0.21122670690395492</x:v>
      </x:c>
    </x:row>
    <x:row r="4980">
      <x:c r="A4980" s="89" t="n">
        <x:v>4978</x:v>
      </x:c>
      <x:c r="B4980" s="80" t="n">
        <x:v>1.1151650650031506</x:v>
      </x:c>
      <x:c r="C4980" s="84" t="n">
        <x:f>SQRT('Resumen'!$B$5^3/3)*B4980</x:f>
        <x:v>0.6438408504704355</x:v>
      </x:c>
      <x:c r="D4980" s="84" t="n">
        <x:f>C4980^2-'Resumen'!$B$5^3/3</x:f>
        <x:v>0.08119770740116034</x:v>
      </x:c>
      <x:c r="E4980" s="85" t="n">
        <x:f>D4980+'Resumen'!$B$5^3/3</x:f>
        <x:v>0.41453104073449365</x:v>
      </x:c>
    </x:row>
    <x:row r="4981">
      <x:c r="A4981" s="89" t="n">
        <x:v>4979</x:v>
      </x:c>
      <x:c r="B4981" s="80" t="n">
        <x:v>-0.4394586627748377</x:v>
      </x:c>
      <x:c r="C4981" s="84" t="n">
        <x:f>SQRT('Resumen'!$B$5^3/3)*B4981</x:f>
        <x:v>-0.2537215772507655</x:v>
      </x:c>
      <x:c r="D4981" s="84" t="n">
        <x:f>C4981^2-'Resumen'!$B$5^3/3</x:f>
        <x:v>-0.26895869457071714</x:v>
      </x:c>
      <x:c r="E4981" s="85" t="n">
        <x:f>D4981+'Resumen'!$B$5^3/3</x:f>
        <x:v>0.06437463876261618</x:v>
      </x:c>
    </x:row>
    <x:row r="4982">
      <x:c r="A4982" s="89" t="n">
        <x:v>4980</x:v>
      </x:c>
      <x:c r="B4982" s="80" t="n">
        <x:v>1.6065184769938388</x:v>
      </x:c>
      <x:c r="C4982" s="84" t="n">
        <x:f>SQRT('Resumen'!$B$5^3/3)*B4982</x:f>
        <x:v>0.9275238751505004</x:v>
      </x:c>
      <x:c r="D4982" s="84" t="n">
        <x:f>C4982^2-'Resumen'!$B$5^3/3</x:f>
        <x:v>0.5269672056408676</x:v>
      </x:c>
      <x:c r="E4982" s="85" t="n">
        <x:f>D4982+'Resumen'!$B$5^3/3</x:f>
        <x:v>0.8603005389742009</x:v>
      </x:c>
    </x:row>
    <x:row r="4983">
      <x:c r="A4983" s="89" t="n">
        <x:v>4981</x:v>
      </x:c>
      <x:c r="B4983" s="80" t="n">
        <x:v>0.1672530438509446</x:v>
      </x:c>
      <x:c r="C4983" s="84" t="n">
        <x:f>SQRT('Resumen'!$B$5^3/3)*B4983</x:f>
        <x:v>0.09656358989012714</x:v>
      </x:c>
      <x:c r="D4983" s="84" t="n">
        <x:f>C4983^2-'Resumen'!$B$5^3/3</x:f>
        <x:v>-0.32400880644086466</x:v>
      </x:c>
      <x:c r="E4983" s="85" t="n">
        <x:f>D4983+'Resumen'!$B$5^3/3</x:f>
        <x:v>0.009324526892468654</x:v>
      </x:c>
    </x:row>
    <x:row r="4984">
      <x:c r="A4984" s="89" t="n">
        <x:v>4982</x:v>
      </x:c>
      <x:c r="B4984" s="80" t="n">
        <x:v>-1.3391132833754988</x:v>
      </x:c>
      <x:c r="C4984" s="84" t="n">
        <x:f>SQRT('Resumen'!$B$5^3/3)*B4984</x:f>
        <x:v>-0.7731374146322478</x:v>
      </x:c>
      <x:c r="D4984" s="84" t="n">
        <x:f>C4984^2-'Resumen'!$B$5^3/3</x:f>
        <x:v>0.26440812857090296</x:v>
      </x:c>
      <x:c r="E4984" s="85" t="n">
        <x:f>D4984+'Resumen'!$B$5^3/3</x:f>
        <x:v>0.5977414619042363</x:v>
      </x:c>
    </x:row>
    <x:row r="4985">
      <x:c r="A4985" s="89" t="n">
        <x:v>4983</x:v>
      </x:c>
      <x:c r="B4985" s="80" t="n">
        <x:v>-1.605917056000398</x:v>
      </x:c>
      <x:c r="C4985" s="84" t="n">
        <x:f>SQRT('Resumen'!$B$5^3/3)*B4985</x:f>
        <x:v>-0.9271766445780409</x:v>
      </x:c>
      <x:c r="D4985" s="84" t="n">
        <x:f>C4985^2-'Resumen'!$B$5^3/3</x:f>
        <x:v>0.5263231969176616</x:v>
      </x:c>
      <x:c r="E4985" s="85" t="n">
        <x:f>D4985+'Resumen'!$B$5^3/3</x:f>
        <x:v>0.8596565302509949</x:v>
      </x:c>
    </x:row>
    <x:row r="4986">
      <x:c r="A4986" s="89" t="n">
        <x:v>4984</x:v>
      </x:c>
      <x:c r="B4986" s="80" t="n">
        <x:v>-0.18652053334910226</x:v>
      </x:c>
      <x:c r="C4986" s="84" t="n">
        <x:f>SQRT('Resumen'!$B$5^3/3)*B4986</x:f>
        <x:v>-0.10768768013849675</x:v>
      </x:c>
      <x:c r="D4986" s="84" t="n">
        <x:f>C4986^2-'Resumen'!$B$5^3/3</x:f>
        <x:v>-0.3217366968797221</x:v>
      </x:c>
      <x:c r="E4986" s="85" t="n">
        <x:f>D4986+'Resumen'!$B$5^3/3</x:f>
        <x:v>0.011596636453611198</x:v>
      </x:c>
    </x:row>
    <x:row r="4987">
      <x:c r="A4987" s="89" t="n">
        <x:v>4985</x:v>
      </x:c>
      <x:c r="B4987" s="80" t="n">
        <x:v>0.17306284019495433</x:v>
      </x:c>
      <x:c r="C4987" s="84" t="n">
        <x:f>SQRT('Resumen'!$B$5^3/3)*B4987</x:f>
        <x:v>0.09991787737327806</x:v>
      </x:c>
      <x:c r="D4987" s="84" t="n">
        <x:f>C4987^2-'Resumen'!$B$5^3/3</x:f>
        <x:v>-0.3233497511145519</x:v>
      </x:c>
      <x:c r="E4987" s="85" t="n">
        <x:f>D4987+'Resumen'!$B$5^3/3</x:f>
        <x:v>0.009983582218781428</x:v>
      </x:c>
    </x:row>
    <x:row r="4988">
      <x:c r="A4988" s="89" t="n">
        <x:v>4986</x:v>
      </x:c>
      <x:c r="B4988" s="80" t="n">
        <x:v>0.842196879745712</x:v>
      </x:c>
      <x:c r="C4988" s="84" t="n">
        <x:f>SQRT('Resumen'!$B$5^3/3)*B4988</x:f>
        <x:v>0.48624259523184965</x:v>
      </x:c>
      <x:c r="D4988" s="84" t="n">
        <x:f>C4988^2-'Resumen'!$B$5^3/3</x:f>
        <x:v>-0.09690147191552895</x:v>
      </x:c>
      <x:c r="E4988" s="85" t="n">
        <x:f>D4988+'Resumen'!$B$5^3/3</x:f>
        <x:v>0.23643186141780437</x:v>
      </x:c>
    </x:row>
    <x:row r="4989">
      <x:c r="A4989" s="89" t="n">
        <x:v>4987</x:v>
      </x:c>
      <x:c r="B4989" s="80" t="n">
        <x:v>-0.5825776934783415</x:v>
      </x:c>
      <x:c r="C4989" s="84" t="n">
        <x:f>SQRT('Resumen'!$B$5^3/3)*B4989</x:f>
        <x:v>-0.3363513881535918</x:v>
      </x:c>
      <x:c r="D4989" s="84" t="n">
        <x:f>C4989^2-'Resumen'!$B$5^3/3</x:f>
        <x:v>-0.22020107702048514</x:v>
      </x:c>
      <x:c r="E4989" s="85" t="n">
        <x:f>D4989+'Resumen'!$B$5^3/3</x:f>
        <x:v>0.11313225631284818</x:v>
      </x:c>
    </x:row>
    <x:row r="4990">
      <x:c r="A4990" s="89" t="n">
        <x:v>4988</x:v>
      </x:c>
      <x:c r="B4990" s="80" t="n">
        <x:v>0.41395030430973556</x:v>
      </x:c>
      <x:c r="C4990" s="84" t="n">
        <x:f>SQRT('Resumen'!$B$5^3/3)*B4990</x:f>
        <x:v>0.2389943196243533</x:v>
      </x:c>
      <x:c r="D4990" s="84" t="n">
        <x:f>C4990^2-'Resumen'!$B$5^3/3</x:f>
        <x:v>-0.2762150485206258</x:v>
      </x:c>
      <x:c r="E4990" s="85" t="n">
        <x:f>D4990+'Resumen'!$B$5^3/3</x:f>
        <x:v>0.05711828481270753</x:v>
      </x:c>
    </x:row>
    <x:row r="4991">
      <x:c r="A4991" s="89" t="n">
        <x:v>4989</x:v>
      </x:c>
      <x:c r="B4991" s="80" t="n">
        <x:v>-0.35963282425849746</x:v>
      </x:c>
      <x:c r="C4991" s="84" t="n">
        <x:f>SQRT('Resumen'!$B$5^3/3)*B4991</x:f>
        <x:v>-0.20763410789506886</x:v>
      </x:c>
      <x:c r="D4991" s="84" t="n">
        <x:f>C4991^2-'Resumen'!$B$5^3/3</x:f>
        <x:v>-0.2902214105719522</x:v>
      </x:c>
      <x:c r="E4991" s="85" t="n">
        <x:f>D4991+'Resumen'!$B$5^3/3</x:f>
        <x:v>0.043111922761381094</x:v>
      </x:c>
    </x:row>
    <x:row r="4992">
      <x:c r="A4992" s="89" t="n">
        <x:v>4990</x:v>
      </x:c>
      <x:c r="B4992" s="80" t="n">
        <x:v>0.29184302399199213</x:v>
      </x:c>
      <x:c r="C4992" s="84" t="n">
        <x:f>SQRT('Resumen'!$B$5^3/3)*B4992</x:f>
        <x:v>0.16849564846289106</x:v>
      </x:c>
      <x:c r="D4992" s="84" t="n">
        <x:f>C4992^2-'Resumen'!$B$5^3/3</x:f>
        <x:v>-0.30494254978240315</x:v>
      </x:c>
      <x:c r="E4992" s="85" t="n">
        <x:f>D4992+'Resumen'!$B$5^3/3</x:f>
        <x:v>0.028390783550930165</x:v>
      </x:c>
    </x:row>
    <x:row r="4993">
      <x:c r="A4993" s="89" t="n">
        <x:v>4991</x:v>
      </x:c>
      <x:c r="B4993" s="80" t="n">
        <x:v>-0.9264477053435503</x:v>
      </x:c>
      <x:c r="C4993" s="84" t="n">
        <x:f>SQRT('Resumen'!$B$5^3/3)*B4993</x:f>
        <x:v>-0.5348848320702098</x:v>
      </x:c>
      <x:c r="D4993" s="84" t="n">
        <x:f>C4993^2-'Resumen'!$B$5^3/3</x:f>
        <x:v>-0.047231549754556845</x:v>
      </x:c>
      <x:c r="E4993" s="85" t="n">
        <x:f>D4993+'Resumen'!$B$5^3/3</x:f>
        <x:v>0.28610178357877647</x:v>
      </x:c>
    </x:row>
    <x:row r="4994">
      <x:c r="A4994" s="89" t="n">
        <x:v>4992</x:v>
      </x:c>
      <x:c r="B4994" s="80" t="n">
        <x:v>-0.18483203101123402</x:v>
      </x:c>
      <x:c r="C4994" s="84" t="n">
        <x:f>SQRT('Resumen'!$B$5^3/3)*B4994</x:f>
        <x:v>-0.10671282285920121</x:v>
      </x:c>
      <x:c r="D4994" s="84" t="n">
        <x:f>C4994^2-'Resumen'!$B$5^3/3</x:f>
        <x:v>-0.32194570677075407</x:v>
      </x:c>
      <x:c r="E4994" s="85" t="n">
        <x:f>D4994+'Resumen'!$B$5^3/3</x:f>
        <x:v>0.011387626562579245</x:v>
      </x:c>
    </x:row>
    <x:row r="4995">
      <x:c r="A4995" s="89" t="n">
        <x:v>4993</x:v>
      </x:c>
      <x:c r="B4995" s="80" t="n">
        <x:v>-0.8312261086871612</x:v>
      </x:c>
      <x:c r="C4995" s="84" t="n">
        <x:f>SQRT('Resumen'!$B$5^3/3)*B4995</x:f>
        <x:v>-0.4799086176079776</x:v>
      </x:c>
      <x:c r="D4995" s="84" t="n">
        <x:f>C4995^2-'Resumen'!$B$5^3/3</x:f>
        <x:v>-0.10302105207893325</x:v>
      </x:c>
      <x:c r="E4995" s="85" t="n">
        <x:f>D4995+'Resumen'!$B$5^3/3</x:f>
        <x:v>0.23031228125440006</x:v>
      </x:c>
    </x:row>
    <x:row r="4996">
      <x:c r="A4996" s="89" t="n">
        <x:v>4994</x:v>
      </x:c>
      <x:c r="B4996" s="80" t="n">
        <x:v>0.2272593911921093</x:v>
      </x:c>
      <x:c r="C4996" s="84" t="n">
        <x:f>SQRT('Resumen'!$B$5^3/3)*B4996</x:f>
        <x:v>0.13120827068063476</x:v>
      </x:c>
      <x:c r="D4996" s="84" t="n">
        <x:f>C4996^2-'Resumen'!$B$5^3/3</x:f>
        <x:v>-0.3161177230383306</x:v>
      </x:c>
      <x:c r="E4996" s="85" t="n">
        <x:f>D4996+'Resumen'!$B$5^3/3</x:f>
        <x:v>0.017215610295002737</x:v>
      </x:c>
    </x:row>
    <x:row r="4997">
      <x:c r="A4997" s="89" t="n">
        <x:v>4995</x:v>
      </x:c>
      <x:c r="B4997" s="80" t="n">
        <x:v>-0.37195738610241336</x:v>
      </x:c>
      <x:c r="C4997" s="84" t="n">
        <x:f>SQRT('Resumen'!$B$5^3/3)*B4997</x:f>
        <x:v>-0.2147496969932979</x:v>
      </x:c>
      <x:c r="D4997" s="84" t="n">
        <x:f>C4997^2-'Resumen'!$B$5^3/3</x:f>
        <x:v>-0.2872159009746201</x:v>
      </x:c>
      <x:c r="E4997" s="85" t="n">
        <x:f>D4997+'Resumen'!$B$5^3/3</x:f>
        <x:v>0.04611743235871324</x:v>
      </x:c>
    </x:row>
    <x:row r="4998">
      <x:c r="A4998" s="89" t="n">
        <x:v>4996</x:v>
      </x:c>
      <x:c r="B4998" s="80" t="n">
        <x:v>-0.17481305702480535</x:v>
      </x:c>
      <x:c r="C4998" s="84" t="n">
        <x:f>SQRT('Resumen'!$B$5^3/3)*B4998</x:f>
        <x:v>-0.10092836553113275</x:v>
      </x:c>
      <x:c r="D4998" s="84" t="n">
        <x:f>C4998^2-'Resumen'!$B$5^3/3</x:f>
        <x:v>-0.32314679836454735</x:v>
      </x:c>
      <x:c r="E4998" s="85" t="n">
        <x:f>D4998+'Resumen'!$B$5^3/3</x:f>
        <x:v>0.010186534968785965</x:v>
      </x:c>
    </x:row>
    <x:row r="4999">
      <x:c r="A4999" s="89" t="n">
        <x:v>4997</x:v>
      </x:c>
      <x:c r="B4999" s="80" t="n">
        <x:v>-0.4460426859438701</x:v>
      </x:c>
      <x:c r="C4999" s="84" t="n">
        <x:f>SQRT('Resumen'!$B$5^3/3)*B4999</x:f>
        <x:v>-0.2575228647997571</x:v>
      </x:c>
      <x:c r="D4999" s="84" t="n">
        <x:f>C4999^2-'Resumen'!$B$5^3/3</x:f>
        <x:v>-0.2670153074386593</x:v>
      </x:c>
      <x:c r="E4999" s="85" t="n">
        <x:f>D4999+'Resumen'!$B$5^3/3</x:f>
        <x:v>0.066318025894674</x:v>
      </x:c>
    </x:row>
    <x:row r="5000">
      <x:c r="A5000" s="89" t="n">
        <x:v>4998</x:v>
      </x:c>
      <x:c r="B5000" s="80" t="n">
        <x:v>0.2218624112176881</x:v>
      </x:c>
      <x:c r="C5000" s="84" t="n">
        <x:f>SQRT('Resumen'!$B$5^3/3)*B5000</x:f>
        <x:v>0.12809232283959165</x:v>
      </x:c>
      <x:c r="D5000" s="84" t="n">
        <x:f>C5000^2-'Resumen'!$B$5^3/3</x:f>
        <x:v>-0.3169256901628911</x:v>
      </x:c>
      <x:c r="E5000" s="85" t="n">
        <x:f>D5000+'Resumen'!$B$5^3/3</x:f>
        <x:v>0.016407643170442188</x:v>
      </x:c>
    </x:row>
    <x:row r="5001">
      <x:c r="A5001" s="89" t="n">
        <x:v>4999</x:v>
      </x:c>
      <x:c r="B5001" s="80" t="n">
        <x:v>-2.0185059180623446</x:v>
      </x:c>
      <x:c r="C5001" s="84" t="n">
        <x:f>SQRT('Resumen'!$B$5^3/3)*B5001</x:f>
        <x:v>-1.1653849351541472</x:v>
      </x:c>
      <x:c r="D5001" s="84" t="n">
        <x:f>C5001^2-'Resumen'!$B$5^3/3</x:f>
        <x:v>1.0247887137509026</x:v>
      </x:c>
      <x:c r="E5001" s="85" t="n">
        <x:f>D5001+'Resumen'!$B$5^3/3</x:f>
        <x:v>1.358122047084236</x:v>
      </x:c>
    </x:row>
    <x:row r="5002">
      <x:c r="A5002" s="90" t="n">
        <x:v>5000</x:v>
      </x:c>
      <x:c r="B5002" s="81" t="n">
        <x:v>0.6186416628630225</x:v>
      </x:c>
      <x:c r="C5002" s="86" t="n">
        <x:f>SQRT('Resumen'!$B$5^3/3)*B5002</x:f>
        <x:v>0.35717293058588373</x:v>
      </x:c>
      <x:c r="D5002" s="86" t="n">
        <x:f>C5002^2-'Resumen'!$B$5^3/3</x:f>
        <x:v>-0.2057608309900248</x:v>
      </x:c>
      <x:c r="E5002" s="87" t="n">
        <x:f>D5002+'Resumen'!$B$5^3/3</x:f>
        <x:v>0.12757250234330852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97fd7c243a0444ea"/>
</x:worksheet>
</file>