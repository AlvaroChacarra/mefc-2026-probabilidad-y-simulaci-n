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drawings/charts/chart4.xml" ContentType="application/vnd.openxmlformats-officedocument.drawingml.chart+xml"/>
  <Override PartName="/xl/worksheets/sheet5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1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4.xml" ContentType="application/vnd.openxmlformats-officedocument.drawing+xml"/>
  <Override PartName="/xl/drawings/charts/chart5.xml" ContentType="application/vnd.openxmlformats-officedocument.drawingml.chart+xml"/>
  <Override PartName="/xl/worksheets/sheet11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05bbaeaefa48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icio" sheetId="1" r:id="Rfc69eac3b9354e20"/>
    <x:sheet xmlns:r="http://schemas.openxmlformats.org/officeDocument/2006/relationships" name="E1 Ratings" sheetId="2" r:id="Ra782e85286ad4c82"/>
    <x:sheet xmlns:r="http://schemas.openxmlformats.org/officeDocument/2006/relationships" name="E2 Ito" sheetId="3" r:id="R3b6136d78ff44821"/>
    <x:sheet xmlns:r="http://schemas.openxmlformats.org/officeDocument/2006/relationships" name="E3 Opciones" sheetId="4" r:id="R9f2d6ca95330491c"/>
    <x:sheet xmlns:r="http://schemas.openxmlformats.org/officeDocument/2006/relationships" name="Datos" sheetId="5" r:id="R7fd0558bb02a4a1d"/>
    <x:sheet xmlns:r="http://schemas.openxmlformats.org/officeDocument/2006/relationships" name="E1 Pasos" sheetId="6" r:id="R1ba7d69d6d6943b9"/>
    <x:sheet xmlns:r="http://schemas.openxmlformats.org/officeDocument/2006/relationships" name="E2 Trayectoria" sheetId="7" r:id="R4c67b048eed0459a"/>
    <x:sheet xmlns:r="http://schemas.openxmlformats.org/officeDocument/2006/relationships" name="E2 Replicas" sheetId="8" r:id="R610f382146984304"/>
    <x:sheet xmlns:r="http://schemas.openxmlformats.org/officeDocument/2006/relationships" name="E3 Calibracion" sheetId="9" r:id="Rbf847890d8a84068"/>
    <x:sheet xmlns:r="http://schemas.openxmlformats.org/officeDocument/2006/relationships" name="E3 Simulacion" sheetId="10" r:id="R247f15d14f944729"/>
    <x:sheet xmlns:r="http://schemas.openxmlformats.org/officeDocument/2006/relationships" name="Control" sheetId="11" r:id="R4cfa9a1b532a417f"/>
  </x:sheets>
</x:workbook>
</file>

<file path=xl/comments1.xml><?xml version="1.0" encoding="utf-8"?>
<x:comments xmlns:x="http://schemas.openxmlformats.org/spreadsheetml/2006/main">
  <x:authors>
    <x:author>tc={890CA4A6-B852-4519-AF46-D2ECE421E6AE}</x:author>
    <x:author>tc={8EB55C7B-C59D-4BAD-B093-2CB302A5E57A}</x:author>
    <x:author>tc={5355D39A-5870-4628-847B-BEE1FED63F15}</x:author>
    <x:author>tc={A2143D7D-ED49-4EA2-8997-F29487A49522}</x:author>
    <x:author>tc={909FB45C-717B-4F74-8284-DF65FAE2BACE}</x:author>
    <x:author>tc={C724A99A-8DD0-4BED-9E4E-C63080B212EB}</x:author>
    <x:author>tc={58FD5028-F55A-486A-A6EF-E4B6F87129B0}</x:author>
    <x:author>tc={A4DA5287-0131-4B11-A9B7-E262C53FEEA6}</x:author>
    <x:author>tc={417F20ED-09C4-4BCE-9664-9AD50308C669}</x:author>
    <x:author>tc={69CEEA17-B8DB-4A93-88FB-0BD8B50AA3FD}</x:author>
    <x:author>tc={AF78965C-E514-43C3-A5D3-224B21113A1A}</x:author>
    <x:author>tc={0522DC0A-240D-4938-A99C-1308AD0BDE35}</x:author>
    <x:author>tc={185C4D0F-CC99-48CC-A843-3CAC4418B25B}</x:author>
    <x:author>tc={B1C3A004-9B58-422A-834B-81A511B3569A}</x:author>
    <x:author>tc={0C4F7E3E-6570-4F19-ADA3-196BFBA106EB}</x:author>
    <x:author>tc={5AFEF712-4F79-4B41-86DF-EA93BD76C109}</x:author>
    <x:author>tc={57AF0457-8AA3-4DD7-B92A-53F3B8642A29}</x:author>
    <x:author>tc={B4B82A8D-8601-4766-8E21-C02D56ADC420}</x:author>
  </x:authors>
  <x:commentList>
    <x:comment ref="B8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Fuente: matriz-ratings.xlsx / Hoja1 / C3:J11. Se conserva Caa y se excluye Ca-C. SHA256: eba5c1016fe9a17c25226a83cfe99e303a8801e6d1f21b814a44903b608289e3</x:t>
        </x:r>
      </x:text>
    </x:comment>
    <x:comment ref="B22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Fuente: output/main.html y configuración numérica documentada del libro. u.m. · enunciado</x:t>
        </x:r>
      </x:text>
    </x:comment>
    <x:comment ref="B23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Fuente: output/main.html y configuración numérica documentada del libro. u.m. · las tres calls y la asiática</x:t>
        </x:r>
      </x:text>
    </x:comment>
    <x:comment ref="B24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Fuente: output/main.html y configuración numérica documentada del libro. anual · sin dividendos</x:t>
        </x:r>
      </x:text>
    </x:comment>
    <x:comment ref="B25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Fuente: output/main.html y configuración numérica documentada del libro. años · distinto de la última fijación</x:t>
        </x:r>
      </x:text>
    </x:comment>
    <x:comment ref="B26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Fuente: output/main.html y configuración numérica documentada del libro. años · caso de referencia t = 1</x:t>
        </x:r>
      </x:text>
    </x:comment>
    <x:comment ref="B27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Fuente: output/main.html y configuración numérica documentada del libro. malla exacta de la trayectoria guardada</x:t>
        </x:r>
      </x:text>
    </x:comment>
    <x:comment ref="B28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Fuente: output/main.html y configuración numérica documentada del libro. aproximación normal del IC 95%</x:t>
        </x:r>
      </x:text>
    </x:comment>
    <x:comment ref="B29" authorId="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Fuente: output/main.html y configuración numérica documentada del libro. IC bilateral</x:t>
        </x:r>
      </x:text>
    </x:comment>
    <x:comment ref="B30" authorId="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Fuente: output/main.html y configuración numérica documentada del libro. bisección: varianza acumulada</x:t>
        </x:r>
      </x:text>
    </x:comment>
    <x:comment ref="B31" authorId="1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Fuente: output/main.html y configuración numérica documentada del libro. bisección: varianza acumulada</x:t>
        </x:r>
      </x:text>
    </x:comment>
    <x:comment ref="B32" authorId="1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Fuente: output/main.html y configuración numérica documentada del libro. raíz próxima a la solución no negativa</x:t>
        </x:r>
      </x:text>
    </x:comment>
    <x:comment ref="B33" authorId="1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Fuente: output/main.html y configuración numérica documentada del libro. coeficiente inicial</x:t>
        </x:r>
      </x:text>
    </x:comment>
    <x:comment ref="B34" authorId="1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Fuente: output/main.html y configuración numérica documentada del libro. coeficiente inicial</x:t>
        </x:r>
      </x:text>
    </x:comment>
    <x:comment ref="B35" authorId="1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Fuente: notebook de ejercicio 3 (piloto/Sobol) o ejercicio 1 (cadenas). 200.000 parejas · semilla 20260302 · fijado</x:t>
        </x:r>
      </x:text>
    </x:comment>
    <x:comment ref="B36" authorId="1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Fuente: notebook de ejercicio 3 (piloto/Sobol) o ejercicio 1 (cadenas). 200.000 parejas · fijado</x:t>
        </x:r>
      </x:text>
    </x:comment>
    <x:comment ref="B37" authorId="1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Fuente: notebook de ejercicio 3 (piloto/Sobol) o ejercicio 1 (cadenas). t de Student: 97,5%; 31 grados de libertad · fijado</x:t>
        </x:r>
      </x:text>
    </x:comment>
    <x:comment ref="B38" authorId="1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Fuente: notebook de ejercicio 3 (piloto/Sobol) o ejercicio 1 (cadenas). semilla 20260902 · fijado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7">
    <x:numFmt numFmtId="200" formatCode="0.0000%;[Red]-0.0000%;&quot;0&quot;"/>
    <x:numFmt numFmtId="201" formatCode="#,##0"/>
    <x:numFmt numFmtId="202" formatCode="0.00%"/>
    <x:numFmt numFmtId="203" formatCode="0.##########"/>
    <x:numFmt numFmtId="204" formatCode="0.0%"/>
    <x:numFmt numFmtId="205" formatCode="0.000000"/>
    <x:numFmt numFmtId="206" formatCode="0.00"/>
    <x:numFmt numFmtId="207" formatCode="0.000000000000"/>
    <x:numFmt numFmtId="208" formatCode="0.0000%"/>
    <x:numFmt numFmtId="209" formatCode="0"/>
    <x:numFmt numFmtId="210" formatCode="#,##0.00"/>
    <x:numFmt numFmtId="211" formatCode="0.000000000"/>
    <x:numFmt numFmtId="212" formatCode="0.00E+00"/>
    <x:numFmt numFmtId="213" formatCode="0.0000000000"/>
    <x:numFmt numFmtId="214" formatCode="#,##0.0000"/>
    <x:numFmt numFmtId="215" formatCode="0.00000000"/>
    <x:numFmt numFmtId="216" formatCode="#,##0.000000"/>
  </x:numFmts>
  <x:fonts count="16">
    <x:font>
      <x:sz val="11"/>
      <x:name val="Carlito"/>
    </x:font>
    <x:font>
      <x:sz val="11"/>
      <x:color rgb="FF203B38"/>
      <x:name val="Aptos"/>
    </x:font>
    <x:font>
      <x:b/>
      <x:sz val="23"/>
      <x:color rgb="FFFFFFFF"/>
      <x:name val="Aptos Display"/>
    </x:font>
    <x:font>
      <x:sz val="11"/>
      <x:color rgb="FF61716E"/>
      <x:name val="Aptos"/>
    </x:font>
    <x:font>
      <x:b/>
      <x:sz val="11"/>
      <x:color rgb="FFFFFFFF"/>
      <x:name val="Aptos"/>
    </x:font>
    <x:font>
      <x:b/>
      <x:sz val="11"/>
      <x:color rgb="FF203B38"/>
      <x:name val="Aptos"/>
    </x:font>
    <x:font>
      <x:sz val="11"/>
      <x:color rgb="FF0000FF"/>
      <x:name val="Aptos"/>
    </x:font>
    <x:font>
      <x:sz val="11"/>
      <x:color rgb="FF000000"/>
      <x:name val="Aptos"/>
    </x:font>
    <x:font>
      <x:sz val="10"/>
      <x:color rgb="FF61716E"/>
      <x:name val="Aptos"/>
    </x:font>
    <x:font>
      <x:sz val="11"/>
      <x:color rgb="FF008000"/>
      <x:name val="Aptos"/>
    </x:font>
    <x:font>
      <x:b/>
      <x:sz val="23"/>
      <x:color rgb="FF175B54"/>
      <x:name val="Aptos"/>
    </x:font>
    <x:font>
      <x:sz val="11"/>
      <x:color rgb="FF000000"/>
      <x:name val="Carlito"/>
    </x:font>
    <x:font>
      <x:sz val="11"/>
      <x:color rgb="FF61716E"/>
      <x:name val="Carlito"/>
    </x:font>
    <x:font>
      <x:b/>
      <x:sz val="20"/>
      <x:color rgb="FF175B54"/>
      <x:name val="Aptos"/>
    </x:font>
    <x:font>
      <x:b/>
      <x:sz val="17"/>
      <x:color rgb="FF175B54"/>
      <x:name val="Aptos"/>
    </x:font>
    <x:font>
      <x:b/>
      <x:sz val="14"/>
      <x:color rgb="FF175B54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203B38"/>
      </x:patternFill>
    </x:fill>
    <x:fill>
      <x:patternFill patternType="solid">
        <x:fgColor rgb="FF175B54"/>
      </x:patternFill>
    </x:fill>
    <x:fill>
      <x:patternFill patternType="solid">
        <x:fgColor rgb="FFEAF2EF"/>
      </x:patternFill>
    </x:fill>
  </x:fills>
  <x:borders count="1">
    <x:border/>
  </x:borders>
  <x:cellStyleXfs count="1">
    <x:xf numFmtId="0" fontId="0" fillId="0" borderId="0"/>
  </x:cellStyleXfs>
  <x:cellXfs count="8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0" fontId="6" fillId="0" borderId="0" xfId="0" applyNumberFormat="1" applyFont="1" applyFill="1" applyBorder="1" applyAlignment="1">
      <x:alignment vertical="center"/>
    </x:xf>
    <x:xf numFmtId="201" fontId="6" fillId="0" borderId="0" xfId="0" applyNumberFormat="1" applyFont="1" applyFill="1" applyBorder="1" applyAlignment="1">
      <x:alignment vertical="center"/>
    </x:xf>
    <x:xf numFmtId="202" fontId="7" fillId="0" borderId="0" xfId="0" applyNumberFormat="1" applyFont="1" applyFill="1" applyBorder="1" applyAlignment="1">
      <x:alignment vertical="center"/>
    </x:xf>
    <x:xf numFmtId="201" fontId="7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 applyAlignment="1">
      <x:alignment vertical="center"/>
    </x:xf>
    <x:xf numFmtId="203" fontId="6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4" fontId="6" fillId="0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206" fontId="6" fillId="0" borderId="0" xfId="0" applyNumberFormat="1" applyFont="1" applyFill="1" applyBorder="1" applyAlignment="1">
      <x:alignment vertical="center"/>
    </x:xf>
    <x:xf numFmtId="207" fontId="1" fillId="0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208" fontId="1" fillId="0" borderId="0" xfId="0" applyNumberFormat="1" applyFont="1" applyFill="1" applyBorder="1" applyAlignment="1">
      <x:alignment vertical="center"/>
    </x:xf>
    <x:xf numFmtId="208" fontId="7" fillId="0" borderId="0" xfId="0" applyNumberFormat="1" applyFont="1" applyFill="1" applyBorder="1" applyAlignment="1">
      <x:alignment vertical="center"/>
    </x:xf>
    <x:xf numFmtId="208" fontId="9" fillId="0" borderId="0" xfId="0" applyNumberFormat="1" applyFont="1" applyFill="1" applyBorder="1" applyAlignment="1">
      <x:alignment vertical="center"/>
    </x:xf>
    <x:xf numFmtId="209" fontId="9" fillId="0" borderId="0" xfId="0" applyNumberFormat="1" applyFont="1" applyFill="1" applyBorder="1" applyAlignment="1">
      <x:alignment vertical="center"/>
    </x:xf>
    <x:xf numFmtId="201" fontId="9" fillId="0" borderId="0" xfId="0" applyNumberFormat="1" applyFont="1" applyFill="1" applyBorder="1" applyAlignment="1">
      <x:alignment vertical="center"/>
    </x:xf>
    <x:xf numFmtId="210" fontId="9" fillId="0" borderId="0" xfId="0" applyNumberFormat="1" applyFont="1" applyFill="1" applyBorder="1" applyAlignment="1">
      <x:alignment vertical="center"/>
    </x:xf>
    <x:xf numFmtId="208" fontId="7" fillId="4" borderId="0" xfId="0" applyNumberFormat="1" applyFont="1" applyFill="1" applyBorder="1" applyAlignment="1">
      <x:alignment vertical="center"/>
    </x:xf>
    <x:xf numFmtId="208" fontId="10" fillId="4" borderId="0" xfId="0" applyNumberFormat="1" applyFont="1" applyFill="1" applyBorder="1" applyAlignment="1">
      <x:alignment vertical="center"/>
    </x:xf>
    <x:xf numFmtId="0" fontId="10" fillId="4" borderId="0" xfId="0" applyNumberFormat="1" applyFont="1" applyFill="1" applyBorder="1" applyAlignment="1">
      <x:alignment vertical="center"/>
    </x:xf>
    <x:xf numFmtId="210" fontId="7" fillId="0" borderId="0" xfId="0" applyNumberFormat="1" applyFont="1" applyFill="1" applyBorder="1" applyAlignment="1">
      <x:alignment vertical="center"/>
    </x:xf>
    <x:xf numFmtId="210" fontId="7" fillId="4" borderId="0" xfId="0" applyNumberFormat="1" applyFont="1" applyFill="1" applyBorder="1" applyAlignment="1">
      <x:alignment vertical="center"/>
    </x:xf>
    <x:xf numFmtId="210" fontId="10" fillId="4" borderId="0" xfId="0" applyNumberFormat="1" applyFont="1" applyFill="1" applyBorder="1" applyAlignment="1">
      <x:alignment vertical="center"/>
    </x:xf>
    <x:xf numFmtId="208" fontId="9" fillId="4" borderId="0" xfId="0" applyNumberFormat="1" applyFont="1" applyFill="1" applyBorder="1" applyAlignment="1">
      <x:alignment vertical="center"/>
    </x:xf>
    <x:xf numFmtId="205" fontId="7" fillId="0" borderId="0" xfId="0" applyNumberFormat="1" applyFont="1" applyFill="1" applyBorder="1" applyAlignment="1">
      <x:alignment vertical="center"/>
    </x:xf>
    <x:xf numFmtId="205" fontId="9" fillId="0" borderId="0" xfId="0" applyNumberFormat="1" applyFont="1" applyFill="1" applyBorder="1" applyAlignment="1">
      <x:alignment vertical="center"/>
    </x:xf>
    <x:xf numFmtId="0" fontId="11" fillId="0" borderId="0" xfId="0" applyNumberFormat="1" applyFont="1" applyFill="1" applyBorder="1"/>
    <x:xf numFmtId="206" fontId="9" fillId="0" borderId="0" xfId="0" applyNumberFormat="1" applyFont="1" applyFill="1" applyBorder="1" applyAlignment="1">
      <x:alignment vertical="center"/>
    </x:xf>
    <x:xf numFmtId="204" fontId="7" fillId="0" borderId="0" xfId="0" applyNumberFormat="1" applyFont="1" applyFill="1" applyBorder="1" applyAlignment="1">
      <x:alignment vertical="center"/>
    </x:xf>
    <x:xf numFmtId="204" fontId="9" fillId="0" borderId="0" xfId="0" applyNumberFormat="1" applyFont="1" applyFill="1" applyBorder="1" applyAlignment="1">
      <x:alignment vertical="center"/>
    </x:xf>
    <x:xf numFmtId="0" fontId="12" fillId="0" borderId="0" xfId="0" applyNumberFormat="1" applyFont="1" applyFill="1" applyBorder="1"/>
    <x:xf numFmtId="0" fontId="13" fillId="4" borderId="0" xfId="0" applyNumberFormat="1" applyFont="1" applyFill="1" applyBorder="1" applyAlignment="1">
      <x:alignment vertical="center"/>
    </x:xf>
    <x:xf numFmtId="0" fontId="13" fillId="4" borderId="0" xfId="0" applyNumberFormat="1" applyFont="1" applyFill="1" applyBorder="1" applyAlignment="1">
      <x:alignment vertical="center" wrapText="1"/>
    </x:xf>
    <x:xf numFmtId="0" fontId="14" fillId="4" borderId="0" xfId="0" applyNumberFormat="1" applyFont="1" applyFill="1" applyBorder="1" applyAlignment="1">
      <x:alignment vertical="center"/>
    </x:xf>
    <x:xf numFmtId="0" fontId="14" fillId="4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11" fontId="9" fillId="0" borderId="0" xfId="0" applyNumberFormat="1" applyFont="1" applyFill="1" applyBorder="1" applyAlignment="1">
      <x:alignment vertical="center"/>
    </x:xf>
    <x:xf numFmtId="212" fontId="7" fillId="0" borderId="0" xfId="0" applyNumberFormat="1" applyFont="1" applyFill="1" applyBorder="1" applyAlignment="1">
      <x:alignment vertical="center"/>
    </x:xf>
    <x:xf numFmtId="213" fontId="9" fillId="0" borderId="0" xfId="0" applyNumberFormat="1" applyFont="1" applyFill="1" applyBorder="1" applyAlignment="1">
      <x:alignment vertical="center"/>
    </x:xf>
    <x:xf numFmtId="213" fontId="7" fillId="0" borderId="0" xfId="0" applyNumberFormat="1" applyFont="1" applyFill="1" applyBorder="1" applyAlignment="1">
      <x:alignment vertical="center"/>
    </x:xf>
    <x:xf numFmtId="207" fontId="9" fillId="0" borderId="0" xfId="0" applyNumberFormat="1" applyFont="1" applyFill="1" applyBorder="1" applyAlignment="1">
      <x:alignment vertical="center"/>
    </x:xf>
    <x:xf numFmtId="207" fontId="5" fillId="4" borderId="0" xfId="0" applyNumberFormat="1" applyFont="1" applyFill="1" applyBorder="1" applyAlignment="1">
      <x:alignment vertical="center" wrapText="1"/>
    </x:xf>
    <x:xf numFmtId="207" fontId="7" fillId="0" borderId="0" xfId="0" applyNumberFormat="1" applyFont="1" applyFill="1" applyBorder="1" applyAlignment="1">
      <x:alignment vertical="center"/>
    </x:xf>
    <x:xf numFmtId="214" fontId="1" fillId="0" borderId="0" xfId="0" applyNumberFormat="1" applyFont="1" applyFill="1" applyBorder="1" applyAlignment="1">
      <x:alignment vertical="center"/>
    </x:xf>
    <x:xf numFmtId="215" fontId="7" fillId="0" borderId="0" xfId="0" applyNumberFormat="1" applyFont="1" applyFill="1" applyBorder="1" applyAlignment="1">
      <x:alignment vertical="center"/>
    </x:xf>
    <x:xf numFmtId="215" fontId="9" fillId="0" borderId="0" xfId="0" applyNumberFormat="1" applyFont="1" applyFill="1" applyBorder="1" applyAlignment="1">
      <x:alignment vertical="center"/>
    </x:xf>
    <x:xf numFmtId="216" fontId="1" fillId="0" borderId="0" xfId="0" applyNumberFormat="1" applyFont="1" applyFill="1" applyBorder="1" applyAlignment="1">
      <x:alignment vertical="center"/>
    </x:xf>
    <x:xf numFmtId="0" fontId="9" fillId="4" borderId="0" xfId="0" applyNumberFormat="1" applyFont="1" applyFill="1" applyBorder="1" applyAlignment="1">
      <x:alignment vertical="center"/>
    </x:xf>
    <x:xf numFmtId="215" fontId="9" fillId="4" borderId="0" xfId="0" applyNumberFormat="1" applyFont="1" applyFill="1" applyBorder="1" applyAlignment="1">
      <x:alignment vertical="center"/>
    </x:xf>
    <x:xf numFmtId="206" fontId="7" fillId="0" borderId="0" xfId="0" applyNumberFormat="1" applyFont="1" applyFill="1" applyBorder="1" applyAlignment="1">
      <x:alignment vertical="center"/>
    </x:xf>
    <x:xf numFmtId="213" fontId="1" fillId="0" borderId="0" xfId="0" applyNumberFormat="1" applyFont="1" applyFill="1" applyBorder="1" applyAlignment="1">
      <x:alignment vertical="center"/>
    </x:xf>
    <x:xf numFmtId="212" fontId="1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 wrapText="1"/>
    </x:xf>
    <x:xf numFmtId="0" fontId="15" fillId="4" borderId="0" xfId="0" applyNumberFormat="1" applyFont="1" applyFill="1" applyBorder="1" applyAlignment="1">
      <x:alignment vertical="center"/>
    </x:xf>
    <x:xf numFmtId="203" fontId="3" fillId="0" borderId="0" xfId="0" applyNumberFormat="1" applyFont="1" applyFill="1" applyBorder="1" applyAlignment="1">
      <x:alignment vertical="center"/>
    </x:xf>
    <x:xf numFmtId="204" fontId="3" fillId="0" borderId="0" xfId="0" applyNumberFormat="1" applyFont="1" applyFill="1" applyBorder="1" applyAlignment="1">
      <x:alignment vertical="center"/>
    </x:xf>
    <x:xf numFmtId="205" fontId="3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12" fontId="6" fillId="0" borderId="0" xfId="0" applyNumberFormat="1" applyFont="1" applyFill="1" applyBorder="1" applyAlignment="1">
      <x:alignment vertical="center"/>
    </x:xf>
    <x:xf numFmtId="207" fontId="3" fillId="0" borderId="0" xfId="0" applyNumberFormat="1" applyFont="1" applyFill="1" applyBorder="1" applyAlignment="1">
      <x:alignment vertical="center"/>
    </x:xf>
    <x:xf numFmtId="214" fontId="3" fillId="0" borderId="0" xfId="0" applyNumberFormat="1" applyFont="1" applyFill="1" applyBorder="1" applyAlignment="1">
      <x:alignment vertical="center"/>
    </x:xf>
    <x:xf numFmtId="216" fontId="3" fillId="0" borderId="0" xfId="0" applyNumberFormat="1" applyFont="1" applyFill="1" applyBorder="1" applyAlignment="1">
      <x:alignment vertical="center"/>
    </x:xf>
    <x:xf numFmtId="215" fontId="1" fillId="0" borderId="0" xfId="0" applyNumberFormat="1" applyFont="1" applyFill="1" applyBorder="1" applyAlignment="1">
      <x:alignment vertical="center"/>
    </x:xf>
    <x:xf numFmtId="210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2">
    <x:dxf>
      <x:font>
        <x:b/>
        <x:color rgb="FF175B54"/>
      </x:font>
      <x:fill>
        <x:patternFill patternType="solid">
          <x:bgColor rgb="FFEAF2EF"/>
        </x:patternFill>
      </x:fill>
    </x:dxf>
    <x:dxf>
      <x:font>
        <x:b/>
        <x:color rgb="FFB42318"/>
      </x:font>
      <x:fill>
        <x:patternFill patternType="solid">
          <x:bgColor rgb="FFFCE9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8a0df69d0249e2" /><Relationship Type="http://schemas.openxmlformats.org/officeDocument/2006/relationships/theme" Target="/xl/theme/theme1.xml" Id="Rc64947eafeee43be" /><Relationship Type="http://schemas.openxmlformats.org/officeDocument/2006/relationships/sharedStrings" Target="/xl/sharedStrings.xml" Id="R2f1cc2ad9d15474a" /><Relationship Type="http://schemas.openxmlformats.org/officeDocument/2006/relationships/worksheet" Target="/xl/worksheets/sheet1.xml" Id="Rfc69eac3b9354e20" /><Relationship Type="http://schemas.openxmlformats.org/officeDocument/2006/relationships/worksheet" Target="/xl/worksheets/sheet2.xml" Id="Ra782e85286ad4c82" /><Relationship Type="http://schemas.openxmlformats.org/officeDocument/2006/relationships/worksheet" Target="/xl/worksheets/sheet3.xml" Id="R3b6136d78ff44821" /><Relationship Type="http://schemas.openxmlformats.org/officeDocument/2006/relationships/worksheet" Target="/xl/worksheets/sheet4.xml" Id="R9f2d6ca95330491c" /><Relationship Type="http://schemas.openxmlformats.org/officeDocument/2006/relationships/worksheet" Target="/xl/worksheets/sheet5.xml" Id="R7fd0558bb02a4a1d" /><Relationship Type="http://schemas.openxmlformats.org/officeDocument/2006/relationships/worksheet" Target="/xl/worksheets/sheet6.xml" Id="R1ba7d69d6d6943b9" /><Relationship Type="http://schemas.openxmlformats.org/officeDocument/2006/relationships/worksheet" Target="/xl/worksheets/sheet7.xml" Id="R4c67b048eed0459a" /><Relationship Type="http://schemas.openxmlformats.org/officeDocument/2006/relationships/worksheet" Target="/xl/worksheets/sheet8.xml" Id="R610f382146984304" /><Relationship Type="http://schemas.openxmlformats.org/officeDocument/2006/relationships/worksheet" Target="/xl/worksheets/sheet9.xml" Id="Rbf847890d8a84068" /><Relationship Type="http://schemas.openxmlformats.org/officeDocument/2006/relationships/worksheet" Target="/xl/worksheets/sheet10.xml" Id="R247f15d14f944729" /><Relationship Type="http://schemas.openxmlformats.org/officeDocument/2006/relationships/worksheet" Target="/xl/worksheets/sheet11.xml" Id="R4cfa9a1b532a417f" /><Relationship Type="http://schemas.microsoft.com/office/2017/10/relationships/person" Target="/xl/persons/person.xml" Id="Rcaad1d9c41004f7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ec3cd109dab43b2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8920d8eed79640e4" /><Relationship Type="http://schemas.openxmlformats.org/officeDocument/2006/relationships/chart" Target="/xl/drawings/charts/chart3.xml" Id="R758018b41e5d4a57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28208b8ba4da42f9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5.xml" Id="Ra4e48b3f6e95468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La probabilidad acumulada crece con el horizonte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lineChart>
        <c:grouping val="standard"/>
        <c:varyColors val="0"/>
        <c:ser>
          <c:idx val="0"/>
          <c:order val="0"/>
          <c:tx>
            <c:v>PD acumulada</c:v>
          </c:tx>
          <c:spPr>
            <a:solidFill xmlns:a="http://schemas.openxmlformats.org/drawingml/2006/main">
              <a:srgbClr val="175B54"/>
            </a:solidFill>
          </c:spPr>
          <c:marker>
            <c:symbol val="none"/>
          </c:marker>
          <c:cat>
            <c:strRef>
              <c:f>'E1 Ratings'!$A$20:$A$44</c:f>
              <c:strCache>
                <c:ptCount val="0"/>
              </c:strCache>
            </c:strRef>
          </c:cat>
          <c:val>
            <c:numRef>
              <c:f>'E1 Ratings'!$C$20:$C$44</c:f>
              <c:numCache>
                <c:formatCode>0.0%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ickLblSkip val="5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%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Una trayectoria fluctúa; su esperanza sigue siendo cero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lineChart>
        <c:grouping val="standard"/>
        <c:varyColors val="0"/>
        <c:ser>
          <c:idx val="0"/>
          <c:order val="0"/>
          <c:tx>
            <c:v>Mₜ</c:v>
          </c:tx>
          <c:spPr>
            <a:solidFill xmlns:a="http://schemas.openxmlformats.org/drawingml/2006/main">
              <a:srgbClr val="175B54"/>
            </a:solidFill>
          </c:spPr>
          <c:marker>
            <c:symbol val="none"/>
          </c:marker>
          <c:cat>
            <c:strRef>
              <c:f>'E2 Trayectoria'!$J$7:$J$107</c:f>
              <c:strCache>
                <c:ptCount val="0"/>
              </c:strCache>
            </c:strRef>
          </c:cat>
          <c:val>
            <c:numRef>
              <c:f>'E2 Trayectoria'!$H$7:$H$107</c:f>
              <c:numCache>
                <c:formatCode>0.00</c:formatCode>
                <c:ptCount val="0"/>
              </c:numCache>
            </c:numRef>
          </c:val>
          <c:smooth val="0"/>
        </c:ser>
        <c:ser>
          <c:idx val="1"/>
          <c:order val="1"/>
          <c:tx>
            <c:v>Cota</c:v>
          </c:tx>
          <c:spPr>
            <a:solidFill xmlns:a="http://schemas.openxmlformats.org/drawingml/2006/main">
              <a:srgbClr val="A78361"/>
            </a:solidFill>
          </c:spPr>
          <c:marker>
            <c:symbol val="none"/>
          </c:marker>
          <c:cat>
            <c:strRef>
              <c:f>'E2 Trayectoria'!$J$7:$J$107</c:f>
              <c:strCache>
                <c:ptCount val="0"/>
              </c:strCache>
            </c:strRef>
          </c:cat>
          <c:val>
            <c:numRef>
              <c:f>'E2 Trayectoria'!$I$7:$I$107</c:f>
              <c:numCache>
                <c:formatCode>0.00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ickLblSkip val="5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Distribución acumulada: muestra frente a teoría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lineChart>
        <c:grouping val="standard"/>
        <c:varyColors val="0"/>
        <c:ser>
          <c:idx val="0"/>
          <c:order val="0"/>
          <c:tx>
            <c:v>Empírica</c:v>
          </c:tx>
          <c:spPr>
            <a:solidFill xmlns:a="http://schemas.openxmlformats.org/drawingml/2006/main">
              <a:srgbClr val="175B54"/>
            </a:solidFill>
          </c:spPr>
          <c:marker>
            <c:symbol val="none"/>
          </c:marker>
          <c:cat>
            <c:strRef>
              <c:f>'E2 Replicas'!$I$7:$I$47</c:f>
              <c:strCache>
                <c:ptCount val="0"/>
              </c:strCache>
            </c:strRef>
          </c:cat>
          <c:val>
            <c:numRef>
              <c:f>'E2 Replicas'!$G$7:$G$47</c:f>
              <c:numCache>
                <c:formatCode>0%</c:formatCode>
                <c:ptCount val="0"/>
              </c:numCache>
            </c:numRef>
          </c:val>
          <c:smooth val="0"/>
        </c:ser>
        <c:ser>
          <c:idx val="1"/>
          <c:order val="1"/>
          <c:tx>
            <c:v>Teórica</c:v>
          </c:tx>
          <c:spPr>
            <a:solidFill xmlns:a="http://schemas.openxmlformats.org/drawingml/2006/main">
              <a:srgbClr val="A78361"/>
            </a:solidFill>
          </c:spPr>
          <c:marker>
            <c:symbol val="none"/>
          </c:marker>
          <c:cat>
            <c:strRef>
              <c:f>'E2 Replicas'!$I$7:$I$47</c:f>
              <c:strCache>
                <c:ptCount val="0"/>
              </c:strCache>
            </c:strRef>
          </c:cat>
          <c:val>
            <c:numRef>
              <c:f>'E2 Replicas'!$H$7:$H$47</c:f>
              <c:numCache>
                <c:formatCode>0%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ickLblSkip val="5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Volatilidad instantánea de la raíz seleccionada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lineChart>
        <c:grouping val="standard"/>
        <c:varyColors val="0"/>
        <c:ser>
          <c:idx val="0"/>
          <c:order val="0"/>
          <c:tx>
            <c:v>σ(t)</c:v>
          </c:tx>
          <c:spPr>
            <a:solidFill xmlns:a="http://schemas.openxmlformats.org/drawingml/2006/main">
              <a:srgbClr val="175B54"/>
            </a:solidFill>
          </c:spPr>
          <c:marker>
            <c:symbol val="none"/>
          </c:marker>
          <c:cat>
            <c:strRef>
              <c:f>'E3 Calibracion'!$A$232:$A$272</c:f>
              <c:strCache>
                <c:ptCount val="0"/>
              </c:strCache>
            </c:strRef>
          </c:cat>
          <c:val>
            <c:numRef>
              <c:f>'E3 Calibracion'!$B$232:$B$272</c:f>
              <c:numCache>
                <c:formatCode>0%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ickLblSkip val="5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Convergencia de la media entre réplicas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lineChart>
        <c:grouping val="standard"/>
        <c:varyColors val="0"/>
        <c:ser>
          <c:idx val="0"/>
          <c:order val="0"/>
          <c:tx>
            <c:v>Precio acumulado</c:v>
          </c:tx>
          <c:spPr>
            <a:solidFill xmlns:a="http://schemas.openxmlformats.org/drawingml/2006/main">
              <a:srgbClr val="175B54"/>
            </a:solidFill>
          </c:spPr>
          <c:marker>
            <c:symbol val="none"/>
          </c:marker>
          <c:cat>
            <c:strRef>
              <c:f>'E3 Simulacion'!$A$8:$A$39</c:f>
              <c:strCache>
                <c:ptCount val="0"/>
              </c:strCache>
            </c:strRef>
          </c:cat>
          <c:val>
            <c:numRef>
              <c:f>'E3 Simulacion'!$I$8:$I$39</c:f>
              <c:numCache>
                <c:formatCode>0.0000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ickLblSkip val="5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0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63</xdr:row>
      <xdr:rowOff>0</xdr:rowOff>
    </xdr:from>
    <xdr:to>
      <xdr:col>9</xdr:col>
      <xdr:colOff>0</xdr:colOff>
      <xdr:row>79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ec3cd109dab43b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0</xdr:col>
      <xdr:colOff>0</xdr:colOff>
      <xdr:row>33</xdr:row>
      <xdr:rowOff>0</xdr:rowOff>
    </xdr:from>
    <xdr:to>
      <xdr:col>9</xdr:col>
      <xdr:colOff>0</xdr:colOff>
      <xdr:row>49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920d8eed79640e4"/>
        </a:graphicData>
      </a:graphic>
    </xdr:graphicFrame>
    <xdr:clientData/>
  </xdr:twoCellAnchor>
  <xdr:twoCellAnchor>
    <xdr:from>
      <xdr:col>0</xdr:col>
      <xdr:colOff>0</xdr:colOff>
      <xdr:row>50</xdr:row>
      <xdr:rowOff>0</xdr:rowOff>
    </xdr:from>
    <xdr:to>
      <xdr:col>9</xdr:col>
      <xdr:colOff>0</xdr:colOff>
      <xdr:row>66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58018b41e5d4a57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0</xdr:col>
      <xdr:colOff>0</xdr:colOff>
      <xdr:row>54</xdr:row>
      <xdr:rowOff>0</xdr:rowOff>
    </xdr:from>
    <xdr:to>
      <xdr:col>9</xdr:col>
      <xdr:colOff>0</xdr:colOff>
      <xdr:row>70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8208b8ba4da42f9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0</xdr:col>
      <xdr:colOff>0</xdr:colOff>
      <xdr:row>59</xdr:row>
      <xdr:rowOff>0</xdr:rowOff>
    </xdr:from>
    <xdr:to>
      <xdr:col>9</xdr:col>
      <xdr:colOff>0</xdr:colOff>
      <xdr:row>75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4e48b3f6e954684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Alvaro" id="{AE44E501-5177-4C31-B250-5ABD43FBC855}"/>
</xltc:personList>
</file>

<file path=xl/tables/table1.xml><?xml version="1.0" encoding="utf-8"?>
<x:table xmlns:x="http://schemas.openxmlformats.org/spreadsheetml/2006/main" id="1" name="ReplicasM" displayName="ReplicasM" ref="A6:E5006" headerRowCount="1" totalsRowCount="0" totalsRowShown="0">
  <x:tableColumns count="5">
    <x:tableColumn id="1" name="Réplica"/>
    <x:tableColumn id="2" name="Z fijo"/>
    <x:tableColumn id="3" name="Z²"/>
    <x:tableColumn id="4" name="q(t)"/>
    <x:tableColumn id="5" name="Mₜ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B8" dT="2026-09-08T08:36:08.877" personId="{AE44E501-5177-4C31-B250-5ABD43FBC855}" id="{890CA4A6-B852-4519-AF46-D2ECE421E6AE}">
    <xltc:text>Fuente: matriz-ratings.xlsx / Hoja1 / C3:J11. Se conserva Caa y se excluye Ca-C. SHA256: eba5c1016fe9a17c25226a83cfe99e303a8801e6d1f21b814a44903b608289e3</xltc:text>
  </xltc:threadedComment>
  <xltc:threadedComment ref="B22" dT="2026-09-08T08:36:08.879" personId="{AE44E501-5177-4C31-B250-5ABD43FBC855}" id="{8EB55C7B-C59D-4BAD-B093-2CB302A5E57A}">
    <xltc:text>Fuente: output/main.html y configuración numérica documentada del libro. u.m. · enunciado</xltc:text>
  </xltc:threadedComment>
  <xltc:threadedComment ref="B23" dT="2026-09-08T08:36:08.88" personId="{AE44E501-5177-4C31-B250-5ABD43FBC855}" id="{5355D39A-5870-4628-847B-BEE1FED63F15}">
    <xltc:text>Fuente: output/main.html y configuración numérica documentada del libro. u.m. · las tres calls y la asiática</xltc:text>
  </xltc:threadedComment>
  <xltc:threadedComment ref="B24" dT="2026-09-08T08:36:08.88" personId="{AE44E501-5177-4C31-B250-5ABD43FBC855}" id="{A2143D7D-ED49-4EA2-8997-F29487A49522}">
    <xltc:text>Fuente: output/main.html y configuración numérica documentada del libro. anual · sin dividendos</xltc:text>
  </xltc:threadedComment>
  <xltc:threadedComment ref="B25" dT="2026-09-08T08:36:08.881" personId="{AE44E501-5177-4C31-B250-5ABD43FBC855}" id="{909FB45C-717B-4F74-8284-DF65FAE2BACE}">
    <xltc:text>Fuente: output/main.html y configuración numérica documentada del libro. años · distinto de la última fijación</xltc:text>
  </xltc:threadedComment>
  <xltc:threadedComment ref="B26" dT="2026-09-08T08:36:08.882" personId="{AE44E501-5177-4C31-B250-5ABD43FBC855}" id="{C724A99A-8DD0-4BED-9E4E-C63080B212EB}">
    <xltc:text>Fuente: output/main.html y configuración numérica documentada del libro. años · caso de referencia t = 1</xltc:text>
  </xltc:threadedComment>
  <xltc:threadedComment ref="B27" dT="2026-09-08T08:36:08.882" personId="{AE44E501-5177-4C31-B250-5ABD43FBC855}" id="{58FD5028-F55A-486A-A6EF-E4B6F87129B0}">
    <xltc:text>Fuente: output/main.html y configuración numérica documentada del libro. malla exacta de la trayectoria guardada</xltc:text>
  </xltc:threadedComment>
  <xltc:threadedComment ref="B28" dT="2026-09-08T08:36:08.883" personId="{AE44E501-5177-4C31-B250-5ABD43FBC855}" id="{A4DA5287-0131-4B11-A9B7-E262C53FEEA6}">
    <xltc:text>Fuente: output/main.html y configuración numérica documentada del libro. aproximación normal del IC 95%</xltc:text>
  </xltc:threadedComment>
  <xltc:threadedComment ref="B29" dT="2026-09-08T08:36:08.883" personId="{AE44E501-5177-4C31-B250-5ABD43FBC855}" id="{417F20ED-09C4-4BCE-9664-9AD50308C669}">
    <xltc:text>Fuente: output/main.html y configuración numérica documentada del libro. IC bilateral</xltc:text>
  </xltc:threadedComment>
  <xltc:threadedComment ref="B30" dT="2026-09-08T08:36:08.884" personId="{AE44E501-5177-4C31-B250-5ABD43FBC855}" id="{69CEEA17-B8DB-4A93-88FB-0BD8B50AA3FD}">
    <xltc:text>Fuente: output/main.html y configuración numérica documentada del libro. bisección: varianza acumulada</xltc:text>
  </xltc:threadedComment>
  <xltc:threadedComment ref="B31" dT="2026-09-08T08:36:08.885" personId="{AE44E501-5177-4C31-B250-5ABD43FBC855}" id="{AF78965C-E514-43C3-A5D3-224B21113A1A}">
    <xltc:text>Fuente: output/main.html y configuración numérica documentada del libro. bisección: varianza acumulada</xltc:text>
  </xltc:threadedComment>
  <xltc:threadedComment ref="B32" dT="2026-09-08T08:36:08.885" personId="{AE44E501-5177-4C31-B250-5ABD43FBC855}" id="{0522DC0A-240D-4938-A99C-1308AD0BDE35}">
    <xltc:text>Fuente: output/main.html y configuración numérica documentada del libro. raíz próxima a la solución no negativa</xltc:text>
  </xltc:threadedComment>
  <xltc:threadedComment ref="B33" dT="2026-09-08T08:36:08.886" personId="{AE44E501-5177-4C31-B250-5ABD43FBC855}" id="{185C4D0F-CC99-48CC-A843-3CAC4418B25B}">
    <xltc:text>Fuente: output/main.html y configuración numérica documentada del libro. coeficiente inicial</xltc:text>
  </xltc:threadedComment>
  <xltc:threadedComment ref="B34" dT="2026-09-08T08:36:08.886" personId="{AE44E501-5177-4C31-B250-5ABD43FBC855}" id="{B1C3A004-9B58-422A-834B-81A511B3569A}">
    <xltc:text>Fuente: output/main.html y configuración numérica documentada del libro. coeficiente inicial</xltc:text>
  </xltc:threadedComment>
  <xltc:threadedComment ref="B35" dT="2026-09-08T08:36:08.887" personId="{AE44E501-5177-4C31-B250-5ABD43FBC855}" id="{0C4F7E3E-6570-4F19-ADA3-196BFBA106EB}">
    <xltc:text>Fuente: notebook de ejercicio 3 (piloto/Sobol) o ejercicio 1 (cadenas). 200.000 parejas · semilla 20260302 · fijado</xltc:text>
  </xltc:threadedComment>
  <xltc:threadedComment ref="B36" dT="2026-09-08T08:36:08.888" personId="{AE44E501-5177-4C31-B250-5ABD43FBC855}" id="{5AFEF712-4F79-4B41-86DF-EA93BD76C109}">
    <xltc:text>Fuente: notebook de ejercicio 3 (piloto/Sobol) o ejercicio 1 (cadenas). 200.000 parejas · fijado</xltc:text>
  </xltc:threadedComment>
  <xltc:threadedComment ref="B37" dT="2026-09-08T08:36:08.888" personId="{AE44E501-5177-4C31-B250-5ABD43FBC855}" id="{57AF0457-8AA3-4DD7-B92A-53F3B8642A29}">
    <xltc:text>Fuente: notebook de ejercicio 3 (piloto/Sobol) o ejercicio 1 (cadenas). t de Student: 97,5%; 31 grados de libertad · fijado</xltc:text>
  </xltc:threadedComment>
  <xltc:threadedComment ref="B38" dT="2026-09-08T08:36:08.889" personId="{AE44E501-5177-4C31-B250-5ABD43FBC855}" id="{B4B82A8D-8601-4766-8E21-C02D56ADC420}">
    <xltc:text>Fuente: notebook de ejercicio 3 (piloto/Sobol) o ejercicio 1 (cadenas). semilla 20260902 · fijado</xltc:text>
  </xltc:threadedComment>
</xltc:ThreadedComment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2ddf883732dd4a4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53e3e8398ba5445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3.xml" Id="Re35379f11850432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comments" Target="/xl/comments1.xml" Id="R4e0a2487536e494c" /><Relationship Type="http://schemas.openxmlformats.org/officeDocument/2006/relationships/vmlDrawing" Target="/xl/drawings/vmldrawing.vml" Id="R23b8f21b14ba4c9e" /><Relationship Type="http://schemas.microsoft.com/office/2017/10/relationships/threadedComment" Target="/xl/threadedcomments/threadedcomment.xml" Id="R183fa17d6bc44e5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1.xml" Id="R458e52f4f55b41c3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4.xml" Id="R0ef035eabbaa42b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</x:cols>
  <x:sheetData>
    <x:row r="1" ht="25" customHeight="1">
      <x:c r="A1" s="5" t="str">
        <x:v>Procesos estocásticos</x:v>
      </x:c>
      <x:c r="B1" s="5" t="str">
        <x:v>Procesos estocásticos</x:v>
      </x:c>
      <x:c r="C1" s="5" t="str">
        <x:v>Procesos estocásticos</x:v>
      </x:c>
      <x:c r="D1" s="5" t="str">
        <x:v>Procesos estocásticos</x:v>
      </x:c>
      <x:c r="E1" s="5" t="str">
        <x:v>Procesos estocásticos</x:v>
      </x:c>
      <x:c r="F1" s="5" t="str">
        <x:v>Procesos estocásticos</x:v>
      </x:c>
      <x:c r="G1" s="5" t="str">
        <x:v>Procesos estocásticos</x:v>
      </x:c>
      <x:c r="H1" s="5" t="str">
        <x:v>Procesos estocásticos</x:v>
      </x:c>
      <x:c r="I1" s="5" t="str">
        <x:v>Procesos estocásticos</x:v>
      </x:c>
    </x:row>
    <x:row r="2" ht="25" customHeight="1">
      <x:c r="A2" s="5" t="str">
        <x:v>Procesos estocásticos</x:v>
      </x:c>
      <x:c r="B2" s="5" t="str">
        <x:v>Procesos estocásticos</x:v>
      </x:c>
      <x:c r="C2" s="5" t="str">
        <x:v>Procesos estocásticos</x:v>
      </x:c>
      <x:c r="D2" s="5" t="str">
        <x:v>Procesos estocásticos</x:v>
      </x:c>
      <x:c r="E2" s="5" t="str">
        <x:v>Procesos estocásticos</x:v>
      </x:c>
      <x:c r="F2" s="5" t="str">
        <x:v>Procesos estocásticos</x:v>
      </x:c>
      <x:c r="G2" s="5" t="str">
        <x:v>Procesos estocásticos</x:v>
      </x:c>
      <x:c r="H2" s="5" t="str">
        <x:v>Procesos estocásticos</x:v>
      </x:c>
      <x:c r="I2" s="5" t="str">
        <x:v>Procesos estocásticos</x:v>
      </x:c>
    </x:row>
    <x:row r="3" ht="21" customHeight="1">
      <x:c r="A3" s="7" t="str">
        <x:v>MEFC 2026 · Excel de resultados · basado en el documento unificado de output/.</x:v>
      </x:c>
      <x:c r="B3" s="7" t="str">
        <x:v>MEFC 2026 · Excel de resultados · basado en el documento unificado de output/.</x:v>
      </x:c>
      <x:c r="C3" s="7" t="str">
        <x:v>MEFC 2026 · Excel de resultados · basado en el documento unificado de output/.</x:v>
      </x:c>
      <x:c r="D3" s="7" t="str">
        <x:v>MEFC 2026 · Excel de resultados · basado en el documento unificado de output/.</x:v>
      </x:c>
      <x:c r="E3" s="7" t="str">
        <x:v>MEFC 2026 · Excel de resultados · basado en el documento unificado de output/.</x:v>
      </x:c>
      <x:c r="F3" s="7" t="str">
        <x:v>MEFC 2026 · Excel de resultados · basado en el documento unificado de output/.</x:v>
      </x:c>
      <x:c r="G3" s="7" t="str">
        <x:v>MEFC 2026 · Excel de resultados · basado en el documento unificado de output/.</x:v>
      </x:c>
      <x:c r="H3" s="7" t="str">
        <x:v>MEFC 2026 · Excel de resultados · basado en el documento unificado de output/.</x:v>
      </x:c>
      <x:c r="I3" s="7" t="str">
        <x:v>MEFC 2026 · Excel de resultados · basado en el documento unificado de output/.</x:v>
      </x:c>
    </x:row>
    <x:row r="4" ht="21" customHeight="1">
      <x:c r="A4" s="7" t="str">
        <x:v>MEFC 2026 · Excel de resultados · basado en el documento unificado de output/.</x:v>
      </x:c>
      <x:c r="B4" s="7" t="str">
        <x:v>MEFC 2026 · Excel de resultados · basado en el documento unificado de output/.</x:v>
      </x:c>
      <x:c r="C4" s="7" t="str">
        <x:v>MEFC 2026 · Excel de resultados · basado en el documento unificado de output/.</x:v>
      </x:c>
      <x:c r="D4" s="7" t="str">
        <x:v>MEFC 2026 · Excel de resultados · basado en el documento unificado de output/.</x:v>
      </x:c>
      <x:c r="E4" s="7" t="str">
        <x:v>MEFC 2026 · Excel de resultados · basado en el documento unificado de output/.</x:v>
      </x:c>
      <x:c r="F4" s="7" t="str">
        <x:v>MEFC 2026 · Excel de resultados · basado en el documento unificado de output/.</x:v>
      </x:c>
      <x:c r="G4" s="7" t="str">
        <x:v>MEFC 2026 · Excel de resultados · basado en el documento unificado de output/.</x:v>
      </x:c>
      <x:c r="H4" s="7" t="str">
        <x:v>MEFC 2026 · Excel de resultados · basado en el documento unificado de output/.</x:v>
      </x:c>
      <x:c r="I4" s="7" t="str">
        <x:v>MEFC 2026 · Excel de resultados · basado en el documento unificado de output/.</x:v>
      </x:c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</x:row>
    <x:row r="6" ht="27" customHeight="1">
      <x:c r="A6" s="10" t="str">
        <x:v>Resultados para entregar</x:v>
      </x:c>
      <x:c r="B6" s="10" t="str">
        <x:v>Resultados para entregar</x:v>
      </x:c>
      <x:c r="C6" s="10" t="str">
        <x:v>Resultados para entregar</x:v>
      </x:c>
      <x:c r="D6" s="10" t="str">
        <x:v>Resultados para entregar</x:v>
      </x:c>
      <x:c r="E6" s="10" t="str">
        <x:v>Resultados para entregar</x:v>
      </x:c>
      <x:c r="F6" s="10" t="str">
        <x:v>Resultados para entregar</x:v>
      </x:c>
      <x:c r="G6" s="10" t="str">
        <x:v>Resultados para entregar</x:v>
      </x:c>
      <x:c r="H6" s="10" t="str">
        <x:v>Resultados para entregar</x:v>
      </x:c>
      <x:c r="I6" s="10" t="str">
        <x:v>Resultados para entregar</x:v>
      </x:c>
    </x:row>
    <x:row r="7" ht="22" customHeight="1">
      <x:c r="A7" s="2"/>
      <x:c r="B7" s="2"/>
      <x:c r="C7" s="2"/>
      <x:c r="D7" s="2"/>
      <x:c r="E7" s="2"/>
      <x:c r="F7" s="2"/>
      <x:c r="G7" s="2"/>
      <x:c r="H7" s="2"/>
      <x:c r="I7" s="2"/>
    </x:row>
    <x:row r="8" ht="31" customHeight="1">
      <x:c r="A8" s="57" t="str">
        <x:v>1 · PD a 25 años</x:v>
      </x:c>
      <x:c r="B8" s="57" t="str">
        <x:v>1 · PD a 25 años</x:v>
      </x:c>
      <x:c r="C8" s="57" t="str">
        <x:v>1 · PD a 25 años</x:v>
      </x:c>
      <x:c r="D8" s="35" t="n">
        <x:f>'E1 Ratings'!C44</x:f>
        <x:v>0.541342047832622</x:v>
      </x:c>
      <x:c r="E8" s="2"/>
      <x:c r="F8" s="22" t="str">
        <x:v>   Probabilidad acumulada de default de la cohorte.</x:v>
      </x:c>
      <x:c r="G8" s="22" t="str">
        <x:v>   Probabilidad acumulada de default de la cohorte.</x:v>
      </x:c>
      <x:c r="H8" s="22" t="str">
        <x:v>   Probabilidad acumulada de default de la cohorte.</x:v>
      </x:c>
      <x:c r="I8" s="22" t="str">
        <x:v>   Probabilidad acumulada de default de la cohorte.</x:v>
      </x:c>
    </x:row>
    <x:row r="9" ht="31" customHeight="1">
      <x:c r="A9" s="57" t="str">
        <x:v>Defaults esperados</x:v>
      </x:c>
      <x:c r="B9" s="57" t="str">
        <x:v>Defaults esperados</x:v>
      </x:c>
      <x:c r="C9" s="57" t="str">
        <x:v>Defaults esperados</x:v>
      </x:c>
      <x:c r="D9" s="38" t="n">
        <x:f>'E1 Ratings'!E44</x:f>
        <x:v>2707.792923258775</x:v>
      </x:c>
      <x:c r="E9" s="2"/>
      <x:c r="F9" s="22" t="str">
        <x:v>   Sobre 5.002 compañías al inicio.</x:v>
      </x:c>
      <x:c r="G9" s="22" t="str">
        <x:v>   Sobre 5.002 compañías al inicio.</x:v>
      </x:c>
      <x:c r="H9" s="22" t="str">
        <x:v>   Sobre 5.002 compañías al inicio.</x:v>
      </x:c>
      <x:c r="I9" s="22" t="str">
        <x:v>   Sobre 5.002 compañías al inicio.</x:v>
      </x:c>
    </x:row>
    <x:row r="10" ht="22" customHeight="1">
      <x:c r="A10" s="2"/>
      <x:c r="B10" s="2"/>
      <x:c r="C10" s="2"/>
      <x:c r="D10" s="2"/>
      <x:c r="E10" s="2"/>
      <x:c r="F10" s="2"/>
      <x:c r="G10" s="2"/>
      <x:c r="H10" s="2"/>
      <x:c r="I10" s="2"/>
    </x:row>
    <x:row r="11" ht="31" customHeight="1">
      <x:c r="A11" s="57" t="str">
        <x:v>2 · Media simulada M₁</x:v>
      </x:c>
      <x:c r="B11" s="57" t="str">
        <x:v>2 · Media simulada M₁</x:v>
      </x:c>
      <x:c r="C11" s="57" t="str">
        <x:v>2 · Media simulada M₁</x:v>
      </x:c>
      <x:c r="D11" s="47" t="n">
        <x:f>'E2 Ito'!D25</x:f>
        <x:v>0.008261709864970474</x:v>
      </x:c>
      <x:c r="E11" s="2"/>
      <x:c r="F11" s="22" t="str">
        <x:v>   La media teórica es 0; IC95 compatible.</x:v>
      </x:c>
      <x:c r="G11" s="22" t="str">
        <x:v>   La media teórica es 0; IC95 compatible.</x:v>
      </x:c>
      <x:c r="H11" s="22" t="str">
        <x:v>   La media teórica es 0; IC95 compatible.</x:v>
      </x:c>
      <x:c r="I11" s="22" t="str">
        <x:v>   La media teórica es 0; IC95 compatible.</x:v>
      </x:c>
    </x:row>
    <x:row r="12" ht="31" customHeight="1">
      <x:c r="A12" s="57" t="str">
        <x:v>Varianza simulada</x:v>
      </x:c>
      <x:c r="B12" s="57" t="str">
        <x:v>Varianza simulada</x:v>
      </x:c>
      <x:c r="C12" s="57" t="str">
        <x:v>Varianza simulada</x:v>
      </x:c>
      <x:c r="D12" s="47" t="n">
        <x:f>'E2 Ito'!D26</x:f>
        <x:v>0.22458381386894113</x:v>
      </x:c>
      <x:c r="E12" s="2"/>
      <x:c r="F12" s="22" t="str">
        <x:v>   Frente a la varianza teórica 2/9.</x:v>
      </x:c>
      <x:c r="G12" s="22" t="str">
        <x:v>   Frente a la varianza teórica 2/9.</x:v>
      </x:c>
      <x:c r="H12" s="22" t="str">
        <x:v>   Frente a la varianza teórica 2/9.</x:v>
      </x:c>
      <x:c r="I12" s="22" t="str">
        <x:v>   Frente a la varianza teórica 2/9.</x:v>
      </x:c>
    </x:row>
    <x:row r="13" ht="22" customHeight="1">
      <x:c r="A13" s="2"/>
      <x:c r="B13" s="2"/>
      <x:c r="C13" s="2"/>
      <x:c r="D13" s="2"/>
      <x:c r="E13" s="2"/>
      <x:c r="F13" s="2"/>
      <x:c r="G13" s="2"/>
      <x:c r="H13" s="2"/>
      <x:c r="I13" s="2"/>
    </x:row>
    <x:row r="14" ht="31" customHeight="1">
      <x:c r="A14" s="57" t="str">
        <x:v>3 · Call asiática</x:v>
      </x:c>
      <x:c r="B14" s="57" t="str">
        <x:v>3 · Call asiática</x:v>
      </x:c>
      <x:c r="C14" s="57" t="str">
        <x:v>3 · Call asiática</x:v>
      </x:c>
      <x:c r="D14" s="47" t="n">
        <x:f>'E3 Opciones'!D45</x:f>
        <x:v>13.621805001737266</x:v>
      </x:c>
      <x:c r="E14" s="2"/>
      <x:c r="F14" s="22" t="str">
        <x:v>   Resultado a comunicar: 13,62 u.m.</x:v>
      </x:c>
      <x:c r="G14" s="22" t="str">
        <x:v>   Resultado a comunicar: 13,62 u.m.</x:v>
      </x:c>
      <x:c r="H14" s="22" t="str">
        <x:v>   Resultado a comunicar: 13,62 u.m.</x:v>
      </x:c>
      <x:c r="I14" s="22" t="str">
        <x:v>   Resultado a comunicar: 13,62 u.m.</x:v>
      </x:c>
    </x:row>
    <x:row r="15" ht="31" customHeight="1">
      <x:c r="A15" s="57" t="str">
        <x:v>IC95 · inferior</x:v>
      </x:c>
      <x:c r="B15" s="57" t="str">
        <x:v>IC95 · inferior</x:v>
      </x:c>
      <x:c r="C15" s="57" t="str">
        <x:v>IC95 · inferior</x:v>
      </x:c>
      <x:c r="D15" s="47" t="n">
        <x:f>'E3 Opciones'!D47</x:f>
        <x:v>13.621644093887642</x:v>
      </x:c>
      <x:c r="E15" s="2"/>
      <x:c r="F15" s="22" t="str">
        <x:v>   Error de simulación; condicionado al modelo.</x:v>
      </x:c>
      <x:c r="G15" s="22" t="str">
        <x:v>   Error de simulación; condicionado al modelo.</x:v>
      </x:c>
      <x:c r="H15" s="22" t="str">
        <x:v>   Error de simulación; condicionado al modelo.</x:v>
      </x:c>
      <x:c r="I15" s="22" t="str">
        <x:v>   Error de simulación; condicionado al modelo.</x:v>
      </x:c>
    </x:row>
    <x:row r="16" ht="31" customHeight="1">
      <x:c r="A16" s="57" t="str">
        <x:v>IC95 · superior</x:v>
      </x:c>
      <x:c r="B16" s="57" t="str">
        <x:v>IC95 · superior</x:v>
      </x:c>
      <x:c r="C16" s="57" t="str">
        <x:v>IC95 · superior</x:v>
      </x:c>
      <x:c r="D16" s="47" t="n">
        <x:f>'E3 Opciones'!D48</x:f>
        <x:v>13.62196590958689</x:v>
      </x:c>
      <x:c r="E16" s="2"/>
      <x:c r="F16" s="22" t="str">
        <x:v>   32 réplicas Sobol independientes.</x:v>
      </x:c>
      <x:c r="G16" s="22" t="str">
        <x:v>   32 réplicas Sobol independientes.</x:v>
      </x:c>
      <x:c r="H16" s="22" t="str">
        <x:v>   32 réplicas Sobol independientes.</x:v>
      </x:c>
      <x:c r="I16" s="22" t="str">
        <x:v>   32 réplicas Sobol independientes.</x:v>
      </x:c>
    </x:row>
    <x:row r="17" ht="22" customHeight="1">
      <x:c r="A17" s="2"/>
      <x:c r="B17" s="2"/>
      <x:c r="C17" s="2"/>
      <x:c r="D17" s="2"/>
      <x:c r="E17" s="2"/>
      <x:c r="F17" s="2"/>
      <x:c r="G17" s="2"/>
      <x:c r="H17" s="2"/>
      <x:c r="I17" s="2"/>
    </x:row>
    <x:row r="18" ht="22" customHeight="1">
      <x:c r="A18" s="13" t="str">
        <x:v>Conciliación con output</x:v>
      </x:c>
      <x:c r="B18" s="13" t="str">
        <x:v>Conciliación con output</x:v>
      </x:c>
      <x:c r="C18" s="13" t="str">
        <x:v>Conciliación con output</x:v>
      </x:c>
      <x:c r="D18" s="76" t="str">
        <x:f>IFERROR(IF(COUNTIF('Control'!G8:G35,"REVISAR")=0,"OK · resultados reproducidos","REVISAR · consulta Control"),"REVISAR · consulta Control")</x:f>
        <x:v>OK · resultados reproducidos</x:v>
      </x:c>
      <x:c r="E18" s="76"/>
      <x:c r="F18" s="76"/>
      <x:c r="G18" s="76"/>
      <x:c r="H18" s="76"/>
      <x:c r="I18" s="76"/>
    </x:row>
    <x:row r="19" ht="22" customHeight="1">
      <x:c r="A19" s="13" t="str">
        <x:v>Conciliación con output</x:v>
      </x:c>
      <x:c r="B19" s="13" t="str">
        <x:v>Conciliación con output</x:v>
      </x:c>
      <x:c r="C19" s="13" t="str">
        <x:v>Conciliación con output</x:v>
      </x:c>
      <x:c r="D19" s="76"/>
      <x:c r="E19" s="76"/>
      <x:c r="F19" s="76"/>
      <x:c r="G19" s="76"/>
      <x:c r="H19" s="76"/>
      <x:c r="I19" s="76"/>
    </x:row>
    <x:row r="20" ht="22" customHeight="1">
      <x:c r="A20" s="2"/>
      <x:c r="B20" s="2"/>
      <x:c r="C20" s="2"/>
      <x:c r="D20" s="2"/>
      <x:c r="E20" s="2"/>
      <x:c r="F20" s="2"/>
      <x:c r="G20" s="2"/>
      <x:c r="H20" s="2"/>
      <x:c r="I20" s="2"/>
    </x:row>
    <x:row r="21" ht="22" customHeight="1">
      <x:c r="A21" s="2"/>
      <x:c r="B21" s="2"/>
      <x:c r="C21" s="2"/>
      <x:c r="D21" s="2"/>
      <x:c r="E21" s="2"/>
      <x:c r="F21" s="2"/>
      <x:c r="G21" s="2"/>
      <x:c r="H21" s="2"/>
      <x:c r="I21" s="2"/>
    </x:row>
    <x:row r="22" ht="27" customHeight="1">
      <x:c r="A22" s="10" t="str">
        <x:v>Cómo leer el libro</x:v>
      </x:c>
      <x:c r="B22" s="10" t="str">
        <x:v>Cómo leer el libro</x:v>
      </x:c>
      <x:c r="C22" s="10" t="str">
        <x:v>Cómo leer el libro</x:v>
      </x:c>
      <x:c r="D22" s="10" t="str">
        <x:v>Cómo leer el libro</x:v>
      </x:c>
      <x:c r="E22" s="10" t="str">
        <x:v>Cómo leer el libro</x:v>
      </x:c>
      <x:c r="F22" s="10" t="str">
        <x:v>Cómo leer el libro</x:v>
      </x:c>
      <x:c r="G22" s="10" t="str">
        <x:v>Cómo leer el libro</x:v>
      </x:c>
      <x:c r="H22" s="10" t="str">
        <x:v>Cómo leer el libro</x:v>
      </x:c>
      <x:c r="I22" s="10" t="str">
        <x:v>Cómo leer el libro</x:v>
      </x:c>
    </x:row>
    <x:row r="23" ht="22" customHeight="1">
      <x:c r="A23" s="2"/>
      <x:c r="B23" s="2"/>
      <x:c r="C23" s="2"/>
      <x:c r="D23" s="2"/>
      <x:c r="E23" s="2"/>
      <x:c r="F23" s="2"/>
      <x:c r="G23" s="2"/>
      <x:c r="H23" s="2"/>
      <x:c r="I23" s="2"/>
    </x:row>
    <x:row r="24" ht="22" customHeight="1">
      <x:c r="A24" s="75" t="str">
        <x:v>1 · E1 Ratings</x:v>
      </x:c>
      <x:c r="B24" s="75" t="str">
        <x:v>1 · E1 Ratings</x:v>
      </x:c>
      <x:c r="C24" s="75" t="str">
        <x:v>1 · E1 Ratings</x:v>
      </x:c>
      <x:c r="D24" s="7" t="str">
        <x:v>Default por rating, cohorte completa y distribución P²⁵.</x:v>
      </x:c>
      <x:c r="E24" s="7" t="str">
        <x:v>Default por rating, cohorte completa y distribución P²⁵.</x:v>
      </x:c>
      <x:c r="F24" s="7" t="str">
        <x:v>Default por rating, cohorte completa y distribución P²⁵.</x:v>
      </x:c>
      <x:c r="G24" s="7" t="str">
        <x:v>Default por rating, cohorte completa y distribución P²⁵.</x:v>
      </x:c>
      <x:c r="H24" s="7" t="str">
        <x:v>Default por rating, cohorte completa y distribución P²⁵.</x:v>
      </x:c>
      <x:c r="I24" s="7" t="str">
        <x:v>Default por rating, cohorte completa y distribución P²⁵.</x:v>
      </x:c>
    </x:row>
    <x:row r="25" ht="22" customHeight="1">
      <x:c r="A25" s="75" t="str">
        <x:v>1 · E1 Ratings</x:v>
      </x:c>
      <x:c r="B25" s="75" t="str">
        <x:v>1 · E1 Ratings</x:v>
      </x:c>
      <x:c r="C25" s="75" t="str">
        <x:v>1 · E1 Ratings</x:v>
      </x:c>
      <x:c r="D25" s="7" t="str">
        <x:v>Default por rating, cohorte completa y distribución P²⁵.</x:v>
      </x:c>
      <x:c r="E25" s="7" t="str">
        <x:v>Default por rating, cohorte completa y distribución P²⁵.</x:v>
      </x:c>
      <x:c r="F25" s="7" t="str">
        <x:v>Default por rating, cohorte completa y distribución P²⁵.</x:v>
      </x:c>
      <x:c r="G25" s="7" t="str">
        <x:v>Default por rating, cohorte completa y distribución P²⁵.</x:v>
      </x:c>
      <x:c r="H25" s="7" t="str">
        <x:v>Default por rating, cohorte completa y distribución P²⁵.</x:v>
      </x:c>
      <x:c r="I25" s="7" t="str">
        <x:v>Default por rating, cohorte completa y distribución P²⁵.</x:v>
      </x:c>
    </x:row>
    <x:row r="26" ht="22" customHeight="1">
      <x:c r="A26" s="75" t="str">
        <x:v>2 · E2 Ito</x:v>
      </x:c>
      <x:c r="B26" s="75" t="str">
        <x:v>2 · E2 Ito</x:v>
      </x:c>
      <x:c r="C26" s="75" t="str">
        <x:v>2 · E2 Ito</x:v>
      </x:c>
      <x:c r="D26" s="7" t="str">
        <x:v>Identidades, teoría y réplica exacta del Excel anterior.</x:v>
      </x:c>
      <x:c r="E26" s="7" t="str">
        <x:v>Identidades, teoría y réplica exacta del Excel anterior.</x:v>
      </x:c>
      <x:c r="F26" s="7" t="str">
        <x:v>Identidades, teoría y réplica exacta del Excel anterior.</x:v>
      </x:c>
      <x:c r="G26" s="7" t="str">
        <x:v>Identidades, teoría y réplica exacta del Excel anterior.</x:v>
      </x:c>
      <x:c r="H26" s="7" t="str">
        <x:v>Identidades, teoría y réplica exacta del Excel anterior.</x:v>
      </x:c>
      <x:c r="I26" s="7" t="str">
        <x:v>Identidades, teoría y réplica exacta del Excel anterior.</x:v>
      </x:c>
    </x:row>
    <x:row r="27" ht="22" customHeight="1">
      <x:c r="A27" s="75" t="str">
        <x:v>2 · E2 Ito</x:v>
      </x:c>
      <x:c r="B27" s="75" t="str">
        <x:v>2 · E2 Ito</x:v>
      </x:c>
      <x:c r="C27" s="75" t="str">
        <x:v>2 · E2 Ito</x:v>
      </x:c>
      <x:c r="D27" s="7" t="str">
        <x:v>Identidades, teoría y réplica exacta del Excel anterior.</x:v>
      </x:c>
      <x:c r="E27" s="7" t="str">
        <x:v>Identidades, teoría y réplica exacta del Excel anterior.</x:v>
      </x:c>
      <x:c r="F27" s="7" t="str">
        <x:v>Identidades, teoría y réplica exacta del Excel anterior.</x:v>
      </x:c>
      <x:c r="G27" s="7" t="str">
        <x:v>Identidades, teoría y réplica exacta del Excel anterior.</x:v>
      </x:c>
      <x:c r="H27" s="7" t="str">
        <x:v>Identidades, teoría y réplica exacta del Excel anterior.</x:v>
      </x:c>
      <x:c r="I27" s="7" t="str">
        <x:v>Identidades, teoría y réplica exacta del Excel anterior.</x:v>
      </x:c>
    </x:row>
    <x:row r="28" ht="22" customHeight="1">
      <x:c r="A28" s="75" t="str">
        <x:v>3 · E3 Opciones</x:v>
      </x:c>
      <x:c r="B28" s="75" t="str">
        <x:v>3 · E3 Opciones</x:v>
      </x:c>
      <x:c r="C28" s="75" t="str">
        <x:v>3 · E3 Opciones</x:v>
      </x:c>
      <x:c r="D28" s="7" t="str">
        <x:v>Calibración, repricing, payoff y precio con intervalo.</x:v>
      </x:c>
      <x:c r="E28" s="7" t="str">
        <x:v>Calibración, repricing, payoff y precio con intervalo.</x:v>
      </x:c>
      <x:c r="F28" s="7" t="str">
        <x:v>Calibración, repricing, payoff y precio con intervalo.</x:v>
      </x:c>
      <x:c r="G28" s="7" t="str">
        <x:v>Calibración, repricing, payoff y precio con intervalo.</x:v>
      </x:c>
      <x:c r="H28" s="7" t="str">
        <x:v>Calibración, repricing, payoff y precio con intervalo.</x:v>
      </x:c>
      <x:c r="I28" s="7" t="str">
        <x:v>Calibración, repricing, payoff y precio con intervalo.</x:v>
      </x:c>
    </x:row>
    <x:row r="29" ht="22" customHeight="1">
      <x:c r="A29" s="75" t="str">
        <x:v>3 · E3 Opciones</x:v>
      </x:c>
      <x:c r="B29" s="75" t="str">
        <x:v>3 · E3 Opciones</x:v>
      </x:c>
      <x:c r="C29" s="75" t="str">
        <x:v>3 · E3 Opciones</x:v>
      </x:c>
      <x:c r="D29" s="7" t="str">
        <x:v>Calibración, repricing, payoff y precio con intervalo.</x:v>
      </x:c>
      <x:c r="E29" s="7" t="str">
        <x:v>Calibración, repricing, payoff y precio con intervalo.</x:v>
      </x:c>
      <x:c r="F29" s="7" t="str">
        <x:v>Calibración, repricing, payoff y precio con intervalo.</x:v>
      </x:c>
      <x:c r="G29" s="7" t="str">
        <x:v>Calibración, repricing, payoff y precio con intervalo.</x:v>
      </x:c>
      <x:c r="H29" s="7" t="str">
        <x:v>Calibración, repricing, payoff y precio con intervalo.</x:v>
      </x:c>
      <x:c r="I29" s="7" t="str">
        <x:v>Calibración, repricing, payoff y precio con intervalo.</x:v>
      </x:c>
    </x:row>
    <x:row r="30" ht="22" customHeight="1">
      <x:c r="A30" s="75" t="str">
        <x:v>Datos</x:v>
      </x:c>
      <x:c r="B30" s="75" t="str">
        <x:v>Datos</x:v>
      </x:c>
      <x:c r="C30" s="75" t="str">
        <x:v>Datos</x:v>
      </x:c>
      <x:c r="D30" s="7" t="str">
        <x:v>Entradas y convenciones; azul identifica lo editable.</x:v>
      </x:c>
      <x:c r="E30" s="7" t="str">
        <x:v>Entradas y convenciones; azul identifica lo editable.</x:v>
      </x:c>
      <x:c r="F30" s="7" t="str">
        <x:v>Entradas y convenciones; azul identifica lo editable.</x:v>
      </x:c>
      <x:c r="G30" s="7" t="str">
        <x:v>Entradas y convenciones; azul identifica lo editable.</x:v>
      </x:c>
      <x:c r="H30" s="7" t="str">
        <x:v>Entradas y convenciones; azul identifica lo editable.</x:v>
      </x:c>
      <x:c r="I30" s="7" t="str">
        <x:v>Entradas y convenciones; azul identifica lo editable.</x:v>
      </x:c>
    </x:row>
    <x:row r="31" ht="22" customHeight="1">
      <x:c r="A31" s="75" t="str">
        <x:v>Datos</x:v>
      </x:c>
      <x:c r="B31" s="75" t="str">
        <x:v>Datos</x:v>
      </x:c>
      <x:c r="C31" s="75" t="str">
        <x:v>Datos</x:v>
      </x:c>
      <x:c r="D31" s="7" t="str">
        <x:v>Entradas y convenciones; azul identifica lo editable.</x:v>
      </x:c>
      <x:c r="E31" s="7" t="str">
        <x:v>Entradas y convenciones; azul identifica lo editable.</x:v>
      </x:c>
      <x:c r="F31" s="7" t="str">
        <x:v>Entradas y convenciones; azul identifica lo editable.</x:v>
      </x:c>
      <x:c r="G31" s="7" t="str">
        <x:v>Entradas y convenciones; azul identifica lo editable.</x:v>
      </x:c>
      <x:c r="H31" s="7" t="str">
        <x:v>Entradas y convenciones; azul identifica lo editable.</x:v>
      </x:c>
      <x:c r="I31" s="7" t="str">
        <x:v>Entradas y convenciones; azul identifica lo editable.</x:v>
      </x:c>
    </x:row>
    <x:row r="32" ht="22" customHeight="1">
      <x:c r="A32" s="75" t="str">
        <x:v>Hojas auxiliares</x:v>
      </x:c>
      <x:c r="B32" s="75" t="str">
        <x:v>Hojas auxiliares</x:v>
      </x:c>
      <x:c r="C32" s="75" t="str">
        <x:v>Hojas auxiliares</x:v>
      </x:c>
      <x:c r="D32" s="7" t="str">
        <x:v>Pⁿ, 5.000 réplicas, trayectoria y cálculos de calibración.</x:v>
      </x:c>
      <x:c r="E32" s="7" t="str">
        <x:v>Pⁿ, 5.000 réplicas, trayectoria y cálculos de calibración.</x:v>
      </x:c>
      <x:c r="F32" s="7" t="str">
        <x:v>Pⁿ, 5.000 réplicas, trayectoria y cálculos de calibración.</x:v>
      </x:c>
      <x:c r="G32" s="7" t="str">
        <x:v>Pⁿ, 5.000 réplicas, trayectoria y cálculos de calibración.</x:v>
      </x:c>
      <x:c r="H32" s="7" t="str">
        <x:v>Pⁿ, 5.000 réplicas, trayectoria y cálculos de calibración.</x:v>
      </x:c>
      <x:c r="I32" s="7" t="str">
        <x:v>Pⁿ, 5.000 réplicas, trayectoria y cálculos de calibración.</x:v>
      </x:c>
    </x:row>
    <x:row r="33" ht="22" customHeight="1">
      <x:c r="A33" s="75" t="str">
        <x:v>Hojas auxiliares</x:v>
      </x:c>
      <x:c r="B33" s="75" t="str">
        <x:v>Hojas auxiliares</x:v>
      </x:c>
      <x:c r="C33" s="75" t="str">
        <x:v>Hojas auxiliares</x:v>
      </x:c>
      <x:c r="D33" s="7" t="str">
        <x:v>Pⁿ, 5.000 réplicas, trayectoria y cálculos de calibración.</x:v>
      </x:c>
      <x:c r="E33" s="7" t="str">
        <x:v>Pⁿ, 5.000 réplicas, trayectoria y cálculos de calibración.</x:v>
      </x:c>
      <x:c r="F33" s="7" t="str">
        <x:v>Pⁿ, 5.000 réplicas, trayectoria y cálculos de calibración.</x:v>
      </x:c>
      <x:c r="G33" s="7" t="str">
        <x:v>Pⁿ, 5.000 réplicas, trayectoria y cálculos de calibración.</x:v>
      </x:c>
      <x:c r="H33" s="7" t="str">
        <x:v>Pⁿ, 5.000 réplicas, trayectoria y cálculos de calibración.</x:v>
      </x:c>
      <x:c r="I33" s="7" t="str">
        <x:v>Pⁿ, 5.000 réplicas, trayectoria y cálculos de calibración.</x:v>
      </x:c>
    </x:row>
    <x:row r="34" ht="22" customHeight="1">
      <x:c r="A34" s="75" t="str">
        <x:v>Control</x:v>
      </x:c>
      <x:c r="B34" s="75" t="str">
        <x:v>Control</x:v>
      </x:c>
      <x:c r="C34" s="75" t="str">
        <x:v>Control</x:v>
      </x:c>
      <x:c r="D34" s="7" t="str">
        <x:v>Diferencias frente a la referencia y fuentes del resultado.</x:v>
      </x:c>
      <x:c r="E34" s="7" t="str">
        <x:v>Diferencias frente a la referencia y fuentes del resultado.</x:v>
      </x:c>
      <x:c r="F34" s="7" t="str">
        <x:v>Diferencias frente a la referencia y fuentes del resultado.</x:v>
      </x:c>
      <x:c r="G34" s="7" t="str">
        <x:v>Diferencias frente a la referencia y fuentes del resultado.</x:v>
      </x:c>
      <x:c r="H34" s="7" t="str">
        <x:v>Diferencias frente a la referencia y fuentes del resultado.</x:v>
      </x:c>
      <x:c r="I34" s="7" t="str">
        <x:v>Diferencias frente a la referencia y fuentes del resultado.</x:v>
      </x:c>
    </x:row>
    <x:row r="35" ht="22" customHeight="1">
      <x:c r="A35" s="75" t="str">
        <x:v>Control</x:v>
      </x:c>
      <x:c r="B35" s="75" t="str">
        <x:v>Control</x:v>
      </x:c>
      <x:c r="C35" s="75" t="str">
        <x:v>Control</x:v>
      </x:c>
      <x:c r="D35" s="7" t="str">
        <x:v>Diferencias frente a la referencia y fuentes del resultado.</x:v>
      </x:c>
      <x:c r="E35" s="7" t="str">
        <x:v>Diferencias frente a la referencia y fuentes del resultado.</x:v>
      </x:c>
      <x:c r="F35" s="7" t="str">
        <x:v>Diferencias frente a la referencia y fuentes del resultado.</x:v>
      </x:c>
      <x:c r="G35" s="7" t="str">
        <x:v>Diferencias frente a la referencia y fuentes del resultado.</x:v>
      </x:c>
      <x:c r="H35" s="7" t="str">
        <x:v>Diferencias frente a la referencia y fuentes del resultado.</x:v>
      </x:c>
      <x:c r="I35" s="7" t="str">
        <x:v>Diferencias frente a la referencia y fuentes del resultado.</x:v>
      </x:c>
    </x:row>
    <x:row r="36" ht="22" customHeight="1">
      <x:c r="A36" s="2"/>
      <x:c r="B36" s="2"/>
      <x:c r="C36" s="2"/>
      <x:c r="D36" s="2"/>
      <x:c r="E36" s="2"/>
      <x:c r="F36" s="2"/>
      <x:c r="G36" s="2"/>
      <x:c r="H36" s="2"/>
      <x:c r="I36" s="2"/>
    </x:row>
    <x:row r="37" ht="22" customHeight="1">
      <x:c r="A37" s="2"/>
      <x:c r="B37" s="2"/>
      <x:c r="C37" s="2"/>
      <x:c r="D37" s="2"/>
      <x:c r="E37" s="2"/>
      <x:c r="F37" s="2"/>
      <x:c r="G37" s="2"/>
      <x:c r="H37" s="2"/>
      <x:c r="I37" s="2"/>
    </x:row>
    <x:row r="38" ht="27" customHeight="1">
      <x:c r="A38" s="10" t="str">
        <x:v>Edición y alcance</x:v>
      </x:c>
      <x:c r="B38" s="10" t="str">
        <x:v>Edición y alcance</x:v>
      </x:c>
      <x:c r="C38" s="10" t="str">
        <x:v>Edición y alcance</x:v>
      </x:c>
      <x:c r="D38" s="10" t="str">
        <x:v>Edición y alcance</x:v>
      </x:c>
      <x:c r="E38" s="10" t="str">
        <x:v>Edición y alcance</x:v>
      </x:c>
      <x:c r="F38" s="10" t="str">
        <x:v>Edición y alcance</x:v>
      </x:c>
      <x:c r="G38" s="10" t="str">
        <x:v>Edición y alcance</x:v>
      </x:c>
      <x:c r="H38" s="10" t="str">
        <x:v>Edición y alcance</x:v>
      </x:c>
      <x:c r="I38" s="10" t="str">
        <x:v>Edición y alcance</x:v>
      </x:c>
    </x:row>
    <x:row r="39" ht="36" customHeight="1">
      <x:c r="A39" s="22" t="str">
        <x:v>Azul: entrada editable. Negro: fórmula local. Verde: fórmula vinculada a otra hoja. Gris: datos de simulación fijados.</x:v>
      </x:c>
      <x:c r="B39" s="22" t="str">
        <x:v>Azul: entrada editable. Negro: fórmula local. Verde: fórmula vinculada a otra hoja. Gris: datos de simulación fijados.</x:v>
      </x:c>
      <x:c r="C39" s="22" t="str">
        <x:v>Azul: entrada editable. Negro: fórmula local. Verde: fórmula vinculada a otra hoja. Gris: datos de simulación fijados.</x:v>
      </x:c>
      <x:c r="D39" s="22" t="str">
        <x:v>Azul: entrada editable. Negro: fórmula local. Verde: fórmula vinculada a otra hoja. Gris: datos de simulación fijados.</x:v>
      </x:c>
      <x:c r="E39" s="22" t="str">
        <x:v>Azul: entrada editable. Negro: fórmula local. Verde: fórmula vinculada a otra hoja. Gris: datos de simulación fijados.</x:v>
      </x:c>
      <x:c r="F39" s="22" t="str">
        <x:v>Azul: entrada editable. Negro: fórmula local. Verde: fórmula vinculada a otra hoja. Gris: datos de simulación fijados.</x:v>
      </x:c>
      <x:c r="G39" s="22" t="str">
        <x:v>Azul: entrada editable. Negro: fórmula local. Verde: fórmula vinculada a otra hoja. Gris: datos de simulación fijados.</x:v>
      </x:c>
      <x:c r="H39" s="22" t="str">
        <x:v>Azul: entrada editable. Negro: fórmula local. Verde: fórmula vinculada a otra hoja. Gris: datos de simulación fijados.</x:v>
      </x:c>
      <x:c r="I39" s="22" t="str">
        <x:v>Azul: entrada editable. Negro: fórmula local. Verde: fórmula vinculada a otra hoja. Gris: datos de simulación fijados.</x:v>
      </x:c>
    </x:row>
    <x:row r="40" ht="22" customHeight="1">
      <x:c r="A40" s="2"/>
      <x:c r="B40" s="2"/>
      <x:c r="C40" s="2"/>
      <x:c r="D40" s="2"/>
      <x:c r="E40" s="2"/>
      <x:c r="F40" s="2"/>
      <x:c r="G40" s="2"/>
      <x:c r="H40" s="2"/>
      <x:c r="I40" s="2"/>
    </x:row>
    <x:row r="41" ht="36" customHeight="1">
      <x:c r="A41" s="22" t="str">
        <x:v>Todo está dentro del archivo. Los cálculos analíticos se recalculan; las simulaciones completas conservan sus semillas y agregados. Si cambia el modelo, Control pide regenerarlas.</x:v>
      </x:c>
      <x:c r="B41" s="22" t="str">
        <x:v>Todo está dentro del archivo. Los cálculos analíticos se recalculan; las simulaciones completas conservan sus semillas y agregados. Si cambia el modelo, Control pide regenerarlas.</x:v>
      </x:c>
      <x:c r="C41" s="22" t="str">
        <x:v>Todo está dentro del archivo. Los cálculos analíticos se recalculan; las simulaciones completas conservan sus semillas y agregados. Si cambia el modelo, Control pide regenerarlas.</x:v>
      </x:c>
      <x:c r="D41" s="22" t="str">
        <x:v>Todo está dentro del archivo. Los cálculos analíticos se recalculan; las simulaciones completas conservan sus semillas y agregados. Si cambia el modelo, Control pide regenerarlas.</x:v>
      </x:c>
      <x:c r="E41" s="22" t="str">
        <x:v>Todo está dentro del archivo. Los cálculos analíticos se recalculan; las simulaciones completas conservan sus semillas y agregados. Si cambia el modelo, Control pide regenerarlas.</x:v>
      </x:c>
      <x:c r="F41" s="22" t="str">
        <x:v>Todo está dentro del archivo. Los cálculos analíticos se recalculan; las simulaciones completas conservan sus semillas y agregados. Si cambia el modelo, Control pide regenerarlas.</x:v>
      </x:c>
      <x:c r="G41" s="22" t="str">
        <x:v>Todo está dentro del archivo. Los cálculos analíticos se recalculan; las simulaciones completas conservan sus semillas y agregados. Si cambia el modelo, Control pide regenerarlas.</x:v>
      </x:c>
      <x:c r="H41" s="22" t="str">
        <x:v>Todo está dentro del archivo. Los cálculos analíticos se recalculan; las simulaciones completas conservan sus semillas y agregados. Si cambia el modelo, Control pide regenerarlas.</x:v>
      </x:c>
      <x:c r="I41" s="22" t="str">
        <x:v>Todo está dentro del archivo. Los cálculos analíticos se recalculan; las simulaciones completas conservan sus semillas y agregados. Si cambia el modelo, Control pide regenerarlas.</x:v>
      </x:c>
    </x:row>
    <x:row r="42" ht="22" customHeight="1">
      <x:c r="A42" s="2"/>
      <x:c r="B42" s="2"/>
      <x:c r="C42" s="2"/>
      <x:c r="D42" s="2"/>
      <x:c r="E42" s="2"/>
      <x:c r="F42" s="2"/>
      <x:c r="G42" s="2"/>
      <x:c r="H42" s="2"/>
      <x:c r="I42" s="2"/>
    </x:row>
    <x:row r="43" ht="36" customHeight="1">
      <x:c r="A43" s="22" t="str">
        <x:v>Las explicaciones son breves; el HTML/PDF mantiene las demostraciones completas. Tiempo en años, probabilidades en %, precios en unidades monetarias.</x:v>
      </x:c>
      <x:c r="B43" s="22" t="str">
        <x:v>Las explicaciones son breves; el HTML/PDF mantiene las demostraciones completas. Tiempo en años, probabilidades en %, precios en unidades monetarias.</x:v>
      </x:c>
      <x:c r="C43" s="22" t="str">
        <x:v>Las explicaciones son breves; el HTML/PDF mantiene las demostraciones completas. Tiempo en años, probabilidades en %, precios en unidades monetarias.</x:v>
      </x:c>
      <x:c r="D43" s="22" t="str">
        <x:v>Las explicaciones son breves; el HTML/PDF mantiene las demostraciones completas. Tiempo en años, probabilidades en %, precios en unidades monetarias.</x:v>
      </x:c>
      <x:c r="E43" s="22" t="str">
        <x:v>Las explicaciones son breves; el HTML/PDF mantiene las demostraciones completas. Tiempo en años, probabilidades en %, precios en unidades monetarias.</x:v>
      </x:c>
      <x:c r="F43" s="22" t="str">
        <x:v>Las explicaciones son breves; el HTML/PDF mantiene las demostraciones completas. Tiempo en años, probabilidades en %, precios en unidades monetarias.</x:v>
      </x:c>
      <x:c r="G43" s="22" t="str">
        <x:v>Las explicaciones son breves; el HTML/PDF mantiene las demostraciones completas. Tiempo en años, probabilidades en %, precios en unidades monetarias.</x:v>
      </x:c>
      <x:c r="H43" s="22" t="str">
        <x:v>Las explicaciones son breves; el HTML/PDF mantiene las demostraciones completas. Tiempo en años, probabilidades en %, precios en unidades monetarias.</x:v>
      </x:c>
      <x:c r="I43" s="22" t="str">
        <x:v>Las explicaciones son breves; el HTML/PDF mantiene las demostraciones completas. Tiempo en años, probabilidades en %, precios en unidades monetarias.</x:v>
      </x:c>
    </x:row>
    <x:row r="44" ht="22" customHeight="1">
      <x:c r="A44" s="2"/>
      <x:c r="B44" s="2"/>
      <x:c r="C44" s="2"/>
      <x:c r="D44" s="2"/>
      <x:c r="E44" s="2"/>
      <x:c r="F44" s="2"/>
      <x:c r="G44" s="2"/>
      <x:c r="H44" s="2"/>
      <x:c r="I44" s="2"/>
    </x:row>
    <x:row r="45" ht="22" customHeight="1">
      <x:c r="A45" s="2"/>
      <x:c r="B45" s="2"/>
      <x:c r="C45" s="2"/>
      <x:c r="D45" s="2"/>
      <x:c r="E45" s="2"/>
      <x:c r="F45" s="2"/>
      <x:c r="G45" s="2"/>
      <x:c r="H45" s="2"/>
      <x:c r="I45" s="2"/>
    </x:row>
    <x:row r="46" ht="22" customHeight="1">
      <x:c r="A46" s="2"/>
      <x:c r="B46" s="2"/>
      <x:c r="C46" s="2"/>
      <x:c r="D46" s="2"/>
      <x:c r="E46" s="2"/>
      <x:c r="F46" s="2"/>
      <x:c r="G46" s="2"/>
      <x:c r="H46" s="2"/>
      <x:c r="I46" s="2"/>
    </x:row>
    <x:row r="47" ht="22" customHeight="1">
      <x:c r="A47" s="2"/>
      <x:c r="B47" s="2"/>
      <x:c r="C47" s="2"/>
      <x:c r="D47" s="2"/>
      <x:c r="E47" s="2"/>
      <x:c r="F47" s="2"/>
      <x:c r="G47" s="2"/>
      <x:c r="H47" s="2"/>
      <x:c r="I47" s="2"/>
    </x:row>
    <x:row r="48" ht="22" customHeight="1">
      <x:c r="A48" s="2"/>
      <x:c r="B48" s="2"/>
      <x:c r="C48" s="2"/>
      <x:c r="D48" s="2"/>
      <x:c r="E48" s="2"/>
      <x:c r="F48" s="2"/>
      <x:c r="G48" s="2"/>
      <x:c r="H48" s="2"/>
      <x:c r="I48" s="2"/>
    </x:row>
  </x:sheetData>
  <x:mergeCells>
    <x:mergeCell ref="A1:I2"/>
    <x:mergeCell ref="A3:I4"/>
    <x:mergeCell ref="A6:I6"/>
    <x:mergeCell ref="A8:C8"/>
    <x:mergeCell ref="D8:E8"/>
    <x:mergeCell ref="F8:I8"/>
    <x:mergeCell ref="A9:C9"/>
    <x:mergeCell ref="D9:E9"/>
    <x:mergeCell ref="F9:I9"/>
    <x:mergeCell ref="A11:C11"/>
    <x:mergeCell ref="D11:E11"/>
    <x:mergeCell ref="F11:I11"/>
    <x:mergeCell ref="A12:C12"/>
    <x:mergeCell ref="D12:E12"/>
    <x:mergeCell ref="F12:I12"/>
    <x:mergeCell ref="A14:C14"/>
    <x:mergeCell ref="D14:E14"/>
    <x:mergeCell ref="F14:I14"/>
    <x:mergeCell ref="A15:C15"/>
    <x:mergeCell ref="D15:E15"/>
    <x:mergeCell ref="F15:I15"/>
    <x:mergeCell ref="A16:C16"/>
    <x:mergeCell ref="D16:E16"/>
    <x:mergeCell ref="F16:I16"/>
    <x:mergeCell ref="A18:C19"/>
    <x:mergeCell ref="D18:I19"/>
    <x:mergeCell ref="A22:I22"/>
    <x:mergeCell ref="A24:C25"/>
    <x:mergeCell ref="D24:I25"/>
    <x:mergeCell ref="A26:C27"/>
    <x:mergeCell ref="D26:I27"/>
    <x:mergeCell ref="A28:C29"/>
    <x:mergeCell ref="D28:I29"/>
    <x:mergeCell ref="A30:C31"/>
    <x:mergeCell ref="D30:I31"/>
    <x:mergeCell ref="A32:C33"/>
    <x:mergeCell ref="D32:I33"/>
    <x:mergeCell ref="A34:C35"/>
    <x:mergeCell ref="D34:I35"/>
    <x:mergeCell ref="A38:I38"/>
    <x:mergeCell ref="A39:I39"/>
    <x:mergeCell ref="A41:I41"/>
    <x:mergeCell ref="A43:I4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</x:cols>
  <x:sheetData>
    <x:row r="1" ht="25" customHeight="1">
      <x:c r="A1" s="5" t="str">
        <x:v>1 · Ratings y default</x:v>
      </x:c>
      <x:c r="B1" s="5" t="str">
        <x:v>1 · Ratings y default</x:v>
      </x:c>
      <x:c r="C1" s="5" t="str">
        <x:v>1 · Ratings y default</x:v>
      </x:c>
      <x:c r="D1" s="5" t="str">
        <x:v>1 · Ratings y default</x:v>
      </x:c>
      <x:c r="E1" s="5" t="str">
        <x:v>1 · Ratings y default</x:v>
      </x:c>
      <x:c r="F1" s="5" t="str">
        <x:v>1 · Ratings y default</x:v>
      </x:c>
      <x:c r="G1" s="5" t="str">
        <x:v>1 · Ratings y default</x:v>
      </x:c>
      <x:c r="H1" s="5" t="str">
        <x:v>1 · Ratings y default</x:v>
      </x:c>
      <x:c r="I1" s="5" t="str">
        <x:v>1 · Ratings y default</x:v>
      </x:c>
    </x:row>
    <x:row r="2" ht="25" customHeight="1">
      <x:c r="A2" s="5" t="str">
        <x:v>1 · Ratings y default</x:v>
      </x:c>
      <x:c r="B2" s="5" t="str">
        <x:v>1 · Ratings y default</x:v>
      </x:c>
      <x:c r="C2" s="5" t="str">
        <x:v>1 · Ratings y default</x:v>
      </x:c>
      <x:c r="D2" s="5" t="str">
        <x:v>1 · Ratings y default</x:v>
      </x:c>
      <x:c r="E2" s="5" t="str">
        <x:v>1 · Ratings y default</x:v>
      </x:c>
      <x:c r="F2" s="5" t="str">
        <x:v>1 · Ratings y default</x:v>
      </x:c>
      <x:c r="G2" s="5" t="str">
        <x:v>1 · Ratings y default</x:v>
      </x:c>
      <x:c r="H2" s="5" t="str">
        <x:v>1 · Ratings y default</x:v>
      </x:c>
      <x:c r="I2" s="5" t="str">
        <x:v>1 · Ratings y default</x:v>
      </x:c>
    </x:row>
    <x:row r="3" ht="21" customHeight="1">
      <x:c r="A3" s="7" t="str">
        <x:v>Modelo de Markov homogéneo · 25 años · cohorte de 5.002 compañías en el caso base.</x:v>
      </x:c>
      <x:c r="B3" s="7" t="str">
        <x:v>Modelo de Markov homogéneo · 25 años · cohorte de 5.002 compañías en el caso base.</x:v>
      </x:c>
      <x:c r="C3" s="7" t="str">
        <x:v>Modelo de Markov homogéneo · 25 años · cohorte de 5.002 compañías en el caso base.</x:v>
      </x:c>
      <x:c r="D3" s="7" t="str">
        <x:v>Modelo de Markov homogéneo · 25 años · cohorte de 5.002 compañías en el caso base.</x:v>
      </x:c>
      <x:c r="E3" s="7" t="str">
        <x:v>Modelo de Markov homogéneo · 25 años · cohorte de 5.002 compañías en el caso base.</x:v>
      </x:c>
      <x:c r="F3" s="7" t="str">
        <x:v>Modelo de Markov homogéneo · 25 años · cohorte de 5.002 compañías en el caso base.</x:v>
      </x:c>
      <x:c r="G3" s="7" t="str">
        <x:v>Modelo de Markov homogéneo · 25 años · cohorte de 5.002 compañías en el caso base.</x:v>
      </x:c>
      <x:c r="H3" s="7" t="str">
        <x:v>Modelo de Markov homogéneo · 25 años · cohorte de 5.002 compañías en el caso base.</x:v>
      </x:c>
      <x:c r="I3" s="7" t="str">
        <x:v>Modelo de Markov homogéneo · 25 años · cohorte de 5.002 compañías en el caso base.</x:v>
      </x:c>
    </x:row>
    <x:row r="4" ht="21" customHeight="1">
      <x:c r="A4" s="7" t="str">
        <x:v>Modelo de Markov homogéneo · 25 años · cohorte de 5.002 compañías en el caso base.</x:v>
      </x:c>
      <x:c r="B4" s="7" t="str">
        <x:v>Modelo de Markov homogéneo · 25 años · cohorte de 5.002 compañías en el caso base.</x:v>
      </x:c>
      <x:c r="C4" s="7" t="str">
        <x:v>Modelo de Markov homogéneo · 25 años · cohorte de 5.002 compañías en el caso base.</x:v>
      </x:c>
      <x:c r="D4" s="7" t="str">
        <x:v>Modelo de Markov homogéneo · 25 años · cohorte de 5.002 compañías en el caso base.</x:v>
      </x:c>
      <x:c r="E4" s="7" t="str">
        <x:v>Modelo de Markov homogéneo · 25 años · cohorte de 5.002 compañías en el caso base.</x:v>
      </x:c>
      <x:c r="F4" s="7" t="str">
        <x:v>Modelo de Markov homogéneo · 25 años · cohorte de 5.002 compañías en el caso base.</x:v>
      </x:c>
      <x:c r="G4" s="7" t="str">
        <x:v>Modelo de Markov homogéneo · 25 años · cohorte de 5.002 compañías en el caso base.</x:v>
      </x:c>
      <x:c r="H4" s="7" t="str">
        <x:v>Modelo de Markov homogéneo · 25 años · cohorte de 5.002 compañías en el caso base.</x:v>
      </x:c>
      <x:c r="I4" s="7" t="str">
        <x:v>Modelo de Markov homogéneo · 25 años · cohorte de 5.002 compañías en el caso base.</x:v>
      </x:c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</x:row>
    <x:row r="6" ht="27" customHeight="1">
      <x:c r="A6" s="10" t="str">
        <x:v>1.a · Qué cambia según el rating de partida</x:v>
      </x:c>
      <x:c r="B6" s="10" t="str">
        <x:v>1.a · Qué cambia según el rating de partida</x:v>
      </x:c>
      <x:c r="C6" s="10" t="str">
        <x:v>1.a · Qué cambia según el rating de partida</x:v>
      </x:c>
      <x:c r="D6" s="10" t="str">
        <x:v>1.a · Qué cambia según el rating de partida</x:v>
      </x:c>
      <x:c r="E6" s="10" t="str">
        <x:v>1.a · Qué cambia según el rating de partida</x:v>
      </x:c>
      <x:c r="F6" s="10" t="str">
        <x:v>1.a · Qué cambia según el rating de partida</x:v>
      </x:c>
      <x:c r="G6" s="10" t="str">
        <x:v>1.a · Qué cambia según el rating de partida</x:v>
      </x:c>
      <x:c r="H6" s="10" t="str">
        <x:v>1.a · Qué cambia según el rating de partida</x:v>
      </x:c>
      <x:c r="I6" s="10" t="str">
        <x:v>1.a · Qué cambia según el rating de partida</x:v>
      </x:c>
    </x:row>
    <x:row r="7" ht="36" customHeight="1">
      <x:c r="A7" s="13" t="str">
        <x:v>Rating</x:v>
      </x:c>
      <x:c r="B7" s="13" t="str">
        <x:v>PD 1 año</x:v>
      </x:c>
      <x:c r="C7" s="13" t="str">
        <x:v>PD 5 años</x:v>
      </x:c>
      <x:c r="D7" s="13" t="str">
        <x:v>PD 10 años</x:v>
      </x:c>
      <x:c r="E7" s="13" t="str">
        <x:v>PD 25 años</x:v>
      </x:c>
      <x:c r="F7" s="13" t="str">
        <x:v>Año máximo</x:v>
      </x:c>
      <x:c r="G7" s="13" t="str">
        <x:v>Máx. anual</x:v>
      </x:c>
      <x:c r="H7" s="13" t="str">
        <x:v>Peso cohorte</x:v>
      </x:c>
      <x:c r="I7" s="13" t="str">
        <x:v>Compañías</x:v>
      </x:c>
    </x:row>
    <x:row r="8" ht="22" customHeight="1">
      <x:c r="A8" s="31" t="str">
        <x:f>'Datos'!A8</x:f>
        <x:v>Aaa</x:v>
      </x:c>
      <x:c r="B8" s="35" t="n">
        <x:f>'E1 Pasos'!B277</x:f>
        <x:v>5.216254094999365e-22</x:v>
      </x:c>
      <x:c r="C8" s="35" t="n">
        <x:f>'E1 Pasos'!B281</x:f>
        <x:v>0.0001462043658049989</x:v>
      </x:c>
      <x:c r="D8" s="35" t="n">
        <x:f>'E1 Pasos'!B286</x:f>
        <x:v>0.010592902060956387</x:v>
      </x:c>
      <x:c r="E8" s="35" t="n">
        <x:f>'E1 Pasos'!B301</x:f>
        <x:v>0.1528016717803049</x:v>
      </x:c>
      <x:c r="F8" s="36" t="n">
        <x:f>MATCH(MAX('E1 Pasos'!B309:B333),'E1 Pasos'!B309:B333,0)</x:f>
        <x:v>25</x:v>
      </x:c>
      <x:c r="G8" s="35" t="n">
        <x:f>MAX('E1 Pasos'!B309:B333)</x:f>
        <x:v>0.011633786229672927</x:v>
      </x:c>
      <x:c r="H8" s="35" t="n">
        <x:f>'Datos'!K8</x:f>
        <x:v>0.027189124350259896</x:v>
      </x:c>
      <x:c r="I8" s="37" t="n">
        <x:f>'Datos'!J8</x:f>
        <x:v>136</x:v>
      </x:c>
    </x:row>
    <x:row r="9" ht="22" customHeight="1">
      <x:c r="A9" s="31" t="str">
        <x:f>'Datos'!A9</x:f>
        <x:v>Aa</x:v>
      </x:c>
      <x:c r="B9" s="35" t="n">
        <x:f>'E1 Pasos'!C277</x:f>
        <x:v>2.3113048019581464e-16</x:v>
      </x:c>
      <x:c r="C9" s="35" t="n">
        <x:f>'E1 Pasos'!C281</x:f>
        <x:v>0.0006639813224527685</x:v>
      </x:c>
      <x:c r="D9" s="35" t="n">
        <x:f>'E1 Pasos'!C286</x:f>
        <x:v>0.01877068693096352</x:v>
      </x:c>
      <x:c r="E9" s="35" t="n">
        <x:f>'E1 Pasos'!C301</x:f>
        <x:v>0.17545212880431793</x:v>
      </x:c>
      <x:c r="F9" s="36" t="n">
        <x:f>MATCH(MAX('E1 Pasos'!C309:C333),'E1 Pasos'!C309:C333,0)</x:f>
        <x:v>24</x:v>
      </x:c>
      <x:c r="G9" s="35" t="n">
        <x:f>MAX('E1 Pasos'!C309:C333)</x:f>
        <x:v>0.011745744364788563</x:v>
      </x:c>
      <x:c r="H9" s="35" t="n">
        <x:f>'Datos'!K9</x:f>
        <x:v>0.13874450219912035</x:v>
      </x:c>
      <x:c r="I9" s="37" t="n">
        <x:f>'Datos'!J9</x:f>
        <x:v>694</x:v>
      </x:c>
    </x:row>
    <x:row r="10" ht="22" customHeight="1">
      <x:c r="A10" s="31" t="str">
        <x:f>'Datos'!A10</x:f>
        <x:v>A</x:v>
      </x:c>
      <x:c r="B10" s="35" t="n">
        <x:f>'E1 Pasos'!D277</x:f>
        <x:v>9.94547807356765e-12</x:v>
      </x:c>
      <x:c r="C10" s="35" t="n">
        <x:f>'E1 Pasos'!D281</x:f>
        <x:v>0.010039876931736986</x:v>
      </x:c>
      <x:c r="D10" s="35" t="n">
        <x:f>'E1 Pasos'!D286</x:f>
        <x:v>0.10170557806234265</x:v>
      </x:c>
      <x:c r="E10" s="35" t="n">
        <x:f>'E1 Pasos'!D301</x:f>
        <x:v>0.3546883910274156</x:v>
      </x:c>
      <x:c r="F10" s="36" t="n">
        <x:f>MATCH(MAX('E1 Pasos'!D309:D333),'E1 Pasos'!D309:D333,0)</x:f>
        <x:v>11</x:v>
      </x:c>
      <x:c r="G10" s="35" t="n">
        <x:f>MAX('E1 Pasos'!D309:D333)</x:f>
        <x:v>0.02231956302691318</x:v>
      </x:c>
      <x:c r="H10" s="35" t="n">
        <x:f>'Datos'!K10</x:f>
        <x:v>0.25949620151939223</x:v>
      </x:c>
      <x:c r="I10" s="37" t="n">
        <x:f>'Datos'!J10</x:f>
        <x:v>1298</x:v>
      </x:c>
    </x:row>
    <x:row r="11" ht="22" customHeight="1">
      <x:c r="A11" s="31" t="str">
        <x:f>'Datos'!A11</x:f>
        <x:v>Baa</x:v>
      </x:c>
      <x:c r="B11" s="35" t="n">
        <x:f>'E1 Pasos'!E277</x:f>
        <x:v>2.1532905563759428e-7</x:v>
      </x:c>
      <x:c r="C11" s="35" t="n">
        <x:f>'E1 Pasos'!E281</x:f>
        <x:v>0.05126157889349471</x:v>
      </x:c>
      <x:c r="D11" s="35" t="n">
        <x:f>'E1 Pasos'!E286</x:f>
        <x:v>0.2258468004323551</x:v>
      </x:c>
      <x:c r="E11" s="35" t="n">
        <x:f>'E1 Pasos'!E301</x:f>
        <x:v>0.5110404194872747</x:v>
      </x:c>
      <x:c r="F11" s="36" t="n">
        <x:f>MATCH(MAX('E1 Pasos'!E309:E333),'E1 Pasos'!E309:E333,0)</x:f>
        <x:v>8</x:v>
      </x:c>
      <x:c r="G11" s="35" t="n">
        <x:f>MAX('E1 Pasos'!E309:E333)</x:f>
        <x:v>0.03633205143255852</x:v>
      </x:c>
      <x:c r="H11" s="35" t="n">
        <x:f>'Datos'!K11</x:f>
        <x:v>0.234906037584966</x:v>
      </x:c>
      <x:c r="I11" s="37" t="n">
        <x:f>'Datos'!J11</x:f>
        <x:v>1175</x:v>
      </x:c>
    </x:row>
    <x:row r="12" ht="22" customHeight="1">
      <x:c r="A12" s="31" t="str">
        <x:f>'Datos'!A12</x:f>
        <x:v>Ba</x:v>
      </x:c>
      <x:c r="B12" s="35" t="n">
        <x:f>'E1 Pasos'!F277</x:f>
        <x:v>0.00012448745897170936</x:v>
      </x:c>
      <x:c r="C12" s="35" t="n">
        <x:f>'E1 Pasos'!F281</x:f>
        <x:v>0.20968173073144664</x:v>
      </x:c>
      <x:c r="D12" s="35" t="n">
        <x:f>'E1 Pasos'!F286</x:f>
        <x:v>0.5167919659169874</x:v>
      </x:c>
      <x:c r="E12" s="35" t="n">
        <x:f>'E1 Pasos'!F301</x:f>
        <x:v>0.7824093638377072</x:v>
      </x:c>
      <x:c r="F12" s="36" t="n">
        <x:f>MATCH(MAX('E1 Pasos'!F309:F333),'E1 Pasos'!F309:F333,0)</x:f>
        <x:v>5</x:v>
      </x:c>
      <x:c r="G12" s="35" t="n">
        <x:f>MAX('E1 Pasos'!F309:F333)</x:f>
        <x:v>0.07902705203219193</x:v>
      </x:c>
      <x:c r="H12" s="35" t="n">
        <x:f>'Datos'!K12</x:f>
        <x:v>0.11555377848860456</x:v>
      </x:c>
      <x:c r="I12" s="37" t="n">
        <x:f>'Datos'!J12</x:f>
        <x:v>578</x:v>
      </x:c>
    </x:row>
    <x:row r="13" ht="22" customHeight="1">
      <x:c r="A13" s="31" t="str">
        <x:f>'Datos'!A13</x:f>
        <x:v>B</x:v>
      </x:c>
      <x:c r="B13" s="35" t="n">
        <x:f>'E1 Pasos'!G277</x:f>
        <x:v>0.006198922845653687</x:v>
      </x:c>
      <x:c r="C13" s="35" t="n">
        <x:f>'E1 Pasos'!G281</x:f>
        <x:v>0.559988933287287</x:v>
      </x:c>
      <x:c r="D13" s="35" t="n">
        <x:f>'E1 Pasos'!G286</x:f>
        <x:v>0.7924518830525478</x:v>
      </x:c>
      <x:c r="E13" s="35" t="n">
        <x:f>'E1 Pasos'!G301</x:f>
        <x:v>0.9244638184052252</x:v>
      </x:c>
      <x:c r="F13" s="36" t="n">
        <x:f>MATCH(MAX('E1 Pasos'!G309:G333),'E1 Pasos'!G309:G333,0)</x:f>
        <x:v>2</x:v>
      </x:c>
      <x:c r="G13" s="35" t="n">
        <x:f>MAX('E1 Pasos'!G309:G333)</x:f>
        <x:v>0.18196945747876478</x:v>
      </x:c>
      <x:c r="H13" s="35" t="n">
        <x:f>'Datos'!K13</x:f>
        <x:v>0.16333466613354658</x:v>
      </x:c>
      <x:c r="I13" s="37" t="n">
        <x:f>'Datos'!J13</x:f>
        <x:v>817</x:v>
      </x:c>
    </x:row>
    <x:row r="14" ht="22" customHeight="1">
      <x:c r="A14" s="31" t="str">
        <x:f>'Datos'!A14</x:f>
        <x:v>Caa-C</x:v>
      </x:c>
      <x:c r="B14" s="35" t="n">
        <x:f>'E1 Pasos'!H277</x:f>
        <x:v>0.3552002361816082</x:v>
      </x:c>
      <x:c r="C14" s="35" t="n">
        <x:f>'E1 Pasos'!H281</x:f>
        <x:v>0.7949043829091912</x:v>
      </x:c>
      <x:c r="D14" s="35" t="n">
        <x:f>'E1 Pasos'!H286</x:f>
        <x:v>0.919851071690342</x:v>
      </x:c>
      <x:c r="E14" s="35" t="n">
        <x:f>'E1 Pasos'!H301</x:f>
        <x:v>0.9765478359212457</x:v>
      </x:c>
      <x:c r="F14" s="36" t="n">
        <x:f>MATCH(MAX('E1 Pasos'!H309:H333),'E1 Pasos'!H309:H333,0)</x:f>
        <x:v>1</x:v>
      </x:c>
      <x:c r="G14" s="35" t="n">
        <x:f>MAX('E1 Pasos'!H309:H333)</x:f>
        <x:v>0.3552002361816082</x:v>
      </x:c>
      <x:c r="H14" s="35" t="n">
        <x:f>'Datos'!K14</x:f>
        <x:v>0.060775689724110356</x:v>
      </x:c>
      <x:c r="I14" s="37" t="n">
        <x:f>'Datos'!J14</x:f>
        <x:v>304</x:v>
      </x:c>
    </x:row>
    <x:row r="15" ht="22" customHeight="1">
      <x:c r="A15" s="2"/>
      <x:c r="B15" s="2"/>
      <x:c r="C15" s="2"/>
      <x:c r="D15" s="2"/>
      <x:c r="E15" s="2"/>
      <x:c r="F15" s="2"/>
      <x:c r="G15" s="2"/>
      <x:c r="H15" s="2"/>
      <x:c r="I15" s="2"/>
    </x:row>
    <x:row r="16" ht="36" customHeight="1">
      <x:c r="A16" s="22" t="str">
        <x:v>El máximo se busca solo entre los años 1 y 25. Las probabilidades muy pequeñas pueden redondear a 0,0000%.</x:v>
      </x:c>
      <x:c r="B16" s="22" t="str">
        <x:v>El máximo se busca solo entre los años 1 y 25. Las probabilidades muy pequeñas pueden redondear a 0,0000%.</x:v>
      </x:c>
      <x:c r="C16" s="22" t="str">
        <x:v>El máximo se busca solo entre los años 1 y 25. Las probabilidades muy pequeñas pueden redondear a 0,0000%.</x:v>
      </x:c>
      <x:c r="D16" s="22" t="str">
        <x:v>El máximo se busca solo entre los años 1 y 25. Las probabilidades muy pequeñas pueden redondear a 0,0000%.</x:v>
      </x:c>
      <x:c r="E16" s="22" t="str">
        <x:v>El máximo se busca solo entre los años 1 y 25. Las probabilidades muy pequeñas pueden redondear a 0,0000%.</x:v>
      </x:c>
      <x:c r="F16" s="22" t="str">
        <x:v>El máximo se busca solo entre los años 1 y 25. Las probabilidades muy pequeñas pueden redondear a 0,0000%.</x:v>
      </x:c>
      <x:c r="G16" s="22" t="str">
        <x:v>El máximo se busca solo entre los años 1 y 25. Las probabilidades muy pequeñas pueden redondear a 0,0000%.</x:v>
      </x:c>
      <x:c r="H16" s="22" t="str">
        <x:v>El máximo se busca solo entre los años 1 y 25. Las probabilidades muy pequeñas pueden redondear a 0,0000%.</x:v>
      </x:c>
      <x:c r="I16" s="22" t="str">
        <x:v>El máximo se busca solo entre los años 1 y 25. Las probabilidades muy pequeñas pueden redondear a 0,0000%.</x:v>
      </x:c>
    </x:row>
    <x:row r="17" ht="22" customHeight="1">
      <x:c r="A17" s="2"/>
      <x:c r="B17" s="2"/>
      <x:c r="C17" s="2"/>
      <x:c r="D17" s="2"/>
      <x:c r="E17" s="2"/>
      <x:c r="F17" s="2"/>
      <x:c r="G17" s="2"/>
      <x:c r="H17" s="2"/>
      <x:c r="I17" s="2"/>
    </x:row>
    <x:row r="18" ht="27" customHeight="1">
      <x:c r="A18" s="10" t="str">
        <x:v>1.b · Defaults esperados de toda la cohorte</x:v>
      </x:c>
      <x:c r="B18" s="10" t="str">
        <x:v>1.b · Defaults esperados de toda la cohorte</x:v>
      </x:c>
      <x:c r="C18" s="10" t="str">
        <x:v>1.b · Defaults esperados de toda la cohorte</x:v>
      </x:c>
      <x:c r="D18" s="10" t="str">
        <x:v>1.b · Defaults esperados de toda la cohorte</x:v>
      </x:c>
      <x:c r="E18" s="10" t="str">
        <x:v>1.b · Defaults esperados de toda la cohorte</x:v>
      </x:c>
      <x:c r="F18" s="10" t="str">
        <x:v>1.b · Defaults esperados de toda la cohorte</x:v>
      </x:c>
      <x:c r="G18" s="10" t="str">
        <x:v>1.b · Defaults esperados de toda la cohorte</x:v>
      </x:c>
      <x:c r="H18" s="10" t="str">
        <x:v>1.b · Defaults esperados de toda la cohorte</x:v>
      </x:c>
      <x:c r="I18" s="10" t="str">
        <x:v>1.b · Defaults esperados de toda la cohorte</x:v>
      </x:c>
    </x:row>
    <x:row r="19" ht="36" customHeight="1">
      <x:c r="A19" s="13" t="str">
        <x:v>Año</x:v>
      </x:c>
      <x:c r="B19" s="13" t="str">
        <x:v>PD ese año</x:v>
      </x:c>
      <x:c r="C19" s="13" t="str">
        <x:v>PD acumulada</x:v>
      </x:c>
      <x:c r="D19" s="13" t="str">
        <x:v>Defaults año</x:v>
      </x:c>
      <x:c r="E19" s="13" t="str">
        <x:v>Defaults acum.</x:v>
      </x:c>
      <x:c r="F19" s="13" t="str">
        <x:v>Supervivientes</x:v>
      </x:c>
      <x:c r="G19" s="2"/>
      <x:c r="H19" s="2"/>
      <x:c r="I19" s="2"/>
    </x:row>
    <x:row r="20" ht="22" customHeight="1">
      <x:c r="A20" s="2" t="n">
        <x:v>1</x:v>
      </x:c>
      <x:c r="B20" s="35" t="n">
        <x:f>'Datos'!K8*'E1 Pasos'!B309+'Datos'!K9*'E1 Pasos'!C309+'Datos'!K10*'E1 Pasos'!D309+'Datos'!K11*'E1 Pasos'!E309+'Datos'!K12*'E1 Pasos'!F309+'Datos'!K13*'E1 Pasos'!G309+'Datos'!K14*'E1 Pasos'!H309</x:f>
        <x:v>0.022614473918421304</x:v>
      </x:c>
      <x:c r="C20" s="34" t="n">
        <x:f>SUM(B$20:B20)</x:f>
        <x:v>0.022614473918421304</x:v>
      </x:c>
      <x:c r="D20" s="38" t="n">
        <x:f>B20*'Datos'!$J$16</x:f>
        <x:v>113.11759853994336</x:v>
      </x:c>
      <x:c r="E20" s="38" t="n">
        <x:f>C20*'Datos'!$J$16</x:f>
        <x:v>113.11759853994336</x:v>
      </x:c>
      <x:c r="F20" s="38" t="n">
        <x:f>'Datos'!$J$16-E20</x:f>
        <x:v>4888.882401460057</x:v>
      </x:c>
      <x:c r="G20" s="13" t="str">
        <x:v>PD acumulada a 25 años</x:v>
      </x:c>
      <x:c r="H20" s="13" t="str">
        <x:v>PD acumulada a 25 años</x:v>
      </x:c>
      <x:c r="I20" s="13" t="str">
        <x:v>PD acumulada a 25 años</x:v>
      </x:c>
    </x:row>
    <x:row r="21" ht="22" customHeight="1">
      <x:c r="A21" s="2" t="n">
        <x:v>2</x:v>
      </x:c>
      <x:c r="B21" s="35" t="n">
        <x:f>'Datos'!K8*'E1 Pasos'!B310+'Datos'!K9*'E1 Pasos'!C310+'Datos'!K10*'E1 Pasos'!D310+'Datos'!K11*'E1 Pasos'!E310+'Datos'!K12*'E1 Pasos'!F310+'Datos'!K13*'E1 Pasos'!G310+'Datos'!K14*'E1 Pasos'!H310</x:f>
        <x:v>0.04171139425043727</x:v>
      </x:c>
      <x:c r="C21" s="34" t="n">
        <x:f>SUM(B$20:B21)</x:f>
        <x:v>0.06432586816885857</x:v>
      </x:c>
      <x:c r="D21" s="38" t="n">
        <x:f>B21*'Datos'!$J$16</x:f>
        <x:v>208.6403940406872</x:v>
      </x:c>
      <x:c r="E21" s="38" t="n">
        <x:f>C21*'Datos'!$J$16</x:f>
        <x:v>321.75799258063057</x:v>
      </x:c>
      <x:c r="F21" s="38" t="n">
        <x:f>'Datos'!$J$16-E21</x:f>
        <x:v>4680.24200741937</x:v>
      </x:c>
      <x:c r="G21" s="13" t="str">
        <x:v>PD acumulada a 25 años</x:v>
      </x:c>
      <x:c r="H21" s="13" t="str">
        <x:v>PD acumulada a 25 años</x:v>
      </x:c>
      <x:c r="I21" s="13" t="str">
        <x:v>PD acumulada a 25 años</x:v>
      </x:c>
    </x:row>
    <x:row r="22" ht="22" customHeight="1">
      <x:c r="A22" s="2" t="n">
        <x:v>3</x:v>
      </x:c>
      <x:c r="B22" s="35" t="n">
        <x:f>'Datos'!K8*'E1 Pasos'!B311+'Datos'!K9*'E1 Pasos'!C311+'Datos'!K10*'E1 Pasos'!D311+'Datos'!K11*'E1 Pasos'!E311+'Datos'!K12*'E1 Pasos'!F311+'Datos'!K13*'E1 Pasos'!G311+'Datos'!K14*'E1 Pasos'!H311</x:f>
        <x:v>0.040324730678302306</x:v>
      </x:c>
      <x:c r="C22" s="34" t="n">
        <x:f>SUM(B$20:B22)</x:f>
        <x:v>0.10465059884716088</x:v>
      </x:c>
      <x:c r="D22" s="38" t="n">
        <x:f>B22*'Datos'!$J$16</x:f>
        <x:v>201.70430285286812</x:v>
      </x:c>
      <x:c r="E22" s="38" t="n">
        <x:f>C22*'Datos'!$J$16</x:f>
        <x:v>523.4622954334988</x:v>
      </x:c>
      <x:c r="F22" s="38" t="n">
        <x:f>'Datos'!$J$16-E22</x:f>
        <x:v>4478.537704566501</x:v>
      </x:c>
      <x:c r="G22" s="13" t="str">
        <x:v>PD acumulada a 25 años</x:v>
      </x:c>
      <x:c r="H22" s="13" t="str">
        <x:v>PD acumulada a 25 años</x:v>
      </x:c>
      <x:c r="I22" s="13" t="str">
        <x:v>PD acumulada a 25 años</x:v>
      </x:c>
    </x:row>
    <x:row r="23" ht="22" customHeight="1">
      <x:c r="A23" s="2" t="n">
        <x:v>4</x:v>
      </x:c>
      <x:c r="B23" s="35" t="n">
        <x:f>'Datos'!K8*'E1 Pasos'!B312+'Datos'!K9*'E1 Pasos'!C312+'Datos'!K10*'E1 Pasos'!D312+'Datos'!K11*'E1 Pasos'!E312+'Datos'!K12*'E1 Pasos'!F312+'Datos'!K13*'E1 Pasos'!G312+'Datos'!K14*'E1 Pasos'!H312</x:f>
        <x:v>0.03806425173185375</x:v>
      </x:c>
      <x:c r="C23" s="34" t="n">
        <x:f>SUM(B$20:B23)</x:f>
        <x:v>0.14271485057901462</x:v>
      </x:c>
      <x:c r="D23" s="38" t="n">
        <x:f>B23*'Datos'!$J$16</x:f>
        <x:v>190.39738716273246</x:v>
      </x:c>
      <x:c r="E23" s="38" t="n">
        <x:f>C23*'Datos'!$J$16</x:f>
        <x:v>713.8596825962311</x:v>
      </x:c>
      <x:c r="F23" s="38" t="n">
        <x:f>'Datos'!$J$16-E23</x:f>
        <x:v>4288.140317403769</x:v>
      </x:c>
      <x:c r="G23" s="13" t="str">
        <x:v>PD acumulada a 25 años</x:v>
      </x:c>
      <x:c r="H23" s="13" t="str">
        <x:v>PD acumulada a 25 años</x:v>
      </x:c>
      <x:c r="I23" s="13" t="str">
        <x:v>PD acumulada a 25 años</x:v>
      </x:c>
    </x:row>
    <x:row r="24" ht="22" customHeight="1">
      <x:c r="A24" s="2" t="n">
        <x:v>5</x:v>
      </x:c>
      <x:c r="B24" s="35" t="n">
        <x:f>'Datos'!K8*'E1 Pasos'!B313+'Datos'!K9*'E1 Pasos'!C313+'Datos'!K10*'E1 Pasos'!D313+'Datos'!K11*'E1 Pasos'!E313+'Datos'!K12*'E1 Pasos'!F313+'Datos'!K13*'E1 Pasos'!G313+'Datos'!K14*'E1 Pasos'!H313</x:f>
        <x:v>0.036034196512482054</x:v>
      </x:c>
      <x:c r="C24" s="34" t="n">
        <x:f>SUM(B$20:B24)</x:f>
        <x:v>0.17874904709149667</x:v>
      </x:c>
      <x:c r="D24" s="38" t="n">
        <x:f>B24*'Datos'!$J$16</x:f>
        <x:v>180.24305095543522</x:v>
      </x:c>
      <x:c r="E24" s="38" t="n">
        <x:f>C24*'Datos'!$J$16</x:f>
        <x:v>894.1027335516663</x:v>
      </x:c>
      <x:c r="F24" s="38" t="n">
        <x:f>'Datos'!$J$16-E24</x:f>
        <x:v>4107.8972664483335</x:v>
      </x:c>
      <x:c r="G24" s="40" t="n">
        <x:f>C44</x:f>
        <x:v>0.541342047832622</x:v>
      </x:c>
      <x:c r="H24" s="41"/>
      <x:c r="I24" s="41"/>
    </x:row>
    <x:row r="25" ht="22" customHeight="1">
      <x:c r="A25" s="2" t="n">
        <x:v>6</x:v>
      </x:c>
      <x:c r="B25" s="35" t="n">
        <x:f>'Datos'!K8*'E1 Pasos'!B314+'Datos'!K9*'E1 Pasos'!C314+'Datos'!K10*'E1 Pasos'!D314+'Datos'!K11*'E1 Pasos'!E314+'Datos'!K12*'E1 Pasos'!F314+'Datos'!K13*'E1 Pasos'!G314+'Datos'!K14*'E1 Pasos'!H314</x:f>
        <x:v>0.03401866602473642</x:v>
      </x:c>
      <x:c r="C25" s="34" t="n">
        <x:f>SUM(B$20:B25)</x:f>
        <x:v>0.21276771311623308</x:v>
      </x:c>
      <x:c r="D25" s="38" t="n">
        <x:f>B25*'Datos'!$J$16</x:f>
        <x:v>170.16136745573155</x:v>
      </x:c>
      <x:c r="E25" s="38" t="n">
        <x:f>C25*'Datos'!$J$16</x:f>
        <x:v>1064.2641010073978</x:v>
      </x:c>
      <x:c r="F25" s="38" t="n">
        <x:f>'Datos'!$J$16-E25</x:f>
        <x:v>3937.7358989926024</x:v>
      </x:c>
      <x:c r="G25" s="41"/>
      <x:c r="H25" s="41"/>
      <x:c r="I25" s="41"/>
    </x:row>
    <x:row r="26" ht="22" customHeight="1">
      <x:c r="A26" s="2" t="n">
        <x:v>7</x:v>
      </x:c>
      <x:c r="B26" s="35" t="n">
        <x:f>'Datos'!K8*'E1 Pasos'!B315+'Datos'!K9*'E1 Pasos'!C315+'Datos'!K10*'E1 Pasos'!D315+'Datos'!K11*'E1 Pasos'!E315+'Datos'!K12*'E1 Pasos'!F315+'Datos'!K13*'E1 Pasos'!G315+'Datos'!K14*'E1 Pasos'!H315</x:f>
        <x:v>0.031917167676219375</x:v>
      </x:c>
      <x:c r="C26" s="34" t="n">
        <x:f>SUM(B$20:B26)</x:f>
        <x:v>0.24468488079245246</x:v>
      </x:c>
      <x:c r="D26" s="38" t="n">
        <x:f>B26*'Datos'!$J$16</x:f>
        <x:v>159.64967271644932</x:v>
      </x:c>
      <x:c r="E26" s="38" t="n">
        <x:f>C26*'Datos'!$J$16</x:f>
        <x:v>1223.9137737238473</x:v>
      </x:c>
      <x:c r="F26" s="38" t="n">
        <x:f>'Datos'!$J$16-E26</x:f>
        <x:v>3778.086226276153</x:v>
      </x:c>
      <x:c r="G26" s="41"/>
      <x:c r="H26" s="41"/>
      <x:c r="I26" s="41"/>
    </x:row>
    <x:row r="27" ht="22" customHeight="1">
      <x:c r="A27" s="2" t="n">
        <x:v>8</x:v>
      </x:c>
      <x:c r="B27" s="35" t="n">
        <x:f>'Datos'!K8*'E1 Pasos'!B316+'Datos'!K9*'E1 Pasos'!C316+'Datos'!K10*'E1 Pasos'!D316+'Datos'!K11*'E1 Pasos'!E316+'Datos'!K12*'E1 Pasos'!F316+'Datos'!K13*'E1 Pasos'!G316+'Datos'!K14*'E1 Pasos'!H316</x:f>
        <x:v>0.029743458759890904</x:v>
      </x:c>
      <x:c r="C27" s="34" t="n">
        <x:f>SUM(B$20:B27)</x:f>
        <x:v>0.27442833955234336</x:v>
      </x:c>
      <x:c r="D27" s="38" t="n">
        <x:f>B27*'Datos'!$J$16</x:f>
        <x:v>148.77678071697432</x:v>
      </x:c>
      <x:c r="E27" s="38" t="n">
        <x:f>C27*'Datos'!$J$16</x:f>
        <x:v>1372.6905544408214</x:v>
      </x:c>
      <x:c r="F27" s="38" t="n">
        <x:f>'Datos'!$J$16-E27</x:f>
        <x:v>3629.3094455591786</x:v>
      </x:c>
      <x:c r="G27" s="2"/>
      <x:c r="H27" s="2"/>
      <x:c r="I27" s="2"/>
    </x:row>
    <x:row r="28" ht="22" customHeight="1">
      <x:c r="A28" s="2" t="n">
        <x:v>9</x:v>
      </x:c>
      <x:c r="B28" s="35" t="n">
        <x:f>'Datos'!K8*'E1 Pasos'!B317+'Datos'!K9*'E1 Pasos'!C317+'Datos'!K10*'E1 Pasos'!D317+'Datos'!K11*'E1 Pasos'!E317+'Datos'!K12*'E1 Pasos'!F317+'Datos'!K13*'E1 Pasos'!G317+'Datos'!K14*'E1 Pasos'!H317</x:f>
        <x:v>0.02755440978028353</x:v>
      </x:c>
      <x:c r="C28" s="34" t="n">
        <x:f>SUM(B$20:B28)</x:f>
        <x:v>0.30198274933262687</x:v>
      </x:c>
      <x:c r="D28" s="38" t="n">
        <x:f>B28*'Datos'!$J$16</x:f>
        <x:v>137.82715772097822</x:v>
      </x:c>
      <x:c r="E28" s="38" t="n">
        <x:f>C28*'Datos'!$J$16</x:f>
        <x:v>1510.5177121617996</x:v>
      </x:c>
      <x:c r="F28" s="38" t="n">
        <x:f>'Datos'!$J$16-E28</x:f>
        <x:v>3491.4822878382</x:v>
      </x:c>
      <x:c r="G28" s="2"/>
      <x:c r="H28" s="2"/>
      <x:c r="I28" s="2"/>
    </x:row>
    <x:row r="29" ht="22" customHeight="1">
      <x:c r="A29" s="2" t="n">
        <x:v>10</x:v>
      </x:c>
      <x:c r="B29" s="35" t="n">
        <x:f>'Datos'!K8*'E1 Pasos'!B318+'Datos'!K9*'E1 Pasos'!C318+'Datos'!K10*'E1 Pasos'!D318+'Datos'!K11*'E1 Pasos'!E318+'Datos'!K12*'E1 Pasos'!F318+'Datos'!K13*'E1 Pasos'!G318+'Datos'!K14*'E1 Pasos'!H318</x:f>
        <x:v>0.025411291609222543</x:v>
      </x:c>
      <x:c r="C29" s="34" t="n">
        <x:f>SUM(B$20:B29)</x:f>
        <x:v>0.32739404094184943</x:v>
      </x:c>
      <x:c r="D29" s="38" t="n">
        <x:f>B29*'Datos'!$J$16</x:f>
        <x:v>127.10728062933116</x:v>
      </x:c>
      <x:c r="E29" s="38" t="n">
        <x:f>C29*'Datos'!$J$16</x:f>
        <x:v>1637.6249927911308</x:v>
      </x:c>
      <x:c r="F29" s="38" t="n">
        <x:f>'Datos'!$J$16-E29</x:f>
        <x:v>3364.375007208869</x:v>
      </x:c>
      <x:c r="G29" s="13" t="str">
        <x:v>Compañías esperadas en default</x:v>
      </x:c>
      <x:c r="H29" s="13" t="str">
        <x:v>Compañías esperadas en default</x:v>
      </x:c>
      <x:c r="I29" s="13" t="str">
        <x:v>Compañías esperadas en default</x:v>
      </x:c>
    </x:row>
    <x:row r="30" ht="22" customHeight="1">
      <x:c r="A30" s="2" t="n">
        <x:v>11</x:v>
      </x:c>
      <x:c r="B30" s="35" t="n">
        <x:f>'Datos'!K8*'E1 Pasos'!B319+'Datos'!K9*'E1 Pasos'!C319+'Datos'!K10*'E1 Pasos'!D319+'Datos'!K11*'E1 Pasos'!E319+'Datos'!K12*'E1 Pasos'!F319+'Datos'!K13*'E1 Pasos'!G319+'Datos'!K14*'E1 Pasos'!H319</x:f>
        <x:v>0.023364085477193874</x:v>
      </x:c>
      <x:c r="C30" s="34" t="n">
        <x:f>SUM(B$20:B30)</x:f>
        <x:v>0.3507581264190433</x:v>
      </x:c>
      <x:c r="D30" s="38" t="n">
        <x:f>B30*'Datos'!$J$16</x:f>
        <x:v>116.86715555692376</x:v>
      </x:c>
      <x:c r="E30" s="38" t="n">
        <x:f>C30*'Datos'!$J$16</x:f>
        <x:v>1754.4921483480546</x:v>
      </x:c>
      <x:c r="F30" s="38" t="n">
        <x:f>'Datos'!$J$16-E30</x:f>
        <x:v>3247.507851651945</x:v>
      </x:c>
      <x:c r="G30" s="13" t="str">
        <x:v>Compañías esperadas en default</x:v>
      </x:c>
      <x:c r="H30" s="13" t="str">
        <x:v>Compañías esperadas en default</x:v>
      </x:c>
      <x:c r="I30" s="13" t="str">
        <x:v>Compañías esperadas en default</x:v>
      </x:c>
    </x:row>
    <x:row r="31" ht="22" customHeight="1">
      <x:c r="A31" s="2" t="n">
        <x:v>12</x:v>
      </x:c>
      <x:c r="B31" s="35" t="n">
        <x:f>'Datos'!K8*'E1 Pasos'!B320+'Datos'!K9*'E1 Pasos'!C320+'Datos'!K10*'E1 Pasos'!D320+'Datos'!K11*'E1 Pasos'!E320+'Datos'!K12*'E1 Pasos'!F320+'Datos'!K13*'E1 Pasos'!G320+'Datos'!K14*'E1 Pasos'!H320</x:f>
        <x:v>0.02144737158709186</x:v>
      </x:c>
      <x:c r="C31" s="34" t="n">
        <x:f>SUM(B$20:B31)</x:f>
        <x:v>0.37220549800613517</x:v>
      </x:c>
      <x:c r="D31" s="38" t="n">
        <x:f>B31*'Datos'!$J$16</x:f>
        <x:v>107.27975267863349</x:v>
      </x:c>
      <x:c r="E31" s="38" t="n">
        <x:f>C31*'Datos'!$J$16</x:f>
        <x:v>1861.771901026688</x:v>
      </x:c>
      <x:c r="F31" s="38" t="n">
        <x:f>'Datos'!$J$16-E31</x:f>
        <x:v>3140.2280989733117</x:v>
      </x:c>
      <x:c r="G31" s="13" t="str">
        <x:v>Compañías esperadas en default</x:v>
      </x:c>
      <x:c r="H31" s="13" t="str">
        <x:v>Compañías esperadas en default</x:v>
      </x:c>
      <x:c r="I31" s="13" t="str">
        <x:v>Compañías esperadas en default</x:v>
      </x:c>
    </x:row>
    <x:row r="32" ht="22" customHeight="1">
      <x:c r="A32" s="2" t="n">
        <x:v>13</x:v>
      </x:c>
      <x:c r="B32" s="35" t="n">
        <x:f>'Datos'!K8*'E1 Pasos'!B321+'Datos'!K9*'E1 Pasos'!C321+'Datos'!K10*'E1 Pasos'!D321+'Datos'!K11*'E1 Pasos'!E321+'Datos'!K12*'E1 Pasos'!F321+'Datos'!K13*'E1 Pasos'!G321+'Datos'!K14*'E1 Pasos'!H321</x:f>
        <x:v>0.019681293891430283</x:v>
      </x:c>
      <x:c r="C32" s="34" t="n">
        <x:f>SUM(B$20:B32)</x:f>
        <x:v>0.3918867918975655</x:v>
      </x:c>
      <x:c r="D32" s="38" t="n">
        <x:f>B32*'Datos'!$J$16</x:f>
        <x:v>98.44583204493428</x:v>
      </x:c>
      <x:c r="E32" s="38" t="n">
        <x:f>C32*'Datos'!$J$16</x:f>
        <x:v>1960.2177330716224</x:v>
      </x:c>
      <x:c r="F32" s="38" t="n">
        <x:f>'Datos'!$J$16-E32</x:f>
        <x:v>3041.782266928378</x:v>
      </x:c>
      <x:c r="G32" s="13" t="str">
        <x:v>Compañías esperadas en default</x:v>
      </x:c>
      <x:c r="H32" s="13" t="str">
        <x:v>Compañías esperadas en default</x:v>
      </x:c>
      <x:c r="I32" s="13" t="str">
        <x:v>Compañías esperadas en default</x:v>
      </x:c>
    </x:row>
    <x:row r="33" ht="22" customHeight="1">
      <x:c r="A33" s="2" t="n">
        <x:v>14</x:v>
      </x:c>
      <x:c r="B33" s="35" t="n">
        <x:f>'Datos'!K8*'E1 Pasos'!B322+'Datos'!K9*'E1 Pasos'!C322+'Datos'!K10*'E1 Pasos'!D322+'Datos'!K11*'E1 Pasos'!E322+'Datos'!K12*'E1 Pasos'!F322+'Datos'!K13*'E1 Pasos'!G322+'Datos'!K14*'E1 Pasos'!H322</x:f>
        <x:v>0.01807433704597173</x:v>
      </x:c>
      <x:c r="C33" s="34" t="n">
        <x:f>SUM(B$20:B33)</x:f>
        <x:v>0.4099611289435372</x:v>
      </x:c>
      <x:c r="D33" s="38" t="n">
        <x:f>B33*'Datos'!$J$16</x:f>
        <x:v>90.40783390395059</x:v>
      </x:c>
      <x:c r="E33" s="38" t="n">
        <x:f>C33*'Datos'!$J$16</x:f>
        <x:v>2050.6255669755733</x:v>
      </x:c>
      <x:c r="F33" s="38" t="n">
        <x:f>'Datos'!$J$16-E33</x:f>
        <x:v>2951.3744330244267</x:v>
      </x:c>
      <x:c r="G33" s="44" t="n">
        <x:f>E44</x:f>
        <x:v>2707.792923258775</x:v>
      </x:c>
      <x:c r="H33" s="41"/>
      <x:c r="I33" s="41"/>
    </x:row>
    <x:row r="34" ht="22" customHeight="1">
      <x:c r="A34" s="2" t="n">
        <x:v>15</x:v>
      </x:c>
      <x:c r="B34" s="35" t="n">
        <x:f>'Datos'!K8*'E1 Pasos'!B323+'Datos'!K9*'E1 Pasos'!C323+'Datos'!K10*'E1 Pasos'!D323+'Datos'!K11*'E1 Pasos'!E323+'Datos'!K12*'E1 Pasos'!F323+'Datos'!K13*'E1 Pasos'!G323+'Datos'!K14*'E1 Pasos'!H323</x:f>
        <x:v>0.016626395516823298</x:v>
      </x:c>
      <x:c r="C34" s="34" t="n">
        <x:f>SUM(B$20:B34)</x:f>
        <x:v>0.4265875244603605</x:v>
      </x:c>
      <x:c r="D34" s="38" t="n">
        <x:f>B34*'Datos'!$J$16</x:f>
        <x:v>83.16523037515013</x:v>
      </x:c>
      <x:c r="E34" s="38" t="n">
        <x:f>C34*'Datos'!$J$16</x:f>
        <x:v>2133.7907973507236</x:v>
      </x:c>
      <x:c r="F34" s="38" t="n">
        <x:f>'Datos'!$J$16-E34</x:f>
        <x:v>2868.2092026492764</x:v>
      </x:c>
      <x:c r="G34" s="41"/>
      <x:c r="H34" s="41"/>
      <x:c r="I34" s="41"/>
    </x:row>
    <x:row r="35" ht="22" customHeight="1">
      <x:c r="A35" s="2" t="n">
        <x:v>16</x:v>
      </x:c>
      <x:c r="B35" s="35" t="n">
        <x:f>'Datos'!K8*'E1 Pasos'!B324+'Datos'!K9*'E1 Pasos'!C324+'Datos'!K10*'E1 Pasos'!D324+'Datos'!K11*'E1 Pasos'!E324+'Datos'!K12*'E1 Pasos'!F324+'Datos'!K13*'E1 Pasos'!G324+'Datos'!K14*'E1 Pasos'!H324</x:f>
        <x:v>0.01533150276344296</x:v>
      </x:c>
      <x:c r="C35" s="34" t="n">
        <x:f>SUM(B$20:B35)</x:f>
        <x:v>0.4419190272238035</x:v>
      </x:c>
      <x:c r="D35" s="38" t="n">
        <x:f>B35*'Datos'!$J$16</x:f>
        <x:v>76.68817682274168</x:v>
      </x:c>
      <x:c r="E35" s="38" t="n">
        <x:f>C35*'Datos'!$J$16</x:f>
        <x:v>2210.4789741734653</x:v>
      </x:c>
      <x:c r="F35" s="38" t="n">
        <x:f>'Datos'!$J$16-E35</x:f>
        <x:v>2791.5210258265347</x:v>
      </x:c>
      <x:c r="G35" s="41"/>
      <x:c r="H35" s="41"/>
      <x:c r="I35" s="41"/>
    </x:row>
    <x:row r="36" ht="22" customHeight="1">
      <x:c r="A36" s="2" t="n">
        <x:v>17</x:v>
      </x:c>
      <x:c r="B36" s="35" t="n">
        <x:f>'Datos'!K8*'E1 Pasos'!B325+'Datos'!K9*'E1 Pasos'!C325+'Datos'!K10*'E1 Pasos'!D325+'Datos'!K11*'E1 Pasos'!E325+'Datos'!K12*'E1 Pasos'!F325+'Datos'!K13*'E1 Pasos'!G325+'Datos'!K14*'E1 Pasos'!H325</x:f>
        <x:v>0.014180020533979687</x:v>
      </x:c>
      <x:c r="C36" s="34" t="n">
        <x:f>SUM(B$20:B36)</x:f>
        <x:v>0.4560990477577832</x:v>
      </x:c>
      <x:c r="D36" s="38" t="n">
        <x:f>B36*'Datos'!$J$16</x:f>
        <x:v>70.92846271096639</x:v>
      </x:c>
      <x:c r="E36" s="38" t="n">
        <x:f>C36*'Datos'!$J$16</x:f>
        <x:v>2281.4074368844317</x:v>
      </x:c>
      <x:c r="F36" s="38" t="n">
        <x:f>'Datos'!$J$16-E36</x:f>
        <x:v>2720.5925631155683</x:v>
      </x:c>
      <x:c r="G36" s="2"/>
      <x:c r="H36" s="2"/>
      <x:c r="I36" s="2"/>
    </x:row>
    <x:row r="37" ht="22" customHeight="1">
      <x:c r="A37" s="2" t="n">
        <x:v>18</x:v>
      </x:c>
      <x:c r="B37" s="35" t="n">
        <x:f>'Datos'!K8*'E1 Pasos'!B326+'Datos'!K9*'E1 Pasos'!C326+'Datos'!K10*'E1 Pasos'!D326+'Datos'!K11*'E1 Pasos'!E326+'Datos'!K12*'E1 Pasos'!F326+'Datos'!K13*'E1 Pasos'!G326+'Datos'!K14*'E1 Pasos'!H326</x:f>
        <x:v>0.013160284611519066</x:v>
      </x:c>
      <x:c r="C37" s="34" t="n">
        <x:f>SUM(B$20:B37)</x:f>
        <x:v>0.4692593323693023</x:v>
      </x:c>
      <x:c r="D37" s="38" t="n">
        <x:f>B37*'Datos'!$J$16</x:f>
        <x:v>65.82774362681836</x:v>
      </x:c>
      <x:c r="E37" s="38" t="n">
        <x:f>C37*'Datos'!$J$16</x:f>
        <x:v>2347.23518051125</x:v>
      </x:c>
      <x:c r="F37" s="38" t="n">
        <x:f>'Datos'!$J$16-E37</x:f>
        <x:v>2654.76481948875</x:v>
      </x:c>
      <x:c r="G37" s="2"/>
      <x:c r="H37" s="2"/>
      <x:c r="I37" s="2"/>
    </x:row>
    <x:row r="38" ht="22" customHeight="1">
      <x:c r="A38" s="2" t="n">
        <x:v>19</x:v>
      </x:c>
      <x:c r="B38" s="35" t="n">
        <x:f>'Datos'!K8*'E1 Pasos'!B327+'Datos'!K9*'E1 Pasos'!C327+'Datos'!K10*'E1 Pasos'!D327+'Datos'!K11*'E1 Pasos'!E327+'Datos'!K12*'E1 Pasos'!F327+'Datos'!K13*'E1 Pasos'!G327+'Datos'!K14*'E1 Pasos'!H327</x:f>
        <x:v>0.012259781158198414</x:v>
      </x:c>
      <x:c r="C38" s="34" t="n">
        <x:f>SUM(B$20:B38)</x:f>
        <x:v>0.4815191135275007</x:v>
      </x:c>
      <x:c r="D38" s="38" t="n">
        <x:f>B38*'Datos'!$J$16</x:f>
        <x:v>61.323425353308465</x:v>
      </x:c>
      <x:c r="E38" s="38" t="n">
        <x:f>C38*'Datos'!$J$16</x:f>
        <x:v>2408.5586058645586</x:v>
      </x:c>
      <x:c r="F38" s="38" t="n">
        <x:f>'Datos'!$J$16-E38</x:f>
        <x:v>2593.4413941354414</x:v>
      </x:c>
      <x:c r="G38" s="2"/>
      <x:c r="H38" s="2"/>
      <x:c r="I38" s="2"/>
    </x:row>
    <x:row r="39" ht="22" customHeight="1">
      <x:c r="A39" s="2" t="n">
        <x:v>20</x:v>
      </x:c>
      <x:c r="B39" s="35" t="n">
        <x:f>'Datos'!K8*'E1 Pasos'!B328+'Datos'!K9*'E1 Pasos'!C328+'Datos'!K10*'E1 Pasos'!D328+'Datos'!K11*'E1 Pasos'!E328+'Datos'!K12*'E1 Pasos'!F328+'Datos'!K13*'E1 Pasos'!G328+'Datos'!K14*'E1 Pasos'!H328</x:f>
        <x:v>0.011465948667102868</x:v>
      </x:c>
      <x:c r="C39" s="34" t="n">
        <x:f>SUM(B$20:B39)</x:f>
        <x:v>0.4929850621946036</x:v>
      </x:c>
      <x:c r="D39" s="38" t="n">
        <x:f>B39*'Datos'!$J$16</x:f>
        <x:v>57.35267523284855</x:v>
      </x:c>
      <x:c r="E39" s="38" t="n">
        <x:f>C39*'Datos'!$J$16</x:f>
        <x:v>2465.911281097407</x:v>
      </x:c>
      <x:c r="F39" s="38" t="n">
        <x:f>'Datos'!$J$16-E39</x:f>
        <x:v>2536.088718902593</x:v>
      </x:c>
      <x:c r="G39" s="2"/>
      <x:c r="H39" s="2"/>
      <x:c r="I39" s="2"/>
    </x:row>
    <x:row r="40" ht="22" customHeight="1">
      <x:c r="A40" s="2" t="n">
        <x:v>21</x:v>
      </x:c>
      <x:c r="B40" s="35" t="n">
        <x:f>'Datos'!K8*'E1 Pasos'!B329+'Datos'!K9*'E1 Pasos'!C329+'Datos'!K10*'E1 Pasos'!D329+'Datos'!K11*'E1 Pasos'!E329+'Datos'!K12*'E1 Pasos'!F329+'Datos'!K13*'E1 Pasos'!G329+'Datos'!K14*'E1 Pasos'!H329</x:f>
        <x:v>0.010766696116890467</x:v>
      </x:c>
      <x:c r="C40" s="34" t="n">
        <x:f>SUM(B$20:B40)</x:f>
        <x:v>0.5037517583114941</x:v>
      </x:c>
      <x:c r="D40" s="38" t="n">
        <x:f>B40*'Datos'!$J$16</x:f>
        <x:v>53.85501397668612</x:v>
      </x:c>
      <x:c r="E40" s="38" t="n">
        <x:f>C40*'Datos'!$J$16</x:f>
        <x:v>2519.7662950740937</x:v>
      </x:c>
      <x:c r="F40" s="38" t="n">
        <x:f>'Datos'!$J$16-E40</x:f>
        <x:v>2482.2337049259063</x:v>
      </x:c>
      <x:c r="G40" s="2"/>
      <x:c r="H40" s="2"/>
      <x:c r="I40" s="2"/>
    </x:row>
    <x:row r="41" ht="22" customHeight="1">
      <x:c r="A41" s="2" t="n">
        <x:v>22</x:v>
      </x:c>
      <x:c r="B41" s="35" t="n">
        <x:f>'Datos'!K8*'E1 Pasos'!B330+'Datos'!K9*'E1 Pasos'!C330+'Datos'!K10*'E1 Pasos'!D330+'Datos'!K11*'E1 Pasos'!E330+'Datos'!K12*'E1 Pasos'!F330+'Datos'!K13*'E1 Pasos'!G330+'Datos'!K14*'E1 Pasos'!H330</x:f>
        <x:v>0.01015071404058817</x:v>
      </x:c>
      <x:c r="C41" s="34" t="n">
        <x:f>SUM(B$20:B41)</x:f>
        <x:v>0.5139024723520823</x:v>
      </x:c>
      <x:c r="D41" s="38" t="n">
        <x:f>B41*'Datos'!$J$16</x:f>
        <x:v>50.773871631022025</x:v>
      </x:c>
      <x:c r="E41" s="38" t="n">
        <x:f>C41*'Datos'!$J$16</x:f>
        <x:v>2570.5401667051156</x:v>
      </x:c>
      <x:c r="F41" s="38" t="n">
        <x:f>'Datos'!$J$16-E41</x:f>
        <x:v>2431.4598332948844</x:v>
      </x:c>
      <x:c r="G41" s="2"/>
      <x:c r="H41" s="2"/>
      <x:c r="I41" s="2"/>
    </x:row>
    <x:row r="42" ht="22" customHeight="1">
      <x:c r="A42" s="2" t="n">
        <x:v>23</x:v>
      </x:c>
      <x:c r="B42" s="35" t="n">
        <x:f>'Datos'!K8*'E1 Pasos'!B331+'Datos'!K9*'E1 Pasos'!C331+'Datos'!K10*'E1 Pasos'!D331+'Datos'!K11*'E1 Pasos'!E331+'Datos'!K12*'E1 Pasos'!F331+'Datos'!K13*'E1 Pasos'!G331+'Datos'!K14*'E1 Pasos'!H331</x:f>
        <x:v>0.009607639372171411</x:v>
      </x:c>
      <x:c r="C42" s="34" t="n">
        <x:f>SUM(B$20:B42)</x:f>
        <x:v>0.5235101117242538</x:v>
      </x:c>
      <x:c r="D42" s="38" t="n">
        <x:f>B42*'Datos'!$J$16</x:f>
        <x:v>48.0574121396014</x:v>
      </x:c>
      <x:c r="E42" s="38" t="n">
        <x:f>C42*'Datos'!$J$16</x:f>
        <x:v>2618.597578844717</x:v>
      </x:c>
      <x:c r="F42" s="38" t="n">
        <x:f>'Datos'!$J$16-E42</x:f>
        <x:v>2383.402421155283</x:v>
      </x:c>
      <x:c r="G42" s="2"/>
      <x:c r="H42" s="2"/>
      <x:c r="I42" s="2"/>
    </x:row>
    <x:row r="43" ht="22" customHeight="1">
      <x:c r="A43" s="2" t="n">
        <x:v>24</x:v>
      </x:c>
      <x:c r="B43" s="35" t="n">
        <x:f>'Datos'!K8*'E1 Pasos'!B332+'Datos'!K9*'E1 Pasos'!C332+'Datos'!K10*'E1 Pasos'!D332+'Datos'!K11*'E1 Pasos'!E332+'Datos'!K12*'E1 Pasos'!F332+'Datos'!K13*'E1 Pasos'!G332+'Datos'!K14*'E1 Pasos'!H332</x:f>
        <x:v>0.00912812036729092</x:v>
      </x:c>
      <x:c r="C43" s="34" t="n">
        <x:f>SUM(B$20:B43)</x:f>
        <x:v>0.5326382320915447</x:v>
      </x:c>
      <x:c r="D43" s="38" t="n">
        <x:f>B43*'Datos'!$J$16</x:f>
        <x:v>45.65885807718918</x:v>
      </x:c>
      <x:c r="E43" s="38" t="n">
        <x:f>C43*'Datos'!$J$16</x:f>
        <x:v>2664.2564369219067</x:v>
      </x:c>
      <x:c r="F43" s="38" t="n">
        <x:f>'Datos'!$J$16-E43</x:f>
        <x:v>2337.7435630780933</x:v>
      </x:c>
      <x:c r="G43" s="2"/>
      <x:c r="H43" s="2"/>
      <x:c r="I43" s="2"/>
    </x:row>
    <x:row r="44" ht="22" customHeight="1">
      <x:c r="A44" s="2" t="n">
        <x:v>25</x:v>
      </x:c>
      <x:c r="B44" s="35" t="n">
        <x:f>'Datos'!K8*'E1 Pasos'!B333+'Datos'!K9*'E1 Pasos'!C333+'Datos'!K10*'E1 Pasos'!D333+'Datos'!K11*'E1 Pasos'!E333+'Datos'!K12*'E1 Pasos'!F333+'Datos'!K13*'E1 Pasos'!G333+'Datos'!K14*'E1 Pasos'!H333</x:f>
        <x:v>0.008703815741077252</x:v>
      </x:c>
      <x:c r="C44" s="34" t="n">
        <x:f>SUM(B$20:B44)</x:f>
        <x:v>0.541342047832622</x:v>
      </x:c>
      <x:c r="D44" s="38" t="n">
        <x:f>B44*'Datos'!$J$16</x:f>
        <x:v>43.536486336868414</x:v>
      </x:c>
      <x:c r="E44" s="38" t="n">
        <x:f>C44*'Datos'!$J$16</x:f>
        <x:v>2707.792923258775</x:v>
      </x:c>
      <x:c r="F44" s="38" t="n">
        <x:f>'Datos'!$J$16-E44</x:f>
        <x:v>2294.207076741225</x:v>
      </x:c>
      <x:c r="G44" s="2"/>
      <x:c r="H44" s="2"/>
      <x:c r="I44" s="2"/>
    </x:row>
    <x:row r="45" ht="22" customHeight="1">
      <x:c r="A45" s="2"/>
      <x:c r="B45" s="2"/>
      <x:c r="C45" s="2"/>
      <x:c r="D45" s="2"/>
      <x:c r="E45" s="2"/>
      <x:c r="F45" s="2"/>
      <x:c r="G45" s="2"/>
      <x:c r="H45" s="2"/>
      <x:c r="I45" s="2"/>
    </x:row>
    <x:row r="46" ht="36" customHeight="1">
      <x:c r="A46" s="22" t="str">
        <x:v>Los defaults son esperanzas: pueden ser fraccionarios. Su cálculo no exige independencia entre compañías.</x:v>
      </x:c>
      <x:c r="B46" s="22" t="str">
        <x:v>Los defaults son esperanzas: pueden ser fraccionarios. Su cálculo no exige independencia entre compañías.</x:v>
      </x:c>
      <x:c r="C46" s="22" t="str">
        <x:v>Los defaults son esperanzas: pueden ser fraccionarios. Su cálculo no exige independencia entre compañías.</x:v>
      </x:c>
      <x:c r="D46" s="22" t="str">
        <x:v>Los defaults son esperanzas: pueden ser fraccionarios. Su cálculo no exige independencia entre compañías.</x:v>
      </x:c>
      <x:c r="E46" s="22" t="str">
        <x:v>Los defaults son esperanzas: pueden ser fraccionarios. Su cálculo no exige independencia entre compañías.</x:v>
      </x:c>
      <x:c r="F46" s="22" t="str">
        <x:v>Los defaults son esperanzas: pueden ser fraccionarios. Su cálculo no exige independencia entre compañías.</x:v>
      </x:c>
      <x:c r="G46" s="22" t="str">
        <x:v>Los defaults son esperanzas: pueden ser fraccionarios. Su cálculo no exige independencia entre compañías.</x:v>
      </x:c>
      <x:c r="H46" s="22" t="str">
        <x:v>Los defaults son esperanzas: pueden ser fraccionarios. Su cálculo no exige independencia entre compañías.</x:v>
      </x:c>
      <x:c r="I46" s="22" t="str">
        <x:v>Los defaults son esperanzas: pueden ser fraccionarios. Su cálculo no exige independencia entre compañías.</x:v>
      </x:c>
    </x:row>
    <x:row r="47" ht="22" customHeight="1">
      <x:c r="A47" s="2"/>
      <x:c r="B47" s="2"/>
      <x:c r="C47" s="2"/>
      <x:c r="D47" s="2"/>
      <x:c r="E47" s="2"/>
      <x:c r="F47" s="2"/>
      <x:c r="G47" s="2"/>
      <x:c r="H47" s="2"/>
      <x:c r="I47" s="2"/>
    </x:row>
    <x:row r="48" ht="27" customHeight="1">
      <x:c r="A48" s="10" t="str">
        <x:v>1.c · Distribución final por rating inicial — P²⁵</x:v>
      </x:c>
      <x:c r="B48" s="10" t="str">
        <x:v>1.c · Distribución final por rating inicial — P²⁵</x:v>
      </x:c>
      <x:c r="C48" s="10" t="str">
        <x:v>1.c · Distribución final por rating inicial — P²⁵</x:v>
      </x:c>
      <x:c r="D48" s="10" t="str">
        <x:v>1.c · Distribución final por rating inicial — P²⁵</x:v>
      </x:c>
      <x:c r="E48" s="10" t="str">
        <x:v>1.c · Distribución final por rating inicial — P²⁵</x:v>
      </x:c>
      <x:c r="F48" s="10" t="str">
        <x:v>1.c · Distribución final por rating inicial — P²⁵</x:v>
      </x:c>
      <x:c r="G48" s="10" t="str">
        <x:v>1.c · Distribución final por rating inicial — P²⁵</x:v>
      </x:c>
      <x:c r="H48" s="10" t="str">
        <x:v>1.c · Distribución final por rating inicial — P²⁵</x:v>
      </x:c>
      <x:c r="I48" s="10" t="str">
        <x:v>1.c · Distribución final por rating inicial — P²⁵</x:v>
      </x:c>
    </x:row>
    <x:row r="49" ht="36" customHeight="1">
      <x:c r="A49" s="13" t="str">
        <x:v>Inicial / final</x:v>
      </x:c>
      <x:c r="B49" s="13" t="str">
        <x:v>Aaa</x:v>
      </x:c>
      <x:c r="C49" s="13" t="str">
        <x:v>Aa</x:v>
      </x:c>
      <x:c r="D49" s="13" t="str">
        <x:v>A</x:v>
      </x:c>
      <x:c r="E49" s="13" t="str">
        <x:v>Baa</x:v>
      </x:c>
      <x:c r="F49" s="13" t="str">
        <x:v>Ba</x:v>
      </x:c>
      <x:c r="G49" s="13" t="str">
        <x:v>B</x:v>
      </x:c>
      <x:c r="H49" s="13" t="str">
        <x:v>Caa-C</x:v>
      </x:c>
      <x:c r="I49" s="13" t="str">
        <x:v>Default</x:v>
      </x:c>
    </x:row>
    <x:row r="50" ht="22" customHeight="1">
      <x:c r="A50" s="31" t="str">
        <x:f>'Datos'!A8</x:f>
        <x:v>Aaa</x:v>
      </x:c>
      <x:c r="B50" s="35" t="n">
        <x:f>'E1 Pasos'!B258</x:f>
        <x:v>0.3752727797472757</x:v>
      </x:c>
      <x:c r="C50" s="35" t="n">
        <x:f>'E1 Pasos'!C258</x:f>
        <x:v>0.17821506051881694</x:v>
      </x:c>
      <x:c r="D50" s="35" t="n">
        <x:f>'E1 Pasos'!D258</x:f>
        <x:v>0.11925155277226034</x:v>
      </x:c>
      <x:c r="E50" s="35" t="n">
        <x:f>'E1 Pasos'!E258</x:f>
        <x:v>0.05776806119833242</x:v>
      </x:c>
      <x:c r="F50" s="35" t="n">
        <x:f>'E1 Pasos'!F258</x:f>
        <x:v>0.05514405445689287</x:v>
      </x:c>
      <x:c r="G50" s="35" t="n">
        <x:f>'E1 Pasos'!G258</x:f>
        <x:v>0.029272377639875113</x:v>
      </x:c>
      <x:c r="H50" s="35" t="n">
        <x:f>'E1 Pasos'!H258</x:f>
        <x:v>0.032274441886242</x:v>
      </x:c>
      <x:c r="I50" s="35" t="n">
        <x:f>'E1 Pasos'!I258</x:f>
        <x:v>0.1528016717803049</x:v>
      </x:c>
    </x:row>
    <x:row r="51" ht="22" customHeight="1">
      <x:c r="A51" s="31" t="str">
        <x:f>'Datos'!A9</x:f>
        <x:v>Aa</x:v>
      </x:c>
      <x:c r="B51" s="35" t="n">
        <x:f>'E1 Pasos'!B259</x:f>
        <x:v>0.3634201654619484</x:v>
      </x:c>
      <x:c r="C51" s="35" t="n">
        <x:f>'E1 Pasos'!C259</x:f>
        <x:v>0.1728489142412645</x:v>
      </x:c>
      <x:c r="D51" s="35" t="n">
        <x:f>'E1 Pasos'!D259</x:f>
        <x:v>0.11610270565283617</x:v>
      </x:c>
      <x:c r="E51" s="35" t="n">
        <x:f>'E1 Pasos'!E259</x:f>
        <x:v>0.056413795094595286</x:v>
      </x:c>
      <x:c r="F51" s="35" t="n">
        <x:f>'E1 Pasos'!F259</x:f>
        <x:v>0.05433220467199294</x:v>
      </x:c>
      <x:c r="G51" s="35" t="n">
        <x:f>'E1 Pasos'!G259</x:f>
        <x:v>0.029075010527989175</x:v>
      </x:c>
      <x:c r="H51" s="35" t="n">
        <x:f>'E1 Pasos'!H259</x:f>
        <x:v>0.0323550755450555</x:v>
      </x:c>
      <x:c r="I51" s="35" t="n">
        <x:f>'E1 Pasos'!I259</x:f>
        <x:v>0.17545212880431793</x:v>
      </x:c>
    </x:row>
    <x:row r="52" ht="22" customHeight="1">
      <x:c r="A52" s="31" t="str">
        <x:f>'Datos'!A10</x:f>
        <x:v>A</x:v>
      </x:c>
      <x:c r="B52" s="35" t="n">
        <x:f>'E1 Pasos'!B260</x:f>
        <x:v>0.27272973015444607</x:v>
      </x:c>
      <x:c r="C52" s="35" t="n">
        <x:f>'E1 Pasos'!C260</x:f>
        <x:v>0.13138606887600393</x:v>
      </x:c>
      <x:c r="D52" s="35" t="n">
        <x:f>'E1 Pasos'!D260</x:f>
        <x:v>0.09107528826272332</x:v>
      </x:c>
      <x:c r="E52" s="35" t="n">
        <x:f>'E1 Pasos'!E260</x:f>
        <x:v>0.04534972175682268</x:v>
      </x:c>
      <x:c r="F52" s="35" t="n">
        <x:f>'E1 Pasos'!F260</x:f>
        <x:v>0.04677360065785392</x:v>
      </x:c>
      <x:c r="G52" s="35" t="n">
        <x:f>'E1 Pasos'!G260</x:f>
        <x:v>0.026539577129649352</x:v>
      </x:c>
      <x:c r="H52" s="35" t="n">
        <x:f>'E1 Pasos'!H260</x:f>
        <x:v>0.031457622135085433</x:v>
      </x:c>
      <x:c r="I52" s="35" t="n">
        <x:f>'E1 Pasos'!I260</x:f>
        <x:v>0.3546883910274156</x:v>
      </x:c>
    </x:row>
    <x:row r="53" ht="22" customHeight="1">
      <x:c r="A53" s="31" t="str">
        <x:f>'Datos'!A11</x:f>
        <x:v>Baa</x:v>
      </x:c>
      <x:c r="B53" s="35" t="n">
        <x:f>'E1 Pasos'!B261</x:f>
        <x:v>0.2000823631880856</x:v>
      </x:c>
      <x:c r="C53" s="35" t="n">
        <x:f>'E1 Pasos'!C261</x:f>
        <x:v>0.0973332474494393</x:v>
      </x:c>
      <x:c r="D53" s="35" t="n">
        <x:f>'E1 Pasos'!D261</x:f>
        <x:v>0.06906738740227657</x:v>
      </x:c>
      <x:c r="E53" s="35" t="n">
        <x:f>'E1 Pasos'!E261</x:f>
        <x:v>0.035002926952514925</x:v>
      </x:c>
      <x:c r="F53" s="35" t="n">
        <x:f>'E1 Pasos'!F261</x:f>
        <x:v>0.03782163362081466</x:v>
      </x:c>
      <x:c r="G53" s="35" t="n">
        <x:f>'E1 Pasos'!G261</x:f>
        <x:v>0.022268398418574593</x:v>
      </x:c>
      <x:c r="H53" s="35" t="n">
        <x:f>'E1 Pasos'!H261</x:f>
        <x:v>0.027383623481019904</x:v>
      </x:c>
      <x:c r="I53" s="35" t="n">
        <x:f>'E1 Pasos'!I261</x:f>
        <x:v>0.5110404194872747</x:v>
      </x:c>
    </x:row>
    <x:row r="54" ht="22" customHeight="1">
      <x:c r="A54" s="31" t="str">
        <x:f>'Datos'!A12</x:f>
        <x:v>Ba</x:v>
      </x:c>
      <x:c r="B54" s="35" t="n">
        <x:f>'E1 Pasos'!B262</x:f>
        <x:v>0.08136308168063097</x:v>
      </x:c>
      <x:c r="C54" s="35" t="n">
        <x:f>'E1 Pasos'!C262</x:f>
        <x:v>0.040673060130083066</x:v>
      </x:c>
      <x:c r="D54" s="35" t="n">
        <x:f>'E1 Pasos'!D262</x:f>
        <x:v>0.030721637711996767</x:v>
      </x:c>
      <x:c r="E54" s="35" t="n">
        <x:f>'E1 Pasos'!E262</x:f>
        <x:v>0.016280521702804803</x:v>
      </x:c>
      <x:c r="F54" s="35" t="n">
        <x:f>'E1 Pasos'!F262</x:f>
        <x:v>0.019602105608643557</x:v>
      </x:c>
      <x:c r="G54" s="35" t="n">
        <x:f>'E1 Pasos'!G262</x:f>
        <x:v>0.01247825815747943</x:v>
      </x:c>
      <x:c r="H54" s="35" t="n">
        <x:f>'E1 Pasos'!H262</x:f>
        <x:v>0.016471971170653996</x:v>
      </x:c>
      <x:c r="I54" s="35" t="n">
        <x:f>'E1 Pasos'!I262</x:f>
        <x:v>0.7824093638377072</x:v>
      </x:c>
    </x:row>
    <x:row r="55" ht="22" customHeight="1">
      <x:c r="A55" s="31" t="str">
        <x:f>'Datos'!A13</x:f>
        <x:v>B</x:v>
      </x:c>
      <x:c r="B55" s="35" t="n">
        <x:f>'E1 Pasos'!B263</x:f>
        <x:v>0.02667637375689631</x:v>
      </x:c>
      <x:c r="C55" s="35" t="n">
        <x:f>'E1 Pasos'!C263</x:f>
        <x:v>0.013566352164265294</x:v>
      </x:c>
      <x:c r="D55" s="35" t="n">
        <x:f>'E1 Pasos'!D263</x:f>
        <x:v>0.01063853653417153</x:v>
      </x:c>
      <x:c r="E55" s="35" t="n">
        <x:f>'E1 Pasos'!E263</x:f>
        <x:v>0.0057826544404567725</x:v>
      </x:c>
      <x:c r="F55" s="35" t="n">
        <x:f>'E1 Pasos'!F263</x:f>
        <x:v>0.007367600209867165</x:v>
      </x:c>
      <x:c r="G55" s="35" t="n">
        <x:f>'E1 Pasos'!G263</x:f>
        <x:v>0.004869787920722139</x:v>
      </x:c>
      <x:c r="H55" s="35" t="n">
        <x:f>'E1 Pasos'!H263</x:f>
        <x:v>0.0066348765683953755</x:v>
      </x:c>
      <x:c r="I55" s="35" t="n">
        <x:f>'E1 Pasos'!I263</x:f>
        <x:v>0.9244638184052252</x:v>
      </x:c>
    </x:row>
    <x:row r="56" ht="22" customHeight="1">
      <x:c r="A56" s="31" t="str">
        <x:f>'Datos'!A14</x:f>
        <x:v>Caa-C</x:v>
      </x:c>
      <x:c r="B56" s="35" t="n">
        <x:f>'E1 Pasos'!B264</x:f>
        <x:v>0.007694929606758735</x:v>
      </x:c>
      <x:c r="C56" s="35" t="n">
        <x:f>'E1 Pasos'!C264</x:f>
        <x:v>0.004003917005749287</x:v>
      </x:c>
      <x:c r="D56" s="35" t="n">
        <x:f>'E1 Pasos'!D264</x:f>
        <x:v>0.0032914751160619173</x:v>
      </x:c>
      <x:c r="E56" s="35" t="n">
        <x:f>'E1 Pasos'!E264</x:f>
        <x:v>0.0018434934785630745</x:v>
      </x:c>
      <x:c r="F56" s="35" t="n">
        <x:f>'E1 Pasos'!F264</x:f>
        <x:v>0.0024979560017634687</x:v>
      </x:c>
      <x:c r="G56" s="35" t="n">
        <x:f>'E1 Pasos'!G264</x:f>
        <x:v>0.0017143208465329022</x:v>
      </x:c>
      <x:c r="H56" s="35" t="n">
        <x:f>'E1 Pasos'!H264</x:f>
        <x:v>0.0024060720233245276</x:v>
      </x:c>
      <x:c r="I56" s="35" t="n">
        <x:f>'E1 Pasos'!I264</x:f>
        <x:v>0.9765478359212457</x:v>
      </x:c>
    </x:row>
    <x:row r="57" ht="22" customHeight="1">
      <x:c r="A57" s="31" t="str">
        <x:f>'Datos'!A15</x:f>
        <x:v>Default</x:v>
      </x:c>
      <x:c r="B57" s="35" t="n">
        <x:f>'E1 Pasos'!B265</x:f>
        <x:v>0</x:v>
      </x:c>
      <x:c r="C57" s="35" t="n">
        <x:f>'E1 Pasos'!C265</x:f>
        <x:v>0</x:v>
      </x:c>
      <x:c r="D57" s="35" t="n">
        <x:f>'E1 Pasos'!D265</x:f>
        <x:v>0</x:v>
      </x:c>
      <x:c r="E57" s="35" t="n">
        <x:f>'E1 Pasos'!E265</x:f>
        <x:v>0</x:v>
      </x:c>
      <x:c r="F57" s="35" t="n">
        <x:f>'E1 Pasos'!F265</x:f>
        <x:v>0</x:v>
      </x:c>
      <x:c r="G57" s="35" t="n">
        <x:f>'E1 Pasos'!G265</x:f>
        <x:v>0</x:v>
      </x:c>
      <x:c r="H57" s="35" t="n">
        <x:f>'E1 Pasos'!H265</x:f>
        <x:v>0</x:v>
      </x:c>
      <x:c r="I57" s="35" t="n">
        <x:f>'E1 Pasos'!I265</x:f>
        <x:v>1</x:v>
      </x:c>
    </x:row>
    <x:row r="58" ht="22" customHeight="1">
      <x:c r="A58" s="2"/>
      <x:c r="B58" s="33"/>
      <x:c r="C58" s="33"/>
      <x:c r="D58" s="33"/>
      <x:c r="E58" s="33"/>
      <x:c r="F58" s="33"/>
      <x:c r="G58" s="33"/>
      <x:c r="H58" s="33"/>
      <x:c r="I58" s="33"/>
    </x:row>
    <x:row r="59" ht="22" customHeight="1">
      <x:c r="A59" s="11" t="str">
        <x:v>Cohorte ponderada</x:v>
      </x:c>
      <x:c r="B59" s="45" t="n">
        <x:f>'Datos'!K8*B50+'Datos'!K9*B51+'Datos'!K10*B52+'Datos'!K11*B53+'Datos'!K12*B54+'Datos'!K13*B55+'Datos'!K14*B56+'Datos'!K15*B57</x:f>
        <x:v>0.19262542513673264</x:v>
      </x:c>
      <x:c r="C59" s="45" t="n">
        <x:f>'Datos'!K8*C50+'Datos'!K9*C51+'Datos'!K10*C52+'Datos'!K11*C53+'Datos'!K12*C54+'Datos'!K13*C55+'Datos'!K14*C56+'Datos'!K15*C57</x:f>
        <x:v>0.09294482349285915</x:v>
      </x:c>
      <x:c r="D59" s="45" t="n">
        <x:f>'Datos'!K8*D50+'Datos'!K9*D51+'Datos'!K10*D52+'Datos'!K11*D53+'Datos'!K12*D54+'Datos'!K13*D55+'Datos'!K14*D56+'Datos'!K15*D57</x:f>
        <x:v>0.06469667985686138</x:v>
      </x:c>
      <x:c r="E59" s="45" t="n">
        <x:f>'Datos'!K8*E50+'Datos'!K9*E51+'Datos'!K10*E52+'Datos'!K11*E53+'Datos'!K12*E54+'Datos'!K13*E55+'Datos'!K14*E56+'Datos'!K15*E57</x:f>
        <x:v>0.032326069645689876</x:v>
      </x:c>
      <x:c r="F59" s="45" t="n">
        <x:f>'Datos'!K8*F50+'Datos'!K9*F51+'Datos'!K10*F52+'Datos'!K11*F53+'Datos'!K12*F54+'Datos'!K13*F55+'Datos'!K14*F56+'Datos'!K15*F57</x:f>
        <x:v>0.03368001192415948</x:v>
      </x:c>
      <x:c r="G59" s="45" t="n">
        <x:f>'Datos'!K8*G50+'Datos'!K9*G51+'Datos'!K10*G52+'Datos'!K11*G53+'Datos'!K12*G54+'Datos'!K13*G55+'Datos'!K14*G56+'Datos'!K15*G57</x:f>
        <x:v>0.019289292963845787</x:v>
      </x:c>
      <x:c r="H59" s="45" t="n">
        <x:f>'Datos'!K8*H50+'Datos'!K9*H51+'Datos'!K10*H52+'Datos'!K11*H53+'Datos'!K12*H54+'Datos'!K13*H55+'Datos'!K14*H56+'Datos'!K15*H57</x:f>
        <x:v>0.023095649147229988</x:v>
      </x:c>
      <x:c r="I59" s="45" t="n">
        <x:f>'Datos'!K8*I50+'Datos'!K9*I51+'Datos'!K10*I52+'Datos'!K11*I53+'Datos'!K12*I54+'Datos'!K13*I55+'Datos'!K14*I56+'Datos'!K15*I57</x:f>
        <x:v>0.5413420478326217</x:v>
      </x:c>
    </x:row>
    <x:row r="60" ht="22" customHeight="1">
      <x:c r="A60" s="2"/>
      <x:c r="B60" s="2"/>
      <x:c r="C60" s="2"/>
      <x:c r="D60" s="2"/>
      <x:c r="E60" s="2"/>
      <x:c r="F60" s="2"/>
      <x:c r="G60" s="2"/>
      <x:c r="H60" s="2"/>
      <x:c r="I60" s="2"/>
    </x:row>
    <x:row r="61" ht="36" customHeight="1">
      <x:c r="A61" s="22" t="str">
        <x:v>E1 Pasos contiene las 26 matrices y los anexos completos F y f. Control conserva los recuentos de 300.000 cadenas por rating.</x:v>
      </x:c>
      <x:c r="B61" s="22" t="str">
        <x:v>E1 Pasos contiene las 26 matrices y los anexos completos F y f. Control conserva los recuentos de 300.000 cadenas por rating.</x:v>
      </x:c>
      <x:c r="C61" s="22" t="str">
        <x:v>E1 Pasos contiene las 26 matrices y los anexos completos F y f. Control conserva los recuentos de 300.000 cadenas por rating.</x:v>
      </x:c>
      <x:c r="D61" s="22" t="str">
        <x:v>E1 Pasos contiene las 26 matrices y los anexos completos F y f. Control conserva los recuentos de 300.000 cadenas por rating.</x:v>
      </x:c>
      <x:c r="E61" s="22" t="str">
        <x:v>E1 Pasos contiene las 26 matrices y los anexos completos F y f. Control conserva los recuentos de 300.000 cadenas por rating.</x:v>
      </x:c>
      <x:c r="F61" s="22" t="str">
        <x:v>E1 Pasos contiene las 26 matrices y los anexos completos F y f. Control conserva los recuentos de 300.000 cadenas por rating.</x:v>
      </x:c>
      <x:c r="G61" s="22" t="str">
        <x:v>E1 Pasos contiene las 26 matrices y los anexos completos F y f. Control conserva los recuentos de 300.000 cadenas por rating.</x:v>
      </x:c>
      <x:c r="H61" s="22" t="str">
        <x:v>E1 Pasos contiene las 26 matrices y los anexos completos F y f. Control conserva los recuentos de 300.000 cadenas por rating.</x:v>
      </x:c>
      <x:c r="I61" s="22" t="str">
        <x:v>E1 Pasos contiene las 26 matrices y los anexos completos F y f. Control conserva los recuentos de 300.000 cadenas por rating.</x:v>
      </x:c>
    </x:row>
    <x:row r="62" ht="22" customHeight="1">
      <x:c r="A62" s="2"/>
      <x:c r="B62" s="2"/>
      <x:c r="C62" s="2"/>
      <x:c r="D62" s="2"/>
      <x:c r="E62" s="2"/>
      <x:c r="F62" s="2"/>
      <x:c r="G62" s="2"/>
      <x:c r="H62" s="2"/>
      <x:c r="I62" s="2"/>
    </x:row>
    <x:row r="63" ht="22" customHeight="1">
      <x:c r="A63" s="2"/>
      <x:c r="B63" s="2"/>
      <x:c r="C63" s="2"/>
      <x:c r="D63" s="2"/>
      <x:c r="E63" s="2"/>
      <x:c r="F63" s="2"/>
      <x:c r="G63" s="2"/>
      <x:c r="H63" s="2"/>
      <x:c r="I63" s="2"/>
    </x:row>
    <x:row r="64" ht="22" customHeight="1">
      <x:c r="A64" s="2"/>
      <x:c r="B64" s="2"/>
      <x:c r="C64" s="2"/>
      <x:c r="D64" s="2"/>
      <x:c r="E64" s="2"/>
      <x:c r="F64" s="2"/>
      <x:c r="G64" s="2"/>
      <x:c r="H64" s="2"/>
      <x:c r="I64" s="2"/>
    </x:row>
    <x:row r="65" ht="22" customHeight="1">
      <x:c r="A65" s="2"/>
      <x:c r="B65" s="2"/>
      <x:c r="C65" s="2"/>
      <x:c r="D65" s="2"/>
      <x:c r="E65" s="2"/>
      <x:c r="F65" s="2"/>
      <x:c r="G65" s="2"/>
      <x:c r="H65" s="2"/>
      <x:c r="I65" s="2"/>
    </x:row>
    <x:row r="66" ht="22" customHeight="1">
      <x:c r="A66" s="2"/>
      <x:c r="B66" s="2"/>
      <x:c r="C66" s="2"/>
      <x:c r="D66" s="2"/>
      <x:c r="E66" s="2"/>
      <x:c r="F66" s="2"/>
      <x:c r="G66" s="2"/>
      <x:c r="H66" s="2"/>
      <x:c r="I66" s="2"/>
    </x:row>
    <x:row r="67" ht="22" customHeight="1">
      <x:c r="A67" s="2"/>
      <x:c r="B67" s="2"/>
      <x:c r="C67" s="2"/>
      <x:c r="D67" s="2"/>
      <x:c r="E67" s="2"/>
      <x:c r="F67" s="2"/>
      <x:c r="G67" s="2"/>
      <x:c r="H67" s="2"/>
      <x:c r="I67" s="2"/>
    </x:row>
    <x:row r="68" ht="22" customHeight="1">
      <x:c r="A68" s="2"/>
      <x:c r="B68" s="2"/>
      <x:c r="C68" s="2"/>
      <x:c r="D68" s="2"/>
      <x:c r="E68" s="2"/>
      <x:c r="F68" s="2"/>
      <x:c r="G68" s="2"/>
      <x:c r="H68" s="2"/>
      <x:c r="I68" s="2"/>
    </x:row>
    <x:row r="69" ht="22" customHeight="1">
      <x:c r="A69" s="2"/>
      <x:c r="B69" s="2"/>
      <x:c r="C69" s="2"/>
      <x:c r="D69" s="2"/>
      <x:c r="E69" s="2"/>
      <x:c r="F69" s="2"/>
      <x:c r="G69" s="2"/>
      <x:c r="H69" s="2"/>
      <x:c r="I69" s="2"/>
    </x:row>
    <x:row r="70" ht="22" customHeight="1">
      <x:c r="A70" s="2"/>
      <x:c r="B70" s="2"/>
      <x:c r="C70" s="2"/>
      <x:c r="D70" s="2"/>
      <x:c r="E70" s="2"/>
      <x:c r="F70" s="2"/>
      <x:c r="G70" s="2"/>
      <x:c r="H70" s="2"/>
      <x:c r="I70" s="2"/>
    </x:row>
    <x:row r="71" ht="22" customHeight="1">
      <x:c r="A71" s="2"/>
      <x:c r="B71" s="2"/>
      <x:c r="C71" s="2"/>
      <x:c r="D71" s="2"/>
      <x:c r="E71" s="2"/>
      <x:c r="F71" s="2"/>
      <x:c r="G71" s="2"/>
      <x:c r="H71" s="2"/>
      <x:c r="I71" s="2"/>
    </x:row>
    <x:row r="72" ht="22" customHeight="1">
      <x:c r="A72" s="2"/>
      <x:c r="B72" s="2"/>
      <x:c r="C72" s="2"/>
      <x:c r="D72" s="2"/>
      <x:c r="E72" s="2"/>
      <x:c r="F72" s="2"/>
      <x:c r="G72" s="2"/>
      <x:c r="H72" s="2"/>
      <x:c r="I72" s="2"/>
    </x:row>
    <x:row r="73" ht="22" customHeight="1">
      <x:c r="A73" s="2"/>
      <x:c r="B73" s="2"/>
      <x:c r="C73" s="2"/>
      <x:c r="D73" s="2"/>
      <x:c r="E73" s="2"/>
      <x:c r="F73" s="2"/>
      <x:c r="G73" s="2"/>
      <x:c r="H73" s="2"/>
      <x:c r="I73" s="2"/>
    </x:row>
    <x:row r="74" ht="22" customHeight="1">
      <x:c r="A74" s="2"/>
      <x:c r="B74" s="2"/>
      <x:c r="C74" s="2"/>
      <x:c r="D74" s="2"/>
      <x:c r="E74" s="2"/>
      <x:c r="F74" s="2"/>
      <x:c r="G74" s="2"/>
      <x:c r="H74" s="2"/>
      <x:c r="I74" s="2"/>
    </x:row>
    <x:row r="75" ht="22" customHeight="1">
      <x:c r="A75" s="2"/>
      <x:c r="B75" s="2"/>
      <x:c r="C75" s="2"/>
      <x:c r="D75" s="2"/>
      <x:c r="E75" s="2"/>
      <x:c r="F75" s="2"/>
      <x:c r="G75" s="2"/>
      <x:c r="H75" s="2"/>
      <x:c r="I75" s="2"/>
    </x:row>
    <x:row r="76" ht="22" customHeight="1">
      <x:c r="A76" s="2"/>
      <x:c r="B76" s="2"/>
      <x:c r="C76" s="2"/>
      <x:c r="D76" s="2"/>
      <x:c r="E76" s="2"/>
      <x:c r="F76" s="2"/>
      <x:c r="G76" s="2"/>
      <x:c r="H76" s="2"/>
      <x:c r="I76" s="2"/>
    </x:row>
    <x:row r="77" ht="22" customHeight="1">
      <x:c r="A77" s="2"/>
      <x:c r="B77" s="2"/>
      <x:c r="C77" s="2"/>
      <x:c r="D77" s="2"/>
      <x:c r="E77" s="2"/>
      <x:c r="F77" s="2"/>
      <x:c r="G77" s="2"/>
      <x:c r="H77" s="2"/>
      <x:c r="I77" s="2"/>
    </x:row>
    <x:row r="78" ht="22" customHeight="1">
      <x:c r="A78" s="2"/>
      <x:c r="B78" s="2"/>
      <x:c r="C78" s="2"/>
      <x:c r="D78" s="2"/>
      <x:c r="E78" s="2"/>
      <x:c r="F78" s="2"/>
      <x:c r="G78" s="2"/>
      <x:c r="H78" s="2"/>
      <x:c r="I78" s="2"/>
    </x:row>
    <x:row r="79" ht="22" customHeight="1">
      <x:c r="A79" s="2"/>
      <x:c r="B79" s="2"/>
      <x:c r="C79" s="2"/>
      <x:c r="D79" s="2"/>
      <x:c r="E79" s="2"/>
      <x:c r="F79" s="2"/>
      <x:c r="G79" s="2"/>
      <x:c r="H79" s="2"/>
      <x:c r="I79" s="2"/>
    </x:row>
    <x:row r="80" ht="22" customHeight="1">
      <x:c r="A80" s="2"/>
      <x:c r="B80" s="2"/>
      <x:c r="C80" s="2"/>
      <x:c r="D80" s="2"/>
      <x:c r="E80" s="2"/>
      <x:c r="F80" s="2"/>
      <x:c r="G80" s="2"/>
      <x:c r="H80" s="2"/>
      <x:c r="I80" s="2"/>
    </x:row>
    <x:row r="81" ht="36" customHeight="1">
      <x:c r="A81" s="22" t="str">
        <x:v>Interpretación: los ratings altos suelen deteriorarse antes del default; en Caa-C pesa el default temprano. La matriz se mantiene constante durante 25 años.</x:v>
      </x:c>
      <x:c r="B81" s="22" t="str">
        <x:v>Interpretación: los ratings altos suelen deteriorarse antes del default; en Caa-C pesa el default temprano. La matriz se mantiene constante durante 25 años.</x:v>
      </x:c>
      <x:c r="C81" s="22" t="str">
        <x:v>Interpretación: los ratings altos suelen deteriorarse antes del default; en Caa-C pesa el default temprano. La matriz se mantiene constante durante 25 años.</x:v>
      </x:c>
      <x:c r="D81" s="22" t="str">
        <x:v>Interpretación: los ratings altos suelen deteriorarse antes del default; en Caa-C pesa el default temprano. La matriz se mantiene constante durante 25 años.</x:v>
      </x:c>
      <x:c r="E81" s="22" t="str">
        <x:v>Interpretación: los ratings altos suelen deteriorarse antes del default; en Caa-C pesa el default temprano. La matriz se mantiene constante durante 25 años.</x:v>
      </x:c>
      <x:c r="F81" s="22" t="str">
        <x:v>Interpretación: los ratings altos suelen deteriorarse antes del default; en Caa-C pesa el default temprano. La matriz se mantiene constante durante 25 años.</x:v>
      </x:c>
      <x:c r="G81" s="22" t="str">
        <x:v>Interpretación: los ratings altos suelen deteriorarse antes del default; en Caa-C pesa el default temprano. La matriz se mantiene constante durante 25 años.</x:v>
      </x:c>
      <x:c r="H81" s="22" t="str">
        <x:v>Interpretación: los ratings altos suelen deteriorarse antes del default; en Caa-C pesa el default temprano. La matriz se mantiene constante durante 25 años.</x:v>
      </x:c>
      <x:c r="I81" s="22" t="str">
        <x:v>Interpretación: los ratings altos suelen deteriorarse antes del default; en Caa-C pesa el default temprano. La matriz se mantiene constante durante 25 años.</x:v>
      </x:c>
    </x:row>
    <x:row r="82" ht="22" customHeight="1">
      <x:c r="A82" s="2"/>
      <x:c r="B82" s="2"/>
      <x:c r="C82" s="2"/>
      <x:c r="D82" s="2"/>
      <x:c r="E82" s="2"/>
      <x:c r="F82" s="2"/>
      <x:c r="G82" s="2"/>
      <x:c r="H82" s="2"/>
      <x:c r="I82" s="2"/>
    </x:row>
    <x:row r="83" ht="22" customHeight="1">
      <x:c r="A83" s="2"/>
      <x:c r="B83" s="2"/>
      <x:c r="C83" s="2"/>
      <x:c r="D83" s="2"/>
      <x:c r="E83" s="2"/>
      <x:c r="F83" s="2"/>
      <x:c r="G83" s="2"/>
      <x:c r="H83" s="2"/>
      <x:c r="I83" s="2"/>
    </x:row>
    <x:row r="84" ht="22" customHeight="1">
      <x:c r="A84" s="2"/>
      <x:c r="B84" s="2"/>
      <x:c r="C84" s="2"/>
      <x:c r="D84" s="2"/>
      <x:c r="E84" s="2"/>
      <x:c r="F84" s="2"/>
      <x:c r="G84" s="2"/>
      <x:c r="H84" s="2"/>
      <x:c r="I84" s="2"/>
    </x:row>
    <x:row r="85" ht="22" customHeight="1">
      <x:c r="A85" s="2"/>
      <x:c r="B85" s="2"/>
      <x:c r="C85" s="2"/>
      <x:c r="D85" s="2"/>
      <x:c r="E85" s="2"/>
      <x:c r="F85" s="2"/>
      <x:c r="G85" s="2"/>
      <x:c r="H85" s="2"/>
      <x:c r="I85" s="2"/>
    </x:row>
    <x:row r="86" ht="22" customHeight="1">
      <x:c r="A86" s="2"/>
      <x:c r="B86" s="2"/>
      <x:c r="C86" s="2"/>
      <x:c r="D86" s="2"/>
      <x:c r="E86" s="2"/>
      <x:c r="F86" s="2"/>
      <x:c r="G86" s="2"/>
      <x:c r="H86" s="2"/>
      <x:c r="I86" s="2"/>
    </x:row>
    <x:row r="87" ht="22" customHeight="1">
      <x:c r="A87" s="2"/>
      <x:c r="B87" s="2"/>
      <x:c r="C87" s="2"/>
      <x:c r="D87" s="2"/>
      <x:c r="E87" s="2"/>
      <x:c r="F87" s="2"/>
      <x:c r="G87" s="2"/>
      <x:c r="H87" s="2"/>
      <x:c r="I87" s="2"/>
    </x:row>
    <x:row r="88" ht="22" customHeight="1">
      <x:c r="A88" s="2"/>
      <x:c r="B88" s="2"/>
      <x:c r="C88" s="2"/>
      <x:c r="D88" s="2"/>
      <x:c r="E88" s="2"/>
      <x:c r="F88" s="2"/>
      <x:c r="G88" s="2"/>
      <x:c r="H88" s="2"/>
      <x:c r="I88" s="2"/>
    </x:row>
    <x:row r="89" ht="22" customHeight="1">
      <x:c r="A89" s="2"/>
      <x:c r="B89" s="2"/>
      <x:c r="C89" s="2"/>
      <x:c r="D89" s="2"/>
      <x:c r="E89" s="2"/>
      <x:c r="F89" s="2"/>
      <x:c r="G89" s="2"/>
      <x:c r="H89" s="2"/>
      <x:c r="I89" s="2"/>
    </x:row>
  </x:sheetData>
  <x:mergeCells>
    <x:mergeCell ref="A1:I2"/>
    <x:mergeCell ref="A3:I4"/>
    <x:mergeCell ref="A6:I6"/>
    <x:mergeCell ref="A16:I16"/>
    <x:mergeCell ref="A18:I18"/>
    <x:mergeCell ref="G20:I23"/>
    <x:mergeCell ref="G24:I26"/>
    <x:mergeCell ref="G29:I32"/>
    <x:mergeCell ref="G33:I35"/>
    <x:mergeCell ref="A46:I46"/>
    <x:mergeCell ref="A48:I48"/>
    <x:mergeCell ref="A61:I61"/>
    <x:mergeCell ref="A81:I81"/>
  </x:mergeCells>
  <x:pageMargins left="0.7" right="0.7" top="0.75" bottom="0.75" header="0.3" footer="0.3"/>
  <x:drawing xmlns:r="http://schemas.openxmlformats.org/officeDocument/2006/relationships" r:id="R2ddf883732dd4a42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</x:cols>
  <x:sheetData>
    <x:row r="1" ht="25" customHeight="1">
      <x:c r="A1" s="5" t="str">
        <x:v>2 · Itô y martingalas</x:v>
      </x:c>
      <x:c r="B1" s="5" t="str">
        <x:v>2 · Itô y martingalas</x:v>
      </x:c>
      <x:c r="C1" s="5" t="str">
        <x:v>2 · Itô y martingalas</x:v>
      </x:c>
      <x:c r="D1" s="5" t="str">
        <x:v>2 · Itô y martingalas</x:v>
      </x:c>
      <x:c r="E1" s="5" t="str">
        <x:v>2 · Itô y martingalas</x:v>
      </x:c>
      <x:c r="F1" s="5" t="str">
        <x:v>2 · Itô y martingalas</x:v>
      </x:c>
      <x:c r="G1" s="5" t="str">
        <x:v>2 · Itô y martingalas</x:v>
      </x:c>
      <x:c r="H1" s="5" t="str">
        <x:v>2 · Itô y martingalas</x:v>
      </x:c>
      <x:c r="I1" s="5" t="str">
        <x:v>2 · Itô y martingalas</x:v>
      </x:c>
    </x:row>
    <x:row r="2" ht="25" customHeight="1">
      <x:c r="A2" s="5" t="str">
        <x:v>2 · Itô y martingalas</x:v>
      </x:c>
      <x:c r="B2" s="5" t="str">
        <x:v>2 · Itô y martingalas</x:v>
      </x:c>
      <x:c r="C2" s="5" t="str">
        <x:v>2 · Itô y martingalas</x:v>
      </x:c>
      <x:c r="D2" s="5" t="str">
        <x:v>2 · Itô y martingalas</x:v>
      </x:c>
      <x:c r="E2" s="5" t="str">
        <x:v>2 · Itô y martingalas</x:v>
      </x:c>
      <x:c r="F2" s="5" t="str">
        <x:v>2 · Itô y martingalas</x:v>
      </x:c>
      <x:c r="G2" s="5" t="str">
        <x:v>2 · Itô y martingalas</x:v>
      </x:c>
      <x:c r="H2" s="5" t="str">
        <x:v>2 · Itô y martingalas</x:v>
      </x:c>
      <x:c r="I2" s="5" t="str">
        <x:v>2 · Itô y martingalas</x:v>
      </x:c>
    </x:row>
    <x:row r="3" ht="21" customHeight="1">
      <x:c r="A3" s="7" t="str">
        <x:v>Las identidades teóricas explican el proceso; las réplicas contrastan sus momentos y distribución.</x:v>
      </x:c>
      <x:c r="B3" s="7" t="str">
        <x:v>Las identidades teóricas explican el proceso; las réplicas contrastan sus momentos y distribución.</x:v>
      </x:c>
      <x:c r="C3" s="7" t="str">
        <x:v>Las identidades teóricas explican el proceso; las réplicas contrastan sus momentos y distribución.</x:v>
      </x:c>
      <x:c r="D3" s="7" t="str">
        <x:v>Las identidades teóricas explican el proceso; las réplicas contrastan sus momentos y distribución.</x:v>
      </x:c>
      <x:c r="E3" s="7" t="str">
        <x:v>Las identidades teóricas explican el proceso; las réplicas contrastan sus momentos y distribución.</x:v>
      </x:c>
      <x:c r="F3" s="7" t="str">
        <x:v>Las identidades teóricas explican el proceso; las réplicas contrastan sus momentos y distribución.</x:v>
      </x:c>
      <x:c r="G3" s="7" t="str">
        <x:v>Las identidades teóricas explican el proceso; las réplicas contrastan sus momentos y distribución.</x:v>
      </x:c>
      <x:c r="H3" s="7" t="str">
        <x:v>Las identidades teóricas explican el proceso; las réplicas contrastan sus momentos y distribución.</x:v>
      </x:c>
      <x:c r="I3" s="7" t="str">
        <x:v>Las identidades teóricas explican el proceso; las réplicas contrastan sus momentos y distribución.</x:v>
      </x:c>
    </x:row>
    <x:row r="4" ht="21" customHeight="1">
      <x:c r="A4" s="7" t="str">
        <x:v>Las identidades teóricas explican el proceso; las réplicas contrastan sus momentos y distribución.</x:v>
      </x:c>
      <x:c r="B4" s="7" t="str">
        <x:v>Las identidades teóricas explican el proceso; las réplicas contrastan sus momentos y distribución.</x:v>
      </x:c>
      <x:c r="C4" s="7" t="str">
        <x:v>Las identidades teóricas explican el proceso; las réplicas contrastan sus momentos y distribución.</x:v>
      </x:c>
      <x:c r="D4" s="7" t="str">
        <x:v>Las identidades teóricas explican el proceso; las réplicas contrastan sus momentos y distribución.</x:v>
      </x:c>
      <x:c r="E4" s="7" t="str">
        <x:v>Las identidades teóricas explican el proceso; las réplicas contrastan sus momentos y distribución.</x:v>
      </x:c>
      <x:c r="F4" s="7" t="str">
        <x:v>Las identidades teóricas explican el proceso; las réplicas contrastan sus momentos y distribución.</x:v>
      </x:c>
      <x:c r="G4" s="7" t="str">
        <x:v>Las identidades teóricas explican el proceso; las réplicas contrastan sus momentos y distribución.</x:v>
      </x:c>
      <x:c r="H4" s="7" t="str">
        <x:v>Las identidades teóricas explican el proceso; las réplicas contrastan sus momentos y distribución.</x:v>
      </x:c>
      <x:c r="I4" s="7" t="str">
        <x:v>Las identidades teóricas explican el proceso; las réplicas contrastan sus momentos y distribución.</x:v>
      </x:c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</x:row>
    <x:row r="6" ht="27" customHeight="1">
      <x:c r="A6" s="10" t="str">
        <x:v>2.a · Cociente Xₜ / Nₜ</x:v>
      </x:c>
      <x:c r="B6" s="10" t="str">
        <x:v>2.a · Cociente Xₜ / Nₜ</x:v>
      </x:c>
      <x:c r="C6" s="10" t="str">
        <x:v>2.a · Cociente Xₜ / Nₜ</x:v>
      </x:c>
      <x:c r="D6" s="10" t="str">
        <x:v>2.a · Cociente Xₜ / Nₜ</x:v>
      </x:c>
      <x:c r="E6" s="10" t="str">
        <x:v>2.a · Cociente Xₜ / Nₜ</x:v>
      </x:c>
      <x:c r="F6" s="10" t="str">
        <x:v>2.a · Cociente Xₜ / Nₜ</x:v>
      </x:c>
      <x:c r="G6" s="10" t="str">
        <x:v>2.a · Cociente Xₜ / Nₜ</x:v>
      </x:c>
      <x:c r="H6" s="10" t="str">
        <x:v>2.a · Cociente Xₜ / Nₜ</x:v>
      </x:c>
      <x:c r="I6" s="10" t="str">
        <x:v>2.a · Cociente Xₜ / Nₜ</x:v>
      </x:c>
    </x:row>
    <x:row r="7" ht="30" customHeight="1">
      <x:c r="A7" s="22" t="str">
        <x:v>dX = μXdt + σXdW¹; dN = ½Ndt + NdW²; d⟨W¹,W²⟩ = ρdt.</x:v>
      </x:c>
      <x:c r="B7" s="22" t="str">
        <x:v>dX = μXdt + σXdW¹; dN = ½Ndt + NdW²; d⟨W¹,W²⟩ = ρdt.</x:v>
      </x:c>
      <x:c r="C7" s="22" t="str">
        <x:v>dX = μXdt + σXdW¹; dN = ½Ndt + NdW²; d⟨W¹,W²⟩ = ρdt.</x:v>
      </x:c>
      <x:c r="D7" s="22" t="str">
        <x:v>dX = μXdt + σXdW¹; dN = ½Ndt + NdW²; d⟨W¹,W²⟩ = ρdt.</x:v>
      </x:c>
      <x:c r="E7" s="22" t="str">
        <x:v>dX = μXdt + σXdW¹; dN = ½Ndt + NdW²; d⟨W¹,W²⟩ = ρdt.</x:v>
      </x:c>
      <x:c r="F7" s="22" t="str">
        <x:v>dX = μXdt + σXdW¹; dN = ½Ndt + NdW²; d⟨W¹,W²⟩ = ρdt.</x:v>
      </x:c>
      <x:c r="G7" s="22" t="str">
        <x:v>dX = μXdt + σXdW¹; dN = ½Ndt + NdW²; d⟨W¹,W²⟩ = ρdt.</x:v>
      </x:c>
      <x:c r="H7" s="22" t="str">
        <x:v>dX = μXdt + σXdW¹; dN = ½Ndt + NdW²; d⟨W¹,W²⟩ = ρdt.</x:v>
      </x:c>
      <x:c r="I7" s="22" t="str">
        <x:v>dX = μXdt + σXdW¹; dN = ½Ndt + NdW²; d⟨W¹,W²⟩ = ρdt.</x:v>
      </x:c>
    </x:row>
    <x:row r="8" ht="22" customHeight="1">
      <x:c r="A8" s="54" t="str">
        <x:v>μ = σρ − ½</x:v>
      </x:c>
      <x:c r="B8" s="54" t="str">
        <x:v>μ = σρ − ½</x:v>
      </x:c>
      <x:c r="C8" s="54" t="str">
        <x:v>μ = σρ − ½</x:v>
      </x:c>
      <x:c r="D8" s="54" t="str">
        <x:v>μ = σρ − ½</x:v>
      </x:c>
      <x:c r="E8" s="54" t="str">
        <x:v>μ = σρ − ½</x:v>
      </x:c>
      <x:c r="F8" s="54" t="str">
        <x:v>μ = σρ − ½</x:v>
      </x:c>
      <x:c r="G8" s="54" t="str">
        <x:v>μ = σρ − ½</x:v>
      </x:c>
      <x:c r="H8" s="54" t="str">
        <x:v>μ = σρ − ½</x:v>
      </x:c>
      <x:c r="I8" s="54" t="str">
        <x:v>μ = σρ − ½</x:v>
      </x:c>
    </x:row>
    <x:row r="9" ht="22" customHeight="1">
      <x:c r="A9" s="54" t="str">
        <x:v>μ = σρ − ½</x:v>
      </x:c>
      <x:c r="B9" s="54" t="str">
        <x:v>μ = σρ − ½</x:v>
      </x:c>
      <x:c r="C9" s="54" t="str">
        <x:v>μ = σρ − ½</x:v>
      </x:c>
      <x:c r="D9" s="54" t="str">
        <x:v>μ = σρ − ½</x:v>
      </x:c>
      <x:c r="E9" s="54" t="str">
        <x:v>μ = σρ − ½</x:v>
      </x:c>
      <x:c r="F9" s="54" t="str">
        <x:v>μ = σρ − ½</x:v>
      </x:c>
      <x:c r="G9" s="54" t="str">
        <x:v>μ = σρ − ½</x:v>
      </x:c>
      <x:c r="H9" s="54" t="str">
        <x:v>μ = σρ − ½</x:v>
      </x:c>
      <x:c r="I9" s="54" t="str">
        <x:v>μ = σρ − ½</x:v>
      </x:c>
    </x:row>
    <x:row r="10" ht="36" customHeight="1">
      <x:c r="A10" s="22" t="str">
        <x:v>La deriva del cociente es μ + ½ − σρ. Con esa elección, la exponencial gaussiana es integrable y la martingala es verdadera.</x:v>
      </x:c>
      <x:c r="B10" s="22" t="str">
        <x:v>La deriva del cociente es μ + ½ − σρ. Con esa elección, la exponencial gaussiana es integrable y la martingala es verdadera.</x:v>
      </x:c>
      <x:c r="C10" s="22" t="str">
        <x:v>La deriva del cociente es μ + ½ − σρ. Con esa elección, la exponencial gaussiana es integrable y la martingala es verdadera.</x:v>
      </x:c>
      <x:c r="D10" s="22" t="str">
        <x:v>La deriva del cociente es μ + ½ − σρ. Con esa elección, la exponencial gaussiana es integrable y la martingala es verdadera.</x:v>
      </x:c>
      <x:c r="E10" s="22" t="str">
        <x:v>La deriva del cociente es μ + ½ − σρ. Con esa elección, la exponencial gaussiana es integrable y la martingala es verdadera.</x:v>
      </x:c>
      <x:c r="F10" s="22" t="str">
        <x:v>La deriva del cociente es μ + ½ − σρ. Con esa elección, la exponencial gaussiana es integrable y la martingala es verdadera.</x:v>
      </x:c>
      <x:c r="G10" s="22" t="str">
        <x:v>La deriva del cociente es μ + ½ − σρ. Con esa elección, la exponencial gaussiana es integrable y la martingala es verdadera.</x:v>
      </x:c>
      <x:c r="H10" s="22" t="str">
        <x:v>La deriva del cociente es μ + ½ − σρ. Con esa elección, la exponencial gaussiana es integrable y la martingala es verdadera.</x:v>
      </x:c>
      <x:c r="I10" s="22" t="str">
        <x:v>La deriva del cociente es μ + ½ − σρ. Con esa elección, la exponencial gaussiana es integrable y la martingala es verdadera.</x:v>
      </x:c>
    </x:row>
    <x:row r="11" ht="22" customHeight="1">
      <x:c r="A11" s="2"/>
      <x:c r="B11" s="2"/>
      <x:c r="C11" s="2"/>
      <x:c r="D11" s="2"/>
      <x:c r="E11" s="2"/>
      <x:c r="F11" s="2"/>
      <x:c r="G11" s="2"/>
      <x:c r="H11" s="2"/>
      <x:c r="I11" s="2"/>
    </x:row>
    <x:row r="12" ht="27" customHeight="1">
      <x:c r="A12" s="10" t="str">
        <x:v>2.b · Integral de Itô</x:v>
      </x:c>
      <x:c r="B12" s="10" t="str">
        <x:v>2.b · Integral de Itô</x:v>
      </x:c>
      <x:c r="C12" s="10" t="str">
        <x:v>2.b · Integral de Itô</x:v>
      </x:c>
      <x:c r="D12" s="10" t="str">
        <x:v>2.b · Integral de Itô</x:v>
      </x:c>
      <x:c r="E12" s="10" t="str">
        <x:v>2.b · Integral de Itô</x:v>
      </x:c>
      <x:c r="F12" s="10" t="str">
        <x:v>2.b · Integral de Itô</x:v>
      </x:c>
      <x:c r="G12" s="10" t="str">
        <x:v>2.b · Integral de Itô</x:v>
      </x:c>
      <x:c r="H12" s="10" t="str">
        <x:v>2.b · Integral de Itô</x:v>
      </x:c>
      <x:c r="I12" s="10" t="str">
        <x:v>2.b · Integral de Itô</x:v>
      </x:c>
    </x:row>
    <x:row r="13" ht="22" customHeight="1">
      <x:c r="A13" s="56" t="str">
        <x:v>Iₜ = ∫₀ᵗ(Wₛ² − s)dWₛ = Wₜ³/3 − tWₜ</x:v>
      </x:c>
      <x:c r="B13" s="56" t="str">
        <x:v>Iₜ = ∫₀ᵗ(Wₛ² − s)dWₛ = Wₜ³/3 − tWₜ</x:v>
      </x:c>
      <x:c r="C13" s="56" t="str">
        <x:v>Iₜ = ∫₀ᵗ(Wₛ² − s)dWₛ = Wₜ³/3 − tWₜ</x:v>
      </x:c>
      <x:c r="D13" s="56" t="str">
        <x:v>Iₜ = ∫₀ᵗ(Wₛ² − s)dWₛ = Wₜ³/3 − tWₜ</x:v>
      </x:c>
      <x:c r="E13" s="56" t="str">
        <x:v>Iₜ = ∫₀ᵗ(Wₛ² − s)dWₛ = Wₜ³/3 − tWₜ</x:v>
      </x:c>
      <x:c r="F13" s="56" t="str">
        <x:v>Iₜ = ∫₀ᵗ(Wₛ² − s)dWₛ = Wₜ³/3 − tWₜ</x:v>
      </x:c>
      <x:c r="G13" s="56" t="str">
        <x:v>Iₜ = ∫₀ᵗ(Wₛ² − s)dWₛ = Wₜ³/3 − tWₜ</x:v>
      </x:c>
      <x:c r="H13" s="56" t="str">
        <x:v>Iₜ = ∫₀ᵗ(Wₛ² − s)dWₛ = Wₜ³/3 − tWₜ</x:v>
      </x:c>
      <x:c r="I13" s="56" t="str">
        <x:v>Iₜ = ∫₀ᵗ(Wₛ² − s)dWₛ = Wₜ³/3 − tWₜ</x:v>
      </x:c>
    </x:row>
    <x:row r="14" ht="22" customHeight="1">
      <x:c r="A14" s="56" t="str">
        <x:v>Iₜ = ∫₀ᵗ(Wₛ² − s)dWₛ = Wₜ³/3 − tWₜ</x:v>
      </x:c>
      <x:c r="B14" s="56" t="str">
        <x:v>Iₜ = ∫₀ᵗ(Wₛ² − s)dWₛ = Wₜ³/3 − tWₜ</x:v>
      </x:c>
      <x:c r="C14" s="56" t="str">
        <x:v>Iₜ = ∫₀ᵗ(Wₛ² − s)dWₛ = Wₜ³/3 − tWₜ</x:v>
      </x:c>
      <x:c r="D14" s="56" t="str">
        <x:v>Iₜ = ∫₀ᵗ(Wₛ² − s)dWₛ = Wₜ³/3 − tWₜ</x:v>
      </x:c>
      <x:c r="E14" s="56" t="str">
        <x:v>Iₜ = ∫₀ᵗ(Wₛ² − s)dWₛ = Wₜ³/3 − tWₜ</x:v>
      </x:c>
      <x:c r="F14" s="56" t="str">
        <x:v>Iₜ = ∫₀ᵗ(Wₛ² − s)dWₛ = Wₜ³/3 − tWₜ</x:v>
      </x:c>
      <x:c r="G14" s="56" t="str">
        <x:v>Iₜ = ∫₀ᵗ(Wₛ² − s)dWₛ = Wₜ³/3 − tWₜ</x:v>
      </x:c>
      <x:c r="H14" s="56" t="str">
        <x:v>Iₜ = ∫₀ᵗ(Wₛ² − s)dWₛ = Wₜ³/3 − tWₜ</x:v>
      </x:c>
      <x:c r="I14" s="56" t="str">
        <x:v>Iₜ = ∫₀ᵗ(Wₛ² − s)dWₛ = Wₜ³/3 − tWₜ</x:v>
      </x:c>
    </x:row>
    <x:row r="15" ht="36" customHeight="1">
      <x:c r="A15" s="22" t="str">
        <x:v>Itô sobre W³ y la regla del producto sobre tW cancelan ∫Wds. E[Iₜ] = 0 y Var(Iₜ) = 2t³/3.</x:v>
      </x:c>
      <x:c r="B15" s="22" t="str">
        <x:v>Itô sobre W³ y la regla del producto sobre tW cancelan ∫Wds. E[Iₜ] = 0 y Var(Iₜ) = 2t³/3.</x:v>
      </x:c>
      <x:c r="C15" s="22" t="str">
        <x:v>Itô sobre W³ y la regla del producto sobre tW cancelan ∫Wds. E[Iₜ] = 0 y Var(Iₜ) = 2t³/3.</x:v>
      </x:c>
      <x:c r="D15" s="22" t="str">
        <x:v>Itô sobre W³ y la regla del producto sobre tW cancelan ∫Wds. E[Iₜ] = 0 y Var(Iₜ) = 2t³/3.</x:v>
      </x:c>
      <x:c r="E15" s="22" t="str">
        <x:v>Itô sobre W³ y la regla del producto sobre tW cancelan ∫Wds. E[Iₜ] = 0 y Var(Iₜ) = 2t³/3.</x:v>
      </x:c>
      <x:c r="F15" s="22" t="str">
        <x:v>Itô sobre W³ y la regla del producto sobre tW cancelan ∫Wds. E[Iₜ] = 0 y Var(Iₜ) = 2t³/3.</x:v>
      </x:c>
      <x:c r="G15" s="22" t="str">
        <x:v>Itô sobre W³ y la regla del producto sobre tW cancelan ∫Wds. E[Iₜ] = 0 y Var(Iₜ) = 2t³/3.</x:v>
      </x:c>
      <x:c r="H15" s="22" t="str">
        <x:v>Itô sobre W³ y la regla del producto sobre tW cancelan ∫Wds. E[Iₜ] = 0 y Var(Iₜ) = 2t³/3.</x:v>
      </x:c>
      <x:c r="I15" s="22" t="str">
        <x:v>Itô sobre W³ y la regla del producto sobre tW cancelan ∫Wds. E[Iₜ] = 0 y Var(Iₜ) = 2t³/3.</x:v>
      </x:c>
    </x:row>
    <x:row r="16" ht="27" customHeight="1">
      <x:c r="A16" s="10" t="str">
        <x:v>2.c · Cuadrado compensado: Mₜ = Aₜ² − t³/3</x:v>
      </x:c>
      <x:c r="B16" s="10" t="str">
        <x:v>2.c · Cuadrado compensado: Mₜ = Aₜ² − t³/3</x:v>
      </x:c>
      <x:c r="C16" s="10" t="str">
        <x:v>2.c · Cuadrado compensado: Mₜ = Aₜ² − t³/3</x:v>
      </x:c>
      <x:c r="D16" s="10" t="str">
        <x:v>2.c · Cuadrado compensado: Mₜ = Aₜ² − t³/3</x:v>
      </x:c>
      <x:c r="E16" s="10" t="str">
        <x:v>2.c · Cuadrado compensado: Mₜ = Aₜ² − t³/3</x:v>
      </x:c>
      <x:c r="F16" s="10" t="str">
        <x:v>2.c · Cuadrado compensado: Mₜ = Aₜ² − t³/3</x:v>
      </x:c>
      <x:c r="G16" s="10" t="str">
        <x:v>2.c · Cuadrado compensado: Mₜ = Aₜ² − t³/3</x:v>
      </x:c>
      <x:c r="H16" s="10" t="str">
        <x:v>2.c · Cuadrado compensado: Mₜ = Aₜ² − t³/3</x:v>
      </x:c>
      <x:c r="I16" s="10" t="str">
        <x:v>2.c · Cuadrado compensado: Mₜ = Aₜ² − t³/3</x:v>
      </x:c>
    </x:row>
    <x:row r="17" ht="31" customHeight="1">
      <x:c r="A17" s="57" t="str">
        <x:v>Tiempo t</x:v>
      </x:c>
      <x:c r="B17" s="57" t="str">
        <x:v>Tiempo t</x:v>
      </x:c>
      <x:c r="C17" s="57" t="str">
        <x:v>Tiempo t</x:v>
      </x:c>
      <x:c r="D17" s="49" t="n">
        <x:f>'Datos'!B26</x:f>
        <x:v>1</x:v>
      </x:c>
      <x:c r="E17" s="2"/>
      <x:c r="F17" s="22" t="str">
        <x:v>   años · caso base t = 1</x:v>
      </x:c>
      <x:c r="G17" s="22" t="str">
        <x:v>   años · caso base t = 1</x:v>
      </x:c>
      <x:c r="H17" s="22" t="str">
        <x:v>   años · caso base t = 1</x:v>
      </x:c>
      <x:c r="I17" s="22" t="str">
        <x:v>   años · caso base t = 1</x:v>
      </x:c>
    </x:row>
    <x:row r="18" ht="31" customHeight="1">
      <x:c r="A18" s="57" t="str">
        <x:v>Cota inferior</x:v>
      </x:c>
      <x:c r="B18" s="57" t="str">
        <x:v>Cota inferior</x:v>
      </x:c>
      <x:c r="C18" s="57" t="str">
        <x:v>Cota inferior</x:v>
      </x:c>
      <x:c r="D18" s="47" t="n">
        <x:f>-'Datos'!B26^3/3</x:f>
        <x:v>-0.3333333333333333</x:v>
      </x:c>
      <x:c r="E18" s="2"/>
      <x:c r="F18" s="22" t="str">
        <x:v>   Soporte: [−t³/3, ∞). No es una normal.</x:v>
      </x:c>
      <x:c r="G18" s="22" t="str">
        <x:v>   Soporte: [−t³/3, ∞). No es una normal.</x:v>
      </x:c>
      <x:c r="H18" s="22" t="str">
        <x:v>   Soporte: [−t³/3, ∞). No es una normal.</x:v>
      </x:c>
      <x:c r="I18" s="22" t="str">
        <x:v>   Soporte: [−t³/3, ∞). No es una normal.</x:v>
      </x:c>
    </x:row>
    <x:row r="19" ht="31" customHeight="1">
      <x:c r="A19" s="57" t="str">
        <x:v>Esperanza teórica</x:v>
      </x:c>
      <x:c r="B19" s="57" t="str">
        <x:v>Esperanza teórica</x:v>
      </x:c>
      <x:c r="C19" s="57" t="str">
        <x:v>Esperanza teórica</x:v>
      </x:c>
      <x:c r="D19" s="46" t="n">
        <x:f>0</x:f>
        <x:v>0</x:v>
      </x:c>
      <x:c r="E19" s="2"/>
      <x:c r="F19" s="22" t="str">
        <x:v>   Mₜ tiene ley (t³/3) × (χ²₁ − 1).</x:v>
      </x:c>
      <x:c r="G19" s="22" t="str">
        <x:v>   Mₜ tiene ley (t³/3) × (χ²₁ − 1).</x:v>
      </x:c>
      <x:c r="H19" s="22" t="str">
        <x:v>   Mₜ tiene ley (t³/3) × (χ²₁ − 1).</x:v>
      </x:c>
      <x:c r="I19" s="22" t="str">
        <x:v>   Mₜ tiene ley (t³/3) × (χ²₁ − 1).</x:v>
      </x:c>
    </x:row>
    <x:row r="20" ht="31" customHeight="1">
      <x:c r="A20" s="57" t="str">
        <x:v>Varianza teórica</x:v>
      </x:c>
      <x:c r="B20" s="57" t="str">
        <x:v>Varianza teórica</x:v>
      </x:c>
      <x:c r="C20" s="57" t="str">
        <x:v>Varianza teórica</x:v>
      </x:c>
      <x:c r="D20" s="47" t="n">
        <x:f>2*'Datos'!B26^6/9</x:f>
        <x:v>0.2222222222222222</x:v>
      </x:c>
      <x:c r="E20" s="2"/>
      <x:c r="F20" s="22" t="str">
        <x:v>   χ²₁ tiene varianza 2.</x:v>
      </x:c>
      <x:c r="G20" s="22" t="str">
        <x:v>   χ²₁ tiene varianza 2.</x:v>
      </x:c>
      <x:c r="H20" s="22" t="str">
        <x:v>   χ²₁ tiene varianza 2.</x:v>
      </x:c>
      <x:c r="I20" s="22" t="str">
        <x:v>   χ²₁ tiene varianza 2.</x:v>
      </x:c>
    </x:row>
    <x:row r="21" ht="36" customHeight="1">
      <x:c r="A21" s="22" t="str">
        <x:v>ΔA es independiente del pasado, con varianza q(t)−q(s). Por ello E[Mₜ|ℱₛ] = Aₛ²−q(s) = Mₛ.</x:v>
      </x:c>
      <x:c r="B21" s="22" t="str">
        <x:v>ΔA es independiente del pasado, con varianza q(t)−q(s). Por ello E[Mₜ|ℱₛ] = Aₛ²−q(s) = Mₛ.</x:v>
      </x:c>
      <x:c r="C21" s="22" t="str">
        <x:v>ΔA es independiente del pasado, con varianza q(t)−q(s). Por ello E[Mₜ|ℱₛ] = Aₛ²−q(s) = Mₛ.</x:v>
      </x:c>
      <x:c r="D21" s="22" t="str">
        <x:v>ΔA es independiente del pasado, con varianza q(t)−q(s). Por ello E[Mₜ|ℱₛ] = Aₛ²−q(s) = Mₛ.</x:v>
      </x:c>
      <x:c r="E21" s="22" t="str">
        <x:v>ΔA es independiente del pasado, con varianza q(t)−q(s). Por ello E[Mₜ|ℱₛ] = Aₛ²−q(s) = Mₛ.</x:v>
      </x:c>
      <x:c r="F21" s="22" t="str">
        <x:v>ΔA es independiente del pasado, con varianza q(t)−q(s). Por ello E[Mₜ|ℱₛ] = Aₛ²−q(s) = Mₛ.</x:v>
      </x:c>
      <x:c r="G21" s="22" t="str">
        <x:v>ΔA es independiente del pasado, con varianza q(t)−q(s). Por ello E[Mₜ|ℱₛ] = Aₛ²−q(s) = Mₛ.</x:v>
      </x:c>
      <x:c r="H21" s="22" t="str">
        <x:v>ΔA es independiente del pasado, con varianza q(t)−q(s). Por ello E[Mₜ|ℱₛ] = Aₛ²−q(s) = Mₛ.</x:v>
      </x:c>
      <x:c r="I21" s="22" t="str">
        <x:v>ΔA es independiente del pasado, con varianza q(t)−q(s). Por ello E[Mₜ|ℱₛ] = Aₛ²−q(s) = Mₛ.</x:v>
      </x:c>
    </x:row>
    <x:row r="22" ht="22" customHeight="1">
      <x:c r="A22" s="2"/>
      <x:c r="B22" s="2"/>
      <x:c r="C22" s="2"/>
      <x:c r="D22" s="2"/>
      <x:c r="E22" s="2"/>
      <x:c r="F22" s="2"/>
      <x:c r="G22" s="2"/>
      <x:c r="H22" s="2"/>
      <x:c r="I22" s="2"/>
    </x:row>
    <x:row r="23" ht="27" customHeight="1">
      <x:c r="A23" s="10" t="str">
        <x:v>5.000 réplicas · mismos Z que el output</x:v>
      </x:c>
      <x:c r="B23" s="10" t="str">
        <x:v>5.000 réplicas · mismos Z que el output</x:v>
      </x:c>
      <x:c r="C23" s="10" t="str">
        <x:v>5.000 réplicas · mismos Z que el output</x:v>
      </x:c>
      <x:c r="D23" s="10" t="str">
        <x:v>5.000 réplicas · mismos Z que el output</x:v>
      </x:c>
      <x:c r="E23" s="10" t="str">
        <x:v>5.000 réplicas · mismos Z que el output</x:v>
      </x:c>
      <x:c r="F23" s="10" t="str">
        <x:v>5.000 réplicas · mismos Z que el output</x:v>
      </x:c>
      <x:c r="G23" s="10" t="str">
        <x:v>5.000 réplicas · mismos Z que el output</x:v>
      </x:c>
      <x:c r="H23" s="10" t="str">
        <x:v>5.000 réplicas · mismos Z que el output</x:v>
      </x:c>
      <x:c r="I23" s="10" t="str">
        <x:v>5.000 réplicas · mismos Z que el output</x:v>
      </x:c>
    </x:row>
    <x:row r="24" ht="31" customHeight="1">
      <x:c r="A24" s="57" t="str">
        <x:v>Número de réplicas</x:v>
      </x:c>
      <x:c r="B24" s="57" t="str">
        <x:v>Número de réplicas</x:v>
      </x:c>
      <x:c r="C24" s="57" t="str">
        <x:v>Número de réplicas</x:v>
      </x:c>
      <x:c r="D24" s="37" t="n">
        <x:f>COUNT('E2 Replicas'!E7:E5006)</x:f>
        <x:v>5000</x:v>
      </x:c>
      <x:c r="E24" s="2"/>
      <x:c r="F24" s="22" t="str">
        <x:v>   Cada fila es una realización independiente.</x:v>
      </x:c>
      <x:c r="G24" s="22" t="str">
        <x:v>   Cada fila es una realización independiente.</x:v>
      </x:c>
      <x:c r="H24" s="22" t="str">
        <x:v>   Cada fila es una realización independiente.</x:v>
      </x:c>
      <x:c r="I24" s="22" t="str">
        <x:v>   Cada fila es una realización independiente.</x:v>
      </x:c>
    </x:row>
    <x:row r="25" ht="31" customHeight="1">
      <x:c r="A25" s="57" t="str">
        <x:v>Media simulada</x:v>
      </x:c>
      <x:c r="B25" s="57" t="str">
        <x:v>Media simulada</x:v>
      </x:c>
      <x:c r="C25" s="57" t="str">
        <x:v>Media simulada</x:v>
      </x:c>
      <x:c r="D25" s="47" t="n">
        <x:f>AVERAGE('E2 Replicas'!E7:E5006)</x:f>
        <x:v>0.008261709864970474</x:v>
      </x:c>
      <x:c r="E25" s="2"/>
      <x:c r="F25" s="22" t="str">
        <x:v>   Debe ser compatible con cero.</x:v>
      </x:c>
      <x:c r="G25" s="22" t="str">
        <x:v>   Debe ser compatible con cero.</x:v>
      </x:c>
      <x:c r="H25" s="22" t="str">
        <x:v>   Debe ser compatible con cero.</x:v>
      </x:c>
      <x:c r="I25" s="22" t="str">
        <x:v>   Debe ser compatible con cero.</x:v>
      </x:c>
    </x:row>
    <x:row r="26" ht="31" customHeight="1">
      <x:c r="A26" s="57" t="str">
        <x:v>Varianza muestral</x:v>
      </x:c>
      <x:c r="B26" s="57" t="str">
        <x:v>Varianza muestral</x:v>
      </x:c>
      <x:c r="C26" s="57" t="str">
        <x:v>Varianza muestral</x:v>
      </x:c>
      <x:c r="D26" s="47" t="n">
        <x:f>VAR.S('E2 Replicas'!E7:E5006)</x:f>
        <x:v>0.22458381386894113</x:v>
      </x:c>
      <x:c r="E26" s="2"/>
      <x:c r="F26" s="22" t="str">
        <x:v>   Usa n−1 en el denominador.</x:v>
      </x:c>
      <x:c r="G26" s="22" t="str">
        <x:v>   Usa n−1 en el denominador.</x:v>
      </x:c>
      <x:c r="H26" s="22" t="str">
        <x:v>   Usa n−1 en el denominador.</x:v>
      </x:c>
      <x:c r="I26" s="22" t="str">
        <x:v>   Usa n−1 en el denominador.</x:v>
      </x:c>
    </x:row>
    <x:row r="27" ht="31" customHeight="1">
      <x:c r="A27" s="57" t="str">
        <x:v>Error estándar</x:v>
      </x:c>
      <x:c r="B27" s="57" t="str">
        <x:v>Error estándar</x:v>
      </x:c>
      <x:c r="C27" s="57" t="str">
        <x:v>Error estándar</x:v>
      </x:c>
      <x:c r="D27" s="46" t="n">
        <x:f>SQRT(D26/D24)</x:f>
        <x:v>0.0067019969243344345</x:v>
      </x:c>
      <x:c r="E27" s="2"/>
      <x:c r="F27" s="22" t="str">
        <x:v>   Raíz de varianza / número de réplicas.</x:v>
      </x:c>
      <x:c r="G27" s="22" t="str">
        <x:v>   Raíz de varianza / número de réplicas.</x:v>
      </x:c>
      <x:c r="H27" s="22" t="str">
        <x:v>   Raíz de varianza / número de réplicas.</x:v>
      </x:c>
      <x:c r="I27" s="22" t="str">
        <x:v>   Raíz de varianza / número de réplicas.</x:v>
      </x:c>
    </x:row>
    <x:row r="28" ht="31" customHeight="1">
      <x:c r="A28" s="57" t="str">
        <x:v>IC 95% · inferior</x:v>
      </x:c>
      <x:c r="B28" s="57" t="str">
        <x:v>IC 95% · inferior</x:v>
      </x:c>
      <x:c r="C28" s="57" t="str">
        <x:v>IC 95% · inferior</x:v>
      </x:c>
      <x:c r="D28" s="47" t="n">
        <x:f>D25-'Datos'!B28*D27</x:f>
        <x:v>-0.004874204106725018</x:v>
      </x:c>
      <x:c r="E28" s="2"/>
      <x:c r="F28" s="22" t="str">
        <x:v>   Intervalo aproximado de la media.</x:v>
      </x:c>
      <x:c r="G28" s="22" t="str">
        <x:v>   Intervalo aproximado de la media.</x:v>
      </x:c>
      <x:c r="H28" s="22" t="str">
        <x:v>   Intervalo aproximado de la media.</x:v>
      </x:c>
      <x:c r="I28" s="22" t="str">
        <x:v>   Intervalo aproximado de la media.</x:v>
      </x:c>
    </x:row>
    <x:row r="29" ht="31" customHeight="1">
      <x:c r="A29" s="57" t="str">
        <x:v>IC 95% · superior</x:v>
      </x:c>
      <x:c r="B29" s="57" t="str">
        <x:v>IC 95% · superior</x:v>
      </x:c>
      <x:c r="C29" s="57" t="str">
        <x:v>IC 95% · superior</x:v>
      </x:c>
      <x:c r="D29" s="47" t="n">
        <x:f>D25+'Datos'!B28*D27</x:f>
        <x:v>0.021397623836665967</x:v>
      </x:c>
      <x:c r="E29" s="2"/>
      <x:c r="F29" s="22" t="str">
        <x:v>   Contiene la esperanza teórica de cero.</x:v>
      </x:c>
      <x:c r="G29" s="22" t="str">
        <x:v>   Contiene la esperanza teórica de cero.</x:v>
      </x:c>
      <x:c r="H29" s="22" t="str">
        <x:v>   Contiene la esperanza teórica de cero.</x:v>
      </x:c>
      <x:c r="I29" s="22" t="str">
        <x:v>   Contiene la esperanza teórica de cero.</x:v>
      </x:c>
    </x:row>
    <x:row r="30" ht="31" customHeight="1">
      <x:c r="A30" s="57" t="str">
        <x:v>Mínimo simulado</x:v>
      </x:c>
      <x:c r="B30" s="57" t="str">
        <x:v>Mínimo simulado</x:v>
      </x:c>
      <x:c r="C30" s="57" t="str">
        <x:v>Mínimo simulado</x:v>
      </x:c>
      <x:c r="D30" s="58" t="n">
        <x:f>MIN('E2 Replicas'!E7:E5006)</x:f>
        <x:v>-0.33333330073848694</x:v>
      </x:c>
      <x:c r="E30" s="2"/>
      <x:c r="F30" s="22" t="str">
        <x:v>   Se compara con la cota, no con otra muestra.</x:v>
      </x:c>
      <x:c r="G30" s="22" t="str">
        <x:v>   Se compara con la cota, no con otra muestra.</x:v>
      </x:c>
      <x:c r="H30" s="22" t="str">
        <x:v>   Se compara con la cota, no con otra muestra.</x:v>
      </x:c>
      <x:c r="I30" s="22" t="str">
        <x:v>   Se compara con la cota, no con otra muestra.</x:v>
      </x:c>
    </x:row>
    <x:row r="31" ht="31" customHeight="1">
      <x:c r="A31" s="57" t="str">
        <x:v>Holgura sobre la cota</x:v>
      </x:c>
      <x:c r="B31" s="57" t="str">
        <x:v>Holgura sobre la cota</x:v>
      </x:c>
      <x:c r="C31" s="57" t="str">
        <x:v>Holgura sobre la cota</x:v>
      </x:c>
      <x:c r="D31" s="59" t="n">
        <x:f>D30-D18</x:f>
        <x:v>3.2594846377520525e-8</x:v>
      </x:c>
      <x:c r="E31" s="2"/>
      <x:c r="F31" s="22" t="str">
        <x:v>   Debe ser no negativa.</x:v>
      </x:c>
      <x:c r="G31" s="22" t="str">
        <x:v>   Debe ser no negativa.</x:v>
      </x:c>
      <x:c r="H31" s="22" t="str">
        <x:v>   Debe ser no negativa.</x:v>
      </x:c>
      <x:c r="I31" s="22" t="str">
        <x:v>   Debe ser no negativa.</x:v>
      </x:c>
    </x:row>
    <x:row r="32" ht="22" customHeight="1">
      <x:c r="A32" s="2"/>
      <x:c r="B32" s="2"/>
      <x:c r="C32" s="2"/>
      <x:c r="D32" s="2"/>
      <x:c r="E32" s="2"/>
      <x:c r="F32" s="2"/>
      <x:c r="G32" s="2"/>
      <x:c r="H32" s="2"/>
      <x:c r="I32" s="2"/>
    </x:row>
    <x:row r="33" ht="22" customHeight="1">
      <x:c r="A33" s="2"/>
      <x:c r="B33" s="2"/>
      <x:c r="C33" s="2"/>
      <x:c r="D33" s="2"/>
      <x:c r="E33" s="2"/>
      <x:c r="F33" s="2"/>
      <x:c r="G33" s="2"/>
      <x:c r="H33" s="2"/>
      <x:c r="I33" s="2"/>
    </x:row>
    <x:row r="34" ht="22" customHeight="1">
      <x:c r="A34" s="2"/>
      <x:c r="B34" s="2"/>
      <x:c r="C34" s="2"/>
      <x:c r="D34" s="2"/>
      <x:c r="E34" s="2"/>
      <x:c r="F34" s="2"/>
      <x:c r="G34" s="2"/>
      <x:c r="H34" s="2"/>
      <x:c r="I34" s="2"/>
    </x:row>
    <x:row r="35" ht="22" customHeight="1">
      <x:c r="A35" s="2"/>
      <x:c r="B35" s="2"/>
      <x:c r="C35" s="2"/>
      <x:c r="D35" s="2"/>
      <x:c r="E35" s="2"/>
      <x:c r="F35" s="2"/>
      <x:c r="G35" s="2"/>
      <x:c r="H35" s="2"/>
      <x:c r="I35" s="2"/>
    </x:row>
    <x:row r="36" ht="22" customHeight="1">
      <x:c r="A36" s="2"/>
      <x:c r="B36" s="2"/>
      <x:c r="C36" s="2"/>
      <x:c r="D36" s="2"/>
      <x:c r="E36" s="2"/>
      <x:c r="F36" s="2"/>
      <x:c r="G36" s="2"/>
      <x:c r="H36" s="2"/>
      <x:c r="I36" s="2"/>
    </x:row>
    <x:row r="37" ht="22" customHeight="1">
      <x:c r="A37" s="2"/>
      <x:c r="B37" s="2"/>
      <x:c r="C37" s="2"/>
      <x:c r="D37" s="2"/>
      <x:c r="E37" s="2"/>
      <x:c r="F37" s="2"/>
      <x:c r="G37" s="2"/>
      <x:c r="H37" s="2"/>
      <x:c r="I37" s="2"/>
    </x:row>
    <x:row r="38" ht="22" customHeight="1">
      <x:c r="A38" s="2"/>
      <x:c r="B38" s="2"/>
      <x:c r="C38" s="2"/>
      <x:c r="D38" s="2"/>
      <x:c r="E38" s="2"/>
      <x:c r="F38" s="2"/>
      <x:c r="G38" s="2"/>
      <x:c r="H38" s="2"/>
      <x:c r="I38" s="2"/>
    </x:row>
    <x:row r="39" ht="22" customHeight="1">
      <x:c r="A39" s="2"/>
      <x:c r="B39" s="2"/>
      <x:c r="C39" s="2"/>
      <x:c r="D39" s="2"/>
      <x:c r="E39" s="2"/>
      <x:c r="F39" s="2"/>
      <x:c r="G39" s="2"/>
      <x:c r="H39" s="2"/>
      <x:c r="I39" s="2"/>
    </x:row>
    <x:row r="40" ht="22" customHeight="1">
      <x:c r="A40" s="2"/>
      <x:c r="B40" s="2"/>
      <x:c r="C40" s="2"/>
      <x:c r="D40" s="2"/>
      <x:c r="E40" s="2"/>
      <x:c r="F40" s="2"/>
      <x:c r="G40" s="2"/>
      <x:c r="H40" s="2"/>
      <x:c r="I40" s="2"/>
    </x:row>
    <x:row r="41" ht="22" customHeight="1">
      <x:c r="A41" s="2"/>
      <x:c r="B41" s="2"/>
      <x:c r="C41" s="2"/>
      <x:c r="D41" s="2"/>
      <x:c r="E41" s="2"/>
      <x:c r="F41" s="2"/>
      <x:c r="G41" s="2"/>
      <x:c r="H41" s="2"/>
      <x:c r="I41" s="2"/>
    </x:row>
    <x:row r="42" ht="22" customHeight="1">
      <x:c r="A42" s="2"/>
      <x:c r="B42" s="2"/>
      <x:c r="C42" s="2"/>
      <x:c r="D42" s="2"/>
      <x:c r="E42" s="2"/>
      <x:c r="F42" s="2"/>
      <x:c r="G42" s="2"/>
      <x:c r="H42" s="2"/>
      <x:c r="I42" s="2"/>
    </x:row>
    <x:row r="43" ht="22" customHeight="1">
      <x:c r="A43" s="2"/>
      <x:c r="B43" s="2"/>
      <x:c r="C43" s="2"/>
      <x:c r="D43" s="2"/>
      <x:c r="E43" s="2"/>
      <x:c r="F43" s="2"/>
      <x:c r="G43" s="2"/>
      <x:c r="H43" s="2"/>
      <x:c r="I43" s="2"/>
    </x:row>
    <x:row r="44" ht="22" customHeight="1">
      <x:c r="A44" s="2"/>
      <x:c r="B44" s="2"/>
      <x:c r="C44" s="2"/>
      <x:c r="D44" s="2"/>
      <x:c r="E44" s="2"/>
      <x:c r="F44" s="2"/>
      <x:c r="G44" s="2"/>
      <x:c r="H44" s="2"/>
      <x:c r="I44" s="2"/>
    </x:row>
    <x:row r="45" ht="22" customHeight="1">
      <x:c r="A45" s="2"/>
      <x:c r="B45" s="2"/>
      <x:c r="C45" s="2"/>
      <x:c r="D45" s="2"/>
      <x:c r="E45" s="2"/>
      <x:c r="F45" s="2"/>
      <x:c r="G45" s="2"/>
      <x:c r="H45" s="2"/>
      <x:c r="I45" s="2"/>
    </x:row>
    <x:row r="46" ht="22" customHeight="1">
      <x:c r="A46" s="2"/>
      <x:c r="B46" s="2"/>
      <x:c r="C46" s="2"/>
      <x:c r="D46" s="2"/>
      <x:c r="E46" s="2"/>
      <x:c r="F46" s="2"/>
      <x:c r="G46" s="2"/>
      <x:c r="H46" s="2"/>
      <x:c r="I46" s="2"/>
    </x:row>
    <x:row r="47" ht="22" customHeight="1">
      <x:c r="A47" s="2"/>
      <x:c r="B47" s="2"/>
      <x:c r="C47" s="2"/>
      <x:c r="D47" s="2"/>
      <x:c r="E47" s="2"/>
      <x:c r="F47" s="2"/>
      <x:c r="G47" s="2"/>
      <x:c r="H47" s="2"/>
      <x:c r="I47" s="2"/>
    </x:row>
    <x:row r="48" ht="22" customHeight="1">
      <x:c r="A48" s="2"/>
      <x:c r="B48" s="2"/>
      <x:c r="C48" s="2"/>
      <x:c r="D48" s="2"/>
      <x:c r="E48" s="2"/>
      <x:c r="F48" s="2"/>
      <x:c r="G48" s="2"/>
      <x:c r="H48" s="2"/>
      <x:c r="I48" s="2"/>
    </x:row>
    <x:row r="49" ht="22" customHeight="1">
      <x:c r="A49" s="2"/>
      <x:c r="B49" s="2"/>
      <x:c r="C49" s="2"/>
      <x:c r="D49" s="2"/>
      <x:c r="E49" s="2"/>
      <x:c r="F49" s="2"/>
      <x:c r="G49" s="2"/>
      <x:c r="H49" s="2"/>
      <x:c r="I49" s="2"/>
    </x:row>
    <x:row r="50" ht="22" customHeight="1">
      <x:c r="A50" s="2"/>
      <x:c r="B50" s="2"/>
      <x:c r="C50" s="2"/>
      <x:c r="D50" s="2"/>
      <x:c r="E50" s="2"/>
      <x:c r="F50" s="2"/>
      <x:c r="G50" s="2"/>
      <x:c r="H50" s="2"/>
      <x:c r="I50" s="2"/>
    </x:row>
    <x:row r="51" ht="22" customHeight="1">
      <x:c r="A51" s="2"/>
      <x:c r="B51" s="2"/>
      <x:c r="C51" s="2"/>
      <x:c r="D51" s="2"/>
      <x:c r="E51" s="2"/>
      <x:c r="F51" s="2"/>
      <x:c r="G51" s="2"/>
      <x:c r="H51" s="2"/>
      <x:c r="I51" s="2"/>
    </x:row>
    <x:row r="52" ht="22" customHeight="1">
      <x:c r="A52" s="2"/>
      <x:c r="B52" s="2"/>
      <x:c r="C52" s="2"/>
      <x:c r="D52" s="2"/>
      <x:c r="E52" s="2"/>
      <x:c r="F52" s="2"/>
      <x:c r="G52" s="2"/>
      <x:c r="H52" s="2"/>
      <x:c r="I52" s="2"/>
    </x:row>
    <x:row r="53" ht="22" customHeight="1">
      <x:c r="A53" s="2"/>
      <x:c r="B53" s="2"/>
      <x:c r="C53" s="2"/>
      <x:c r="D53" s="2"/>
      <x:c r="E53" s="2"/>
      <x:c r="F53" s="2"/>
      <x:c r="G53" s="2"/>
      <x:c r="H53" s="2"/>
      <x:c r="I53" s="2"/>
    </x:row>
    <x:row r="54" ht="22" customHeight="1">
      <x:c r="A54" s="2"/>
      <x:c r="B54" s="2"/>
      <x:c r="C54" s="2"/>
      <x:c r="D54" s="2"/>
      <x:c r="E54" s="2"/>
      <x:c r="F54" s="2"/>
      <x:c r="G54" s="2"/>
      <x:c r="H54" s="2"/>
      <x:c r="I54" s="2"/>
    </x:row>
    <x:row r="55" ht="22" customHeight="1">
      <x:c r="A55" s="2"/>
      <x:c r="B55" s="2"/>
      <x:c r="C55" s="2"/>
      <x:c r="D55" s="2"/>
      <x:c r="E55" s="2"/>
      <x:c r="F55" s="2"/>
      <x:c r="G55" s="2"/>
      <x:c r="H55" s="2"/>
      <x:c r="I55" s="2"/>
    </x:row>
    <x:row r="56" ht="22" customHeight="1">
      <x:c r="A56" s="2"/>
      <x:c r="B56" s="2"/>
      <x:c r="C56" s="2"/>
      <x:c r="D56" s="2"/>
      <x:c r="E56" s="2"/>
      <x:c r="F56" s="2"/>
      <x:c r="G56" s="2"/>
      <x:c r="H56" s="2"/>
      <x:c r="I56" s="2"/>
    </x:row>
    <x:row r="57" ht="22" customHeight="1">
      <x:c r="A57" s="2"/>
      <x:c r="B57" s="2"/>
      <x:c r="C57" s="2"/>
      <x:c r="D57" s="2"/>
      <x:c r="E57" s="2"/>
      <x:c r="F57" s="2"/>
      <x:c r="G57" s="2"/>
      <x:c r="H57" s="2"/>
      <x:c r="I57" s="2"/>
    </x:row>
    <x:row r="58" ht="22" customHeight="1">
      <x:c r="A58" s="2"/>
      <x:c r="B58" s="2"/>
      <x:c r="C58" s="2"/>
      <x:c r="D58" s="2"/>
      <x:c r="E58" s="2"/>
      <x:c r="F58" s="2"/>
      <x:c r="G58" s="2"/>
      <x:c r="H58" s="2"/>
      <x:c r="I58" s="2"/>
    </x:row>
    <x:row r="59" ht="22" customHeight="1">
      <x:c r="A59" s="2"/>
      <x:c r="B59" s="2"/>
      <x:c r="C59" s="2"/>
      <x:c r="D59" s="2"/>
      <x:c r="E59" s="2"/>
      <x:c r="F59" s="2"/>
      <x:c r="G59" s="2"/>
      <x:c r="H59" s="2"/>
      <x:c r="I59" s="2"/>
    </x:row>
    <x:row r="60" ht="22" customHeight="1">
      <x:c r="A60" s="2"/>
      <x:c r="B60" s="2"/>
      <x:c r="C60" s="2"/>
      <x:c r="D60" s="2"/>
      <x:c r="E60" s="2"/>
      <x:c r="F60" s="2"/>
      <x:c r="G60" s="2"/>
      <x:c r="H60" s="2"/>
      <x:c r="I60" s="2"/>
    </x:row>
    <x:row r="61" ht="22" customHeight="1">
      <x:c r="A61" s="2"/>
      <x:c r="B61" s="2"/>
      <x:c r="C61" s="2"/>
      <x:c r="D61" s="2"/>
      <x:c r="E61" s="2"/>
      <x:c r="F61" s="2"/>
      <x:c r="G61" s="2"/>
      <x:c r="H61" s="2"/>
      <x:c r="I61" s="2"/>
    </x:row>
    <x:row r="62" ht="22" customHeight="1">
      <x:c r="A62" s="2"/>
      <x:c r="B62" s="2"/>
      <x:c r="C62" s="2"/>
      <x:c r="D62" s="2"/>
      <x:c r="E62" s="2"/>
      <x:c r="F62" s="2"/>
      <x:c r="G62" s="2"/>
      <x:c r="H62" s="2"/>
      <x:c r="I62" s="2"/>
    </x:row>
    <x:row r="63" ht="22" customHeight="1">
      <x:c r="A63" s="2"/>
      <x:c r="B63" s="2"/>
      <x:c r="C63" s="2"/>
      <x:c r="D63" s="2"/>
      <x:c r="E63" s="2"/>
      <x:c r="F63" s="2"/>
      <x:c r="G63" s="2"/>
      <x:c r="H63" s="2"/>
      <x:c r="I63" s="2"/>
    </x:row>
    <x:row r="64" ht="22" customHeight="1">
      <x:c r="A64" s="2"/>
      <x:c r="B64" s="2"/>
      <x:c r="C64" s="2"/>
      <x:c r="D64" s="2"/>
      <x:c r="E64" s="2"/>
      <x:c r="F64" s="2"/>
      <x:c r="G64" s="2"/>
      <x:c r="H64" s="2"/>
      <x:c r="I64" s="2"/>
    </x:row>
    <x:row r="65" ht="22" customHeight="1">
      <x:c r="A65" s="2"/>
      <x:c r="B65" s="2"/>
      <x:c r="C65" s="2"/>
      <x:c r="D65" s="2"/>
      <x:c r="E65" s="2"/>
      <x:c r="F65" s="2"/>
      <x:c r="G65" s="2"/>
      <x:c r="H65" s="2"/>
      <x:c r="I65" s="2"/>
    </x:row>
    <x:row r="66" ht="22" customHeight="1">
      <x:c r="A66" s="2"/>
      <x:c r="B66" s="2"/>
      <x:c r="C66" s="2"/>
      <x:c r="D66" s="2"/>
      <x:c r="E66" s="2"/>
      <x:c r="F66" s="2"/>
      <x:c r="G66" s="2"/>
      <x:c r="H66" s="2"/>
      <x:c r="I66" s="2"/>
    </x:row>
    <x:row r="67" ht="22" customHeight="1">
      <x:c r="A67" s="2"/>
      <x:c r="B67" s="2"/>
      <x:c r="C67" s="2"/>
      <x:c r="D67" s="2"/>
      <x:c r="E67" s="2"/>
      <x:c r="F67" s="2"/>
      <x:c r="G67" s="2"/>
      <x:c r="H67" s="2"/>
      <x:c r="I67" s="2"/>
    </x:row>
    <x:row r="68" ht="36" customHeight="1">
      <x:c r="A68" s="22" t="str">
        <x:v>La simulación respalda la ley y los momentos. Una media cercana a cero no sustituye la demostración de esperanza condicional.</x:v>
      </x:c>
      <x:c r="B68" s="22" t="str">
        <x:v>La simulación respalda la ley y los momentos. Una media cercana a cero no sustituye la demostración de esperanza condicional.</x:v>
      </x:c>
      <x:c r="C68" s="22" t="str">
        <x:v>La simulación respalda la ley y los momentos. Una media cercana a cero no sustituye la demostración de esperanza condicional.</x:v>
      </x:c>
      <x:c r="D68" s="22" t="str">
        <x:v>La simulación respalda la ley y los momentos. Una media cercana a cero no sustituye la demostración de esperanza condicional.</x:v>
      </x:c>
      <x:c r="E68" s="22" t="str">
        <x:v>La simulación respalda la ley y los momentos. Una media cercana a cero no sustituye la demostración de esperanza condicional.</x:v>
      </x:c>
      <x:c r="F68" s="22" t="str">
        <x:v>La simulación respalda la ley y los momentos. Una media cercana a cero no sustituye la demostración de esperanza condicional.</x:v>
      </x:c>
      <x:c r="G68" s="22" t="str">
        <x:v>La simulación respalda la ley y los momentos. Una media cercana a cero no sustituye la demostración de esperanza condicional.</x:v>
      </x:c>
      <x:c r="H68" s="22" t="str">
        <x:v>La simulación respalda la ley y los momentos. Una media cercana a cero no sustituye la demostración de esperanza condicional.</x:v>
      </x:c>
      <x:c r="I68" s="22" t="str">
        <x:v>La simulación respalda la ley y los momentos. Una media cercana a cero no sustituye la demostración de esperanza condicional.</x:v>
      </x:c>
    </x:row>
    <x:row r="69" ht="22" customHeight="1">
      <x:c r="A69" s="2"/>
      <x:c r="B69" s="2"/>
      <x:c r="C69" s="2"/>
      <x:c r="D69" s="2"/>
      <x:c r="E69" s="2"/>
      <x:c r="F69" s="2"/>
      <x:c r="G69" s="2"/>
      <x:c r="H69" s="2"/>
      <x:c r="I69" s="2"/>
    </x:row>
    <x:row r="70" ht="22" customHeight="1">
      <x:c r="A70" s="2"/>
      <x:c r="B70" s="2"/>
      <x:c r="C70" s="2"/>
      <x:c r="D70" s="2"/>
      <x:c r="E70" s="2"/>
      <x:c r="F70" s="2"/>
      <x:c r="G70" s="2"/>
      <x:c r="H70" s="2"/>
      <x:c r="I70" s="2"/>
    </x:row>
    <x:row r="71" ht="22" customHeight="1">
      <x:c r="A71" s="2"/>
      <x:c r="B71" s="2"/>
      <x:c r="C71" s="2"/>
      <x:c r="D71" s="2"/>
      <x:c r="E71" s="2"/>
      <x:c r="F71" s="2"/>
      <x:c r="G71" s="2"/>
      <x:c r="H71" s="2"/>
      <x:c r="I71" s="2"/>
    </x:row>
    <x:row r="72" ht="22" customHeight="1">
      <x:c r="A72" s="2"/>
      <x:c r="B72" s="2"/>
      <x:c r="C72" s="2"/>
      <x:c r="D72" s="2"/>
      <x:c r="E72" s="2"/>
      <x:c r="F72" s="2"/>
      <x:c r="G72" s="2"/>
      <x:c r="H72" s="2"/>
      <x:c r="I72" s="2"/>
    </x:row>
    <x:row r="73" ht="22" customHeight="1">
      <x:c r="A73" s="2"/>
      <x:c r="B73" s="2"/>
      <x:c r="C73" s="2"/>
      <x:c r="D73" s="2"/>
      <x:c r="E73" s="2"/>
      <x:c r="F73" s="2"/>
      <x:c r="G73" s="2"/>
      <x:c r="H73" s="2"/>
      <x:c r="I73" s="2"/>
    </x:row>
    <x:row r="74" ht="22" customHeight="1">
      <x:c r="A74" s="2"/>
      <x:c r="B74" s="2"/>
      <x:c r="C74" s="2"/>
      <x:c r="D74" s="2"/>
      <x:c r="E74" s="2"/>
      <x:c r="F74" s="2"/>
      <x:c r="G74" s="2"/>
      <x:c r="H74" s="2"/>
      <x:c r="I74" s="2"/>
    </x:row>
    <x:row r="75" ht="22" customHeight="1">
      <x:c r="A75" s="2"/>
      <x:c r="B75" s="2"/>
      <x:c r="C75" s="2"/>
      <x:c r="D75" s="2"/>
      <x:c r="E75" s="2"/>
      <x:c r="F75" s="2"/>
      <x:c r="G75" s="2"/>
      <x:c r="H75" s="2"/>
      <x:c r="I75" s="2"/>
    </x:row>
    <x:row r="76" ht="22" customHeight="1">
      <x:c r="A76" s="2"/>
      <x:c r="B76" s="2"/>
      <x:c r="C76" s="2"/>
      <x:c r="D76" s="2"/>
      <x:c r="E76" s="2"/>
      <x:c r="F76" s="2"/>
      <x:c r="G76" s="2"/>
      <x:c r="H76" s="2"/>
      <x:c r="I76" s="2"/>
    </x:row>
  </x:sheetData>
  <x:mergeCells>
    <x:mergeCell ref="A1:I2"/>
    <x:mergeCell ref="A3:I4"/>
    <x:mergeCell ref="A6:I6"/>
    <x:mergeCell ref="A7:I7"/>
    <x:mergeCell ref="A8:I9"/>
    <x:mergeCell ref="A10:I10"/>
    <x:mergeCell ref="A12:I12"/>
    <x:mergeCell ref="A13:I14"/>
    <x:mergeCell ref="A15:I15"/>
    <x:mergeCell ref="A16:I16"/>
    <x:mergeCell ref="A17:C17"/>
    <x:mergeCell ref="D17:E17"/>
    <x:mergeCell ref="F17:I17"/>
    <x:mergeCell ref="A18:C18"/>
    <x:mergeCell ref="D18:E18"/>
    <x:mergeCell ref="F18:I18"/>
    <x:mergeCell ref="A19:C19"/>
    <x:mergeCell ref="D19:E19"/>
    <x:mergeCell ref="F19:I19"/>
    <x:mergeCell ref="A20:C20"/>
    <x:mergeCell ref="D20:E20"/>
    <x:mergeCell ref="F20:I20"/>
    <x:mergeCell ref="A21:I21"/>
    <x:mergeCell ref="A23:I23"/>
    <x:mergeCell ref="A24:C24"/>
    <x:mergeCell ref="D24:E24"/>
    <x:mergeCell ref="F24:I24"/>
    <x:mergeCell ref="A25:C25"/>
    <x:mergeCell ref="D25:E25"/>
    <x:mergeCell ref="F25:I25"/>
    <x:mergeCell ref="A26:C26"/>
    <x:mergeCell ref="D26:E26"/>
    <x:mergeCell ref="F26:I26"/>
    <x:mergeCell ref="A27:C27"/>
    <x:mergeCell ref="D27:E27"/>
    <x:mergeCell ref="F27:I27"/>
    <x:mergeCell ref="A28:C28"/>
    <x:mergeCell ref="D28:E28"/>
    <x:mergeCell ref="F28:I28"/>
    <x:mergeCell ref="A29:C29"/>
    <x:mergeCell ref="D29:E29"/>
    <x:mergeCell ref="F29:I29"/>
    <x:mergeCell ref="A30:C30"/>
    <x:mergeCell ref="D30:E30"/>
    <x:mergeCell ref="F30:I30"/>
    <x:mergeCell ref="A31:C31"/>
    <x:mergeCell ref="D31:E31"/>
    <x:mergeCell ref="F31:I31"/>
    <x:mergeCell ref="A68:I68"/>
  </x:mergeCells>
  <x:pageMargins left="0.7" right="0.7" top="0.75" bottom="0.75" header="0.3" footer="0.3"/>
  <x:drawing xmlns:r="http://schemas.openxmlformats.org/officeDocument/2006/relationships" r:id="R53e3e8398ba54454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</x:cols>
  <x:sheetData>
    <x:row r="1" ht="25" customHeight="1">
      <x:c r="A1" s="5" t="str">
        <x:v>3 · Volatilidad y opción asiática</x:v>
      </x:c>
      <x:c r="B1" s="5" t="str">
        <x:v>3 · Volatilidad y opción asiática</x:v>
      </x:c>
      <x:c r="C1" s="5" t="str">
        <x:v>3 · Volatilidad y opción asiática</x:v>
      </x:c>
      <x:c r="D1" s="5" t="str">
        <x:v>3 · Volatilidad y opción asiática</x:v>
      </x:c>
      <x:c r="E1" s="5" t="str">
        <x:v>3 · Volatilidad y opción asiática</x:v>
      </x:c>
      <x:c r="F1" s="5" t="str">
        <x:v>3 · Volatilidad y opción asiática</x:v>
      </x:c>
      <x:c r="G1" s="5" t="str">
        <x:v>3 · Volatilidad y opción asiática</x:v>
      </x:c>
      <x:c r="H1" s="5" t="str">
        <x:v>3 · Volatilidad y opción asiática</x:v>
      </x:c>
      <x:c r="I1" s="5" t="str">
        <x:v>3 · Volatilidad y opción asiática</x:v>
      </x:c>
    </x:row>
    <x:row r="2" ht="25" customHeight="1">
      <x:c r="A2" s="5" t="str">
        <x:v>3 · Volatilidad y opción asiática</x:v>
      </x:c>
      <x:c r="B2" s="5" t="str">
        <x:v>3 · Volatilidad y opción asiática</x:v>
      </x:c>
      <x:c r="C2" s="5" t="str">
        <x:v>3 · Volatilidad y opción asiática</x:v>
      </x:c>
      <x:c r="D2" s="5" t="str">
        <x:v>3 · Volatilidad y opción asiática</x:v>
      </x:c>
      <x:c r="E2" s="5" t="str">
        <x:v>3 · Volatilidad y opción asiática</x:v>
      </x:c>
      <x:c r="F2" s="5" t="str">
        <x:v>3 · Volatilidad y opción asiática</x:v>
      </x:c>
      <x:c r="G2" s="5" t="str">
        <x:v>3 · Volatilidad y opción asiática</x:v>
      </x:c>
      <x:c r="H2" s="5" t="str">
        <x:v>3 · Volatilidad y opción asiática</x:v>
      </x:c>
      <x:c r="I2" s="5" t="str">
        <x:v>3 · Volatilidad y opción asiática</x:v>
      </x:c>
    </x:row>
    <x:row r="3" ht="21" customHeight="1">
      <x:c r="A3" s="7" t="str">
        <x:v>σ(t) = at² + bt + c · medida neutral al riesgo · precios en unidades monetarias.</x:v>
      </x:c>
      <x:c r="B3" s="7" t="str">
        <x:v>σ(t) = at² + bt + c · medida neutral al riesgo · precios en unidades monetarias.</x:v>
      </x:c>
      <x:c r="C3" s="7" t="str">
        <x:v>σ(t) = at² + bt + c · medida neutral al riesgo · precios en unidades monetarias.</x:v>
      </x:c>
      <x:c r="D3" s="7" t="str">
        <x:v>σ(t) = at² + bt + c · medida neutral al riesgo · precios en unidades monetarias.</x:v>
      </x:c>
      <x:c r="E3" s="7" t="str">
        <x:v>σ(t) = at² + bt + c · medida neutral al riesgo · precios en unidades monetarias.</x:v>
      </x:c>
      <x:c r="F3" s="7" t="str">
        <x:v>σ(t) = at² + bt + c · medida neutral al riesgo · precios en unidades monetarias.</x:v>
      </x:c>
      <x:c r="G3" s="7" t="str">
        <x:v>σ(t) = at² + bt + c · medida neutral al riesgo · precios en unidades monetarias.</x:v>
      </x:c>
      <x:c r="H3" s="7" t="str">
        <x:v>σ(t) = at² + bt + c · medida neutral al riesgo · precios en unidades monetarias.</x:v>
      </x:c>
      <x:c r="I3" s="7" t="str">
        <x:v>σ(t) = at² + bt + c · medida neutral al riesgo · precios en unidades monetarias.</x:v>
      </x:c>
    </x:row>
    <x:row r="4" ht="21" customHeight="1">
      <x:c r="A4" s="7" t="str">
        <x:v>σ(t) = at² + bt + c · medida neutral al riesgo · precios en unidades monetarias.</x:v>
      </x:c>
      <x:c r="B4" s="7" t="str">
        <x:v>σ(t) = at² + bt + c · medida neutral al riesgo · precios en unidades monetarias.</x:v>
      </x:c>
      <x:c r="C4" s="7" t="str">
        <x:v>σ(t) = at² + bt + c · medida neutral al riesgo · precios en unidades monetarias.</x:v>
      </x:c>
      <x:c r="D4" s="7" t="str">
        <x:v>σ(t) = at² + bt + c · medida neutral al riesgo · precios en unidades monetarias.</x:v>
      </x:c>
      <x:c r="E4" s="7" t="str">
        <x:v>σ(t) = at² + bt + c · medida neutral al riesgo · precios en unidades monetarias.</x:v>
      </x:c>
      <x:c r="F4" s="7" t="str">
        <x:v>σ(t) = at² + bt + c · medida neutral al riesgo · precios en unidades monetarias.</x:v>
      </x:c>
      <x:c r="G4" s="7" t="str">
        <x:v>σ(t) = at² + bt + c · medida neutral al riesgo · precios en unidades monetarias.</x:v>
      </x:c>
      <x:c r="H4" s="7" t="str">
        <x:v>σ(t) = at² + bt + c · medida neutral al riesgo · precios en unidades monetarias.</x:v>
      </x:c>
      <x:c r="I4" s="7" t="str">
        <x:v>σ(t) = at² + bt + c · medida neutral al riesgo · precios en unidades monetarias.</x:v>
      </x:c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</x:row>
    <x:row r="6" ht="27" customHeight="1">
      <x:c r="A6" s="10" t="str">
        <x:v>3.1–3.2 · Del modelo al precio europeo</x:v>
      </x:c>
      <x:c r="B6" s="10" t="str">
        <x:v>3.1–3.2 · Del modelo al precio europeo</x:v>
      </x:c>
      <x:c r="C6" s="10" t="str">
        <x:v>3.1–3.2 · Del modelo al precio europeo</x:v>
      </x:c>
      <x:c r="D6" s="10" t="str">
        <x:v>3.1–3.2 · Del modelo al precio europeo</x:v>
      </x:c>
      <x:c r="E6" s="10" t="str">
        <x:v>3.1–3.2 · Del modelo al precio europeo</x:v>
      </x:c>
      <x:c r="F6" s="10" t="str">
        <x:v>3.1–3.2 · Del modelo al precio europeo</x:v>
      </x:c>
      <x:c r="G6" s="10" t="str">
        <x:v>3.1–3.2 · Del modelo al precio europeo</x:v>
      </x:c>
      <x:c r="H6" s="10" t="str">
        <x:v>3.1–3.2 · Del modelo al precio europeo</x:v>
      </x:c>
      <x:c r="I6" s="10" t="str">
        <x:v>3.1–3.2 · Del modelo al precio europeo</x:v>
      </x:c>
    </x:row>
    <x:row r="7" ht="36" customHeight="1">
      <x:c r="A7" s="22" t="str">
        <x:v>Sₜ = S₀ exp(rt − V(t)/2 + ∫σdW), con V(t) = ∫σ²ds. Itô cancela −σ²/2 y deja dS = rSdt + σSdW.</x:v>
      </x:c>
      <x:c r="B7" s="22" t="str">
        <x:v>Sₜ = S₀ exp(rt − V(t)/2 + ∫σdW), con V(t) = ∫σ²ds. Itô cancela −σ²/2 y deja dS = rSdt + σSdW.</x:v>
      </x:c>
      <x:c r="C7" s="22" t="str">
        <x:v>Sₜ = S₀ exp(rt − V(t)/2 + ∫σdW), con V(t) = ∫σ²ds. Itô cancela −σ²/2 y deja dS = rSdt + σSdW.</x:v>
      </x:c>
      <x:c r="D7" s="22" t="str">
        <x:v>Sₜ = S₀ exp(rt − V(t)/2 + ∫σdW), con V(t) = ∫σ²ds. Itô cancela −σ²/2 y deja dS = rSdt + σSdW.</x:v>
      </x:c>
      <x:c r="E7" s="22" t="str">
        <x:v>Sₜ = S₀ exp(rt − V(t)/2 + ∫σdW), con V(t) = ∫σ²ds. Itô cancela −σ²/2 y deja dS = rSdt + σSdW.</x:v>
      </x:c>
      <x:c r="F7" s="22" t="str">
        <x:v>Sₜ = S₀ exp(rt − V(t)/2 + ∫σdW), con V(t) = ∫σ²ds. Itô cancela −σ²/2 y deja dS = rSdt + σSdW.</x:v>
      </x:c>
      <x:c r="G7" s="22" t="str">
        <x:v>Sₜ = S₀ exp(rt − V(t)/2 + ∫σdW), con V(t) = ∫σ²ds. Itô cancela −σ²/2 y deja dS = rSdt + σSdW.</x:v>
      </x:c>
      <x:c r="H7" s="22" t="str">
        <x:v>Sₜ = S₀ exp(rt − V(t)/2 + ∫σdW), con V(t) = ∫σ²ds. Itô cancela −σ²/2 y deja dS = rSdt + σSdW.</x:v>
      </x:c>
      <x:c r="I7" s="22" t="str">
        <x:v>Sₜ = S₀ exp(rt − V(t)/2 + ∫σdW), con V(t) = ∫σ²ds. Itô cancela −σ²/2 y deja dS = rSdt + σSdW.</x:v>
      </x:c>
    </x:row>
    <x:row r="8" ht="36" customHeight="1">
      <x:c r="A8" s="22" t="str">
        <x:v>Call = S₀Φ(d₁) − Ke⁻ʳᵀΦ(d₂); d₁ = [ln(S₀/K)+rT+V(T)/2]/√V(T), d₂ = d₁−√V(T).</x:v>
      </x:c>
      <x:c r="B8" s="22" t="str">
        <x:v>Call = S₀Φ(d₁) − Ke⁻ʳᵀΦ(d₂); d₁ = [ln(S₀/K)+rT+V(T)/2]/√V(T), d₂ = d₁−√V(T).</x:v>
      </x:c>
      <x:c r="C8" s="22" t="str">
        <x:v>Call = S₀Φ(d₁) − Ke⁻ʳᵀΦ(d₂); d₁ = [ln(S₀/K)+rT+V(T)/2]/√V(T), d₂ = d₁−√V(T).</x:v>
      </x:c>
      <x:c r="D8" s="22" t="str">
        <x:v>Call = S₀Φ(d₁) − Ke⁻ʳᵀΦ(d₂); d₁ = [ln(S₀/K)+rT+V(T)/2]/√V(T), d₂ = d₁−√V(T).</x:v>
      </x:c>
      <x:c r="E8" s="22" t="str">
        <x:v>Call = S₀Φ(d₁) − Ke⁻ʳᵀΦ(d₂); d₁ = [ln(S₀/K)+rT+V(T)/2]/√V(T), d₂ = d₁−√V(T).</x:v>
      </x:c>
      <x:c r="F8" s="22" t="str">
        <x:v>Call = S₀Φ(d₁) − Ke⁻ʳᵀΦ(d₂); d₁ = [ln(S₀/K)+rT+V(T)/2]/√V(T), d₂ = d₁−√V(T).</x:v>
      </x:c>
      <x:c r="G8" s="22" t="str">
        <x:v>Call = S₀Φ(d₁) − Ke⁻ʳᵀΦ(d₂); d₁ = [ln(S₀/K)+rT+V(T)/2]/√V(T), d₂ = d₁−√V(T).</x:v>
      </x:c>
      <x:c r="H8" s="22" t="str">
        <x:v>Call = S₀Φ(d₁) − Ke⁻ʳᵀΦ(d₂); d₁ = [ln(S₀/K)+rT+V(T)/2]/√V(T), d₂ = d₁−√V(T).</x:v>
      </x:c>
      <x:c r="I8" s="22" t="str">
        <x:v>Call = S₀Φ(d₁) − Ke⁻ʳᵀΦ(d₂); d₁ = [ln(S₀/K)+rT+V(T)/2]/√V(T), d₂ = d₁−√V(T).</x:v>
      </x:c>
    </x:row>
    <x:row r="9" ht="22" customHeight="1">
      <x:c r="A9" s="2"/>
      <x:c r="B9" s="2"/>
      <x:c r="C9" s="2"/>
      <x:c r="D9" s="2"/>
      <x:c r="E9" s="2"/>
      <x:c r="F9" s="2"/>
      <x:c r="G9" s="2"/>
      <x:c r="H9" s="2"/>
      <x:c r="I9" s="2"/>
    </x:row>
    <x:row r="10" ht="27" customHeight="1">
      <x:c r="A10" s="10" t="str">
        <x:v>3.3 · Coeficientes calibrados en Excel</x:v>
      </x:c>
      <x:c r="B10" s="10" t="str">
        <x:v>3.3 · Coeficientes calibrados en Excel</x:v>
      </x:c>
      <x:c r="C10" s="10" t="str">
        <x:v>3.3 · Coeficientes calibrados en Excel</x:v>
      </x:c>
      <x:c r="D10" s="10" t="str">
        <x:v>3.3 · Coeficientes calibrados en Excel</x:v>
      </x:c>
      <x:c r="E10" s="10" t="str">
        <x:v>3.3 · Coeficientes calibrados en Excel</x:v>
      </x:c>
      <x:c r="F10" s="10" t="str">
        <x:v>3.3 · Coeficientes calibrados en Excel</x:v>
      </x:c>
      <x:c r="G10" s="10" t="str">
        <x:v>3.3 · Coeficientes calibrados en Excel</x:v>
      </x:c>
      <x:c r="H10" s="10" t="str">
        <x:v>3.3 · Coeficientes calibrados en Excel</x:v>
      </x:c>
      <x:c r="I10" s="10" t="str">
        <x:v>3.3 · Coeficientes calibrados en Excel</x:v>
      </x:c>
    </x:row>
    <x:row r="11" ht="31" customHeight="1">
      <x:c r="A11" s="57" t="str">
        <x:v>a</x:v>
      </x:c>
      <x:c r="B11" s="57" t="str">
        <x:v>a</x:v>
      </x:c>
      <x:c r="C11" s="57" t="str">
        <x:v>a</x:v>
      </x:c>
      <x:c r="D11" s="62" t="n">
        <x:f>'E3 Calibracion'!B218</x:f>
        <x:v>0.04995871687258639</x:v>
      </x:c>
      <x:c r="E11" s="2"/>
      <x:c r="F11" s="22" t="str">
        <x:v>   años⁻⁵ᐟ²</x:v>
      </x:c>
      <x:c r="G11" s="22" t="str">
        <x:v>   años⁻⁵ᐟ²</x:v>
      </x:c>
      <x:c r="H11" s="22" t="str">
        <x:v>   años⁻⁵ᐟ²</x:v>
      </x:c>
      <x:c r="I11" s="22" t="str">
        <x:v>   años⁻⁵ᐟ²</x:v>
      </x:c>
    </x:row>
    <x:row r="12" ht="31" customHeight="1">
      <x:c r="A12" s="57" t="str">
        <x:v>b</x:v>
      </x:c>
      <x:c r="B12" s="57" t="str">
        <x:v>b</x:v>
      </x:c>
      <x:c r="C12" s="57" t="str">
        <x:v>b</x:v>
      </x:c>
      <x:c r="D12" s="62" t="n">
        <x:f>'E3 Calibracion'!C218</x:f>
        <x:v>0.20009475161933676</x:v>
      </x:c>
      <x:c r="E12" s="2"/>
      <x:c r="F12" s="22" t="str">
        <x:v>   años⁻³ᐟ²</x:v>
      </x:c>
      <x:c r="G12" s="22" t="str">
        <x:v>   años⁻³ᐟ²</x:v>
      </x:c>
      <x:c r="H12" s="22" t="str">
        <x:v>   años⁻³ᐟ²</x:v>
      </x:c>
      <x:c r="I12" s="22" t="str">
        <x:v>   años⁻³ᐟ²</x:v>
      </x:c>
    </x:row>
    <x:row r="13" ht="31" customHeight="1">
      <x:c r="A13" s="57" t="str">
        <x:v>c</x:v>
      </x:c>
      <x:c r="B13" s="57" t="str">
        <x:v>c</x:v>
      </x:c>
      <x:c r="C13" s="57" t="str">
        <x:v>c</x:v>
      </x:c>
      <x:c r="D13" s="62" t="n">
        <x:f>'E3 Calibracion'!D218</x:f>
        <x:v>0.09988128043423558</x:v>
      </x:c>
      <x:c r="E13" s="2"/>
      <x:c r="F13" s="22" t="str">
        <x:v>   años⁻¹ᐟ²</x:v>
      </x:c>
      <x:c r="G13" s="22" t="str">
        <x:v>   años⁻¹ᐟ²</x:v>
      </x:c>
      <x:c r="H13" s="22" t="str">
        <x:v>   años⁻¹ᐟ²</x:v>
      </x:c>
      <x:c r="I13" s="22" t="str">
        <x:v>   años⁻¹ᐟ²</x:v>
      </x:c>
    </x:row>
    <x:row r="14" ht="31" customHeight="1">
      <x:c r="A14" s="57" t="str">
        <x:v>Mínimo σ en [0,2]</x:v>
      </x:c>
      <x:c r="B14" s="57" t="str">
        <x:v>Mínimo σ en [0,2]</x:v>
      </x:c>
      <x:c r="C14" s="57" t="str">
        <x:v>Mínimo σ en [0,2]</x:v>
      </x:c>
      <x:c r="D14" s="35" t="n">
        <x:f>MIN(D13,D11*'Datos'!B25^2+D12*'Datos'!B25+D13,IF(AND(D11&gt;0,-D12/(2*D11)&gt;0,-D12/(2*D11)&lt;'Datos'!B25),D13-D12^2/(4*D11),D13))</x:f>
        <x:v>0.09988128043423558</x:v>
      </x:c>
      <x:c r="E14" s="2"/>
      <x:c r="F14" s="22" t="str">
        <x:v>   Extremos y vértice interior, si es mínimo.</x:v>
      </x:c>
      <x:c r="G14" s="22" t="str">
        <x:v>   Extremos y vértice interior, si es mínimo.</x:v>
      </x:c>
      <x:c r="H14" s="22" t="str">
        <x:v>   Extremos y vértice interior, si es mínimo.</x:v>
      </x:c>
      <x:c r="I14" s="22" t="str">
        <x:v>   Extremos y vértice interior, si es mínimo.</x:v>
      </x:c>
    </x:row>
    <x:row r="15" ht="22" customHeight="1">
      <x:c r="A15" s="2"/>
      <x:c r="B15" s="2"/>
      <x:c r="C15" s="2"/>
      <x:c r="D15" s="2"/>
      <x:c r="E15" s="2"/>
      <x:c r="F15" s="2"/>
      <x:c r="G15" s="2"/>
      <x:c r="H15" s="2"/>
      <x:c r="I15" s="2"/>
    </x:row>
    <x:row r="16" ht="22" customHeight="1">
      <x:c r="A16" s="2"/>
      <x:c r="B16" s="2"/>
      <x:c r="C16" s="2"/>
      <x:c r="D16" s="2"/>
      <x:c r="E16" s="2"/>
      <x:c r="F16" s="2"/>
      <x:c r="G16" s="2"/>
      <x:c r="H16" s="2"/>
      <x:c r="I16" s="2"/>
    </x:row>
    <x:row r="17" ht="36" customHeight="1">
      <x:c r="A17" s="13" t="str">
        <x:v>T (años)</x:v>
      </x:c>
      <x:c r="B17" s="13" t="str">
        <x:v>Call mercado</x:v>
      </x:c>
      <x:c r="C17" s="13" t="str">
        <x:v>V implícita</x:v>
      </x:c>
      <x:c r="D17" s="13" t="str">
        <x:v>V modelo</x:v>
      </x:c>
      <x:c r="E17" s="13" t="str">
        <x:v>σ efectiva</x:v>
      </x:c>
      <x:c r="F17" s="13" t="str">
        <x:v>d₁</x:v>
      </x:c>
      <x:c r="G17" s="13" t="str">
        <x:v>d₂</x:v>
      </x:c>
      <x:c r="H17" s="13" t="str">
        <x:v>Call modelo</x:v>
      </x:c>
      <x:c r="I17" s="13" t="str">
        <x:v>Error</x:v>
      </x:c>
    </x:row>
    <x:row r="18" ht="22" customHeight="1">
      <x:c r="A18" s="49" t="n">
        <x:f>'Datos'!B42</x:f>
        <x:v>1</x:v>
      </x:c>
      <x:c r="B18" s="49" t="n">
        <x:f>'Datos'!C42</x:f>
        <x:v>9.55</x:v>
      </x:c>
      <x:c r="C18" s="60" t="n">
        <x:f>'E3 Calibracion'!F55</x:f>
        <x:v>0.05213200032991523</x:v>
      </x:c>
      <x:c r="D18" s="61" t="n">
        <x:f>($D$11^2*A18^5/5+$D$11*$D$12*A18^4/2+($D$12^2+2*$D$11*$D$13)*A18^3/3+$D$12*$D$13*A18^2+$D$13^2*A18)</x:f>
        <x:v>0.05213200032991523</x:v>
      </x:c>
      <x:c r="E18" s="34" t="n">
        <x:f>SQRT(D18/A18)</x:f>
        <x:v>0.22832433144523873</x:v>
      </x:c>
      <x:c r="F18" s="47" t="n">
        <x:f>(LN('Datos'!$B$22/'Datos'!$B$23)+'Datos'!$B$24*A18+D18/2)/SQRT(D18)</x:f>
        <x:v>0.1579595128415286</x:v>
      </x:c>
      <x:c r="G18" s="46" t="n">
        <x:f>F18-SQRT(D18)</x:f>
        <x:v>-0.07036481860371013</x:v>
      </x:c>
      <x:c r="H18" s="47" t="n">
        <x:f>'Datos'!$B$22*NORM.S.DIST(F18,TRUE)-'Datos'!$B$23*EXP(-'Datos'!$B$24*A18)*NORM.S.DIST(G18,TRUE)</x:f>
        <x:v>9.54999999999999</x:v>
      </x:c>
      <x:c r="I18" s="59" t="n">
        <x:f>H18-B18</x:f>
        <x:v>-1.0658141036401503e-14</x:v>
      </x:c>
    </x:row>
    <x:row r="19" ht="22" customHeight="1">
      <x:c r="A19" s="49" t="n">
        <x:f>'Datos'!B43</x:f>
        <x:v>1.25</x:v>
      </x:c>
      <x:c r="B19" s="49" t="n">
        <x:f>'Datos'!C43</x:f>
        <x:v>12.48</x:v>
      </x:c>
      <x:c r="C19" s="60" t="n">
        <x:f>'E3 Calibracion'!F107</x:f>
        <x:v>0.08998778213230021</x:v>
      </x:c>
      <x:c r="D19" s="61" t="n">
        <x:f>($D$11^2*A19^5/5+$D$11*$D$12*A19^4/2+($D$12^2+2*$D$11*$D$13)*A19^3/3+$D$12*$D$13*A19^2+$D$13^2*A19)</x:f>
        <x:v>0.08998778213230021</x:v>
      </x:c>
      <x:c r="E19" s="34" t="n">
        <x:f>SQRT(D19/A19)</x:f>
        <x:v>0.26830994335998837</x:v>
      </x:c>
      <x:c r="F19" s="47" t="n">
        <x:f>(LN('Datos'!$B$22/'Datos'!$B$23)+'Datos'!$B$24*A19+D19/2)/SQRT(D19)</x:f>
        <x:v>0.19165931326278382</x:v>
      </x:c>
      <x:c r="G19" s="46" t="n">
        <x:f>F19-SQRT(D19)</x:f>
        <x:v>-0.10832032293324237</x:v>
      </x:c>
      <x:c r="H19" s="47" t="n">
        <x:f>'Datos'!$B$22*NORM.S.DIST(F19,TRUE)-'Datos'!$B$23*EXP(-'Datos'!$B$24*A19)*NORM.S.DIST(G19,TRUE)</x:f>
        <x:v>12.479999999999443</x:v>
      </x:c>
      <x:c r="I19" s="59" t="n">
        <x:f>H19-B19</x:f>
        <x:v>-5.577760475716786e-13</x:v>
      </x:c>
    </x:row>
    <x:row r="20" ht="22" customHeight="1">
      <x:c r="A20" s="49" t="n">
        <x:f>'Datos'!B44</x:f>
        <x:v>2</x:v>
      </x:c>
      <x:c r="B20" s="49" t="n">
        <x:f>'Datos'!C44</x:f>
        <x:v>23.36</x:v>
      </x:c>
      <x:c r="C20" s="60" t="n">
        <x:f>'E3 Calibracion'!F159</x:f>
        <x:v>0.32922160200741757</x:v>
      </x:c>
      <x:c r="D20" s="61" t="n">
        <x:f>($D$11^2*A20^5/5+$D$11*$D$12*A20^4/2+($D$12^2+2*$D$11*$D$13)*A20^3/3+$D$12*$D$13*A20^2+$D$13^2*A20)</x:f>
        <x:v>0.32922160200741757</x:v>
      </x:c>
      <x:c r="E20" s="34" t="n">
        <x:f>SQRT(D20/A20)</x:f>
        <x:v>0.40572256654481126</x:v>
      </x:c>
      <x:c r="F20" s="47" t="n">
        <x:f>(LN('Datos'!$B$22/'Datos'!$B$23)+'Datos'!$B$24*A20+D20/2)/SQRT(D20)</x:f>
        <x:v>0.321745843179726</x:v>
      </x:c>
      <x:c r="G20" s="46" t="n">
        <x:f>F20-SQRT(D20)</x:f>
        <x:v>-0.2520325129887666</x:v>
      </x:c>
      <x:c r="H20" s="47" t="n">
        <x:f>'Datos'!$B$22*NORM.S.DIST(F20,TRUE)-'Datos'!$B$23*EXP(-'Datos'!$B$24*A20)*NORM.S.DIST(G20,TRUE)</x:f>
        <x:v>23.359999999999978</x:v>
      </x:c>
      <x:c r="I20" s="59" t="n">
        <x:f>H20-B20</x:f>
        <x:v>-2.1316282072803006e-14</x:v>
      </x:c>
    </x:row>
    <x:row r="21" ht="22" customHeight="1">
      <x:c r="A21" s="2"/>
      <x:c r="B21" s="2"/>
      <x:c r="C21" s="2"/>
      <x:c r="D21" s="2"/>
      <x:c r="E21" s="2"/>
      <x:c r="F21" s="2"/>
      <x:c r="G21" s="2"/>
      <x:c r="H21" s="2"/>
      <x:c r="I21" s="2"/>
    </x:row>
    <x:row r="22" ht="36" customHeight="1">
      <x:c r="A22" s="22" t="str">
        <x:v>La raíz se elige con σ(t) ≥ 0 en [0,2]. El ajuste europeo no identifica por sí solo la forma entre vencimientos; el notebook documenta cuatro raíces algebraicas.</x:v>
      </x:c>
      <x:c r="B22" s="22" t="str">
        <x:v>La raíz se elige con σ(t) ≥ 0 en [0,2]. El ajuste europeo no identifica por sí solo la forma entre vencimientos; el notebook documenta cuatro raíces algebraicas.</x:v>
      </x:c>
      <x:c r="C22" s="22" t="str">
        <x:v>La raíz se elige con σ(t) ≥ 0 en [0,2]. El ajuste europeo no identifica por sí solo la forma entre vencimientos; el notebook documenta cuatro raíces algebraicas.</x:v>
      </x:c>
      <x:c r="D22" s="22" t="str">
        <x:v>La raíz se elige con σ(t) ≥ 0 en [0,2]. El ajuste europeo no identifica por sí solo la forma entre vencimientos; el notebook documenta cuatro raíces algebraicas.</x:v>
      </x:c>
      <x:c r="E22" s="22" t="str">
        <x:v>La raíz se elige con σ(t) ≥ 0 en [0,2]. El ajuste europeo no identifica por sí solo la forma entre vencimientos; el notebook documenta cuatro raíces algebraicas.</x:v>
      </x:c>
      <x:c r="F22" s="22" t="str">
        <x:v>La raíz se elige con σ(t) ≥ 0 en [0,2]. El ajuste europeo no identifica por sí solo la forma entre vencimientos; el notebook documenta cuatro raíces algebraicas.</x:v>
      </x:c>
      <x:c r="G22" s="22" t="str">
        <x:v>La raíz se elige con σ(t) ≥ 0 en [0,2]. El ajuste europeo no identifica por sí solo la forma entre vencimientos; el notebook documenta cuatro raíces algebraicas.</x:v>
      </x:c>
      <x:c r="H22" s="22" t="str">
        <x:v>La raíz se elige con σ(t) ≥ 0 en [0,2]. El ajuste europeo no identifica por sí solo la forma entre vencimientos; el notebook documenta cuatro raíces algebraicas.</x:v>
      </x:c>
      <x:c r="I22" s="22" t="str">
        <x:v>La raíz se elige con σ(t) ≥ 0 en [0,2]. El ajuste europeo no identifica por sí solo la forma entre vencimientos; el notebook documenta cuatro raíces algebraicas.</x:v>
      </x:c>
    </x:row>
    <x:row r="23" ht="22" customHeight="1">
      <x:c r="A23" s="2"/>
      <x:c r="B23" s="2"/>
      <x:c r="C23" s="2"/>
      <x:c r="D23" s="2"/>
      <x:c r="E23" s="2"/>
      <x:c r="F23" s="2"/>
      <x:c r="G23" s="2"/>
      <x:c r="H23" s="2"/>
      <x:c r="I23" s="2"/>
    </x:row>
    <x:row r="24" ht="27" customHeight="1">
      <x:c r="A24" s="10" t="str">
        <x:v>3.4 · Cuatro fijaciones; el payoff se paga a dos años</x:v>
      </x:c>
      <x:c r="B24" s="10" t="str">
        <x:v>3.4 · Cuatro fijaciones; el payoff se paga a dos años</x:v>
      </x:c>
      <x:c r="C24" s="10" t="str">
        <x:v>3.4 · Cuatro fijaciones; el payoff se paga a dos años</x:v>
      </x:c>
      <x:c r="D24" s="10" t="str">
        <x:v>3.4 · Cuatro fijaciones; el payoff se paga a dos años</x:v>
      </x:c>
      <x:c r="E24" s="10" t="str">
        <x:v>3.4 · Cuatro fijaciones; el payoff se paga a dos años</x:v>
      </x:c>
      <x:c r="F24" s="10" t="str">
        <x:v>3.4 · Cuatro fijaciones; el payoff se paga a dos años</x:v>
      </x:c>
      <x:c r="G24" s="10" t="str">
        <x:v>3.4 · Cuatro fijaciones; el payoff se paga a dos años</x:v>
      </x:c>
      <x:c r="H24" s="10" t="str">
        <x:v>3.4 · Cuatro fijaciones; el payoff se paga a dos años</x:v>
      </x:c>
      <x:c r="I24" s="10" t="str">
        <x:v>3.4 · Cuatro fijaciones; el payoff se paga a dos años</x:v>
      </x:c>
    </x:row>
    <x:row r="25" ht="36" customHeight="1">
      <x:c r="A25" s="13" t="str">
        <x:v>Fijación</x:v>
      </x:c>
      <x:c r="B25" s="13" t="str">
        <x:v>t (años)</x:v>
      </x:c>
      <x:c r="C25" s="13" t="str">
        <x:v>V(t)</x:v>
      </x:c>
      <x:c r="D25" s="13" t="str">
        <x:v>ΔV</x:v>
      </x:c>
      <x:c r="E25" s="13" t="str">
        <x:v>√ΔV</x:v>
      </x:c>
      <x:c r="F25" s="13" t="str">
        <x:v>Media log S</x:v>
      </x:c>
      <x:c r="G25" s="13" t="str">
        <x:v>σ(t)</x:v>
      </x:c>
      <x:c r="H25" s="2"/>
      <x:c r="I25" s="2"/>
    </x:row>
    <x:row r="26" ht="22" customHeight="1">
      <x:c r="A26" s="2" t="n">
        <x:v>1</x:v>
      </x:c>
      <x:c r="B26" s="49" t="n">
        <x:f>'Datos'!B48</x:f>
        <x:v>1.15</x:v>
      </x:c>
      <x:c r="C26" s="61" t="n">
        <x:f>($D$11^2*B26^5/5+$D$11*$D$12*B26^4/2+($D$12^2+2*$D$11*$D$13)*B26^3/3+$D$12*$D$13*B26^2+$D$13^2*B26)</x:f>
        <x:v>0.07300673028329818</x:v>
      </x:c>
      <x:c r="D26" s="61" t="n">
        <x:f>C26</x:f>
        <x:v>0.07300673028329818</x:v>
      </x:c>
      <x:c r="E26" s="61" t="n">
        <x:f>SQRT(D26)</x:f>
        <x:v>0.2701975763830945</x:v>
      </x:c>
      <x:c r="F26" s="60" t="n">
        <x:f>LN('Datos'!$B$22)+'Datos'!$B$24*B26-C26/2</x:f>
        <x:v>4.5801668208464426</x:v>
      </x:c>
      <x:c r="G26" s="34" t="n">
        <x:f>$D$11*B26^2+$D$12*B26+$D$13</x:f>
        <x:v>0.39606064786046835</x:v>
      </x:c>
      <x:c r="H26" s="2"/>
      <x:c r="I26" s="2"/>
    </x:row>
    <x:row r="27" ht="22" customHeight="1">
      <x:c r="A27" s="2" t="n">
        <x:v>2</x:v>
      </x:c>
      <x:c r="B27" s="49" t="n">
        <x:f>'Datos'!B49</x:f>
        <x:v>1.3</x:v>
      </x:c>
      <x:c r="C27" s="61" t="n">
        <x:f>($D$11^2*B27^5/5+$D$11*$D$12*B27^4/2+($D$12^2+2*$D$11*$D$13)*B27^3/3+$D$12*$D$13*B27^2+$D$13^2*B27)</x:f>
        <x:v>0.09950358321223879</x:v>
      </x:c>
      <x:c r="D27" s="61" t="n">
        <x:f>C27-C26</x:f>
        <x:v>0.026496852928940606</x:v>
      </x:c>
      <x:c r="E27" s="61" t="n">
        <x:f>SQRT(D27)</x:f>
        <x:v>0.1627785395220777</x:v>
      </x:c>
      <x:c r="F27" s="60" t="n">
        <x:f>LN('Datos'!$B$22)+'Datos'!$B$24*B27-C27/2</x:f>
        <x:v>4.568418394381973</x:v>
      </x:c>
      <x:c r="G27" s="34" t="n">
        <x:f>$D$11*B27^2+$D$12*B27+$D$13</x:f>
        <x:v>0.4444346890540444</x:v>
      </x:c>
      <x:c r="H27" s="2"/>
      <x:c r="I27" s="2"/>
    </x:row>
    <x:row r="28" ht="22" customHeight="1">
      <x:c r="A28" s="2" t="n">
        <x:v>3</x:v>
      </x:c>
      <x:c r="B28" s="49" t="n">
        <x:f>'Datos'!B50</x:f>
        <x:v>1.6</x:v>
      </x:c>
      <x:c r="C28" s="61" t="n">
        <x:f>($D$11^2*B28^5/5+$D$11*$D$12*B28^4/2+($D$12^2+2*$D$11*$D$13)*B28^3/3+$D$12*$D$13*B28^2+$D$13^2*B28)</x:f>
        <x:v>0.17340711444319679</x:v>
      </x:c>
      <x:c r="D28" s="61" t="n">
        <x:f>C28-C27</x:f>
        <x:v>0.073903531230958</x:v>
      </x:c>
      <x:c r="E28" s="61" t="n">
        <x:f>SQRT(D28)</x:f>
        <x:v>0.27185203922530726</x:v>
      </x:c>
      <x:c r="F28" s="60" t="n">
        <x:f>LN('Datos'!$B$22)+'Datos'!$B$24*B28-C28/2</x:f>
        <x:v>4.534466628766493</x:v>
      </x:c>
      <x:c r="G28" s="34" t="n">
        <x:f>$D$11*B28^2+$D$12*B28+$D$13</x:f>
        <x:v>0.5479271982189956</x:v>
      </x:c>
      <x:c r="H28" s="2"/>
      <x:c r="I28" s="2"/>
    </x:row>
    <x:row r="29" ht="22" customHeight="1">
      <x:c r="A29" s="2" t="n">
        <x:v>4</x:v>
      </x:c>
      <x:c r="B29" s="49" t="n">
        <x:f>'Datos'!B51</x:f>
        <x:v>1.7</x:v>
      </x:c>
      <x:c r="C29" s="61" t="n">
        <x:f>($D$11^2*B29^5/5+$D$11*$D$12*B29^4/2+($D$12^2+2*$D$11*$D$13)*B29^3/3+$D$12*$D$13*B29^2+$D$13^2*B29)</x:f>
        <x:v>0.20546421348733854</x:v>
      </x:c>
      <x:c r="D29" s="61" t="n">
        <x:f>C29-C28</x:f>
        <x:v>0.03205709904414175</x:v>
      </x:c>
      <x:c r="E29" s="61" t="n">
        <x:f>SQRT(D29)</x:f>
        <x:v>0.17904496374972895</x:v>
      </x:c>
      <x:c r="F29" s="60" t="n">
        <x:f>LN('Datos'!$B$22)+'Datos'!$B$24*B29-C29/2</x:f>
        <x:v>4.519438079244423</x:v>
      </x:c>
      <x:c r="G29" s="34" t="n">
        <x:f>$D$11*B29^2+$D$12*B29+$D$13</x:f>
        <x:v>0.5844230499488827</x:v>
      </x:c>
      <x:c r="H29" s="2"/>
      <x:c r="I29" s="2"/>
    </x:row>
    <x:row r="30" ht="22" customHeight="1">
      <x:c r="A30" s="2"/>
      <x:c r="B30" s="2"/>
      <x:c r="C30" s="2"/>
      <x:c r="D30" s="2"/>
      <x:c r="E30" s="2"/>
      <x:c r="F30" s="2"/>
      <x:c r="G30" s="2"/>
      <x:c r="H30" s="2"/>
      <x:c r="I30" s="2"/>
    </x:row>
    <x:row r="31" ht="31" customHeight="1">
      <x:c r="A31" s="57" t="str">
        <x:v>Factor de descuento</x:v>
      </x:c>
      <x:c r="B31" s="57" t="str">
        <x:v>Factor de descuento</x:v>
      </x:c>
      <x:c r="C31" s="57" t="str">
        <x:v>Factor de descuento</x:v>
      </x:c>
      <x:c r="D31" s="67" t="n">
        <x:f>EXP(-'Datos'!B24*'Datos'!B25)</x:f>
        <x:v>0.9801986733067553</x:v>
      </x:c>
      <x:c r="E31" s="2"/>
      <x:c r="F31" s="22" t="str">
        <x:v>   Se descuenta hasta T = 2, no hasta 1,70.</x:v>
      </x:c>
      <x:c r="G31" s="22" t="str">
        <x:v>   Se descuenta hasta T = 2, no hasta 1,70.</x:v>
      </x:c>
      <x:c r="H31" s="22" t="str">
        <x:v>   Se descuenta hasta T = 2, no hasta 1,70.</x:v>
      </x:c>
      <x:c r="I31" s="22" t="str">
        <x:v>   Se descuenta hasta T = 2, no hasta 1,70.</x:v>
      </x:c>
    </x:row>
    <x:row r="32" ht="22" customHeight="1">
      <x:c r="A32" s="2"/>
      <x:c r="B32" s="2"/>
      <x:c r="C32" s="2"/>
      <x:c r="D32" s="2"/>
      <x:c r="E32" s="2"/>
      <x:c r="F32" s="2"/>
      <x:c r="G32" s="2"/>
      <x:c r="H32" s="2"/>
      <x:c r="I32" s="2"/>
    </x:row>
    <x:row r="33" ht="27" customHeight="1">
      <x:c r="A33" s="10" t="str">
        <x:v>Control geométrico · precio analítico</x:v>
      </x:c>
      <x:c r="B33" s="10" t="str">
        <x:v>Control geométrico · precio analítico</x:v>
      </x:c>
      <x:c r="C33" s="10" t="str">
        <x:v>Control geométrico · precio analítico</x:v>
      </x:c>
      <x:c r="D33" s="10" t="str">
        <x:v>Control geométrico · precio analítico</x:v>
      </x:c>
      <x:c r="E33" s="10" t="str">
        <x:v>Control geométrico · precio analítico</x:v>
      </x:c>
      <x:c r="F33" s="10" t="str">
        <x:v>Control geométrico · precio analítico</x:v>
      </x:c>
      <x:c r="G33" s="10" t="str">
        <x:v>Control geométrico · precio analítico</x:v>
      </x:c>
      <x:c r="H33" s="10" t="str">
        <x:v>Control geométrico · precio analítico</x:v>
      </x:c>
      <x:c r="I33" s="10" t="str">
        <x:v>Control geométrico · precio analítico</x:v>
      </x:c>
    </x:row>
    <x:row r="34" ht="31" customHeight="1">
      <x:c r="A34" s="57" t="str">
        <x:v>Media log G</x:v>
      </x:c>
      <x:c r="B34" s="57" t="str">
        <x:v>Media log G</x:v>
      </x:c>
      <x:c r="C34" s="57" t="str">
        <x:v>Media log G</x:v>
      </x:c>
      <x:c r="D34" s="61" t="n">
        <x:f>AVERAGE(F26:F29)</x:f>
        <x:v>4.550622480809833</x:v>
      </x:c>
      <x:c r="E34" s="2"/>
      <x:c r="F34" s="22" t="str">
        <x:v>   Promedio de las medias de log S.</x:v>
      </x:c>
      <x:c r="G34" s="22" t="str">
        <x:v>   Promedio de las medias de log S.</x:v>
      </x:c>
      <x:c r="H34" s="22" t="str">
        <x:v>   Promedio de las medias de log S.</x:v>
      </x:c>
      <x:c r="I34" s="22" t="str">
        <x:v>   Promedio de las medias de log S.</x:v>
      </x:c>
    </x:row>
    <x:row r="35" ht="31" customHeight="1">
      <x:c r="A35" s="57" t="str">
        <x:v>Varianza log G</x:v>
      </x:c>
      <x:c r="B35" s="57" t="str">
        <x:v>Varianza log G</x:v>
      </x:c>
      <x:c r="C35" s="57" t="str">
        <x:v>Varianza log G</x:v>
      </x:c>
      <x:c r="D35" s="60" t="n">
        <x:f>SUM('E3 Calibracion'!F232:I235)/COUNT(B26:B29)^2</x:f>
        <x:v>0.10839066155382564</x:v>
      </x:c>
      <x:c r="E35" s="2"/>
      <x:c r="F35" s="22" t="str">
        <x:v>   Suma de V(min(tᵢ,tⱼ)) / número de fijaciones².</x:v>
      </x:c>
      <x:c r="G35" s="22" t="str">
        <x:v>   Suma de V(min(tᵢ,tⱼ)) / número de fijaciones².</x:v>
      </x:c>
      <x:c r="H35" s="22" t="str">
        <x:v>   Suma de V(min(tᵢ,tⱼ)) / número de fijaciones².</x:v>
      </x:c>
      <x:c r="I35" s="22" t="str">
        <x:v>   Suma de V(min(tᵢ,tⱼ)) / número de fijaciones².</x:v>
      </x:c>
    </x:row>
    <x:row r="36" ht="31" customHeight="1">
      <x:c r="A36" s="57" t="str">
        <x:v>Desviación log G</x:v>
      </x:c>
      <x:c r="B36" s="57" t="str">
        <x:v>Desviación log G</x:v>
      </x:c>
      <x:c r="C36" s="57" t="str">
        <x:v>Desviación log G</x:v>
      </x:c>
      <x:c r="D36" s="46" t="n">
        <x:f>SQRT(D35)</x:f>
        <x:v>0.3292273706024844</x:v>
      </x:c>
      <x:c r="E36" s="2"/>
      <x:c r="F36" s="22" t="str">
        <x:v>   Raíz de la varianza.</x:v>
      </x:c>
      <x:c r="G36" s="22" t="str">
        <x:v>   Raíz de la varianza.</x:v>
      </x:c>
      <x:c r="H36" s="22" t="str">
        <x:v>   Raíz de la varianza.</x:v>
      </x:c>
      <x:c r="I36" s="22" t="str">
        <x:v>   Raíz de la varianza.</x:v>
      </x:c>
    </x:row>
    <x:row r="37" ht="31" customHeight="1">
      <x:c r="A37" s="57" t="str">
        <x:v>d₂ geométrico</x:v>
      </x:c>
      <x:c r="B37" s="57" t="str">
        <x:v>d₂ geométrico</x:v>
      </x:c>
      <x:c r="C37" s="57" t="str">
        <x:v>d₂ geométrico</x:v>
      </x:c>
      <x:c r="D37" s="47" t="n">
        <x:f>(D34-LN('Datos'!B23))/D36</x:f>
        <x:v>-0.16568399242881057</x:v>
      </x:c>
      <x:c r="E37" s="2"/>
      <x:c r="F37" s="22" t="str">
        <x:v>   Umbral del promedio geométrico.</x:v>
      </x:c>
      <x:c r="G37" s="22" t="str">
        <x:v>   Umbral del promedio geométrico.</x:v>
      </x:c>
      <x:c r="H37" s="22" t="str">
        <x:v>   Umbral del promedio geométrico.</x:v>
      </x:c>
      <x:c r="I37" s="22" t="str">
        <x:v>   Umbral del promedio geométrico.</x:v>
      </x:c>
    </x:row>
    <x:row r="38" ht="31" customHeight="1">
      <x:c r="A38" s="57" t="str">
        <x:v>d₁ geométrico</x:v>
      </x:c>
      <x:c r="B38" s="57" t="str">
        <x:v>d₁ geométrico</x:v>
      </x:c>
      <x:c r="C38" s="57" t="str">
        <x:v>d₁ geométrico</x:v>
      </x:c>
      <x:c r="D38" s="46" t="n">
        <x:f>D37+D36</x:f>
        <x:v>0.16354337817367384</x:v>
      </x:c>
      <x:c r="E38" s="2"/>
      <x:c r="F38" s="22" t="str">
        <x:v>   d₂ + desviación logarítmica.</x:v>
      </x:c>
      <x:c r="G38" s="22" t="str">
        <x:v>   d₂ + desviación logarítmica.</x:v>
      </x:c>
      <x:c r="H38" s="22" t="str">
        <x:v>   d₂ + desviación logarítmica.</x:v>
      </x:c>
      <x:c r="I38" s="22" t="str">
        <x:v>   d₂ + desviación logarítmica.</x:v>
      </x:c>
    </x:row>
    <x:row r="39" ht="22" customHeight="1">
      <x:c r="A39" s="2"/>
      <x:c r="B39" s="2"/>
      <x:c r="C39" s="2"/>
      <x:c r="D39" s="2"/>
      <x:c r="E39" s="2"/>
      <x:c r="F39" s="2"/>
      <x:c r="G39" s="2"/>
      <x:c r="H39" s="2"/>
      <x:c r="I39" s="2"/>
    </x:row>
    <x:row r="40" ht="22" customHeight="1">
      <x:c r="A40" s="2"/>
      <x:c r="B40" s="2"/>
      <x:c r="C40" s="2"/>
      <x:c r="D40" s="2"/>
      <x:c r="E40" s="2"/>
      <x:c r="F40" s="2"/>
      <x:c r="G40" s="2"/>
      <x:c r="H40" s="2"/>
      <x:c r="I40" s="2"/>
    </x:row>
    <x:row r="41" ht="31" customHeight="1">
      <x:c r="A41" s="57" t="str">
        <x:v>Precio geométrico</x:v>
      </x:c>
      <x:c r="B41" s="57" t="str">
        <x:v>Precio geométrico</x:v>
      </x:c>
      <x:c r="C41" s="57" t="str">
        <x:v>Precio geométrico</x:v>
      </x:c>
      <x:c r="D41" s="67" t="n">
        <x:f>D31*(EXP(D34+D35/2)*NORM.S.DIST(D38,TRUE)-'Datos'!B23*NORM.S.DIST(D37,TRUE))</x:f>
        <x:v>12.796770725587624</x:v>
      </x:c>
      <x:c r="E41" s="2"/>
      <x:c r="F41" s="22" t="str">
        <x:v>   C_G exacto; debe ser menor que la aritmética.</x:v>
      </x:c>
      <x:c r="G41" s="22" t="str">
        <x:v>   C_G exacto; debe ser menor que la aritmética.</x:v>
      </x:c>
      <x:c r="H41" s="22" t="str">
        <x:v>   C_G exacto; debe ser menor que la aritmética.</x:v>
      </x:c>
      <x:c r="I41" s="22" t="str">
        <x:v>   C_G exacto; debe ser menor que la aritmética.</x:v>
      </x:c>
    </x:row>
    <x:row r="42" ht="31" customHeight="1">
      <x:c r="A42" s="57" t="str">
        <x:v>β de control</x:v>
      </x:c>
      <x:c r="B42" s="57" t="str">
        <x:v>β de control</x:v>
      </x:c>
      <x:c r="C42" s="57" t="str">
        <x:v>β de control</x:v>
      </x:c>
      <x:c r="D42" s="67" t="n">
        <x:f>'E3 Simulacion'!D46</x:f>
        <x:v>1.0412244627351757</x:v>
      </x:c>
      <x:c r="E42" s="2"/>
      <x:c r="F42" s="22" t="str">
        <x:v>   Piloto independiente de 200.000 parejas.</x:v>
      </x:c>
      <x:c r="G42" s="22" t="str">
        <x:v>   Piloto independiente de 200.000 parejas.</x:v>
      </x:c>
      <x:c r="H42" s="22" t="str">
        <x:v>   Piloto independiente de 200.000 parejas.</x:v>
      </x:c>
      <x:c r="I42" s="22" t="str">
        <x:v>   Piloto independiente de 200.000 parejas.</x:v>
      </x:c>
    </x:row>
    <x:row r="43" ht="22" customHeight="1">
      <x:c r="A43" s="2"/>
      <x:c r="B43" s="2"/>
      <x:c r="C43" s="2"/>
      <x:c r="D43" s="2"/>
      <x:c r="E43" s="2"/>
      <x:c r="F43" s="2"/>
      <x:c r="G43" s="2"/>
      <x:c r="H43" s="2"/>
      <x:c r="I43" s="2"/>
    </x:row>
    <x:row r="44" ht="27" customHeight="1">
      <x:c r="A44" s="10" t="str">
        <x:v>Resultado principal · reconstruido desde 32 réplicas</x:v>
      </x:c>
      <x:c r="B44" s="10" t="str">
        <x:v>Resultado principal · reconstruido desde 32 réplicas</x:v>
      </x:c>
      <x:c r="C44" s="10" t="str">
        <x:v>Resultado principal · reconstruido desde 32 réplicas</x:v>
      </x:c>
      <x:c r="D44" s="10" t="str">
        <x:v>Resultado principal · reconstruido desde 32 réplicas</x:v>
      </x:c>
      <x:c r="E44" s="10" t="str">
        <x:v>Resultado principal · reconstruido desde 32 réplicas</x:v>
      </x:c>
      <x:c r="F44" s="10" t="str">
        <x:v>Resultado principal · reconstruido desde 32 réplicas</x:v>
      </x:c>
      <x:c r="G44" s="10" t="str">
        <x:v>Resultado principal · reconstruido desde 32 réplicas</x:v>
      </x:c>
      <x:c r="H44" s="10" t="str">
        <x:v>Resultado principal · reconstruido desde 32 réplicas</x:v>
      </x:c>
      <x:c r="I44" s="10" t="str">
        <x:v>Resultado principal · reconstruido desde 32 réplicas</x:v>
      </x:c>
    </x:row>
    <x:row r="45" ht="31" customHeight="1">
      <x:c r="A45" s="57" t="str">
        <x:v>Precio asiático</x:v>
      </x:c>
      <x:c r="B45" s="57" t="str">
        <x:v>Precio asiático</x:v>
      </x:c>
      <x:c r="C45" s="57" t="str">
        <x:v>Precio asiático</x:v>
      </x:c>
      <x:c r="D45" s="47" t="n">
        <x:f>IF('Control'!D28&lt;1E-8,AVERAGE('E3 Simulacion'!H8:H39),NA())</x:f>
        <x:v>13.621805001737266</x:v>
      </x:c>
      <x:c r="E45" s="2"/>
      <x:c r="F45" s="22" t="str">
        <x:v>   Media de H − β(G − C_G).</x:v>
      </x:c>
      <x:c r="G45" s="22" t="str">
        <x:v>   Media de H − β(G − C_G).</x:v>
      </x:c>
      <x:c r="H45" s="22" t="str">
        <x:v>   Media de H − β(G − C_G).</x:v>
      </x:c>
      <x:c r="I45" s="22" t="str">
        <x:v>   Media de H − β(G − C_G).</x:v>
      </x:c>
    </x:row>
    <x:row r="46" ht="31" customHeight="1">
      <x:c r="A46" s="57" t="str">
        <x:v>Error estándar</x:v>
      </x:c>
      <x:c r="B46" s="57" t="str">
        <x:v>Error estándar</x:v>
      </x:c>
      <x:c r="C46" s="57" t="str">
        <x:v>Error estándar</x:v>
      </x:c>
      <x:c r="D46" s="67" t="n">
        <x:f>IF('Control'!D28&lt;1E-8,STDEV.S('E3 Simulacion'!H8:H39)/SQRT(COUNT('E3 Simulacion'!H8:H39)),NA())</x:f>
        <x:v>0.00007889521390944037</x:v>
      </x:c>
      <x:c r="E46" s="2"/>
      <x:c r="F46" s="22" t="str">
        <x:v>   Desviación entre réplicas / √32.</x:v>
      </x:c>
      <x:c r="G46" s="22" t="str">
        <x:v>   Desviación entre réplicas / √32.</x:v>
      </x:c>
      <x:c r="H46" s="22" t="str">
        <x:v>   Desviación entre réplicas / √32.</x:v>
      </x:c>
      <x:c r="I46" s="22" t="str">
        <x:v>   Desviación entre réplicas / √32.</x:v>
      </x:c>
    </x:row>
    <x:row r="47" ht="31" customHeight="1">
      <x:c r="A47" s="57" t="str">
        <x:v>IC 95% · inferior</x:v>
      </x:c>
      <x:c r="B47" s="57" t="str">
        <x:v>IC 95% · inferior</x:v>
      </x:c>
      <x:c r="C47" s="57" t="str">
        <x:v>IC 95% · inferior</x:v>
      </x:c>
      <x:c r="D47" s="47" t="n">
        <x:f>D45-'Datos'!B37*D46</x:f>
        <x:v>13.621644093887642</x:v>
      </x:c>
      <x:c r="E47" s="2"/>
      <x:c r="F47" s="22" t="str">
        <x:v>   Cuantil t de Student con 31 grados de libertad.</x:v>
      </x:c>
      <x:c r="G47" s="22" t="str">
        <x:v>   Cuantil t de Student con 31 grados de libertad.</x:v>
      </x:c>
      <x:c r="H47" s="22" t="str">
        <x:v>   Cuantil t de Student con 31 grados de libertad.</x:v>
      </x:c>
      <x:c r="I47" s="22" t="str">
        <x:v>   Cuantil t de Student con 31 grados de libertad.</x:v>
      </x:c>
    </x:row>
    <x:row r="48" ht="31" customHeight="1">
      <x:c r="A48" s="57" t="str">
        <x:v>IC 95% · superior</x:v>
      </x:c>
      <x:c r="B48" s="57" t="str">
        <x:v>IC 95% · superior</x:v>
      </x:c>
      <x:c r="C48" s="57" t="str">
        <x:v>IC 95% · superior</x:v>
      </x:c>
      <x:c r="D48" s="47" t="n">
        <x:f>D45+'Datos'!B37*D46</x:f>
        <x:v>13.62196590958689</x:v>
      </x:c>
      <x:c r="E48" s="2"/>
      <x:c r="F48" s="22" t="str">
        <x:v>   Mide error de simulación condicionado al modelo.</x:v>
      </x:c>
      <x:c r="G48" s="22" t="str">
        <x:v>   Mide error de simulación condicionado al modelo.</x:v>
      </x:c>
      <x:c r="H48" s="22" t="str">
        <x:v>   Mide error de simulación condicionado al modelo.</x:v>
      </x:c>
      <x:c r="I48" s="22" t="str">
        <x:v>   Mide error de simulación condicionado al modelo.</x:v>
      </x:c>
    </x:row>
    <x:row r="49" ht="31" customHeight="1">
      <x:c r="A49" s="57" t="str">
        <x:v>Contraste PRNG</x:v>
      </x:c>
      <x:c r="B49" s="57" t="str">
        <x:v>Contraste PRNG</x:v>
      </x:c>
      <x:c r="C49" s="57" t="str">
        <x:v>Contraste PRNG</x:v>
      </x:c>
      <x:c r="D49" s="47" t="n">
        <x:f>IF('Control'!D28&lt;1E-8,'E3 Simulacion'!D53,NA())</x:f>
        <x:v>13.62209061938936</x:v>
      </x:c>
      <x:c r="E49" s="2"/>
      <x:c r="F49" s="22" t="str">
        <x:v>   Un millón de parejas; semilla independiente.</x:v>
      </x:c>
      <x:c r="G49" s="22" t="str">
        <x:v>   Un millón de parejas; semilla independiente.</x:v>
      </x:c>
      <x:c r="H49" s="22" t="str">
        <x:v>   Un millón de parejas; semilla independiente.</x:v>
      </x:c>
      <x:c r="I49" s="22" t="str">
        <x:v>   Un millón de parejas; semilla independiente.</x:v>
      </x:c>
    </x:row>
    <x:row r="50" ht="31" customHeight="1">
      <x:c r="A50" s="57" t="str">
        <x:v>Diferencia en SE</x:v>
      </x:c>
      <x:c r="B50" s="57" t="str">
        <x:v>Diferencia en SE</x:v>
      </x:c>
      <x:c r="C50" s="57" t="str">
        <x:v>Diferencia en SE</x:v>
      </x:c>
      <x:c r="D50" s="49" t="n">
        <x:f>(D49-D45)/SQRT(D46^2+'E3 Simulacion'!D55^2)</x:f>
        <x:v>0.27035562554465226</x:v>
      </x:c>
      <x:c r="E50" s="2"/>
      <x:c r="F50" s="22" t="str">
        <x:v>   Cerca de cero: estimadores compatibles.</x:v>
      </x:c>
      <x:c r="G50" s="22" t="str">
        <x:v>   Cerca de cero: estimadores compatibles.</x:v>
      </x:c>
      <x:c r="H50" s="22" t="str">
        <x:v>   Cerca de cero: estimadores compatibles.</x:v>
      </x:c>
      <x:c r="I50" s="22" t="str">
        <x:v>   Cerca de cero: estimadores compatibles.</x:v>
      </x:c>
    </x:row>
    <x:row r="51" ht="22" customHeight="1">
      <x:c r="A51" s="2"/>
      <x:c r="B51" s="2"/>
      <x:c r="C51" s="2"/>
      <x:c r="D51" s="2"/>
      <x:c r="E51" s="2"/>
      <x:c r="F51" s="2"/>
      <x:c r="G51" s="2"/>
      <x:c r="H51" s="2"/>
      <x:c r="I51" s="2"/>
    </x:row>
    <x:row r="52" ht="36" customHeight="1">
      <x:c r="A52" s="22" t="str">
        <x:v>Los agregados del caso base quedan fijados. Si modificas mercado o fechas, la calibración se actualiza y el precio RQMC se bloquea hasta regenerar la simulación.</x:v>
      </x:c>
      <x:c r="B52" s="22" t="str">
        <x:v>Los agregados del caso base quedan fijados. Si modificas mercado o fechas, la calibración se actualiza y el precio RQMC se bloquea hasta regenerar la simulación.</x:v>
      </x:c>
      <x:c r="C52" s="22" t="str">
        <x:v>Los agregados del caso base quedan fijados. Si modificas mercado o fechas, la calibración se actualiza y el precio RQMC se bloquea hasta regenerar la simulación.</x:v>
      </x:c>
      <x:c r="D52" s="22" t="str">
        <x:v>Los agregados del caso base quedan fijados. Si modificas mercado o fechas, la calibración se actualiza y el precio RQMC se bloquea hasta regenerar la simulación.</x:v>
      </x:c>
      <x:c r="E52" s="22" t="str">
        <x:v>Los agregados del caso base quedan fijados. Si modificas mercado o fechas, la calibración se actualiza y el precio RQMC se bloquea hasta regenerar la simulación.</x:v>
      </x:c>
      <x:c r="F52" s="22" t="str">
        <x:v>Los agregados del caso base quedan fijados. Si modificas mercado o fechas, la calibración se actualiza y el precio RQMC se bloquea hasta regenerar la simulación.</x:v>
      </x:c>
      <x:c r="G52" s="22" t="str">
        <x:v>Los agregados del caso base quedan fijados. Si modificas mercado o fechas, la calibración se actualiza y el precio RQMC se bloquea hasta regenerar la simulación.</x:v>
      </x:c>
      <x:c r="H52" s="22" t="str">
        <x:v>Los agregados del caso base quedan fijados. Si modificas mercado o fechas, la calibración se actualiza y el precio RQMC se bloquea hasta regenerar la simulación.</x:v>
      </x:c>
      <x:c r="I52" s="22" t="str">
        <x:v>Los agregados del caso base quedan fijados. Si modificas mercado o fechas, la calibración se actualiza y el precio RQMC se bloquea hasta regenerar la simulación.</x:v>
      </x:c>
    </x:row>
    <x:row r="53" ht="22" customHeight="1">
      <x:c r="A53" s="2"/>
      <x:c r="B53" s="2"/>
      <x:c r="C53" s="2"/>
      <x:c r="D53" s="2"/>
      <x:c r="E53" s="2"/>
      <x:c r="F53" s="2"/>
      <x:c r="G53" s="2"/>
      <x:c r="H53" s="2"/>
      <x:c r="I53" s="2"/>
    </x:row>
    <x:row r="54" ht="22" customHeight="1">
      <x:c r="A54" s="2"/>
      <x:c r="B54" s="2"/>
      <x:c r="C54" s="2"/>
      <x:c r="D54" s="2"/>
      <x:c r="E54" s="2"/>
      <x:c r="F54" s="2"/>
      <x:c r="G54" s="2"/>
      <x:c r="H54" s="2"/>
      <x:c r="I54" s="2"/>
    </x:row>
    <x:row r="55" ht="22" customHeight="1">
      <x:c r="A55" s="2"/>
      <x:c r="B55" s="2"/>
      <x:c r="C55" s="2"/>
      <x:c r="D55" s="2"/>
      <x:c r="E55" s="2"/>
      <x:c r="F55" s="2"/>
      <x:c r="G55" s="2"/>
      <x:c r="H55" s="2"/>
      <x:c r="I55" s="2"/>
    </x:row>
    <x:row r="56" ht="22" customHeight="1">
      <x:c r="A56" s="2"/>
      <x:c r="B56" s="2"/>
      <x:c r="C56" s="2"/>
      <x:c r="D56" s="2"/>
      <x:c r="E56" s="2"/>
      <x:c r="F56" s="2"/>
      <x:c r="G56" s="2"/>
      <x:c r="H56" s="2"/>
      <x:c r="I56" s="2"/>
    </x:row>
    <x:row r="57" ht="22" customHeight="1">
      <x:c r="A57" s="2"/>
      <x:c r="B57" s="2"/>
      <x:c r="C57" s="2"/>
      <x:c r="D57" s="2"/>
      <x:c r="E57" s="2"/>
      <x:c r="F57" s="2"/>
      <x:c r="G57" s="2"/>
      <x:c r="H57" s="2"/>
      <x:c r="I57" s="2"/>
    </x:row>
    <x:row r="58" ht="22" customHeight="1">
      <x:c r="A58" s="2"/>
      <x:c r="B58" s="2"/>
      <x:c r="C58" s="2"/>
      <x:c r="D58" s="2"/>
      <x:c r="E58" s="2"/>
      <x:c r="F58" s="2"/>
      <x:c r="G58" s="2"/>
      <x:c r="H58" s="2"/>
      <x:c r="I58" s="2"/>
    </x:row>
    <x:row r="59" ht="22" customHeight="1">
      <x:c r="A59" s="2"/>
      <x:c r="B59" s="2"/>
      <x:c r="C59" s="2"/>
      <x:c r="D59" s="2"/>
      <x:c r="E59" s="2"/>
      <x:c r="F59" s="2"/>
      <x:c r="G59" s="2"/>
      <x:c r="H59" s="2"/>
      <x:c r="I59" s="2"/>
    </x:row>
    <x:row r="60" ht="22" customHeight="1">
      <x:c r="A60" s="2"/>
      <x:c r="B60" s="2"/>
      <x:c r="C60" s="2"/>
      <x:c r="D60" s="2"/>
      <x:c r="E60" s="2"/>
      <x:c r="F60" s="2"/>
      <x:c r="G60" s="2"/>
      <x:c r="H60" s="2"/>
      <x:c r="I60" s="2"/>
    </x:row>
    <x:row r="61" ht="22" customHeight="1">
      <x:c r="A61" s="2"/>
      <x:c r="B61" s="2"/>
      <x:c r="C61" s="2"/>
      <x:c r="D61" s="2"/>
      <x:c r="E61" s="2"/>
      <x:c r="F61" s="2"/>
      <x:c r="G61" s="2"/>
      <x:c r="H61" s="2"/>
      <x:c r="I61" s="2"/>
    </x:row>
    <x:row r="62" ht="22" customHeight="1">
      <x:c r="A62" s="2"/>
      <x:c r="B62" s="2"/>
      <x:c r="C62" s="2"/>
      <x:c r="D62" s="2"/>
      <x:c r="E62" s="2"/>
      <x:c r="F62" s="2"/>
      <x:c r="G62" s="2"/>
      <x:c r="H62" s="2"/>
      <x:c r="I62" s="2"/>
    </x:row>
    <x:row r="63" ht="22" customHeight="1">
      <x:c r="A63" s="2"/>
      <x:c r="B63" s="2"/>
      <x:c r="C63" s="2"/>
      <x:c r="D63" s="2"/>
      <x:c r="E63" s="2"/>
      <x:c r="F63" s="2"/>
      <x:c r="G63" s="2"/>
      <x:c r="H63" s="2"/>
      <x:c r="I63" s="2"/>
    </x:row>
    <x:row r="64" ht="22" customHeight="1">
      <x:c r="A64" s="2"/>
      <x:c r="B64" s="2"/>
      <x:c r="C64" s="2"/>
      <x:c r="D64" s="2"/>
      <x:c r="E64" s="2"/>
      <x:c r="F64" s="2"/>
      <x:c r="G64" s="2"/>
      <x:c r="H64" s="2"/>
      <x:c r="I64" s="2"/>
    </x:row>
    <x:row r="65" ht="22" customHeight="1">
      <x:c r="A65" s="2"/>
      <x:c r="B65" s="2"/>
      <x:c r="C65" s="2"/>
      <x:c r="D65" s="2"/>
      <x:c r="E65" s="2"/>
      <x:c r="F65" s="2"/>
      <x:c r="G65" s="2"/>
      <x:c r="H65" s="2"/>
      <x:c r="I65" s="2"/>
    </x:row>
    <x:row r="66" ht="22" customHeight="1">
      <x:c r="A66" s="2"/>
      <x:c r="B66" s="2"/>
      <x:c r="C66" s="2"/>
      <x:c r="D66" s="2"/>
      <x:c r="E66" s="2"/>
      <x:c r="F66" s="2"/>
      <x:c r="G66" s="2"/>
      <x:c r="H66" s="2"/>
      <x:c r="I66" s="2"/>
    </x:row>
    <x:row r="67" ht="22" customHeight="1">
      <x:c r="A67" s="2"/>
      <x:c r="B67" s="2"/>
      <x:c r="C67" s="2"/>
      <x:c r="D67" s="2"/>
      <x:c r="E67" s="2"/>
      <x:c r="F67" s="2"/>
      <x:c r="G67" s="2"/>
      <x:c r="H67" s="2"/>
      <x:c r="I67" s="2"/>
    </x:row>
    <x:row r="68" ht="22" customHeight="1">
      <x:c r="A68" s="2"/>
      <x:c r="B68" s="2"/>
      <x:c r="C68" s="2"/>
      <x:c r="D68" s="2"/>
      <x:c r="E68" s="2"/>
      <x:c r="F68" s="2"/>
      <x:c r="G68" s="2"/>
      <x:c r="H68" s="2"/>
      <x:c r="I68" s="2"/>
    </x:row>
    <x:row r="69" ht="22" customHeight="1">
      <x:c r="A69" s="2"/>
      <x:c r="B69" s="2"/>
      <x:c r="C69" s="2"/>
      <x:c r="D69" s="2"/>
      <x:c r="E69" s="2"/>
      <x:c r="F69" s="2"/>
      <x:c r="G69" s="2"/>
      <x:c r="H69" s="2"/>
      <x:c r="I69" s="2"/>
    </x:row>
    <x:row r="70" ht="22" customHeight="1">
      <x:c r="A70" s="2"/>
      <x:c r="B70" s="2"/>
      <x:c r="C70" s="2"/>
      <x:c r="D70" s="2"/>
      <x:c r="E70" s="2"/>
      <x:c r="F70" s="2"/>
      <x:c r="G70" s="2"/>
      <x:c r="H70" s="2"/>
      <x:c r="I70" s="2"/>
    </x:row>
    <x:row r="71" ht="22" customHeight="1">
      <x:c r="A71" s="2"/>
      <x:c r="B71" s="2"/>
      <x:c r="C71" s="2"/>
      <x:c r="D71" s="2"/>
      <x:c r="E71" s="2"/>
      <x:c r="F71" s="2"/>
      <x:c r="G71" s="2"/>
      <x:c r="H71" s="2"/>
      <x:c r="I71" s="2"/>
    </x:row>
    <x:row r="72" ht="22" customHeight="1">
      <x:c r="A72" s="2"/>
      <x:c r="B72" s="2"/>
      <x:c r="C72" s="2"/>
      <x:c r="D72" s="2"/>
      <x:c r="E72" s="2"/>
      <x:c r="F72" s="2"/>
      <x:c r="G72" s="2"/>
      <x:c r="H72" s="2"/>
      <x:c r="I72" s="2"/>
    </x:row>
    <x:row r="73" ht="27" customHeight="1">
      <x:c r="A73" s="10" t="str">
        <x:v>Una pareja antitética · seguir el payoff paso a paso</x:v>
      </x:c>
      <x:c r="B73" s="10" t="str">
        <x:v>Una pareja antitética · seguir el payoff paso a paso</x:v>
      </x:c>
      <x:c r="C73" s="10" t="str">
        <x:v>Una pareja antitética · seguir el payoff paso a paso</x:v>
      </x:c>
      <x:c r="D73" s="10" t="str">
        <x:v>Una pareja antitética · seguir el payoff paso a paso</x:v>
      </x:c>
      <x:c r="E73" s="10" t="str">
        <x:v>Una pareja antitética · seguir el payoff paso a paso</x:v>
      </x:c>
      <x:c r="F73" s="10" t="str">
        <x:v>Una pareja antitética · seguir el payoff paso a paso</x:v>
      </x:c>
      <x:c r="G73" s="10" t="str">
        <x:v>Una pareja antitética · seguir el payoff paso a paso</x:v>
      </x:c>
      <x:c r="H73" s="10" t="str">
        <x:v>Una pareja antitética · seguir el payoff paso a paso</x:v>
      </x:c>
      <x:c r="I73" s="10" t="str">
        <x:v>Una pareja antitética · seguir el payoff paso a paso</x:v>
      </x:c>
    </x:row>
    <x:row r="74" ht="36" customHeight="1">
      <x:c r="A74" s="22" t="str">
        <x:v>Primer vector normal del primer scramble. Esta pareja ilustra el cálculo interno; el precio usa las 2.097.152 parejas completas.</x:v>
      </x:c>
      <x:c r="B74" s="22" t="str">
        <x:v>Primer vector normal del primer scramble. Esta pareja ilustra el cálculo interno; el precio usa las 2.097.152 parejas completas.</x:v>
      </x:c>
      <x:c r="C74" s="22" t="str">
        <x:v>Primer vector normal del primer scramble. Esta pareja ilustra el cálculo interno; el precio usa las 2.097.152 parejas completas.</x:v>
      </x:c>
      <x:c r="D74" s="22" t="str">
        <x:v>Primer vector normal del primer scramble. Esta pareja ilustra el cálculo interno; el precio usa las 2.097.152 parejas completas.</x:v>
      </x:c>
      <x:c r="E74" s="22" t="str">
        <x:v>Primer vector normal del primer scramble. Esta pareja ilustra el cálculo interno; el precio usa las 2.097.152 parejas completas.</x:v>
      </x:c>
      <x:c r="F74" s="22" t="str">
        <x:v>Primer vector normal del primer scramble. Esta pareja ilustra el cálculo interno; el precio usa las 2.097.152 parejas completas.</x:v>
      </x:c>
      <x:c r="G74" s="22" t="str">
        <x:v>Primer vector normal del primer scramble. Esta pareja ilustra el cálculo interno; el precio usa las 2.097.152 parejas completas.</x:v>
      </x:c>
      <x:c r="H74" s="22" t="str">
        <x:v>Primer vector normal del primer scramble. Esta pareja ilustra el cálculo interno; el precio usa las 2.097.152 parejas completas.</x:v>
      </x:c>
      <x:c r="I74" s="22" t="str">
        <x:v>Primer vector normal del primer scramble. Esta pareja ilustra el cálculo interno; el precio usa las 2.097.152 parejas completas.</x:v>
      </x:c>
    </x:row>
    <x:row r="75" ht="22" customHeight="1">
      <x:c r="A75" s="2"/>
      <x:c r="B75" s="2"/>
      <x:c r="C75" s="2"/>
      <x:c r="D75" s="2"/>
      <x:c r="E75" s="2"/>
      <x:c r="F75" s="2"/>
      <x:c r="G75" s="2"/>
      <x:c r="H75" s="2"/>
      <x:c r="I75" s="2"/>
    </x:row>
    <x:row r="76" ht="36" customHeight="1">
      <x:c r="A76" s="13" t="str">
        <x:v>t (años)</x:v>
      </x:c>
      <x:c r="B76" s="13" t="str">
        <x:v>Z fijo</x:v>
      </x:c>
      <x:c r="C76" s="13" t="str">
        <x:v>√ΔV</x:v>
      </x:c>
      <x:c r="D76" s="13" t="str">
        <x:v>ΔB</x:v>
      </x:c>
      <x:c r="E76" s="13" t="str">
        <x:v>B acumulado</x:v>
      </x:c>
      <x:c r="F76" s="13" t="str">
        <x:v>S con Z</x:v>
      </x:c>
      <x:c r="G76" s="13" t="str">
        <x:v>S con −Z</x:v>
      </x:c>
      <x:c r="H76" s="2"/>
      <x:c r="I76" s="2"/>
    </x:row>
    <x:row r="77" ht="22" customHeight="1">
      <x:c r="A77" s="71" t="n">
        <x:f>B26</x:f>
        <x:v>1.15</x:v>
      </x:c>
      <x:c r="B77" s="79" t="n">
        <x:v>0.41142272333916396</x:v>
      </x:c>
      <x:c r="C77" s="46" t="n">
        <x:f>E26</x:f>
        <x:v>0.2701975763830945</x:v>
      </x:c>
      <x:c r="D77" s="46" t="n">
        <x:f>B77*C77</x:f>
        <x:v>0.11116542271517452</x:v>
      </x:c>
      <x:c r="E77" s="46" t="n">
        <x:f>SUM(D$77:D77)</x:f>
        <x:v>0.11116542271517452</x:v>
      </x:c>
      <x:c r="F77" s="46" t="n">
        <x:f>EXP(F26+E77)</x:f>
        <x:v>108.99829539856849</x:v>
      </x:c>
      <x:c r="G77" s="46" t="n">
        <x:f>EXP(F26-E77)</x:f>
        <x:v>87.26953196840935</x:v>
      </x:c>
      <x:c r="H77" s="2"/>
      <x:c r="I77" s="2"/>
    </x:row>
    <x:row r="78" ht="22" customHeight="1">
      <x:c r="A78" s="71" t="n">
        <x:f>B27</x:f>
        <x:v>1.3</x:v>
      </x:c>
      <x:c r="B78" s="79" t="n">
        <x:v>-0.06071843387188892</x:v>
      </x:c>
      <x:c r="C78" s="46" t="n">
        <x:f>E27</x:f>
        <x:v>0.1627785395220777</x:v>
      </x:c>
      <x:c r="D78" s="46" t="n">
        <x:f>B78*C78</x:f>
        <x:v>-0.00988365798773393</x:v>
      </x:c>
      <x:c r="E78" s="46" t="n">
        <x:f>SUM(D$77:D78)</x:f>
        <x:v>0.10128176472744059</x:v>
      </x:c>
      <x:c r="F78" s="46" t="n">
        <x:f>EXP(F27+E78)</x:f>
        <x:v>106.66575488216374</x:v>
      </x:c>
      <x:c r="G78" s="46" t="n">
        <x:f>EXP(F27-E78)</x:f>
        <x:v>87.10694613579702</x:v>
      </x:c>
      <x:c r="H78" s="2"/>
      <x:c r="I78" s="2"/>
    </x:row>
    <x:row r="79" ht="22" customHeight="1">
      <x:c r="A79" s="71" t="n">
        <x:f>B28</x:f>
        <x:v>1.6</x:v>
      </x:c>
      <x:c r="B79" s="79" t="n">
        <x:v>-1.0841152585572469</x:v>
      </x:c>
      <x:c r="C79" s="46" t="n">
        <x:f>E28</x:f>
        <x:v>0.27185203922530726</x:v>
      </x:c>
      <x:c r="D79" s="46" t="n">
        <x:f>B79*C79</x:f>
        <x:v>-0.29471894379405883</x:v>
      </x:c>
      <x:c r="E79" s="46" t="n">
        <x:f>SUM(D$77:D79)</x:f>
        <x:v>-0.19343717906661823</x:v>
      </x:c>
      <x:c r="F79" s="46" t="n">
        <x:f>EXP(F28+E79)</x:f>
        <x:v>76.78654655164418</x:v>
      </x:c>
      <x:c r="G79" s="46" t="n">
        <x:f>EXP(F28-E79)</x:f>
        <x:v>113.05832181606436</x:v>
      </x:c>
      <x:c r="H79" s="2"/>
      <x:c r="I79" s="2"/>
    </x:row>
    <x:row r="80" ht="22" customHeight="1">
      <x:c r="A80" s="71" t="n">
        <x:f>B29</x:f>
        <x:v>1.7</x:v>
      </x:c>
      <x:c r="B80" s="79" t="n">
        <x:v>-0.3563829291832485</x:v>
      </x:c>
      <x:c r="C80" s="46" t="n">
        <x:f>E29</x:f>
        <x:v>0.17904496374972895</x:v>
      </x:c>
      <x:c r="D80" s="46" t="n">
        <x:f>B80*C80</x:f>
        <x:v>-0.06380856863663695</x:v>
      </x:c>
      <x:c r="E80" s="46" t="n">
        <x:f>SUM(D$77:D80)</x:f>
        <x:v>-0.25724574770325515</x:v>
      </x:c>
      <x:c r="F80" s="46" t="n">
        <x:f>EXP(F29+E80)</x:f>
        <x:v>70.96539270649014</x:v>
      </x:c>
      <x:c r="G80" s="46" t="n">
        <x:f>EXP(F29-E80)</x:f>
        <x:v>118.71003358095487</x:v>
      </x:c>
      <x:c r="H80" s="2"/>
      <x:c r="I80" s="2"/>
    </x:row>
    <x:row r="81" ht="22" customHeight="1">
      <x:c r="A81" s="2"/>
      <x:c r="B81" s="2"/>
      <x:c r="C81" s="2"/>
      <x:c r="D81" s="2"/>
      <x:c r="E81" s="2"/>
      <x:c r="F81" s="2"/>
      <x:c r="G81" s="2"/>
      <x:c r="H81" s="2"/>
      <x:c r="I81" s="2"/>
    </x:row>
    <x:row r="82" ht="36" customHeight="1">
      <x:c r="A82" s="13" t="str">
        <x:v>Por trayectoria</x:v>
      </x:c>
      <x:c r="B82" s="13" t="str">
        <x:v>Con Z</x:v>
      </x:c>
      <x:c r="C82" s="13" t="str">
        <x:v>Con −Z</x:v>
      </x:c>
      <x:c r="D82" s="2"/>
      <x:c r="E82" s="2"/>
      <x:c r="F82" s="2"/>
      <x:c r="G82" s="2"/>
      <x:c r="H82" s="2"/>
      <x:c r="I82" s="2"/>
    </x:row>
    <x:row r="83" ht="22" customHeight="1">
      <x:c r="A83" s="2" t="str">
        <x:v>Media aritmética</x:v>
      </x:c>
      <x:c r="B83" s="46" t="n">
        <x:f>AVERAGE(F77:F80)</x:f>
        <x:v>90.85399738471664</x:v>
      </x:c>
      <x:c r="C83" s="46" t="n">
        <x:f>AVERAGE(G77:G80)</x:f>
        <x:v>101.5362083753064</x:v>
      </x:c>
      <x:c r="D83" s="2"/>
      <x:c r="E83" s="2"/>
      <x:c r="F83" s="2"/>
      <x:c r="G83" s="2"/>
      <x:c r="H83" s="2"/>
      <x:c r="I83" s="2"/>
    </x:row>
    <x:row r="84" ht="22" customHeight="1">
      <x:c r="A84" s="2" t="str">
        <x:v>Media geométrica</x:v>
      </x:c>
      <x:c r="B84" s="46" t="n">
        <x:f>PRODUCT(F77:F80)^(1/COUNT(F77:F80))</x:f>
        <x:v>89.21628105582447</x:v>
      </x:c>
      <x:c r="C84" s="46" t="n">
        <x:f>PRODUCT(G77:G80)^(1/COUNT(G77:G80))</x:f>
        <x:v>100.50238068651984</x:v>
      </x:c>
      <x:c r="D84" s="2"/>
      <x:c r="E84" s="2"/>
      <x:c r="F84" s="2"/>
      <x:c r="G84" s="2"/>
      <x:c r="H84" s="2"/>
      <x:c r="I84" s="2"/>
    </x:row>
    <x:row r="85" ht="22" customHeight="1">
      <x:c r="A85" s="2" t="str">
        <x:v>Payoff H descontado</x:v>
      </x:c>
      <x:c r="B85" s="47" t="n">
        <x:f>$D$31*MAX(B83-'Datos'!$B$23,0)</x:f>
        <x:v>0</x:v>
      </x:c>
      <x:c r="C85" s="47" t="n">
        <x:f>$D$31*MAX(C83-'Datos'!$B$23,0)</x:f>
        <x:v>1.5057894113980606</x:v>
      </x:c>
      <x:c r="D85" s="2"/>
      <x:c r="E85" s="2"/>
      <x:c r="F85" s="2"/>
      <x:c r="G85" s="2"/>
      <x:c r="H85" s="2"/>
      <x:c r="I85" s="2"/>
    </x:row>
    <x:row r="86" ht="22" customHeight="1">
      <x:c r="A86" s="2" t="str">
        <x:v>Payoff G descontado</x:v>
      </x:c>
      <x:c r="B86" s="47" t="n">
        <x:f>$D$31*MAX(B84-'Datos'!$B$23,0)</x:f>
        <x:v>0</x:v>
      </x:c>
      <x:c r="C86" s="47" t="n">
        <x:f>$D$31*MAX(C84-'Datos'!$B$23,0)</x:f>
        <x:v>0.49243288242168637</x:v>
      </x:c>
      <x:c r="D86" s="2"/>
      <x:c r="E86" s="2"/>
      <x:c r="F86" s="2"/>
      <x:c r="G86" s="2"/>
      <x:c r="H86" s="2"/>
      <x:c r="I86" s="2"/>
    </x:row>
    <x:row r="87" ht="22" customHeight="1">
      <x:c r="A87" s="2"/>
      <x:c r="B87" s="2"/>
      <x:c r="C87" s="2"/>
      <x:c r="D87" s="2"/>
      <x:c r="E87" s="2"/>
      <x:c r="F87" s="2"/>
      <x:c r="G87" s="2"/>
      <x:c r="H87" s="2"/>
      <x:c r="I87" s="2"/>
    </x:row>
    <x:row r="88" ht="31" customHeight="1">
      <x:c r="A88" s="57" t="str">
        <x:v>H de la pareja</x:v>
      </x:c>
      <x:c r="B88" s="57" t="str">
        <x:v>H de la pareja</x:v>
      </x:c>
      <x:c r="C88" s="57" t="str">
        <x:v>H de la pareja</x:v>
      </x:c>
      <x:c r="D88" s="46" t="n">
        <x:f>AVERAGE(B85:C85)</x:f>
        <x:v>0.7528947056990303</x:v>
      </x:c>
      <x:c r="E88" s="2"/>
      <x:c r="F88" s="22" t="str">
        <x:v>   Promedio de los dos payoffs aritméticos.</x:v>
      </x:c>
      <x:c r="G88" s="22" t="str">
        <x:v>   Promedio de los dos payoffs aritméticos.</x:v>
      </x:c>
      <x:c r="H88" s="22" t="str">
        <x:v>   Promedio de los dos payoffs aritméticos.</x:v>
      </x:c>
      <x:c r="I88" s="22" t="str">
        <x:v>   Promedio de los dos payoffs aritméticos.</x:v>
      </x:c>
    </x:row>
    <x:row r="89" ht="31" customHeight="1">
      <x:c r="A89" s="57" t="str">
        <x:v>G de la pareja</x:v>
      </x:c>
      <x:c r="B89" s="57" t="str">
        <x:v>G de la pareja</x:v>
      </x:c>
      <x:c r="C89" s="57" t="str">
        <x:v>G de la pareja</x:v>
      </x:c>
      <x:c r="D89" s="46" t="n">
        <x:f>AVERAGE(B86:C86)</x:f>
        <x:v>0.24621644121084318</x:v>
      </x:c>
      <x:c r="E89" s="2"/>
      <x:c r="F89" s="22" t="str">
        <x:v>   Promedio de los dos payoffs geométricos.</x:v>
      </x:c>
      <x:c r="G89" s="22" t="str">
        <x:v>   Promedio de los dos payoffs geométricos.</x:v>
      </x:c>
      <x:c r="H89" s="22" t="str">
        <x:v>   Promedio de los dos payoffs geométricos.</x:v>
      </x:c>
      <x:c r="I89" s="22" t="str">
        <x:v>   Promedio de los dos payoffs geométricos.</x:v>
      </x:c>
    </x:row>
    <x:row r="90" ht="31" customHeight="1">
      <x:c r="A90" s="57" t="str">
        <x:v>Con control</x:v>
      </x:c>
      <x:c r="B90" s="57" t="str">
        <x:v>Con control</x:v>
      </x:c>
      <x:c r="C90" s="57" t="str">
        <x:v>Con control</x:v>
      </x:c>
      <x:c r="D90" s="46" t="n">
        <x:f>D88-D42*(D89-D41)</x:f>
        <x:v>13.820838847477901</x:v>
      </x:c>
      <x:c r="E90" s="2"/>
      <x:c r="F90" s="22" t="str">
        <x:v>   Esta observación contribuye a la suma del bloque.</x:v>
      </x:c>
      <x:c r="G90" s="22" t="str">
        <x:v>   Esta observación contribuye a la suma del bloque.</x:v>
      </x:c>
      <x:c r="H90" s="22" t="str">
        <x:v>   Esta observación contribuye a la suma del bloque.</x:v>
      </x:c>
      <x:c r="I90" s="22" t="str">
        <x:v>   Esta observación contribuye a la suma del bloque.</x:v>
      </x:c>
    </x:row>
    <x:row r="91" ht="22" customHeight="1">
      <x:c r="A91" s="2"/>
      <x:c r="B91" s="2"/>
      <x:c r="C91" s="2"/>
      <x:c r="D91" s="2"/>
      <x:c r="E91" s="2"/>
      <x:c r="F91" s="2"/>
      <x:c r="G91" s="2"/>
      <x:c r="H91" s="2"/>
      <x:c r="I91" s="2"/>
    </x:row>
    <x:row r="92" ht="22" customHeight="1">
      <x:c r="A92" s="2"/>
      <x:c r="B92" s="2"/>
      <x:c r="C92" s="2"/>
      <x:c r="D92" s="2"/>
      <x:c r="E92" s="2"/>
      <x:c r="F92" s="2"/>
      <x:c r="G92" s="2"/>
      <x:c r="H92" s="2"/>
      <x:c r="I92" s="2"/>
    </x:row>
    <x:row r="93" ht="36" customHeight="1">
      <x:c r="A93" s="22" t="str">
        <x:v>La alternativa que cruza cero da 13,740158 en el notebook (se rechaza). Es una sensibilidad de modelo, no otro intervalo de confianza del precio seleccionado.</x:v>
      </x:c>
      <x:c r="B93" s="22" t="str">
        <x:v>La alternativa que cruza cero da 13,740158 en el notebook (se rechaza). Es una sensibilidad de modelo, no otro intervalo de confianza del precio seleccionado.</x:v>
      </x:c>
      <x:c r="C93" s="22" t="str">
        <x:v>La alternativa que cruza cero da 13,740158 en el notebook (se rechaza). Es una sensibilidad de modelo, no otro intervalo de confianza del precio seleccionado.</x:v>
      </x:c>
      <x:c r="D93" s="22" t="str">
        <x:v>La alternativa que cruza cero da 13,740158 en el notebook (se rechaza). Es una sensibilidad de modelo, no otro intervalo de confianza del precio seleccionado.</x:v>
      </x:c>
      <x:c r="E93" s="22" t="str">
        <x:v>La alternativa que cruza cero da 13,740158 en el notebook (se rechaza). Es una sensibilidad de modelo, no otro intervalo de confianza del precio seleccionado.</x:v>
      </x:c>
      <x:c r="F93" s="22" t="str">
        <x:v>La alternativa que cruza cero da 13,740158 en el notebook (se rechaza). Es una sensibilidad de modelo, no otro intervalo de confianza del precio seleccionado.</x:v>
      </x:c>
      <x:c r="G93" s="22" t="str">
        <x:v>La alternativa que cruza cero da 13,740158 en el notebook (se rechaza). Es una sensibilidad de modelo, no otro intervalo de confianza del precio seleccionado.</x:v>
      </x:c>
      <x:c r="H93" s="22" t="str">
        <x:v>La alternativa que cruza cero da 13,740158 en el notebook (se rechaza). Es una sensibilidad de modelo, no otro intervalo de confianza del precio seleccionado.</x:v>
      </x:c>
      <x:c r="I93" s="22" t="str">
        <x:v>La alternativa que cruza cero da 13,740158 en el notebook (se rechaza). Es una sensibilidad de modelo, no otro intervalo de confianza del precio seleccionado.</x:v>
      </x:c>
    </x:row>
    <x:row r="94" ht="22" customHeight="1">
      <x:c r="A94" s="2"/>
      <x:c r="B94" s="2"/>
      <x:c r="C94" s="2"/>
      <x:c r="D94" s="2"/>
      <x:c r="E94" s="2"/>
      <x:c r="F94" s="2"/>
      <x:c r="G94" s="2"/>
      <x:c r="H94" s="2"/>
      <x:c r="I94" s="2"/>
    </x:row>
    <x:row r="95" ht="22" customHeight="1">
      <x:c r="A95" s="2"/>
      <x:c r="B95" s="2"/>
      <x:c r="C95" s="2"/>
      <x:c r="D95" s="2"/>
      <x:c r="E95" s="2"/>
      <x:c r="F95" s="2"/>
      <x:c r="G95" s="2"/>
      <x:c r="H95" s="2"/>
      <x:c r="I95" s="2"/>
    </x:row>
    <x:row r="96" ht="22" customHeight="1">
      <x:c r="A96" s="2"/>
      <x:c r="B96" s="2"/>
      <x:c r="C96" s="2"/>
      <x:c r="D96" s="2"/>
      <x:c r="E96" s="2"/>
      <x:c r="F96" s="2"/>
      <x:c r="G96" s="2"/>
      <x:c r="H96" s="2"/>
      <x:c r="I96" s="2"/>
    </x:row>
    <x:row r="97" ht="22" customHeight="1">
      <x:c r="A97" s="2"/>
      <x:c r="B97" s="2"/>
      <x:c r="C97" s="2"/>
      <x:c r="D97" s="2"/>
      <x:c r="E97" s="2"/>
      <x:c r="F97" s="2"/>
      <x:c r="G97" s="2"/>
      <x:c r="H97" s="2"/>
      <x:c r="I97" s="2"/>
    </x:row>
    <x:row r="98" ht="22" customHeight="1">
      <x:c r="A98" s="2"/>
      <x:c r="B98" s="2"/>
      <x:c r="C98" s="2"/>
      <x:c r="D98" s="2"/>
      <x:c r="E98" s="2"/>
      <x:c r="F98" s="2"/>
      <x:c r="G98" s="2"/>
      <x:c r="H98" s="2"/>
      <x:c r="I98" s="2"/>
    </x:row>
    <x:row r="99" ht="22" customHeight="1">
      <x:c r="A99" s="2"/>
      <x:c r="B99" s="2"/>
      <x:c r="C99" s="2"/>
      <x:c r="D99" s="2"/>
      <x:c r="E99" s="2"/>
      <x:c r="F99" s="2"/>
      <x:c r="G99" s="2"/>
      <x:c r="H99" s="2"/>
      <x:c r="I99" s="2"/>
    </x:row>
    <x:row r="100" ht="22" customHeight="1">
      <x:c r="A100" s="2"/>
      <x:c r="B100" s="2"/>
      <x:c r="C100" s="2"/>
      <x:c r="D100" s="2"/>
      <x:c r="E100" s="2"/>
      <x:c r="F100" s="2"/>
      <x:c r="G100" s="2"/>
      <x:c r="H100" s="2"/>
      <x:c r="I100" s="2"/>
    </x:row>
    <x:row r="101" ht="22" customHeight="1">
      <x:c r="A101" s="2"/>
      <x:c r="B101" s="2"/>
      <x:c r="C101" s="2"/>
      <x:c r="D101" s="2"/>
      <x:c r="E101" s="2"/>
      <x:c r="F101" s="2"/>
      <x:c r="G101" s="2"/>
      <x:c r="H101" s="2"/>
      <x:c r="I101" s="2"/>
    </x:row>
    <x:row r="102" ht="22" customHeight="1">
      <x:c r="A102" s="2"/>
      <x:c r="B102" s="2"/>
      <x:c r="C102" s="2"/>
      <x:c r="D102" s="2"/>
      <x:c r="E102" s="2"/>
      <x:c r="F102" s="2"/>
      <x:c r="G102" s="2"/>
      <x:c r="H102" s="2"/>
      <x:c r="I102" s="2"/>
    </x:row>
    <x:row r="103" ht="22" customHeight="1">
      <x:c r="A103" s="2"/>
      <x:c r="B103" s="2"/>
      <x:c r="C103" s="2"/>
      <x:c r="D103" s="2"/>
      <x:c r="E103" s="2"/>
      <x:c r="F103" s="2"/>
      <x:c r="G103" s="2"/>
      <x:c r="H103" s="2"/>
      <x:c r="I103" s="2"/>
    </x:row>
    <x:row r="104" ht="22" customHeight="1">
      <x:c r="A104" s="2"/>
      <x:c r="B104" s="2"/>
      <x:c r="C104" s="2"/>
      <x:c r="D104" s="2"/>
      <x:c r="E104" s="2"/>
      <x:c r="F104" s="2"/>
      <x:c r="G104" s="2"/>
      <x:c r="H104" s="2"/>
      <x:c r="I104" s="2"/>
    </x:row>
    <x:row r="105" ht="22" customHeight="1">
      <x:c r="A105" s="2"/>
      <x:c r="B105" s="2"/>
      <x:c r="C105" s="2"/>
      <x:c r="D105" s="2"/>
      <x:c r="E105" s="2"/>
      <x:c r="F105" s="2"/>
      <x:c r="G105" s="2"/>
      <x:c r="H105" s="2"/>
      <x:c r="I105" s="2"/>
    </x:row>
    <x:row r="106" ht="22" customHeight="1">
      <x:c r="A106" s="2"/>
      <x:c r="B106" s="2"/>
      <x:c r="C106" s="2"/>
      <x:c r="D106" s="2"/>
      <x:c r="E106" s="2"/>
      <x:c r="F106" s="2"/>
      <x:c r="G106" s="2"/>
      <x:c r="H106" s="2"/>
      <x:c r="I106" s="2"/>
    </x:row>
    <x:row r="107" ht="22" customHeight="1">
      <x:c r="A107" s="2"/>
      <x:c r="B107" s="2"/>
      <x:c r="C107" s="2"/>
      <x:c r="D107" s="2"/>
      <x:c r="E107" s="2"/>
      <x:c r="F107" s="2"/>
      <x:c r="G107" s="2"/>
      <x:c r="H107" s="2"/>
      <x:c r="I107" s="2"/>
    </x:row>
    <x:row r="108" ht="22" customHeight="1">
      <x:c r="A108" s="2"/>
      <x:c r="B108" s="2"/>
      <x:c r="C108" s="2"/>
      <x:c r="D108" s="2"/>
      <x:c r="E108" s="2"/>
      <x:c r="F108" s="2"/>
      <x:c r="G108" s="2"/>
      <x:c r="H108" s="2"/>
      <x:c r="I108" s="2"/>
    </x:row>
    <x:row r="109" ht="22" customHeight="1">
      <x:c r="A109" s="2"/>
      <x:c r="B109" s="2"/>
      <x:c r="C109" s="2"/>
      <x:c r="D109" s="2"/>
      <x:c r="E109" s="2"/>
      <x:c r="F109" s="2"/>
      <x:c r="G109" s="2"/>
      <x:c r="H109" s="2"/>
      <x:c r="I109" s="2"/>
    </x:row>
    <x:row r="110" ht="22" customHeight="1">
      <x:c r="A110" s="2"/>
      <x:c r="B110" s="2"/>
      <x:c r="C110" s="2"/>
      <x:c r="D110" s="2"/>
      <x:c r="E110" s="2"/>
      <x:c r="F110" s="2"/>
      <x:c r="G110" s="2"/>
      <x:c r="H110" s="2"/>
      <x:c r="I110" s="2"/>
    </x:row>
    <x:row r="111" ht="22" customHeight="1">
      <x:c r="A111" s="2"/>
      <x:c r="B111" s="2"/>
      <x:c r="C111" s="2"/>
      <x:c r="D111" s="2"/>
      <x:c r="E111" s="2"/>
      <x:c r="F111" s="2"/>
      <x:c r="G111" s="2"/>
      <x:c r="H111" s="2"/>
      <x:c r="I111" s="2"/>
    </x:row>
    <x:row r="112" ht="22" customHeight="1">
      <x:c r="A112" s="2"/>
      <x:c r="B112" s="2"/>
      <x:c r="C112" s="2"/>
      <x:c r="D112" s="2"/>
      <x:c r="E112" s="2"/>
      <x:c r="F112" s="2"/>
      <x:c r="G112" s="2"/>
      <x:c r="H112" s="2"/>
      <x:c r="I112" s="2"/>
    </x:row>
  </x:sheetData>
  <x:mergeCells>
    <x:mergeCell ref="A1:I2"/>
    <x:mergeCell ref="A3:I4"/>
    <x:mergeCell ref="A6:I6"/>
    <x:mergeCell ref="A7:I7"/>
    <x:mergeCell ref="A8:I8"/>
    <x:mergeCell ref="A10:I10"/>
    <x:mergeCell ref="A11:C11"/>
    <x:mergeCell ref="D11:E11"/>
    <x:mergeCell ref="F11:I11"/>
    <x:mergeCell ref="A12:C12"/>
    <x:mergeCell ref="D12:E12"/>
    <x:mergeCell ref="F12:I12"/>
    <x:mergeCell ref="A13:C13"/>
    <x:mergeCell ref="D13:E13"/>
    <x:mergeCell ref="F13:I13"/>
    <x:mergeCell ref="A14:C14"/>
    <x:mergeCell ref="D14:E14"/>
    <x:mergeCell ref="F14:I14"/>
    <x:mergeCell ref="A22:I22"/>
    <x:mergeCell ref="A24:I24"/>
    <x:mergeCell ref="A31:C31"/>
    <x:mergeCell ref="D31:E31"/>
    <x:mergeCell ref="F31:I31"/>
    <x:mergeCell ref="A33:I33"/>
    <x:mergeCell ref="A34:C34"/>
    <x:mergeCell ref="D34:E34"/>
    <x:mergeCell ref="F34:I34"/>
    <x:mergeCell ref="A35:C35"/>
    <x:mergeCell ref="D35:E35"/>
    <x:mergeCell ref="F35:I35"/>
    <x:mergeCell ref="A36:C36"/>
    <x:mergeCell ref="D36:E36"/>
    <x:mergeCell ref="F36:I36"/>
    <x:mergeCell ref="A37:C37"/>
    <x:mergeCell ref="D37:E37"/>
    <x:mergeCell ref="F37:I37"/>
    <x:mergeCell ref="A38:C38"/>
    <x:mergeCell ref="D38:E38"/>
    <x:mergeCell ref="F38:I38"/>
    <x:mergeCell ref="A41:C41"/>
    <x:mergeCell ref="D41:E41"/>
    <x:mergeCell ref="F41:I41"/>
    <x:mergeCell ref="A42:C42"/>
    <x:mergeCell ref="D42:E42"/>
    <x:mergeCell ref="F42:I42"/>
    <x:mergeCell ref="A44:I44"/>
    <x:mergeCell ref="A45:C45"/>
    <x:mergeCell ref="D45:E45"/>
    <x:mergeCell ref="F45:I45"/>
    <x:mergeCell ref="A46:C46"/>
    <x:mergeCell ref="D46:E46"/>
    <x:mergeCell ref="F46:I46"/>
    <x:mergeCell ref="A47:C47"/>
    <x:mergeCell ref="D47:E47"/>
    <x:mergeCell ref="F47:I47"/>
    <x:mergeCell ref="A48:C48"/>
    <x:mergeCell ref="D48:E48"/>
    <x:mergeCell ref="F48:I48"/>
    <x:mergeCell ref="A49:C49"/>
    <x:mergeCell ref="D49:E49"/>
    <x:mergeCell ref="F49:I49"/>
    <x:mergeCell ref="A50:C50"/>
    <x:mergeCell ref="D50:E50"/>
    <x:mergeCell ref="F50:I50"/>
    <x:mergeCell ref="A52:I52"/>
    <x:mergeCell ref="A73:I73"/>
    <x:mergeCell ref="A74:I74"/>
    <x:mergeCell ref="A88:C88"/>
    <x:mergeCell ref="D88:E88"/>
    <x:mergeCell ref="F88:I88"/>
    <x:mergeCell ref="A89:C89"/>
    <x:mergeCell ref="D89:E89"/>
    <x:mergeCell ref="F89:I89"/>
    <x:mergeCell ref="A90:C90"/>
    <x:mergeCell ref="D90:E90"/>
    <x:mergeCell ref="F90:I90"/>
    <x:mergeCell ref="A93:I93"/>
  </x:mergeCells>
  <x:pageMargins left="0.7" right="0.7" top="0.75" bottom="0.75" header="0.3" footer="0.3"/>
  <x:drawing xmlns:r="http://schemas.openxmlformats.org/officeDocument/2006/relationships" r:id="Re35379f11850432e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</x:cols>
  <x:sheetData>
    <x:row r="1" ht="25" customHeight="1">
      <x:c r="A1" s="5" t="str">
        <x:v>Datos y convenciones</x:v>
      </x:c>
      <x:c r="B1" s="5" t="str">
        <x:v>Datos y convenciones</x:v>
      </x:c>
      <x:c r="C1" s="5" t="str">
        <x:v>Datos y convenciones</x:v>
      </x:c>
      <x:c r="D1" s="5" t="str">
        <x:v>Datos y convenciones</x:v>
      </x:c>
      <x:c r="E1" s="5" t="str">
        <x:v>Datos y convenciones</x:v>
      </x:c>
      <x:c r="F1" s="5" t="str">
        <x:v>Datos y convenciones</x:v>
      </x:c>
      <x:c r="G1" s="5" t="str">
        <x:v>Datos y convenciones</x:v>
      </x:c>
      <x:c r="H1" s="5" t="str">
        <x:v>Datos y convenciones</x:v>
      </x:c>
      <x:c r="I1" s="5" t="str">
        <x:v>Datos y convenciones</x:v>
      </x:c>
      <x:c r="J1" s="5" t="str">
        <x:v>Datos y convenciones</x:v>
      </x:c>
      <x:c r="K1" s="5" t="str">
        <x:v>Datos y convenciones</x:v>
      </x:c>
    </x:row>
    <x:row r="2" ht="25" customHeight="1">
      <x:c r="A2" s="5" t="str">
        <x:v>Datos y convenciones</x:v>
      </x:c>
      <x:c r="B2" s="5" t="str">
        <x:v>Datos y convenciones</x:v>
      </x:c>
      <x:c r="C2" s="5" t="str">
        <x:v>Datos y convenciones</x:v>
      </x:c>
      <x:c r="D2" s="5" t="str">
        <x:v>Datos y convenciones</x:v>
      </x:c>
      <x:c r="E2" s="5" t="str">
        <x:v>Datos y convenciones</x:v>
      </x:c>
      <x:c r="F2" s="5" t="str">
        <x:v>Datos y convenciones</x:v>
      </x:c>
      <x:c r="G2" s="5" t="str">
        <x:v>Datos y convenciones</x:v>
      </x:c>
      <x:c r="H2" s="5" t="str">
        <x:v>Datos y convenciones</x:v>
      </x:c>
      <x:c r="I2" s="5" t="str">
        <x:v>Datos y convenciones</x:v>
      </x:c>
      <x:c r="J2" s="5" t="str">
        <x:v>Datos y convenciones</x:v>
      </x:c>
      <x:c r="K2" s="5" t="str">
        <x:v>Datos y convenciones</x:v>
      </x:c>
    </x:row>
    <x:row r="3" ht="21" customHeight="1">
      <x:c r="A3" s="7" t="str">
        <x:v>Entradas azules editables · valores grises fijados para reproducir las simulaciones.</x:v>
      </x:c>
      <x:c r="B3" s="7" t="str">
        <x:v>Entradas azules editables · valores grises fijados para reproducir las simulaciones.</x:v>
      </x:c>
      <x:c r="C3" s="7" t="str">
        <x:v>Entradas azules editables · valores grises fijados para reproducir las simulaciones.</x:v>
      </x:c>
      <x:c r="D3" s="7" t="str">
        <x:v>Entradas azules editables · valores grises fijados para reproducir las simulaciones.</x:v>
      </x:c>
      <x:c r="E3" s="7" t="str">
        <x:v>Entradas azules editables · valores grises fijados para reproducir las simulaciones.</x:v>
      </x:c>
      <x:c r="F3" s="7" t="str">
        <x:v>Entradas azules editables · valores grises fijados para reproducir las simulaciones.</x:v>
      </x:c>
      <x:c r="G3" s="7" t="str">
        <x:v>Entradas azules editables · valores grises fijados para reproducir las simulaciones.</x:v>
      </x:c>
      <x:c r="H3" s="7" t="str">
        <x:v>Entradas azules editables · valores grises fijados para reproducir las simulaciones.</x:v>
      </x:c>
      <x:c r="I3" s="7" t="str">
        <x:v>Entradas azules editables · valores grises fijados para reproducir las simulaciones.</x:v>
      </x:c>
      <x:c r="J3" s="7" t="str">
        <x:v>Entradas azules editables · valores grises fijados para reproducir las simulaciones.</x:v>
      </x:c>
      <x:c r="K3" s="7" t="str">
        <x:v>Entradas azules editables · valores grises fijados para reproducir las simulaciones.</x:v>
      </x:c>
    </x:row>
    <x:row r="4" ht="21" customHeight="1">
      <x:c r="A4" s="7" t="str">
        <x:v>Entradas azules editables · valores grises fijados para reproducir las simulaciones.</x:v>
      </x:c>
      <x:c r="B4" s="7" t="str">
        <x:v>Entradas azules editables · valores grises fijados para reproducir las simulaciones.</x:v>
      </x:c>
      <x:c r="C4" s="7" t="str">
        <x:v>Entradas azules editables · valores grises fijados para reproducir las simulaciones.</x:v>
      </x:c>
      <x:c r="D4" s="7" t="str">
        <x:v>Entradas azules editables · valores grises fijados para reproducir las simulaciones.</x:v>
      </x:c>
      <x:c r="E4" s="7" t="str">
        <x:v>Entradas azules editables · valores grises fijados para reproducir las simulaciones.</x:v>
      </x:c>
      <x:c r="F4" s="7" t="str">
        <x:v>Entradas azules editables · valores grises fijados para reproducir las simulaciones.</x:v>
      </x:c>
      <x:c r="G4" s="7" t="str">
        <x:v>Entradas azules editables · valores grises fijados para reproducir las simulaciones.</x:v>
      </x:c>
      <x:c r="H4" s="7" t="str">
        <x:v>Entradas azules editables · valores grises fijados para reproducir las simulaciones.</x:v>
      </x:c>
      <x:c r="I4" s="7" t="str">
        <x:v>Entradas azules editables · valores grises fijados para reproducir las simulaciones.</x:v>
      </x:c>
      <x:c r="J4" s="7" t="str">
        <x:v>Entradas azules editables · valores grises fijados para reproducir las simulaciones.</x:v>
      </x:c>
      <x:c r="K4" s="7" t="str">
        <x:v>Entradas azules editables · valores grises fijados para reproducir las simulaciones.</x:v>
      </x:c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</x:row>
    <x:row r="6" ht="27" customHeight="1">
      <x:c r="A6" s="10" t="str">
        <x:v>1 · Matriz anual operativa y cohorte</x:v>
      </x:c>
      <x:c r="B6" s="10" t="str">
        <x:v>1 · Matriz anual operativa y cohorte</x:v>
      </x:c>
      <x:c r="C6" s="10" t="str">
        <x:v>1 · Matriz anual operativa y cohorte</x:v>
      </x:c>
      <x:c r="D6" s="10" t="str">
        <x:v>1 · Matriz anual operativa y cohorte</x:v>
      </x:c>
      <x:c r="E6" s="10" t="str">
        <x:v>1 · Matriz anual operativa y cohorte</x:v>
      </x:c>
      <x:c r="F6" s="10" t="str">
        <x:v>1 · Matriz anual operativa y cohorte</x:v>
      </x:c>
      <x:c r="G6" s="10" t="str">
        <x:v>1 · Matriz anual operativa y cohorte</x:v>
      </x:c>
      <x:c r="H6" s="10" t="str">
        <x:v>1 · Matriz anual operativa y cohorte</x:v>
      </x:c>
      <x:c r="I6" s="10" t="str">
        <x:v>1 · Matriz anual operativa y cohorte</x:v>
      </x:c>
      <x:c r="J6" s="10" t="str">
        <x:v>1 · Matriz anual operativa y cohorte</x:v>
      </x:c>
      <x:c r="K6" s="10" t="str">
        <x:v>1 · Matriz anual operativa y cohorte</x:v>
      </x:c>
    </x:row>
    <x:row r="7" ht="36" customHeight="1">
      <x:c r="A7" s="13" t="str">
        <x:v>Origen / destino</x:v>
      </x:c>
      <x:c r="B7" s="13" t="str">
        <x:v>Aaa</x:v>
      </x:c>
      <x:c r="C7" s="13" t="str">
        <x:v>Aa</x:v>
      </x:c>
      <x:c r="D7" s="13" t="str">
        <x:v>A</x:v>
      </x:c>
      <x:c r="E7" s="13" t="str">
        <x:v>Baa</x:v>
      </x:c>
      <x:c r="F7" s="13" t="str">
        <x:v>Ba</x:v>
      </x:c>
      <x:c r="G7" s="13" t="str">
        <x:v>B</x:v>
      </x:c>
      <x:c r="H7" s="13" t="str">
        <x:v>Caa-C</x:v>
      </x:c>
      <x:c r="I7" s="13" t="str">
        <x:v>Default</x:v>
      </x:c>
      <x:c r="J7" s="13" t="str">
        <x:v>Compañías</x:v>
      </x:c>
      <x:c r="K7" s="13" t="str">
        <x:v>Peso</x:v>
      </x:c>
    </x:row>
    <x:row r="8" ht="22" customHeight="1">
      <x:c r="A8" s="2" t="str">
        <x:v>Aaa</x:v>
      </x:c>
      <x:c r="B8" s="17" t="n">
        <x:v>0.8239100651251718</x:v>
      </x:c>
      <x:c r="C8" s="17" t="n">
        <x:v>0.13353189584925174</x:v>
      </x:c>
      <x:c r="D8" s="17" t="n">
        <x:v>0.04232948754498213</x:v>
      </x:c>
      <x:c r="E8" s="17" t="n">
        <x:v>0.00022844851509747183</x:v>
      </x:c>
      <x:c r="F8" s="17" t="n">
        <x:v>1.0296059180067391e-7</x:v>
      </x:c>
      <x:c r="G8" s="17" t="n">
        <x:v>4.904662003280946e-12</x:v>
      </x:c>
      <x:c r="H8" s="17" t="n">
        <x:v>3.8923065825545925e-16</x:v>
      </x:c>
      <x:c r="I8" s="17" t="n">
        <x:v>5.216254094999365e-22</x:v>
      </x:c>
      <x:c r="J8" s="18" t="n">
        <x:v>136</x:v>
      </x:c>
      <x:c r="K8" s="19" t="n">
        <x:f>J8/$J$16</x:f>
        <x:v>0.027189124350259896</x:v>
      </x:c>
    </x:row>
    <x:row r="9" ht="22" customHeight="1">
      <x:c r="A9" s="2" t="str">
        <x:v>Aa</x:v>
      </x:c>
      <x:c r="B9" s="17" t="n">
        <x:v>0.3261439389010661</x:v>
      </x:c>
      <x:c r="C9" s="17" t="n">
        <x:v>0.5813252907191696</x:v>
      </x:c>
      <x:c r="D9" s="17" t="n">
        <x:v>0.0767045849813816</x:v>
      </x:c>
      <x:c r="E9" s="17" t="n">
        <x:v>0.015798485602700266</x:v>
      </x:c>
      <x:c r="F9" s="17" t="n">
        <x:v>0.000027651626199185096</x:v>
      </x:c>
      <x:c r="G9" s="17" t="n">
        <x:v>4.816050596528921e-8</x:v>
      </x:c>
      <x:c r="H9" s="17" t="n">
        <x:v>8.97705300116284e-12</x:v>
      </x:c>
      <x:c r="I9" s="17" t="n">
        <x:v>2.3113048019581464e-16</x:v>
      </x:c>
      <x:c r="J9" s="18" t="n">
        <x:v>694</x:v>
      </x:c>
      <x:c r="K9" s="19" t="n">
        <x:f>J9/$J$16</x:f>
        <x:v>0.13874450219912035</x:v>
      </x:c>
    </x:row>
    <x:row r="10" ht="22" customHeight="1">
      <x:c r="A10" s="2" t="str">
        <x:v>A</x:v>
      </x:c>
      <x:c r="B10" s="17" t="n">
        <x:v>0.01670233901954564</x:v>
      </x:c>
      <x:c r="C10" s="17" t="n">
        <x:v>0.17825992767066995</x:v>
      </x:c>
      <x:c r="D10" s="17" t="n">
        <x:v>0.5425594169905165</x:v>
      </x:c>
      <x:c r="E10" s="17" t="n">
        <x:v>0.24177087019767074</x:v>
      </x:c>
      <x:c r="F10" s="17" t="n">
        <x:v>0.020648738470714852</x:v>
      </x:c>
      <x:c r="G10" s="17" t="n">
        <x:v>0.00005845799593872624</x:v>
      </x:c>
      <x:c r="H10" s="17" t="n">
        <x:v>2.4964499830894063e-7</x:v>
      </x:c>
      <x:c r="I10" s="17" t="n">
        <x:v>9.94547807356765e-12</x:v>
      </x:c>
      <x:c r="J10" s="18" t="n">
        <x:v>1298</x:v>
      </x:c>
      <x:c r="K10" s="19" t="n">
        <x:f>J10/$J$16</x:f>
        <x:v>0.25949620151939223</x:v>
      </x:c>
    </x:row>
    <x:row r="11" ht="22" customHeight="1">
      <x:c r="A11" s="2" t="str">
        <x:v>Baa</x:v>
      </x:c>
      <x:c r="B11" s="17" t="n">
        <x:v>0.00004955903539198899</x:v>
      </x:c>
      <x:c r="C11" s="17" t="n">
        <x:v>0.009007525343366456</x:v>
      </x:c>
      <x:c r="D11" s="17" t="n">
        <x:v>0.3903044801016316</x:v>
      </x:c>
      <x:c r="E11" s="17" t="n">
        <x:v>0.34068829165801195</x:v>
      </x:c>
      <x:c r="F11" s="17" t="n">
        <x:v>0.23608376114588217</x:v>
      </x:c>
      <x:c r="G11" s="17" t="n">
        <x:v>0.023824728922789515</x:v>
      </x:c>
      <x:c r="H11" s="17" t="n">
        <x:v>0.00004143846387062415</x:v>
      </x:c>
      <x:c r="I11" s="17" t="n">
        <x:v>2.1532905563759428e-7</x:v>
      </x:c>
      <x:c r="J11" s="18" t="n">
        <x:v>1175</x:v>
      </x:c>
      <x:c r="K11" s="19" t="n">
        <x:f>J11/$J$16</x:f>
        <x:v>0.234906037584966</x:v>
      </x:c>
    </x:row>
    <x:row r="12" ht="22" customHeight="1">
      <x:c r="A12" s="2" t="str">
        <x:v>Ba</x:v>
      </x:c>
      <x:c r="B12" s="17" t="n">
        <x:v>1.0325416795298516e-7</x:v>
      </x:c>
      <x:c r="C12" s="17" t="n">
        <x:v>0.00014213536657130992</x:v>
      </x:c>
      <x:c r="D12" s="17" t="n">
        <x:v>0.014813253751496924</x:v>
      </x:c>
      <x:c r="E12" s="17" t="n">
        <x:v>0.09253187007368156</x:v>
      </x:c>
      <x:c r="F12" s="17" t="n">
        <x:v>0.6335491653820795</x:v>
      </x:c>
      <x:c r="G12" s="17" t="n">
        <x:v>0.24603513875989436</x:v>
      </x:c>
      <x:c r="H12" s="17" t="n">
        <x:v>0.012803845953136628</x:v>
      </x:c>
      <x:c r="I12" s="17" t="n">
        <x:v>0.00012448745897170936</x:v>
      </x:c>
      <x:c r="J12" s="18" t="n">
        <x:v>578</x:v>
      </x:c>
      <x:c r="K12" s="19" t="n">
        <x:f>J12/$J$16</x:f>
        <x:v>0.11555377848860456</x:v>
      </x:c>
    </x:row>
    <x:row r="13" ht="22" customHeight="1">
      <x:c r="A13" s="2" t="str">
        <x:v>B</x:v>
      </x:c>
      <x:c r="B13" s="17" t="n">
        <x:v>1.5024787328214318e-11</x:v>
      </x:c>
      <x:c r="C13" s="17" t="n">
        <x:v>1.4168042336038897e-7</x:v>
      </x:c>
      <x:c r="D13" s="17" t="n">
        <x:v>0.00023401435205193583</x:v>
      </x:c>
      <x:c r="E13" s="17" t="n">
        <x:v>0.018384243568426096</x:v>
      </x:c>
      <x:c r="F13" s="17" t="n">
        <x:v>0.1176141243159185</x:v>
      </x:c>
      <x:c r="G13" s="17" t="n">
        <x:v>0.3514420603106977</x:v>
      </x:c>
      <x:c r="H13" s="17" t="n">
        <x:v>0.5061264929118039</x:v>
      </x:c>
      <x:c r="I13" s="17" t="n">
        <x:v>0.006198922845653687</x:v>
      </x:c>
      <x:c r="J13" s="18" t="n">
        <x:v>817</x:v>
      </x:c>
      <x:c r="K13" s="19" t="n">
        <x:f>J13/$J$16</x:f>
        <x:v>0.16333466613354658</x:v>
      </x:c>
    </x:row>
    <x:row r="14" ht="22" customHeight="1">
      <x:c r="A14" s="2" t="str">
        <x:v>Caa-C</x:v>
      </x:c>
      <x:c r="B14" s="17" t="n">
        <x:v>2.3732355844881274e-16</x:v>
      </x:c>
      <x:c r="C14" s="17" t="n">
        <x:v>1.4570893836673915e-11</x:v>
      </x:c>
      <x:c r="D14" s="17" t="n">
        <x:v>1.5543813213964283e-7</x:v>
      </x:c>
      <x:c r="E14" s="17" t="n">
        <x:v>0.00005921875719675295</x:v>
      </x:c>
      <x:c r="F14" s="17" t="n">
        <x:v>0.005967324062938644</x:v>
      </x:c>
      <x:c r="G14" s="17" t="n">
        <x:v>0.12054538504051282</x:v>
      </x:c>
      <x:c r="H14" s="17" t="n">
        <x:v>0.5182276805050403</x:v>
      </x:c>
      <x:c r="I14" s="17" t="n">
        <x:v>0.3552002361816082</x:v>
      </x:c>
      <x:c r="J14" s="18" t="n">
        <x:v>304</x:v>
      </x:c>
      <x:c r="K14" s="19" t="n">
        <x:f>J14/$J$16</x:f>
        <x:v>0.060775689724110356</x:v>
      </x:c>
    </x:row>
    <x:row r="15" ht="22" customHeight="1">
      <x:c r="A15" s="2" t="str">
        <x:v>Default</x:v>
      </x:c>
      <x:c r="B15" s="17" t="n">
        <x:v>0</x:v>
      </x:c>
      <x:c r="C15" s="17" t="n">
        <x:v>0</x:v>
      </x:c>
      <x:c r="D15" s="17" t="n">
        <x:v>0</x:v>
      </x:c>
      <x:c r="E15" s="17" t="n">
        <x:v>0</x:v>
      </x:c>
      <x:c r="F15" s="17" t="n">
        <x:v>0</x:v>
      </x:c>
      <x:c r="G15" s="17" t="n">
        <x:v>0</x:v>
      </x:c>
      <x:c r="H15" s="17" t="n">
        <x:v>0</x:v>
      </x:c>
      <x:c r="I15" s="17" t="n">
        <x:v>1</x:v>
      </x:c>
      <x:c r="J15" s="18" t="n">
        <x:v>0</x:v>
      </x:c>
      <x:c r="K15" s="19" t="n">
        <x:f>J15/$J$16</x:f>
        <x:v>0</x:v>
      </x:c>
    </x:row>
    <x:row r="16" ht="22" customHeight="1">
      <x:c r="A16" s="2" t="str">
        <x:v>Total</x:v>
      </x:c>
      <x:c r="B16" s="2"/>
      <x:c r="C16" s="2"/>
      <x:c r="D16" s="2"/>
      <x:c r="E16" s="2"/>
      <x:c r="F16" s="2"/>
      <x:c r="G16" s="2"/>
      <x:c r="H16" s="2"/>
      <x:c r="I16" s="2"/>
      <x:c r="J16" s="20" t="n">
        <x:f>SUM(J8:J15)</x:f>
        <x:v>5002</x:v>
      </x:c>
      <x:c r="K16" s="19" t="n">
        <x:f>SUM(K8:K15)</x:f>
        <x:v>1</x:v>
      </x:c>
    </x:row>
    <x:row r="17" ht="22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</x:row>
    <x:row r="18" ht="36" customHeight="1">
      <x:c r="A18" s="22" t="str">
        <x:v>Caa-C conserva Caa; se descarta Ca-C, según la aclaración docente. Default es absorbente.</x:v>
      </x:c>
      <x:c r="B18" s="22" t="str">
        <x:v>Caa-C conserva Caa; se descarta Ca-C, según la aclaración docente. Default es absorbente.</x:v>
      </x:c>
      <x:c r="C18" s="22" t="str">
        <x:v>Caa-C conserva Caa; se descarta Ca-C, según la aclaración docente. Default es absorbente.</x:v>
      </x:c>
      <x:c r="D18" s="22" t="str">
        <x:v>Caa-C conserva Caa; se descarta Ca-C, según la aclaración docente. Default es absorbente.</x:v>
      </x:c>
      <x:c r="E18" s="22" t="str">
        <x:v>Caa-C conserva Caa; se descarta Ca-C, según la aclaración docente. Default es absorbente.</x:v>
      </x:c>
      <x:c r="F18" s="22" t="str">
        <x:v>Caa-C conserva Caa; se descarta Ca-C, según la aclaración docente. Default es absorbente.</x:v>
      </x:c>
      <x:c r="G18" s="22" t="str">
        <x:v>Caa-C conserva Caa; se descarta Ca-C, según la aclaración docente. Default es absorbente.</x:v>
      </x:c>
      <x:c r="H18" s="22" t="str">
        <x:v>Caa-C conserva Caa; se descarta Ca-C, según la aclaración docente. Default es absorbente.</x:v>
      </x:c>
      <x:c r="I18" s="22" t="str">
        <x:v>Caa-C conserva Caa; se descarta Ca-C, según la aclaración docente. Default es absorbente.</x:v>
      </x:c>
      <x:c r="J18" s="22" t="str">
        <x:v>Caa-C conserva Caa; se descarta Ca-C, según la aclaración docente. Default es absorbente.</x:v>
      </x:c>
      <x:c r="K18" s="22" t="str">
        <x:v>Caa-C conserva Caa; se descarta Ca-C, según la aclaración docente. Default es absorbente.</x:v>
      </x:c>
    </x:row>
    <x:row r="19" ht="22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</x:row>
    <x:row r="20" ht="27" customHeight="1">
      <x:c r="A20" s="10" t="str">
        <x:v>2 · Mercado, simulación y parámetros numéricos</x:v>
      </x:c>
      <x:c r="B20" s="10" t="str">
        <x:v>2 · Mercado, simulación y parámetros numéricos</x:v>
      </x:c>
      <x:c r="C20" s="10" t="str">
        <x:v>2 · Mercado, simulación y parámetros numéricos</x:v>
      </x:c>
      <x:c r="D20" s="10" t="str">
        <x:v>2 · Mercado, simulación y parámetros numéricos</x:v>
      </x:c>
      <x:c r="E20" s="10" t="str">
        <x:v>2 · Mercado, simulación y parámetros numéricos</x:v>
      </x:c>
      <x:c r="F20" s="10" t="str">
        <x:v>2 · Mercado, simulación y parámetros numéricos</x:v>
      </x:c>
      <x:c r="G20" s="10" t="str">
        <x:v>2 · Mercado, simulación y parámetros numéricos</x:v>
      </x:c>
      <x:c r="H20" s="10" t="str">
        <x:v>2 · Mercado, simulación y parámetros numéricos</x:v>
      </x:c>
      <x:c r="I20" s="10" t="str">
        <x:v>2 · Mercado, simulación y parámetros numéricos</x:v>
      </x:c>
      <x:c r="J20" s="10" t="str">
        <x:v>2 · Mercado, simulación y parámetros numéricos</x:v>
      </x:c>
      <x:c r="K20" s="10" t="str">
        <x:v>2 · Mercado, simulación y parámetros numéricos</x:v>
      </x:c>
    </x:row>
    <x:row r="21" ht="22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</x:row>
    <x:row r="22" ht="22" customHeight="1">
      <x:c r="A22" s="2" t="str">
        <x:v>Spot S₀</x:v>
      </x:c>
      <x:c r="B22" s="29" t="n">
        <x:v>100</x:v>
      </x:c>
      <x:c r="C22" s="22" t="str">
        <x:v>   u.m. · enunciado</x:v>
      </x:c>
      <x:c r="D22" s="22" t="str">
        <x:v>u.m. · enunciado</x:v>
      </x:c>
      <x:c r="E22" s="22" t="str">
        <x:v>u.m. · enunciado</x:v>
      </x:c>
      <x:c r="F22" s="22" t="str">
        <x:v>u.m. · enunciado</x:v>
      </x:c>
      <x:c r="G22" s="22" t="str">
        <x:v>u.m. · enunciado</x:v>
      </x:c>
      <x:c r="H22" s="22" t="str">
        <x:v>u.m. · enunciado</x:v>
      </x:c>
      <x:c r="I22" s="22" t="str">
        <x:v>u.m. · enunciado</x:v>
      </x:c>
      <x:c r="J22" s="22" t="str">
        <x:v>u.m. · enunciado</x:v>
      </x:c>
      <x:c r="K22" s="22" t="str">
        <x:v>u.m. · enunciado</x:v>
      </x:c>
    </x:row>
    <x:row r="23" ht="22" customHeight="1">
      <x:c r="A23" s="2" t="str">
        <x:v>Strike K</x:v>
      </x:c>
      <x:c r="B23" s="29" t="n">
        <x:v>100</x:v>
      </x:c>
      <x:c r="C23" s="22" t="str">
        <x:v>   u.m. · las tres calls y la asiática</x:v>
      </x:c>
      <x:c r="D23" s="22" t="str">
        <x:v>u.m. · las tres calls y la asiática</x:v>
      </x:c>
      <x:c r="E23" s="22" t="str">
        <x:v>u.m. · las tres calls y la asiática</x:v>
      </x:c>
      <x:c r="F23" s="22" t="str">
        <x:v>u.m. · las tres calls y la asiática</x:v>
      </x:c>
      <x:c r="G23" s="22" t="str">
        <x:v>u.m. · las tres calls y la asiática</x:v>
      </x:c>
      <x:c r="H23" s="22" t="str">
        <x:v>u.m. · las tres calls y la asiática</x:v>
      </x:c>
      <x:c r="I23" s="22" t="str">
        <x:v>u.m. · las tres calls y la asiática</x:v>
      </x:c>
      <x:c r="J23" s="22" t="str">
        <x:v>u.m. · las tres calls y la asiática</x:v>
      </x:c>
      <x:c r="K23" s="22" t="str">
        <x:v>u.m. · las tres calls y la asiática</x:v>
      </x:c>
    </x:row>
    <x:row r="24" ht="22" customHeight="1">
      <x:c r="A24" s="2" t="str">
        <x:v>Tipo continuo r</x:v>
      </x:c>
      <x:c r="B24" s="26" t="n">
        <x:v>0.01</x:v>
      </x:c>
      <x:c r="C24" s="22" t="str">
        <x:v>   anual · sin dividendos</x:v>
      </x:c>
      <x:c r="D24" s="22" t="str">
        <x:v>anual · sin dividendos</x:v>
      </x:c>
      <x:c r="E24" s="22" t="str">
        <x:v>anual · sin dividendos</x:v>
      </x:c>
      <x:c r="F24" s="22" t="str">
        <x:v>anual · sin dividendos</x:v>
      </x:c>
      <x:c r="G24" s="22" t="str">
        <x:v>anual · sin dividendos</x:v>
      </x:c>
      <x:c r="H24" s="22" t="str">
        <x:v>anual · sin dividendos</x:v>
      </x:c>
      <x:c r="I24" s="22" t="str">
        <x:v>anual · sin dividendos</x:v>
      </x:c>
      <x:c r="J24" s="22" t="str">
        <x:v>anual · sin dividendos</x:v>
      </x:c>
      <x:c r="K24" s="22" t="str">
        <x:v>anual · sin dividendos</x:v>
      </x:c>
    </x:row>
    <x:row r="25" ht="22" customHeight="1">
      <x:c r="A25" s="2" t="str">
        <x:v>Pago asiática T</x:v>
      </x:c>
      <x:c r="B25" s="29" t="n">
        <x:v>2</x:v>
      </x:c>
      <x:c r="C25" s="22" t="str">
        <x:v>   años · distinto de la última fijación</x:v>
      </x:c>
      <x:c r="D25" s="22" t="str">
        <x:v>años · distinto de la última fijación</x:v>
      </x:c>
      <x:c r="E25" s="22" t="str">
        <x:v>años · distinto de la última fijación</x:v>
      </x:c>
      <x:c r="F25" s="22" t="str">
        <x:v>años · distinto de la última fijación</x:v>
      </x:c>
      <x:c r="G25" s="22" t="str">
        <x:v>años · distinto de la última fijación</x:v>
      </x:c>
      <x:c r="H25" s="22" t="str">
        <x:v>años · distinto de la última fijación</x:v>
      </x:c>
      <x:c r="I25" s="22" t="str">
        <x:v>años · distinto de la última fijación</x:v>
      </x:c>
      <x:c r="J25" s="22" t="str">
        <x:v>años · distinto de la última fijación</x:v>
      </x:c>
      <x:c r="K25" s="22" t="str">
        <x:v>años · distinto de la última fijación</x:v>
      </x:c>
    </x:row>
    <x:row r="26" ht="22" customHeight="1">
      <x:c r="A26" s="2" t="str">
        <x:v>Tiempo Mₜ</x:v>
      </x:c>
      <x:c r="B26" s="29" t="n">
        <x:v>1</x:v>
      </x:c>
      <x:c r="C26" s="22" t="str">
        <x:v>   años · caso de referencia t = 1</x:v>
      </x:c>
      <x:c r="D26" s="22" t="str">
        <x:v>años · caso de referencia t = 1</x:v>
      </x:c>
      <x:c r="E26" s="22" t="str">
        <x:v>años · caso de referencia t = 1</x:v>
      </x:c>
      <x:c r="F26" s="22" t="str">
        <x:v>años · caso de referencia t = 1</x:v>
      </x:c>
      <x:c r="G26" s="22" t="str">
        <x:v>años · caso de referencia t = 1</x:v>
      </x:c>
      <x:c r="H26" s="22" t="str">
        <x:v>años · caso de referencia t = 1</x:v>
      </x:c>
      <x:c r="I26" s="22" t="str">
        <x:v>años · caso de referencia t = 1</x:v>
      </x:c>
      <x:c r="J26" s="22" t="str">
        <x:v>años · caso de referencia t = 1</x:v>
      </x:c>
      <x:c r="K26" s="22" t="str">
        <x:v>años · caso de referencia t = 1</x:v>
      </x:c>
    </x:row>
    <x:row r="27" ht="22" customHeight="1">
      <x:c r="A27" s="2" t="str">
        <x:v>Pasos trayectoria</x:v>
      </x:c>
      <x:c r="B27" s="80" t="n">
        <x:v>100</x:v>
      </x:c>
      <x:c r="C27" s="22" t="str">
        <x:v>   malla exacta de la trayectoria guardada</x:v>
      </x:c>
      <x:c r="D27" s="22" t="str">
        <x:v>malla exacta de la trayectoria guardada</x:v>
      </x:c>
      <x:c r="E27" s="22" t="str">
        <x:v>malla exacta de la trayectoria guardada</x:v>
      </x:c>
      <x:c r="F27" s="22" t="str">
        <x:v>malla exacta de la trayectoria guardada</x:v>
      </x:c>
      <x:c r="G27" s="22" t="str">
        <x:v>malla exacta de la trayectoria guardada</x:v>
      </x:c>
      <x:c r="H27" s="22" t="str">
        <x:v>malla exacta de la trayectoria guardada</x:v>
      </x:c>
      <x:c r="I27" s="22" t="str">
        <x:v>malla exacta de la trayectoria guardada</x:v>
      </x:c>
      <x:c r="J27" s="22" t="str">
        <x:v>malla exacta de la trayectoria guardada</x:v>
      </x:c>
      <x:c r="K27" s="22" t="str">
        <x:v>malla exacta de la trayectoria guardada</x:v>
      </x:c>
    </x:row>
    <x:row r="28" ht="22" customHeight="1">
      <x:c r="A28" s="2" t="str">
        <x:v>Z para IC media M</x:v>
      </x:c>
      <x:c r="B28" s="77" t="n">
        <x:v>1.96</x:v>
      </x:c>
      <x:c r="C28" s="22" t="str">
        <x:v>   aproximación normal del IC 95%</x:v>
      </x:c>
      <x:c r="D28" s="22" t="str">
        <x:v>aproximación normal del IC 95%</x:v>
      </x:c>
      <x:c r="E28" s="22" t="str">
        <x:v>aproximación normal del IC 95%</x:v>
      </x:c>
      <x:c r="F28" s="22" t="str">
        <x:v>aproximación normal del IC 95%</x:v>
      </x:c>
      <x:c r="G28" s="22" t="str">
        <x:v>aproximación normal del IC 95%</x:v>
      </x:c>
      <x:c r="H28" s="22" t="str">
        <x:v>aproximación normal del IC 95%</x:v>
      </x:c>
      <x:c r="I28" s="22" t="str">
        <x:v>aproximación normal del IC 95%</x:v>
      </x:c>
      <x:c r="J28" s="22" t="str">
        <x:v>aproximación normal del IC 95%</x:v>
      </x:c>
      <x:c r="K28" s="22" t="str">
        <x:v>aproximación normal del IC 95%</x:v>
      </x:c>
    </x:row>
    <x:row r="29" ht="22" customHeight="1">
      <x:c r="A29" s="2" t="str">
        <x:v>Nivel de confianza</x:v>
      </x:c>
      <x:c r="B29" s="78" t="n">
        <x:v>0.95</x:v>
      </x:c>
      <x:c r="C29" s="22" t="str">
        <x:v>   IC bilateral</x:v>
      </x:c>
      <x:c r="D29" s="22" t="str">
        <x:v>IC bilateral</x:v>
      </x:c>
      <x:c r="E29" s="22" t="str">
        <x:v>IC bilateral</x:v>
      </x:c>
      <x:c r="F29" s="22" t="str">
        <x:v>IC bilateral</x:v>
      </x:c>
      <x:c r="G29" s="22" t="str">
        <x:v>IC bilateral</x:v>
      </x:c>
      <x:c r="H29" s="22" t="str">
        <x:v>IC bilateral</x:v>
      </x:c>
      <x:c r="I29" s="22" t="str">
        <x:v>IC bilateral</x:v>
      </x:c>
      <x:c r="J29" s="22" t="str">
        <x:v>IC bilateral</x:v>
      </x:c>
      <x:c r="K29" s="22" t="str">
        <x:v>IC bilateral</x:v>
      </x:c>
    </x:row>
    <x:row r="30" ht="22" customHeight="1">
      <x:c r="A30" s="2" t="str">
        <x:v>Cota inicial V baja</x:v>
      </x:c>
      <x:c r="B30" s="81" t="n">
        <x:v>1e-14</x:v>
      </x:c>
      <x:c r="C30" s="22" t="str">
        <x:v>   bisección: varianza acumulada</x:v>
      </x:c>
      <x:c r="D30" s="22" t="str">
        <x:v>bisección: varianza acumulada</x:v>
      </x:c>
      <x:c r="E30" s="22" t="str">
        <x:v>bisección: varianza acumulada</x:v>
      </x:c>
      <x:c r="F30" s="22" t="str">
        <x:v>bisección: varianza acumulada</x:v>
      </x:c>
      <x:c r="G30" s="22" t="str">
        <x:v>bisección: varianza acumulada</x:v>
      </x:c>
      <x:c r="H30" s="22" t="str">
        <x:v>bisección: varianza acumulada</x:v>
      </x:c>
      <x:c r="I30" s="22" t="str">
        <x:v>bisección: varianza acumulada</x:v>
      </x:c>
      <x:c r="J30" s="22" t="str">
        <x:v>bisección: varianza acumulada</x:v>
      </x:c>
      <x:c r="K30" s="22" t="str">
        <x:v>bisección: varianza acumulada</x:v>
      </x:c>
    </x:row>
    <x:row r="31" ht="22" customHeight="1">
      <x:c r="A31" s="2" t="str">
        <x:v>Cota inicial V alta</x:v>
      </x:c>
      <x:c r="B31" s="18" t="n">
        <x:v>10</x:v>
      </x:c>
      <x:c r="C31" s="22" t="str">
        <x:v>   bisección: varianza acumulada</x:v>
      </x:c>
      <x:c r="D31" s="22" t="str">
        <x:v>bisección: varianza acumulada</x:v>
      </x:c>
      <x:c r="E31" s="22" t="str">
        <x:v>bisección: varianza acumulada</x:v>
      </x:c>
      <x:c r="F31" s="22" t="str">
        <x:v>bisección: varianza acumulada</x:v>
      </x:c>
      <x:c r="G31" s="22" t="str">
        <x:v>bisección: varianza acumulada</x:v>
      </x:c>
      <x:c r="H31" s="22" t="str">
        <x:v>bisección: varianza acumulada</x:v>
      </x:c>
      <x:c r="I31" s="22" t="str">
        <x:v>bisección: varianza acumulada</x:v>
      </x:c>
      <x:c r="J31" s="22" t="str">
        <x:v>bisección: varianza acumulada</x:v>
      </x:c>
      <x:c r="K31" s="22" t="str">
        <x:v>bisección: varianza acumulada</x:v>
      </x:c>
    </x:row>
    <x:row r="32" ht="22" customHeight="1">
      <x:c r="A32" s="2" t="str">
        <x:v>Inicio Newton a</x:v>
      </x:c>
      <x:c r="B32" s="24" t="n">
        <x:v>0.05</x:v>
      </x:c>
      <x:c r="C32" s="22" t="str">
        <x:v>   raíz próxima a la solución no negativa</x:v>
      </x:c>
      <x:c r="D32" s="22" t="str">
        <x:v>raíz próxima a la solución no negativa</x:v>
      </x:c>
      <x:c r="E32" s="22" t="str">
        <x:v>raíz próxima a la solución no negativa</x:v>
      </x:c>
      <x:c r="F32" s="22" t="str">
        <x:v>raíz próxima a la solución no negativa</x:v>
      </x:c>
      <x:c r="G32" s="22" t="str">
        <x:v>raíz próxima a la solución no negativa</x:v>
      </x:c>
      <x:c r="H32" s="22" t="str">
        <x:v>raíz próxima a la solución no negativa</x:v>
      </x:c>
      <x:c r="I32" s="22" t="str">
        <x:v>raíz próxima a la solución no negativa</x:v>
      </x:c>
      <x:c r="J32" s="22" t="str">
        <x:v>raíz próxima a la solución no negativa</x:v>
      </x:c>
      <x:c r="K32" s="22" t="str">
        <x:v>raíz próxima a la solución no negativa</x:v>
      </x:c>
    </x:row>
    <x:row r="33" ht="22" customHeight="1">
      <x:c r="A33" s="2" t="str">
        <x:v>Inicio Newton b</x:v>
      </x:c>
      <x:c r="B33" s="24" t="n">
        <x:v>0.2</x:v>
      </x:c>
      <x:c r="C33" s="22" t="str">
        <x:v>   coeficiente inicial</x:v>
      </x:c>
      <x:c r="D33" s="22" t="str">
        <x:v>coeficiente inicial</x:v>
      </x:c>
      <x:c r="E33" s="22" t="str">
        <x:v>coeficiente inicial</x:v>
      </x:c>
      <x:c r="F33" s="22" t="str">
        <x:v>coeficiente inicial</x:v>
      </x:c>
      <x:c r="G33" s="22" t="str">
        <x:v>coeficiente inicial</x:v>
      </x:c>
      <x:c r="H33" s="22" t="str">
        <x:v>coeficiente inicial</x:v>
      </x:c>
      <x:c r="I33" s="22" t="str">
        <x:v>coeficiente inicial</x:v>
      </x:c>
      <x:c r="J33" s="22" t="str">
        <x:v>coeficiente inicial</x:v>
      </x:c>
      <x:c r="K33" s="22" t="str">
        <x:v>coeficiente inicial</x:v>
      </x:c>
    </x:row>
    <x:row r="34" ht="22" customHeight="1">
      <x:c r="A34" s="2" t="str">
        <x:v>Inicio Newton c</x:v>
      </x:c>
      <x:c r="B34" s="24" t="n">
        <x:v>0.1</x:v>
      </x:c>
      <x:c r="C34" s="22" t="str">
        <x:v>   coeficiente inicial</x:v>
      </x:c>
      <x:c r="D34" s="22" t="str">
        <x:v>coeficiente inicial</x:v>
      </x:c>
      <x:c r="E34" s="22" t="str">
        <x:v>coeficiente inicial</x:v>
      </x:c>
      <x:c r="F34" s="22" t="str">
        <x:v>coeficiente inicial</x:v>
      </x:c>
      <x:c r="G34" s="22" t="str">
        <x:v>coeficiente inicial</x:v>
      </x:c>
      <x:c r="H34" s="22" t="str">
        <x:v>coeficiente inicial</x:v>
      </x:c>
      <x:c r="I34" s="22" t="str">
        <x:v>coeficiente inicial</x:v>
      </x:c>
      <x:c r="J34" s="22" t="str">
        <x:v>coeficiente inicial</x:v>
      </x:c>
      <x:c r="K34" s="22" t="str">
        <x:v>coeficiente inicial</x:v>
      </x:c>
    </x:row>
    <x:row r="35" ht="22" customHeight="1">
      <x:c r="A35" s="2" t="str">
        <x:v>Cov(H,G) piloto</x:v>
      </x:c>
      <x:c r="B35" s="79" t="n">
        <x:v>188.83413221865058</x:v>
      </x:c>
      <x:c r="C35" s="22" t="str">
        <x:v>   200.000 parejas · semilla 20260302 · fijado</x:v>
      </x:c>
      <x:c r="D35" s="22" t="str">
        <x:v>200.000 parejas · semilla 20260302 · fijado</x:v>
      </x:c>
      <x:c r="E35" s="22" t="str">
        <x:v>200.000 parejas · semilla 20260302 · fijado</x:v>
      </x:c>
      <x:c r="F35" s="22" t="str">
        <x:v>200.000 parejas · semilla 20260302 · fijado</x:v>
      </x:c>
      <x:c r="G35" s="22" t="str">
        <x:v>200.000 parejas · semilla 20260302 · fijado</x:v>
      </x:c>
      <x:c r="H35" s="22" t="str">
        <x:v>200.000 parejas · semilla 20260302 · fijado</x:v>
      </x:c>
      <x:c r="I35" s="22" t="str">
        <x:v>200.000 parejas · semilla 20260302 · fijado</x:v>
      </x:c>
      <x:c r="J35" s="22" t="str">
        <x:v>200.000 parejas · semilla 20260302 · fijado</x:v>
      </x:c>
      <x:c r="K35" s="22" t="str">
        <x:v>200.000 parejas · semilla 20260302 · fijado</x:v>
      </x:c>
    </x:row>
    <x:row r="36" ht="22" customHeight="1">
      <x:c r="A36" s="2" t="str">
        <x:v>Var(G) piloto</x:v>
      </x:c>
      <x:c r="B36" s="79" t="n">
        <x:v>181.35775615817292</x:v>
      </x:c>
      <x:c r="C36" s="22" t="str">
        <x:v>   200.000 parejas · fijado</x:v>
      </x:c>
      <x:c r="D36" s="22" t="str">
        <x:v>200.000 parejas · fijado</x:v>
      </x:c>
      <x:c r="E36" s="22" t="str">
        <x:v>200.000 parejas · fijado</x:v>
      </x:c>
      <x:c r="F36" s="22" t="str">
        <x:v>200.000 parejas · fijado</x:v>
      </x:c>
      <x:c r="G36" s="22" t="str">
        <x:v>200.000 parejas · fijado</x:v>
      </x:c>
      <x:c r="H36" s="22" t="str">
        <x:v>200.000 parejas · fijado</x:v>
      </x:c>
      <x:c r="I36" s="22" t="str">
        <x:v>200.000 parejas · fijado</x:v>
      </x:c>
      <x:c r="J36" s="22" t="str">
        <x:v>200.000 parejas · fijado</x:v>
      </x:c>
      <x:c r="K36" s="22" t="str">
        <x:v>200.000 parejas · fijado</x:v>
      </x:c>
    </x:row>
    <x:row r="37" ht="22" customHeight="1">
      <x:c r="A37" s="2" t="str">
        <x:v>Cuantil t(31)</x:v>
      </x:c>
      <x:c r="B37" s="79" t="n">
        <x:v>2.039513446396408</x:v>
      </x:c>
      <x:c r="C37" s="22" t="str">
        <x:v>   t de Student: 97,5%; 31 grados de libertad · fijado</x:v>
      </x:c>
      <x:c r="D37" s="22" t="str">
        <x:v>t de Student: 97,5%; 31 grados de libertad · fijado</x:v>
      </x:c>
      <x:c r="E37" s="22" t="str">
        <x:v>t de Student: 97,5%; 31 grados de libertad · fijado</x:v>
      </x:c>
      <x:c r="F37" s="22" t="str">
        <x:v>t de Student: 97,5%; 31 grados de libertad · fijado</x:v>
      </x:c>
      <x:c r="G37" s="22" t="str">
        <x:v>t de Student: 97,5%; 31 grados de libertad · fijado</x:v>
      </x:c>
      <x:c r="H37" s="22" t="str">
        <x:v>t de Student: 97,5%; 31 grados de libertad · fijado</x:v>
      </x:c>
      <x:c r="I37" s="22" t="str">
        <x:v>t de Student: 97,5%; 31 grados de libertad · fijado</x:v>
      </x:c>
      <x:c r="J37" s="22" t="str">
        <x:v>t de Student: 97,5%; 31 grados de libertad · fijado</x:v>
      </x:c>
      <x:c r="K37" s="22" t="str">
        <x:v>t de Student: 97,5%; 31 grados de libertad · fijado</x:v>
      </x:c>
    </x:row>
    <x:row r="38" ht="22" customHeight="1">
      <x:c r="A38" s="2" t="str">
        <x:v>N cadenas por rating</x:v>
      </x:c>
      <x:c r="B38" s="80" t="n">
        <x:v>300000</x:v>
      </x:c>
      <x:c r="C38" s="22" t="str">
        <x:v>   semilla 20260902 · fijado</x:v>
      </x:c>
      <x:c r="D38" s="22" t="str">
        <x:v>semilla 20260902 · fijado</x:v>
      </x:c>
      <x:c r="E38" s="22" t="str">
        <x:v>semilla 20260902 · fijado</x:v>
      </x:c>
      <x:c r="F38" s="22" t="str">
        <x:v>semilla 20260902 · fijado</x:v>
      </x:c>
      <x:c r="G38" s="22" t="str">
        <x:v>semilla 20260902 · fijado</x:v>
      </x:c>
      <x:c r="H38" s="22" t="str">
        <x:v>semilla 20260902 · fijado</x:v>
      </x:c>
      <x:c r="I38" s="22" t="str">
        <x:v>semilla 20260902 · fijado</x:v>
      </x:c>
      <x:c r="J38" s="22" t="str">
        <x:v>semilla 20260902 · fijado</x:v>
      </x:c>
      <x:c r="K38" s="22" t="str">
        <x:v>semilla 20260902 · fijado</x:v>
      </x:c>
    </x:row>
    <x:row r="39" ht="22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</x:row>
    <x:row r="40" ht="22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</x:row>
    <x:row r="41" ht="36" customHeight="1">
      <x:c r="A41" s="13" t="str">
        <x:v>Call</x:v>
      </x:c>
      <x:c r="B41" s="13" t="str">
        <x:v>T (años)</x:v>
      </x:c>
      <x:c r="C41" s="13" t="str">
        <x:v>Precio mercado</x:v>
      </x:c>
      <x:c r="D41" s="2"/>
      <x:c r="E41" s="2"/>
      <x:c r="F41" s="2"/>
      <x:c r="G41" s="2"/>
      <x:c r="H41" s="2"/>
      <x:c r="I41" s="2"/>
      <x:c r="J41" s="2"/>
      <x:c r="K41" s="2"/>
    </x:row>
    <x:row r="42" ht="22" customHeight="1">
      <x:c r="A42" s="2" t="str">
        <x:v>1Y</x:v>
      </x:c>
      <x:c r="B42" s="29" t="n">
        <x:v>1</x:v>
      </x:c>
      <x:c r="C42" s="29" t="n">
        <x:v>9.55</x:v>
      </x:c>
      <x:c r="D42" s="2"/>
      <x:c r="E42" s="2"/>
      <x:c r="F42" s="2"/>
      <x:c r="G42" s="2"/>
      <x:c r="H42" s="2"/>
      <x:c r="I42" s="2"/>
      <x:c r="J42" s="2"/>
      <x:c r="K42" s="2"/>
    </x:row>
    <x:row r="43" ht="22" customHeight="1">
      <x:c r="A43" s="2" t="str">
        <x:v>1,25Y</x:v>
      </x:c>
      <x:c r="B43" s="29" t="n">
        <x:v>1.25</x:v>
      </x:c>
      <x:c r="C43" s="29" t="n">
        <x:v>12.48</x:v>
      </x:c>
      <x:c r="D43" s="2"/>
      <x:c r="E43" s="2"/>
      <x:c r="F43" s="2"/>
      <x:c r="G43" s="2"/>
      <x:c r="H43" s="2"/>
      <x:c r="I43" s="2"/>
      <x:c r="J43" s="2"/>
      <x:c r="K43" s="2"/>
    </x:row>
    <x:row r="44" ht="22" customHeight="1">
      <x:c r="A44" s="2" t="str">
        <x:v>2Y</x:v>
      </x:c>
      <x:c r="B44" s="29" t="n">
        <x:v>2</x:v>
      </x:c>
      <x:c r="C44" s="29" t="n">
        <x:v>23.36</x:v>
      </x:c>
      <x:c r="D44" s="2"/>
      <x:c r="E44" s="2"/>
      <x:c r="F44" s="2"/>
      <x:c r="G44" s="2"/>
      <x:c r="H44" s="2"/>
      <x:c r="I44" s="2"/>
      <x:c r="J44" s="2"/>
      <x:c r="K44" s="2"/>
    </x:row>
    <x:row r="45" ht="22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</x:row>
    <x:row r="46" ht="22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</x:row>
    <x:row r="47" ht="36" customHeight="1">
      <x:c r="A47" s="13" t="str">
        <x:v>Fijación</x:v>
      </x:c>
      <x:c r="B47" s="13" t="str">
        <x:v>t (años)</x:v>
      </x:c>
      <x:c r="C47" s="2"/>
      <x:c r="D47" s="2"/>
      <x:c r="E47" s="2"/>
      <x:c r="F47" s="2"/>
      <x:c r="G47" s="2"/>
      <x:c r="H47" s="2"/>
      <x:c r="I47" s="2"/>
      <x:c r="J47" s="2"/>
      <x:c r="K47" s="2"/>
    </x:row>
    <x:row r="48" ht="22" customHeight="1">
      <x:c r="A48" s="2" t="n">
        <x:v>1</x:v>
      </x:c>
      <x:c r="B48" s="29" t="n">
        <x:v>1.15</x:v>
      </x:c>
      <x:c r="C48" s="2"/>
      <x:c r="D48" s="2"/>
      <x:c r="E48" s="2"/>
      <x:c r="F48" s="2"/>
      <x:c r="G48" s="2"/>
      <x:c r="H48" s="2"/>
      <x:c r="I48" s="2"/>
      <x:c r="J48" s="2"/>
      <x:c r="K48" s="2"/>
    </x:row>
    <x:row r="49" ht="22" customHeight="1">
      <x:c r="A49" s="2" t="n">
        <x:v>2</x:v>
      </x:c>
      <x:c r="B49" s="29" t="n">
        <x:v>1.3</x:v>
      </x:c>
      <x:c r="C49" s="2"/>
      <x:c r="D49" s="2"/>
      <x:c r="E49" s="2"/>
      <x:c r="F49" s="2"/>
      <x:c r="G49" s="2"/>
      <x:c r="H49" s="2"/>
      <x:c r="I49" s="2"/>
      <x:c r="J49" s="2"/>
      <x:c r="K49" s="2"/>
    </x:row>
    <x:row r="50" ht="22" customHeight="1">
      <x:c r="A50" s="2" t="n">
        <x:v>3</x:v>
      </x:c>
      <x:c r="B50" s="29" t="n">
        <x:v>1.6</x:v>
      </x:c>
      <x:c r="C50" s="2"/>
      <x:c r="D50" s="2"/>
      <x:c r="E50" s="2"/>
      <x:c r="F50" s="2"/>
      <x:c r="G50" s="2"/>
      <x:c r="H50" s="2"/>
      <x:c r="I50" s="2"/>
      <x:c r="J50" s="2"/>
      <x:c r="K50" s="2"/>
    </x:row>
    <x:row r="51" ht="22" customHeight="1">
      <x:c r="A51" s="2" t="n">
        <x:v>4</x:v>
      </x:c>
      <x:c r="B51" s="29" t="n">
        <x:v>1.7</x:v>
      </x:c>
      <x:c r="C51" s="2"/>
      <x:c r="D51" s="2"/>
      <x:c r="E51" s="2"/>
      <x:c r="F51" s="2"/>
      <x:c r="G51" s="2"/>
      <x:c r="H51" s="2"/>
      <x:c r="I51" s="2"/>
      <x:c r="J51" s="2"/>
      <x:c r="K51" s="2"/>
    </x:row>
    <x:row r="52" ht="22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</x:row>
    <x:row r="53" ht="22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</x:row>
    <x:row r="54" ht="27" customHeight="1">
      <x:c r="A54" s="10" t="str">
        <x:v>3 · Parámetros de las simulaciones completas guardadas</x:v>
      </x:c>
      <x:c r="B54" s="10" t="str">
        <x:v>3 · Parámetros de las simulaciones completas guardadas</x:v>
      </x:c>
      <x:c r="C54" s="10" t="str">
        <x:v>3 · Parámetros de las simulaciones completas guardadas</x:v>
      </x:c>
      <x:c r="D54" s="10" t="str">
        <x:v>3 · Parámetros de las simulaciones completas guardadas</x:v>
      </x:c>
      <x:c r="E54" s="10" t="str">
        <x:v>3 · Parámetros de las simulaciones completas guardadas</x:v>
      </x:c>
      <x:c r="F54" s="10" t="str">
        <x:v>3 · Parámetros de las simulaciones completas guardadas</x:v>
      </x:c>
      <x:c r="G54" s="10" t="str">
        <x:v>3 · Parámetros de las simulaciones completas guardadas</x:v>
      </x:c>
      <x:c r="H54" s="10" t="str">
        <x:v>3 · Parámetros de las simulaciones completas guardadas</x:v>
      </x:c>
      <x:c r="I54" s="10" t="str">
        <x:v>3 · Parámetros de las simulaciones completas guardadas</x:v>
      </x:c>
      <x:c r="J54" s="10" t="str">
        <x:v>3 · Parámetros de las simulaciones completas guardadas</x:v>
      </x:c>
      <x:c r="K54" s="10" t="str">
        <x:v>3 · Parámetros de las simulaciones completas guardadas</x:v>
      </x:c>
    </x:row>
    <x:row r="55" ht="36" customHeight="1">
      <x:c r="A55" s="22" t="str">
        <x:v>Los agregados de Sobol, piloto, PRNG y cadenas corresponden al caso base. Si cambias sus entradas, Control exige regenerarlos.</x:v>
      </x:c>
      <x:c r="B55" s="22" t="str">
        <x:v>Los agregados de Sobol, piloto, PRNG y cadenas corresponden al caso base. Si cambias sus entradas, Control exige regenerarlos.</x:v>
      </x:c>
      <x:c r="C55" s="22" t="str">
        <x:v>Los agregados de Sobol, piloto, PRNG y cadenas corresponden al caso base. Si cambias sus entradas, Control exige regenerarlos.</x:v>
      </x:c>
      <x:c r="D55" s="22" t="str">
        <x:v>Los agregados de Sobol, piloto, PRNG y cadenas corresponden al caso base. Si cambias sus entradas, Control exige regenerarlos.</x:v>
      </x:c>
      <x:c r="E55" s="22" t="str">
        <x:v>Los agregados de Sobol, piloto, PRNG y cadenas corresponden al caso base. Si cambias sus entradas, Control exige regenerarlos.</x:v>
      </x:c>
      <x:c r="F55" s="22" t="str">
        <x:v>Los agregados de Sobol, piloto, PRNG y cadenas corresponden al caso base. Si cambias sus entradas, Control exige regenerarlos.</x:v>
      </x:c>
      <x:c r="G55" s="22" t="str">
        <x:v>Los agregados de Sobol, piloto, PRNG y cadenas corresponden al caso base. Si cambias sus entradas, Control exige regenerarlos.</x:v>
      </x:c>
      <x:c r="H55" s="22" t="str">
        <x:v>Los agregados de Sobol, piloto, PRNG y cadenas corresponden al caso base. Si cambias sus entradas, Control exige regenerarlos.</x:v>
      </x:c>
      <x:c r="I55" s="22" t="str">
        <x:v>Los agregados de Sobol, piloto, PRNG y cadenas corresponden al caso base. Si cambias sus entradas, Control exige regenerarlos.</x:v>
      </x:c>
      <x:c r="J55" s="22" t="str">
        <x:v>Los agregados de Sobol, piloto, PRNG y cadenas corresponden al caso base. Si cambias sus entradas, Control exige regenerarlos.</x:v>
      </x:c>
      <x:c r="K55" s="22" t="str">
        <x:v>Los agregados de Sobol, piloto, PRNG y cadenas corresponden al caso base. Si cambias sus entradas, Control exige regenerarlos.</x:v>
      </x:c>
    </x:row>
    <x:row r="56" ht="22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</x:row>
    <x:row r="57" ht="22" customHeight="1">
      <x:c r="A57" s="2" t="str">
        <x:v>S₀</x:v>
      </x:c>
      <x:c r="B57" s="82" t="n">
        <x:v>100</x:v>
      </x:c>
      <x:c r="C57" s="2"/>
      <x:c r="D57" s="2"/>
      <x:c r="E57" s="2"/>
      <x:c r="F57" s="2"/>
      <x:c r="G57" s="2"/>
      <x:c r="H57" s="2"/>
      <x:c r="I57" s="2"/>
      <x:c r="J57" s="2"/>
      <x:c r="K57" s="2"/>
    </x:row>
    <x:row r="58" ht="22" customHeight="1">
      <x:c r="A58" s="2" t="str">
        <x:v>K</x:v>
      </x:c>
      <x:c r="B58" s="82" t="n">
        <x:v>100</x:v>
      </x:c>
      <x:c r="C58" s="2"/>
      <x:c r="D58" s="2"/>
      <x:c r="E58" s="2"/>
      <x:c r="F58" s="2"/>
      <x:c r="G58" s="2"/>
      <x:c r="H58" s="2"/>
      <x:c r="I58" s="2"/>
      <x:c r="J58" s="2"/>
      <x:c r="K58" s="2"/>
    </x:row>
    <x:row r="59" ht="22" customHeight="1">
      <x:c r="A59" s="2" t="str">
        <x:v>r</x:v>
      </x:c>
      <x:c r="B59" s="82" t="n">
        <x:v>0.01</x:v>
      </x:c>
      <x:c r="C59" s="2"/>
      <x:c r="D59" s="2"/>
      <x:c r="E59" s="2"/>
      <x:c r="F59" s="2"/>
      <x:c r="G59" s="2"/>
      <x:c r="H59" s="2"/>
      <x:c r="I59" s="2"/>
      <x:c r="J59" s="2"/>
      <x:c r="K59" s="2"/>
    </x:row>
    <x:row r="60" ht="22" customHeight="1">
      <x:c r="A60" s="2" t="str">
        <x:v>Pago</x:v>
      </x:c>
      <x:c r="B60" s="82" t="n">
        <x:v>2</x:v>
      </x:c>
      <x:c r="C60" s="2"/>
      <x:c r="D60" s="2"/>
      <x:c r="E60" s="2"/>
      <x:c r="F60" s="2"/>
      <x:c r="G60" s="2"/>
      <x:c r="H60" s="2"/>
      <x:c r="I60" s="2"/>
      <x:c r="J60" s="2"/>
      <x:c r="K60" s="2"/>
    </x:row>
    <x:row r="61" ht="22" customHeight="1">
      <x:c r="A61" s="2" t="str">
        <x:v>a</x:v>
      </x:c>
      <x:c r="B61" s="82" t="n">
        <x:v>0.04995871687243447</x:v>
      </x:c>
      <x:c r="C61" s="2"/>
      <x:c r="D61" s="2"/>
      <x:c r="E61" s="2"/>
      <x:c r="F61" s="2"/>
      <x:c r="G61" s="2"/>
      <x:c r="H61" s="2"/>
      <x:c r="I61" s="2"/>
      <x:c r="J61" s="2"/>
      <x:c r="K61" s="2"/>
    </x:row>
    <x:row r="62" ht="22" customHeight="1">
      <x:c r="A62" s="2" t="str">
        <x:v>b</x:v>
      </x:c>
      <x:c r="B62" s="82" t="n">
        <x:v>0.2000947516196655</x:v>
      </x:c>
      <x:c r="C62" s="2"/>
      <x:c r="D62" s="2"/>
      <x:c r="E62" s="2"/>
      <x:c r="F62" s="2"/>
      <x:c r="G62" s="2"/>
      <x:c r="H62" s="2"/>
      <x:c r="I62" s="2"/>
      <x:c r="J62" s="2"/>
      <x:c r="K62" s="2"/>
    </x:row>
    <x:row r="63" ht="22" customHeight="1">
      <x:c r="A63" s="2" t="str">
        <x:v>c</x:v>
      </x:c>
      <x:c r="B63" s="82" t="n">
        <x:v>0.0998812804341052</x:v>
      </x:c>
      <x:c r="C63" s="2"/>
      <x:c r="D63" s="2"/>
      <x:c r="E63" s="2"/>
      <x:c r="F63" s="2"/>
      <x:c r="G63" s="2"/>
      <x:c r="H63" s="2"/>
      <x:c r="I63" s="2"/>
      <x:c r="J63" s="2"/>
      <x:c r="K63" s="2"/>
    </x:row>
    <x:row r="64" ht="22" customHeight="1">
      <x:c r="A64" s="2" t="str">
        <x:v>Fijación 1</x:v>
      </x:c>
      <x:c r="B64" s="82" t="n">
        <x:v>1.15</x:v>
      </x:c>
      <x:c r="C64" s="2"/>
      <x:c r="D64" s="2"/>
      <x:c r="E64" s="2"/>
      <x:c r="F64" s="2"/>
      <x:c r="G64" s="2"/>
      <x:c r="H64" s="2"/>
      <x:c r="I64" s="2"/>
      <x:c r="J64" s="2"/>
      <x:c r="K64" s="2"/>
    </x:row>
    <x:row r="65" ht="22" customHeight="1">
      <x:c r="A65" s="2" t="str">
        <x:v>Fijación 2</x:v>
      </x:c>
      <x:c r="B65" s="82" t="n">
        <x:v>1.3</x:v>
      </x:c>
      <x:c r="C65" s="2"/>
      <x:c r="D65" s="2"/>
      <x:c r="E65" s="2"/>
      <x:c r="F65" s="2"/>
      <x:c r="G65" s="2"/>
      <x:c r="H65" s="2"/>
      <x:c r="I65" s="2"/>
      <x:c r="J65" s="2"/>
      <x:c r="K65" s="2"/>
    </x:row>
    <x:row r="66" ht="22" customHeight="1">
      <x:c r="A66" s="2" t="str">
        <x:v>Fijación 3</x:v>
      </x:c>
      <x:c r="B66" s="82" t="n">
        <x:v>1.6</x:v>
      </x:c>
      <x:c r="C66" s="2"/>
      <x:c r="D66" s="2"/>
      <x:c r="E66" s="2"/>
      <x:c r="F66" s="2"/>
      <x:c r="G66" s="2"/>
      <x:c r="H66" s="2"/>
      <x:c r="I66" s="2"/>
      <x:c r="J66" s="2"/>
      <x:c r="K66" s="2"/>
    </x:row>
    <x:row r="67" ht="22" customHeight="1">
      <x:c r="A67" s="2" t="str">
        <x:v>Fijación 4</x:v>
      </x:c>
      <x:c r="B67" s="82" t="n">
        <x:v>1.7</x:v>
      </x:c>
      <x:c r="C67" s="2"/>
      <x:c r="D67" s="2"/>
      <x:c r="E67" s="2"/>
      <x:c r="F67" s="2"/>
      <x:c r="G67" s="2"/>
      <x:c r="H67" s="2"/>
      <x:c r="I67" s="2"/>
      <x:c r="J67" s="2"/>
      <x:c r="K67" s="2"/>
    </x:row>
    <x:row r="68" ht="22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</x:row>
    <x:row r="69" ht="40" customHeight="1">
      <x:c r="A69" s="22" t="str">
        <x:v>Fuente editorial: https://github.com/AlvaroChacarra/mefc-2026-probabilidad-y-simulaci-n/blob/e5e38ba/output/main.html</x:v>
      </x:c>
      <x:c r="B69" s="22" t="str">
        <x:v>Fuente editorial: https://github.com/AlvaroChacarra/mefc-2026-probabilidad-y-simulaci-n/blob/e5e38ba/output/main.html</x:v>
      </x:c>
      <x:c r="C69" s="22" t="str">
        <x:v>Fuente editorial: https://github.com/AlvaroChacarra/mefc-2026-probabilidad-y-simulaci-n/blob/e5e38ba/output/main.html</x:v>
      </x:c>
      <x:c r="D69" s="22" t="str">
        <x:v>Fuente editorial: https://github.com/AlvaroChacarra/mefc-2026-probabilidad-y-simulaci-n/blob/e5e38ba/output/main.html</x:v>
      </x:c>
      <x:c r="E69" s="22" t="str">
        <x:v>Fuente editorial: https://github.com/AlvaroChacarra/mefc-2026-probabilidad-y-simulaci-n/blob/e5e38ba/output/main.html</x:v>
      </x:c>
      <x:c r="F69" s="22" t="str">
        <x:v>Fuente editorial: https://github.com/AlvaroChacarra/mefc-2026-probabilidad-y-simulaci-n/blob/e5e38ba/output/main.html</x:v>
      </x:c>
      <x:c r="G69" s="22" t="str">
        <x:v>Fuente editorial: https://github.com/AlvaroChacarra/mefc-2026-probabilidad-y-simulaci-n/blob/e5e38ba/output/main.html</x:v>
      </x:c>
      <x:c r="H69" s="22" t="str">
        <x:v>Fuente editorial: https://github.com/AlvaroChacarra/mefc-2026-probabilidad-y-simulaci-n/blob/e5e38ba/output/main.html</x:v>
      </x:c>
      <x:c r="I69" s="22" t="str">
        <x:v>Fuente editorial: https://github.com/AlvaroChacarra/mefc-2026-probabilidad-y-simulaci-n/blob/e5e38ba/output/main.html</x:v>
      </x:c>
      <x:c r="J69" s="22" t="str">
        <x:v>Fuente editorial: https://github.com/AlvaroChacarra/mefc-2026-probabilidad-y-simulaci-n/blob/e5e38ba/output/main.html</x:v>
      </x:c>
      <x:c r="K69" s="22" t="str">
        <x:v>Fuente editorial: https://github.com/AlvaroChacarra/mefc-2026-probabilidad-y-simulaci-n/blob/e5e38ba/output/main.html</x:v>
      </x:c>
    </x:row>
    <x:row r="70" ht="22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</x:row>
    <x:row r="71" ht="36" customHeight="1">
      <x:c r="A71" s="22" t="str">
        <x:v>El libro usa datos derivados y normales ya fijadas. No contiene conexiones externas, macros ni funciones volátiles.</x:v>
      </x:c>
      <x:c r="B71" s="22" t="str">
        <x:v>El libro usa datos derivados y normales ya fijadas. No contiene conexiones externas, macros ni funciones volátiles.</x:v>
      </x:c>
      <x:c r="C71" s="22" t="str">
        <x:v>El libro usa datos derivados y normales ya fijadas. No contiene conexiones externas, macros ni funciones volátiles.</x:v>
      </x:c>
      <x:c r="D71" s="22" t="str">
        <x:v>El libro usa datos derivados y normales ya fijadas. No contiene conexiones externas, macros ni funciones volátiles.</x:v>
      </x:c>
      <x:c r="E71" s="22" t="str">
        <x:v>El libro usa datos derivados y normales ya fijadas. No contiene conexiones externas, macros ni funciones volátiles.</x:v>
      </x:c>
      <x:c r="F71" s="22" t="str">
        <x:v>El libro usa datos derivados y normales ya fijadas. No contiene conexiones externas, macros ni funciones volátiles.</x:v>
      </x:c>
      <x:c r="G71" s="22" t="str">
        <x:v>El libro usa datos derivados y normales ya fijadas. No contiene conexiones externas, macros ni funciones volátiles.</x:v>
      </x:c>
      <x:c r="H71" s="22" t="str">
        <x:v>El libro usa datos derivados y normales ya fijadas. No contiene conexiones externas, macros ni funciones volátiles.</x:v>
      </x:c>
      <x:c r="I71" s="22" t="str">
        <x:v>El libro usa datos derivados y normales ya fijadas. No contiene conexiones externas, macros ni funciones volátiles.</x:v>
      </x:c>
      <x:c r="J71" s="22" t="str">
        <x:v>El libro usa datos derivados y normales ya fijadas. No contiene conexiones externas, macros ni funciones volátiles.</x:v>
      </x:c>
      <x:c r="K71" s="22" t="str">
        <x:v>El libro usa datos derivados y normales ya fijadas. No contiene conexiones externas, macros ni funciones volátiles.</x:v>
      </x:c>
    </x:row>
    <x:row r="72" ht="22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</x:row>
    <x:row r="73" ht="22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</x:row>
    <x:row r="74" ht="22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</x:row>
  </x:sheetData>
  <x:mergeCells>
    <x:mergeCell ref="A1:K2"/>
    <x:mergeCell ref="A3:K4"/>
    <x:mergeCell ref="A6:K6"/>
    <x:mergeCell ref="A18:K18"/>
    <x:mergeCell ref="A20:K20"/>
    <x:mergeCell ref="C22:K22"/>
    <x:mergeCell ref="C23:K23"/>
    <x:mergeCell ref="C24:K24"/>
    <x:mergeCell ref="C25:K25"/>
    <x:mergeCell ref="C26:K26"/>
    <x:mergeCell ref="C27:K27"/>
    <x:mergeCell ref="C28:K28"/>
    <x:mergeCell ref="C29:K29"/>
    <x:mergeCell ref="C30:K30"/>
    <x:mergeCell ref="C31:K31"/>
    <x:mergeCell ref="C32:K32"/>
    <x:mergeCell ref="C33:K33"/>
    <x:mergeCell ref="C34:K34"/>
    <x:mergeCell ref="C35:K35"/>
    <x:mergeCell ref="C36:K36"/>
    <x:mergeCell ref="C37:K37"/>
    <x:mergeCell ref="C38:K38"/>
    <x:mergeCell ref="A54:K54"/>
    <x:mergeCell ref="A55:K55"/>
    <x:mergeCell ref="A69:K69"/>
    <x:mergeCell ref="A71:K71"/>
  </x:mergeCells>
  <x:pageMargins left="0.7" right="0.7" top="0.75" bottom="0.75" header="0.3" footer="0.3"/>
  <x:legacyDrawing xmlns:r="http://schemas.openxmlformats.org/officeDocument/2006/relationships" r:id="R23b8f21b14ba4c9e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</x:cols>
  <x:sheetData>
    <x:row r="1" ht="25" customHeight="1">
      <x:c r="A1" s="5" t="str">
        <x:v>E1 · Cálculo año a año</x:v>
      </x:c>
      <x:c r="B1" s="5" t="str">
        <x:v>E1 · Cálculo año a año</x:v>
      </x:c>
      <x:c r="C1" s="5" t="str">
        <x:v>E1 · Cálculo año a año</x:v>
      </x:c>
      <x:c r="D1" s="5" t="str">
        <x:v>E1 · Cálculo año a año</x:v>
      </x:c>
      <x:c r="E1" s="5" t="str">
        <x:v>E1 · Cálculo año a año</x:v>
      </x:c>
      <x:c r="F1" s="5" t="str">
        <x:v>E1 · Cálculo año a año</x:v>
      </x:c>
      <x:c r="G1" s="5" t="str">
        <x:v>E1 · Cálculo año a año</x:v>
      </x:c>
      <x:c r="H1" s="5" t="str">
        <x:v>E1 · Cálculo año a año</x:v>
      </x:c>
      <x:c r="I1" s="5" t="str">
        <x:v>E1 · Cálculo año a año</x:v>
      </x:c>
      <x:c r="J1" s="5" t="str">
        <x:v>E1 · Cálculo año a año</x:v>
      </x:c>
    </x:row>
    <x:row r="2" ht="25" customHeight="1">
      <x:c r="A2" s="5" t="str">
        <x:v>E1 · Cálculo año a año</x:v>
      </x:c>
      <x:c r="B2" s="5" t="str">
        <x:v>E1 · Cálculo año a año</x:v>
      </x:c>
      <x:c r="C2" s="5" t="str">
        <x:v>E1 · Cálculo año a año</x:v>
      </x:c>
      <x:c r="D2" s="5" t="str">
        <x:v>E1 · Cálculo año a año</x:v>
      </x:c>
      <x:c r="E2" s="5" t="str">
        <x:v>E1 · Cálculo año a año</x:v>
      </x:c>
      <x:c r="F2" s="5" t="str">
        <x:v>E1 · Cálculo año a año</x:v>
      </x:c>
      <x:c r="G2" s="5" t="str">
        <x:v>E1 · Cálculo año a año</x:v>
      </x:c>
      <x:c r="H2" s="5" t="str">
        <x:v>E1 · Cálculo año a año</x:v>
      </x:c>
      <x:c r="I2" s="5" t="str">
        <x:v>E1 · Cálculo año a año</x:v>
      </x:c>
      <x:c r="J2" s="5" t="str">
        <x:v>E1 · Cálculo año a año</x:v>
      </x:c>
    </x:row>
    <x:row r="3" ht="21" customHeight="1">
      <x:c r="A3" s="7" t="str">
        <x:v>Cada matriz multiplica la distribución anterior por la misma matriz anual P.</x:v>
      </x:c>
      <x:c r="B3" s="7" t="str">
        <x:v>Cada matriz multiplica la distribución anterior por la misma matriz anual P.</x:v>
      </x:c>
      <x:c r="C3" s="7" t="str">
        <x:v>Cada matriz multiplica la distribución anterior por la misma matriz anual P.</x:v>
      </x:c>
      <x:c r="D3" s="7" t="str">
        <x:v>Cada matriz multiplica la distribución anterior por la misma matriz anual P.</x:v>
      </x:c>
      <x:c r="E3" s="7" t="str">
        <x:v>Cada matriz multiplica la distribución anterior por la misma matriz anual P.</x:v>
      </x:c>
      <x:c r="F3" s="7" t="str">
        <x:v>Cada matriz multiplica la distribución anterior por la misma matriz anual P.</x:v>
      </x:c>
      <x:c r="G3" s="7" t="str">
        <x:v>Cada matriz multiplica la distribución anterior por la misma matriz anual P.</x:v>
      </x:c>
      <x:c r="H3" s="7" t="str">
        <x:v>Cada matriz multiplica la distribución anterior por la misma matriz anual P.</x:v>
      </x:c>
      <x:c r="I3" s="7" t="str">
        <x:v>Cada matriz multiplica la distribución anterior por la misma matriz anual P.</x:v>
      </x:c>
      <x:c r="J3" s="7" t="str">
        <x:v>Cada matriz multiplica la distribución anterior por la misma matriz anual P.</x:v>
      </x:c>
    </x:row>
    <x:row r="4" ht="21" customHeight="1">
      <x:c r="A4" s="7" t="str">
        <x:v>Cada matriz multiplica la distribución anterior por la misma matriz anual P.</x:v>
      </x:c>
      <x:c r="B4" s="7" t="str">
        <x:v>Cada matriz multiplica la distribución anterior por la misma matriz anual P.</x:v>
      </x:c>
      <x:c r="C4" s="7" t="str">
        <x:v>Cada matriz multiplica la distribución anterior por la misma matriz anual P.</x:v>
      </x:c>
      <x:c r="D4" s="7" t="str">
        <x:v>Cada matriz multiplica la distribución anterior por la misma matriz anual P.</x:v>
      </x:c>
      <x:c r="E4" s="7" t="str">
        <x:v>Cada matriz multiplica la distribución anterior por la misma matriz anual P.</x:v>
      </x:c>
      <x:c r="F4" s="7" t="str">
        <x:v>Cada matriz multiplica la distribución anterior por la misma matriz anual P.</x:v>
      </x:c>
      <x:c r="G4" s="7" t="str">
        <x:v>Cada matriz multiplica la distribución anterior por la misma matriz anual P.</x:v>
      </x:c>
      <x:c r="H4" s="7" t="str">
        <x:v>Cada matriz multiplica la distribución anterior por la misma matriz anual P.</x:v>
      </x:c>
      <x:c r="I4" s="7" t="str">
        <x:v>Cada matriz multiplica la distribución anterior por la misma matriz anual P.</x:v>
      </x:c>
      <x:c r="J4" s="7" t="str">
        <x:v>Cada matriz multiplica la distribución anterior por la misma matriz anual P.</x:v>
      </x:c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</x:row>
    <x:row r="6" ht="22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</x:row>
    <x:row r="7" ht="36" customHeight="1">
      <x:c r="A7" s="13" t="str">
        <x:v>P^0</x:v>
      </x:c>
      <x:c r="B7" s="13" t="str">
        <x:v>Aaa</x:v>
      </x:c>
      <x:c r="C7" s="13" t="str">
        <x:v>Aa</x:v>
      </x:c>
      <x:c r="D7" s="13" t="str">
        <x:v>A</x:v>
      </x:c>
      <x:c r="E7" s="13" t="str">
        <x:v>Baa</x:v>
      </x:c>
      <x:c r="F7" s="13" t="str">
        <x:v>Ba</x:v>
      </x:c>
      <x:c r="G7" s="13" t="str">
        <x:v>B</x:v>
      </x:c>
      <x:c r="H7" s="13" t="str">
        <x:v>Caa-C</x:v>
      </x:c>
      <x:c r="I7" s="13" t="str">
        <x:v>Default</x:v>
      </x:c>
      <x:c r="J7" s="13" t="str">
        <x:v>Suma</x:v>
      </x:c>
    </x:row>
    <x:row r="8" ht="22" customHeight="1">
      <x:c r="A8" s="31" t="str">
        <x:f>'Datos'!A8</x:f>
        <x:v>Aaa</x:v>
      </x:c>
      <x:c r="B8" s="33" t="n">
        <x:v>1</x:v>
      </x:c>
      <x:c r="C8" s="33" t="n">
        <x:v>0</x:v>
      </x:c>
      <x:c r="D8" s="33" t="n">
        <x:v>0</x:v>
      </x:c>
      <x:c r="E8" s="33" t="n">
        <x:v>0</x:v>
      </x:c>
      <x:c r="F8" s="33" t="n">
        <x:v>0</x:v>
      </x:c>
      <x:c r="G8" s="33" t="n">
        <x:v>0</x:v>
      </x:c>
      <x:c r="H8" s="33" t="n">
        <x:v>0</x:v>
      </x:c>
      <x:c r="I8" s="33" t="n">
        <x:v>0</x:v>
      </x:c>
      <x:c r="J8" s="34" t="n">
        <x:f>SUM(B8:I8)</x:f>
        <x:v>1</x:v>
      </x:c>
    </x:row>
    <x:row r="9" ht="22" customHeight="1">
      <x:c r="A9" s="31" t="str">
        <x:f>'Datos'!A9</x:f>
        <x:v>Aa</x:v>
      </x:c>
      <x:c r="B9" s="33" t="n">
        <x:v>0</x:v>
      </x:c>
      <x:c r="C9" s="33" t="n">
        <x:v>1</x:v>
      </x:c>
      <x:c r="D9" s="33" t="n">
        <x:v>0</x:v>
      </x:c>
      <x:c r="E9" s="33" t="n">
        <x:v>0</x:v>
      </x:c>
      <x:c r="F9" s="33" t="n">
        <x:v>0</x:v>
      </x:c>
      <x:c r="G9" s="33" t="n">
        <x:v>0</x:v>
      </x:c>
      <x:c r="H9" s="33" t="n">
        <x:v>0</x:v>
      </x:c>
      <x:c r="I9" s="33" t="n">
        <x:v>0</x:v>
      </x:c>
      <x:c r="J9" s="34" t="n">
        <x:f>SUM(B9:I9)</x:f>
        <x:v>1</x:v>
      </x:c>
    </x:row>
    <x:row r="10" ht="22" customHeight="1">
      <x:c r="A10" s="31" t="str">
        <x:f>'Datos'!A10</x:f>
        <x:v>A</x:v>
      </x:c>
      <x:c r="B10" s="33" t="n">
        <x:v>0</x:v>
      </x:c>
      <x:c r="C10" s="33" t="n">
        <x:v>0</x:v>
      </x:c>
      <x:c r="D10" s="33" t="n">
        <x:v>1</x:v>
      </x:c>
      <x:c r="E10" s="33" t="n">
        <x:v>0</x:v>
      </x:c>
      <x:c r="F10" s="33" t="n">
        <x:v>0</x:v>
      </x:c>
      <x:c r="G10" s="33" t="n">
        <x:v>0</x:v>
      </x:c>
      <x:c r="H10" s="33" t="n">
        <x:v>0</x:v>
      </x:c>
      <x:c r="I10" s="33" t="n">
        <x:v>0</x:v>
      </x:c>
      <x:c r="J10" s="34" t="n">
        <x:f>SUM(B10:I10)</x:f>
        <x:v>1</x:v>
      </x:c>
    </x:row>
    <x:row r="11" ht="22" customHeight="1">
      <x:c r="A11" s="31" t="str">
        <x:f>'Datos'!A11</x:f>
        <x:v>Baa</x:v>
      </x:c>
      <x:c r="B11" s="33" t="n">
        <x:v>0</x:v>
      </x:c>
      <x:c r="C11" s="33" t="n">
        <x:v>0</x:v>
      </x:c>
      <x:c r="D11" s="33" t="n">
        <x:v>0</x:v>
      </x:c>
      <x:c r="E11" s="33" t="n">
        <x:v>1</x:v>
      </x:c>
      <x:c r="F11" s="33" t="n">
        <x:v>0</x:v>
      </x:c>
      <x:c r="G11" s="33" t="n">
        <x:v>0</x:v>
      </x:c>
      <x:c r="H11" s="33" t="n">
        <x:v>0</x:v>
      </x:c>
      <x:c r="I11" s="33" t="n">
        <x:v>0</x:v>
      </x:c>
      <x:c r="J11" s="34" t="n">
        <x:f>SUM(B11:I11)</x:f>
        <x:v>1</x:v>
      </x:c>
    </x:row>
    <x:row r="12" ht="22" customHeight="1">
      <x:c r="A12" s="31" t="str">
        <x:f>'Datos'!A12</x:f>
        <x:v>Ba</x:v>
      </x:c>
      <x:c r="B12" s="33" t="n">
        <x:v>0</x:v>
      </x:c>
      <x:c r="C12" s="33" t="n">
        <x:v>0</x:v>
      </x:c>
      <x:c r="D12" s="33" t="n">
        <x:v>0</x:v>
      </x:c>
      <x:c r="E12" s="33" t="n">
        <x:v>0</x:v>
      </x:c>
      <x:c r="F12" s="33" t="n">
        <x:v>1</x:v>
      </x:c>
      <x:c r="G12" s="33" t="n">
        <x:v>0</x:v>
      </x:c>
      <x:c r="H12" s="33" t="n">
        <x:v>0</x:v>
      </x:c>
      <x:c r="I12" s="33" t="n">
        <x:v>0</x:v>
      </x:c>
      <x:c r="J12" s="34" t="n">
        <x:f>SUM(B12:I12)</x:f>
        <x:v>1</x:v>
      </x:c>
    </x:row>
    <x:row r="13" ht="22" customHeight="1">
      <x:c r="A13" s="31" t="str">
        <x:f>'Datos'!A13</x:f>
        <x:v>B</x:v>
      </x:c>
      <x:c r="B13" s="33" t="n">
        <x:v>0</x:v>
      </x:c>
      <x:c r="C13" s="33" t="n">
        <x:v>0</x:v>
      </x:c>
      <x:c r="D13" s="33" t="n">
        <x:v>0</x:v>
      </x:c>
      <x:c r="E13" s="33" t="n">
        <x:v>0</x:v>
      </x:c>
      <x:c r="F13" s="33" t="n">
        <x:v>0</x:v>
      </x:c>
      <x:c r="G13" s="33" t="n">
        <x:v>1</x:v>
      </x:c>
      <x:c r="H13" s="33" t="n">
        <x:v>0</x:v>
      </x:c>
      <x:c r="I13" s="33" t="n">
        <x:v>0</x:v>
      </x:c>
      <x:c r="J13" s="34" t="n">
        <x:f>SUM(B13:I13)</x:f>
        <x:v>1</x:v>
      </x:c>
    </x:row>
    <x:row r="14" ht="22" customHeight="1">
      <x:c r="A14" s="31" t="str">
        <x:f>'Datos'!A14</x:f>
        <x:v>Caa-C</x:v>
      </x:c>
      <x:c r="B14" s="33" t="n">
        <x:v>0</x:v>
      </x:c>
      <x:c r="C14" s="33" t="n">
        <x:v>0</x:v>
      </x:c>
      <x:c r="D14" s="33" t="n">
        <x:v>0</x:v>
      </x:c>
      <x:c r="E14" s="33" t="n">
        <x:v>0</x:v>
      </x:c>
      <x:c r="F14" s="33" t="n">
        <x:v>0</x:v>
      </x:c>
      <x:c r="G14" s="33" t="n">
        <x:v>0</x:v>
      </x:c>
      <x:c r="H14" s="33" t="n">
        <x:v>1</x:v>
      </x:c>
      <x:c r="I14" s="33" t="n">
        <x:v>0</x:v>
      </x:c>
      <x:c r="J14" s="34" t="n">
        <x:f>SUM(B14:I14)</x:f>
        <x:v>1</x:v>
      </x:c>
    </x:row>
    <x:row r="15" ht="22" customHeight="1">
      <x:c r="A15" s="31" t="str">
        <x:f>'Datos'!A15</x:f>
        <x:v>Default</x:v>
      </x:c>
      <x:c r="B15" s="33" t="n">
        <x:v>0</x:v>
      </x:c>
      <x:c r="C15" s="33" t="n">
        <x:v>0</x:v>
      </x:c>
      <x:c r="D15" s="33" t="n">
        <x:v>0</x:v>
      </x:c>
      <x:c r="E15" s="33" t="n">
        <x:v>0</x:v>
      </x:c>
      <x:c r="F15" s="33" t="n">
        <x:v>0</x:v>
      </x:c>
      <x:c r="G15" s="33" t="n">
        <x:v>0</x:v>
      </x:c>
      <x:c r="H15" s="33" t="n">
        <x:v>0</x:v>
      </x:c>
      <x:c r="I15" s="33" t="n">
        <x:v>1</x:v>
      </x:c>
      <x:c r="J15" s="34" t="n">
        <x:f>SUM(B15:I15)</x:f>
        <x:v>1</x:v>
      </x:c>
    </x:row>
    <x:row r="16" ht="22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</x:row>
    <x:row r="17" ht="36" customHeight="1">
      <x:c r="A17" s="13" t="str">
        <x:v>P^1</x:v>
      </x:c>
      <x:c r="B17" s="13" t="str">
        <x:v>Aaa</x:v>
      </x:c>
      <x:c r="C17" s="13" t="str">
        <x:v>Aa</x:v>
      </x:c>
      <x:c r="D17" s="13" t="str">
        <x:v>A</x:v>
      </x:c>
      <x:c r="E17" s="13" t="str">
        <x:v>Baa</x:v>
      </x:c>
      <x:c r="F17" s="13" t="str">
        <x:v>Ba</x:v>
      </x:c>
      <x:c r="G17" s="13" t="str">
        <x:v>B</x:v>
      </x:c>
      <x:c r="H17" s="13" t="str">
        <x:v>Caa-C</x:v>
      </x:c>
      <x:c r="I17" s="13" t="str">
        <x:v>Default</x:v>
      </x:c>
      <x:c r="J17" s="13" t="str">
        <x:v>Suma</x:v>
      </x:c>
    </x:row>
    <x:row r="18" ht="22" customHeight="1">
      <x:c r="A18" s="31" t="str">
        <x:f>'Datos'!A8</x:f>
        <x:v>Aaa</x:v>
      </x:c>
      <x:c r="B18" s="35" t="n">
        <x:f>B8*'Datos'!B8+C8*'Datos'!B9+D8*'Datos'!B10+E8*'Datos'!B11+F8*'Datos'!B12+G8*'Datos'!B13+H8*'Datos'!B14+I8*'Datos'!B15</x:f>
        <x:v>0.8239100651251718</x:v>
      </x:c>
      <x:c r="C18" s="35" t="n">
        <x:f>B8*'Datos'!C8+C8*'Datos'!C9+D8*'Datos'!C10+E8*'Datos'!C11+F8*'Datos'!C12+G8*'Datos'!C13+H8*'Datos'!C14+I8*'Datos'!C15</x:f>
        <x:v>0.13353189584925174</x:v>
      </x:c>
      <x:c r="D18" s="35" t="n">
        <x:f>B8*'Datos'!D8+C8*'Datos'!D9+D8*'Datos'!D10+E8*'Datos'!D11+F8*'Datos'!D12+G8*'Datos'!D13+H8*'Datos'!D14+I8*'Datos'!D15</x:f>
        <x:v>0.04232948754498213</x:v>
      </x:c>
      <x:c r="E18" s="35" t="n">
        <x:f>B8*'Datos'!E8+C8*'Datos'!E9+D8*'Datos'!E10+E8*'Datos'!E11+F8*'Datos'!E12+G8*'Datos'!E13+H8*'Datos'!E14+I8*'Datos'!E15</x:f>
        <x:v>0.00022844851509747183</x:v>
      </x:c>
      <x:c r="F18" s="35" t="n">
        <x:f>B8*'Datos'!F8+C8*'Datos'!F9+D8*'Datos'!F10+E8*'Datos'!F11+F8*'Datos'!F12+G8*'Datos'!F13+H8*'Datos'!F14+I8*'Datos'!F15</x:f>
        <x:v>1.0296059180067391e-7</x:v>
      </x:c>
      <x:c r="G18" s="35" t="n">
        <x:f>B8*'Datos'!G8+C8*'Datos'!G9+D8*'Datos'!G10+E8*'Datos'!G11+F8*'Datos'!G12+G8*'Datos'!G13+H8*'Datos'!G14+I8*'Datos'!G15</x:f>
        <x:v>4.904662003280946e-12</x:v>
      </x:c>
      <x:c r="H18" s="35" t="n">
        <x:f>B8*'Datos'!H8+C8*'Datos'!H9+D8*'Datos'!H10+E8*'Datos'!H11+F8*'Datos'!H12+G8*'Datos'!H13+H8*'Datos'!H14+I8*'Datos'!H15</x:f>
        <x:v>3.8923065825545925e-16</x:v>
      </x:c>
      <x:c r="I18" s="35" t="n">
        <x:f>B8*'Datos'!I8+C8*'Datos'!I9+D8*'Datos'!I10+E8*'Datos'!I11+F8*'Datos'!I12+G8*'Datos'!I13+H8*'Datos'!I14+I8*'Datos'!I15</x:f>
        <x:v>5.216254094999365e-22</x:v>
      </x:c>
      <x:c r="J18" s="34" t="n">
        <x:f>SUM(B18:I18)</x:f>
        <x:v>1</x:v>
      </x:c>
    </x:row>
    <x:row r="19" ht="22" customHeight="1">
      <x:c r="A19" s="31" t="str">
        <x:f>'Datos'!A9</x:f>
        <x:v>Aa</x:v>
      </x:c>
      <x:c r="B19" s="35" t="n">
        <x:f>B9*'Datos'!B8+C9*'Datos'!B9+D9*'Datos'!B10+E9*'Datos'!B11+F9*'Datos'!B12+G9*'Datos'!B13+H9*'Datos'!B14+I9*'Datos'!B15</x:f>
        <x:v>0.3261439389010661</x:v>
      </x:c>
      <x:c r="C19" s="35" t="n">
        <x:f>B9*'Datos'!C8+C9*'Datos'!C9+D9*'Datos'!C10+E9*'Datos'!C11+F9*'Datos'!C12+G9*'Datos'!C13+H9*'Datos'!C14+I9*'Datos'!C15</x:f>
        <x:v>0.5813252907191696</x:v>
      </x:c>
      <x:c r="D19" s="35" t="n">
        <x:f>B9*'Datos'!D8+C9*'Datos'!D9+D9*'Datos'!D10+E9*'Datos'!D11+F9*'Datos'!D12+G9*'Datos'!D13+H9*'Datos'!D14+I9*'Datos'!D15</x:f>
        <x:v>0.0767045849813816</x:v>
      </x:c>
      <x:c r="E19" s="35" t="n">
        <x:f>B9*'Datos'!E8+C9*'Datos'!E9+D9*'Datos'!E10+E9*'Datos'!E11+F9*'Datos'!E12+G9*'Datos'!E13+H9*'Datos'!E14+I9*'Datos'!E15</x:f>
        <x:v>0.015798485602700266</x:v>
      </x:c>
      <x:c r="F19" s="35" t="n">
        <x:f>B9*'Datos'!F8+C9*'Datos'!F9+D9*'Datos'!F10+E9*'Datos'!F11+F9*'Datos'!F12+G9*'Datos'!F13+H9*'Datos'!F14+I9*'Datos'!F15</x:f>
        <x:v>0.000027651626199185096</x:v>
      </x:c>
      <x:c r="G19" s="35" t="n">
        <x:f>B9*'Datos'!G8+C9*'Datos'!G9+D9*'Datos'!G10+E9*'Datos'!G11+F9*'Datos'!G12+G9*'Datos'!G13+H9*'Datos'!G14+I9*'Datos'!G15</x:f>
        <x:v>4.816050596528921e-8</x:v>
      </x:c>
      <x:c r="H19" s="35" t="n">
        <x:f>B9*'Datos'!H8+C9*'Datos'!H9+D9*'Datos'!H10+E9*'Datos'!H11+F9*'Datos'!H12+G9*'Datos'!H13+H9*'Datos'!H14+I9*'Datos'!H15</x:f>
        <x:v>8.97705300116284e-12</x:v>
      </x:c>
      <x:c r="I19" s="35" t="n">
        <x:f>B9*'Datos'!I8+C9*'Datos'!I9+D9*'Datos'!I10+E9*'Datos'!I11+F9*'Datos'!I12+G9*'Datos'!I13+H9*'Datos'!I14+I9*'Datos'!I15</x:f>
        <x:v>2.3113048019581464e-16</x:v>
      </x:c>
      <x:c r="J19" s="34" t="n">
        <x:f>SUM(B19:I19)</x:f>
        <x:v>0.9999999999999999</x:v>
      </x:c>
    </x:row>
    <x:row r="20" ht="22" customHeight="1">
      <x:c r="A20" s="31" t="str">
        <x:f>'Datos'!A10</x:f>
        <x:v>A</x:v>
      </x:c>
      <x:c r="B20" s="35" t="n">
        <x:f>B10*'Datos'!B8+C10*'Datos'!B9+D10*'Datos'!B10+E10*'Datos'!B11+F10*'Datos'!B12+G10*'Datos'!B13+H10*'Datos'!B14+I10*'Datos'!B15</x:f>
        <x:v>0.01670233901954564</x:v>
      </x:c>
      <x:c r="C20" s="35" t="n">
        <x:f>B10*'Datos'!C8+C10*'Datos'!C9+D10*'Datos'!C10+E10*'Datos'!C11+F10*'Datos'!C12+G10*'Datos'!C13+H10*'Datos'!C14+I10*'Datos'!C15</x:f>
        <x:v>0.17825992767066995</x:v>
      </x:c>
      <x:c r="D20" s="35" t="n">
        <x:f>B10*'Datos'!D8+C10*'Datos'!D9+D10*'Datos'!D10+E10*'Datos'!D11+F10*'Datos'!D12+G10*'Datos'!D13+H10*'Datos'!D14+I10*'Datos'!D15</x:f>
        <x:v>0.5425594169905165</x:v>
      </x:c>
      <x:c r="E20" s="35" t="n">
        <x:f>B10*'Datos'!E8+C10*'Datos'!E9+D10*'Datos'!E10+E10*'Datos'!E11+F10*'Datos'!E12+G10*'Datos'!E13+H10*'Datos'!E14+I10*'Datos'!E15</x:f>
        <x:v>0.24177087019767074</x:v>
      </x:c>
      <x:c r="F20" s="35" t="n">
        <x:f>B10*'Datos'!F8+C10*'Datos'!F9+D10*'Datos'!F10+E10*'Datos'!F11+F10*'Datos'!F12+G10*'Datos'!F13+H10*'Datos'!F14+I10*'Datos'!F15</x:f>
        <x:v>0.020648738470714852</x:v>
      </x:c>
      <x:c r="G20" s="35" t="n">
        <x:f>B10*'Datos'!G8+C10*'Datos'!G9+D10*'Datos'!G10+E10*'Datos'!G11+F10*'Datos'!G12+G10*'Datos'!G13+H10*'Datos'!G14+I10*'Datos'!G15</x:f>
        <x:v>0.00005845799593872624</x:v>
      </x:c>
      <x:c r="H20" s="35" t="n">
        <x:f>B10*'Datos'!H8+C10*'Datos'!H9+D10*'Datos'!H10+E10*'Datos'!H11+F10*'Datos'!H12+G10*'Datos'!H13+H10*'Datos'!H14+I10*'Datos'!H15</x:f>
        <x:v>2.4964499830894063e-7</x:v>
      </x:c>
      <x:c r="I20" s="35" t="n">
        <x:f>B10*'Datos'!I8+C10*'Datos'!I9+D10*'Datos'!I10+E10*'Datos'!I11+F10*'Datos'!I12+G10*'Datos'!I13+H10*'Datos'!I14+I10*'Datos'!I15</x:f>
        <x:v>9.94547807356765e-12</x:v>
      </x:c>
      <x:c r="J20" s="34" t="n">
        <x:f>SUM(B20:I20)</x:f>
        <x:v>1.0000000000000002</x:v>
      </x:c>
    </x:row>
    <x:row r="21" ht="22" customHeight="1">
      <x:c r="A21" s="31" t="str">
        <x:f>'Datos'!A11</x:f>
        <x:v>Baa</x:v>
      </x:c>
      <x:c r="B21" s="35" t="n">
        <x:f>B11*'Datos'!B8+C11*'Datos'!B9+D11*'Datos'!B10+E11*'Datos'!B11+F11*'Datos'!B12+G11*'Datos'!B13+H11*'Datos'!B14+I11*'Datos'!B15</x:f>
        <x:v>0.00004955903539198899</x:v>
      </x:c>
      <x:c r="C21" s="35" t="n">
        <x:f>B11*'Datos'!C8+C11*'Datos'!C9+D11*'Datos'!C10+E11*'Datos'!C11+F11*'Datos'!C12+G11*'Datos'!C13+H11*'Datos'!C14+I11*'Datos'!C15</x:f>
        <x:v>0.009007525343366456</x:v>
      </x:c>
      <x:c r="D21" s="35" t="n">
        <x:f>B11*'Datos'!D8+C11*'Datos'!D9+D11*'Datos'!D10+E11*'Datos'!D11+F11*'Datos'!D12+G11*'Datos'!D13+H11*'Datos'!D14+I11*'Datos'!D15</x:f>
        <x:v>0.3903044801016316</x:v>
      </x:c>
      <x:c r="E21" s="35" t="n">
        <x:f>B11*'Datos'!E8+C11*'Datos'!E9+D11*'Datos'!E10+E11*'Datos'!E11+F11*'Datos'!E12+G11*'Datos'!E13+H11*'Datos'!E14+I11*'Datos'!E15</x:f>
        <x:v>0.34068829165801195</x:v>
      </x:c>
      <x:c r="F21" s="35" t="n">
        <x:f>B11*'Datos'!F8+C11*'Datos'!F9+D11*'Datos'!F10+E11*'Datos'!F11+F11*'Datos'!F12+G11*'Datos'!F13+H11*'Datos'!F14+I11*'Datos'!F15</x:f>
        <x:v>0.23608376114588217</x:v>
      </x:c>
      <x:c r="G21" s="35" t="n">
        <x:f>B11*'Datos'!G8+C11*'Datos'!G9+D11*'Datos'!G10+E11*'Datos'!G11+F11*'Datos'!G12+G11*'Datos'!G13+H11*'Datos'!G14+I11*'Datos'!G15</x:f>
        <x:v>0.023824728922789515</x:v>
      </x:c>
      <x:c r="H21" s="35" t="n">
        <x:f>B11*'Datos'!H8+C11*'Datos'!H9+D11*'Datos'!H10+E11*'Datos'!H11+F11*'Datos'!H12+G11*'Datos'!H13+H11*'Datos'!H14+I11*'Datos'!H15</x:f>
        <x:v>0.00004143846387062415</x:v>
      </x:c>
      <x:c r="I21" s="35" t="n">
        <x:f>B11*'Datos'!I8+C11*'Datos'!I9+D11*'Datos'!I10+E11*'Datos'!I11+F11*'Datos'!I12+G11*'Datos'!I13+H11*'Datos'!I14+I11*'Datos'!I15</x:f>
        <x:v>2.1532905563759428e-7</x:v>
      </x:c>
      <x:c r="J21" s="34" t="n">
        <x:f>SUM(B21:I21)</x:f>
        <x:v>0.9999999999999999</x:v>
      </x:c>
    </x:row>
    <x:row r="22" ht="22" customHeight="1">
      <x:c r="A22" s="31" t="str">
        <x:f>'Datos'!A12</x:f>
        <x:v>Ba</x:v>
      </x:c>
      <x:c r="B22" s="35" t="n">
        <x:f>B12*'Datos'!B8+C12*'Datos'!B9+D12*'Datos'!B10+E12*'Datos'!B11+F12*'Datos'!B12+G12*'Datos'!B13+H12*'Datos'!B14+I12*'Datos'!B15</x:f>
        <x:v>1.0325416795298516e-7</x:v>
      </x:c>
      <x:c r="C22" s="35" t="n">
        <x:f>B12*'Datos'!C8+C12*'Datos'!C9+D12*'Datos'!C10+E12*'Datos'!C11+F12*'Datos'!C12+G12*'Datos'!C13+H12*'Datos'!C14+I12*'Datos'!C15</x:f>
        <x:v>0.00014213536657130992</x:v>
      </x:c>
      <x:c r="D22" s="35" t="n">
        <x:f>B12*'Datos'!D8+C12*'Datos'!D9+D12*'Datos'!D10+E12*'Datos'!D11+F12*'Datos'!D12+G12*'Datos'!D13+H12*'Datos'!D14+I12*'Datos'!D15</x:f>
        <x:v>0.014813253751496924</x:v>
      </x:c>
      <x:c r="E22" s="35" t="n">
        <x:f>B12*'Datos'!E8+C12*'Datos'!E9+D12*'Datos'!E10+E12*'Datos'!E11+F12*'Datos'!E12+G12*'Datos'!E13+H12*'Datos'!E14+I12*'Datos'!E15</x:f>
        <x:v>0.09253187007368156</x:v>
      </x:c>
      <x:c r="F22" s="35" t="n">
        <x:f>B12*'Datos'!F8+C12*'Datos'!F9+D12*'Datos'!F10+E12*'Datos'!F11+F12*'Datos'!F12+G12*'Datos'!F13+H12*'Datos'!F14+I12*'Datos'!F15</x:f>
        <x:v>0.6335491653820795</x:v>
      </x:c>
      <x:c r="G22" s="35" t="n">
        <x:f>B12*'Datos'!G8+C12*'Datos'!G9+D12*'Datos'!G10+E12*'Datos'!G11+F12*'Datos'!G12+G12*'Datos'!G13+H12*'Datos'!G14+I12*'Datos'!G15</x:f>
        <x:v>0.24603513875989436</x:v>
      </x:c>
      <x:c r="H22" s="35" t="n">
        <x:f>B12*'Datos'!H8+C12*'Datos'!H9+D12*'Datos'!H10+E12*'Datos'!H11+F12*'Datos'!H12+G12*'Datos'!H13+H12*'Datos'!H14+I12*'Datos'!H15</x:f>
        <x:v>0.012803845953136628</x:v>
      </x:c>
      <x:c r="I22" s="35" t="n">
        <x:f>B12*'Datos'!I8+C12*'Datos'!I9+D12*'Datos'!I10+E12*'Datos'!I11+F12*'Datos'!I12+G12*'Datos'!I13+H12*'Datos'!I14+I12*'Datos'!I15</x:f>
        <x:v>0.00012448745897170936</x:v>
      </x:c>
      <x:c r="J22" s="34" t="n">
        <x:f>SUM(B22:I22)</x:f>
        <x:v>1</x:v>
      </x:c>
    </x:row>
    <x:row r="23" ht="22" customHeight="1">
      <x:c r="A23" s="31" t="str">
        <x:f>'Datos'!A13</x:f>
        <x:v>B</x:v>
      </x:c>
      <x:c r="B23" s="35" t="n">
        <x:f>B13*'Datos'!B8+C13*'Datos'!B9+D13*'Datos'!B10+E13*'Datos'!B11+F13*'Datos'!B12+G13*'Datos'!B13+H13*'Datos'!B14+I13*'Datos'!B15</x:f>
        <x:v>1.5024787328214318e-11</x:v>
      </x:c>
      <x:c r="C23" s="35" t="n">
        <x:f>B13*'Datos'!C8+C13*'Datos'!C9+D13*'Datos'!C10+E13*'Datos'!C11+F13*'Datos'!C12+G13*'Datos'!C13+H13*'Datos'!C14+I13*'Datos'!C15</x:f>
        <x:v>1.4168042336038897e-7</x:v>
      </x:c>
      <x:c r="D23" s="35" t="n">
        <x:f>B13*'Datos'!D8+C13*'Datos'!D9+D13*'Datos'!D10+E13*'Datos'!D11+F13*'Datos'!D12+G13*'Datos'!D13+H13*'Datos'!D14+I13*'Datos'!D15</x:f>
        <x:v>0.00023401435205193583</x:v>
      </x:c>
      <x:c r="E23" s="35" t="n">
        <x:f>B13*'Datos'!E8+C13*'Datos'!E9+D13*'Datos'!E10+E13*'Datos'!E11+F13*'Datos'!E12+G13*'Datos'!E13+H13*'Datos'!E14+I13*'Datos'!E15</x:f>
        <x:v>0.018384243568426096</x:v>
      </x:c>
      <x:c r="F23" s="35" t="n">
        <x:f>B13*'Datos'!F8+C13*'Datos'!F9+D13*'Datos'!F10+E13*'Datos'!F11+F13*'Datos'!F12+G13*'Datos'!F13+H13*'Datos'!F14+I13*'Datos'!F15</x:f>
        <x:v>0.1176141243159185</x:v>
      </x:c>
      <x:c r="G23" s="35" t="n">
        <x:f>B13*'Datos'!G8+C13*'Datos'!G9+D13*'Datos'!G10+E13*'Datos'!G11+F13*'Datos'!G12+G13*'Datos'!G13+H13*'Datos'!G14+I13*'Datos'!G15</x:f>
        <x:v>0.3514420603106977</x:v>
      </x:c>
      <x:c r="H23" s="35" t="n">
        <x:f>B13*'Datos'!H8+C13*'Datos'!H9+D13*'Datos'!H10+E13*'Datos'!H11+F13*'Datos'!H12+G13*'Datos'!H13+H13*'Datos'!H14+I13*'Datos'!H15</x:f>
        <x:v>0.5061264929118039</x:v>
      </x:c>
      <x:c r="I23" s="35" t="n">
        <x:f>B13*'Datos'!I8+C13*'Datos'!I9+D13*'Datos'!I10+E13*'Datos'!I11+F13*'Datos'!I12+G13*'Datos'!I13+H13*'Datos'!I14+I13*'Datos'!I15</x:f>
        <x:v>0.006198922845653687</x:v>
      </x:c>
      <x:c r="J23" s="34" t="n">
        <x:f>SUM(B23:I23)</x:f>
        <x:v>1</x:v>
      </x:c>
    </x:row>
    <x:row r="24" ht="22" customHeight="1">
      <x:c r="A24" s="31" t="str">
        <x:f>'Datos'!A14</x:f>
        <x:v>Caa-C</x:v>
      </x:c>
      <x:c r="B24" s="35" t="n">
        <x:f>B14*'Datos'!B8+C14*'Datos'!B9+D14*'Datos'!B10+E14*'Datos'!B11+F14*'Datos'!B12+G14*'Datos'!B13+H14*'Datos'!B14+I14*'Datos'!B15</x:f>
        <x:v>2.3732355844881274e-16</x:v>
      </x:c>
      <x:c r="C24" s="35" t="n">
        <x:f>B14*'Datos'!C8+C14*'Datos'!C9+D14*'Datos'!C10+E14*'Datos'!C11+F14*'Datos'!C12+G14*'Datos'!C13+H14*'Datos'!C14+I14*'Datos'!C15</x:f>
        <x:v>1.4570893836673915e-11</x:v>
      </x:c>
      <x:c r="D24" s="35" t="n">
        <x:f>B14*'Datos'!D8+C14*'Datos'!D9+D14*'Datos'!D10+E14*'Datos'!D11+F14*'Datos'!D12+G14*'Datos'!D13+H14*'Datos'!D14+I14*'Datos'!D15</x:f>
        <x:v>1.5543813213964283e-7</x:v>
      </x:c>
      <x:c r="E24" s="35" t="n">
        <x:f>B14*'Datos'!E8+C14*'Datos'!E9+D14*'Datos'!E10+E14*'Datos'!E11+F14*'Datos'!E12+G14*'Datos'!E13+H14*'Datos'!E14+I14*'Datos'!E15</x:f>
        <x:v>0.00005921875719675295</x:v>
      </x:c>
      <x:c r="F24" s="35" t="n">
        <x:f>B14*'Datos'!F8+C14*'Datos'!F9+D14*'Datos'!F10+E14*'Datos'!F11+F14*'Datos'!F12+G14*'Datos'!F13+H14*'Datos'!F14+I14*'Datos'!F15</x:f>
        <x:v>0.005967324062938644</x:v>
      </x:c>
      <x:c r="G24" s="35" t="n">
        <x:f>B14*'Datos'!G8+C14*'Datos'!G9+D14*'Datos'!G10+E14*'Datos'!G11+F14*'Datos'!G12+G14*'Datos'!G13+H14*'Datos'!G14+I14*'Datos'!G15</x:f>
        <x:v>0.12054538504051282</x:v>
      </x:c>
      <x:c r="H24" s="35" t="n">
        <x:f>B14*'Datos'!H8+C14*'Datos'!H9+D14*'Datos'!H10+E14*'Datos'!H11+F14*'Datos'!H12+G14*'Datos'!H13+H14*'Datos'!H14+I14*'Datos'!H15</x:f>
        <x:v>0.5182276805050403</x:v>
      </x:c>
      <x:c r="I24" s="35" t="n">
        <x:f>B14*'Datos'!I8+C14*'Datos'!I9+D14*'Datos'!I10+E14*'Datos'!I11+F14*'Datos'!I12+G14*'Datos'!I13+H14*'Datos'!I14+I14*'Datos'!I15</x:f>
        <x:v>0.3552002361816082</x:v>
      </x:c>
      <x:c r="J24" s="34" t="n">
        <x:f>SUM(B24:I24)</x:f>
        <x:v>1</x:v>
      </x:c>
    </x:row>
    <x:row r="25" ht="22" customHeight="1">
      <x:c r="A25" s="31" t="str">
        <x:f>'Datos'!A15</x:f>
        <x:v>Default</x:v>
      </x:c>
      <x:c r="B25" s="35" t="n">
        <x:f>B15*'Datos'!B8+C15*'Datos'!B9+D15*'Datos'!B10+E15*'Datos'!B11+F15*'Datos'!B12+G15*'Datos'!B13+H15*'Datos'!B14+I15*'Datos'!B15</x:f>
        <x:v>0</x:v>
      </x:c>
      <x:c r="C25" s="35" t="n">
        <x:f>B15*'Datos'!C8+C15*'Datos'!C9+D15*'Datos'!C10+E15*'Datos'!C11+F15*'Datos'!C12+G15*'Datos'!C13+H15*'Datos'!C14+I15*'Datos'!C15</x:f>
        <x:v>0</x:v>
      </x:c>
      <x:c r="D25" s="35" t="n">
        <x:f>B15*'Datos'!D8+C15*'Datos'!D9+D15*'Datos'!D10+E15*'Datos'!D11+F15*'Datos'!D12+G15*'Datos'!D13+H15*'Datos'!D14+I15*'Datos'!D15</x:f>
        <x:v>0</x:v>
      </x:c>
      <x:c r="E25" s="35" t="n">
        <x:f>B15*'Datos'!E8+C15*'Datos'!E9+D15*'Datos'!E10+E15*'Datos'!E11+F15*'Datos'!E12+G15*'Datos'!E13+H15*'Datos'!E14+I15*'Datos'!E15</x:f>
        <x:v>0</x:v>
      </x:c>
      <x:c r="F25" s="35" t="n">
        <x:f>B15*'Datos'!F8+C15*'Datos'!F9+D15*'Datos'!F10+E15*'Datos'!F11+F15*'Datos'!F12+G15*'Datos'!F13+H15*'Datos'!F14+I15*'Datos'!F15</x:f>
        <x:v>0</x:v>
      </x:c>
      <x:c r="G25" s="35" t="n">
        <x:f>B15*'Datos'!G8+C15*'Datos'!G9+D15*'Datos'!G10+E15*'Datos'!G11+F15*'Datos'!G12+G15*'Datos'!G13+H15*'Datos'!G14+I15*'Datos'!G15</x:f>
        <x:v>0</x:v>
      </x:c>
      <x:c r="H25" s="35" t="n">
        <x:f>B15*'Datos'!H8+C15*'Datos'!H9+D15*'Datos'!H10+E15*'Datos'!H11+F15*'Datos'!H12+G15*'Datos'!H13+H15*'Datos'!H14+I15*'Datos'!H15</x:f>
        <x:v>0</x:v>
      </x:c>
      <x:c r="I25" s="35" t="n">
        <x:f>B15*'Datos'!I8+C15*'Datos'!I9+D15*'Datos'!I10+E15*'Datos'!I11+F15*'Datos'!I12+G15*'Datos'!I13+H15*'Datos'!I14+I15*'Datos'!I15</x:f>
        <x:v>1</x:v>
      </x:c>
      <x:c r="J25" s="34" t="n">
        <x:f>SUM(B25:I25)</x:f>
        <x:v>1</x:v>
      </x:c>
    </x:row>
    <x:row r="26" ht="22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</x:row>
    <x:row r="27" ht="36" customHeight="1">
      <x:c r="A27" s="13" t="str">
        <x:v>P^2</x:v>
      </x:c>
      <x:c r="B27" s="13" t="str">
        <x:v>Aaa</x:v>
      </x:c>
      <x:c r="C27" s="13" t="str">
        <x:v>Aa</x:v>
      </x:c>
      <x:c r="D27" s="13" t="str">
        <x:v>A</x:v>
      </x:c>
      <x:c r="E27" s="13" t="str">
        <x:v>Baa</x:v>
      </x:c>
      <x:c r="F27" s="13" t="str">
        <x:v>Ba</x:v>
      </x:c>
      <x:c r="G27" s="13" t="str">
        <x:v>B</x:v>
      </x:c>
      <x:c r="H27" s="13" t="str">
        <x:v>Caa-C</x:v>
      </x:c>
      <x:c r="I27" s="13" t="str">
        <x:v>Default</x:v>
      </x:c>
      <x:c r="J27" s="13" t="str">
        <x:v>Suma</x:v>
      </x:c>
    </x:row>
    <x:row r="28" ht="22" customHeight="1">
      <x:c r="A28" s="31" t="str">
        <x:f>'Datos'!A8</x:f>
        <x:v>Aaa</x:v>
      </x:c>
      <x:c r="B28" s="35" t="n">
        <x:f>B18*'Datos'!B8+C18*'Datos'!B9+D18*'Datos'!B10+E18*'Datos'!B11+F18*'Datos'!B12+G18*'Datos'!B13+H18*'Datos'!B14+I18*'Datos'!B15</x:f>
        <x:v>0.7230854266689655</x:v>
      </x:c>
      <x:c r="C28" s="35" t="n">
        <x:f>B18*'Datos'!C8+C18*'Datos'!C9+D18*'Datos'!C10+E18*'Datos'!C11+F18*'Datos'!C12+G18*'Datos'!C13+H18*'Datos'!C14+I18*'Datos'!C15</x:f>
        <x:v>0.1951914503388216</x:v>
      </x:c>
      <x:c r="D28" s="35" t="n">
        <x:f>B18*'Datos'!D8+C18*'Datos'!D9+D18*'Datos'!D10+E18*'Datos'!D11+F18*'Datos'!D12+G18*'Datos'!D13+H18*'Datos'!D14+I18*'Datos'!D15</x:f>
        <x:v>0.06817362758080577</x:v>
      </x:c>
      <x:c r="E28" s="35" t="n">
        <x:f>B18*'Datos'!E8+C18*'Datos'!E9+D18*'Datos'!E10+E18*'Datos'!E11+F18*'Datos'!E12+G18*'Datos'!E13+H18*'Datos'!E14+I18*'Datos'!E15</x:f>
        <x:v>0.012609699065365815</x:v>
      </x:c>
      <x:c r="F28" s="35" t="n">
        <x:f>B18*'Datos'!F8+C18*'Datos'!F9+D18*'Datos'!F10+E18*'Datos'!F11+F18*'Datos'!F12+G18*'Datos'!F13+H18*'Datos'!F14+I18*'Datos'!F15</x:f>
        <x:v>0.0009318259380995708</x:v>
      </x:c>
      <x:c r="G28" s="35" t="n">
        <x:f>B18*'Datos'!G8+C18*'Datos'!G9+D18*'Datos'!G10+E18*'Datos'!G11+F18*'Datos'!G12+G18*'Datos'!G13+H18*'Datos'!G14+I18*'Datos'!G15</x:f>
        <x:v>0.000007948989607912896</x:v>
      </x:c>
      <x:c r="H28" s="35" t="n">
        <x:f>B18*'Datos'!H8+C18*'Datos'!H9+D18*'Datos'!H10+E18*'Datos'!H11+F18*'Datos'!H12+G18*'Datos'!H13+H18*'Datos'!H14+I18*'Datos'!H15</x:f>
        <x:v>2.13558735670955e-8</x:v>
      </x:c>
      <x:c r="I28" s="35" t="n">
        <x:f>B18*'Datos'!I8+C18*'Datos'!I9+D18*'Datos'!I10+E18*'Datos'!I11+F18*'Datos'!I12+G18*'Datos'!I13+H18*'Datos'!I14+I18*'Datos'!I15</x:f>
        <x:v>6.246046519588928e-11</x:v>
      </x:c>
      <x:c r="J28" s="34" t="n">
        <x:f>SUM(B28:I28)</x:f>
        <x:v>1</x:v>
      </x:c>
    </x:row>
    <x:row r="29" ht="22" customHeight="1">
      <x:c r="A29" s="31" t="str">
        <x:f>'Datos'!A9</x:f>
        <x:v>Aa</x:v>
      </x:c>
      <x:c r="B29" s="35" t="n">
        <x:f>B19*'Datos'!B8+C19*'Datos'!B9+D19*'Datos'!B10+E19*'Datos'!B11+F19*'Datos'!B12+G19*'Datos'!B13+H19*'Datos'!B14+I19*'Datos'!B15</x:f>
        <x:v>0.4595909229813896</x:v>
      </x:c>
      <x:c r="C29" s="35" t="n">
        <x:f>B19*'Datos'!C8+C19*'Datos'!C9+D19*'Datos'!C10+E19*'Datos'!C11+F19*'Datos'!C12+G19*'Datos'!C13+H19*'Datos'!C14+I19*'Datos'!C15</x:f>
        <x:v>0.3953053750714528</x:v>
      </x:c>
      <x:c r="D29" s="35" t="n">
        <x:f>B19*'Datos'!D8+C19*'Datos'!D9+D19*'Datos'!D10+E19*'Datos'!D11+F19*'Datos'!D12+G19*'Datos'!D13+H19*'Datos'!D14+I19*'Datos'!D15</x:f>
        <x:v>0.10617924520275773</x:v>
      </x:c>
      <x:c r="E29" s="35" t="n">
        <x:f>B19*'Datos'!E8+C19*'Datos'!E9+D19*'Datos'!E10+E19*'Datos'!E11+F19*'Datos'!E12+G19*'Datos'!E13+H19*'Datos'!E14+I19*'Datos'!E15</x:f>
        <x:v>0.033188419206407596</x:v>
      </x:c>
      <x:c r="F29" s="35" t="n">
        <x:f>B19*'Datos'!F8+C19*'Datos'!F9+D19*'Datos'!F10+E19*'Datos'!F11+F19*'Datos'!F12+G19*'Datos'!F13+H19*'Datos'!F14+I19*'Datos'!F15</x:f>
        <x:v>0.005347251315001134</x:v>
      </x:c>
      <x:c r="G29" s="35" t="n">
        <x:f>B19*'Datos'!G8+C19*'Datos'!G9+D19*'Datos'!G10+E19*'Datos'!G11+F19*'Datos'!G12+G19*'Datos'!G13+H19*'Datos'!G14+I19*'Datos'!G15</x:f>
        <x:v>0.0003877268301104448</x:v>
      </x:c>
      <x:c r="H29" s="35" t="n">
        <x:f>B19*'Datos'!H8+C19*'Datos'!H9+D19*'Datos'!H10+E19*'Datos'!H11+F19*'Datos'!H12+G19*'Datos'!H13+H19*'Datos'!H14+I19*'Datos'!H15</x:f>
        <x:v>0.0000010522462319074338</x:v>
      </x:c>
      <x:c r="I29" s="35" t="n">
        <x:f>B19*'Datos'!I8+C19*'Datos'!I9+D19*'Datos'!I10+E19*'Datos'!I11+F19*'Datos'!I12+G19*'Datos'!I13+H19*'Datos'!I14+I19*'Datos'!I15</x:f>
        <x:v>7.146648808599094e-9</x:v>
      </x:c>
      <x:c r="J29" s="34" t="n">
        <x:f>SUM(B29:I29)</x:f>
        <x:v>1</x:v>
      </x:c>
    </x:row>
    <x:row r="30" ht="22" customHeight="1">
      <x:c r="A30" s="31" t="str">
        <x:f>'Datos'!A10</x:f>
        <x:v>A</x:v>
      </x:c>
      <x:c r="B30" s="35" t="n">
        <x:f>B20*'Datos'!B8+C20*'Datos'!B9+D20*'Datos'!B10+E20*'Datos'!B11+F20*'Datos'!B12+G20*'Datos'!B13+H20*'Datos'!B14+I20*'Datos'!B15</x:f>
        <x:v>0.0809736155720727</x:v>
      </x:c>
      <x:c r="C30" s="35" t="n">
        <x:f>B20*'Datos'!C8+C20*'Datos'!C9+D20*'Datos'!C10+E20*'Datos'!C11+F20*'Datos'!C12+G20*'Datos'!C13+H20*'Datos'!C14+I20*'Datos'!C15</x:f>
        <x:v>0.20475459386578493</x:v>
      </x:c>
      <x:c r="D30" s="35" t="n">
        <x:f>B20*'Datos'!D8+C20*'Datos'!D9+D20*'Datos'!D10+E20*'Datos'!D11+F20*'Datos'!D12+G20*'Datos'!D13+H20*'Datos'!D14+I20*'Datos'!D15</x:f>
        <x:v>0.4034212186662637</x:v>
      </x:c>
      <x:c r="E30" s="35" t="n">
        <x:f>B20*'Datos'!E8+C20*'Datos'!E9+D20*'Datos'!E10+E20*'Datos'!E11+F20*'Datos'!E12+G20*'Datos'!E13+H20*'Datos'!E14+I20*'Datos'!E15</x:f>
        <x:v>0.21827536075162174</x:v>
      </x:c>
      <x:c r="F30" s="35" t="n">
        <x:f>B20*'Datos'!F8+C20*'Datos'!F9+D20*'Datos'!F10+E20*'Datos'!F11+F20*'Datos'!F12+G20*'Datos'!F13+H20*'Datos'!F14+I20*'Datos'!F15</x:f>
        <x:v>0.08137514277463707</x:v>
      </x:c>
      <x:c r="G30" s="35" t="n">
        <x:f>B20*'Datos'!G8+C20*'Datos'!G9+D20*'Datos'!G10+E20*'Datos'!G11+F20*'Datos'!G12+G20*'Datos'!G13+H20*'Datos'!G14+I20*'Datos'!G15</x:f>
        <x:v>0.010892740892197498</x:v>
      </x:c>
      <x:c r="H30" s="35" t="n">
        <x:f>B20*'Datos'!H8+C20*'Datos'!H9+D20*'Datos'!H10+E20*'Datos'!H11+F20*'Datos'!H12+G20*'Datos'!H13+H20*'Datos'!H14+I20*'Datos'!H15</x:f>
        <x:v>0.0003042538422358303</x:v>
      </x:c>
      <x:c r="I30" s="35" t="n">
        <x:f>B20*'Datos'!I8+C20*'Datos'!I9+D20*'Datos'!I10+E20*'Datos'!I11+F20*'Datos'!I12+G20*'Datos'!I13+H20*'Datos'!I14+I20*'Datos'!I15</x:f>
        <x:v>0.0000030736351867796693</x:v>
      </x:c>
      <x:c r="J30" s="34" t="n">
        <x:f>SUM(B30:I30)</x:f>
        <x:v>1.0000000000000002</x:v>
      </x:c>
    </x:row>
    <x:row r="31" ht="22" customHeight="1">
      <x:c r="A31" s="31" t="str">
        <x:f>'Datos'!A11</x:f>
        <x:v>Baa</x:v>
      </x:c>
      <x:c r="B31" s="35" t="n">
        <x:f>B21*'Datos'!B8+C21*'Datos'!B9+D21*'Datos'!B10+E21*'Datos'!B11+F21*'Datos'!B12+G21*'Datos'!B13+H21*'Datos'!B14+I21*'Datos'!B15</x:f>
        <x:v>0.009514488290913226</x:v>
      </x:c>
      <x:c r="C31" s="35" t="n">
        <x:f>B21*'Datos'!C8+C21*'Datos'!C9+D21*'Datos'!C10+E21*'Datos'!C11+F21*'Datos'!C12+G21*'Datos'!C13+H21*'Datos'!C14+I21*'Datos'!C15</x:f>
        <x:v>0.0779208860420285</x:v>
      </x:c>
      <x:c r="D31" s="35" t="n">
        <x:f>B21*'Datos'!D8+C21*'Datos'!D9+D21*'Datos'!D10+E21*'Datos'!D11+F21*'Datos'!D12+G21*'Datos'!D13+H21*'Datos'!D14+I21*'Datos'!D15</x:f>
        <x:v>0.3489312980221694</x:v>
      </x:c>
      <x:c r="E31" s="35" t="n">
        <x:f>B21*'Datos'!E8+C21*'Datos'!E9+D21*'Datos'!E10+E21*'Datos'!E11+F21*'Datos'!E12+G21*'Datos'!E13+H21*'Datos'!E14+I21*'Datos'!E15</x:f>
        <x:v>0.23285835643647618</x:v>
      </x:c>
      <x:c r="F31" s="35" t="n">
        <x:f>B21*'Datos'!F8+C21*'Datos'!F9+D21*'Datos'!F10+E21*'Datos'!F11+F21*'Datos'!F12+G21*'Datos'!F13+H21*'Datos'!F14+I21*'Datos'!F15</x:f>
        <x:v>0.24086355922467853</x:v>
      </x:c>
      <x:c r="G31" s="35" t="n">
        <x:f>B21*'Datos'!G8+C21*'Datos'!G9+D21*'Datos'!G10+E21*'Datos'!G11+F21*'Datos'!G12+G21*'Datos'!G13+H21*'Datos'!G14+I21*'Datos'!G15</x:f>
        <x:v>0.07460253101447692</x:v>
      </x:c>
      <x:c r="H31" s="35" t="n">
        <x:f>B21*'Datos'!H8+C21*'Datos'!H9+D21*'Datos'!H10+E21*'Datos'!H11+F21*'Datos'!H12+G21*'Datos'!H13+H21*'Datos'!H14+I21*'Datos'!H15</x:f>
        <x:v>0.01511679620013737</x:v>
      </x:c>
      <x:c r="I31" s="35" t="n">
        <x:f>B21*'Datos'!I8+C21*'Datos'!I9+D21*'Datos'!I10+E21*'Datos'!I11+F21*'Datos'!I12+G21*'Datos'!I13+H21*'Datos'!I14+I21*'Datos'!I15</x:f>
        <x:v>0.0001920847691198835</x:v>
      </x:c>
      <x:c r="J31" s="34" t="n">
        <x:f>SUM(B31:I31)</x:f>
        <x:v>1</x:v>
      </x:c>
    </x:row>
    <x:row r="32" ht="22" customHeight="1">
      <x:c r="A32" s="31" t="str">
        <x:f>'Datos'!A12</x:f>
        <x:v>Ba</x:v>
      </x:c>
      <x:c r="B32" s="35" t="n">
        <x:f>B22*'Datos'!B8+C22*'Datos'!B9+D22*'Datos'!B10+E22*'Datos'!B11+F22*'Datos'!B12+G22*'Datos'!B13+H22*'Datos'!B14+I22*'Datos'!B15</x:f>
        <x:v>0.00029850885711144053</x:v>
      </x:c>
      <x:c r="C32" s="35" t="n">
        <x:f>B22*'Datos'!C8+C22*'Datos'!C9+D22*'Datos'!C10+E22*'Datos'!C11+F22*'Datos'!C12+G22*'Datos'!C13+H22*'Datos'!C14+I22*'Datos'!C15</x:f>
        <x:v>0.003646817979496958</x:v>
      </x:c>
      <x:c r="D32" s="35" t="n">
        <x:f>B22*'Datos'!D8+C22*'Datos'!D9+D22*'Datos'!D10+E22*'Datos'!D11+F22*'Datos'!D12+G22*'Datos'!D13+H22*'Datos'!D14+I22*'Datos'!D15</x:f>
        <x:v>0.053606082860723436</x:v>
      </x:c>
      <x:c r="E32" s="35" t="n">
        <x:f>B22*'Datos'!E8+C22*'Datos'!E9+D22*'Datos'!E10+E22*'Datos'!E11+F22*'Datos'!E12+G22*'Datos'!E13+H22*'Datos'!E14+I22*'Datos'!E15</x:f>
        <x:v>0.09825560073803474</x:v>
      </x:c>
      <x:c r="F32" s="35" t="n">
        <x:f>B22*'Datos'!F8+C22*'Datos'!F9+D22*'Datos'!F10+E22*'Datos'!F11+F22*'Datos'!F12+G22*'Datos'!F13+H22*'Datos'!F14+I22*'Datos'!F15</x:f>
        <x:v>0.4525493078963308</x:v>
      </x:c>
      <x:c r="G32" s="35" t="n">
        <x:f>B22*'Datos'!G8+C22*'Datos'!G9+D22*'Datos'!G10+E22*'Datos'!G11+F22*'Datos'!G12+G22*'Datos'!G13+H22*'Datos'!G14+I22*'Datos'!G15</x:f>
        <x:v>0.2460913101122183</x:v>
      </x:c>
      <x:c r="H32" s="35" t="n">
        <x:f>B22*'Datos'!H8+C22*'Datos'!H9+D22*'Datos'!H10+E22*'Datos'!H11+F22*'Datos'!H12+G22*'Datos'!H13+H22*'Datos'!H14+I22*'Datos'!H15</x:f>
        <x:v>0.13927591329735353</x:v>
      </x:c>
      <x:c r="I32" s="35" t="n">
        <x:f>B22*'Datos'!I8+C22*'Datos'!I9+D22*'Datos'!I10+E22*'Datos'!I11+F22*'Datos'!I12+G22*'Datos'!I13+H22*'Datos'!I14+I22*'Datos'!I15</x:f>
        <x:v>0.006276458258730638</x:v>
      </x:c>
      <x:c r="J32" s="34" t="n">
        <x:f>SUM(B32:I32)</x:f>
        <x:v>0.9999999999999999</x:v>
      </x:c>
    </x:row>
    <x:row r="33" ht="22" customHeight="1">
      <x:c r="A33" s="31" t="str">
        <x:f>'Datos'!A13</x:f>
        <x:v>B</x:v>
      </x:c>
      <x:c r="B33" s="35" t="n">
        <x:f>B23*'Datos'!B8+C23*'Datos'!B9+D23*'Datos'!B10+E23*'Datos'!B11+F23*'Datos'!B12+G23*'Datos'!B13+H23*'Datos'!B14+I23*'Datos'!B15</x:f>
        <x:v>0.000004878062440494837</x:v>
      </x:c>
      <x:c r="C33" s="35" t="n">
        <x:f>B23*'Datos'!C8+C23*'Datos'!C9+D23*'Datos'!C10+E23*'Datos'!C11+F23*'Datos'!C12+G23*'Datos'!C13+H23*'Datos'!C14+I23*'Datos'!C15</x:f>
        <x:v>0.00022416121225969768</x:v>
      </x:c>
      <x:c r="D33" s="35" t="n">
        <x:f>B23*'Datos'!D8+C23*'Datos'!D9+D23*'Datos'!D10+E23*'Datos'!D11+F23*'Datos'!D12+G23*'Datos'!D13+H23*'Datos'!D14+I23*'Datos'!D15</x:f>
        <x:v>0.009126999212262983</x:v>
      </x:c>
      <x:c r="E33" s="35" t="n">
        <x:f>B23*'Datos'!E8+C23*'Datos'!E9+D23*'Datos'!E10+E23*'Datos'!E11+F23*'Datos'!E12+G23*'Datos'!E13+H23*'Datos'!E14+I23*'Datos'!E15</x:f>
        <x:v>0.02369390011549213</x:v>
      </x:c>
      <x:c r="F33" s="35" t="n">
        <x:f>B23*'Datos'!F8+C23*'Datos'!F9+D23*'Datos'!F10+E23*'Datos'!F11+F23*'Datos'!F12+G23*'Datos'!F13+H23*'Datos'!F14+I23*'Datos'!F15</x:f>
        <x:v>0.12321415474129022</x:v>
      </x:c>
      <x:c r="G33" s="35" t="n">
        <x:f>B23*'Datos'!G8+C23*'Datos'!G9+D23*'Datos'!G10+E23*'Datos'!G11+F23*'Datos'!G12+G23*'Datos'!G13+H23*'Datos'!G14+I23*'Datos'!G15</x:f>
        <x:v>0.21389795541836149</x:v>
      </x:c>
      <x:c r="H33" s="35" t="n">
        <x:f>B23*'Datos'!H8+C23*'Datos'!H9+D23*'Datos'!H10+E23*'Datos'!H11+F23*'Datos'!H12+G23*'Datos'!H13+H23*'Datos'!H14+I23*'Datos'!H15</x:f>
        <x:v>0.4416695709134745</x:v>
      </x:c>
      <x:c r="I33" s="35" t="n">
        <x:f>B23*'Datos'!I8+C23*'Datos'!I9+D23*'Datos'!I10+E23*'Datos'!I11+F23*'Datos'!I12+G23*'Datos'!I13+H23*'Datos'!I14+I23*'Datos'!I15</x:f>
        <x:v>0.18816838032441846</x:v>
      </x:c>
      <x:c r="J33" s="34" t="n">
        <x:f>SUM(B33:I33)</x:f>
        <x:v>1</x:v>
      </x:c>
    </x:row>
    <x:row r="34" ht="22" customHeight="1">
      <x:c r="A34" s="31" t="str">
        <x:f>'Datos'!A14</x:f>
        <x:v>Caa-C</x:v>
      </x:c>
      <x:c r="B34" s="35" t="n">
        <x:f>B24*'Datos'!B8+C24*'Datos'!B9+D24*'Datos'!B10+E24*'Datos'!B11+F24*'Datos'!B12+G24*'Datos'!B13+H24*'Datos'!B14+I24*'Datos'!B15</x:f>
        <x:v>6.1537196403730255e-9</x:v>
      </x:c>
      <x:c r="C34" s="35" t="n">
        <x:f>B24*'Datos'!C8+C24*'Datos'!C9+D24*'Datos'!C10+E24*'Datos'!C11+F24*'Datos'!C12+G24*'Datos'!C13+H24*'Datos'!C14+I24*'Datos'!C15</x:f>
        <x:v>0.0000014263855822684589</x:v>
      </x:c>
      <x:c r="D34" s="35" t="n">
        <x:f>B24*'Datos'!D8+C24*'Datos'!D9+D24*'Datos'!D10+E24*'Datos'!D11+F24*'Datos'!D12+G24*'Datos'!D13+H24*'Datos'!D14+I24*'Datos'!D15</x:f>
        <x:v>0.00013988306985747084</x:v>
      </x:c>
      <x:c r="E34" s="35" t="n">
        <x:f>B24*'Datos'!E8+C24*'Datos'!E9+D24*'Datos'!E10+E24*'Datos'!E11+F24*'Datos'!E12+G24*'Datos'!E13+H24*'Datos'!E14+I24*'Datos'!E15</x:f>
        <x:v>0.002819204891564491</x:v>
      </x:c>
      <x:c r="F34" s="35" t="n">
        <x:f>B24*'Datos'!F8+C24*'Datos'!F9+D24*'Datos'!F10+E24*'Datos'!F11+F24*'Datos'!F12+G24*'Datos'!F13+H24*'Datos'!F14+I24*'Datos'!F15</x:f>
        <x:v>0.02106484938599406</x:v>
      </x:c>
      <x:c r="G34" s="35" t="n">
        <x:f>B24*'Datos'!G8+C24*'Datos'!G9+D24*'Datos'!G10+E24*'Datos'!G11+F24*'Datos'!G12+G24*'Datos'!G13+H24*'Datos'!G14+I24*'Datos'!G15</x:f>
        <x:v>0.10630425604849045</x:v>
      </x:c>
      <x:c r="H34" s="35" t="n">
        <x:f>B24*'Datos'!H8+C24*'Datos'!H9+D24*'Datos'!H10+E24*'Datos'!H11+F24*'Datos'!H12+G24*'Datos'!H13+H24*'Datos'!H14+I24*'Datos'!H15</x:f>
        <x:v>0.3296475489609194</x:v>
      </x:c>
      <x:c r="I34" s="35" t="n">
        <x:f>B24*'Datos'!I8+C24*'Datos'!I9+D24*'Datos'!I10+E24*'Datos'!I11+F24*'Datos'!I12+G24*'Datos'!I13+H24*'Datos'!I14+I24*'Datos'!I15</x:f>
        <x:v>0.5400228251038722</x:v>
      </x:c>
      <x:c r="J34" s="34" t="n">
        <x:f>SUM(B34:I34)</x:f>
        <x:v>1</x:v>
      </x:c>
    </x:row>
    <x:row r="35" ht="22" customHeight="1">
      <x:c r="A35" s="31" t="str">
        <x:f>'Datos'!A15</x:f>
        <x:v>Default</x:v>
      </x:c>
      <x:c r="B35" s="35" t="n">
        <x:f>B25*'Datos'!B8+C25*'Datos'!B9+D25*'Datos'!B10+E25*'Datos'!B11+F25*'Datos'!B12+G25*'Datos'!B13+H25*'Datos'!B14+I25*'Datos'!B15</x:f>
        <x:v>0</x:v>
      </x:c>
      <x:c r="C35" s="35" t="n">
        <x:f>B25*'Datos'!C8+C25*'Datos'!C9+D25*'Datos'!C10+E25*'Datos'!C11+F25*'Datos'!C12+G25*'Datos'!C13+H25*'Datos'!C14+I25*'Datos'!C15</x:f>
        <x:v>0</x:v>
      </x:c>
      <x:c r="D35" s="35" t="n">
        <x:f>B25*'Datos'!D8+C25*'Datos'!D9+D25*'Datos'!D10+E25*'Datos'!D11+F25*'Datos'!D12+G25*'Datos'!D13+H25*'Datos'!D14+I25*'Datos'!D15</x:f>
        <x:v>0</x:v>
      </x:c>
      <x:c r="E35" s="35" t="n">
        <x:f>B25*'Datos'!E8+C25*'Datos'!E9+D25*'Datos'!E10+E25*'Datos'!E11+F25*'Datos'!E12+G25*'Datos'!E13+H25*'Datos'!E14+I25*'Datos'!E15</x:f>
        <x:v>0</x:v>
      </x:c>
      <x:c r="F35" s="35" t="n">
        <x:f>B25*'Datos'!F8+C25*'Datos'!F9+D25*'Datos'!F10+E25*'Datos'!F11+F25*'Datos'!F12+G25*'Datos'!F13+H25*'Datos'!F14+I25*'Datos'!F15</x:f>
        <x:v>0</x:v>
      </x:c>
      <x:c r="G35" s="35" t="n">
        <x:f>B25*'Datos'!G8+C25*'Datos'!G9+D25*'Datos'!G10+E25*'Datos'!G11+F25*'Datos'!G12+G25*'Datos'!G13+H25*'Datos'!G14+I25*'Datos'!G15</x:f>
        <x:v>0</x:v>
      </x:c>
      <x:c r="H35" s="35" t="n">
        <x:f>B25*'Datos'!H8+C25*'Datos'!H9+D25*'Datos'!H10+E25*'Datos'!H11+F25*'Datos'!H12+G25*'Datos'!H13+H25*'Datos'!H14+I25*'Datos'!H15</x:f>
        <x:v>0</x:v>
      </x:c>
      <x:c r="I35" s="35" t="n">
        <x:f>B25*'Datos'!I8+C25*'Datos'!I9+D25*'Datos'!I10+E25*'Datos'!I11+F25*'Datos'!I12+G25*'Datos'!I13+H25*'Datos'!I14+I25*'Datos'!I15</x:f>
        <x:v>1</x:v>
      </x:c>
      <x:c r="J35" s="34" t="n">
        <x:f>SUM(B35:I35)</x:f>
        <x:v>1</x:v>
      </x:c>
    </x:row>
    <x:row r="36" ht="22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</x:row>
    <x:row r="37" ht="36" customHeight="1">
      <x:c r="A37" s="13" t="str">
        <x:v>P^3</x:v>
      </x:c>
      <x:c r="B37" s="13" t="str">
        <x:v>Aaa</x:v>
      </x:c>
      <x:c r="C37" s="13" t="str">
        <x:v>Aa</x:v>
      </x:c>
      <x:c r="D37" s="13" t="str">
        <x:v>A</x:v>
      </x:c>
      <x:c r="E37" s="13" t="str">
        <x:v>Baa</x:v>
      </x:c>
      <x:c r="F37" s="13" t="str">
        <x:v>Ba</x:v>
      </x:c>
      <x:c r="G37" s="13" t="str">
        <x:v>B</x:v>
      </x:c>
      <x:c r="H37" s="13" t="str">
        <x:v>Caa-C</x:v>
      </x:c>
      <x:c r="I37" s="13" t="str">
        <x:v>Default</x:v>
      </x:c>
      <x:c r="J37" s="13" t="str">
        <x:v>Suma</x:v>
      </x:c>
    </x:row>
    <x:row r="38" ht="22" customHeight="1">
      <x:c r="A38" s="31" t="str">
        <x:f>'Datos'!A8</x:f>
        <x:v>Aaa</x:v>
      </x:c>
      <x:c r="B38" s="35" t="n">
        <x:f>B28*'Datos'!B8+C28*'Datos'!B9+D28*'Datos'!B10+E28*'Datos'!B11+F28*'Datos'!B12+G28*'Datos'!B13+H28*'Datos'!B14+I28*'Datos'!B15</x:f>
        <x:v>0.6605571534919892</x:v>
      </x:c>
      <x:c r="C38" s="35" t="n">
        <x:f>B28*'Datos'!C8+C28*'Datos'!C9+D28*'Datos'!C10+E28*'Datos'!C11+F28*'Datos'!C12+G28*'Datos'!C13+H28*'Datos'!C14+I28*'Datos'!C15</x:f>
        <x:v>0.22229103505023654</x:v>
      </x:c>
      <x:c r="D38" s="35" t="n">
        <x:f>B28*'Datos'!D8+C28*'Datos'!D9+D28*'Datos'!D10+E28*'Datos'!D11+F28*'Datos'!D12+G28*'Datos'!D13+H28*'Datos'!D14+I28*'Datos'!D15</x:f>
        <x:v>0.08750358565886579</x:v>
      </x:c>
      <x:c r="E38" s="35" t="n">
        <x:f>B28*'Datos'!E8+C28*'Datos'!E9+D28*'Datos'!E10+E28*'Datos'!E11+F28*'Datos'!E12+G28*'Datos'!E13+H28*'Datos'!E14+I28*'Datos'!E15</x:f>
        <x:v>0.02411366094166491</x:v>
      </x:c>
      <x:c r="F38" s="35" t="n">
        <x:f>B28*'Datos'!F8+C28*'Datos'!F9+D28*'Datos'!F10+E28*'Datos'!F11+F28*'Datos'!F12+G28*'Datos'!F13+H28*'Datos'!F14+I28*'Datos'!F15</x:f>
        <x:v>0.004981408985364452</x:v>
      </x:c>
      <x:c r="G38" s="35" t="n">
        <x:f>B28*'Datos'!G8+C28*'Datos'!G9+D28*'Datos'!G10+E28*'Datos'!G11+F28*'Datos'!G12+G28*'Datos'!G13+H28*'Datos'!G14+I28*'Datos'!G15</x:f>
        <x:v>0.0005364754673576297</x:v>
      </x:c>
      <x:c r="H38" s="35" t="n">
        <x:f>B28*'Datos'!H8+C28*'Datos'!H9+D28*'Datos'!H10+E28*'Datos'!H11+F28*'Datos'!H12+G28*'Datos'!H13+H28*'Datos'!H14+I28*'Datos'!H15</x:f>
        <x:v>0.00001650476472064027</x:v>
      </x:c>
      <x:c r="I38" s="35" t="n">
        <x:f>B28*'Datos'!I8+C28*'Datos'!I9+D28*'Datos'!I10+E28*'Datos'!I11+F28*'Datos'!I12+G28*'Datos'!I13+H28*'Datos'!I14+I28*'Datos'!I15</x:f>
        <x:v>1.7563980097444551e-7</x:v>
      </x:c>
      <x:c r="J38" s="34" t="n">
        <x:f>SUM(B38:I38)</x:f>
        <x:v>0.9999999999999999</x:v>
      </x:c>
    </x:row>
    <x:row r="39" ht="22" customHeight="1">
      <x:c r="A39" s="31" t="str">
        <x:f>'Datos'!A9</x:f>
        <x:v>Aa</x:v>
      </x:c>
      <x:c r="B39" s="35" t="n">
        <x:f>B29*'Datos'!B8+C29*'Datos'!B9+D29*'Datos'!B10+E29*'Datos'!B11+F29*'Datos'!B12+G29*'Datos'!B13+H29*'Datos'!B14+I29*'Datos'!B15</x:f>
        <x:v>0.5093631264674912</x:v>
      </x:c>
      <x:c r="C39" s="35" t="n">
        <x:f>B29*'Datos'!C8+C29*'Datos'!C9+D29*'Datos'!C10+E29*'Datos'!C11+F29*'Datos'!C12+G29*'Datos'!C13+H29*'Datos'!C14+I29*'Datos'!C15</x:f>
        <x:v>0.31039826953261207</x:v>
      </x:c>
      <x:c r="D39" s="35" t="n">
        <x:f>B29*'Datos'!D8+C29*'Datos'!D9+D29*'Datos'!D10+E29*'Datos'!D11+F29*'Datos'!D12+G29*'Datos'!D13+H29*'Datos'!D14+I29*'Datos'!D15</x:f>
        <x:v>0.12041742198775462</x:v>
      </x:c>
      <x:c r="E39" s="35" t="n">
        <x:f>B29*'Datos'!E8+C29*'Datos'!E9+D29*'Datos'!E10+E29*'Datos'!E11+F29*'Datos'!E12+G29*'Datos'!E13+H29*'Datos'!E14+I29*'Datos'!E15</x:f>
        <x:v>0.04383009278323379</x:v>
      </x:c>
      <x:c r="F39" s="35" t="n">
        <x:f>B29*'Datos'!F8+C29*'Datos'!F9+D29*'Datos'!F10+E29*'Datos'!F11+F29*'Datos'!F12+G29*'Datos'!F13+H29*'Datos'!F14+I29*'Datos'!F15</x:f>
        <x:v>0.013472047492562691</x:v>
      </x:c>
      <x:c r="G39" s="35" t="n">
        <x:f>B29*'Datos'!G8+C29*'Datos'!G9+D29*'Datos'!G10+E29*'Datos'!G11+F29*'Datos'!G12+G29*'Datos'!G13+H29*'Datos'!G14+I29*'Datos'!G15</x:f>
        <x:v>0.002248933235923679</x:v>
      </x:c>
      <x:c r="H39" s="35" t="n">
        <x:f>B29*'Datos'!H8+C29*'Datos'!H9+D29*'Datos'!H10+E29*'Datos'!H11+F29*'Datos'!H12+G29*'Datos'!H13+H29*'Datos'!H14+I29*'Datos'!H15</x:f>
        <x:v>0.00026665129374222674</x:v>
      </x:c>
      <x:c r="I39" s="35" t="n">
        <x:f>B29*'Datos'!I8+C29*'Datos'!I9+D29*'Datos'!I10+E29*'Datos'!I11+F29*'Datos'!I12+G29*'Datos'!I13+H29*'Datos'!I14+I29*'Datos'!I15</x:f>
        <x:v>0.0000034572066796960136</x:v>
      </x:c>
      <x:c r="J39" s="34" t="n">
        <x:f>SUM(B39:I39)</x:f>
        <x:v>1</x:v>
      </x:c>
    </x:row>
    <x:row r="40" ht="22" customHeight="1">
      <x:c r="A40" s="31" t="str">
        <x:f>'Datos'!A10</x:f>
        <x:v>A</x:v>
      </x:c>
      <x:c r="B40" s="35" t="n">
        <x:f>B30*'Datos'!B8+C30*'Datos'!B9+D30*'Datos'!B10+E30*'Datos'!B11+F30*'Datos'!B12+G30*'Datos'!B13+H30*'Datos'!B14+I30*'Datos'!B15</x:f>
        <x:v>0.14024335051153944</x:v>
      </x:c>
      <x:c r="C40" s="35" t="n">
        <x:f>B30*'Datos'!C8+C30*'Datos'!C9+D30*'Datos'!C10+E30*'Datos'!C11+F30*'Datos'!C12+G30*'Datos'!C13+H30*'Datos'!C14+I30*'Datos'!C15</x:f>
        <x:v>0.20373311013932532</x:v>
      </x:c>
      <x:c r="D40" s="35" t="n">
        <x:f>B30*'Datos'!D8+C30*'Datos'!D9+D30*'Datos'!D10+E30*'Datos'!D11+F30*'Datos'!D12+G30*'Datos'!D13+H30*'Datos'!D14+I30*'Datos'!D15</x:f>
        <x:v>0.3244149999396457</x:v>
      </x:c>
      <x:c r="E40" s="35" t="n">
        <x:f>B30*'Datos'!E8+C30*'Datos'!E9+D30*'Datos'!E10+E30*'Datos'!E11+F30*'Datos'!E12+G30*'Datos'!E13+H30*'Datos'!E14+I30*'Datos'!E15</x:f>
        <x:v>0.18288273662184287</x:v>
      </x:c>
      <x:c r="F40" s="35" t="n">
        <x:f>B30*'Datos'!F8+C30*'Datos'!F9+D30*'Datos'!F10+E30*'Datos'!F11+F30*'Datos'!F12+G30*'Datos'!F13+H30*'Datos'!F14+I30*'Datos'!F15</x:f>
        <x:v>0.11270518705450629</x:v>
      </x:c>
      <x:c r="G40" s="35" t="n">
        <x:f>B30*'Datos'!G8+C30*'Datos'!G9+D30*'Datos'!G10+E30*'Datos'!G11+F30*'Datos'!G12+G30*'Datos'!G13+H30*'Datos'!G14+I30*'Datos'!G15</x:f>
        <x:v>0.029109932600186753</x:v>
      </x:c>
      <x:c r="H40" s="35" t="n">
        <x:f>B30*'Datos'!H8+C30*'Datos'!H9+D30*'Datos'!H10+E30*'Datos'!H11+F30*'Datos'!H12+G30*'Datos'!H13+H30*'Datos'!H14+I30*'Datos'!H15</x:f>
        <x:v>0.006721838010990416</x:v>
      </x:c>
      <x:c r="I40" s="35" t="n">
        <x:f>B30*'Datos'!I8+C30*'Datos'!I9+D30*'Datos'!I10+E30*'Datos'!I11+F30*'Datos'!I12+G30*'Datos'!I13+H30*'Datos'!I14+I30*'Datos'!I15</x:f>
        <x:v>0.00018884512196357597</x:v>
      </x:c>
      <x:c r="J40" s="34" t="n">
        <x:f>SUM(B40:I40)</x:f>
        <x:v>1.0000000000000002</x:v>
      </x:c>
    </x:row>
    <x:row r="41" ht="22" customHeight="1">
      <x:c r="A41" s="31" t="str">
        <x:f>'Datos'!A11</x:f>
        <x:v>Baa</x:v>
      </x:c>
      <x:c r="B41" s="35" t="n">
        <x:f>B31*'Datos'!B8+C31*'Datos'!B9+D31*'Datos'!B10+E31*'Datos'!B11+F31*'Datos'!B12+G31*'Datos'!B13+H31*'Datos'!B14+I31*'Datos'!B15</x:f>
        <x:v>0.03909204130471891</x:v>
      </x:c>
      <x:c r="C41" s="35" t="n">
        <x:f>B31*'Datos'!C8+C31*'Datos'!C9+D31*'Datos'!C10+E31*'Datos'!C11+F31*'Datos'!C12+G31*'Datos'!C13+H31*'Datos'!C14+I31*'Datos'!C15</x:f>
        <x:v>0.11090006068570228</x:v>
      </x:c>
      <x:c r="D41" s="35" t="n">
        <x:f>B31*'Datos'!D8+C31*'Datos'!D9+D31*'Datos'!D10+E31*'Datos'!D11+F31*'Datos'!D12+G31*'Datos'!D13+H31*'Datos'!D14+I31*'Datos'!D15</x:f>
        <x:v>0.29016668744472124</x:v>
      </x:c>
      <x:c r="E41" s="35" t="n">
        <x:f>B31*'Datos'!E8+C31*'Datos'!E9+D31*'Datos'!E10+E31*'Datos'!E11+F31*'Datos'!E12+G31*'Datos'!E13+H31*'Datos'!E14+I31*'Datos'!E15</x:f>
        <x:v>0.18858670664820223</x:v>
      </x:c>
      <x:c r="F41" s="35" t="n">
        <x:f>B31*'Datos'!F8+C31*'Datos'!F9+D31*'Datos'!F10+E31*'Datos'!F11+F31*'Datos'!F12+G31*'Datos'!F13+H31*'Datos'!F14+I31*'Datos'!F15</x:f>
        <x:v>0.2236446484342005</x:v>
      </x:c>
      <x:c r="G41" s="35" t="n">
        <x:f>B31*'Datos'!G8+C31*'Datos'!G9+D31*'Datos'!G10+E31*'Datos'!G11+F31*'Datos'!G12+G31*'Datos'!G13+H31*'Datos'!G14+I31*'Datos'!G15</x:f>
        <x:v>0.09286981523535481</x:v>
      </x:c>
      <x:c r="H41" s="35" t="n">
        <x:f>B31*'Datos'!H8+C31*'Datos'!H9+D31*'Datos'!H10+E31*'Datos'!H11+F31*'Datos'!H12+G31*'Datos'!H13+H31*'Datos'!H14+I31*'Datos'!H15</x:f>
        <x:v>0.048685975926445836</x:v>
      </x:c>
      <x:c r="I41" s="35" t="n">
        <x:f>B31*'Datos'!I8+C31*'Datos'!I9+D31*'Datos'!I10+E31*'Datos'!I11+F31*'Datos'!I12+G31*'Datos'!I13+H31*'Datos'!I14+I31*'Datos'!I15</x:f>
        <x:v>0.006054064320654201</x:v>
      </x:c>
      <x:c r="J41" s="34" t="n">
        <x:f>SUM(B41:I41)</x:f>
        <x:v>1</x:v>
      </x:c>
    </x:row>
    <x:row r="42" ht="22" customHeight="1">
      <x:c r="A42" s="31" t="str">
        <x:f>'Datos'!A12</x:f>
        <x:v>Ba</x:v>
      </x:c>
      <x:c r="B42" s="35" t="n">
        <x:f>B32*'Datos'!B8+C32*'Datos'!B9+D32*'Datos'!B10+E32*'Datos'!B11+F32*'Datos'!B12+G32*'Datos'!B13+H32*'Datos'!B14+I32*'Datos'!B15</x:f>
        <x:v>0.0023355951857353353</x:v>
      </x:c>
      <x:c r="C42" s="35" t="n">
        <x:f>B32*'Datos'!C8+C32*'Datos'!C9+D32*'Datos'!C10+E32*'Datos'!C11+F32*'Datos'!C12+G32*'Datos'!C13+H32*'Datos'!C14+I32*'Datos'!C15</x:f>
        <x:v>0.012665062373104706</x:v>
      </x:c>
      <x:c r="D42" s="35" t="n">
        <x:f>B32*'Datos'!D8+C32*'Datos'!D9+D32*'Datos'!D10+E32*'Datos'!D11+F32*'Datos'!D12+G32*'Datos'!D13+H32*'Datos'!D14+I32*'Datos'!D15</x:f>
        <x:v>0.0744877878939627</x:v>
      </x:c>
      <x:c r="E42" s="35" t="n">
        <x:f>B32*'Datos'!E8+C32*'Datos'!E9+D32*'Datos'!E10+E32*'Datos'!E11+F32*'Datos'!E12+G32*'Datos'!E13+H32*'Datos'!E14+I32*'Datos'!E15</x:f>
        <x:v>0.09290028854951501</x:v>
      </x:c>
      <x:c r="F42" s="35" t="n">
        <x:f>B32*'Datos'!F8+C32*'Datos'!F9+D32*'Datos'!F10+E32*'Datos'!F11+F32*'Datos'!F12+G32*'Datos'!F13+H32*'Datos'!F14+I32*'Datos'!F15</x:f>
        <x:v>0.34079070539386697</x:v>
      </x:c>
      <x:c r="G42" s="35" t="n">
        <x:f>B32*'Datos'!G8+C32*'Datos'!G9+D32*'Datos'!G10+E32*'Datos'!G11+F32*'Datos'!G12+G32*'Datos'!G13+H32*'Datos'!G14+I32*'Datos'!G15</x:f>
        <x:v>0.21696298434220102</x:v>
      </x:c>
      <x:c r="H42" s="35" t="n">
        <x:f>B32*'Datos'!H8+C32*'Datos'!H9+D32*'Datos'!H10+E32*'Datos'!H11+F32*'Datos'!H12+G32*'Datos'!H13+H32*'Datos'!H14+I32*'Datos'!H15</x:f>
        <x:v>0.20252842178966451</x:v>
      </x:c>
      <x:c r="I42" s="35" t="n">
        <x:f>B32*'Datos'!I8+C32*'Datos'!I9+D32*'Datos'!I10+E32*'Datos'!I11+F32*'Datos'!I12+G32*'Datos'!I13+H32*'Datos'!I14+I32*'Datos'!I15</x:f>
        <x:v>0.05732915447194955</x:v>
      </x:c>
      <x:c r="J42" s="34" t="n">
        <x:f>SUM(B42:I42)</x:f>
        <x:v>0.9999999999999999</x:v>
      </x:c>
    </x:row>
    <x:row r="43" ht="22" customHeight="1">
      <x:c r="A43" s="31" t="str">
        <x:f>'Datos'!A13</x:f>
        <x:v>B</x:v>
      </x:c>
      <x:c r="B43" s="35" t="n">
        <x:f>B33*'Datos'!B8+C33*'Datos'!B9+D33*'Datos'!B10+E33*'Datos'!B11+F33*'Datos'!B12+G33*'Datos'!B13+H33*'Datos'!B14+I33*'Datos'!B15</x:f>
        <x:v>0.0002307571129558927</x:v>
      </x:c>
      <x:c r="C43" s="35" t="n">
        <x:f>B33*'Datos'!C8+C33*'Datos'!C9+D33*'Datos'!C10+E33*'Datos'!C11+F33*'Datos'!C12+G33*'Datos'!C13+H33*'Datos'!C14+I33*'Datos'!C15</x:f>
        <x:v>0.0019889069846516583</x:v>
      </x:c>
      <x:c r="D43" s="35" t="n">
        <x:f>B33*'Datos'!D8+C33*'Datos'!D9+D33*'Datos'!D10+E33*'Datos'!D11+F33*'Datos'!D12+G33*'Datos'!D13+H33*'Datos'!D14+I33*'Datos'!D15</x:f>
        <x:v>0.0160925017999686</x:v>
      </x:c>
      <x:c r="E43" s="35" t="n">
        <x:f>B33*'Datos'!E8+C33*'Datos'!E9+D33*'Datos'!E10+E33*'Datos'!E11+F33*'Datos'!E12+G33*'Datos'!E13+H33*'Datos'!E14+I33*'Datos'!E15</x:f>
        <x:v>0.025642162809015736</x:v>
      </x:c>
      <x:c r="F43" s="35" t="n">
        <x:f>B33*'Datos'!F8+C33*'Datos'!F9+D33*'Datos'!F10+E33*'Datos'!F11+F33*'Datos'!F12+G33*'Datos'!F13+H33*'Datos'!F14+I33*'Datos'!F15</x:f>
        <x:v>0.1116374433516395</x:v>
      </x:c>
      <x:c r="G43" s="35" t="n">
        <x:f>B33*'Datos'!G8+C33*'Datos'!G9+D33*'Datos'!G10+E33*'Datos'!G11+F33*'Datos'!G12+G33*'Datos'!G13+H33*'Datos'!G14+I33*'Datos'!G15</x:f>
        <x:v>0.1592940125981279</x:v>
      </x:c>
      <x:c r="H43" s="35" t="n">
        <x:f>B33*'Datos'!H8+C33*'Datos'!H9+D33*'Datos'!H10+E33*'Datos'!H11+F33*'Datos'!H12+G33*'Datos'!H13+H33*'Datos'!H14+I33*'Datos'!H15</x:f>
        <x:v>0.33872341847493603</x:v>
      </x:c>
      <x:c r="I43" s="35" t="n">
        <x:f>B33*'Datos'!I8+C33*'Datos'!I9+D33*'Datos'!I10+E33*'Datos'!I11+F33*'Datos'!I12+G33*'Datos'!I13+H33*'Datos'!I14+I33*'Datos'!I15</x:f>
        <x:v>0.34639079686870466</x:v>
      </x:c>
      <x:c r="J43" s="34" t="n">
        <x:f>SUM(B43:I43)</x:f>
        <x:v>1</x:v>
      </x:c>
    </x:row>
    <x:row r="44" ht="22" customHeight="1">
      <x:c r="A44" s="31" t="str">
        <x:f>'Datos'!A14</x:f>
        <x:v>Caa-C</x:v>
      </x:c>
      <x:c r="B44" s="35" t="n">
        <x:f>B34*'Datos'!B8+C34*'Datos'!B9+D34*'Datos'!B10+E34*'Datos'!B11+F34*'Datos'!B12+G34*'Datos'!B13+H34*'Datos'!B14+I34*'Datos'!B15</x:f>
        <x:v>0.0000029485452853684425</x:v>
      </x:c>
      <x:c r="C44" s="35" t="n">
        <x:f>B34*'Datos'!C8+C34*'Datos'!C9+D34*'Datos'!C10+E34*'Datos'!C11+F34*'Datos'!C12+G34*'Datos'!C13+H34*'Datos'!C14+I34*'Datos'!C15</x:f>
        <x:v>0.000054168747279702914</x:v>
      </x:c>
      <x:c r="D44" s="35" t="n">
        <x:f>B34*'Datos'!D8+C34*'Datos'!D9+D34*'Datos'!D10+E34*'Datos'!D11+F34*'Datos'!D12+G34*'Datos'!D13+H34*'Datos'!D14+I34*'Datos'!D15</x:f>
        <x:v>0.0015133197677192985</x:v>
      </x:c>
      <x:c r="E44" s="35" t="n">
        <x:f>B34*'Datos'!E8+C34*'Datos'!E9+D34*'Datos'!E10+E34*'Datos'!E11+F34*'Datos'!E12+G34*'Datos'!E13+H34*'Datos'!E14+I34*'Datos'!E15</x:f>
        <x:v>0.004917326846228949</x:v>
      </x:c>
      <x:c r="F44" s="35" t="n">
        <x:f>B34*'Datos'!F8+C34*'Datos'!F9+D34*'Datos'!F10+E34*'Datos'!F11+F34*'Datos'!F12+G34*'Datos'!F13+H34*'Datos'!F14+I34*'Datos'!F15</x:f>
        <x:v>0.02848407042740727</x:v>
      </x:c>
      <x:c r="G44" s="35" t="n">
        <x:f>B34*'Datos'!G8+C34*'Datos'!G9+D34*'Datos'!G10+E34*'Datos'!G11+F34*'Datos'!G12+G34*'Datos'!G13+H34*'Datos'!G14+I34*'Datos'!G15</x:f>
        <x:v>0.08234714559394404</x:v>
      </x:c>
      <x:c r="H44" s="35" t="n">
        <x:f>B34*'Datos'!H8+C34*'Datos'!H9+D34*'Datos'!H10+E34*'Datos'!H11+F34*'Datos'!H12+G34*'Datos'!H13+H34*'Datos'!H14+I34*'Datos'!H15</x:f>
        <x:v>0.22490571292261533</x:v>
      </x:c>
      <x:c r="I44" s="35" t="n">
        <x:f>B34*'Datos'!I8+C34*'Datos'!I9+D34*'Datos'!I10+E34*'Datos'!I11+F34*'Datos'!I12+G34*'Datos'!I13+H34*'Datos'!I14+I34*'Datos'!I15</x:f>
        <x:v>0.65777530714952</x:v>
      </x:c>
      <x:c r="J44" s="34" t="n">
        <x:f>SUM(B44:I44)</x:f>
        <x:v>1</x:v>
      </x:c>
    </x:row>
    <x:row r="45" ht="22" customHeight="1">
      <x:c r="A45" s="31" t="str">
        <x:f>'Datos'!A15</x:f>
        <x:v>Default</x:v>
      </x:c>
      <x:c r="B45" s="35" t="n">
        <x:f>B35*'Datos'!B8+C35*'Datos'!B9+D35*'Datos'!B10+E35*'Datos'!B11+F35*'Datos'!B12+G35*'Datos'!B13+H35*'Datos'!B14+I35*'Datos'!B15</x:f>
        <x:v>0</x:v>
      </x:c>
      <x:c r="C45" s="35" t="n">
        <x:f>B35*'Datos'!C8+C35*'Datos'!C9+D35*'Datos'!C10+E35*'Datos'!C11+F35*'Datos'!C12+G35*'Datos'!C13+H35*'Datos'!C14+I35*'Datos'!C15</x:f>
        <x:v>0</x:v>
      </x:c>
      <x:c r="D45" s="35" t="n">
        <x:f>B35*'Datos'!D8+C35*'Datos'!D9+D35*'Datos'!D10+E35*'Datos'!D11+F35*'Datos'!D12+G35*'Datos'!D13+H35*'Datos'!D14+I35*'Datos'!D15</x:f>
        <x:v>0</x:v>
      </x:c>
      <x:c r="E45" s="35" t="n">
        <x:f>B35*'Datos'!E8+C35*'Datos'!E9+D35*'Datos'!E10+E35*'Datos'!E11+F35*'Datos'!E12+G35*'Datos'!E13+H35*'Datos'!E14+I35*'Datos'!E15</x:f>
        <x:v>0</x:v>
      </x:c>
      <x:c r="F45" s="35" t="n">
        <x:f>B35*'Datos'!F8+C35*'Datos'!F9+D35*'Datos'!F10+E35*'Datos'!F11+F35*'Datos'!F12+G35*'Datos'!F13+H35*'Datos'!F14+I35*'Datos'!F15</x:f>
        <x:v>0</x:v>
      </x:c>
      <x:c r="G45" s="35" t="n">
        <x:f>B35*'Datos'!G8+C35*'Datos'!G9+D35*'Datos'!G10+E35*'Datos'!G11+F35*'Datos'!G12+G35*'Datos'!G13+H35*'Datos'!G14+I35*'Datos'!G15</x:f>
        <x:v>0</x:v>
      </x:c>
      <x:c r="H45" s="35" t="n">
        <x:f>B35*'Datos'!H8+C35*'Datos'!H9+D35*'Datos'!H10+E35*'Datos'!H11+F35*'Datos'!H12+G35*'Datos'!H13+H35*'Datos'!H14+I35*'Datos'!H15</x:f>
        <x:v>0</x:v>
      </x:c>
      <x:c r="I45" s="35" t="n">
        <x:f>B35*'Datos'!I8+C35*'Datos'!I9+D35*'Datos'!I10+E35*'Datos'!I11+F35*'Datos'!I12+G35*'Datos'!I13+H35*'Datos'!I14+I35*'Datos'!I15</x:f>
        <x:v>1</x:v>
      </x:c>
      <x:c r="J45" s="34" t="n">
        <x:f>SUM(B45:I45)</x:f>
        <x:v>1</x:v>
      </x:c>
    </x:row>
    <x:row r="46" ht="22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</x:row>
    <x:row r="47" ht="36" customHeight="1">
      <x:c r="A47" s="13" t="str">
        <x:v>P^4</x:v>
      </x:c>
      <x:c r="B47" s="13" t="str">
        <x:v>Aaa</x:v>
      </x:c>
      <x:c r="C47" s="13" t="str">
        <x:v>Aa</x:v>
      </x:c>
      <x:c r="D47" s="13" t="str">
        <x:v>A</x:v>
      </x:c>
      <x:c r="E47" s="13" t="str">
        <x:v>Baa</x:v>
      </x:c>
      <x:c r="F47" s="13" t="str">
        <x:v>Ba</x:v>
      </x:c>
      <x:c r="G47" s="13" t="str">
        <x:v>B</x:v>
      </x:c>
      <x:c r="H47" s="13" t="str">
        <x:v>Caa-C</x:v>
      </x:c>
      <x:c r="I47" s="13" t="str">
        <x:v>Default</x:v>
      </x:c>
      <x:c r="J47" s="13" t="str">
        <x:v>Suma</x:v>
      </x:c>
    </x:row>
    <x:row r="48" ht="22" customHeight="1">
      <x:c r="A48" s="31" t="str">
        <x:f>'Datos'!A8</x:f>
        <x:v>Aaa</x:v>
      </x:c>
      <x:c r="B48" s="35" t="n">
        <x:f>B38*'Datos'!B8+C38*'Datos'!B9+D38*'Datos'!B10+E38*'Datos'!B11+F38*'Datos'!B12+G38*'Datos'!B13+H38*'Datos'!B14+I38*'Datos'!B15</x:f>
        <x:v>0.6182012712233975</x:v>
      </x:c>
      <x:c r="C48" s="35" t="n">
        <x:f>B38*'Datos'!C8+C38*'Datos'!C9+D38*'Datos'!C10+E38*'Datos'!C11+F38*'Datos'!C12+G38*'Datos'!C13+H38*'Datos'!C14+I38*'Datos'!C15</x:f>
        <x:v>0.23324514497034193</x:v>
      </x:c>
      <x:c r="D48" s="35" t="n">
        <x:f>B38*'Datos'!D8+C38*'Datos'!D9+D38*'Datos'!D10+E38*'Datos'!D11+F38*'Datos'!D12+G38*'Datos'!D13+H38*'Datos'!D14+I38*'Datos'!D15</x:f>
        <x:v>0.10197326812780019</x:v>
      </x:c>
      <x:c r="E48" s="35" t="n">
        <x:f>B38*'Datos'!E8+C38*'Datos'!E9+D38*'Datos'!E10+E38*'Datos'!E11+F38*'Datos'!E12+G38*'Datos'!E13+H38*'Datos'!E14+I38*'Datos'!E15</x:f>
        <x:v>0.033504627781769165</x:v>
      </x:c>
      <x:c r="F48" s="35" t="n">
        <x:f>B38*'Datos'!F8+C38*'Datos'!F9+D38*'Datos'!F10+E38*'Datos'!F11+F38*'Datos'!F12+G38*'Datos'!F13+H38*'Datos'!F14+I38*'Datos'!F15</x:f>
        <x:v>0.010725060232282953</x:v>
      </x:c>
      <x:c r="G48" s="35" t="n">
        <x:f>B38*'Datos'!G8+C38*'Datos'!G9+D38*'Datos'!G10+E38*'Datos'!G11+F38*'Datos'!G12+G38*'Datos'!G13+H38*'Datos'!G14+I38*'Datos'!G15</x:f>
        <x:v>0.001995758696121313</x:v>
      </x:c>
      <x:c r="H48" s="35" t="n">
        <x:f>B38*'Datos'!H8+C38*'Datos'!H9+D38*'Datos'!H10+E38*'Datos'!H11+F38*'Datos'!H12+G38*'Datos'!H13+H38*'Datos'!H14+I38*'Datos'!H15</x:f>
        <x:v>0.000344879945939563</x:v>
      </x:c>
      <x:c r="I48" s="35" t="n">
        <x:f>B38*'Datos'!I8+C38*'Datos'!I9+D38*'Datos'!I10+E38*'Datos'!I11+F38*'Datos'!I12+G38*'Datos'!I13+H38*'Datos'!I14+I38*'Datos'!I15</x:f>
        <x:v>0.00000998902234744546</x:v>
      </x:c>
      <x:c r="J48" s="34" t="n">
        <x:f>SUM(B48:I48)</x:f>
        <x:v>1</x:v>
      </x:c>
    </x:row>
    <x:row r="49" ht="22" customHeight="1">
      <x:c r="A49" s="31" t="str">
        <x:f>'Datos'!A9</x:f>
        <x:v>Aa</x:v>
      </x:c>
      <x:c r="B49" s="35" t="n">
        <x:f>B39*'Datos'!B8+C39*'Datos'!B9+D39*'Datos'!B10+E39*'Datos'!B11+F39*'Datos'!B12+G39*'Datos'!B13+H39*'Datos'!B14+I39*'Datos'!B15</x:f>
        <x:v>0.5229173471277301</x:v>
      </x:c>
      <x:c r="C49" s="35" t="n">
        <x:f>B39*'Datos'!C8+C39*'Datos'!C9+D39*'Datos'!C10+E39*'Datos'!C11+F39*'Datos'!C12+G39*'Datos'!C13+H39*'Datos'!C14+I39*'Datos'!C15</x:f>
        <x:v>0.27032090500609435</x:v>
      </x:c>
      <x:c r="D49" s="35" t="n">
        <x:f>B39*'Datos'!D8+C39*'Datos'!D9+D39*'Datos'!D10+E39*'Datos'!D11+F39*'Datos'!D12+G39*'Datos'!D13+H39*'Datos'!D14+I39*'Datos'!D15</x:f>
        <x:v>0.12801082958902169</x:v>
      </x:c>
      <x:c r="E49" s="35" t="n">
        <x:f>B39*'Datos'!E8+C39*'Datos'!E9+D39*'Datos'!E10+E39*'Datos'!E11+F39*'Datos'!E12+G39*'Datos'!E13+H39*'Datos'!E14+I39*'Datos'!E15</x:f>
        <x:v>0.05035396465201744</x:v>
      </x:c>
      <x:c r="F49" s="35" t="n">
        <x:f>B39*'Datos'!F8+C39*'Datos'!F9+D39*'Datos'!F10+E39*'Datos'!F11+F39*'Datos'!F12+G39*'Datos'!F13+H39*'Datos'!F14+I39*'Datos'!F15</x:f>
        <x:v>0.021643978423603126</x:v>
      </x:c>
      <x:c r="G49" s="35" t="n">
        <x:f>B39*'Datos'!G8+C39*'Datos'!G9+D39*'Datos'!G10+E39*'Datos'!G11+F39*'Datos'!G12+G39*'Datos'!G13+H39*'Datos'!G14+I39*'Datos'!G15</x:f>
        <x:v>0.005188404778845215</x:v>
      </x:c>
      <x:c r="H49" s="35" t="n">
        <x:f>B39*'Datos'!H8+C39*'Datos'!H9+D39*'Datos'!H10+E39*'Datos'!H11+F39*'Datos'!H12+G39*'Datos'!H13+H39*'Datos'!H14+I39*'Datos'!H15</x:f>
        <x:v>0.0014507711098286742</x:v>
      </x:c>
      <x:c r="I49" s="35" t="n">
        <x:f>B39*'Datos'!I8+C39*'Datos'!I9+D39*'Datos'!I10+E39*'Datos'!I11+F39*'Datos'!I12+G39*'Datos'!I13+H39*'Datos'!I14+I39*'Datos'!I15</x:f>
        <x:v>0.0001137993128592469</x:v>
      </x:c>
      <x:c r="J49" s="34" t="n">
        <x:f>SUM(B49:I49)</x:f>
        <x:v>0.9999999999999998</x:v>
      </x:c>
    </x:row>
    <x:row r="50" ht="22" customHeight="1">
      <x:c r="A50" s="31" t="str">
        <x:f>'Datos'!A10</x:f>
        <x:v>A</x:v>
      </x:c>
      <x:c r="B50" s="35" t="n">
        <x:f>B40*'Datos'!B8+C40*'Datos'!B9+D40*'Datos'!B10+E40*'Datos'!B11+F40*'Datos'!B12+G40*'Datos'!B13+H40*'Datos'!B14+I40*'Datos'!B15</x:f>
        <x:v>0.18742179152049135</x:v>
      </x:c>
      <x:c r="C50" s="35" t="n">
        <x:f>B40*'Datos'!C8+C40*'Datos'!C9+D40*'Datos'!C10+E40*'Datos'!C11+F40*'Datos'!C12+G40*'Datos'!C13+H40*'Datos'!C14+I40*'Datos'!C15</x:f>
        <x:v>0.19665570878190997</x:v>
      </x:c>
      <x:c r="D50" s="35" t="n">
        <x:f>B40*'Datos'!D8+C40*'Datos'!D9+D40*'Datos'!D10+E40*'Datos'!D11+F40*'Datos'!D12+G40*'Datos'!D13+H40*'Datos'!D14+I40*'Datos'!D15</x:f>
        <x:v>0.2706344012077264</x:v>
      </x:c>
      <x:c r="E50" s="35" t="n">
        <x:f>B40*'Datos'!E8+C40*'Datos'!E9+D40*'Datos'!E10+E40*'Datos'!E11+F40*'Datos'!E12+G40*'Datos'!E13+H40*'Datos'!E14+I40*'Datos'!E15</x:f>
        <x:v>0.15495520082176228</x:v>
      </x:c>
      <x:c r="F50" s="35" t="n">
        <x:f>B40*'Datos'!F8+C40*'Datos'!F9+D40*'Datos'!F10+E40*'Datos'!F11+F40*'Datos'!F12+G40*'Datos'!F13+H40*'Datos'!F14+I40*'Datos'!F15</x:f>
        <x:v>0.12474818060140162</x:v>
      </x:c>
      <x:c r="G50" s="35" t="n">
        <x:f>B40*'Datos'!G8+C40*'Datos'!G9+D40*'Datos'!G10+E40*'Datos'!G11+F40*'Datos'!G12+G40*'Datos'!G13+H40*'Datos'!G14+I40*'Datos'!G15</x:f>
        <x:v>0.043146283663645035</x:v>
      </x:c>
      <x:c r="H50" s="35" t="n">
        <x:f>B40*'Datos'!H8+C40*'Datos'!H9+D40*'Datos'!H10+E40*'Datos'!H11+F40*'Datos'!H12+G40*'Datos'!H13+H40*'Datos'!H14+I40*'Datos'!H15</x:f>
        <x:v>0.019667469840248187</x:v>
      </x:c>
      <x:c r="I50" s="35" t="n">
        <x:f>B40*'Datos'!I8+C40*'Datos'!I9+D40*'Datos'!I10+E40*'Datos'!I11+F40*'Datos'!I12+G40*'Datos'!I13+H40*'Datos'!I14+I40*'Datos'!I15</x:f>
        <x:v>0.002770963562815445</x:v>
      </x:c>
      <x:c r="J50" s="34" t="n">
        <x:f>SUM(B50:I50)</x:f>
        <x:v>1.0000000000000002</x:v>
      </x:c>
    </x:row>
    <x:row r="51" ht="22" customHeight="1">
      <x:c r="A51" s="31" t="str">
        <x:f>'Datos'!A11</x:f>
        <x:v>Baa</x:v>
      </x:c>
      <x:c r="B51" s="35" t="n">
        <x:f>B41*'Datos'!B8+C41*'Datos'!B9+D41*'Datos'!B10+E41*'Datos'!B11+F41*'Datos'!B12+G41*'Datos'!B13+H41*'Datos'!B14+I41*'Datos'!B15</x:f>
        <x:v>0.07323354056843605</x:v>
      </x:c>
      <x:c r="C51" s="35" t="n">
        <x:f>B41*'Datos'!C8+C41*'Datos'!C9+D41*'Datos'!C10+E41*'Datos'!C11+F41*'Datos'!C12+G41*'Datos'!C13+H41*'Datos'!C14+I41*'Datos'!C15</x:f>
        <x:v>0.12314463763544646</x:v>
      </x:c>
      <x:c r="D51" s="35" t="n">
        <x:f>B41*'Datos'!D8+C41*'Datos'!D9+D41*'Datos'!D10+E41*'Datos'!D11+F41*'Datos'!D12+G41*'Datos'!D13+H41*'Datos'!D14+I41*'Datos'!D15</x:f>
        <x:v>0.24453483983202046</x:v>
      </x:c>
      <x:c r="E51" s="35" t="n">
        <x:f>B41*'Datos'!E8+C41*'Datos'!E9+D41*'Datos'!E10+E41*'Datos'!E11+F41*'Datos'!E12+G41*'Datos'!E13+H41*'Datos'!E14+I41*'Datos'!E15</x:f>
        <x:v>0.15856860095215872</x:v>
      </x:c>
      <x:c r="F51" s="35" t="n">
        <x:f>B41*'Datos'!F8+C41*'Datos'!F9+D41*'Datos'!F10+E41*'Datos'!F11+F41*'Datos'!F12+G41*'Datos'!F13+H41*'Datos'!F14+I41*'Datos'!F15</x:f>
        <x:v>0.20342011298916296</x:v>
      </x:c>
      <x:c r="G51" s="35" t="n">
        <x:f>B41*'Datos'!G8+C41*'Datos'!G9+D41*'Datos'!G10+E41*'Datos'!G11+F41*'Datos'!G12+G41*'Datos'!G13+H41*'Datos'!G14+I41*'Datos'!G15</x:f>
        <x:v>0.09804166610009579</x:v>
      </x:c>
      <x:c r="H51" s="35" t="n">
        <x:f>B41*'Datos'!H8+C41*'Datos'!H9+D41*'Datos'!H10+E41*'Datos'!H11+F41*'Datos'!H12+G41*'Datos'!H13+H41*'Datos'!H14+I41*'Datos'!H15</x:f>
        <x:v>0.07510569306980619</x:v>
      </x:c>
      <x:c r="I51" s="35" t="n">
        <x:f>B41*'Datos'!I8+C41*'Datos'!I9+D41*'Datos'!I10+E41*'Datos'!I11+F41*'Datos'!I12+G41*'Datos'!I13+H41*'Datos'!I14+I41*'Datos'!I15</x:f>
        <x:v>0.023950908852873445</x:v>
      </x:c>
      <x:c r="J51" s="34" t="n">
        <x:f>SUM(B51:I51)</x:f>
        <x:v>1.0000000000000002</x:v>
      </x:c>
    </x:row>
    <x:row r="52" ht="22" customHeight="1">
      <x:c r="A52" s="31" t="str">
        <x:f>'Datos'!A12</x:f>
        <x:v>Ba</x:v>
      </x:c>
      <x:c r="B52" s="35" t="n">
        <x:f>B42*'Datos'!B8+C42*'Datos'!B9+D42*'Datos'!B10+E42*'Datos'!B11+F42*'Datos'!B12+G42*'Datos'!B13+H42*'Datos'!B14+I42*'Datos'!B15</x:f>
        <x:v>0.007303713236607017</x:v>
      </x:c>
      <x:c r="C52" s="35" t="n">
        <x:f>B42*'Datos'!C8+C42*'Datos'!C9+D42*'Datos'!C10+E42*'Datos'!C11+F42*'Datos'!C12+G42*'Datos'!C13+H42*'Datos'!C14+I42*'Datos'!C15</x:f>
        <x:v>0.02183785605914469</x:v>
      </x:c>
      <x:c r="D52" s="35" t="n">
        <x:f>B42*'Datos'!D8+C42*'Datos'!D9+D42*'Datos'!D10+E42*'Datos'!D11+F42*'Datos'!D12+G42*'Datos'!D13+H42*'Datos'!D14+I42*'Datos'!D15</x:f>
        <x:v>0.08284280562467934</x:v>
      </x:c>
      <x:c r="E52" s="35" t="n">
        <x:f>B42*'Datos'!E8+C42*'Datos'!E9+D42*'Datos'!E10+E42*'Datos'!E11+F42*'Datos'!E12+G42*'Datos'!E13+H42*'Datos'!E14+I42*'Datos'!E15</x:f>
        <x:v>0.08539433537224302</x:v>
      </x:c>
      <x:c r="F52" s="35" t="n">
        <x:f>B42*'Datos'!F8+C42*'Datos'!F9+D42*'Datos'!F10+E42*'Datos'!F11+F42*'Datos'!F12+G42*'Datos'!F13+H42*'Datos'!F14+I42*'Datos'!F15</x:f>
        <x:v>0.26610480994324187</x:v>
      </x:c>
      <x:c r="G52" s="35" t="n">
        <x:f>B42*'Datos'!G8+C42*'Datos'!G9+D42*'Datos'!G10+E42*'Datos'!G11+F42*'Datos'!G12+G42*'Datos'!G13+H42*'Datos'!G14+I42*'Datos'!G15</x:f>
        <x:v>0.18672795251263619</x:v>
      </x:c>
      <x:c r="H52" s="35" t="n">
        <x:f>B42*'Datos'!H8+C42*'Datos'!H9+D42*'Datos'!H10+E42*'Datos'!H11+F42*'Datos'!H12+G42*'Datos'!H13+H42*'Datos'!H14+I42*'Datos'!H15</x:f>
        <x:v>0.21913384855219298</x:v>
      </x:c>
      <x:c r="I52" s="35" t="n">
        <x:f>B42*'Datos'!I8+C42*'Datos'!I9+D42*'Datos'!I10+E42*'Datos'!I11+F42*'Datos'!I12+G42*'Datos'!I13+H42*'Datos'!I14+I42*'Datos'!I15</x:f>
        <x:v>0.1306546786992547</x:v>
      </x:c>
      <x:c r="J52" s="34" t="n">
        <x:f>SUM(B52:I52)</x:f>
        <x:v>0.9999999999999999</x:v>
      </x:c>
    </x:row>
    <x:row r="53" ht="22" customHeight="1">
      <x:c r="A53" s="31" t="str">
        <x:f>'Datos'!A13</x:f>
        <x:v>B</x:v>
      </x:c>
      <x:c r="B53" s="35" t="n">
        <x:f>B43*'Datos'!B8+C43*'Datos'!B9+D43*'Datos'!B10+E43*'Datos'!B11+F43*'Datos'!B12+G43*'Datos'!B13+H43*'Datos'!B14+I43*'Datos'!B15</x:f>
        <x:v>0.0011088578170603883</x:v>
      </x:c>
      <x:c r="C53" s="35" t="n">
        <x:f>B43*'Datos'!C8+C43*'Datos'!C9+D43*'Datos'!C10+E43*'Datos'!C11+F43*'Datos'!C12+G43*'Datos'!C13+H43*'Datos'!C14+I43*'Datos'!C15</x:f>
        <x:v>0.004302526206815695</x:v>
      </x:c>
      <x:c r="D53" s="35" t="n">
        <x:f>B43*'Datos'!D8+C43*'Datos'!D9+D43*'Datos'!D10+E43*'Datos'!D11+F43*'Datos'!D12+G43*'Datos'!D13+H43*'Datos'!D14+I43*'Datos'!D15</x:f>
        <x:v>0.02059275904574272</x:v>
      </x:c>
      <x:c r="E53" s="35" t="n">
        <x:f>B43*'Datos'!E8+C43*'Datos'!E9+D43*'Datos'!E10+E43*'Datos'!E11+F43*'Datos'!E12+G43*'Datos'!E13+H43*'Datos'!E14+I43*'Datos'!E15</x:f>
        <x:v>0.025936737350181434</x:v>
      </x:c>
      <x:c r="F53" s="35" t="n">
        <x:f>B43*'Datos'!F8+C43*'Datos'!F9+D43*'Datos'!F10+E43*'Datos'!F11+F43*'Datos'!F12+G43*'Datos'!F13+H43*'Datos'!F14+I43*'Datos'!F15</x:f>
        <x:v>0.09787035038821032</x:v>
      </x:c>
      <x:c r="G53" s="35" t="n">
        <x:f>B43*'Datos'!G8+C43*'Datos'!G9+D43*'Datos'!G10+E43*'Datos'!G11+F43*'Datos'!G12+G43*'Datos'!G13+H43*'Datos'!G14+I43*'Datos'!G15</x:f>
        <x:v>0.1248927531598763</x:v>
      </x:c>
      <x:c r="H53" s="35" t="n">
        <x:f>B43*'Datos'!H8+C43*'Datos'!H9+D43*'Datos'!H10+E43*'Datos'!H11+F43*'Datos'!H12+G43*'Datos'!H13+H43*'Datos'!H14+I43*'Datos'!H15</x:f>
        <x:v>0.2575892266436874</x:v>
      </x:c>
      <x:c r="I53" s="35" t="n">
        <x:f>B43*'Datos'!I8+C43*'Datos'!I9+D43*'Datos'!I10+E43*'Datos'!I11+F43*'Datos'!I12+G43*'Datos'!I13+H43*'Datos'!I14+I43*'Datos'!I15</x:f>
        <x:v>0.4677067893884257</x:v>
      </x:c>
      <x:c r="J53" s="34" t="n">
        <x:f>SUM(B53:I53)</x:f>
        <x:v>1</x:v>
      </x:c>
    </x:row>
    <x:row r="54" ht="22" customHeight="1">
      <x:c r="A54" s="31" t="str">
        <x:f>'Datos'!A14</x:f>
        <x:v>Caa-C</x:v>
      </x:c>
      <x:c r="B54" s="35" t="n">
        <x:f>B44*'Datos'!B8+C44*'Datos'!B9+D44*'Datos'!B10+E44*'Datos'!B11+F44*'Datos'!B12+G44*'Datos'!B13+H44*'Datos'!B14+I44*'Datos'!B15</x:f>
        <x:v>0.00004561876485815879</x:v>
      </x:c>
      <x:c r="C54" s="35" t="n">
        <x:f>B44*'Datos'!C8+C44*'Datos'!C9+D44*'Datos'!C10+E44*'Datos'!C11+F44*'Datos'!C12+G44*'Datos'!C13+H44*'Datos'!C14+I44*'Datos'!C15</x:f>
        <x:v>0.00035000087017465</x:v>
      </x:c>
      <x:c r="D54" s="35" t="n">
        <x:f>B44*'Datos'!D8+C44*'Datos'!D9+D44*'Datos'!D10+E44*'Datos'!D11+F44*'Datos'!D12+G44*'Datos'!D13+H44*'Datos'!D14+I44*'Datos'!D15</x:f>
        <x:v>0.003185847526751287</x:v>
      </x:c>
      <x:c r="E54" s="35" t="n">
        <x:f>B44*'Datos'!E8+C44*'Datos'!E9+D44*'Datos'!E10+E44*'Datos'!E11+F44*'Datos'!E12+G44*'Datos'!E13+H44*'Datos'!E14+I44*'Datos'!E15</x:f>
        <x:v>0.0062049017001873435</x:v>
      </x:c>
      <x:c r="F54" s="35" t="n">
        <x:f>B44*'Datos'!F8+C44*'Datos'!F9+D44*'Datos'!F10+E44*'Datos'!F11+F44*'Datos'!F12+G44*'Datos'!F13+H44*'Datos'!F14+I44*'Datos'!F15</x:f>
        <x:v>0.030265482396436</x:v>
      </x:c>
      <x:c r="G54" s="35" t="n">
        <x:f>B44*'Datos'!G8+C44*'Datos'!G9+D44*'Datos'!G10+E44*'Datos'!G11+F44*'Datos'!G12+G44*'Datos'!G13+H44*'Datos'!G14+I44*'Datos'!G15</x:f>
        <x:v>0.06317692093774795</x:v>
      </x:c>
      <x:c r="H54" s="35" t="n">
        <x:f>B44*'Datos'!H8+C44*'Datos'!H9+D44*'Datos'!H10+E44*'Datos'!H11+F44*'Datos'!H12+G44*'Datos'!H13+H44*'Datos'!H14+I44*'Datos'!H15</x:f>
        <x:v>0.15859534773511488</x:v>
      </x:c>
      <x:c r="I54" s="35" t="n">
        <x:f>B44*'Datos'!I8+C44*'Datos'!I9+D44*'Datos'!I10+E44*'Datos'!I11+F44*'Datos'!I12+G44*'Datos'!I13+H44*'Datos'!I14+I44*'Datos'!I15</x:f>
        <x:v>0.7381758800687297</x:v>
      </x:c>
      <x:c r="J54" s="34" t="n">
        <x:f>SUM(B54:I54)</x:f>
        <x:v>1</x:v>
      </x:c>
    </x:row>
    <x:row r="55" ht="22" customHeight="1">
      <x:c r="A55" s="31" t="str">
        <x:f>'Datos'!A15</x:f>
        <x:v>Default</x:v>
      </x:c>
      <x:c r="B55" s="35" t="n">
        <x:f>B45*'Datos'!B8+C45*'Datos'!B9+D45*'Datos'!B10+E45*'Datos'!B11+F45*'Datos'!B12+G45*'Datos'!B13+H45*'Datos'!B14+I45*'Datos'!B15</x:f>
        <x:v>0</x:v>
      </x:c>
      <x:c r="C55" s="35" t="n">
        <x:f>B45*'Datos'!C8+C45*'Datos'!C9+D45*'Datos'!C10+E45*'Datos'!C11+F45*'Datos'!C12+G45*'Datos'!C13+H45*'Datos'!C14+I45*'Datos'!C15</x:f>
        <x:v>0</x:v>
      </x:c>
      <x:c r="D55" s="35" t="n">
        <x:f>B45*'Datos'!D8+C45*'Datos'!D9+D45*'Datos'!D10+E45*'Datos'!D11+F45*'Datos'!D12+G45*'Datos'!D13+H45*'Datos'!D14+I45*'Datos'!D15</x:f>
        <x:v>0</x:v>
      </x:c>
      <x:c r="E55" s="35" t="n">
        <x:f>B45*'Datos'!E8+C45*'Datos'!E9+D45*'Datos'!E10+E45*'Datos'!E11+F45*'Datos'!E12+G45*'Datos'!E13+H45*'Datos'!E14+I45*'Datos'!E15</x:f>
        <x:v>0</x:v>
      </x:c>
      <x:c r="F55" s="35" t="n">
        <x:f>B45*'Datos'!F8+C45*'Datos'!F9+D45*'Datos'!F10+E45*'Datos'!F11+F45*'Datos'!F12+G45*'Datos'!F13+H45*'Datos'!F14+I45*'Datos'!F15</x:f>
        <x:v>0</x:v>
      </x:c>
      <x:c r="G55" s="35" t="n">
        <x:f>B45*'Datos'!G8+C45*'Datos'!G9+D45*'Datos'!G10+E45*'Datos'!G11+F45*'Datos'!G12+G45*'Datos'!G13+H45*'Datos'!G14+I45*'Datos'!G15</x:f>
        <x:v>0</x:v>
      </x:c>
      <x:c r="H55" s="35" t="n">
        <x:f>B45*'Datos'!H8+C45*'Datos'!H9+D45*'Datos'!H10+E45*'Datos'!H11+F45*'Datos'!H12+G45*'Datos'!H13+H45*'Datos'!H14+I45*'Datos'!H15</x:f>
        <x:v>0</x:v>
      </x:c>
      <x:c r="I55" s="35" t="n">
        <x:f>B45*'Datos'!I8+C45*'Datos'!I9+D45*'Datos'!I10+E45*'Datos'!I11+F45*'Datos'!I12+G45*'Datos'!I13+H45*'Datos'!I14+I45*'Datos'!I15</x:f>
        <x:v>1</x:v>
      </x:c>
      <x:c r="J55" s="34" t="n">
        <x:f>SUM(B55:I55)</x:f>
        <x:v>1</x:v>
      </x:c>
    </x:row>
    <x:row r="56" ht="22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</x:row>
    <x:row r="57" ht="36" customHeight="1">
      <x:c r="A57" s="13" t="str">
        <x:v>P^5</x:v>
      </x:c>
      <x:c r="B57" s="13" t="str">
        <x:v>Aaa</x:v>
      </x:c>
      <x:c r="C57" s="13" t="str">
        <x:v>Aa</x:v>
      </x:c>
      <x:c r="D57" s="13" t="str">
        <x:v>A</x:v>
      </x:c>
      <x:c r="E57" s="13" t="str">
        <x:v>Baa</x:v>
      </x:c>
      <x:c r="F57" s="13" t="str">
        <x:v>Ba</x:v>
      </x:c>
      <x:c r="G57" s="13" t="str">
        <x:v>B</x:v>
      </x:c>
      <x:c r="H57" s="13" t="str">
        <x:v>Caa-C</x:v>
      </x:c>
      <x:c r="I57" s="13" t="str">
        <x:v>Default</x:v>
      </x:c>
      <x:c r="J57" s="13" t="str">
        <x:v>Suma</x:v>
      </x:c>
    </x:row>
    <x:row r="58" ht="22" customHeight="1">
      <x:c r="A58" s="31" t="str">
        <x:f>'Datos'!A8</x:f>
        <x:v>Aaa</x:v>
      </x:c>
      <x:c r="B58" s="35" t="n">
        <x:f>B48*'Datos'!B8+C48*'Datos'!B9+D48*'Datos'!B10+E48*'Datos'!B11+F48*'Datos'!B12+G48*'Datos'!B13+H48*'Datos'!B14+I48*'Datos'!B15</x:f>
        <x:v>0.5871185936039836</x:v>
      </x:c>
      <x:c r="C58" s="35" t="n">
        <x:f>B48*'Datos'!C8+C48*'Datos'!C9+D48*'Datos'!C10+E48*'Datos'!C11+F48*'Datos'!C12+G48*'Datos'!C13+H48*'Datos'!C14+I48*'Datos'!C15</x:f>
        <x:v>0.23662195534939703</x:v>
      </x:c>
      <x:c r="D58" s="35" t="n">
        <x:f>B48*'Datos'!D8+C48*'Datos'!D9+D48*'Datos'!D10+E48*'Datos'!D11+F48*'Datos'!D12+G48*'Datos'!D13+H48*'Datos'!D14+I48*'Datos'!D15</x:f>
        <x:v>0.11262201841432068</x:v>
      </x:c>
      <x:c r="E58" s="35" t="n">
        <x:f>B48*'Datos'!E8+C48*'Datos'!E9+D48*'Datos'!E10+E48*'Datos'!E11+F48*'Datos'!E12+G48*'Datos'!E13+H48*'Datos'!E14+I48*'Datos'!E15</x:f>
        <x:v>0.040924068218204296</x:v>
      </x:c>
      <x:c r="F58" s="35" t="n">
        <x:f>B48*'Datos'!F8+C48*'Datos'!F9+D48*'Datos'!F10+E48*'Datos'!F11+F48*'Datos'!F12+G48*'Datos'!F13+H48*'Datos'!F14+I48*'Datos'!F15</x:f>
        <x:v>0.017053671525643955</x:v>
      </x:c>
      <x:c r="G58" s="35" t="n">
        <x:f>B48*'Datos'!G8+C48*'Datos'!G9+D48*'Datos'!G10+E48*'Datos'!G11+F48*'Datos'!G12+G48*'Datos'!G13+H48*'Datos'!G14+I48*'Datos'!G15</x:f>
        <x:v>0.004185919980071813</x:v>
      </x:c>
      <x:c r="H58" s="35" t="n">
        <x:f>B48*'Datos'!H8+C48*'Datos'!H9+D48*'Datos'!H10+E48*'Datos'!H11+F48*'Datos'!H12+G48*'Datos'!H13+H48*'Datos'!H14+I48*'Datos'!H15</x:f>
        <x:v>0.0013275685425736185</x:v>
      </x:c>
      <x:c r="I58" s="35" t="n">
        <x:f>B48*'Datos'!I8+C48*'Datos'!I9+D48*'Datos'!I10+E48*'Datos'!I11+F48*'Datos'!I12+G48*'Datos'!I13+H48*'Datos'!I14+I48*'Datos'!I15</x:f>
        <x:v>0.0001462043658049989</x:v>
      </x:c>
      <x:c r="J58" s="34" t="n">
        <x:f>SUM(B58:I58)</x:f>
        <x:v>0.9999999999999999</x:v>
      </x:c>
    </x:row>
    <x:row r="59" ht="22" customHeight="1">
      <x:c r="A59" s="31" t="str">
        <x:f>'Datos'!A9</x:f>
        <x:v>Aa</x:v>
      </x:c>
      <x:c r="B59" s="35" t="n">
        <x:f>B49*'Datos'!B8+C49*'Datos'!B9+D49*'Datos'!B10+E49*'Datos'!B11+F49*'Datos'!B12+G49*'Datos'!B13+H49*'Datos'!B14+I49*'Datos'!B15</x:f>
        <x:v>0.521140968255873</x:v>
      </x:c>
      <x:c r="C59" s="35" t="n">
        <x:f>B49*'Datos'!C8+C49*'Datos'!C9+D49*'Datos'!C10+E49*'Datos'!C11+F49*'Datos'!C12+G49*'Datos'!C13+H49*'Datos'!C14+I49*'Datos'!C15</x:f>
        <x:v>0.2502463663708312</x:v>
      </x:c>
      <x:c r="D59" s="35" t="n">
        <x:f>B49*'Datos'!D8+C49*'Datos'!D9+D49*'Datos'!D10+E49*'Datos'!D11+F49*'Datos'!D12+G49*'Datos'!D13+H49*'Datos'!D14+I49*'Datos'!D15</x:f>
        <x:v>0.13229836735870426</x:v>
      </x:c>
      <x:c r="E59" s="35" t="n">
        <x:f>B49*'Datos'!E8+C49*'Datos'!E9+D49*'Datos'!E10+E49*'Datos'!E11+F49*'Datos'!E12+G49*'Datos'!E13+H49*'Datos'!E14+I49*'Datos'!E15</x:f>
        <x:v>0.05459264508670337</x:v>
      </x:c>
      <x:c r="F59" s="35" t="n">
        <x:f>B49*'Datos'!F8+C49*'Datos'!F9+D49*'Datos'!F10+E49*'Datos'!F11+F49*'Datos'!F12+G49*'Datos'!F13+H49*'Datos'!F14+I49*'Datos'!F15</x:f>
        <x:v>0.028869955529592012</x:v>
      </x:c>
      <x:c r="G59" s="35" t="n">
        <x:f>B49*'Datos'!G8+C49*'Datos'!G9+D49*'Datos'!G10+E49*'Datos'!G11+F49*'Datos'!G12+G49*'Datos'!G13+H49*'Datos'!G14+I49*'Datos'!G15</x:f>
        <x:v>0.008530652497945095</x:v>
      </x:c>
      <x:c r="H59" s="35" t="n">
        <x:f>B49*'Datos'!H8+C49*'Datos'!H9+D49*'Datos'!H10+E49*'Datos'!H11+F49*'Datos'!H12+G49*'Datos'!H13+H49*'Datos'!H14+I49*'Datos'!H15</x:f>
        <x:v>0.003657063577898036</x:v>
      </x:c>
      <x:c r="I59" s="35" t="n">
        <x:f>B49*'Datos'!I8+C49*'Datos'!I9+D49*'Datos'!I10+E49*'Datos'!I11+F49*'Datos'!I12+G49*'Datos'!I13+H49*'Datos'!I14+I49*'Datos'!I15</x:f>
        <x:v>0.0006639813224527685</x:v>
      </x:c>
      <x:c r="J59" s="34" t="n">
        <x:f>SUM(B59:I59)</x:f>
        <x:v>0.9999999999999998</x:v>
      </x:c>
    </x:row>
    <x:row r="60" ht="22" customHeight="1">
      <x:c r="A60" s="31" t="str">
        <x:f>'Datos'!A10</x:f>
        <x:v>A</x:v>
      </x:c>
      <x:c r="B60" s="35" t="n">
        <x:f>B50*'Datos'!B8+C50*'Datos'!B9+D50*'Datos'!B10+E50*'Datos'!B11+F50*'Datos'!B12+G50*'Datos'!B13+H50*'Datos'!B14+I50*'Datos'!B15</x:f>
        <x:v>0.22308468775806023</x:v>
      </x:c>
      <x:c r="C60" s="35" t="n">
        <x:f>B50*'Datos'!C8+C50*'Datos'!C9+D50*'Datos'!C10+E50*'Datos'!C11+F50*'Datos'!C12+G50*'Datos'!C13+H50*'Datos'!C14+I50*'Datos'!C15</x:f>
        <x:v>0.18900449314904463</x:v>
      </x:c>
      <x:c r="D60" s="35" t="n">
        <x:f>B50*'Datos'!D8+C50*'Datos'!D9+D50*'Datos'!D10+E50*'Datos'!D11+F50*'Datos'!D12+G50*'Datos'!D13+H50*'Datos'!D14+I50*'Datos'!D15</x:f>
        <x:v>0.2321908413097601</x:v>
      </x:c>
      <x:c r="E60" s="35" t="n">
        <x:f>B50*'Datos'!E8+C50*'Datos'!E9+D50*'Datos'!E10+E50*'Datos'!E11+F50*'Datos'!E12+G50*'Datos'!E13+H50*'Datos'!E14+I50*'Datos'!E15</x:f>
        <x:v>0.13371017486116057</x:v>
      </x:c>
      <x:c r="F60" s="35" t="n">
        <x:f>B50*'Datos'!F8+C50*'Datos'!F9+D50*'Datos'!F10+E50*'Datos'!F11+F50*'Datos'!F12+G50*'Datos'!F13+H50*'Datos'!F14+I50*'Datos'!F15</x:f>
        <x:v>0.12640220297761331</x:v>
      </x:c>
      <x:c r="G60" s="35" t="n">
        <x:f>B50*'Datos'!G8+C50*'Datos'!G9+D50*'Datos'!G10+E50*'Datos'!G11+F50*'Datos'!G12+G50*'Datos'!G13+H50*'Datos'!G14+I50*'Datos'!G15</x:f>
        <x:v>0.05193427334591606</x:v>
      </x:c>
      <x:c r="H60" s="35" t="n">
        <x:f>B50*'Datos'!H8+C50*'Datos'!H9+D50*'Datos'!H10+E50*'Datos'!H11+F50*'Datos'!H12+G50*'Datos'!H13+H50*'Datos'!H14+I50*'Datos'!H15</x:f>
        <x:v>0.0336334496667085</x:v>
      </x:c>
      <x:c r="I60" s="35" t="n">
        <x:f>B50*'Datos'!I8+C50*'Datos'!I9+D50*'Datos'!I10+E50*'Datos'!I11+F50*'Datos'!I12+G50*'Datos'!I13+H50*'Datos'!I14+I50*'Datos'!I15</x:f>
        <x:v>0.010039876931736986</x:v>
      </x:c>
      <x:c r="J60" s="34" t="n">
        <x:f>SUM(B60:I60)</x:f>
        <x:v>1.0000000000000002</x:v>
      </x:c>
    </x:row>
    <x:row r="61" ht="22" customHeight="1">
      <x:c r="A61" s="31" t="str">
        <x:f>'Datos'!A11</x:f>
        <x:v>Baa</x:v>
      </x:c>
      <x:c r="B61" s="35" t="n">
        <x:f>B51*'Datos'!B8+C51*'Datos'!B9+D51*'Datos'!B10+E51*'Datos'!B11+F51*'Datos'!B12+G51*'Datos'!B13+H51*'Datos'!B14+I51*'Datos'!B15</x:f>
        <x:v>0.10459291166137497</x:v>
      </x:c>
      <x:c r="C61" s="35" t="n">
        <x:f>B51*'Datos'!C8+C51*'Datos'!C9+D51*'Datos'!C10+E51*'Datos'!C11+F51*'Datos'!C12+G51*'Datos'!C13+H51*'Datos'!C14+I51*'Datos'!C15</x:f>
        <x:v>0.12641410642294945</x:v>
      </x:c>
      <x:c r="D61" s="35" t="n">
        <x:f>B51*'Datos'!D8+C51*'Datos'!D9+D51*'Datos'!D10+E51*'Datos'!D11+F51*'Datos'!D12+G51*'Datos'!D13+H51*'Datos'!D14+I51*'Datos'!D15</x:f>
        <x:v>0.2101466806372036</x:v>
      </x:c>
      <x:c r="E61" s="35" t="n">
        <x:f>B51*'Datos'!E8+C51*'Datos'!E9+D51*'Datos'!E10+E51*'Datos'!E11+F51*'Datos'!E12+G51*'Datos'!E13+H51*'Datos'!E14+I51*'Datos'!E15</x:f>
        <x:v>0.13573580866788643</x:v>
      </x:c>
      <x:c r="F61" s="35" t="n">
        <x:f>B51*'Datos'!F8+C51*'Datos'!F9+D51*'Datos'!F10+E51*'Datos'!F11+F51*'Datos'!F12+G51*'Datos'!F13+H51*'Datos'!F14+I51*'Datos'!F15</x:f>
        <x:v>0.18334412787732074</x:v>
      </x:c>
      <x:c r="G61" s="35" t="n">
        <x:f>B51*'Datos'!G8+C51*'Datos'!G9+D51*'Datos'!G10+E51*'Datos'!G11+F51*'Datos'!G12+G51*'Datos'!G13+H51*'Datos'!G14+I51*'Datos'!G15</x:f>
        <x:v>0.09735026042727979</x:v>
      </x:c>
      <x:c r="H61" s="35" t="n">
        <x:f>B51*'Datos'!H8+C51*'Datos'!H9+D51*'Datos'!H10+E51*'Datos'!H11+F51*'Datos'!H12+G51*'Datos'!H13+H51*'Datos'!H14+I51*'Datos'!H15</x:f>
        <x:v>0.09115452541249036</x:v>
      </x:c>
      <x:c r="I61" s="35" t="n">
        <x:f>B51*'Datos'!I8+C51*'Datos'!I9+D51*'Datos'!I10+E51*'Datos'!I11+F51*'Datos'!I12+G51*'Datos'!I13+H51*'Datos'!I14+I51*'Datos'!I15</x:f>
        <x:v>0.05126157889349471</x:v>
      </x:c>
      <x:c r="J61" s="34" t="n">
        <x:f>SUM(B61:I61)</x:f>
        <x:v>1</x:v>
      </x:c>
    </x:row>
    <x:row r="62" ht="22" customHeight="1">
      <x:c r="A62" s="31" t="str">
        <x:f>'Datos'!A12</x:f>
        <x:v>Ba</x:v>
      </x:c>
      <x:c r="B62" s="35" t="n">
        <x:f>B52*'Datos'!B8+C52*'Datos'!B9+D52*'Datos'!B10+E52*'Datos'!B11+F52*'Datos'!B12+G52*'Datos'!B13+H52*'Datos'!B14+I52*'Datos'!B15</x:f>
        <x:v>0.01452781540571147</x:v>
      </x:c>
      <x:c r="C62" s="35" t="n">
        <x:f>B52*'Datos'!C8+C52*'Datos'!C9+D52*'Datos'!C10+E52*'Datos'!C11+F52*'Datos'!C12+G52*'Datos'!C13+H52*'Datos'!C14+I52*'Datos'!C15</x:f>
        <x:v>0.02924477023982121</x:v>
      </x:c>
      <x:c r="D62" s="35" t="n">
        <x:f>B52*'Datos'!D8+C52*'Datos'!D9+D52*'Datos'!D10+E52*'Datos'!D11+F52*'Datos'!D12+G52*'Datos'!D13+H52*'Datos'!D14+I52*'Datos'!D15</x:f>
        <x:v>0.08424677127380975</x:v>
      </x:c>
      <x:c r="E62" s="35" t="n">
        <x:f>B52*'Datos'!E8+C52*'Datos'!E9+D52*'Datos'!E10+E52*'Datos'!E11+F52*'Datos'!E12+G52*'Datos'!E13+H52*'Datos'!E14+I52*'Datos'!E15</x:f>
        <x:v>0.07753750571157048</x:v>
      </x:c>
      <x:c r="F62" s="35" t="n">
        <x:f>B52*'Datos'!F8+C52*'Datos'!F9+D52*'Datos'!F10+E52*'Datos'!F11+F52*'Datos'!F12+G52*'Datos'!F13+H52*'Datos'!F14+I52*'Datos'!F15</x:f>
        <x:v>0.21373138745822937</x:v>
      </x:c>
      <x:c r="G62" s="35" t="n">
        <x:f>B52*'Datos'!G8+C52*'Datos'!G9+D52*'Datos'!G10+E52*'Datos'!G11+F52*'Datos'!G12+G52*'Datos'!G13+H52*'Datos'!G14+I52*'Datos'!G15</x:f>
        <x:v>0.15955010510477158</x:v>
      </x:c>
      <x:c r="H62" s="35" t="n">
        <x:f>B52*'Datos'!H8+C52*'Datos'!H9+D52*'Datos'!H10+E52*'Datos'!H11+F52*'Datos'!H12+G52*'Datos'!H13+H52*'Datos'!H14+I52*'Datos'!H15</x:f>
        <x:v>0.21147991407463934</x:v>
      </x:c>
      <x:c r="I62" s="35" t="n">
        <x:f>B52*'Datos'!I8+C52*'Datos'!I9+D52*'Datos'!I10+E52*'Datos'!I11+F52*'Datos'!I12+G52*'Datos'!I13+H52*'Datos'!I14+I52*'Datos'!I15</x:f>
        <x:v>0.20968173073144664</x:v>
      </x:c>
      <x:c r="J62" s="34" t="n">
        <x:f>SUM(B62:I62)</x:f>
        <x:v>0.9999999999999998</x:v>
      </x:c>
    </x:row>
    <x:row r="63" ht="22" customHeight="1">
      <x:c r="A63" s="31" t="str">
        <x:f>'Datos'!A13</x:f>
        <x:v>B</x:v>
      </x:c>
      <x:c r="B63" s="35" t="n">
        <x:f>B53*'Datos'!B8+C53*'Datos'!B9+D53*'Datos'!B10+E53*'Datos'!B11+F53*'Datos'!B12+G53*'Datos'!B13+H53*'Datos'!B14+I53*'Datos'!B15</x:f>
        <x:v>0.0026620847105969596</x:v>
      </x:c>
      <x:c r="C63" s="35" t="n">
        <x:f>B53*'Datos'!C8+C53*'Datos'!C9+D53*'Datos'!C10+E53*'Datos'!C11+F53*'Datos'!C12+G53*'Datos'!C13+H53*'Datos'!C14+I53*'Datos'!C15</x:f>
        <x:v>0.006567653278323284</x:v>
      </x:c>
      <x:c r="D63" s="35" t="n">
        <x:f>B53*'Datos'!D8+C53*'Datos'!D9+D53*'Datos'!D10+E53*'Datos'!D11+F53*'Datos'!D12+G53*'Datos'!D13+H53*'Datos'!D14+I53*'Datos'!D15</x:f>
        <x:v>0.023152026070244632</x:v>
      </x:c>
      <x:c r="E63" s="35" t="n">
        <x:f>B53*'Datos'!E8+C53*'Datos'!E9+D53*'Datos'!E10+E53*'Datos'!E11+F53*'Datos'!E12+G53*'Datos'!E13+H53*'Datos'!E14+I53*'Datos'!E15</x:f>
        <x:v>0.025250738182610578</x:v>
      </x:c>
      <x:c r="F63" s="35" t="n">
        <x:f>B53*'Datos'!F8+C53*'Datos'!F9+D53*'Datos'!F10+E53*'Datos'!F11+F53*'Datos'!F12+G53*'Datos'!F13+H53*'Datos'!F14+I53*'Datos'!F15</x:f>
        <x:v>0.08478052507833472</x:v>
      </x:c>
      <x:c r="G63" s="35" t="n">
        <x:f>B53*'Datos'!G8+C53*'Datos'!G9+D53*'Datos'!G10+E53*'Datos'!G11+F53*'Datos'!G12+G53*'Datos'!G13+H53*'Datos'!G14+I53*'Datos'!G15</x:f>
        <x:v>0.09964244398982795</x:v>
      </x:c>
      <x:c r="H63" s="35" t="n">
        <x:f>B53*'Datos'!H8+C53*'Datos'!H9+D53*'Datos'!H10+E53*'Datos'!H11+F53*'Datos'!H12+G53*'Datos'!H13+H53*'Datos'!H14+I53*'Datos'!H15</x:f>
        <x:v>0.19795559540277471</x:v>
      </x:c>
      <x:c r="I63" s="35" t="n">
        <x:f>B53*'Datos'!I8+C53*'Datos'!I9+D53*'Datos'!I10+E53*'Datos'!I11+F53*'Datos'!I12+G53*'Datos'!I13+H53*'Datos'!I14+I53*'Datos'!I15</x:f>
        <x:v>0.559988933287287</x:v>
      </x:c>
      <x:c r="J63" s="34" t="n">
        <x:f>SUM(B63:I63)</x:f>
        <x:v>0.9999999999999999</x:v>
      </x:c>
    </x:row>
    <x:row r="64" ht="22" customHeight="1">
      <x:c r="A64" s="31" t="str">
        <x:f>'Datos'!A14</x:f>
        <x:v>Caa-C</x:v>
      </x:c>
      <x:c r="B64" s="35" t="n">
        <x:f>B54*'Datos'!B8+C54*'Datos'!B9+D54*'Datos'!B10+E54*'Datos'!B11+F54*'Datos'!B12+G54*'Datos'!B13+H54*'Datos'!B14+I54*'Datos'!B15</x:f>
        <x:v>0.00020525816232858088</x:v>
      </x:c>
      <x:c r="C64" s="35" t="n">
        <x:f>B54*'Datos'!C8+C54*'Datos'!C9+D54*'Datos'!C10+E54*'Datos'!C11+F54*'Datos'!C12+G54*'Datos'!C13+H54*'Datos'!C14+I54*'Datos'!C15</x:f>
        <x:v>0.0008376664254487103</x:v>
      </x:c>
      <x:c r="D64" s="35" t="n">
        <x:f>B54*'Datos'!D8+C54*'Datos'!D9+D54*'Datos'!D10+E54*'Datos'!D11+F54*'Datos'!D12+G54*'Datos'!D13+H54*'Datos'!D14+I54*'Datos'!D15</x:f>
        <x:v>0.0046422294279693304</x:v>
      </x:c>
      <x:c r="E64" s="35" t="n">
        <x:f>B54*'Datos'!E8+C54*'Datos'!E9+D54*'Datos'!E10+E54*'Datos'!E11+F54*'Datos'!E12+G54*'Datos'!E13+H54*'Datos'!E14+I54*'Datos'!E15</x:f>
        <x:v>0.006861095800887083</x:v>
      </x:c>
      <x:c r="F64" s="35" t="n">
        <x:f>B54*'Datos'!F8+C54*'Datos'!F9+D54*'Datos'!F10+E54*'Datos'!F11+F54*'Datos'!F12+G54*'Datos'!F13+H54*'Datos'!F14+I54*'Datos'!F15</x:f>
        <x:v>0.029082229126125493</x:v>
      </x:c>
      <x:c r="G64" s="35" t="n">
        <x:f>B54*'Datos'!G8+C54*'Datos'!G9+D54*'Datos'!G10+E54*'Datos'!G11+F54*'Datos'!G12+G54*'Datos'!G13+H54*'Datos'!G14+I54*'Datos'!G15</x:f>
        <x:v>0.048915353033971654</x:v>
      </x:c>
      <x:c r="H64" s="35" t="n">
        <x:f>B54*'Datos'!H8+C54*'Datos'!H9+D54*'Datos'!H10+E54*'Datos'!H11+F54*'Datos'!H12+G54*'Datos'!H13+H54*'Datos'!H14+I54*'Datos'!H15</x:f>
        <x:v>0.11455178511407788</x:v>
      </x:c>
      <x:c r="I64" s="35" t="n">
        <x:f>B54*'Datos'!I8+C54*'Datos'!I9+D54*'Datos'!I10+E54*'Datos'!I11+F54*'Datos'!I12+G54*'Datos'!I13+H54*'Datos'!I14+I54*'Datos'!I15</x:f>
        <x:v>0.7949043829091912</x:v>
      </x:c>
      <x:c r="J64" s="34" t="n">
        <x:f>SUM(B64:I64)</x:f>
        <x:v>0.9999999999999999</x:v>
      </x:c>
    </x:row>
    <x:row r="65" ht="22" customHeight="1">
      <x:c r="A65" s="31" t="str">
        <x:f>'Datos'!A15</x:f>
        <x:v>Default</x:v>
      </x:c>
      <x:c r="B65" s="35" t="n">
        <x:f>B55*'Datos'!B8+C55*'Datos'!B9+D55*'Datos'!B10+E55*'Datos'!B11+F55*'Datos'!B12+G55*'Datos'!B13+H55*'Datos'!B14+I55*'Datos'!B15</x:f>
        <x:v>0</x:v>
      </x:c>
      <x:c r="C65" s="35" t="n">
        <x:f>B55*'Datos'!C8+C55*'Datos'!C9+D55*'Datos'!C10+E55*'Datos'!C11+F55*'Datos'!C12+G55*'Datos'!C13+H55*'Datos'!C14+I55*'Datos'!C15</x:f>
        <x:v>0</x:v>
      </x:c>
      <x:c r="D65" s="35" t="n">
        <x:f>B55*'Datos'!D8+C55*'Datos'!D9+D55*'Datos'!D10+E55*'Datos'!D11+F55*'Datos'!D12+G55*'Datos'!D13+H55*'Datos'!D14+I55*'Datos'!D15</x:f>
        <x:v>0</x:v>
      </x:c>
      <x:c r="E65" s="35" t="n">
        <x:f>B55*'Datos'!E8+C55*'Datos'!E9+D55*'Datos'!E10+E55*'Datos'!E11+F55*'Datos'!E12+G55*'Datos'!E13+H55*'Datos'!E14+I55*'Datos'!E15</x:f>
        <x:v>0</x:v>
      </x:c>
      <x:c r="F65" s="35" t="n">
        <x:f>B55*'Datos'!F8+C55*'Datos'!F9+D55*'Datos'!F10+E55*'Datos'!F11+F55*'Datos'!F12+G55*'Datos'!F13+H55*'Datos'!F14+I55*'Datos'!F15</x:f>
        <x:v>0</x:v>
      </x:c>
      <x:c r="G65" s="35" t="n">
        <x:f>B55*'Datos'!G8+C55*'Datos'!G9+D55*'Datos'!G10+E55*'Datos'!G11+F55*'Datos'!G12+G55*'Datos'!G13+H55*'Datos'!G14+I55*'Datos'!G15</x:f>
        <x:v>0</x:v>
      </x:c>
      <x:c r="H65" s="35" t="n">
        <x:f>B55*'Datos'!H8+C55*'Datos'!H9+D55*'Datos'!H10+E55*'Datos'!H11+F55*'Datos'!H12+G55*'Datos'!H13+H55*'Datos'!H14+I55*'Datos'!H15</x:f>
        <x:v>0</x:v>
      </x:c>
      <x:c r="I65" s="35" t="n">
        <x:f>B55*'Datos'!I8+C55*'Datos'!I9+D55*'Datos'!I10+E55*'Datos'!I11+F55*'Datos'!I12+G55*'Datos'!I13+H55*'Datos'!I14+I55*'Datos'!I15</x:f>
        <x:v>1</x:v>
      </x:c>
      <x:c r="J65" s="34" t="n">
        <x:f>SUM(B65:I65)</x:f>
        <x:v>1</x:v>
      </x:c>
    </x:row>
    <x:row r="66" ht="22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</x:row>
    <x:row r="67" ht="36" customHeight="1">
      <x:c r="A67" s="13" t="str">
        <x:v>P^6</x:v>
      </x:c>
      <x:c r="B67" s="13" t="str">
        <x:v>Aaa</x:v>
      </x:c>
      <x:c r="C67" s="13" t="str">
        <x:v>Aa</x:v>
      </x:c>
      <x:c r="D67" s="13" t="str">
        <x:v>A</x:v>
      </x:c>
      <x:c r="E67" s="13" t="str">
        <x:v>Baa</x:v>
      </x:c>
      <x:c r="F67" s="13" t="str">
        <x:v>Ba</x:v>
      </x:c>
      <x:c r="G67" s="13" t="str">
        <x:v>B</x:v>
      </x:c>
      <x:c r="H67" s="13" t="str">
        <x:v>Caa-C</x:v>
      </x:c>
      <x:c r="I67" s="13" t="str">
        <x:v>Default</x:v>
      </x:c>
      <x:c r="J67" s="13" t="str">
        <x:v>Suma</x:v>
      </x:c>
    </x:row>
    <x:row r="68" ht="22" customHeight="1">
      <x:c r="A68" s="31" t="str">
        <x:f>'Datos'!A8</x:f>
        <x:v>Aaa</x:v>
      </x:c>
      <x:c r="B68" s="35" t="n">
        <x:f>B58*'Datos'!B8+C58*'Datos'!B9+D58*'Datos'!B10+E58*'Datos'!B11+F58*'Datos'!B12+G58*'Datos'!B13+H58*'Datos'!B14+I58*'Datos'!B15</x:f>
        <x:v>0.5627888162914741</x:v>
      </x:c>
      <x:c r="C68" s="35" t="n">
        <x:f>B58*'Datos'!C8+C58*'Datos'!C9+D58*'Datos'!C10+E58*'Datos'!C11+F58*'Datos'!C12+G58*'Datos'!C13+H58*'Datos'!C14+I58*'Datos'!C15</x:f>
        <x:v>0.23640042783753965</x:v>
      </x:c>
      <x:c r="D68" s="35" t="n">
        <x:f>B58*'Datos'!D8+C58*'Datos'!D9+D58*'Datos'!D10+E58*'Datos'!D11+F58*'Datos'!D12+G58*'Datos'!D13+H58*'Datos'!D14+I58*'Datos'!D15</x:f>
        <x:v>0.12033300203407542</x:v>
      </x:c>
      <x:c r="E68" s="35" t="n">
        <x:f>B58*'Datos'!E8+C58*'Datos'!E9+D58*'Datos'!E10+E58*'Datos'!E11+F58*'Datos'!E12+G58*'Datos'!E13+H58*'Datos'!E14+I58*'Datos'!E15</x:f>
        <x:v>0.04669851091749044</x:v>
      </x:c>
      <x:c r="F68" s="35" t="n">
        <x:f>B58*'Datos'!F8+C58*'Datos'!F9+D58*'Datos'!F10+E58*'Datos'!F11+F58*'Datos'!F12+G58*'Datos'!F13+H58*'Datos'!F14+I58*'Datos'!F15</x:f>
        <x:v>0.023298198688957182</x:v>
      </x:c>
      <x:c r="G68" s="35" t="n">
        <x:f>B58*'Datos'!G8+C58*'Datos'!G9+D58*'Datos'!G10+E58*'Datos'!G11+F58*'Datos'!G12+G58*'Datos'!G13+H58*'Datos'!G14+I58*'Datos'!G15</x:f>
        <x:v>0.006808542931326081</x:v>
      </x:c>
      <x:c r="H68" s="35" t="n">
        <x:f>B58*'Datos'!H8+C58*'Datos'!H9+D58*'Datos'!H10+E58*'Datos'!H11+F58*'Datos'!H12+G58*'Datos'!H13+H58*'Datos'!H14+I58*'Datos'!H15</x:f>
        <x:v>0.0030266642969726076</x:v>
      </x:c>
      <x:c r="I68" s="35" t="n">
        <x:f>B58*'Datos'!I8+C58*'Datos'!I9+D58*'Datos'!I10+E58*'Datos'!I11+F58*'Datos'!I12+G58*'Datos'!I13+H58*'Datos'!I14+I58*'Datos'!I15</x:f>
        <x:v>0.0006458370021644292</x:v>
      </x:c>
      <x:c r="J68" s="34" t="n">
        <x:f>SUM(B68:I68)</x:f>
        <x:v>1</x:v>
      </x:c>
    </x:row>
    <x:row r="69" ht="22" customHeight="1">
      <x:c r="A69" s="31" t="str">
        <x:f>'Datos'!A9</x:f>
        <x:v>Aa</x:v>
      </x:c>
      <x:c r="B69" s="35" t="n">
        <x:f>B59*'Datos'!B8+C59*'Datos'!B9+D59*'Datos'!B10+E59*'Datos'!B11+F59*'Datos'!B12+G59*'Datos'!B13+H59*'Datos'!B14+I59*'Datos'!B15</x:f>
        <x:v>0.5132020254422124</x:v>
      </x:c>
      <x:c r="C69" s="35" t="n">
        <x:f>B59*'Datos'!C8+C59*'Datos'!C9+D59*'Datos'!C10+E59*'Datos'!C11+F59*'Datos'!C12+G59*'Datos'!C13+H59*'Datos'!C14+I59*'Datos'!C15</x:f>
        <x:v>0.23914282985874277</x:v>
      </x:c>
      <x:c r="D69" s="35" t="n">
        <x:f>B59*'Datos'!D8+C59*'Datos'!D9+D59*'Datos'!D10+E59*'Datos'!D11+F59*'Datos'!D12+G59*'Datos'!D13+H59*'Datos'!D14+I59*'Datos'!D15</x:f>
        <x:v>0.13477180766203295</x:v>
      </x:c>
      <x:c r="E69" s="35" t="n">
        <x:f>B59*'Datos'!E8+C59*'Datos'!E9+D59*'Datos'!E10+E59*'Datos'!E11+F59*'Datos'!E12+G59*'Datos'!E13+H59*'Datos'!E14+I59*'Datos'!E15</x:f>
        <x:v>0.0574859710244954</x:v>
      </x:c>
      <x:c r="F69" s="35" t="n">
        <x:f>B59*'Datos'!F8+C59*'Datos'!F9+D59*'Datos'!F10+E59*'Datos'!F11+F59*'Datos'!F12+G59*'Datos'!F13+H59*'Datos'!F14+I59*'Datos'!F15</x:f>
        <x:v>0.0349428890838948</x:v>
      </x:c>
      <x:c r="G69" s="35" t="n">
        <x:f>B59*'Datos'!G8+C59*'Datos'!G9+D59*'Datos'!G10+E59*'Datos'!G11+F59*'Datos'!G12+G59*'Datos'!G13+H59*'Datos'!G14+I59*'Datos'!G15</x:f>
        <x:v>0.01185029666384109</x:v>
      </x:c>
      <x:c r="H69" s="35" t="n">
        <x:f>B59*'Datos'!H8+C59*'Datos'!H9+D59*'Datos'!H10+E59*'Datos'!H11+F59*'Datos'!H12+G59*'Datos'!H13+H59*'Datos'!H14+I59*'Datos'!H15</x:f>
        <x:v>0.0065847225349660345</x:v>
      </x:c>
      <x:c r="I69" s="35" t="n">
        <x:f>B59*'Datos'!I8+C59*'Datos'!I9+D59*'Datos'!I10+E59*'Datos'!I11+F59*'Datos'!I12+G59*'Datos'!I13+H59*'Datos'!I14+I59*'Datos'!I15</x:f>
        <x:v>0.002019457729814197</x:v>
      </x:c>
      <x:c r="J69" s="34" t="n">
        <x:f>SUM(B69:I69)</x:f>
        <x:v>0.9999999999999994</x:v>
      </x:c>
    </x:row>
    <x:row r="70" ht="22" customHeight="1">
      <x:c r="A70" s="31" t="str">
        <x:f>'Datos'!A10</x:f>
        <x:v>A</x:v>
      </x:c>
      <x:c r="B70" s="35" t="n">
        <x:f>B60*'Datos'!B8+C60*'Datos'!B9+D60*'Datos'!B10+E60*'Datos'!B11+F60*'Datos'!B12+G60*'Datos'!B13+H60*'Datos'!B14+I60*'Datos'!B15</x:f>
        <x:v>0.24932915923321294</x:v>
      </x:c>
      <x:c r="C70" s="35" t="n">
        <x:f>B60*'Datos'!C8+C60*'Datos'!C9+D60*'Datos'!C10+E60*'Datos'!C11+F60*'Datos'!C12+G60*'Datos'!C13+H60*'Datos'!C14+I60*'Datos'!C15</x:f>
        <x:v>0.18227470716678307</x:v>
      </x:c>
      <x:c r="D70" s="35" t="n">
        <x:f>B60*'Datos'!D8+C60*'Datos'!D9+D60*'Datos'!D10+E60*'Datos'!D11+F60*'Datos'!D12+G60*'Datos'!D13+H60*'Datos'!D14+I60*'Datos'!D15</x:f>
        <x:v>0.2039901659942919</x:v>
      </x:c>
      <x:c r="E70" s="35" t="n">
        <x:f>B60*'Datos'!E8+C60*'Datos'!E9+D60*'Datos'!E10+E60*'Datos'!E11+F60*'Datos'!E12+G60*'Datos'!E13+H60*'Datos'!E14+I60*'Datos'!E15</x:f>
        <x:v>0.11738041722043466</x:v>
      </x:c>
      <x:c r="F70" s="35" t="n">
        <x:f>B60*'Datos'!F8+C60*'Datos'!F9+D60*'Datos'!F10+E60*'Datos'!F11+F60*'Datos'!F12+G60*'Datos'!F13+H60*'Datos'!F14+I60*'Datos'!F15</x:f>
        <x:v>0.12275741416672524</x:v>
      </x:c>
      <x:c r="G70" s="35" t="n">
        <x:f>B60*'Datos'!G8+C60*'Datos'!G9+D60*'Datos'!G10+E60*'Datos'!G11+F60*'Datos'!G12+G60*'Datos'!G13+H60*'Datos'!G14+I60*'Datos'!G15</x:f>
        <x:v>0.0566048199000856</x:v>
      </x:c>
      <x:c r="H70" s="35" t="n">
        <x:f>B60*'Datos'!H8+C60*'Datos'!H9+D60*'Datos'!H10+E60*'Datos'!H11+F60*'Datos'!H12+G60*'Datos'!H13+H60*'Datos'!H14+I60*'Datos'!H15</x:f>
        <x:v>0.04533912928494441</x:v>
      </x:c>
      <x:c r="I70" s="35" t="n">
        <x:f>B60*'Datos'!I8+C60*'Datos'!I9+D60*'Datos'!I10+E60*'Datos'!I11+F60*'Datos'!I12+G60*'Datos'!I13+H60*'Datos'!I14+I60*'Datos'!I15</x:f>
        <x:v>0.022324187033522583</x:v>
      </x:c>
      <x:c r="J70" s="34" t="n">
        <x:f>SUM(B70:I70)</x:f>
        <x:v>1.0000000000000004</x:v>
      </x:c>
    </x:row>
    <x:row r="71" ht="22" customHeight="1">
      <x:c r="A71" s="31" t="str">
        <x:f>'Datos'!A11</x:f>
        <x:v>Baa</x:v>
      </x:c>
      <x:c r="B71" s="35" t="n">
        <x:f>B61*'Datos'!B8+C61*'Datos'!B9+D61*'Datos'!B10+E61*'Datos'!B11+F61*'Datos'!B12+G61*'Datos'!B13+H61*'Datos'!B14+I61*'Datos'!B15</x:f>
        <x:v>0.13092103423208265</x:v>
      </x:c>
      <x:c r="C71" s="35" t="n">
        <x:f>B61*'Datos'!C8+C61*'Datos'!C9+D61*'Datos'!C10+E61*'Datos'!C11+F61*'Datos'!C12+G61*'Datos'!C13+H61*'Datos'!C14+I61*'Datos'!C15</x:f>
        <x:v>0.12616365625983836</x:v>
      </x:c>
      <x:c r="D71" s="35" t="n">
        <x:f>B61*'Datos'!D8+C61*'Datos'!D9+D61*'Datos'!D10+E61*'Datos'!D11+F61*'Datos'!D12+G61*'Datos'!D13+H61*'Datos'!D14+I61*'Datos'!D15</x:f>
        <x:v>0.18385797929983433</x:v>
      </x:c>
      <x:c r="E71" s="35" t="n">
        <x:f>B61*'Datos'!E8+C61*'Datos'!E9+D61*'Datos'!E10+E61*'Datos'!E11+F61*'Datos'!E12+G61*'Datos'!E13+H61*'Datos'!E14+I61*'Datos'!E15</x:f>
        <x:v>0.11783227613071898</x:v>
      </x:c>
      <x:c r="F71" s="35" t="n">
        <x:f>B61*'Datos'!F8+C61*'Datos'!F9+D61*'Datos'!F10+E61*'Datos'!F11+F61*'Datos'!F12+G61*'Datos'!F13+H61*'Datos'!F14+I61*'Datos'!F15</x:f>
        <x:v>0.1645390238254268</x:v>
      </x:c>
      <x:c r="G71" s="35" t="n">
        <x:f>B61*'Datos'!G8+C61*'Datos'!G9+D61*'Datos'!G10+E61*'Datos'!G11+F61*'Datos'!G12+G61*'Datos'!G13+H61*'Datos'!G14+I61*'Datos'!G15</x:f>
        <x:v>0.09355649109260003</x:v>
      </x:c>
      <x:c r="H71" s="35" t="n">
        <x:f>B61*'Datos'!H8+C61*'Datos'!H9+D61*'Datos'!H10+E61*'Datos'!H11+F61*'Datos'!H12+G61*'Datos'!H13+H61*'Datos'!H14+I61*'Datos'!H15</x:f>
        <x:v>0.09886353128252195</x:v>
      </x:c>
      <x:c r="I71" s="35" t="n">
        <x:f>B61*'Datos'!I8+C61*'Datos'!I9+D61*'Datos'!I10+E61*'Datos'!I11+F61*'Datos'!I12+G61*'Datos'!I13+H61*'Datos'!I14+I61*'Datos'!I15</x:f>
        <x:v>0.08426600787697706</x:v>
      </x:c>
      <x:c r="J71" s="34" t="n">
        <x:f>SUM(B71:I71)</x:f>
        <x:v>1.0000000000000002</x:v>
      </x:c>
    </x:row>
    <x:row r="72" ht="22" customHeight="1">
      <x:c r="A72" s="31" t="str">
        <x:f>'Datos'!A12</x:f>
        <x:v>Ba</x:v>
      </x:c>
      <x:c r="B72" s="35" t="n">
        <x:f>B62*'Datos'!B8+C62*'Datos'!B9+D62*'Datos'!B10+E62*'Datos'!B11+F62*'Datos'!B12+G62*'Datos'!B13+H62*'Datos'!B14+I62*'Datos'!B15</x:f>
        <x:v>0.02291860078547906</x:v>
      </x:c>
      <x:c r="C72" s="35" t="n">
        <x:f>B62*'Datos'!C8+C62*'Datos'!C9+D62*'Datos'!C10+E62*'Datos'!C11+F62*'Datos'!C12+G62*'Datos'!C13+H62*'Datos'!C14+I62*'Datos'!C15</x:f>
        <x:v>0.034687297094179254</x:v>
      </x:c>
      <x:c r="D72" s="35" t="n">
        <x:f>B62*'Datos'!D8+C62*'Datos'!D9+D62*'Datos'!D10+E62*'Datos'!D11+F62*'Datos'!D12+G62*'Datos'!D13+H62*'Datos'!D14+I62*'Datos'!D15</x:f>
        <x:v>0.08203370506976361</x:v>
      </x:c>
      <x:c r="E72" s="35" t="n">
        <x:f>B62*'Datos'!E8+C62*'Datos'!E9+D62*'Datos'!E10+E62*'Datos'!E11+F62*'Datos'!E12+G62*'Datos'!E13+H62*'Datos'!E14+I62*'Datos'!E15</x:f>
        <x:v>0.0699725740482068</x:v>
      </x:c>
      <x:c r="F72" s="35" t="n">
        <x:f>B62*'Datos'!F8+C62*'Datos'!F9+D62*'Datos'!F10+E62*'Datos'!F11+F62*'Datos'!F12+G62*'Datos'!F13+H62*'Datos'!F14+I62*'Datos'!F15</x:f>
        <x:v>0.17548240290315165</x:v>
      </x:c>
      <x:c r="G72" s="35" t="n">
        <x:f>B62*'Datos'!G8+C62*'Datos'!G9+D62*'Datos'!G10+E62*'Datos'!G11+F62*'Datos'!G12+G62*'Datos'!G13+H62*'Datos'!G14+I62*'Datos'!G15</x:f>
        <x:v>0.13600321326275602</x:v>
      </x:c>
      <x:c r="H72" s="35" t="n">
        <x:f>B62*'Datos'!H8+C62*'Datos'!H9+D62*'Datos'!H10+E62*'Datos'!H11+F62*'Datos'!H12+G62*'Datos'!H13+H62*'Datos'!H14+I62*'Datos'!H15</x:f>
        <x:v>0.1930870983122353</x:v>
      </x:c>
      <x:c r="I72" s="35" t="n">
        <x:f>B62*'Datos'!I8+C62*'Datos'!I9+D62*'Datos'!I10+E62*'Datos'!I11+F62*'Datos'!I12+G62*'Datos'!I13+H62*'Datos'!I14+I62*'Datos'!I15</x:f>
        <x:v>0.2858151085242281</x:v>
      </x:c>
      <x:c r="J72" s="34" t="n">
        <x:f>SUM(B72:I72)</x:f>
        <x:v>0.9999999999999999</x:v>
      </x:c>
    </x:row>
    <x:row r="73" ht="22" customHeight="1">
      <x:c r="A73" s="31" t="str">
        <x:f>'Datos'!A13</x:f>
        <x:v>B</x:v>
      </x:c>
      <x:c r="B73" s="35" t="n">
        <x:f>B63*'Datos'!B8+C63*'Datos'!B9+D63*'Datos'!B10+E63*'Datos'!B11+F63*'Datos'!B12+G63*'Datos'!B13+H63*'Datos'!B14+I63*'Datos'!B15</x:f>
        <x:v>0.0047232718428871</x:v>
      </x:c>
      <x:c r="C73" s="35" t="n">
        <x:f>B63*'Datos'!C8+C63*'Datos'!C9+D63*'Datos'!C10+E63*'Datos'!C11+F63*'Datos'!C12+G63*'Datos'!C13+H63*'Datos'!C14+I63*'Datos'!C15</x:f>
        <x:v>0.008540005757789314</x:v>
      </x:c>
      <x:c r="D73" s="35" t="n">
        <x:f>B63*'Datos'!D8+C63*'Datos'!D9+D63*'Datos'!D10+E63*'Datos'!D11+F63*'Datos'!D12+G63*'Datos'!D13+H63*'Datos'!D14+I63*'Datos'!D15</x:f>
        <x:v>0.02431250376896937</x:v>
      </x:c>
      <x:c r="E73" s="35" t="n">
        <x:f>B63*'Datos'!E8+C63*'Datos'!E9+D63*'Datos'!E10+E63*'Datos'!E11+F63*'Datos'!E12+G63*'Datos'!E13+H63*'Datos'!E14+I63*'Datos'!E15</x:f>
        <x:v>0.023992957645168973</x:v>
      </x:c>
      <x:c r="F73" s="35" t="n">
        <x:f>B63*'Datos'!F8+C63*'Datos'!F9+D63*'Datos'!F10+E63*'Datos'!F11+F63*'Datos'!F12+G63*'Datos'!F13+H63*'Datos'!F14+I63*'Datos'!F15</x:f>
        <x:v>0.0730527861400709</x:v>
      </x:c>
      <x:c r="G73" s="35" t="n">
        <x:f>B63*'Datos'!G8+C63*'Datos'!G9+D63*'Datos'!G10+E63*'Datos'!G11+F63*'Datos'!G12+G63*'Datos'!G13+H63*'Datos'!G14+I63*'Datos'!G15</x:f>
        <x:v>0.08034311326037624</x:v>
      </x:c>
      <x:c r="H73" s="35" t="n">
        <x:f>B63*'Datos'!H8+C63*'Datos'!H9+D63*'Datos'!H10+E63*'Datos'!H11+F63*'Datos'!H12+G63*'Datos'!H13+H63*'Datos'!H14+I63*'Datos'!H15</x:f>
        <x:v>0.15410431868488403</x:v>
      </x:c>
      <x:c r="I73" s="35" t="n">
        <x:f>B63*'Datos'!I8+C63*'Datos'!I9+D63*'Datos'!I10+E63*'Datos'!I11+F63*'Datos'!I12+G63*'Datos'!I13+H63*'Datos'!I14+I63*'Datos'!I15</x:f>
        <x:v>0.630931042899854</x:v>
      </x:c>
      <x:c r="J73" s="34" t="n">
        <x:f>SUM(B73:I73)</x:f>
        <x:v>1</x:v>
      </x:c>
    </x:row>
    <x:row r="74" ht="22" customHeight="1">
      <x:c r="A74" s="31" t="str">
        <x:f>'Datos'!A14</x:f>
        <x:v>Caa-C</x:v>
      </x:c>
      <x:c r="B74" s="35" t="n">
        <x:f>B64*'Datos'!B8+C64*'Datos'!B9+D64*'Datos'!B10+E64*'Datos'!B11+F64*'Datos'!B12+G64*'Datos'!B13+H64*'Datos'!B14+I64*'Datos'!B15</x:f>
        <x:v>0.0005201932159710525</x:v>
      </x:c>
      <x:c r="C74" s="35" t="n">
        <x:f>B64*'Datos'!C8+C64*'Datos'!C9+D64*'Datos'!C10+E64*'Datos'!C11+F64*'Datos'!C12+G64*'Datos'!C13+H64*'Datos'!C14+I64*'Datos'!C15</x:f>
        <x:v>0.0014078307115387532</x:v>
      </x:c>
      <x:c r="D74" s="35" t="n">
        <x:f>B64*'Datos'!D8+C64*'Datos'!D9+D64*'Datos'!D10+E64*'Datos'!D11+F64*'Datos'!D12+G64*'Datos'!D13+H64*'Datos'!D14+I64*'Datos'!D15</x:f>
        <x:v>0.005711810189876273</x:v>
      </x:c>
      <x:c r="E74" s="35" t="n">
        <x:f>B64*'Datos'!E8+C64*'Datos'!E9+D64*'Datos'!E10+E64*'Datos'!E11+F64*'Datos'!E12+G64*'Datos'!E13+H64*'Datos'!E14+I64*'Datos'!E15</x:f>
        <x:v>0.007070220033361165</x:v>
      </x:c>
      <x:c r="F74" s="35" t="n">
        <x:f>B64*'Datos'!F8+C64*'Datos'!F9+D64*'Datos'!F10+E64*'Datos'!F11+F64*'Datos'!F12+G64*'Datos'!F13+H64*'Datos'!F14+I64*'Datos'!F15</x:f>
        <x:v>0.026577398694372822</x:v>
      </x:c>
      <x:c r="G74" s="35" t="n">
        <x:f>B64*'Datos'!G8+C64*'Datos'!G9+D64*'Datos'!G10+E64*'Datos'!G11+F64*'Datos'!G12+G64*'Datos'!G13+H64*'Datos'!G14+I64*'Datos'!G15</x:f>
        <x:v>0.03831858693657398</x:v>
      </x:c>
      <x:c r="H74" s="35" t="n">
        <x:f>B64*'Datos'!H8+C64*'Datos'!H9+D64*'Datos'!H10+E64*'Datos'!H11+F64*'Datos'!H12+G64*'Datos'!H13+H64*'Datos'!H14+I64*'Datos'!H15</x:f>
        <x:v>0.08449391183189929</x:v>
      </x:c>
      <x:c r="I74" s="35" t="n">
        <x:f>B64*'Datos'!I8+C64*'Datos'!I9+D64*'Datos'!I10+E64*'Datos'!I11+F64*'Datos'!I12+G64*'Datos'!I13+H64*'Datos'!I14+I64*'Datos'!I15</x:f>
        <x:v>0.8359000483864065</x:v>
      </x:c>
      <x:c r="J74" s="34" t="n">
        <x:f>SUM(B74:I74)</x:f>
        <x:v>0.9999999999999999</x:v>
      </x:c>
    </x:row>
    <x:row r="75" ht="22" customHeight="1">
      <x:c r="A75" s="31" t="str">
        <x:f>'Datos'!A15</x:f>
        <x:v>Default</x:v>
      </x:c>
      <x:c r="B75" s="35" t="n">
        <x:f>B65*'Datos'!B8+C65*'Datos'!B9+D65*'Datos'!B10+E65*'Datos'!B11+F65*'Datos'!B12+G65*'Datos'!B13+H65*'Datos'!B14+I65*'Datos'!B15</x:f>
        <x:v>0</x:v>
      </x:c>
      <x:c r="C75" s="35" t="n">
        <x:f>B65*'Datos'!C8+C65*'Datos'!C9+D65*'Datos'!C10+E65*'Datos'!C11+F65*'Datos'!C12+G65*'Datos'!C13+H65*'Datos'!C14+I65*'Datos'!C15</x:f>
        <x:v>0</x:v>
      </x:c>
      <x:c r="D75" s="35" t="n">
        <x:f>B65*'Datos'!D8+C65*'Datos'!D9+D65*'Datos'!D10+E65*'Datos'!D11+F65*'Datos'!D12+G65*'Datos'!D13+H65*'Datos'!D14+I65*'Datos'!D15</x:f>
        <x:v>0</x:v>
      </x:c>
      <x:c r="E75" s="35" t="n">
        <x:f>B65*'Datos'!E8+C65*'Datos'!E9+D65*'Datos'!E10+E65*'Datos'!E11+F65*'Datos'!E12+G65*'Datos'!E13+H65*'Datos'!E14+I65*'Datos'!E15</x:f>
        <x:v>0</x:v>
      </x:c>
      <x:c r="F75" s="35" t="n">
        <x:f>B65*'Datos'!F8+C65*'Datos'!F9+D65*'Datos'!F10+E65*'Datos'!F11+F65*'Datos'!F12+G65*'Datos'!F13+H65*'Datos'!F14+I65*'Datos'!F15</x:f>
        <x:v>0</x:v>
      </x:c>
      <x:c r="G75" s="35" t="n">
        <x:f>B65*'Datos'!G8+C65*'Datos'!G9+D65*'Datos'!G10+E65*'Datos'!G11+F65*'Datos'!G12+G65*'Datos'!G13+H65*'Datos'!G14+I65*'Datos'!G15</x:f>
        <x:v>0</x:v>
      </x:c>
      <x:c r="H75" s="35" t="n">
        <x:f>B65*'Datos'!H8+C65*'Datos'!H9+D65*'Datos'!H10+E65*'Datos'!H11+F65*'Datos'!H12+G65*'Datos'!H13+H65*'Datos'!H14+I65*'Datos'!H15</x:f>
        <x:v>0</x:v>
      </x:c>
      <x:c r="I75" s="35" t="n">
        <x:f>B65*'Datos'!I8+C65*'Datos'!I9+D65*'Datos'!I10+E65*'Datos'!I11+F65*'Datos'!I12+G65*'Datos'!I13+H65*'Datos'!I14+I65*'Datos'!I15</x:f>
        <x:v>1</x:v>
      </x:c>
      <x:c r="J75" s="34" t="n">
        <x:f>SUM(B75:I75)</x:f>
        <x:v>1</x:v>
      </x:c>
    </x:row>
    <x:row r="76" ht="22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</x:row>
    <x:row r="77" ht="36" customHeight="1">
      <x:c r="A77" s="13" t="str">
        <x:v>P^7</x:v>
      </x:c>
      <x:c r="B77" s="13" t="str">
        <x:v>Aaa</x:v>
      </x:c>
      <x:c r="C77" s="13" t="str">
        <x:v>Aa</x:v>
      </x:c>
      <x:c r="D77" s="13" t="str">
        <x:v>A</x:v>
      </x:c>
      <x:c r="E77" s="13" t="str">
        <x:v>Baa</x:v>
      </x:c>
      <x:c r="F77" s="13" t="str">
        <x:v>Ba</x:v>
      </x:c>
      <x:c r="G77" s="13" t="str">
        <x:v>B</x:v>
      </x:c>
      <x:c r="H77" s="13" t="str">
        <x:v>Caa-C</x:v>
      </x:c>
      <x:c r="I77" s="13" t="str">
        <x:v>Default</x:v>
      </x:c>
      <x:c r="J77" s="13" t="str">
        <x:v>Suma</x:v>
      </x:c>
    </x:row>
    <x:row r="78" ht="22" customHeight="1">
      <x:c r="A78" s="31" t="str">
        <x:f>'Datos'!A8</x:f>
        <x:v>Aaa</x:v>
      </x:c>
      <x:c r="B78" s="35" t="n">
        <x:f>B68*'Datos'!B8+C68*'Datos'!B9+D68*'Datos'!B10+E68*'Datos'!B11+F68*'Datos'!B12+G68*'Datos'!B13+H68*'Datos'!B14+I68*'Datos'!B15</x:f>
        <x:v>0.5428000963093658</x:v>
      </x:c>
      <x:c r="C78" s="35" t="n">
        <x:f>B68*'Datos'!C8+C68*'Datos'!C9+D68*'Datos'!C10+E68*'Datos'!C11+F68*'Datos'!C12+G68*'Datos'!C13+H68*'Datos'!C14+I68*'Datos'!C15</x:f>
        <x:v>0.2344503077632187</x:v>
      </x:c>
      <x:c r="D78" s="35" t="n">
        <x:f>B68*'Datos'!D8+C68*'Datos'!D9+D68*'Datos'!D10+E68*'Datos'!D11+F68*'Datos'!D12+G68*'Datos'!D13+H68*'Datos'!D14+I68*'Datos'!D15</x:f>
        <x:v>0.12581671624621663</x:v>
      </x:c>
      <x:c r="E78" s="35" t="n">
        <x:f>B68*'Datos'!E8+C68*'Datos'!E9+D68*'Datos'!E10+E68*'Datos'!E11+F68*'Datos'!E12+G68*'Datos'!E13+H68*'Datos'!E14+I68*'Datos'!E15</x:f>
        <x:v>0.05114716258871925</x:v>
      </x:c>
      <x:c r="F78" s="35" t="n">
        <x:f>B68*'Datos'!F8+C68*'Datos'!F9+D68*'Datos'!F10+E68*'Datos'!F11+F68*'Datos'!F12+G68*'Datos'!F13+H68*'Datos'!F14+I68*'Datos'!F15</x:f>
        <x:v>0.029095475822763978</x:v>
      </x:c>
      <x:c r="G78" s="35" t="n">
        <x:f>B68*'Datos'!G8+C68*'Datos'!G9+D68*'Datos'!G10+E68*'Datos'!G11+F68*'Datos'!G12+G68*'Datos'!G13+H68*'Datos'!G14+I68*'Datos'!G15</x:f>
        <x:v>0.009609459493635024</x:v>
      </x:c>
      <x:c r="H78" s="35" t="n">
        <x:f>B68*'Datos'!H8+C68*'Datos'!H9+D68*'Datos'!H10+E68*'Datos'!H11+F68*'Datos'!H12+G68*'Datos'!H13+H68*'Datos'!H14+I68*'Datos'!H15</x:f>
        <x:v>0.005314756878169987</x:v>
      </x:c>
      <x:c r="I78" s="35" t="n">
        <x:f>B68*'Datos'!I8+C68*'Datos'!I9+D68*'Datos'!I10+E68*'Datos'!I11+F68*'Datos'!I12+G68*'Datos'!I13+H68*'Datos'!I14+I68*'Datos'!I15</x:f>
        <x:v>0.0017660248979106375</x:v>
      </x:c>
      <x:c r="J78" s="34" t="n">
        <x:f>SUM(B78:I78)</x:f>
        <x:v>0.9999999999999999</x:v>
      </x:c>
    </x:row>
    <x:row r="79" ht="22" customHeight="1">
      <x:c r="A79" s="31" t="str">
        <x:f>'Datos'!A9</x:f>
        <x:v>Aa</x:v>
      </x:c>
      <x:c r="B79" s="35" t="n">
        <x:f>B69*'Datos'!B8+C69*'Datos'!B9+D69*'Datos'!B10+E69*'Datos'!B11+F69*'Datos'!B12+G69*'Datos'!B13+H69*'Datos'!B14+I69*'Datos'!B15</x:f>
        <x:v>0.5030811556738388</x:v>
      </x:c>
      <x:c r="C79" s="35" t="n">
        <x:f>B69*'Datos'!C8+C69*'Datos'!C9+D69*'Datos'!C10+E69*'Datos'!C11+F69*'Datos'!C12+G69*'Datos'!C13+H69*'Datos'!C14+I69*'Datos'!C15</x:f>
        <x:v>0.23209580182818368</x:v>
      </x:c>
      <x:c r="D79" s="35" t="n">
        <x:f>B69*'Datos'!D8+C69*'Datos'!D9+D69*'Datos'!D10+E69*'Datos'!D11+F69*'Datos'!D12+G69*'Datos'!D13+H69*'Datos'!D14+I69*'Datos'!D15</x:f>
        <x:v>0.13614606773115</x:v>
      </x:c>
      <x:c r="E79" s="35" t="n">
        <x:f>B69*'Datos'!E8+C69*'Datos'!E9+D69*'Datos'!E10+E69*'Datos'!E11+F69*'Datos'!E12+G69*'Datos'!E13+H69*'Datos'!E14+I69*'Datos'!E15</x:f>
        <x:v>0.05951560882639095</x:v>
      </x:c>
      <x:c r="F79" s="35" t="n">
        <x:f>B69*'Datos'!F8+C69*'Datos'!F9+D69*'Datos'!F10+E69*'Datos'!F11+F69*'Datos'!F12+G69*'Datos'!F13+H69*'Datos'!F14+I69*'Datos'!F15</x:f>
        <x:v>0.03993213124332092</x:v>
      </x:c>
      <x:c r="G79" s="35" t="n">
        <x:f>B69*'Datos'!G8+C69*'Datos'!G9+D69*'Datos'!G10+E69*'Datos'!G11+F69*'Datos'!G12+G69*'Datos'!G13+H69*'Datos'!G14+I69*'Datos'!G15</x:f>
        <x:v>0.014933106838687042</x:v>
      </x:c>
      <x:c r="H79" s="35" t="n">
        <x:f>B69*'Datos'!H8+C69*'Datos'!H9+D69*'Datos'!H10+E69*'Datos'!H11+F69*'Datos'!H12+G69*'Datos'!H13+H69*'Datos'!H14+I69*'Datos'!H15</x:f>
        <x:v>0.009859953723074846</x:v>
      </x:c>
      <x:c r="I79" s="35" t="n">
        <x:f>B69*'Datos'!I8+C69*'Datos'!I9+D69*'Datos'!I10+E69*'Datos'!I11+F69*'Datos'!I12+G69*'Datos'!I13+H69*'Datos'!I14+I69*'Datos'!I15</x:f>
        <x:v>0.004436174135353211</x:v>
      </x:c>
      <x:c r="J79" s="34" t="n">
        <x:f>SUM(B79:I79)</x:f>
        <x:v>0.9999999999999996</x:v>
      </x:c>
    </x:row>
    <x:row r="80" ht="22" customHeight="1">
      <x:c r="A80" s="31" t="str">
        <x:f>'Datos'!A10</x:f>
        <x:v>A</x:v>
      </x:c>
      <x:c r="B80" s="35" t="n">
        <x:f>B70*'Datos'!B8+C70*'Datos'!B9+D70*'Datos'!B10+E70*'Datos'!B11+F70*'Datos'!B12+G70*'Datos'!B13+H70*'Datos'!B14+I70*'Datos'!B15</x:f>
        <x:v>0.2682855376242604</x:v>
      </x:c>
      <x:c r="C80" s="35" t="n">
        <x:f>B70*'Datos'!C8+C70*'Datos'!C9+D70*'Datos'!C10+E70*'Datos'!C11+F70*'Datos'!C12+G70*'Datos'!C13+H70*'Datos'!C14+I70*'Datos'!C15</x:f>
        <x:v>0.17669232796650844</x:v>
      </x:c>
      <x:c r="D80" s="35" t="n">
        <x:f>B70*'Datos'!D8+C70*'Datos'!D9+D70*'Datos'!D10+E70*'Datos'!D11+F70*'Datos'!D12+G70*'Datos'!D13+H70*'Datos'!D14+I70*'Datos'!D15</x:f>
        <x:v>0.18285785967080093</x:v>
      </x:c>
      <x:c r="E80" s="35" t="n">
        <x:f>B70*'Datos'!E8+C70*'Datos'!E9+D70*'Datos'!E10+E70*'Datos'!E11+F70*'Datos'!E12+G70*'Datos'!E13+H70*'Datos'!E14+I70*'Datos'!E15</x:f>
        <x:v>0.10464793179558522</x:v>
      </x:c>
      <x:c r="F80" s="35" t="n">
        <x:f>B70*'Datos'!F8+C70*'Datos'!F9+D70*'Datos'!F10+E70*'Datos'!F11+F70*'Datos'!F12+G70*'Datos'!F13+H70*'Datos'!F14+I70*'Datos'!F15</x:f>
        <x:v>0.1166297527252075</x:v>
      </x:c>
      <x:c r="G80" s="35" t="n">
        <x:f>B70*'Datos'!G8+C70*'Datos'!G9+D70*'Datos'!G10+E70*'Datos'!G11+F70*'Datos'!G12+G70*'Datos'!G13+H70*'Datos'!G14+I70*'Datos'!G15</x:f>
        <x:v>0.058369865011654365</x:v>
      </x:c>
      <x:c r="H80" s="35" t="n">
        <x:f>B70*'Datos'!H8+C70*'Datos'!H9+D70*'Datos'!H10+E70*'Datos'!H11+F70*'Datos'!H12+G70*'Datos'!H13+H70*'Datos'!H14+I70*'Datos'!H15</x:f>
        <x:v>0.05372187279492478</x:v>
      </x:c>
      <x:c r="I80" s="35" t="n">
        <x:f>B70*'Datos'!I8+C70*'Datos'!I9+D70*'Datos'!I10+E70*'Datos'!I11+F70*'Datos'!I12+G70*'Datos'!I13+H70*'Datos'!I14+I70*'Datos'!I15</x:f>
        <x:v>0.038794852411058824</x:v>
      </x:c>
      <x:c r="J80" s="34" t="n">
        <x:f>SUM(B80:I80)</x:f>
        <x:v>1.0000000000000002</x:v>
      </x:c>
    </x:row>
    <x:row r="81" ht="22" customHeight="1">
      <x:c r="A81" s="31" t="str">
        <x:f>'Datos'!A11</x:f>
        <x:v>Baa</x:v>
      </x:c>
      <x:c r="B81" s="35" t="n">
        <x:f>B71*'Datos'!B8+C71*'Datos'!B9+D71*'Datos'!B10+E71*'Datos'!B11+F71*'Datos'!B12+G71*'Datos'!B13+H71*'Datos'!B14+I71*'Datos'!B15</x:f>
        <x:v>0.15209138458555707</x:v>
      </x:c>
      <x:c r="C81" s="35" t="n">
        <x:f>B71*'Datos'!C8+C71*'Datos'!C9+D71*'Datos'!C10+E71*'Datos'!C11+F71*'Datos'!C12+G71*'Datos'!C13+H71*'Datos'!C14+I71*'Datos'!C15</x:f>
        <x:v>0.12468354543720721</x:v>
      </x:c>
      <x:c r="D81" s="35" t="n">
        <x:f>B71*'Datos'!D8+C71*'Datos'!D9+D71*'Datos'!D10+E71*'Datos'!D11+F71*'Datos'!D12+G71*'Datos'!D13+H71*'Datos'!D14+I71*'Datos'!D15</x:f>
        <x:v>0.16342276175416798</x:v>
      </x:c>
      <x:c r="E81" s="35" t="n">
        <x:f>B71*'Datos'!E8+C71*'Datos'!E9+D71*'Datos'!E10+E71*'Datos'!E11+F71*'Datos'!E12+G71*'Datos'!E13+H71*'Datos'!E14+I71*'Datos'!E15</x:f>
        <x:v>0.10356960739789955</x:v>
      </x:c>
      <x:c r="F81" s="35" t="n">
        <x:f>B71*'Datos'!F8+C71*'Datos'!F9+D71*'Datos'!F10+E71*'Datos'!F11+F71*'Datos'!F12+G71*'Datos'!F13+H71*'Datos'!F14+I71*'Datos'!F15</x:f>
        <x:v>0.14745530109408336</x:v>
      </x:c>
      <x:c r="G81" s="35" t="n">
        <x:f>B71*'Datos'!G8+C71*'Datos'!G9+D71*'Datos'!G10+E71*'Datos'!G11+F71*'Datos'!G12+G71*'Datos'!G13+H71*'Datos'!G14+I71*'Datos'!G15</x:f>
        <x:v>0.08809768607117015</x:v>
      </x:c>
      <x:c r="H81" s="35" t="n">
        <x:f>B71*'Datos'!H8+C71*'Datos'!H9+D71*'Datos'!H10+E71*'Datos'!H11+F71*'Datos'!H12+G71*'Datos'!H13+H71*'Datos'!H14+I71*'Datos'!H15</x:f>
        <x:v>0.10069689823212596</x:v>
      </x:c>
      <x:c r="I81" s="35" t="n">
        <x:f>B71*'Datos'!I8+C71*'Datos'!I9+D71*'Datos'!I10+E71*'Datos'!I11+F71*'Datos'!I12+G71*'Datos'!I13+H71*'Datos'!I14+I71*'Datos'!I15</x:f>
        <x:v>0.11998281542778882</x:v>
      </x:c>
      <x:c r="J81" s="34" t="n">
        <x:f>SUM(B81:I81)</x:f>
        <x:v>1.0000000000000002</x:v>
      </x:c>
    </x:row>
    <x:row r="82" ht="22" customHeight="1">
      <x:c r="A82" s="31" t="str">
        <x:f>'Datos'!A12</x:f>
        <x:v>Ba</x:v>
      </x:c>
      <x:c r="B82" s="35" t="n">
        <x:f>B72*'Datos'!B8+C72*'Datos'!B9+D72*'Datos'!B10+E72*'Datos'!B11+F72*'Datos'!B12+G72*'Datos'!B13+H72*'Datos'!B14+I72*'Datos'!B15</x:f>
        <x:v>0.0315695582175803</x:v>
      </x:c>
      <x:c r="C82" s="35" t="n">
        <x:f>B72*'Datos'!C8+C72*'Datos'!C9+D72*'Datos'!C10+E72*'Datos'!C11+F72*'Datos'!C12+G72*'Datos'!C13+H72*'Datos'!C14+I72*'Datos'!C15</x:f>
        <x:v>0.038503530874475805</x:v>
      </x:c>
      <x:c r="D82" s="35" t="n">
        <x:f>B72*'Datos'!D8+C72*'Datos'!D9+D72*'Datos'!D10+E72*'Datos'!D11+F72*'Datos'!D12+G72*'Datos'!D13+H72*'Datos'!D14+I72*'Datos'!D15</x:f>
        <x:v>0.07808089776576681</x:v>
      </x:c>
      <x:c r="E82" s="35" t="n">
        <x:f>B72*'Datos'!E8+C72*'Datos'!E9+D72*'Datos'!E10+E72*'Datos'!E11+F72*'Datos'!E12+G72*'Datos'!E13+H72*'Datos'!E14+I72*'Datos'!E15</x:f>
        <x:v>0.06297490494206542</x:v>
      </x:c>
      <x:c r="F82" s="35" t="n">
        <x:f>B72*'Datos'!F8+C72*'Datos'!F9+D72*'Datos'!F10+E72*'Datos'!F11+F72*'Datos'!F12+G72*'Datos'!F13+H72*'Datos'!F14+I72*'Datos'!F15</x:f>
        <x:v>0.14653908451859982</x:v>
      </x:c>
      <x:c r="G82" s="35" t="n">
        <x:f>B72*'Datos'!G8+C72*'Datos'!G9+D72*'Datos'!G10+E72*'Datos'!G11+F72*'Datos'!G12+G72*'Datos'!G13+H72*'Datos'!G14+I72*'Datos'!G15</x:f>
        <x:v>0.11591972024393489</x:v>
      </x:c>
      <x:c r="H82" s="35" t="n">
        <x:f>B72*'Datos'!H8+C72*'Datos'!H9+D72*'Datos'!H10+E72*'Datos'!H11+F72*'Datos'!H12+G72*'Datos'!H13+H72*'Datos'!H14+I72*'Datos'!H15</x:f>
        <x:v>0.17114767813706863</x:v>
      </x:c>
      <x:c r="I82" s="35" t="n">
        <x:f>B72*'Datos'!I8+C72*'Datos'!I9+D72*'Datos'!I10+E72*'Datos'!I11+F72*'Datos'!I12+G72*'Datos'!I13+H72*'Datos'!I14+I72*'Datos'!I15</x:f>
        <x:v>0.3552646253005081</x:v>
      </x:c>
      <x:c r="J82" s="34" t="n">
        <x:f>SUM(B82:I82)</x:f>
        <x:v>0.9999999999999998</x:v>
      </x:c>
    </x:row>
    <x:row r="83" ht="22" customHeight="1">
      <x:c r="A83" s="31" t="str">
        <x:f>'Datos'!A13</x:f>
        <x:v>B</x:v>
      </x:c>
      <x:c r="B83" s="35" t="n">
        <x:f>B73*'Datos'!B8+C73*'Datos'!B9+D73*'Datos'!B10+E73*'Datos'!B11+F73*'Datos'!B12+G73*'Datos'!B13+H73*'Datos'!B14+I73*'Datos'!B15</x:f>
        <x:v>0.0070840946201724195</x:v>
      </x:c>
      <x:c r="C83" s="35" t="n">
        <x:f>B73*'Datos'!C8+C73*'Datos'!C9+D73*'Datos'!C10+E73*'Datos'!C11+F73*'Datos'!C12+G73*'Datos'!C13+H73*'Datos'!C14+I73*'Datos'!C15</x:f>
        <x:v>0.010155685880911721</x:v>
      </x:c>
      <x:c r="D83" s="35" t="n">
        <x:f>B73*'Datos'!D8+C73*'Datos'!D9+D73*'Datos'!D10+E73*'Datos'!D11+F73*'Datos'!D12+G73*'Datos'!D13+H73*'Datos'!D14+I73*'Datos'!D15</x:f>
        <x:v>0.024511502857930415</x:v>
      </x:c>
      <x:c r="E83" s="35" t="n">
        <x:f>B73*'Datos'!E8+C73*'Datos'!E9+D73*'Datos'!E10+E73*'Datos'!E11+F73*'Datos'!E12+G73*'Datos'!E13+H73*'Datos'!E14+I73*'Datos'!E15</x:f>
        <x:v>0.022434057272402906</x:v>
      </x:c>
      <x:c r="F83" s="35" t="n">
        <x:f>B73*'Datos'!F8+C73*'Datos'!F9+D73*'Datos'!F10+E73*'Datos'!F11+F73*'Datos'!F12+G73*'Datos'!F13+H73*'Datos'!F14+I73*'Datos'!F15</x:f>
        <x:v>0.06281821385303922</x:v>
      </x:c>
      <x:c r="G83" s="35" t="n">
        <x:f>B73*'Datos'!G8+C73*'Datos'!G9+D73*'Datos'!G10+E73*'Datos'!G11+F73*'Datos'!G12+G73*'Datos'!G13+H73*'Datos'!G14+I73*'Datos'!G15</x:f>
        <x:v>0.0653591134465597</x:v>
      </x:c>
      <x:c r="H83" s="35" t="n">
        <x:f>B73*'Datos'!H8+C73*'Datos'!H9+D73*'Datos'!H10+E73*'Datos'!H11+F73*'Datos'!H12+G73*'Datos'!H13+H73*'Datos'!H14+I73*'Datos'!H15</x:f>
        <x:v>0.12146125869303212</x:v>
      </x:c>
      <x:c r="I83" s="35" t="n">
        <x:f>B73*'Datos'!I8+C73*'Datos'!I9+D73*'Datos'!I10+E73*'Datos'!I11+F73*'Datos'!I12+G73*'Datos'!I13+H73*'Datos'!I14+I73*'Datos'!I15</x:f>
        <x:v>0.6861760733759514</x:v>
      </x:c>
      <x:c r="J83" s="34" t="n">
        <x:f>SUM(B83:I83)</x:f>
        <x:v>0.9999999999999999</x:v>
      </x:c>
    </x:row>
    <x:row r="84" ht="22" customHeight="1">
      <x:c r="A84" s="31" t="str">
        <x:f>'Datos'!A14</x:f>
        <x:v>Caa-C</x:v>
      </x:c>
      <x:c r="B84" s="35" t="n">
        <x:f>B74*'Datos'!B8+C74*'Datos'!B9+D74*'Datos'!B10+E74*'Datos'!B11+F74*'Datos'!B12+G74*'Datos'!B13+H74*'Datos'!B14+I74*'Datos'!B15</x:f>
        <x:v>0.0009835016083099305</x:v>
      </x:c>
      <x:c r="C84" s="35" t="n">
        <x:f>B74*'Datos'!C8+C74*'Datos'!C9+D74*'Datos'!C10+E74*'Datos'!C11+F74*'Datos'!C12+G74*'Datos'!C13+H74*'Datos'!C14+I74*'Datos'!C15</x:f>
        <x:v>0.0019735250599855012</x:v>
      </x:c>
      <x:c r="D84" s="35" t="n">
        <x:f>B74*'Datos'!D8+C74*'Datos'!D9+D74*'Datos'!D10+E74*'Datos'!D11+F74*'Datos'!D12+G74*'Datos'!D13+H74*'Datos'!D14+I74*'Datos'!D15</x:f>
        <x:v>0.006391219527397773</x:v>
      </x:c>
      <x:c r="E84" s="35" t="n">
        <x:f>B74*'Datos'!E8+C74*'Datos'!E9+D74*'Datos'!E10+E74*'Datos'!E11+F74*'Datos'!E12+G74*'Datos'!E13+H74*'Datos'!E14+I74*'Datos'!E15</x:f>
        <x:v>0.006980769198190817</x:v>
      </x:c>
      <x:c r="F84" s="35" t="n">
        <x:f>B74*'Datos'!F8+C74*'Datos'!F9+D74*'Datos'!F10+E74*'Datos'!F11+F74*'Datos'!F12+G74*'Datos'!F13+H74*'Datos'!F14+I74*'Datos'!F15</x:f>
        <x:v>0.023636243156439498</x:v>
      </x:c>
      <x:c r="G84" s="35" t="n">
        <x:f>B74*'Datos'!G8+C74*'Datos'!G9+D74*'Datos'!G10+E74*'Datos'!G11+F74*'Datos'!G12+G74*'Datos'!G13+H74*'Datos'!G14+I74*'Datos'!G15</x:f>
        <x:v>0.03035986829668722</x:v>
      </x:c>
      <x:c r="H84" s="35" t="n">
        <x:f>B74*'Datos'!H8+C74*'Datos'!H9+D74*'Datos'!H10+E74*'Datos'!H11+F74*'Datos'!H12+G74*'Datos'!H13+H74*'Datos'!H14+I74*'Datos'!H15</x:f>
        <x:v>0.06352172328869954</x:v>
      </x:c>
      <x:c r="I84" s="35" t="n">
        <x:f>B74*'Datos'!I8+C74*'Datos'!I9+D74*'Datos'!I10+E74*'Datos'!I11+F74*'Datos'!I12+G74*'Datos'!I13+H74*'Datos'!I14+I74*'Datos'!I15</x:f>
        <x:v>0.8661531498642896</x:v>
      </x:c>
      <x:c r="J84" s="34" t="n">
        <x:f>SUM(B84:I84)</x:f>
        <x:v>0.9999999999999999</x:v>
      </x:c>
    </x:row>
    <x:row r="85" ht="22" customHeight="1">
      <x:c r="A85" s="31" t="str">
        <x:f>'Datos'!A15</x:f>
        <x:v>Default</x:v>
      </x:c>
      <x:c r="B85" s="35" t="n">
        <x:f>B75*'Datos'!B8+C75*'Datos'!B9+D75*'Datos'!B10+E75*'Datos'!B11+F75*'Datos'!B12+G75*'Datos'!B13+H75*'Datos'!B14+I75*'Datos'!B15</x:f>
        <x:v>0</x:v>
      </x:c>
      <x:c r="C85" s="35" t="n">
        <x:f>B75*'Datos'!C8+C75*'Datos'!C9+D75*'Datos'!C10+E75*'Datos'!C11+F75*'Datos'!C12+G75*'Datos'!C13+H75*'Datos'!C14+I75*'Datos'!C15</x:f>
        <x:v>0</x:v>
      </x:c>
      <x:c r="D85" s="35" t="n">
        <x:f>B75*'Datos'!D8+C75*'Datos'!D9+D75*'Datos'!D10+E75*'Datos'!D11+F75*'Datos'!D12+G75*'Datos'!D13+H75*'Datos'!D14+I75*'Datos'!D15</x:f>
        <x:v>0</x:v>
      </x:c>
      <x:c r="E85" s="35" t="n">
        <x:f>B75*'Datos'!E8+C75*'Datos'!E9+D75*'Datos'!E10+E75*'Datos'!E11+F75*'Datos'!E12+G75*'Datos'!E13+H75*'Datos'!E14+I75*'Datos'!E15</x:f>
        <x:v>0</x:v>
      </x:c>
      <x:c r="F85" s="35" t="n">
        <x:f>B75*'Datos'!F8+C75*'Datos'!F9+D75*'Datos'!F10+E75*'Datos'!F11+F75*'Datos'!F12+G75*'Datos'!F13+H75*'Datos'!F14+I75*'Datos'!F15</x:f>
        <x:v>0</x:v>
      </x:c>
      <x:c r="G85" s="35" t="n">
        <x:f>B75*'Datos'!G8+C75*'Datos'!G9+D75*'Datos'!G10+E75*'Datos'!G11+F75*'Datos'!G12+G75*'Datos'!G13+H75*'Datos'!G14+I75*'Datos'!G15</x:f>
        <x:v>0</x:v>
      </x:c>
      <x:c r="H85" s="35" t="n">
        <x:f>B75*'Datos'!H8+C75*'Datos'!H9+D75*'Datos'!H10+E75*'Datos'!H11+F75*'Datos'!H12+G75*'Datos'!H13+H75*'Datos'!H14+I75*'Datos'!H15</x:f>
        <x:v>0</x:v>
      </x:c>
      <x:c r="I85" s="35" t="n">
        <x:f>B75*'Datos'!I8+C75*'Datos'!I9+D75*'Datos'!I10+E75*'Datos'!I11+F75*'Datos'!I12+G75*'Datos'!I13+H75*'Datos'!I14+I75*'Datos'!I15</x:f>
        <x:v>1</x:v>
      </x:c>
      <x:c r="J85" s="34" t="n">
        <x:f>SUM(B85:I85)</x:f>
        <x:v>1</x:v>
      </x:c>
    </x:row>
    <x:row r="86" ht="22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</x:row>
    <x:row r="87" ht="36" customHeight="1">
      <x:c r="A87" s="13" t="str">
        <x:v>P^8</x:v>
      </x:c>
      <x:c r="B87" s="13" t="str">
        <x:v>Aaa</x:v>
      </x:c>
      <x:c r="C87" s="13" t="str">
        <x:v>Aa</x:v>
      </x:c>
      <x:c r="D87" s="13" t="str">
        <x:v>A</x:v>
      </x:c>
      <x:c r="E87" s="13" t="str">
        <x:v>Baa</x:v>
      </x:c>
      <x:c r="F87" s="13" t="str">
        <x:v>Ba</x:v>
      </x:c>
      <x:c r="G87" s="13" t="str">
        <x:v>B</x:v>
      </x:c>
      <x:c r="H87" s="13" t="str">
        <x:v>Caa-C</x:v>
      </x:c>
      <x:c r="I87" s="13" t="str">
        <x:v>Default</x:v>
      </x:c>
      <x:c r="J87" s="13" t="str">
        <x:v>Suma</x:v>
      </x:c>
    </x:row>
    <x:row r="88" ht="22" customHeight="1">
      <x:c r="A88" s="31" t="str">
        <x:f>'Datos'!A8</x:f>
        <x:v>Aaa</x:v>
      </x:c>
      <x:c r="B88" s="35" t="n">
        <x:f>B78*'Datos'!B8+C78*'Datos'!B9+D78*'Datos'!B10+E78*'Datos'!B11+F78*'Datos'!B12+G78*'Datos'!B13+H78*'Datos'!B14+I78*'Datos'!B15</x:f>
        <x:v>0.5257869808081471</x:v>
      </x:c>
      <x:c r="C88" s="35" t="n">
        <x:f>B78*'Datos'!C8+C78*'Datos'!C9+D78*'Datos'!C10+E78*'Datos'!C11+F78*'Datos'!C12+G78*'Datos'!C13+H78*'Datos'!C14+I78*'Datos'!C15</x:f>
        <x:v>0.23166594420574027</x:v>
      </x:c>
      <x:c r="D88" s="35" t="n">
        <x:f>B78*'Datos'!D8+C78*'Datos'!D9+D78*'Datos'!D10+E78*'Datos'!D11+F78*'Datos'!D12+G78*'Datos'!D13+H78*'Datos'!D14+I78*'Datos'!D15</x:f>
        <x:v>0.1296191226328855</x:v>
      </x:c>
      <x:c r="E88" s="35" t="n">
        <x:f>B78*'Datos'!E8+C78*'Datos'!E9+D78*'Datos'!E10+E78*'Datos'!E11+F78*'Datos'!E12+G78*'Datos'!E13+H78*'Datos'!E14+I78*'Datos'!E15</x:f>
        <x:v>0.05454125427126203</x:v>
      </x:c>
      <x:c r="F88" s="35" t="n">
        <x:f>B78*'Datos'!F8+C78*'Datos'!F9+D78*'Datos'!F10+E78*'Datos'!F11+F78*'Datos'!F12+G78*'Datos'!F13+H78*'Datos'!F14+I78*'Datos'!F15</x:f>
        <x:v>0.034274847268196296</x:v>
      </x:c>
      <x:c r="G88" s="35" t="n">
        <x:f>B78*'Datos'!G8+C78*'Datos'!G9+D78*'Datos'!G10+E78*'Datos'!G11+F78*'Datos'!G12+G78*'Datos'!G13+H78*'Datos'!G14+I78*'Datos'!G15</x:f>
        <x:v>0.012402280659371007</x:v>
      </x:c>
      <x:c r="H88" s="35" t="n">
        <x:f>B78*'Datos'!H8+C78*'Datos'!H9+D78*'Datos'!H10+E78*'Datos'!H11+F78*'Datos'!H12+G78*'Datos'!H13+H78*'Datos'!H14+I78*'Datos'!H15</x:f>
        <x:v>0.007992541023549474</x:v>
      </x:c>
      <x:c r="I88" s="35" t="n">
        <x:f>B78*'Datos'!I8+C78*'Datos'!I9+D78*'Datos'!I10+E78*'Datos'!I11+F78*'Datos'!I12+G78*'Datos'!I13+H78*'Datos'!I14+I78*'Datos'!I15</x:f>
        <x:v>0.00371702913084825</x:v>
      </x:c>
      <x:c r="J88" s="34" t="n">
        <x:f>SUM(B88:I88)</x:f>
        <x:v>0.9999999999999999</x:v>
      </x:c>
    </x:row>
    <x:row r="89" ht="22" customHeight="1">
      <x:c r="A89" s="31" t="str">
        <x:f>'Datos'!A9</x:f>
        <x:v>Aa</x:v>
      </x:c>
      <x:c r="B89" s="35" t="n">
        <x:f>B79*'Datos'!B8+C79*'Datos'!B9+D79*'Datos'!B10+E79*'Datos'!B11+F79*'Datos'!B12+G79*'Datos'!B13+H79*'Datos'!B14+I79*'Datos'!B15</x:f>
        <x:v>0.4924671781840956</x:v>
      </x:c>
      <x:c r="C89" s="35" t="n">
        <x:f>B79*'Datos'!C8+C79*'Datos'!C9+D79*'Datos'!C10+E79*'Datos'!C11+F79*'Datos'!C12+G79*'Datos'!C13+H79*'Datos'!C14+I79*'Datos'!C15</x:f>
        <x:v>0.22691169438084324</x:v>
      </x:c>
      <x:c r="D89" s="35" t="n">
        <x:f>B79*'Datos'!D8+C79*'Datos'!D9+D79*'Datos'!D10+E79*'Datos'!D11+F79*'Datos'!D12+G79*'Datos'!D13+H79*'Datos'!D14+I79*'Datos'!D15</x:f>
        <x:v>0.13678954044992267</x:v>
      </x:c>
      <x:c r="E89" s="35" t="n">
        <x:f>B79*'Datos'!E8+C79*'Datos'!E9+D79*'Datos'!E10+E79*'Datos'!E11+F79*'Datos'!E12+G79*'Datos'!E13+H79*'Datos'!E14+I79*'Datos'!E15</x:f>
        <x:v>0.06094422724155116</x:v>
      </x:c>
      <x:c r="F89" s="35" t="n">
        <x:f>B79*'Datos'!F8+C79*'Datos'!F9+D79*'Datos'!F10+E79*'Datos'!F11+F79*'Datos'!F12+G79*'Datos'!F13+H79*'Datos'!F14+I79*'Datos'!F15</x:f>
        <x:v>0.04398253319329928</x:v>
      </x:c>
      <x:c r="G89" s="35" t="n">
        <x:f>B79*'Datos'!G8+C79*'Datos'!G9+D79*'Datos'!G10+E79*'Datos'!G11+F79*'Datos'!G12+G79*'Datos'!G13+H79*'Datos'!G14+I79*'Datos'!G15</x:f>
        <x:v>0.017687314457243152</x:v>
      </x:c>
      <x:c r="H89" s="35" t="n">
        <x:f>B79*'Datos'!H8+C79*'Datos'!H9+D79*'Datos'!H10+E79*'Datos'!H11+F79*'Datos'!H12+G79*'Datos'!H13+H79*'Datos'!H14+I79*'Datos'!H15</x:f>
        <x:v>0.013181527023032647</x:v>
      </x:c>
      <x:c r="I89" s="35" t="n">
        <x:f>B79*'Datos'!I8+C79*'Datos'!I9+D79*'Datos'!I10+E79*'Datos'!I11+F79*'Datos'!I12+G79*'Datos'!I13+H79*'Datos'!I14+I79*'Datos'!I15</x:f>
        <x:v>0.008035985070011789</x:v>
      </x:c>
      <x:c r="J89" s="34" t="n">
        <x:f>SUM(B89:I89)</x:f>
        <x:v>0.9999999999999994</x:v>
      </x:c>
    </x:row>
    <x:row r="90" ht="22" customHeight="1">
      <x:c r="A90" s="31" t="str">
        <x:f>'Datos'!A10</x:f>
        <x:v>A</x:v>
      </x:c>
      <x:c r="B90" s="35" t="n">
        <x:f>B80*'Datos'!B8+C80*'Datos'!B9+D80*'Datos'!B10+E80*'Datos'!B11+F80*'Datos'!B12+G80*'Datos'!B13+H80*'Datos'!B14+I80*'Datos'!B15</x:f>
        <x:v>0.2817296388512931</x:v>
      </x:c>
      <x:c r="C90" s="35" t="n">
        <x:f>B80*'Datos'!C8+C80*'Datos'!C9+D80*'Datos'!C10+E80*'Datos'!C11+F80*'Datos'!C12+G80*'Datos'!C13+H80*'Datos'!C14+I80*'Datos'!C15</x:f>
        <x:v>0.1720958286108974</x:v>
      </x:c>
      <x:c r="D90" s="35" t="n">
        <x:f>B80*'Datos'!D8+C80*'Datos'!D9+D80*'Datos'!D10+E80*'Datos'!D11+F80*'Datos'!D12+G80*'Datos'!D13+H80*'Datos'!D14+I80*'Datos'!D15</x:f>
        <x:v>0.16670664521640094</x:v>
      </x:c>
      <x:c r="E90" s="35" t="n">
        <x:f>B80*'Datos'!E8+C80*'Datos'!E9+D80*'Datos'!E10+E80*'Datos'!E11+F80*'Datos'!E12+G80*'Datos'!E13+H80*'Datos'!E14+I80*'Datos'!E15</x:f>
        <x:v>0.09458302588012016</x:v>
      </x:c>
      <x:c r="F90" s="35" t="n">
        <x:f>B80*'Datos'!F8+C80*'Datos'!F9+D80*'Datos'!F10+E80*'Datos'!F11+F80*'Datos'!F12+G80*'Datos'!F13+H80*'Datos'!F14+I80*'Datos'!F15</x:f>
        <x:v>0.10956275379093237</x:v>
      </x:c>
      <x:c r="G90" s="35" t="n">
        <x:f>B80*'Datos'!G8+C80*'Datos'!G9+D80*'Datos'!G10+E80*'Datos'!G11+F80*'Datos'!G12+G80*'Datos'!G13+H80*'Datos'!G14+I80*'Datos'!G15</x:f>
        <x:v>0.05818847347847952</x:v>
      </x:c>
      <x:c r="H90" s="35" t="n">
        <x:f>B80*'Datos'!H8+C80*'Datos'!H9+D80*'Datos'!H10+E80*'Datos'!H11+F80*'Datos'!H12+G80*'Datos'!H13+H80*'Datos'!H14+I80*'Datos'!H15</x:f>
        <x:v>0.0588803880891079</x:v>
      </x:c>
      <x:c r="I90" s="35" t="n">
        <x:f>B80*'Datos'!I8+C80*'Datos'!I9+D80*'Datos'!I10+E80*'Datos'!I11+F80*'Datos'!I12+G80*'Datos'!I13+H80*'Datos'!I14+I80*'Datos'!I15</x:f>
        <x:v>0.05825324608276912</x:v>
      </x:c>
      <x:c r="J90" s="34" t="n">
        <x:f>SUM(B90:I90)</x:f>
        <x:v>1.0000000000000004</x:v>
      </x:c>
    </x:row>
    <x:row r="91" ht="22" customHeight="1">
      <x:c r="A91" s="31" t="str">
        <x:f>'Datos'!A11</x:f>
        <x:v>Baa</x:v>
      </x:c>
      <x:c r="B91" s="35" t="n">
        <x:f>B81*'Datos'!B8+C81*'Datos'!B9+D81*'Datos'!B10+E81*'Datos'!B11+F81*'Datos'!B12+G81*'Datos'!B13+H81*'Datos'!B14+I81*'Datos'!B15</x:f>
        <x:v>0.1687090956107699</x:v>
      </x:c>
      <x:c r="C91" s="35" t="n">
        <x:f>B81*'Datos'!C8+C81*'Datos'!C9+D81*'Datos'!C10+E81*'Datos'!C11+F81*'Datos'!C12+G81*'Datos'!C13+H81*'Datos'!C14+I81*'Datos'!C15</x:f>
        <x:v>0.12287635587516517</x:v>
      </x:c>
      <x:c r="D91" s="35" t="n">
        <x:f>B81*'Datos'!D8+C81*'Datos'!D9+D81*'Datos'!D10+E81*'Datos'!D11+F81*'Datos'!D12+G81*'Datos'!D13+H81*'Datos'!D14+I81*'Datos'!D15</x:f>
        <x:v>0.14729691465354142</x:v>
      </x:c>
      <x:c r="E91" s="35" t="n">
        <x:f>B81*'Datos'!E8+C81*'Datos'!E9+D81*'Datos'!E10+E81*'Datos'!E11+F81*'Datos'!E12+G81*'Datos'!E13+H81*'Datos'!E14+I81*'Datos'!E15</x:f>
        <x:v>0.09207025940617156</x:v>
      </x:c>
      <x:c r="F91" s="35" t="n">
        <x:f>B81*'Datos'!F8+C81*'Datos'!F9+D81*'Datos'!F10+E81*'Datos'!F11+F81*'Datos'!F12+G81*'Datos'!F13+H81*'Datos'!F14+I81*'Datos'!F15</x:f>
        <x:v>0.13221164584945583</x:v>
      </x:c>
      <x:c r="G91" s="35" t="n">
        <x:f>B81*'Datos'!G8+C81*'Datos'!G9+D81*'Datos'!G10+E81*'Datos'!G11+F81*'Datos'!G12+G81*'Datos'!G13+H81*'Datos'!G14+I81*'Datos'!G15</x:f>
        <x:v>0.08185604133040505</x:v>
      </x:c>
      <x:c r="H91" s="35" t="n">
        <x:f>B81*'Datos'!H8+C81*'Datos'!H9+D81*'Datos'!H10+E81*'Datos'!H11+F81*'Datos'!H12+G81*'Datos'!H13+H81*'Datos'!H14+I81*'Datos'!H15</x:f>
        <x:v>0.09866482041414387</x:v>
      </x:c>
      <x:c r="I91" s="35" t="n">
        <x:f>B81*'Datos'!I8+C81*'Datos'!I9+D81*'Datos'!I10+E81*'Datos'!I11+F81*'Datos'!I12+G81*'Datos'!I13+H81*'Datos'!I14+I81*'Datos'!I15</x:f>
        <x:v>0.15631486686034735</x:v>
      </x:c>
      <x:c r="J91" s="34" t="n">
        <x:f>SUM(B91:I91)</x:f>
        <x:v>1</x:v>
      </x:c>
    </x:row>
    <x:row r="92" ht="22" customHeight="1">
      <x:c r="A92" s="31" t="str">
        <x:f>'Datos'!A12</x:f>
        <x:v>Ba</x:v>
      </x:c>
      <x:c r="B92" s="35" t="n">
        <x:f>B82*'Datos'!B8+C82*'Datos'!B9+D82*'Datos'!B10+E82*'Datos'!B11+F82*'Datos'!B12+G82*'Datos'!B13+H82*'Datos'!B14+I82*'Datos'!B15</x:f>
        <x:v>0.03987543972150994</x:v>
      </x:c>
      <x:c r="C92" s="35" t="n">
        <x:f>B82*'Datos'!C8+C82*'Datos'!C9+D82*'Datos'!C10+E82*'Datos'!C11+F82*'Datos'!C12+G82*'Datos'!C13+H82*'Datos'!C14+I82*'Datos'!C15</x:f>
        <x:v>0.04110540729222819</x:v>
      </x:c>
      <x:c r="D92" s="35" t="n">
        <x:f>B82*'Datos'!D8+C82*'Datos'!D9+D82*'Datos'!D10+E82*'Datos'!D11+F82*'Datos'!D12+G82*'Datos'!D13+H82*'Datos'!D14+I82*'Datos'!D15</x:f>
        <x:v>0.07343050860475363</x:v>
      </x:c>
      <x:c r="E92" s="35" t="n">
        <x:f>B82*'Datos'!E8+C82*'Datos'!E9+D82*'Datos'!E10+E82*'Datos'!E11+F82*'Datos'!E12+G82*'Datos'!E13+H82*'Datos'!E14+I82*'Datos'!E15</x:f>
        <x:v>0.056648775931089405</x:v>
      </x:c>
      <x:c r="F92" s="35" t="n">
        <x:f>B82*'Datos'!F8+C82*'Datos'!F9+D82*'Datos'!F10+E82*'Datos'!F11+F82*'Datos'!F12+G82*'Datos'!F13+H82*'Datos'!F14+I82*'Datos'!F15</x:f>
        <x:v>0.12397549712782761</x:v>
      </x:c>
      <x:c r="G92" s="35" t="n">
        <x:f>B82*'Datos'!G8+C82*'Datos'!G9+D82*'Datos'!G10+E82*'Datos'!G11+F82*'Datos'!G12+G82*'Datos'!G13+H82*'Datos'!G14+I82*'Datos'!G15</x:f>
        <x:v>0.09892881841276445</x:v>
      </x:c>
      <x:c r="H92" s="35" t="n">
        <x:f>B82*'Datos'!H8+C82*'Datos'!H9+D82*'Datos'!H10+E82*'Datos'!H11+F82*'Datos'!H12+G82*'Datos'!H13+H82*'Datos'!H14+I82*'Datos'!H15</x:f>
        <x:v>0.14924239867164074</x:v>
      </x:c>
      <x:c r="I92" s="35" t="n">
        <x:f>B82*'Datos'!I8+C82*'Datos'!I9+D82*'Datos'!I10+E82*'Datos'!I11+F82*'Datos'!I12+G82*'Datos'!I13+H82*'Datos'!I14+I82*'Datos'!I15</x:f>
        <x:v>0.4167931542381858</x:v>
      </x:c>
      <x:c r="J92" s="34" t="n">
        <x:f>SUM(B92:I92)</x:f>
        <x:v>0.9999999999999998</x:v>
      </x:c>
    </x:row>
    <x:row r="93" ht="22" customHeight="1">
      <x:c r="A93" s="31" t="str">
        <x:f>'Datos'!A13</x:f>
        <x:v>B</x:v>
      </x:c>
      <x:c r="B93" s="35" t="n">
        <x:f>B83*'Datos'!B8+C83*'Datos'!B9+D83*'Datos'!B10+E83*'Datos'!B11+F83*'Datos'!B12+G83*'Datos'!B13+H83*'Datos'!B14+I83*'Datos'!B15</x:f>
        <x:v>0.009559389983376134</x:v>
      </x:c>
      <x:c r="C93" s="35" t="n">
        <x:f>B83*'Datos'!C8+C83*'Datos'!C9+D83*'Datos'!C10+E83*'Datos'!C11+F83*'Datos'!C12+G83*'Datos'!C13+H83*'Datos'!C14+I83*'Datos'!C15</x:f>
        <x:v>0.0114301416499005</x:v>
      </x:c>
      <x:c r="D93" s="35" t="n">
        <x:f>B83*'Datos'!D8+C83*'Datos'!D9+D83*'Datos'!D10+E83*'Datos'!D11+F83*'Datos'!D12+G83*'Datos'!D13+H83*'Datos'!D14+I83*'Datos'!D15</x:f>
        <x:v>0.024079769518440156</x:v>
      </x:c>
      <x:c r="E93" s="35" t="n">
        <x:f>B83*'Datos'!E8+C83*'Datos'!E9+D83*'Datos'!E10+E83*'Datos'!E11+F83*'Datos'!E12+G83*'Datos'!E13+H83*'Datos'!E14+I83*'Datos'!E15</x:f>
        <x:v>0.020752708279294867</x:v>
      </x:c>
      <x:c r="F93" s="35" t="n">
        <x:f>B83*'Datos'!F8+C83*'Datos'!F9+D83*'Datos'!F10+E83*'Datos'!F11+F83*'Datos'!F12+G83*'Datos'!F13+H83*'Datos'!F14+I83*'Datos'!F15</x:f>
        <x:v>0.054013110324462564</x:v>
      </x:c>
      <x:c r="G93" s="35" t="n">
        <x:f>B83*'Datos'!G8+C83*'Datos'!G9+D83*'Datos'!G10+E83*'Datos'!G11+F83*'Datos'!G12+G83*'Datos'!G13+H83*'Datos'!G14+I83*'Datos'!G15</x:f>
        <x:v>0.05360294236400326</x:v>
      </x:c>
      <x:c r="H93" s="35" t="n">
        <x:f>B83*'Datos'!H8+C83*'Datos'!H9+D83*'Datos'!H10+E83*'Datos'!H11+F83*'Datos'!H12+G83*'Datos'!H13+H83*'Datos'!H14+I83*'Datos'!H15</x:f>
        <x:v>0.09682981571760721</x:v>
      </x:c>
      <x:c r="I93" s="35" t="n">
        <x:f>B83*'Datos'!I8+C83*'Datos'!I9+D83*'Datos'!I10+E83*'Datos'!I11+F83*'Datos'!I12+G83*'Datos'!I13+H83*'Datos'!I14+I83*'Datos'!I15</x:f>
        <x:v>0.7297321221629153</x:v>
      </x:c>
      <x:c r="J93" s="34" t="n">
        <x:f>SUM(B93:I93)</x:f>
        <x:v>1</x:v>
      </x:c>
    </x:row>
    <x:row r="94" ht="22" customHeight="1">
      <x:c r="A94" s="31" t="str">
        <x:f>'Datos'!A14</x:f>
        <x:v>Caa-C</x:v>
      </x:c>
      <x:c r="B94" s="35" t="n">
        <x:f>B84*'Datos'!B8+C84*'Datos'!B9+D84*'Datos'!B10+E84*'Datos'!B11+F84*'Datos'!B12+G84*'Datos'!B13+H84*'Datos'!B14+I84*'Datos'!B15</x:f>
        <x:v>0.0015610668272164608</x:v>
      </x:c>
      <x:c r="C94" s="35" t="n">
        <x:f>B84*'Datos'!C8+C84*'Datos'!C9+D84*'Datos'!C10+E84*'Datos'!C11+F84*'Datos'!C12+G84*'Datos'!C13+H84*'Datos'!C14+I84*'Datos'!C15</x:f>
        <x:v>0.0024841304981262184</x:v>
      </x:c>
      <x:c r="D94" s="35" t="n">
        <x:f>B84*'Datos'!D8+C84*'Datos'!D9+D84*'Datos'!D10+E84*'Datos'!D11+F84*'Datos'!D12+G84*'Datos'!D13+H84*'Datos'!D14+I84*'Datos'!D15</x:f>
        <x:v>0.00674249555922293</x:v>
      </x:c>
      <x:c r="E94" s="35" t="n">
        <x:f>B84*'Datos'!E8+C84*'Datos'!E9+D84*'Datos'!E10+E84*'Datos'!E11+F84*'Datos'!E12+G84*'Datos'!E13+H84*'Datos'!E14+I84*'Datos'!E15</x:f>
        <x:v>0.006703891097843961</x:v>
      </x:c>
      <x:c r="F94" s="35" t="n">
        <x:f>B84*'Datos'!F8+C84*'Datos'!F9+D84*'Datos'!F10+E84*'Datos'!F11+F84*'Datos'!F12+G84*'Datos'!F13+H84*'Datos'!F14+I84*'Datos'!F15</x:f>
        <x:v>0.020704597697461136</x:v>
      </x:c>
      <x:c r="G94" s="35" t="n">
        <x:f>B84*'Datos'!G8+C84*'Datos'!G9+D84*'Datos'!G10+E84*'Datos'!G11+F84*'Datos'!G12+G84*'Datos'!G13+H84*'Datos'!G14+I84*'Datos'!G15</x:f>
        <x:v>0.024309020268735004</x:v>
      </x:c>
      <x:c r="H94" s="35" t="n">
        <x:f>B84*'Datos'!H8+C84*'Datos'!H9+D84*'Datos'!H10+E84*'Datos'!H11+F84*'Datos'!H12+G84*'Datos'!H13+H84*'Datos'!H14+I84*'Datos'!H15</x:f>
        <x:v>0.04858757467204418</x:v>
      </x:c>
      <x:c r="I94" s="35" t="n">
        <x:f>B84*'Datos'!I8+C84*'Datos'!I9+D84*'Datos'!I10+E84*'Datos'!I11+F84*'Datos'!I12+G84*'Datos'!I13+H84*'Datos'!I14+I84*'Datos'!I15</x:f>
        <x:v>0.88890722337935</x:v>
      </x:c>
      <x:c r="J94" s="34" t="n">
        <x:f>SUM(B94:I94)</x:f>
        <x:v>0.9999999999999999</x:v>
      </x:c>
    </x:row>
    <x:row r="95" ht="22" customHeight="1">
      <x:c r="A95" s="31" t="str">
        <x:f>'Datos'!A15</x:f>
        <x:v>Default</x:v>
      </x:c>
      <x:c r="B95" s="35" t="n">
        <x:f>B85*'Datos'!B8+C85*'Datos'!B9+D85*'Datos'!B10+E85*'Datos'!B11+F85*'Datos'!B12+G85*'Datos'!B13+H85*'Datos'!B14+I85*'Datos'!B15</x:f>
        <x:v>0</x:v>
      </x:c>
      <x:c r="C95" s="35" t="n">
        <x:f>B85*'Datos'!C8+C85*'Datos'!C9+D85*'Datos'!C10+E85*'Datos'!C11+F85*'Datos'!C12+G85*'Datos'!C13+H85*'Datos'!C14+I85*'Datos'!C15</x:f>
        <x:v>0</x:v>
      </x:c>
      <x:c r="D95" s="35" t="n">
        <x:f>B85*'Datos'!D8+C85*'Datos'!D9+D85*'Datos'!D10+E85*'Datos'!D11+F85*'Datos'!D12+G85*'Datos'!D13+H85*'Datos'!D14+I85*'Datos'!D15</x:f>
        <x:v>0</x:v>
      </x:c>
      <x:c r="E95" s="35" t="n">
        <x:f>B85*'Datos'!E8+C85*'Datos'!E9+D85*'Datos'!E10+E85*'Datos'!E11+F85*'Datos'!E12+G85*'Datos'!E13+H85*'Datos'!E14+I85*'Datos'!E15</x:f>
        <x:v>0</x:v>
      </x:c>
      <x:c r="F95" s="35" t="n">
        <x:f>B85*'Datos'!F8+C85*'Datos'!F9+D85*'Datos'!F10+E85*'Datos'!F11+F85*'Datos'!F12+G85*'Datos'!F13+H85*'Datos'!F14+I85*'Datos'!F15</x:f>
        <x:v>0</x:v>
      </x:c>
      <x:c r="G95" s="35" t="n">
        <x:f>B85*'Datos'!G8+C85*'Datos'!G9+D85*'Datos'!G10+E85*'Datos'!G11+F85*'Datos'!G12+G85*'Datos'!G13+H85*'Datos'!G14+I85*'Datos'!G15</x:f>
        <x:v>0</x:v>
      </x:c>
      <x:c r="H95" s="35" t="n">
        <x:f>B85*'Datos'!H8+C85*'Datos'!H9+D85*'Datos'!H10+E85*'Datos'!H11+F85*'Datos'!H12+G85*'Datos'!H13+H85*'Datos'!H14+I85*'Datos'!H15</x:f>
        <x:v>0</x:v>
      </x:c>
      <x:c r="I95" s="35" t="n">
        <x:f>B85*'Datos'!I8+C85*'Datos'!I9+D85*'Datos'!I10+E85*'Datos'!I11+F85*'Datos'!I12+G85*'Datos'!I13+H85*'Datos'!I14+I85*'Datos'!I15</x:f>
        <x:v>1</x:v>
      </x:c>
      <x:c r="J95" s="34" t="n">
        <x:f>SUM(B95:I95)</x:f>
        <x:v>1</x:v>
      </x:c>
    </x:row>
    <x:row r="96" ht="22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</x:row>
    <x:row r="97" ht="36" customHeight="1">
      <x:c r="A97" s="13" t="str">
        <x:v>P^9</x:v>
      </x:c>
      <x:c r="B97" s="13" t="str">
        <x:v>Aaa</x:v>
      </x:c>
      <x:c r="C97" s="13" t="str">
        <x:v>Aa</x:v>
      </x:c>
      <x:c r="D97" s="13" t="str">
        <x:v>A</x:v>
      </x:c>
      <x:c r="E97" s="13" t="str">
        <x:v>Baa</x:v>
      </x:c>
      <x:c r="F97" s="13" t="str">
        <x:v>Ba</x:v>
      </x:c>
      <x:c r="G97" s="13" t="str">
        <x:v>B</x:v>
      </x:c>
      <x:c r="H97" s="13" t="str">
        <x:v>Caa-C</x:v>
      </x:c>
      <x:c r="I97" s="13" t="str">
        <x:v>Default</x:v>
      </x:c>
      <x:c r="J97" s="13" t="str">
        <x:v>Suma</x:v>
      </x:c>
    </x:row>
    <x:row r="98" ht="22" customHeight="1">
      <x:c r="A98" s="31" t="str">
        <x:f>'Datos'!A8</x:f>
        <x:v>Aaa</x:v>
      </x:c>
      <x:c r="B98" s="35" t="n">
        <x:f>B88*'Datos'!B8+C88*'Datos'!B9+D88*'Datos'!B10+E88*'Datos'!B11+F88*'Datos'!B12+G88*'Datos'!B13+H88*'Datos'!B14+I88*'Datos'!B15</x:f>
        <x:v>0.510925278232891</x:v>
      </x:c>
      <x:c r="C98" s="35" t="n">
        <x:f>B88*'Datos'!C8+C88*'Datos'!C9+D88*'Datos'!C10+E88*'Datos'!C11+F88*'Datos'!C12+G88*'Datos'!C13+H88*'Datos'!C14+I88*'Datos'!C15</x:f>
        <x:v>0.2284846553059376</x:v>
      </x:c>
      <x:c r="D98" s="35" t="n">
        <x:f>B88*'Datos'!D8+C88*'Datos'!D9+D88*'Datos'!D10+E88*'Datos'!D11+F88*'Datos'!D12+G88*'Datos'!D13+H88*'Datos'!D14+I88*'Datos'!D15</x:f>
        <x:v>0.13215053062290555</x:v>
      </x:c>
      <x:c r="E98" s="35" t="n">
        <x:f>B88*'Datos'!E8+C88*'Datos'!E9+D88*'Datos'!E10+E88*'Datos'!E11+F88*'Datos'!E12+G88*'Datos'!E13+H88*'Datos'!E14+I88*'Datos'!E15</x:f>
        <x:v>0.05709977672597452</x:v>
      </x:c>
      <x:c r="F98" s="35" t="n">
        <x:f>B88*'Datos'!F8+C88*'Datos'!F9+D88*'Datos'!F10+E88*'Datos'!F11+F88*'Datos'!F12+G88*'Datos'!F13+H88*'Datos'!F14+I88*'Datos'!F15</x:f>
        <x:v>0.038780414227464415</x:v>
      </x:c>
      <x:c r="G98" s="35" t="n">
        <x:f>B88*'Datos'!G8+C88*'Datos'!G9+D88*'Datos'!G10+E88*'Datos'!G11+F88*'Datos'!G12+G88*'Datos'!G13+H88*'Datos'!G14+I88*'Datos'!G15</x:f>
        <x:v>0.015061982838215696</x:v>
      </x:c>
      <x:c r="H98" s="35" t="n">
        <x:f>B88*'Datos'!H8+C88*'Datos'!H9+D88*'Datos'!H10+E88*'Datos'!H11+F88*'Datos'!H12+G88*'Datos'!H13+H88*'Datos'!H14+I88*'Datos'!H15</x:f>
        <x:v>0.01086022114134015</x:v>
      </x:c>
      <x:c r="I98" s="35" t="n">
        <x:f>B88*'Datos'!I8+C88*'Datos'!I9+D88*'Datos'!I10+E88*'Datos'!I11+F88*'Datos'!I12+G88*'Datos'!I13+H88*'Datos'!I14+I88*'Datos'!I15</x:f>
        <x:v>0.006637140905270813</x:v>
      </x:c>
      <x:c r="J98" s="34" t="n">
        <x:f>SUM(B98:I98)</x:f>
        <x:v>0.9999999999999998</x:v>
      </x:c>
    </x:row>
    <x:row r="99" ht="22" customHeight="1">
      <x:c r="A99" s="31" t="str">
        <x:f>'Datos'!A9</x:f>
        <x:v>Aa</x:v>
      </x:c>
      <x:c r="B99" s="35" t="n">
        <x:f>B89*'Datos'!B8+C89*'Datos'!B9+D89*'Datos'!B10+E89*'Datos'!B11+F89*'Datos'!B12+G89*'Datos'!B13+H89*'Datos'!B14+I89*'Datos'!B15</x:f>
        <x:v>0.48204226879543377</x:v>
      </x:c>
      <x:c r="C99" s="35" t="n">
        <x:f>B89*'Datos'!C8+C89*'Datos'!C9+D89*'Datos'!C10+E89*'Datos'!C11+F89*'Datos'!C12+G89*'Datos'!C13+H89*'Datos'!C14+I89*'Datos'!C15</x:f>
        <x:v>0.22260888688771058</x:v>
      </x:c>
      <x:c r="D99" s="35" t="n">
        <x:f>B89*'Datos'!D8+C89*'Datos'!D9+D89*'Datos'!D10+E89*'Datos'!D11+F89*'Datos'!D12+G89*'Datos'!D13+H89*'Datos'!D14+I89*'Datos'!D15</x:f>
        <x:v>0.13690997443495104</x:v>
      </x:c>
      <x:c r="E99" s="35" t="n">
        <x:f>B89*'Datos'!E8+C89*'Datos'!E9+D89*'Datos'!E10+E89*'Datos'!E11+F89*'Datos'!E12+G89*'Datos'!E13+H89*'Datos'!E14+I89*'Datos'!E15</x:f>
        <x:v>0.061927809963864815</x:v>
      </x:c>
      <x:c r="F99" s="35" t="n">
        <x:f>B89*'Datos'!F8+C89*'Datos'!F9+D89*'Datos'!F10+E89*'Datos'!F11+F89*'Datos'!F12+G89*'Datos'!F13+H89*'Datos'!F14+I89*'Datos'!F15</x:f>
        <x:v>0.047242832656443925</x:v>
      </x:c>
      <x:c r="G99" s="35" t="n">
        <x:f>B89*'Datos'!G8+C89*'Datos'!G9+D89*'Datos'!G10+E89*'Datos'!G11+F89*'Datos'!G12+G89*'Datos'!G13+H89*'Datos'!G14+I89*'Datos'!G15</x:f>
        <x:v>0.020086274208291486</x:v>
      </x:c>
      <x:c r="H99" s="35" t="n">
        <x:f>B89*'Datos'!H8+C89*'Datos'!H9+D89*'Datos'!H10+E89*'Datos'!H11+F89*'Datos'!H12+G89*'Datos'!H13+H89*'Datos'!H14+I89*'Datos'!H15</x:f>
        <x:v>0.01634875577558962</x:v>
      </x:c>
      <x:c r="I99" s="35" t="n">
        <x:f>B89*'Datos'!I8+C89*'Datos'!I9+D89*'Datos'!I10+E89*'Datos'!I11+F89*'Datos'!I12+G89*'Datos'!I13+H89*'Datos'!I14+I89*'Datos'!I15</x:f>
        <x:v>0.012833197277714262</x:v>
      </x:c>
      <x:c r="J99" s="34" t="n">
        <x:f>SUM(B99:I99)</x:f>
        <x:v>0.9999999999999993</x:v>
      </x:c>
    </x:row>
    <x:row r="100" ht="22" customHeight="1">
      <x:c r="A100" s="31" t="str">
        <x:f>'Datos'!A10</x:f>
        <x:v>A</x:v>
      </x:c>
      <x:c r="B100" s="35" t="n">
        <x:f>B90*'Datos'!B8+C90*'Datos'!B9+D90*'Datos'!B10+E90*'Datos'!B11+F90*'Datos'!B12+G90*'Datos'!B13+H90*'Datos'!B14+I90*'Datos'!B15</x:f>
        <x:v>0.2910369861676886</x:v>
      </x:c>
      <x:c r="C100" s="35" t="n">
        <x:f>B90*'Datos'!C8+C90*'Datos'!C9+D90*'Datos'!C10+E90*'Datos'!C11+F90*'Datos'!C12+G90*'Datos'!C13+H90*'Datos'!C14+I90*'Datos'!C15</x:f>
        <x:v>0.16824820489988582</x:v>
      </x:c>
      <x:c r="D100" s="35" t="n">
        <x:f>B90*'Datos'!D8+C90*'Datos'!D9+D90*'Datos'!D10+E90*'Datos'!D11+F90*'Datos'!D12+G90*'Datos'!D13+H90*'Datos'!D14+I90*'Datos'!D15</x:f>
        <x:v>0.15412705629286216</x:v>
      </x:c>
      <x:c r="E100" s="35" t="n">
        <x:f>B90*'Datos'!E8+C90*'Datos'!E9+D90*'Datos'!E10+E90*'Datos'!E11+F90*'Datos'!E12+G90*'Datos'!E13+H90*'Datos'!E14+I90*'Datos'!E15</x:f>
        <x:v>0.08652263876830232</x:v>
      </x:c>
      <x:c r="F100" s="35" t="n">
        <x:f>B90*'Datos'!F8+C90*'Datos'!F9+D90*'Datos'!F10+E90*'Datos'!F11+F90*'Datos'!F12+G90*'Datos'!F13+H90*'Datos'!F14+I90*'Datos'!F15</x:f>
        <x:v>0.1023851220766525</x:v>
      </x:c>
      <x:c r="G100" s="35" t="n">
        <x:f>B90*'Datos'!G8+C90*'Datos'!G9+D90*'Datos'!G10+E90*'Datos'!G11+F90*'Datos'!G12+G90*'Datos'!G13+H90*'Datos'!G14+I90*'Datos'!G15</x:f>
        <x:v>0.05676709196929979</x:v>
      </x:c>
      <x:c r="H100" s="35" t="n">
        <x:f>B90*'Datos'!H8+C90*'Datos'!H9+D90*'Datos'!H10+E90*'Datos'!H11+F90*'Datos'!H12+G90*'Datos'!H13+H90*'Datos'!H14+I90*'Datos'!H15</x:f>
        <x:v>0.06137096057227577</x:v>
      </x:c>
      <x:c r="I100" s="35" t="n">
        <x:f>B90*'Datos'!I8+C90*'Datos'!I9+D90*'Datos'!I10+E90*'Datos'!I11+F90*'Datos'!I12+G90*'Datos'!I13+H90*'Datos'!I14+I90*'Datos'!I15</x:f>
        <x:v>0.07954193925303349</x:v>
      </x:c>
      <x:c r="J100" s="34" t="n">
        <x:f>SUM(B100:I100)</x:f>
        <x:v>1.0000000000000004</x:v>
      </x:c>
    </x:row>
    <x:row r="101" ht="22" customHeight="1">
      <x:c r="A101" s="31" t="str">
        <x:f>'Datos'!A11</x:f>
        <x:v>Baa</x:v>
      </x:c>
      <x:c r="B101" s="35" t="n">
        <x:f>B91*'Datos'!B8+C91*'Datos'!B9+D91*'Datos'!B10+E91*'Datos'!B11+F91*'Datos'!B12+G91*'Datos'!B13+H91*'Datos'!B14+I91*'Datos'!B15</x:f>
        <x:v>0.18154128022576815</x:v>
      </x:c>
      <x:c r="C101" s="35" t="n">
        <x:f>B91*'Datos'!C8+C91*'Datos'!C9+D91*'Datos'!C10+E91*'Datos'!C11+F91*'Datos'!C12+G91*'Datos'!C13+H91*'Datos'!C14+I91*'Datos'!C15</x:f>
        <x:v>0.12106444478236991</x:v>
      </x:c>
      <x:c r="D101" s="35" t="n">
        <x:f>B91*'Datos'!D8+C91*'Datos'!D9+D91*'Datos'!D10+E91*'Datos'!D11+F91*'Datos'!D12+G91*'Datos'!D13+H91*'Datos'!D14+I91*'Datos'!D15</x:f>
        <x:v>0.1343969677957057</x:v>
      </x:c>
      <x:c r="E101" s="35" t="n">
        <x:f>B91*'Datos'!E8+C91*'Datos'!E9+D91*'Datos'!E10+E91*'Datos'!E11+F91*'Datos'!E12+G91*'Datos'!E13+H91*'Datos'!E14+I91*'Datos'!E15</x:f>
        <x:v>0.08270365934977789</x:v>
      </x:c>
      <x:c r="F101" s="35" t="n">
        <x:f>B91*'Datos'!F8+C91*'Datos'!F9+D91*'Datos'!F10+E91*'Datos'!F11+F91*'Datos'!F12+G91*'Datos'!F13+H91*'Datos'!F14+I91*'Datos'!F15</x:f>
        <x:v>0.11875997315973978</x:v>
      </x:c>
      <x:c r="G101" s="35" t="n">
        <x:f>B91*'Datos'!G8+C91*'Datos'!G9+D91*'Datos'!G10+E91*'Datos'!G11+F91*'Datos'!G12+G91*'Datos'!G13+H91*'Datos'!G14+I91*'Datos'!G15</x:f>
        <x:v>0.07539212078631256</x:v>
      </x:c>
      <x:c r="H101" s="35" t="n">
        <x:f>B91*'Datos'!H8+C91*'Datos'!H9+D91*'Datos'!H10+E91*'Datos'!H11+F91*'Datos'!H12+G91*'Datos'!H13+H91*'Datos'!H14+I91*'Datos'!H15</x:f>
        <x:v>0.0942570217226959</x:v>
      </x:c>
      <x:c r="I101" s="35" t="n">
        <x:f>B91*'Datos'!I8+C91*'Datos'!I9+D91*'Datos'!I10+E91*'Datos'!I11+F91*'Datos'!I12+G91*'Datos'!I13+H91*'Datos'!I14+I91*'Datos'!I15</x:f>
        <x:v>0.19188453217763027</x:v>
      </x:c>
      <x:c r="J101" s="34" t="n">
        <x:f>SUM(B101:I101)</x:f>
        <x:v>1.0000000000000002</x:v>
      </x:c>
    </x:row>
    <x:row r="102" ht="22" customHeight="1">
      <x:c r="A102" s="31" t="str">
        <x:f>'Datos'!A12</x:f>
        <x:v>Ba</x:v>
      </x:c>
      <x:c r="B102" s="35" t="n">
        <x:f>B92*'Datos'!B8+C92*'Datos'!B9+D92*'Datos'!B10+E92*'Datos'!B11+F92*'Datos'!B12+G92*'Datos'!B13+H92*'Datos'!B14+I92*'Datos'!B15</x:f>
        <x:v>0.04748933709252279</x:v>
      </x:c>
      <x:c r="C102" s="35" t="n">
        <x:f>B92*'Datos'!C8+C92*'Datos'!C9+D92*'Datos'!C10+E92*'Datos'!C11+F92*'Datos'!C12+G92*'Datos'!C13+H92*'Datos'!C14+I92*'Datos'!C15</x:f>
        <x:v>0.042837873666875664</x:v>
      </x:c>
      <x:c r="D102" s="35" t="n">
        <x:f>B92*'Datos'!D8+C92*'Datos'!D9+D92*'Datos'!D10+E92*'Datos'!D11+F92*'Datos'!D12+G92*'Datos'!D13+H92*'Datos'!D14+I92*'Datos'!D15</x:f>
        <x:v>0.06865121957119556</x:v>
      </x:c>
      <x:c r="E102" s="35" t="n">
        <x:f>B92*'Datos'!E8+C92*'Datos'!E9+D92*'Datos'!E10+E92*'Datos'!E11+F92*'Datos'!E12+G92*'Datos'!E13+H92*'Datos'!E14+I92*'Datos'!E15</x:f>
        <x:v>0.05101069936676131</x:v>
      </x:c>
      <x:c r="F102" s="35" t="n">
        <x:f>B92*'Datos'!F8+C92*'Datos'!F9+D92*'Datos'!F10+E92*'Datos'!F11+F92*'Datos'!F12+G92*'Datos'!F13+H92*'Datos'!F14+I92*'Datos'!F15</x:f>
        <x:v>0.10596182102822248</x:v>
      </x:c>
      <x:c r="G102" s="35" t="n">
        <x:f>B92*'Datos'!G8+C92*'Datos'!G9+D92*'Datos'!G10+E92*'Datos'!G11+F92*'Datos'!G12+G92*'Datos'!G13+H92*'Datos'!G14+I92*'Datos'!G15</x:f>
        <x:v>0.08461449512859207</x:v>
      </x:c>
      <x:c r="H102" s="35" t="n">
        <x:f>B92*'Datos'!H8+C92*'Datos'!H9+D92*'Datos'!H10+E92*'Datos'!H11+F92*'Datos'!H12+G92*'Datos'!H13+H92*'Datos'!H14+I92*'Datos'!H15</x:f>
        <x:v>0.12900176694514526</x:v>
      </x:c>
      <x:c r="I102" s="35" t="n">
        <x:f>B92*'Datos'!I8+C92*'Datos'!I9+D92*'Datos'!I10+E92*'Datos'!I11+F92*'Datos'!I12+G92*'Datos'!I13+H92*'Datos'!I14+I92*'Datos'!I15</x:f>
        <x:v>0.47043278720068465</x:v>
      </x:c>
      <x:c r="J102" s="34" t="n">
        <x:f>SUM(B102:I102)</x:f>
        <x:v>0.9999999999999998</x:v>
      </x:c>
    </x:row>
    <x:row r="103" ht="22" customHeight="1">
      <x:c r="A103" s="31" t="str">
        <x:f>'Datos'!A13</x:f>
        <x:v>B</x:v>
      </x:c>
      <x:c r="B103" s="35" t="n">
        <x:f>B93*'Datos'!B8+C93*'Datos'!B9+D93*'Datos'!B10+E93*'Datos'!B11+F93*'Datos'!B12+G93*'Datos'!B13+H93*'Datos'!B14+I93*'Datos'!B15</x:f>
        <x:v>0.012007171579753789</x:v>
      </x:c>
      <x:c r="C103" s="35" t="n">
        <x:f>B93*'Datos'!C8+C93*'Datos'!C9+D93*'Datos'!C10+E93*'Datos'!C11+F93*'Datos'!C12+G93*'Datos'!C13+H93*'Datos'!C14+I93*'Datos'!C15</x:f>
        <x:v>0.012408187172819133</x:v>
      </x:c>
      <x:c r="D103" s="35" t="n">
        <x:f>B93*'Datos'!D8+C93*'Datos'!D9+D93*'Datos'!D10+E93*'Datos'!D11+F93*'Datos'!D12+G93*'Datos'!D13+H93*'Datos'!D14+I93*'Datos'!D15</x:f>
        <x:v>0.023258637895629822</x:v>
      </x:c>
      <x:c r="E103" s="35" t="n">
        <x:f>B93*'Datos'!E8+C93*'Datos'!E9+D93*'Datos'!E10+E93*'Datos'!E11+F93*'Datos'!E12+G93*'Datos'!E13+H93*'Datos'!E14+I93*'Datos'!E15</x:f>
        <x:v>0.019063872114891516</x:v>
      </x:c>
      <x:c r="F103" s="35" t="n">
        <x:f>B93*'Datos'!F8+C93*'Datos'!F9+D93*'Datos'!F10+E93*'Datos'!F11+F93*'Datos'!F12+G93*'Datos'!F13+H93*'Datos'!F14+I93*'Datos'!F15</x:f>
        <x:v>0.046499150315999264</x:v>
      </x:c>
      <x:c r="G103" s="35" t="n">
        <x:f>B93*'Datos'!G8+C93*'Datos'!G9+D93*'Datos'!G10+E93*'Datos'!G11+F93*'Datos'!G12+G93*'Datos'!G13+H93*'Datos'!G14+I93*'Datos'!G15</x:f>
        <x:v>0.04429567487049931</x:v>
      </x:c>
      <x:c r="H103" s="35" t="n">
        <x:f>B93*'Datos'!H8+C93*'Datos'!H9+D93*'Datos'!H10+E93*'Datos'!H11+F93*'Datos'!H12+G93*'Datos'!H13+H93*'Datos'!H14+I93*'Datos'!H15</x:f>
        <x:v>0.07800220154740567</x:v>
      </x:c>
      <x:c r="I103" s="35" t="n">
        <x:f>B93*'Datos'!I8+C93*'Datos'!I9+D93*'Datos'!I10+E93*'Datos'!I11+F93*'Datos'!I12+G93*'Datos'!I13+H93*'Datos'!I14+I93*'Datos'!I15</x:f>
        <x:v>0.7644651045030014</x:v>
      </x:c>
      <x:c r="J103" s="34" t="n">
        <x:f>SUM(B103:I103)</x:f>
        <x:v>1</x:v>
      </x:c>
    </x:row>
    <x:row r="104" ht="22" customHeight="1">
      <x:c r="A104" s="31" t="str">
        <x:f>'Datos'!A14</x:f>
        <x:v>Caa-C</x:v>
      </x:c>
      <x:c r="B104" s="35" t="n">
        <x:f>B94*'Datos'!B8+C94*'Datos'!B9+D94*'Datos'!B10+E94*'Datos'!B11+F94*'Datos'!B12+G94*'Datos'!B13+H94*'Datos'!B14+I94*'Datos'!B15</x:f>
        <x:v>0.0022093125999251735</x:v>
      </x:c>
      <x:c r="C104" s="35" t="n">
        <x:f>B94*'Datos'!C8+C94*'Datos'!C9+D94*'Datos'!C10+E94*'Datos'!C11+F94*'Datos'!C12+G94*'Datos'!C13+H94*'Datos'!C14+I94*'Datos'!C15</x:f>
        <x:v>0.002917788637066749</x:v>
      </x:c>
      <x:c r="D104" s="35" t="n">
        <x:f>B94*'Datos'!D8+C94*'Datos'!D9+D94*'Datos'!D10+E94*'Datos'!D11+F94*'Datos'!D12+G94*'Datos'!D13+H94*'Datos'!D14+I94*'Datos'!D15</x:f>
        <x:v>0.006843785218497199</x:v>
      </x:c>
      <x:c r="E104" s="35" t="n">
        <x:f>B94*'Datos'!E8+C94*'Datos'!E9+D94*'Datos'!E10+E94*'Datos'!E11+F94*'Datos'!E12+G94*'Datos'!E13+H94*'Datos'!E14+I94*'Datos'!E15</x:f>
        <x:v>0.006319293736938427</x:v>
      </x:c>
      <x:c r="F104" s="35" t="n">
        <x:f>B94*'Datos'!F8+C94*'Datos'!F9+D94*'Datos'!F10+E94*'Datos'!F11+F94*'Datos'!F12+G94*'Datos'!F13+H94*'Datos'!F14+I94*'Datos'!F15</x:f>
        <x:v>0.017988375229293807</x:v>
      </x:c>
      <x:c r="G104" s="35" t="n">
        <x:f>B94*'Datos'!G8+C94*'Datos'!G9+D94*'Datos'!G10+E94*'Datos'!G11+F94*'Datos'!G12+G94*'Datos'!G13+H94*'Datos'!G14+I94*'Datos'!G15</x:f>
        <x:v>0.0196543912924243</x:v>
      </x:c>
      <x:c r="H104" s="35" t="n">
        <x:f>B94*'Datos'!H8+C94*'Datos'!H9+D94*'Datos'!H10+E94*'Datos'!H11+F94*'Datos'!H12+G94*'Datos'!H13+H94*'Datos'!H14+I94*'Datos'!H15</x:f>
        <x:v>0.03774824326003731</x:v>
      </x:c>
      <x:c r="I104" s="35" t="n">
        <x:f>B94*'Datos'!I8+C94*'Datos'!I9+D94*'Datos'!I10+E94*'Datos'!I11+F94*'Datos'!I12+G94*'Datos'!I13+H94*'Datos'!I14+I94*'Datos'!I15</x:f>
        <x:v>0.9063188100258169</x:v>
      </x:c>
      <x:c r="J104" s="34" t="n">
        <x:f>SUM(B104:I104)</x:f>
        <x:v>0.9999999999999999</x:v>
      </x:c>
    </x:row>
    <x:row r="105" ht="22" customHeight="1">
      <x:c r="A105" s="31" t="str">
        <x:f>'Datos'!A15</x:f>
        <x:v>Default</x:v>
      </x:c>
      <x:c r="B105" s="35" t="n">
        <x:f>B95*'Datos'!B8+C95*'Datos'!B9+D95*'Datos'!B10+E95*'Datos'!B11+F95*'Datos'!B12+G95*'Datos'!B13+H95*'Datos'!B14+I95*'Datos'!B15</x:f>
        <x:v>0</x:v>
      </x:c>
      <x:c r="C105" s="35" t="n">
        <x:f>B95*'Datos'!C8+C95*'Datos'!C9+D95*'Datos'!C10+E95*'Datos'!C11+F95*'Datos'!C12+G95*'Datos'!C13+H95*'Datos'!C14+I95*'Datos'!C15</x:f>
        <x:v>0</x:v>
      </x:c>
      <x:c r="D105" s="35" t="n">
        <x:f>B95*'Datos'!D8+C95*'Datos'!D9+D95*'Datos'!D10+E95*'Datos'!D11+F95*'Datos'!D12+G95*'Datos'!D13+H95*'Datos'!D14+I95*'Datos'!D15</x:f>
        <x:v>0</x:v>
      </x:c>
      <x:c r="E105" s="35" t="n">
        <x:f>B95*'Datos'!E8+C95*'Datos'!E9+D95*'Datos'!E10+E95*'Datos'!E11+F95*'Datos'!E12+G95*'Datos'!E13+H95*'Datos'!E14+I95*'Datos'!E15</x:f>
        <x:v>0</x:v>
      </x:c>
      <x:c r="F105" s="35" t="n">
        <x:f>B95*'Datos'!F8+C95*'Datos'!F9+D95*'Datos'!F10+E95*'Datos'!F11+F95*'Datos'!F12+G95*'Datos'!F13+H95*'Datos'!F14+I95*'Datos'!F15</x:f>
        <x:v>0</x:v>
      </x:c>
      <x:c r="G105" s="35" t="n">
        <x:f>B95*'Datos'!G8+C95*'Datos'!G9+D95*'Datos'!G10+E95*'Datos'!G11+F95*'Datos'!G12+G95*'Datos'!G13+H95*'Datos'!G14+I95*'Datos'!G15</x:f>
        <x:v>0</x:v>
      </x:c>
      <x:c r="H105" s="35" t="n">
        <x:f>B95*'Datos'!H8+C95*'Datos'!H9+D95*'Datos'!H10+E95*'Datos'!H11+F95*'Datos'!H12+G95*'Datos'!H13+H95*'Datos'!H14+I95*'Datos'!H15</x:f>
        <x:v>0</x:v>
      </x:c>
      <x:c r="I105" s="35" t="n">
        <x:f>B95*'Datos'!I8+C95*'Datos'!I9+D95*'Datos'!I10+E95*'Datos'!I11+F95*'Datos'!I12+G95*'Datos'!I13+H95*'Datos'!I14+I95*'Datos'!I15</x:f>
        <x:v>1</x:v>
      </x:c>
      <x:c r="J105" s="34" t="n">
        <x:f>SUM(B105:I105)</x:f>
        <x:v>1</x:v>
      </x:c>
    </x:row>
    <x:row r="106" ht="22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</x:row>
    <x:row r="107" ht="36" customHeight="1">
      <x:c r="A107" s="13" t="str">
        <x:v>P^10</x:v>
      </x:c>
      <x:c r="B107" s="13" t="str">
        <x:v>Aaa</x:v>
      </x:c>
      <x:c r="C107" s="13" t="str">
        <x:v>Aa</x:v>
      </x:c>
      <x:c r="D107" s="13" t="str">
        <x:v>A</x:v>
      </x:c>
      <x:c r="E107" s="13" t="str">
        <x:v>Baa</x:v>
      </x:c>
      <x:c r="F107" s="13" t="str">
        <x:v>Ba</x:v>
      </x:c>
      <x:c r="G107" s="13" t="str">
        <x:v>B</x:v>
      </x:c>
      <x:c r="H107" s="13" t="str">
        <x:v>Caa-C</x:v>
      </x:c>
      <x:c r="I107" s="13" t="str">
        <x:v>Default</x:v>
      </x:c>
      <x:c r="J107" s="13" t="str">
        <x:v>Suma</x:v>
      </x:c>
    </x:row>
    <x:row r="108" ht="22" customHeight="1">
      <x:c r="A108" s="31" t="str">
        <x:f>'Datos'!A8</x:f>
        <x:v>Aaa</x:v>
      </x:c>
      <x:c r="B108" s="35" t="n">
        <x:f>B98*'Datos'!B8+C98*'Datos'!B9+D98*'Datos'!B10+E98*'Datos'!B11+F98*'Datos'!B12+G98*'Datos'!B13+H98*'Datos'!B14+I98*'Datos'!B15</x:f>
        <x:v>0.4976854215012866</x:v>
      </x:c>
      <x:c r="C108" s="35" t="n">
        <x:f>B98*'Datos'!C8+C98*'Datos'!C9+D98*'Datos'!C10+E98*'Datos'!C11+F98*'Datos'!C12+G98*'Datos'!C13+H98*'Datos'!C14+I98*'Datos'!C15</x:f>
        <x:v>0.2251257156293157</x:v>
      </x:c>
      <x:c r="D108" s="35" t="n">
        <x:f>B98*'Datos'!D8+C98*'Datos'!D9+D98*'Datos'!D10+E98*'Datos'!D11+F98*'Datos'!D12+G98*'Datos'!D13+H98*'Datos'!D14+I98*'Datos'!D15</x:f>
        <x:v>0.13371682990472</x:v>
      </x:c>
      <x:c r="E108" s="35" t="n">
        <x:f>B98*'Datos'!E8+C98*'Datos'!E9+D98*'Datos'!E10+E98*'Datos'!E11+F98*'Datos'!E12+G98*'Datos'!E13+H98*'Datos'!E14+I98*'Datos'!E15</x:f>
        <x:v>0.058995776371656206</x:v>
      </x:c>
      <x:c r="F108" s="35" t="n">
        <x:f>B98*'Datos'!F8+C98*'Datos'!F9+D98*'Datos'!F10+E98*'Datos'!F11+F98*'Datos'!F12+G98*'Datos'!F13+H98*'Datos'!F14+I98*'Datos'!F15</x:f>
        <x:v>0.042621049821011614</x:v>
      </x:c>
      <x:c r="G108" s="35" t="n">
        <x:f>B98*'Datos'!G8+C98*'Datos'!G9+D98*'Datos'!G10+E98*'Datos'!G11+F98*'Datos'!G12+G98*'Datos'!G13+H98*'Datos'!G14+I98*'Datos'!G15</x:f>
        <x:v>0.01751203137942837</x:v>
      </x:c>
      <x:c r="H108" s="35" t="n">
        <x:f>B98*'Datos'!H8+C98*'Datos'!H9+D98*'Datos'!H10+E98*'Datos'!H11+F98*'Datos'!H12+G98*'Datos'!H13+H98*'Datos'!H14+I98*'Datos'!H15</x:f>
        <x:v>0.01375027333162487</x:v>
      </x:c>
      <x:c r="I108" s="35" t="n">
        <x:f>B98*'Datos'!I8+C98*'Datos'!I9+D98*'Datos'!I10+E98*'Datos'!I11+F98*'Datos'!I12+G98*'Datos'!I13+H98*'Datos'!I14+I98*'Datos'!I15</x:f>
        <x:v>0.010592902060956387</x:v>
      </x:c>
      <x:c r="J108" s="34" t="n">
        <x:f>SUM(B108:I108)</x:f>
        <x:v>0.9999999999999997</x:v>
      </x:c>
    </x:row>
    <x:row r="109" ht="22" customHeight="1">
      <x:c r="A109" s="31" t="str">
        <x:f>'Datos'!A9</x:f>
        <x:v>Aa</x:v>
      </x:c>
      <x:c r="B109" s="35" t="n">
        <x:f>B99*'Datos'!B8+C99*'Datos'!B9+D99*'Datos'!B10+E99*'Datos'!B11+F99*'Datos'!B12+G99*'Datos'!B13+H99*'Datos'!B14+I99*'Datos'!B15</x:f>
        <x:v>0.47205180704928806</x:v>
      </x:c>
      <x:c r="C109" s="35" t="n">
        <x:f>B99*'Datos'!C8+C99*'Datos'!C9+D99*'Datos'!C10+E99*'Datos'!C11+F99*'Datos'!C12+G99*'Datos'!C13+H99*'Datos'!C14+I99*'Datos'!C15</x:f>
        <x:v>0.21874629009968183</x:v>
      </x:c>
      <x:c r="D109" s="35" t="n">
        <x:f>B99*'Datos'!D8+C99*'Datos'!D9+D99*'Datos'!D10+E99*'Datos'!D11+F99*'Datos'!D12+G99*'Datos'!D13+H99*'Datos'!D14+I99*'Datos'!D15</x:f>
        <x:v>0.13663674516215632</x:v>
      </x:c>
      <x:c r="E109" s="35" t="n">
        <x:f>B99*'Datos'!E8+C99*'Datos'!E9+D99*'Datos'!E10+E99*'Datos'!E11+F99*'Datos'!E12+G99*'Datos'!E13+H99*'Datos'!E14+I99*'Datos'!E15</x:f>
        <x:v>0.06256763533934416</x:v>
      </x:c>
      <x:c r="F109" s="35" t="n">
        <x:f>B99*'Datos'!F8+C99*'Datos'!F9+D99*'Datos'!F10+E99*'Datos'!F11+F99*'Datos'!F12+G99*'Datos'!F13+H99*'Datos'!F14+I99*'Datos'!F15</x:f>
        <x:v>0.049844018756314015</x:v>
      </x:c>
      <x:c r="G109" s="35" t="n">
        <x:f>B99*'Datos'!G8+C99*'Datos'!G9+D99*'Datos'!G10+E99*'Datos'!G11+F99*'Datos'!G12+G99*'Datos'!G13+H99*'Datos'!G14+I99*'Datos'!G15</x:f>
        <x:v>0.022136753030889467</x:v>
      </x:c>
      <x:c r="H109" s="35" t="n">
        <x:f>B99*'Datos'!H8+C99*'Datos'!H9+D99*'Datos'!H10+E99*'Datos'!H11+F99*'Datos'!H12+G99*'Datos'!H13+H99*'Datos'!H14+I99*'Datos'!H15</x:f>
        <x:v>0.01924606363136217</x:v>
      </x:c>
      <x:c r="I109" s="35" t="n">
        <x:f>B99*'Datos'!I8+C99*'Datos'!I9+D99*'Datos'!I10+E99*'Datos'!I11+F99*'Datos'!I12+G99*'Datos'!I13+H99*'Datos'!I14+I99*'Datos'!I15</x:f>
        <x:v>0.01877068693096352</x:v>
      </x:c>
      <x:c r="J109" s="34" t="n">
        <x:f>SUM(B109:I109)</x:f>
        <x:v>0.9999999999999996</x:v>
      </x:c>
    </x:row>
    <x:row r="110" ht="22" customHeight="1">
      <x:c r="A110" s="31" t="str">
        <x:f>'Datos'!A10</x:f>
        <x:v>A</x:v>
      </x:c>
      <x:c r="B110" s="35" t="n">
        <x:f>B100*'Datos'!B8+C100*'Datos'!B9+D100*'Datos'!B10+E100*'Datos'!B11+F100*'Datos'!B12+G100*'Datos'!B13+H100*'Datos'!B14+I100*'Datos'!B15</x:f>
        <x:v>0.29724001538368483</x:v>
      </x:c>
      <x:c r="C110" s="35" t="n">
        <x:f>B100*'Datos'!C8+C100*'Datos'!C9+D100*'Datos'!C10+E100*'Datos'!C11+F100*'Datos'!C12+G100*'Datos'!C13+H100*'Datos'!C14+I100*'Datos'!C15</x:f>
        <x:v>0.16493825051050542</x:v>
      </x:c>
      <x:c r="D110" s="35" t="n">
        <x:f>B100*'Datos'!D8+C100*'Datos'!D9+D100*'Datos'!D10+E100*'Datos'!D11+F100*'Datos'!D12+G100*'Datos'!D13+H100*'Datos'!D14+I100*'Datos'!D15</x:f>
        <x:v>0.1441480652053578</x:v>
      </x:c>
      <x:c r="E110" s="35" t="n">
        <x:f>B100*'Datos'!E8+C100*'Datos'!E9+D100*'Datos'!E10+E100*'Datos'!E11+F100*'Datos'!E12+G100*'Datos'!E13+H100*'Datos'!E14+I100*'Datos'!E15</x:f>
        <x:v>0.07998637749368906</x:v>
      </x:c>
      <x:c r="F110" s="35" t="n">
        <x:f>B100*'Datos'!F8+C100*'Datos'!F9+D100*'Datos'!F10+E100*'Datos'!F11+F100*'Datos'!F12+G100*'Datos'!F13+H100*'Datos'!F14+I100*'Datos'!F15</x:f>
        <x:v>0.09552264242407522</x:v>
      </x:c>
      <x:c r="G110" s="35" t="n">
        <x:f>B100*'Datos'!G8+C100*'Datos'!G9+D100*'Datos'!G10+E100*'Datos'!G11+F100*'Datos'!G12+G100*'Datos'!G13+H100*'Datos'!G14+I100*'Datos'!G15</x:f>
        <x:v>0.054609064026622786</x:v>
      </x:c>
      <x:c r="H110" s="35" t="n">
        <x:f>B100*'Datos'!H8+C100*'Datos'!H9+D100*'Datos'!H10+E100*'Datos'!H11+F100*'Datos'!H12+G100*'Datos'!H13+H100*'Datos'!H14+I100*'Datos'!H15</x:f>
        <x:v>0.061850006893722616</x:v>
      </x:c>
      <x:c r="I110" s="35" t="n">
        <x:f>B100*'Datos'!I8+C100*'Datos'!I9+D100*'Datos'!I10+E100*'Datos'!I11+F100*'Datos'!I12+G100*'Datos'!I13+H100*'Datos'!I14+I100*'Datos'!I15</x:f>
        <x:v>0.10170557806234265</x:v>
      </x:c>
      <x:c r="J110" s="34" t="n">
        <x:f>SUM(B110:I110)</x:f>
        <x:v>1.0000000000000004</x:v>
      </x:c>
    </x:row>
    <x:row r="111" ht="22" customHeight="1">
      <x:c r="A111" s="31" t="str">
        <x:f>'Datos'!A11</x:f>
        <x:v>Baa</x:v>
      </x:c>
      <x:c r="B111" s="35" t="n">
        <x:f>B101*'Datos'!B8+C101*'Datos'!B9+D101*'Datos'!B10+E101*'Datos'!B11+F101*'Datos'!B12+G101*'Datos'!B13+H101*'Datos'!B14+I101*'Datos'!B15</x:f>
        <x:v>0.19130697759241105</x:v>
      </x:c>
      <x:c r="C111" s="35" t="n">
        <x:f>B101*'Datos'!C8+C101*'Datos'!C9+D101*'Datos'!C10+E101*'Datos'!C11+F101*'Datos'!C12+G101*'Datos'!C13+H101*'Datos'!C14+I101*'Datos'!C15</x:f>
        <x:v>0.11933881462359533</x:v>
      </x:c>
      <x:c r="D111" s="35" t="n">
        <x:f>B101*'Datos'!D8+C101*'Datos'!D9+D101*'Datos'!D10+E101*'Datos'!D11+F101*'Datos'!D12+G101*'Datos'!D13+H101*'Datos'!D14+I101*'Datos'!D15</x:f>
        <x:v>0.12394557571816588</x:v>
      </x:c>
      <x:c r="E111" s="35" t="n">
        <x:f>B101*'Datos'!E8+C101*'Datos'!E9+D101*'Datos'!E10+E101*'Datos'!E11+F101*'Datos'!E12+G101*'Datos'!E13+H101*'Datos'!E14+I101*'Datos'!E15</x:f>
        <x:v>0.07500423929915793</x:v>
      </x:c>
      <x:c r="F111" s="35" t="n">
        <x:f>B101*'Datos'!F8+C101*'Datos'!F9+D101*'Datos'!F10+E101*'Datos'!F11+F101*'Datos'!F12+G101*'Datos'!F13+H101*'Datos'!F14+I101*'Datos'!F15</x:f>
        <x:v>0.10697340745604494</x:v>
      </x:c>
      <x:c r="G111" s="35" t="n">
        <x:f>B101*'Datos'!G8+C101*'Datos'!G9+D101*'Datos'!G10+E101*'Datos'!G11+F101*'Datos'!G12+G101*'Datos'!G13+H101*'Datos'!G14+I101*'Datos'!G15</x:f>
        <x:v>0.06905559238589101</x:v>
      </x:c>
      <x:c r="H111" s="35" t="n">
        <x:f>B101*'Datos'!H8+C101*'Datos'!H9+D101*'Datos'!H10+E101*'Datos'!H11+F101*'Datos'!H12+G101*'Datos'!H13+H101*'Datos'!H14+I101*'Datos'!H15</x:f>
        <x:v>0.08852859249237893</x:v>
      </x:c>
      <x:c r="I111" s="35" t="n">
        <x:f>B101*'Datos'!I8+C101*'Datos'!I9+D101*'Datos'!I10+E101*'Datos'!I11+F101*'Datos'!I12+G101*'Datos'!I13+H101*'Datos'!I14+I101*'Datos'!I15</x:f>
        <x:v>0.2258468004323551</x:v>
      </x:c>
      <x:c r="J111" s="34" t="n">
        <x:f>SUM(B111:I111)</x:f>
        <x:v>1.0000000000000002</x:v>
      </x:c>
    </x:row>
    <x:row r="112" ht="22" customHeight="1">
      <x:c r="A112" s="31" t="str">
        <x:f>'Datos'!A12</x:f>
        <x:v>Ba</x:v>
      </x:c>
      <x:c r="B112" s="35" t="n">
        <x:f>B102*'Datos'!B8+C102*'Datos'!B9+D102*'Datos'!B10+E102*'Datos'!B11+F102*'Datos'!B12+G102*'Datos'!B13+H102*'Datos'!B14+I102*'Datos'!B15</x:f>
        <x:v>0.05424743059522244</x:v>
      </x:c>
      <x:c r="C112" s="35" t="n">
        <x:f>B102*'Datos'!C8+C102*'Datos'!C9+D102*'Datos'!C10+E102*'Datos'!C11+F102*'Datos'!C12+G102*'Datos'!C13+H102*'Datos'!C14+I102*'Datos'!C15</x:f>
        <x:v>0.04395639509274144</x:v>
      </x:c>
      <x:c r="D112" s="35" t="n">
        <x:f>B102*'Datos'!D8+C102*'Datos'!D9+D102*'Datos'!D10+E102*'Datos'!D11+F102*'Datos'!D12+G102*'Datos'!D13+H102*'Datos'!D14+I102*'Datos'!D15</x:f>
        <x:v>0.06404259118718733</x:v>
      </x:c>
      <x:c r="E112" s="35" t="n">
        <x:f>B102*'Datos'!E8+C102*'Datos'!E9+D102*'Datos'!E10+E102*'Datos'!E11+F102*'Datos'!E12+G102*'Datos'!E13+H102*'Datos'!E14+I102*'Datos'!E15</x:f>
        <x:v>0.046032293786652134</x:v>
      </x:c>
      <x:c r="F112" s="35" t="n">
        <x:f>B102*'Datos'!F8+C102*'Datos'!F9+D102*'Datos'!F10+E102*'Datos'!F11+F102*'Datos'!F12+G102*'Datos'!F13+H102*'Datos'!F14+I102*'Datos'!F15</x:f>
        <x:v>0.09131522664204009</x:v>
      </x:c>
      <x:c r="G112" s="35" t="n">
        <x:f>B102*'Datos'!G8+C102*'Datos'!G9+D102*'Datos'!G10+E102*'Datos'!G11+F102*'Datos'!G12+G102*'Datos'!G13+H102*'Datos'!G14+I102*'Datos'!G15</x:f>
        <x:v>0.0725773228679972</x:v>
      </x:c>
      <x:c r="H112" s="35" t="n">
        <x:f>B102*'Datos'!H8+C102*'Datos'!H9+D102*'Datos'!H10+E102*'Datos'!H11+F102*'Datos'!H12+G102*'Datos'!H13+H102*'Datos'!H14+I102*'Datos'!H15</x:f>
        <x:v>0.11103677391117173</x:v>
      </x:c>
      <x:c r="I112" s="35" t="n">
        <x:f>B102*'Datos'!I8+C102*'Datos'!I9+D102*'Datos'!I10+E102*'Datos'!I11+F102*'Datos'!I12+G102*'Datos'!I13+H102*'Datos'!I14+I102*'Datos'!I15</x:f>
        <x:v>0.5167919659169874</x:v>
      </x:c>
      <x:c r="J112" s="34" t="n">
        <x:f>SUM(B112:I112)</x:f>
        <x:v>0.9999999999999998</x:v>
      </x:c>
    </x:row>
    <x:row r="113" ht="22" customHeight="1">
      <x:c r="A113" s="31" t="str">
        <x:f>'Datos'!A13</x:f>
        <x:v>B</x:v>
      </x:c>
      <x:c r="B113" s="35" t="n">
        <x:f>B103*'Datos'!B8+C103*'Datos'!B9+D103*'Datos'!B10+E103*'Datos'!B11+F103*'Datos'!B12+G103*'Datos'!B13+H103*'Datos'!B14+I103*'Datos'!B15</x:f>
        <x:v>0.01432910780168411</x:v>
      </x:c>
      <x:c r="C113" s="35" t="n">
        <x:f>B103*'Datos'!C8+C103*'Datos'!C9+D103*'Datos'!C10+E103*'Datos'!C11+F103*'Datos'!C12+G103*'Datos'!C13+H103*'Datos'!C14+I103*'Datos'!C15</x:f>
        <x:v>0.013140950271321538</x:v>
      </x:c>
      <x:c r="D113" s="35" t="n">
        <x:f>B103*'Datos'!D8+C103*'Datos'!D9+D103*'Datos'!D10+E103*'Datos'!D11+F103*'Datos'!D12+G103*'Datos'!D13+H103*'Datos'!D14+I103*'Datos'!D15</x:f>
        <x:v>0.02221911163950115</x:v>
      </x:c>
      <x:c r="E113" s="35" t="n">
        <x:f>B103*'Datos'!E8+C103*'Datos'!E9+D103*'Datos'!E10+E103*'Datos'!E11+F103*'Datos'!E12+G103*'Datos'!E13+H103*'Datos'!E14+I103*'Datos'!E15</x:f>
        <x:v>0.017438487738629407</x:v>
      </x:c>
      <x:c r="F113" s="35" t="n">
        <x:f>B103*'Datos'!F8+C103*'Datos'!F9+D103*'Datos'!F10+E103*'Datos'!F11+F103*'Datos'!F12+G103*'Datos'!F13+H103*'Datos'!F14+I103*'Datos'!F15</x:f>
        <x:v>0.040116035803608244</x:v>
      </x:c>
      <x:c r="G113" s="35" t="n">
        <x:f>B103*'Datos'!G8+C103*'Datos'!G9+D103*'Datos'!G10+E103*'Datos'!G11+F103*'Datos'!G12+G103*'Datos'!G13+H103*'Datos'!G14+I103*'Datos'!G15</x:f>
        <x:v>0.036866145395453964</x:v>
      </x:c>
      <x:c r="H113" s="35" t="n">
        <x:f>B103*'Datos'!H8+C103*'Datos'!H9+D103*'Datos'!H10+E103*'Datos'!H11+F103*'Datos'!H12+G103*'Datos'!H13+H103*'Datos'!H14+I103*'Datos'!H15</x:f>
        <x:v>0.06343827829725372</x:v>
      </x:c>
      <x:c r="I113" s="35" t="n">
        <x:f>B103*'Datos'!I8+C103*'Datos'!I9+D103*'Datos'!I10+E103*'Datos'!I11+F103*'Datos'!I12+G103*'Datos'!I13+H103*'Datos'!I14+I103*'Datos'!I15</x:f>
        <x:v>0.7924518830525478</x:v>
      </x:c>
      <x:c r="J113" s="34" t="n">
        <x:f>SUM(B113:I113)</x:f>
        <x:v>0.9999999999999999</x:v>
      </x:c>
    </x:row>
    <x:row r="114" ht="22" customHeight="1">
      <x:c r="A114" s="31" t="str">
        <x:f>'Datos'!A14</x:f>
        <x:v>Caa-C</x:v>
      </x:c>
      <x:c r="B114" s="35" t="n">
        <x:f>B104*'Datos'!B8+C104*'Datos'!B9+D104*'Datos'!B10+E104*'Datos'!B11+F104*'Datos'!B12+G104*'Datos'!B13+H104*'Datos'!B14+I104*'Datos'!B15</x:f>
        <x:v>0.0028865162237282204</x:v>
      </x:c>
      <x:c r="C114" s="35" t="n">
        <x:f>B104*'Datos'!C8+C104*'Datos'!C9+D104*'Datos'!C10+E104*'Datos'!C11+F104*'Datos'!C12+G104*'Datos'!C13+H104*'Datos'!C14+I104*'Datos'!C15</x:f>
        <x:v>0.003270651453721869</x:v>
      </x:c>
      <x:c r="D114" s="35" t="n">
        <x:f>B104*'Datos'!D8+C104*'Datos'!D9+D104*'Datos'!D10+E104*'Datos'!D11+F104*'Datos'!D12+G104*'Datos'!D13+H104*'Datos'!D14+I104*'Datos'!D15</x:f>
        <x:v>0.0067680072554208714</x:v>
      </x:c>
      <x:c r="E114" s="35" t="n">
        <x:f>B104*'Datos'!E8+C104*'Datos'!E9+D104*'Datos'!E10+E104*'Datos'!E11+F104*'Datos'!E12+G104*'Datos'!E13+H104*'Datos'!E14+I104*'Datos'!E15</x:f>
        <x:v>0.005882203171716959</x:v>
      </x:c>
      <x:c r="F114" s="35" t="n">
        <x:f>B104*'Datos'!F8+C104*'Datos'!F9+D104*'Datos'!F10+E104*'Datos'!F11+F104*'Datos'!F12+G104*'Datos'!F13+H104*'Datos'!F14+I104*'Datos'!F15</x:f>
        <x:v>0.015566689207660333</x:v>
      </x:c>
      <x:c r="G114" s="35" t="n">
        <x:f>B104*'Datos'!G8+C104*'Datos'!G9+D104*'Datos'!G10+E104*'Datos'!G11+F104*'Datos'!G12+G104*'Datos'!G13+H104*'Datos'!G14+I104*'Datos'!G15</x:f>
        <x:v>0.016034484358718282</x:v>
      </x:c>
      <x:c r="H114" s="35" t="n">
        <x:f>B104*'Datos'!H8+C104*'Datos'!H9+D104*'Datos'!H10+E104*'Datos'!H11+F104*'Datos'!H12+G104*'Datos'!H13+H104*'Datos'!H14+I104*'Datos'!H15</x:f>
        <x:v>0.02974037663869141</x:v>
      </x:c>
      <x:c r="I114" s="35" t="n">
        <x:f>B104*'Datos'!I8+C104*'Datos'!I9+D104*'Datos'!I10+E104*'Datos'!I11+F104*'Datos'!I12+G104*'Datos'!I13+H104*'Datos'!I14+I104*'Datos'!I15</x:f>
        <x:v>0.919851071690342</x:v>
      </x:c>
      <x:c r="J114" s="34" t="n">
        <x:f>SUM(B114:I114)</x:f>
        <x:v>0.9999999999999999</x:v>
      </x:c>
    </x:row>
    <x:row r="115" ht="22" customHeight="1">
      <x:c r="A115" s="31" t="str">
        <x:f>'Datos'!A15</x:f>
        <x:v>Default</x:v>
      </x:c>
      <x:c r="B115" s="35" t="n">
        <x:f>B105*'Datos'!B8+C105*'Datos'!B9+D105*'Datos'!B10+E105*'Datos'!B11+F105*'Datos'!B12+G105*'Datos'!B13+H105*'Datos'!B14+I105*'Datos'!B15</x:f>
        <x:v>0</x:v>
      </x:c>
      <x:c r="C115" s="35" t="n">
        <x:f>B105*'Datos'!C8+C105*'Datos'!C9+D105*'Datos'!C10+E105*'Datos'!C11+F105*'Datos'!C12+G105*'Datos'!C13+H105*'Datos'!C14+I105*'Datos'!C15</x:f>
        <x:v>0</x:v>
      </x:c>
      <x:c r="D115" s="35" t="n">
        <x:f>B105*'Datos'!D8+C105*'Datos'!D9+D105*'Datos'!D10+E105*'Datos'!D11+F105*'Datos'!D12+G105*'Datos'!D13+H105*'Datos'!D14+I105*'Datos'!D15</x:f>
        <x:v>0</x:v>
      </x:c>
      <x:c r="E115" s="35" t="n">
        <x:f>B105*'Datos'!E8+C105*'Datos'!E9+D105*'Datos'!E10+E105*'Datos'!E11+F105*'Datos'!E12+G105*'Datos'!E13+H105*'Datos'!E14+I105*'Datos'!E15</x:f>
        <x:v>0</x:v>
      </x:c>
      <x:c r="F115" s="35" t="n">
        <x:f>B105*'Datos'!F8+C105*'Datos'!F9+D105*'Datos'!F10+E105*'Datos'!F11+F105*'Datos'!F12+G105*'Datos'!F13+H105*'Datos'!F14+I105*'Datos'!F15</x:f>
        <x:v>0</x:v>
      </x:c>
      <x:c r="G115" s="35" t="n">
        <x:f>B105*'Datos'!G8+C105*'Datos'!G9+D105*'Datos'!G10+E105*'Datos'!G11+F105*'Datos'!G12+G105*'Datos'!G13+H105*'Datos'!G14+I105*'Datos'!G15</x:f>
        <x:v>0</x:v>
      </x:c>
      <x:c r="H115" s="35" t="n">
        <x:f>B105*'Datos'!H8+C105*'Datos'!H9+D105*'Datos'!H10+E105*'Datos'!H11+F105*'Datos'!H12+G105*'Datos'!H13+H105*'Datos'!H14+I105*'Datos'!H15</x:f>
        <x:v>0</x:v>
      </x:c>
      <x:c r="I115" s="35" t="n">
        <x:f>B105*'Datos'!I8+C105*'Datos'!I9+D105*'Datos'!I10+E105*'Datos'!I11+F105*'Datos'!I12+G105*'Datos'!I13+H105*'Datos'!I14+I105*'Datos'!I15</x:f>
        <x:v>1</x:v>
      </x:c>
      <x:c r="J115" s="34" t="n">
        <x:f>SUM(B115:I115)</x:f>
        <x:v>1</x:v>
      </x:c>
    </x:row>
    <x:row r="116" ht="22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</x:row>
    <x:row r="117" ht="36" customHeight="1">
      <x:c r="A117" s="13" t="str">
        <x:v>P^11</x:v>
      </x:c>
      <x:c r="B117" s="13" t="str">
        <x:v>Aaa</x:v>
      </x:c>
      <x:c r="C117" s="13" t="str">
        <x:v>Aa</x:v>
      </x:c>
      <x:c r="D117" s="13" t="str">
        <x:v>A</x:v>
      </x:c>
      <x:c r="E117" s="13" t="str">
        <x:v>Baa</x:v>
      </x:c>
      <x:c r="F117" s="13" t="str">
        <x:v>Ba</x:v>
      </x:c>
      <x:c r="G117" s="13" t="str">
        <x:v>B</x:v>
      </x:c>
      <x:c r="H117" s="13" t="str">
        <x:v>Caa-C</x:v>
      </x:c>
      <x:c r="I117" s="13" t="str">
        <x:v>Default</x:v>
      </x:c>
      <x:c r="J117" s="13" t="str">
        <x:v>Suma</x:v>
      </x:c>
    </x:row>
    <x:row r="118" ht="22" customHeight="1">
      <x:c r="A118" s="31" t="str">
        <x:f>'Datos'!A8</x:f>
        <x:v>Aaa</x:v>
      </x:c>
      <x:c r="B118" s="35" t="n">
        <x:f>B108*'Datos'!B8+C108*'Datos'!B9+D108*'Datos'!B10+E108*'Datos'!B11+F108*'Datos'!B12+G108*'Datos'!B13+H108*'Datos'!B14+I108*'Datos'!B15</x:f>
        <x:v>0.48570772768476084</x:v>
      </x:c>
      <x:c r="C118" s="35" t="n">
        <x:f>B108*'Datos'!C8+C108*'Datos'!C9+D108*'Datos'!C10+E108*'Datos'!C11+F108*'Datos'!C12+G108*'Datos'!C13+H108*'Datos'!C14+I108*'Datos'!C15</x:f>
        <x:v>0.22170196877401208</x:v>
      </x:c>
      <x:c r="D118" s="35" t="n">
        <x:f>B108*'Datos'!D8+C108*'Datos'!D9+D108*'Datos'!D10+E108*'Datos'!D11+F108*'Datos'!D12+G108*'Datos'!D13+H108*'Datos'!D14+I108*'Datos'!D15</x:f>
        <x:v>0.13454604116674443</x:v>
      </x:c>
      <x:c r="E118" s="35" t="n">
        <x:f>B108*'Datos'!E8+C108*'Datos'!E9+D108*'Datos'!E10+E108*'Datos'!E11+F108*'Datos'!E12+G108*'Datos'!E13+H108*'Datos'!E14+I108*'Datos'!E15</x:f>
        <x:v>0.06036491063472761</x:v>
      </x:c>
      <x:c r="F118" s="35" t="n">
        <x:f>B108*'Datos'!F8+C108*'Datos'!F9+D108*'Datos'!F10+E108*'Datos'!F11+F108*'Datos'!F12+G108*'Datos'!F13+H108*'Datos'!F14+I108*'Datos'!F15</x:f>
        <x:v>0.045839550075917605</x:v>
      </x:c>
      <x:c r="G118" s="35" t="n">
        <x:f>B108*'Datos'!G8+C108*'Datos'!G9+D108*'Datos'!G10+E108*'Datos'!G11+F108*'Datos'!G12+G108*'Datos'!G13+H108*'Datos'!G14+I108*'Datos'!G15</x:f>
        <x:v>0.019711658330342954</x:v>
      </x:c>
      <x:c r="H118" s="35" t="n">
        <x:f>B108*'Datos'!H8+C108*'Datos'!H9+D108*'Datos'!H10+E108*'Datos'!H11+F108*'Datos'!H12+G108*'Datos'!H13+H108*'Datos'!H14+I108*'Datos'!H15</x:f>
        <x:v>0.016537266715165637</x:v>
      </x:c>
      <x:c r="I118" s="35" t="n">
        <x:f>B108*'Datos'!I8+C108*'Datos'!I9+D108*'Datos'!I10+E108*'Datos'!I11+F108*'Datos'!I12+G108*'Datos'!I13+H108*'Datos'!I14+I108*'Datos'!I15</x:f>
        <x:v>0.01559087661832862</x:v>
      </x:c>
      <x:c r="J118" s="34" t="n">
        <x:f>SUM(B118:I118)</x:f>
        <x:v>0.9999999999999997</x:v>
      </x:c>
    </x:row>
    <x:row r="119" ht="22" customHeight="1">
      <x:c r="A119" s="31" t="str">
        <x:f>'Datos'!A9</x:f>
        <x:v>Aa</x:v>
      </x:c>
      <x:c r="B119" s="35" t="n">
        <x:f>B109*'Datos'!B8+C109*'Datos'!B9+D109*'Datos'!B10+E109*'Datos'!B11+F109*'Datos'!B12+G109*'Datos'!B13+H109*'Datos'!B14+I109*'Datos'!B15</x:f>
        <x:v>0.46255627094035456</x:v>
      </x:c>
      <x:c r="C119" s="35" t="n">
        <x:f>B109*'Datos'!C8+C109*'Datos'!C9+D109*'Datos'!C10+E109*'Datos'!C11+F109*'Datos'!C12+G109*'Datos'!C13+H109*'Datos'!C14+I109*'Datos'!C15</x:f>
        <x:v>0.2151242470255517</x:v>
      </x:c>
      <x:c r="D119" s="35" t="n">
        <x:f>B109*'Datos'!D8+C109*'Datos'!D9+D109*'Datos'!D10+E109*'Datos'!D11+F109*'Datos'!D12+G109*'Datos'!D13+H109*'Datos'!D14+I109*'Datos'!D15</x:f>
        <x:v>0.13605807106968554</x:v>
      </x:c>
      <x:c r="E119" s="35" t="n">
        <x:f>B109*'Datos'!E8+C109*'Datos'!E9+D109*'Datos'!E10+E109*'Datos'!E11+F109*'Datos'!E12+G109*'Datos'!E13+H109*'Datos'!E14+I109*'Datos'!E15</x:f>
        <x:v>0.06293481267984048</x:v>
      </x:c>
      <x:c r="F119" s="35" t="n">
        <x:f>B109*'Datos'!F8+C109*'Datos'!F9+D109*'Datos'!F10+E109*'Datos'!F11+F109*'Datos'!F12+G109*'Datos'!F13+H109*'Datos'!F14+I109*'Datos'!F15</x:f>
        <x:v>0.051895755190540724</x:v>
      </x:c>
      <x:c r="G119" s="35" t="n">
        <x:f>B109*'Datos'!G8+C109*'Datos'!G9+D109*'Datos'!G10+E109*'Datos'!G11+F109*'Datos'!G12+G109*'Datos'!G13+H109*'Datos'!G14+I109*'Datos'!G15</x:f>
        <x:v>0.02386184531462299</x:v>
      </x:c>
      <x:c r="H119" s="35" t="n">
        <x:f>B109*'Datos'!H8+C109*'Datos'!H9+D109*'Datos'!H10+E109*'Datos'!H11+F109*'Datos'!H12+G109*'Datos'!H13+H109*'Datos'!H14+I109*'Datos'!H15</x:f>
        <x:v>0.021818662047693536</x:v>
      </x:c>
      <x:c r="I119" s="35" t="n">
        <x:f>B109*'Datos'!I8+C109*'Datos'!I9+D109*'Datos'!I10+E109*'Datos'!I11+F109*'Datos'!I12+G109*'Datos'!I13+H109*'Datos'!I14+I109*'Datos'!I15</x:f>
        <x:v>0.02575033573171011</x:v>
      </x:c>
      <x:c r="J119" s="34" t="n">
        <x:f>SUM(B119:I119)</x:f>
        <x:v>0.9999999999999996</x:v>
      </x:c>
    </x:row>
    <x:row r="120" ht="22" customHeight="1">
      <x:c r="A120" s="31" t="str">
        <x:f>'Datos'!A10</x:f>
        <x:v>A</x:v>
      </x:c>
      <x:c r="B120" s="35" t="n">
        <x:f>B110*'Datos'!B8+C110*'Datos'!B9+D110*'Datos'!B10+E110*'Datos'!B11+F110*'Datos'!B12+G110*'Datos'!B13+H110*'Datos'!B14+I110*'Datos'!B15</x:f>
        <x:v>0.30110423489524185</x:v>
      </x:c>
      <x:c r="C120" s="35" t="n">
        <x:f>B110*'Datos'!C8+C110*'Datos'!C9+D110*'Datos'!C10+E110*'Datos'!C11+F110*'Datos'!C12+G110*'Datos'!C13+H110*'Datos'!C14+I110*'Datos'!C15</x:f>
        <x:v>0.16200368708868093</x:v>
      </x:c>
      <x:c r="D120" s="35" t="n">
        <x:f>B110*'Datos'!D8+C110*'Datos'!D9+D110*'Datos'!D10+E110*'Datos'!D11+F110*'Datos'!D12+G110*'Datos'!D13+H110*'Datos'!D14+I110*'Datos'!D15</x:f>
        <x:v>0.1360892593428597</x:v>
      </x:c>
      <x:c r="E120" s="35" t="n">
        <x:f>B110*'Datos'!E8+C110*'Datos'!E9+D110*'Datos'!E10+E110*'Datos'!E11+F110*'Datos'!E12+G110*'Datos'!E13+H110*'Datos'!E14+I110*'Datos'!E15</x:f>
        <x:v>0.0746214018349438</x:v>
      </x:c>
      <x:c r="F120" s="35" t="n">
        <x:f>B110*'Datos'!F8+C110*'Datos'!F9+D110*'Datos'!F10+E110*'Datos'!F11+F110*'Datos'!F12+G110*'Datos'!F13+H110*'Datos'!F14+I110*'Datos'!F15</x:f>
        <x:v>0.08917471861598307</x:v>
      </x:c>
      <x:c r="G120" s="35" t="n">
        <x:f>B110*'Datos'!G8+C110*'Datos'!G9+D110*'Datos'!G10+E110*'Datos'!G11+F110*'Datos'!G12+G110*'Datos'!G13+H110*'Datos'!G14+I110*'Datos'!G15</x:f>
        <x:v>0.05206366976571726</x:v>
      </x:c>
      <x:c r="H120" s="35" t="n">
        <x:f>B110*'Datos'!H8+C110*'Datos'!H9+D110*'Datos'!H10+E110*'Datos'!H11+F110*'Datos'!H12+G110*'Datos'!H13+H110*'Datos'!H14+I110*'Datos'!H15</x:f>
        <x:v>0.06091788736731796</x:v>
      </x:c>
      <x:c r="I120" s="35" t="n">
        <x:f>B110*'Datos'!I8+C110*'Datos'!I9+D110*'Datos'!I10+E110*'Datos'!I11+F110*'Datos'!I12+G110*'Datos'!I13+H110*'Datos'!I14+I110*'Datos'!I15</x:f>
        <x:v>0.12402514108925583</x:v>
      </x:c>
      <x:c r="J120" s="34" t="n">
        <x:f>SUM(B120:I120)</x:f>
        <x:v>1.0000000000000004</x:v>
      </x:c>
    </x:row>
    <x:row r="121" ht="22" customHeight="1">
      <x:c r="A121" s="31" t="str">
        <x:f>'Datos'!A11</x:f>
        <x:v>Baa</x:v>
      </x:c>
      <x:c r="B121" s="35" t="n">
        <x:f>B111*'Datos'!B8+C111*'Datos'!B9+D111*'Datos'!B10+E111*'Datos'!B11+F111*'Datos'!B12+G111*'Datos'!B13+H111*'Datos'!B14+I111*'Datos'!B15</x:f>
        <x:v>0.19861528464204203</x:v>
      </x:c>
      <x:c r="C121" s="35" t="n">
        <x:f>B111*'Datos'!C8+C111*'Datos'!C9+D111*'Datos'!C10+E111*'Datos'!C11+F111*'Datos'!C12+G111*'Datos'!C13+H111*'Datos'!C14+I111*'Datos'!C15</x:f>
        <x:v>0.11770560095081216</x:v>
      </x:c>
      <x:c r="D121" s="35" t="n">
        <x:f>B111*'Datos'!D8+C111*'Datos'!D9+D111*'Datos'!D10+E111*'Datos'!D11+F111*'Datos'!D12+G111*'Datos'!D13+H111*'Datos'!D14+I111*'Datos'!D15</x:f>
        <x:v>0.11537488848815272</x:v>
      </x:c>
      <x:c r="E121" s="35" t="n">
        <x:f>B111*'Datos'!E8+C111*'Datos'!E9+D111*'Datos'!E10+E111*'Datos'!E11+F111*'Datos'!E12+G111*'Datos'!E13+H111*'Datos'!E14+I111*'Datos'!E15</x:f>
        <x:v>0.06862179901557375</x:v>
      </x:c>
      <x:c r="F121" s="35" t="n">
        <x:f>B111*'Datos'!F8+C111*'Datos'!F9+D111*'Datos'!F10+E111*'Datos'!F11+F111*'Datos'!F12+G111*'Datos'!F13+H111*'Datos'!F14+I111*'Datos'!F15</x:f>
        <x:v>0.09669302714228609</x:v>
      </x:c>
      <x:c r="G121" s="35" t="n">
        <x:f>B111*'Datos'!G8+C111*'Datos'!G9+D111*'Datos'!G10+E111*'Datos'!G11+F111*'Datos'!G12+G111*'Datos'!G13+H111*'Datos'!G14+I111*'Datos'!G15</x:f>
        <x:v>0.0630541771079089</x:v>
      </x:c>
      <x:c r="H121" s="35" t="n">
        <x:f>B111*'Datos'!H8+C111*'Datos'!H9+D111*'Datos'!H10+E111*'Datos'!H11+F111*'Datos'!H12+G111*'Datos'!H13+H111*'Datos'!H14+I111*'Datos'!H15</x:f>
        <x:v>0.08220164196999363</x:v>
      </x:c>
      <x:c r="I121" s="35" t="n">
        <x:f>B111*'Datos'!I8+C111*'Datos'!I9+D111*'Datos'!I10+E111*'Datos'!I11+F111*'Datos'!I12+G111*'Datos'!I13+H111*'Datos'!I14+I111*'Datos'!I15</x:f>
        <x:v>0.257733580683231</x:v>
      </x:c>
      <x:c r="J121" s="34" t="n">
        <x:f>SUM(B121:I121)</x:f>
        <x:v>1.0000000000000002</x:v>
      </x:c>
    </x:row>
    <x:row r="122" ht="22" customHeight="1">
      <x:c r="A122" s="31" t="str">
        <x:f>'Datos'!A12</x:f>
        <x:v>Ba</x:v>
      </x:c>
      <x:c r="B122" s="35" t="n">
        <x:f>B112*'Datos'!B8+C112*'Datos'!B9+D112*'Datos'!B10+E112*'Datos'!B11+F112*'Datos'!B12+G112*'Datos'!B13+H112*'Datos'!B14+I112*'Datos'!B15</x:f>
        <x:v>0.0601030677255649</x:v>
      </x:c>
      <x:c r="C122" s="35" t="n">
        <x:f>B112*'Datos'!C8+C112*'Datos'!C9+D112*'Datos'!C10+E112*'Datos'!C11+F112*'Datos'!C12+G112*'Datos'!C13+H112*'Datos'!C14+I112*'Datos'!C15</x:f>
        <x:v>0.04464058054196827</x:v>
      </x:c>
      <x:c r="D122" s="35" t="n">
        <x:f>B112*'Datos'!D8+C112*'Datos'!D9+D112*'Datos'!D10+E112*'Datos'!D11+F112*'Datos'!D12+G112*'Datos'!D13+H112*'Datos'!D14+I112*'Datos'!D15</x:f>
        <x:v>0.05975112143011864</x:v>
      </x:c>
      <x:c r="E122" s="35" t="n">
        <x:f>B112*'Datos'!E8+C112*'Datos'!E9+D112*'Datos'!E10+E112*'Datos'!E11+F112*'Datos'!E12+G112*'Datos'!E13+H112*'Datos'!E14+I112*'Datos'!E15</x:f>
        <x:v>0.041663557080594556</x:v>
      </x:c>
      <x:c r="F122" s="35" t="n">
        <x:f>B112*'Datos'!F8+C112*'Datos'!F9+D112*'Datos'!F10+E112*'Datos'!F11+F112*'Datos'!F12+G112*'Datos'!F13+H112*'Datos'!F14+I112*'Datos'!F15</x:f>
        <x:v>0.07924249313177424</x:v>
      </x:c>
      <x:c r="G122" s="35" t="n">
        <x:f>B112*'Datos'!G8+C112*'Datos'!G9+D112*'Datos'!G10+E112*'Datos'!G11+F112*'Datos'!G12+G112*'Datos'!G13+H112*'Datos'!G14+I112*'Datos'!G15</x:f>
        <x:v>0.062458901843032766</x:v>
      </x:c>
      <x:c r="H122" s="35" t="n">
        <x:f>B112*'Datos'!H8+C112*'Datos'!H9+D112*'Datos'!H10+E112*'Datos'!H11+F112*'Datos'!H12+G112*'Datos'!H13+H112*'Datos'!H14+I112*'Datos'!H15</x:f>
        <x:v>0.09544674527380678</x:v>
      </x:c>
      <x:c r="I122" s="35" t="n">
        <x:f>B112*'Datos'!I8+C112*'Datos'!I9+D112*'Datos'!I10+E112*'Datos'!I11+F112*'Datos'!I12+G112*'Datos'!I13+H112*'Datos'!I14+I112*'Datos'!I15</x:f>
        <x:v>0.5566935329731396</x:v>
      </x:c>
      <x:c r="J122" s="34" t="n">
        <x:f>SUM(B122:I122)</x:f>
        <x:v>0.9999999999999998</x:v>
      </x:c>
    </x:row>
    <x:row r="123" ht="22" customHeight="1">
      <x:c r="A123" s="31" t="str">
        <x:f>'Datos'!A13</x:f>
        <x:v>B</x:v>
      </x:c>
      <x:c r="B123" s="35" t="n">
        <x:f>B113*'Datos'!B8+C113*'Datos'!B9+D113*'Datos'!B10+E113*'Datos'!B11+F113*'Datos'!B12+G113*'Datos'!B13+H113*'Datos'!B14+I113*'Datos'!B15</x:f>
        <x:v>0.016463716937111926</x:v>
      </x:c>
      <x:c r="C123" s="35" t="n">
        <x:f>B113*'Datos'!C8+C113*'Datos'!C9+D113*'Datos'!C10+E113*'Datos'!C11+F113*'Datos'!C12+G113*'Datos'!C13+H113*'Datos'!C14+I113*'Datos'!C15</x:f>
        <x:v>0.013676121652998805</x:v>
      </x:c>
      <x:c r="D123" s="35" t="n">
        <x:f>B113*'Datos'!D8+C113*'Datos'!D9+D113*'Datos'!D10+E113*'Datos'!D11+F113*'Datos'!D12+G113*'Datos'!D13+H113*'Datos'!D14+I113*'Datos'!D15</x:f>
        <x:v>0.02107890916052199</x:v>
      </x:c>
      <x:c r="E123" s="35" t="n">
        <x:f>B113*'Datos'!E8+C113*'Datos'!E9+D113*'Datos'!E10+E113*'Datos'!E11+F113*'Datos'!E12+G113*'Datos'!E13+H113*'Datos'!E14+I113*'Datos'!E15</x:f>
        <x:v>0.015917427875170607</x:v>
      </x:c>
      <x:c r="F123" s="35" t="n">
        <x:f>B113*'Datos'!F8+C113*'Datos'!F9+D113*'Datos'!F10+E113*'Datos'!F11+F113*'Datos'!F12+G113*'Datos'!F13+H113*'Datos'!F14+I113*'Datos'!F15</x:f>
        <x:v>0.034706122417303746</x:v>
      </x:c>
      <x:c r="G123" s="35" t="n">
        <x:f>B113*'Datos'!G8+C113*'Datos'!G9+D113*'Datos'!G10+E113*'Datos'!G11+F113*'Datos'!G12+G113*'Datos'!G13+H113*'Datos'!G14+I113*'Datos'!G15</x:f>
        <x:v>0.0308902269734587</x:v>
      </x:c>
      <x:c r="H123" s="35" t="n">
        <x:f>B113*'Datos'!H8+C113*'Datos'!H9+D113*'Datos'!H10+E113*'Datos'!H11+F113*'Datos'!H12+G113*'Datos'!H13+H113*'Datos'!H14+I113*'Datos'!H15</x:f>
        <x:v>0.05204877240722888</x:v>
      </x:c>
      <x:c r="I123" s="35" t="n">
        <x:f>B113*'Datos'!I8+C113*'Datos'!I9+D113*'Datos'!I10+E113*'Datos'!I11+F113*'Datos'!I12+G113*'Datos'!I13+H113*'Datos'!I14+I113*'Datos'!I15</x:f>
        <x:v>0.8152187025762052</x:v>
      </x:c>
      <x:c r="J123" s="34" t="n">
        <x:f>SUM(B123:I123)</x:f>
        <x:v>0.9999999999999999</x:v>
      </x:c>
    </x:row>
    <x:row r="124" ht="22" customHeight="1">
      <x:c r="A124" s="31" t="str">
        <x:f>'Datos'!A14</x:f>
        <x:v>Caa-C</x:v>
      </x:c>
      <x:c r="B124" s="35" t="n">
        <x:f>B114*'Datos'!B8+C114*'Datos'!B9+D114*'Datos'!B10+E114*'Datos'!B11+F114*'Datos'!B12+G114*'Datos'!B13+H114*'Datos'!B14+I114*'Datos'!B15</x:f>
        <x:v>0.003558267593314549</x:v>
      </x:c>
      <x:c r="C124" s="35" t="n">
        <x:f>B114*'Datos'!C8+C114*'Datos'!C9+D114*'Datos'!C10+E114*'Datos'!C11+F114*'Datos'!C12+G114*'Datos'!C13+H114*'Datos'!C14+I114*'Datos'!C15</x:f>
        <x:v>0.0035484178181826656</x:v>
      </x:c>
      <x:c r="D124" s="35" t="n">
        <x:f>B114*'Datos'!D8+C114*'Datos'!D9+D114*'Datos'!D10+E114*'Datos'!D11+F114*'Datos'!D12+G114*'Datos'!D13+H114*'Datos'!D14+I114*'Datos'!D15</x:f>
        <x:v>0.006575305275955117</x:v>
      </x:c>
      <x:c r="E124" s="35" t="n">
        <x:f>B114*'Datos'!E8+C114*'Datos'!E9+D114*'Datos'!E10+E114*'Datos'!E11+F114*'Datos'!E12+G114*'Datos'!E13+H114*'Datos'!E14+I114*'Datos'!E15</x:f>
        <x:v>0.005429593430981543</x:v>
      </x:c>
      <x:c r="F124" s="35" t="n">
        <x:f>B114*'Datos'!F8+C114*'Datos'!F9+D114*'Datos'!F10+E114*'Datos'!F11+F114*'Datos'!F12+G114*'Datos'!F13+H114*'Datos'!F14+I114*'Datos'!F15</x:f>
        <x:v>0.013454149453557402</x:v>
      </x:c>
      <x:c r="G124" s="35" t="n">
        <x:f>B114*'Datos'!G8+C114*'Datos'!G9+D114*'Datos'!G10+E114*'Datos'!G11+F114*'Datos'!G12+G114*'Datos'!G13+H114*'Datos'!G14+I114*'Datos'!G15</x:f>
        <x:v>0.013190747609153364</x:v>
      </x:c>
      <x:c r="H124" s="35" t="n">
        <x:f>B114*'Datos'!H8+C114*'Datos'!H9+D114*'Datos'!H10+E114*'Datos'!H11+F114*'Datos'!H12+G114*'Datos'!H13+H114*'Datos'!H14+I114*'Datos'!H15</x:f>
        <x:v>0.023727322666649966</x:v>
      </x:c>
      <x:c r="I124" s="35" t="n">
        <x:f>B114*'Datos'!I8+C114*'Datos'!I9+D114*'Datos'!I10+E114*'Datos'!I11+F114*'Datos'!I12+G114*'Datos'!I13+H114*'Datos'!I14+I114*'Datos'!I15</x:f>
        <x:v>0.9305161961522053</x:v>
      </x:c>
      <x:c r="J124" s="34" t="n">
        <x:f>SUM(B124:I124)</x:f>
        <x:v>0.9999999999999999</x:v>
      </x:c>
    </x:row>
    <x:row r="125" ht="22" customHeight="1">
      <x:c r="A125" s="31" t="str">
        <x:f>'Datos'!A15</x:f>
        <x:v>Default</x:v>
      </x:c>
      <x:c r="B125" s="35" t="n">
        <x:f>B115*'Datos'!B8+C115*'Datos'!B9+D115*'Datos'!B10+E115*'Datos'!B11+F115*'Datos'!B12+G115*'Datos'!B13+H115*'Datos'!B14+I115*'Datos'!B15</x:f>
        <x:v>0</x:v>
      </x:c>
      <x:c r="C125" s="35" t="n">
        <x:f>B115*'Datos'!C8+C115*'Datos'!C9+D115*'Datos'!C10+E115*'Datos'!C11+F115*'Datos'!C12+G115*'Datos'!C13+H115*'Datos'!C14+I115*'Datos'!C15</x:f>
        <x:v>0</x:v>
      </x:c>
      <x:c r="D125" s="35" t="n">
        <x:f>B115*'Datos'!D8+C115*'Datos'!D9+D115*'Datos'!D10+E115*'Datos'!D11+F115*'Datos'!D12+G115*'Datos'!D13+H115*'Datos'!D14+I115*'Datos'!D15</x:f>
        <x:v>0</x:v>
      </x:c>
      <x:c r="E125" s="35" t="n">
        <x:f>B115*'Datos'!E8+C115*'Datos'!E9+D115*'Datos'!E10+E115*'Datos'!E11+F115*'Datos'!E12+G115*'Datos'!E13+H115*'Datos'!E14+I115*'Datos'!E15</x:f>
        <x:v>0</x:v>
      </x:c>
      <x:c r="F125" s="35" t="n">
        <x:f>B115*'Datos'!F8+C115*'Datos'!F9+D115*'Datos'!F10+E115*'Datos'!F11+F115*'Datos'!F12+G115*'Datos'!F13+H115*'Datos'!F14+I115*'Datos'!F15</x:f>
        <x:v>0</x:v>
      </x:c>
      <x:c r="G125" s="35" t="n">
        <x:f>B115*'Datos'!G8+C115*'Datos'!G9+D115*'Datos'!G10+E115*'Datos'!G11+F115*'Datos'!G12+G115*'Datos'!G13+H115*'Datos'!G14+I115*'Datos'!G15</x:f>
        <x:v>0</x:v>
      </x:c>
      <x:c r="H125" s="35" t="n">
        <x:f>B115*'Datos'!H8+C115*'Datos'!H9+D115*'Datos'!H10+E115*'Datos'!H11+F115*'Datos'!H12+G115*'Datos'!H13+H115*'Datos'!H14+I115*'Datos'!H15</x:f>
        <x:v>0</x:v>
      </x:c>
      <x:c r="I125" s="35" t="n">
        <x:f>B115*'Datos'!I8+C115*'Datos'!I9+D115*'Datos'!I10+E115*'Datos'!I11+F115*'Datos'!I12+G115*'Datos'!I13+H115*'Datos'!I14+I115*'Datos'!I15</x:f>
        <x:v>1</x:v>
      </x:c>
      <x:c r="J125" s="34" t="n">
        <x:f>SUM(B125:I125)</x:f>
        <x:v>1</x:v>
      </x:c>
    </x:row>
    <x:row r="126" ht="22" customHeight="1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</x:row>
    <x:row r="127" ht="36" customHeight="1">
      <x:c r="A127" s="13" t="str">
        <x:v>P^12</x:v>
      </x:c>
      <x:c r="B127" s="13" t="str">
        <x:v>Aaa</x:v>
      </x:c>
      <x:c r="C127" s="13" t="str">
        <x:v>Aa</x:v>
      </x:c>
      <x:c r="D127" s="13" t="str">
        <x:v>A</x:v>
      </x:c>
      <x:c r="E127" s="13" t="str">
        <x:v>Baa</x:v>
      </x:c>
      <x:c r="F127" s="13" t="str">
        <x:v>Ba</x:v>
      </x:c>
      <x:c r="G127" s="13" t="str">
        <x:v>B</x:v>
      </x:c>
      <x:c r="H127" s="13" t="str">
        <x:v>Caa-C</x:v>
      </x:c>
      <x:c r="I127" s="13" t="str">
        <x:v>Default</x:v>
      </x:c>
      <x:c r="J127" s="13" t="str">
        <x:v>Suma</x:v>
      </x:c>
    </x:row>
    <x:row r="128" ht="22" customHeight="1">
      <x:c r="A128" s="31" t="str">
        <x:f>'Datos'!A8</x:f>
        <x:v>Aaa</x:v>
      </x:c>
      <x:c r="B128" s="35" t="n">
        <x:f>B118*'Datos'!B8+C118*'Datos'!B9+D118*'Datos'!B10+E118*'Datos'!B11+F118*'Datos'!B12+G118*'Datos'!B13+H118*'Datos'!B14+I118*'Datos'!B15</x:f>
        <x:v>0.474736468860096</x:v>
      </x:c>
      <x:c r="C128" s="35" t="n">
        <x:f>B118*'Datos'!C8+C118*'Datos'!C9+D118*'Datos'!C10+E118*'Datos'!C11+F118*'Datos'!C12+G118*'Datos'!C13+H118*'Datos'!C14+I118*'Datos'!C15</x:f>
        <x:v>0.21827285940034483</x:v>
      </x:c>
      <x:c r="D128" s="35" t="n">
        <x:f>B118*'Datos'!D8+C118*'Datos'!D9+D118*'Datos'!D10+E118*'Datos'!D11+F118*'Datos'!D12+G118*'Datos'!D13+H118*'Datos'!D14+I118*'Datos'!D15</x:f>
        <x:v>0.13480888169798205</x:v>
      </x:c>
      <x:c r="E128" s="35" t="n">
        <x:f>B118*'Datos'!E8+C118*'Datos'!E9+D118*'Datos'!E10+E118*'Datos'!E11+F118*'Datos'!E12+G118*'Datos'!E13+H118*'Datos'!E14+I118*'Datos'!E15</x:f>
        <x:v>0.06131342884182257</x:v>
      </x:c>
      <x:c r="F128" s="35" t="n">
        <x:f>B118*'Datos'!F8+C118*'Datos'!F9+D118*'Datos'!F10+E118*'Datos'!F11+F118*'Datos'!F12+G118*'Datos'!F13+H118*'Datos'!F14+I118*'Datos'!F15</x:f>
        <x:v>0.04849422294395709</x:v>
      </x:c>
      <x:c r="G128" s="35" t="n">
        <x:f>B118*'Datos'!G8+C118*'Datos'!G9+D118*'Datos'!G10+E118*'Datos'!G11+F118*'Datos'!G12+G118*'Datos'!G13+H118*'Datos'!G14+I118*'Datos'!G15</x:f>
        <x:v>0.021645190666983182</x:v>
      </x:c>
      <x:c r="H128" s="35" t="n">
        <x:f>B118*'Datos'!H8+C118*'Datos'!H9+D118*'Datos'!H10+E118*'Datos'!H11+F118*'Datos'!H12+G118*'Datos'!H13+H118*'Datos'!H14+I118*'Datos'!H15</x:f>
        <x:v>0.01913611942954389</x:v>
      </x:c>
      <x:c r="I128" s="35" t="n">
        <x:f>B118*'Datos'!I8+C118*'Datos'!I9+D118*'Datos'!I10+E118*'Datos'!I11+F118*'Datos'!I12+G118*'Datos'!I13+H118*'Datos'!I14+I118*'Datos'!I15</x:f>
        <x:v>0.02159282815927012</x:v>
      </x:c>
      <x:c r="J128" s="34" t="n">
        <x:f>SUM(B128:I128)</x:f>
        <x:v>0.9999999999999997</x:v>
      </x:c>
    </x:row>
    <x:row r="129" ht="22" customHeight="1">
      <x:c r="A129" s="31" t="str">
        <x:f>'Datos'!A9</x:f>
        <x:v>Aa</x:v>
      </x:c>
      <x:c r="B129" s="35" t="n">
        <x:f>B119*'Datos'!B8+C119*'Datos'!B9+D119*'Datos'!B10+E119*'Datos'!B11+F119*'Datos'!B12+G119*'Datos'!B13+H119*'Datos'!B14+I119*'Datos'!B15</x:f>
        <x:v>0.45354184896933536</x:v>
      </x:c>
      <x:c r="C129" s="35" t="n">
        <x:f>B119*'Datos'!C8+C119*'Datos'!C9+D119*'Datos'!C10+E119*'Datos'!C11+F119*'Datos'!C12+G119*'Datos'!C13+H119*'Datos'!C14+I119*'Datos'!C15</x:f>
        <x:v>0.21165114966984544</x:v>
      </x:c>
      <x:c r="D129" s="35" t="n">
        <x:f>B119*'Datos'!D8+C119*'Datos'!D9+D119*'Datos'!D10+E119*'Datos'!D11+F119*'Datos'!D12+G119*'Datos'!D13+H119*'Datos'!D14+I119*'Datos'!D15</x:f>
        <x:v>0.13523844545285701</x:v>
      </x:c>
      <x:c r="E129" s="35" t="n">
        <x:f>B119*'Datos'!E8+C119*'Datos'!E9+D119*'Datos'!E10+E119*'Datos'!E11+F119*'Datos'!E12+G119*'Datos'!E13+H119*'Datos'!E14+I119*'Datos'!E15</x:f>
        <x:v>0.0630823249972895</x:v>
      </x:c>
      <x:c r="F129" s="35" t="n">
        <x:f>B119*'Datos'!F8+C119*'Datos'!F9+D119*'Datos'!F10+E119*'Datos'!F11+F119*'Datos'!F12+G119*'Datos'!F13+H119*'Datos'!F14+I119*'Datos'!F15</x:f>
        <x:v>0.053488512427288096</x:v>
      </x:c>
      <x:c r="G129" s="35" t="n">
        <x:f>B119*'Datos'!G8+C119*'Datos'!G9+D119*'Datos'!G10+E119*'Datos'!G11+F119*'Datos'!G12+G119*'Datos'!G13+H119*'Datos'!G14+I119*'Datos'!G15</x:f>
        <x:v>0.02529174332397953</x:v>
      </x:c>
      <x:c r="H129" s="35" t="n">
        <x:f>B119*'Datos'!H8+C119*'Datos'!H9+D119*'Datos'!H10+E119*'Datos'!H11+F119*'Datos'!H12+G119*'Datos'!H13+H119*'Datos'!H14+I119*'Datos'!H15</x:f>
        <x:v>0.024051253853384764</x:v>
      </x:c>
      <x:c r="I129" s="35" t="n">
        <x:f>B119*'Datos'!I8+C119*'Datos'!I9+D119*'Datos'!I10+E119*'Datos'!I11+F119*'Datos'!I12+G119*'Datos'!I13+H119*'Datos'!I14+I119*'Datos'!I15</x:f>
        <x:v>0.033654721306019895</x:v>
      </x:c>
      <x:c r="J129" s="34" t="n">
        <x:f>SUM(B129:I129)</x:f>
        <x:v>0.9999999999999997</x:v>
      </x:c>
    </x:row>
    <x:row r="130" ht="22" customHeight="1">
      <x:c r="A130" s="31" t="str">
        <x:f>'Datos'!A10</x:f>
        <x:v>A</x:v>
      </x:c>
      <x:c r="B130" s="35" t="n">
        <x:f>B120*'Datos'!B8+C120*'Datos'!B9+D120*'Datos'!B10+E120*'Datos'!B11+F120*'Datos'!B12+G120*'Datos'!B13+H120*'Datos'!B14+I120*'Datos'!B15</x:f>
        <x:v>0.3031960467252034</x:v>
      </x:c>
      <x:c r="C130" s="35" t="n">
        <x:f>B120*'Datos'!C8+C120*'Datos'!C9+D120*'Datos'!C10+E120*'Datos'!C11+F120*'Datos'!C12+G120*'Datos'!C13+H120*'Datos'!C14+I120*'Datos'!C15</x:f>
        <x:v>0.15932795778221365</x:v>
      </x:c>
      <x:c r="D130" s="35" t="n">
        <x:f>B120*'Datos'!D8+C120*'Datos'!D9+D120*'Datos'!D10+E120*'Datos'!D11+F120*'Datos'!D12+G120*'Datos'!D13+H120*'Datos'!D14+I120*'Datos'!D15</x:f>
        <x:v>0.12946675104969138</x:v>
      </x:c>
      <x:c r="E130" s="35" t="n">
        <x:f>B120*'Datos'!E8+C120*'Datos'!E9+D120*'Datos'!E10+E120*'Datos'!E11+F120*'Datos'!E12+G120*'Datos'!E13+H120*'Datos'!E14+I120*'Datos'!E15</x:f>
        <x:v>0.07016551844601024</x:v>
      </x:c>
      <x:c r="F130" s="35" t="n">
        <x:f>B120*'Datos'!F8+C120*'Datos'!F9+D120*'Datos'!F10+E120*'Datos'!F11+F120*'Datos'!F12+G120*'Datos'!F13+H120*'Datos'!F14+I120*'Datos'!F15</x:f>
        <x:v>0.0834149916549405</x:v>
      </x:c>
      <x:c r="G130" s="35" t="n">
        <x:f>B120*'Datos'!G8+C120*'Datos'!G9+D120*'Datos'!G10+E120*'Datos'!G11+F120*'Datos'!G12+G120*'Datos'!G13+H120*'Datos'!G14+I120*'Datos'!G15</x:f>
        <x:v>0.049366645806487724</x:v>
      </x:c>
      <x:c r="H130" s="35" t="n">
        <x:f>B120*'Datos'!H8+C120*'Datos'!H9+D120*'Datos'!H10+E120*'Datos'!H11+F120*'Datos'!H12+G120*'Datos'!H13+H120*'Datos'!H14+I120*'Datos'!H15</x:f>
        <x:v>0.059065043590067895</x:v>
      </x:c>
      <x:c r="I130" s="35" t="n">
        <x:f>B120*'Datos'!I8+C120*'Datos'!I9+D120*'Datos'!I10+E120*'Datos'!I11+F120*'Datos'!I12+G120*'Datos'!I13+H120*'Datos'!I14+I120*'Datos'!I15</x:f>
        <x:v>0.14599704494538557</x:v>
      </x:c>
      <x:c r="J130" s="34" t="n">
        <x:f>SUM(B130:I130)</x:f>
        <x:v>1.0000000000000004</x:v>
      </x:c>
    </x:row>
    <x:row r="131" ht="22" customHeight="1">
      <x:c r="A131" s="31" t="str">
        <x:f>'Datos'!A11</x:f>
        <x:v>Baa</x:v>
      </x:c>
      <x:c r="B131" s="35" t="n">
        <x:f>B121*'Datos'!B8+C121*'Datos'!B9+D121*'Datos'!B10+E121*'Datos'!B11+F121*'Datos'!B12+G121*'Datos'!B13+H121*'Datos'!B14+I121*'Datos'!B15</x:f>
        <x:v>0.20396054174603728</x:v>
      </x:c>
      <x:c r="C131" s="35" t="n">
        <x:f>B121*'Datos'!C8+C121*'Datos'!C9+D121*'Datos'!C10+E121*'Datos'!C11+F121*'Datos'!C12+G121*'Datos'!C13+H121*'Datos'!C14+I121*'Datos'!C15</x:f>
        <x:v>0.11614530249914401</x:v>
      </x:c>
      <x:c r="D131" s="35" t="n">
        <x:f>B121*'Datos'!D8+C121*'Datos'!D9+D121*'Datos'!D10+E121*'Datos'!D11+F121*'Datos'!D12+G121*'Datos'!D13+H121*'Datos'!D14+I121*'Datos'!D15</x:f>
        <x:v>0.10826407701703354</x:v>
      </x:c>
      <x:c r="E131" s="35" t="n">
        <x:f>B121*'Datos'!E8+C121*'Datos'!E9+D121*'Datos'!E10+E121*'Datos'!E11+F121*'Datos'!E12+G121*'Datos'!E13+H121*'Datos'!E14+I121*'Datos'!E15</x:f>
        <x:v>0.06328913212828235</x:v>
      </x:c>
      <x:c r="F131" s="35" t="n">
        <x:f>B121*'Datos'!F8+C121*'Datos'!F9+D121*'Datos'!F10+E121*'Datos'!F11+F121*'Datos'!F12+G121*'Datos'!F13+H121*'Datos'!F14+I121*'Datos'!F15</x:f>
        <x:v>0.08775248581290974</x:v>
      </x:c>
      <x:c r="G131" s="35" t="n">
        <x:f>B121*'Datos'!G8+C121*'Datos'!G9+D121*'Datos'!G10+E121*'Datos'!G11+F121*'Datos'!G12+G121*'Datos'!G13+H121*'Datos'!G14+I121*'Datos'!G15</x:f>
        <x:v>0.057500446860539275</x:v>
      </x:c>
      <x:c r="H131" s="35" t="n">
        <x:f>B121*'Datos'!H8+C121*'Datos'!H9+D121*'Datos'!H10+E121*'Datos'!H11+F121*'Datos'!H12+G121*'Datos'!H13+H121*'Datos'!H14+I121*'Datos'!H15</x:f>
        <x:v>0.07575347078491335</x:v>
      </x:c>
      <x:c r="I131" s="35" t="n">
        <x:f>B121*'Datos'!I8+C121*'Datos'!I9+D121*'Datos'!I10+E121*'Datos'!I11+F121*'Datos'!I12+G121*'Datos'!I13+H121*'Datos'!I14+I121*'Datos'!I15</x:f>
        <x:v>0.2873345431511407</x:v>
      </x:c>
      <x:c r="J131" s="34" t="n">
        <x:f>SUM(B131:I131)</x:f>
        <x:v>1.0000000000000002</x:v>
      </x:c>
    </x:row>
    <x:row r="132" ht="22" customHeight="1">
      <x:c r="A132" s="31" t="str">
        <x:f>'Datos'!A12</x:f>
        <x:v>Ba</x:v>
      </x:c>
      <x:c r="B132" s="35" t="n">
        <x:f>B122*'Datos'!B8+C122*'Datos'!B9+D122*'Datos'!B10+E122*'Datos'!B11+F122*'Datos'!B12+G122*'Datos'!B13+H122*'Datos'!B14+I122*'Datos'!B15</x:f>
        <x:v>0.06507883369246056</x:v>
      </x:c>
      <x:c r="C132" s="35" t="n">
        <x:f>B122*'Datos'!C8+C122*'Datos'!C9+D122*'Datos'!C10+E122*'Datos'!C11+F122*'Datos'!C12+G122*'Datos'!C13+H122*'Datos'!C14+I122*'Datos'!C15</x:f>
        <x:v>0.04501416318325919</x:v>
      </x:c>
      <x:c r="D132" s="35" t="n">
        <x:f>B122*'Datos'!D8+C122*'Datos'!D9+D122*'Datos'!D10+E122*'Datos'!D11+F122*'Datos'!D12+G122*'Datos'!D13+H122*'Datos'!D14+I122*'Datos'!D15</x:f>
        <x:v>0.05583674612785566</x:v>
      </x:c>
      <x:c r="E132" s="35" t="n">
        <x:f>B122*'Datos'!E8+C122*'Datos'!E9+D122*'Datos'!E10+E122*'Datos'!E11+F122*'Datos'!E12+G122*'Datos'!E13+H122*'Datos'!E14+I122*'Datos'!E15</x:f>
        <x:v>0.03784571871610974</x:v>
      </x:c>
      <x:c r="F132" s="35" t="n">
        <x:f>B122*'Datos'!F8+C122*'Datos'!F9+D122*'Datos'!F10+E122*'Datos'!F11+F122*'Datos'!F12+G122*'Datos'!F13+H122*'Datos'!F14+I122*'Datos'!F15</x:f>
        <x:v>0.06919074120317374</x:v>
      </x:c>
      <x:c r="G132" s="35" t="n">
        <x:f>B122*'Datos'!G8+C122*'Datos'!G9+D122*'Datos'!G10+E122*'Datos'!G11+F122*'Datos'!G12+G122*'Datos'!G13+H122*'Datos'!G14+I122*'Datos'!G15</x:f>
        <x:v>0.053948905636135865</x:v>
      </x:c>
      <x:c r="H132" s="35" t="n">
        <x:f>B122*'Datos'!H8+C122*'Datos'!H9+D122*'Datos'!H10+E122*'Datos'!H11+F122*'Datos'!H12+G122*'Datos'!H13+H122*'Datos'!H14+I122*'Datos'!H15</x:f>
        <x:v>0.08209160042171298</x:v>
      </x:c>
      <x:c r="I132" s="35" t="n">
        <x:f>B122*'Datos'!I8+C122*'Datos'!I9+D122*'Datos'!I10+E122*'Datos'!I11+F122*'Datos'!I12+G122*'Datos'!I13+H122*'Datos'!I14+I122*'Datos'!I15</x:f>
        <x:v>0.590993291019292</x:v>
      </x:c>
      <x:c r="J132" s="34" t="n">
        <x:f>SUM(B132:I132)</x:f>
        <x:v>0.9999999999999998</x:v>
      </x:c>
    </x:row>
    <x:row r="133" ht="22" customHeight="1">
      <x:c r="A133" s="31" t="str">
        <x:f>'Datos'!A13</x:f>
        <x:v>B</x:v>
      </x:c>
      <x:c r="B133" s="35" t="n">
        <x:f>B123*'Datos'!B8+C123*'Datos'!B9+D123*'Datos'!B10+E123*'Datos'!B11+F123*'Datos'!B12+G123*'Datos'!B13+H123*'Datos'!B14+I123*'Datos'!B15</x:f>
        <x:v>0.018377865802006055</x:v>
      </x:c>
      <x:c r="C133" s="35" t="n">
        <x:f>B123*'Datos'!C8+C123*'Datos'!C9+D123*'Datos'!C10+E123*'Datos'!C11+F123*'Datos'!C12+G123*'Datos'!C13+H123*'Datos'!C14+I123*'Datos'!C15</x:f>
        <x:v>0.014054545533227217</x:v>
      </x:c>
      <x:c r="D133" s="35" t="n">
        <x:f>B123*'Datos'!D8+C123*'Datos'!D9+D123*'Datos'!D10+E123*'Datos'!D11+F123*'Datos'!D12+G123*'Datos'!D13+H123*'Datos'!D14+I123*'Datos'!D15</x:f>
        <x:v>0.019916473457796232</x:v>
      </x:c>
      <x:c r="E133" s="35" t="n">
        <x:f>B123*'Datos'!E8+C123*'Datos'!E9+D123*'Datos'!E10+E123*'Datos'!E11+F123*'Datos'!E12+G123*'Datos'!E13+H123*'Datos'!E14+I123*'Datos'!E15</x:f>
        <x:v>0.014521368774120339</x:v>
      </x:c>
      <x:c r="F133" s="35" t="n">
        <x:f>B123*'Datos'!F8+C123*'Datos'!F9+D123*'Datos'!F10+E123*'Datos'!F11+F123*'Datos'!F12+G123*'Datos'!F13+H123*'Datos'!F14+I123*'Datos'!F15</x:f>
        <x:v>0.030125232763726452</x:v>
      </x:c>
      <x:c r="G133" s="35" t="n">
        <x:f>B123*'Datos'!G8+C123*'Datos'!G9+D123*'Datos'!G10+E123*'Datos'!G11+F123*'Datos'!G12+G123*'Datos'!G13+H123*'Datos'!G14+I123*'Datos'!G15</x:f>
        <x:v>0.026049751260281827</x:v>
      </x:c>
      <x:c r="H133" s="35" t="n">
        <x:f>B123*'Datos'!H8+C123*'Datos'!H9+D123*'Datos'!H10+E123*'Datos'!H11+F123*'Datos'!H12+G123*'Datos'!H13+H123*'Datos'!H14+I123*'Datos'!H15</x:f>
        <x:v>0.043052513542248025</x:v>
      </x:c>
      <x:c r="I133" s="35" t="n">
        <x:f>B123*'Datos'!I8+C123*'Datos'!I9+D123*'Datos'!I10+E123*'Datos'!I11+F123*'Datos'!I12+G123*'Datos'!I13+H123*'Datos'!I14+I123*'Datos'!I15</x:f>
        <x:v>0.8339022488665937</x:v>
      </x:c>
      <x:c r="J133" s="34" t="n">
        <x:f>SUM(B133:I133)</x:f>
        <x:v>0.9999999999999998</x:v>
      </x:c>
    </x:row>
    <x:row r="134" ht="22" customHeight="1">
      <x:c r="A134" s="31" t="str">
        <x:f>'Datos'!A14</x:f>
        <x:v>Caa-C</x:v>
      </x:c>
      <x:c r="B134" s="35" t="n">
        <x:f>B124*'Datos'!B8+C124*'Datos'!B9+D124*'Datos'!B10+E124*'Datos'!B11+F124*'Datos'!B12+G124*'Datos'!B13+H124*'Datos'!B14+I124*'Datos'!B15</x:f>
        <x:v>0.004199080901313619</x:v>
      </x:c>
      <x:c r="C134" s="35" t="n">
        <x:f>B124*'Datos'!C8+C124*'Datos'!C9+D124*'Datos'!C10+E124*'Datos'!C11+F124*'Datos'!C12+G124*'Datos'!C13+H124*'Datos'!C14+I124*'Datos'!C15</x:f>
        <x:v>0.0037608620604413622</x:v>
      </x:c>
      <x:c r="D134" s="35" t="n">
        <x:f>B124*'Datos'!D8+C124*'Datos'!D9+D124*'Datos'!D10+E124*'Datos'!D11+F124*'Datos'!D12+G124*'Datos'!D13+H124*'Datos'!D14+I124*'Datos'!D15</x:f>
        <x:v>0.006311878240408185</x:v>
      </x:c>
      <x:c r="E134" s="35" t="n">
        <x:f>B124*'Datos'!E8+C124*'Datos'!E9+D124*'Datos'!E10+E124*'Datos'!E11+F124*'Datos'!E12+G124*'Datos'!E13+H124*'Datos'!E14+I124*'Datos'!E15</x:f>
        <x:v>0.0049852333261873084</x:v>
      </x:c>
      <x:c r="F134" s="35" t="n">
        <x:f>B124*'Datos'!F8+C124*'Datos'!F9+D124*'Datos'!F10+E124*'Datos'!F11+F124*'Datos'!F12+G124*'Datos'!F13+H124*'Datos'!F14+I124*'Datos'!F15</x:f>
        <x:v>0.011634581093419583</x:v>
      </x:c>
      <x:c r="G134" s="35" t="n">
        <x:f>B124*'Datos'!G8+C124*'Datos'!G9+D124*'Datos'!G10+E124*'Datos'!G11+F124*'Datos'!G12+G124*'Datos'!G13+H124*'Datos'!G14+I124*'Datos'!G15</x:f>
        <x:v>0.010935939433067688</x:v>
      </x:c>
      <x:c r="H134" s="35" t="n">
        <x:f>B124*'Datos'!H8+C124*'Datos'!H9+D124*'Datos'!H10+E124*'Datos'!H11+F124*'Datos'!H12+G124*'Datos'!H13+H124*'Datos'!H14+I124*'Datos'!H15</x:f>
        <x:v>0.01914483370900721</x:v>
      </x:c>
      <x:c r="I134" s="35" t="n">
        <x:f>B124*'Datos'!I8+C124*'Datos'!I9+D124*'Datos'!I10+E124*'Datos'!I11+F124*'Datos'!I12+G124*'Datos'!I13+H124*'Datos'!I14+I124*'Datos'!I15</x:f>
        <x:v>0.9390275912361549</x:v>
      </x:c>
      <x:c r="J134" s="34" t="n">
        <x:f>SUM(B134:I134)</x:f>
        <x:v>0.9999999999999998</x:v>
      </x:c>
    </x:row>
    <x:row r="135" ht="22" customHeight="1">
      <x:c r="A135" s="31" t="str">
        <x:f>'Datos'!A15</x:f>
        <x:v>Default</x:v>
      </x:c>
      <x:c r="B135" s="35" t="n">
        <x:f>B125*'Datos'!B8+C125*'Datos'!B9+D125*'Datos'!B10+E125*'Datos'!B11+F125*'Datos'!B12+G125*'Datos'!B13+H125*'Datos'!B14+I125*'Datos'!B15</x:f>
        <x:v>0</x:v>
      </x:c>
      <x:c r="C135" s="35" t="n">
        <x:f>B125*'Datos'!C8+C125*'Datos'!C9+D125*'Datos'!C10+E125*'Datos'!C11+F125*'Datos'!C12+G125*'Datos'!C13+H125*'Datos'!C14+I125*'Datos'!C15</x:f>
        <x:v>0</x:v>
      </x:c>
      <x:c r="D135" s="35" t="n">
        <x:f>B125*'Datos'!D8+C125*'Datos'!D9+D125*'Datos'!D10+E125*'Datos'!D11+F125*'Datos'!D12+G125*'Datos'!D13+H125*'Datos'!D14+I125*'Datos'!D15</x:f>
        <x:v>0</x:v>
      </x:c>
      <x:c r="E135" s="35" t="n">
        <x:f>B125*'Datos'!E8+C125*'Datos'!E9+D125*'Datos'!E10+E125*'Datos'!E11+F125*'Datos'!E12+G125*'Datos'!E13+H125*'Datos'!E14+I125*'Datos'!E15</x:f>
        <x:v>0</x:v>
      </x:c>
      <x:c r="F135" s="35" t="n">
        <x:f>B125*'Datos'!F8+C125*'Datos'!F9+D125*'Datos'!F10+E125*'Datos'!F11+F125*'Datos'!F12+G125*'Datos'!F13+H125*'Datos'!F14+I125*'Datos'!F15</x:f>
        <x:v>0</x:v>
      </x:c>
      <x:c r="G135" s="35" t="n">
        <x:f>B125*'Datos'!G8+C125*'Datos'!G9+D125*'Datos'!G10+E125*'Datos'!G11+F125*'Datos'!G12+G125*'Datos'!G13+H125*'Datos'!G14+I125*'Datos'!G15</x:f>
        <x:v>0</x:v>
      </x:c>
      <x:c r="H135" s="35" t="n">
        <x:f>B125*'Datos'!H8+C125*'Datos'!H9+D125*'Datos'!H10+E125*'Datos'!H11+F125*'Datos'!H12+G125*'Datos'!H13+H125*'Datos'!H14+I125*'Datos'!H15</x:f>
        <x:v>0</x:v>
      </x:c>
      <x:c r="I135" s="35" t="n">
        <x:f>B125*'Datos'!I8+C125*'Datos'!I9+D125*'Datos'!I10+E125*'Datos'!I11+F125*'Datos'!I12+G125*'Datos'!I13+H125*'Datos'!I14+I125*'Datos'!I15</x:f>
        <x:v>1</x:v>
      </x:c>
      <x:c r="J135" s="34" t="n">
        <x:f>SUM(B135:I135)</x:f>
        <x:v>1</x:v>
      </x:c>
    </x:row>
    <x:row r="136" ht="22" customHeight="1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</x:row>
    <x:row r="137" ht="36" customHeight="1">
      <x:c r="A137" s="13" t="str">
        <x:v>P^13</x:v>
      </x:c>
      <x:c r="B137" s="13" t="str">
        <x:v>Aaa</x:v>
      </x:c>
      <x:c r="C137" s="13" t="str">
        <x:v>Aa</x:v>
      </x:c>
      <x:c r="D137" s="13" t="str">
        <x:v>A</x:v>
      </x:c>
      <x:c r="E137" s="13" t="str">
        <x:v>Baa</x:v>
      </x:c>
      <x:c r="F137" s="13" t="str">
        <x:v>Ba</x:v>
      </x:c>
      <x:c r="G137" s="13" t="str">
        <x:v>B</x:v>
      </x:c>
      <x:c r="H137" s="13" t="str">
        <x:v>Caa-C</x:v>
      </x:c>
      <x:c r="I137" s="13" t="str">
        <x:v>Default</x:v>
      </x:c>
      <x:c r="J137" s="13" t="str">
        <x:v>Suma</x:v>
      </x:c>
    </x:row>
    <x:row r="138" ht="22" customHeight="1">
      <x:c r="A138" s="31" t="str">
        <x:f>'Datos'!A8</x:f>
        <x:v>Aaa</x:v>
      </x:c>
      <x:c r="B138" s="35" t="n">
        <x:f>B128*'Datos'!B8+C128*'Datos'!B9+D128*'Datos'!B10+E128*'Datos'!B11+F128*'Datos'!B12+G128*'Datos'!B13+H128*'Datos'!B14+I128*'Datos'!B15</x:f>
        <x:v>0.46458319238275425</x:v>
      </x:c>
      <x:c r="C138" s="35" t="n">
        <x:f>B128*'Datos'!C8+C128*'Datos'!C9+D128*'Datos'!C10+E128*'Datos'!C11+F128*'Datos'!C12+G128*'Datos'!C13+H128*'Datos'!C14+I128*'Datos'!C15</x:f>
        <x:v>0.2148701937388387</x:v>
      </x:c>
      <x:c r="D138" s="35" t="n">
        <x:f>B128*'Datos'!D8+C128*'Datos'!D9+D128*'Datos'!D10+E128*'Datos'!D11+F128*'Datos'!D12+G128*'Datos'!D13+H128*'Datos'!D14+I128*'Datos'!D15</x:f>
        <x:v>0.13463404025502387</x:v>
      </x:c>
      <x:c r="E138" s="35" t="n">
        <x:f>B128*'Datos'!E8+C128*'Datos'!E9+D128*'Datos'!E10+E128*'Datos'!E11+F128*'Datos'!E12+G128*'Datos'!E13+H128*'Datos'!E14+I128*'Datos'!E15</x:f>
        <x:v>0.06192478624567327</x:v>
      </x:c>
      <x:c r="F138" s="35" t="n">
        <x:f>B128*'Datos'!F8+C128*'Datos'!F9+D128*'Datos'!F10+E128*'Datos'!F11+F128*'Datos'!F12+G128*'Datos'!F13+H128*'Datos'!F14+I128*'Datos'!F15</x:f>
        <x:v>0.050648268753992406</x:v>
      </x:c>
      <x:c r="G138" s="35" t="n">
        <x:f>B128*'Datos'!G8+C128*'Datos'!G9+D128*'Datos'!G10+E128*'Datos'!G11+F128*'Datos'!G12+G128*'Datos'!G13+H128*'Datos'!G14+I128*'Datos'!G15</x:f>
        <x:v>0.023313751152709537</x:v>
      </x:c>
      <x:c r="H138" s="35" t="n">
        <x:f>B128*'Datos'!H8+C128*'Datos'!H9+D128*'Datos'!H10+E128*'Datos'!H11+F128*'Datos'!H12+G128*'Datos'!H13+H128*'Datos'!H14+I128*'Datos'!H15</x:f>
        <x:v>0.021495558177347485</x:v>
      </x:c>
      <x:c r="I138" s="35" t="n">
        <x:f>B128*'Datos'!I8+C128*'Datos'!I9+D128*'Datos'!I10+E128*'Datos'!I11+F128*'Datos'!I12+G128*'Datos'!I13+H128*'Datos'!I14+I128*'Datos'!I15</x:f>
        <x:v>0.028530209293660284</x:v>
      </x:c>
      <x:c r="J138" s="34" t="n">
        <x:f>SUM(B138:I138)</x:f>
        <x:v>0.9999999999999999</x:v>
      </x:c>
    </x:row>
    <x:row r="139" ht="22" customHeight="1">
      <x:c r="A139" s="31" t="str">
        <x:f>'Datos'!A9</x:f>
        <x:v>Aa</x:v>
      </x:c>
      <x:c r="B139" s="35" t="n">
        <x:f>B129*'Datos'!B8+C129*'Datos'!B9+D129*'Datos'!B10+E129*'Datos'!B11+F129*'Datos'!B12+G129*'Datos'!B13+H129*'Datos'!B14+I129*'Datos'!B15</x:f>
        <x:v>0.4449683641344773</x:v>
      </x:c>
      <x:c r="C139" s="35" t="n">
        <x:f>B129*'Datos'!C8+C129*'Datos'!C9+D129*'Datos'!C10+E129*'Datos'!C11+F129*'Datos'!C12+G129*'Datos'!C13+H129*'Datos'!C14+I129*'Datos'!C15</x:f>
        <x:v>0.20828388639158799</x:v>
      </x:c>
      <x:c r="D139" s="35" t="n">
        <x:f>B129*'Datos'!D8+C129*'Datos'!D9+D129*'Datos'!D10+E129*'Datos'!D11+F129*'Datos'!D12+G129*'Datos'!D13+H129*'Datos'!D14+I129*'Datos'!D15</x:f>
        <x:v>0.13422727510139223</x:v>
      </x:c>
      <x:c r="E139" s="35" t="n">
        <x:f>B129*'Datos'!E8+C129*'Datos'!E9+D129*'Datos'!E10+E129*'Datos'!E11+F129*'Datos'!E12+G129*'Datos'!E13+H129*'Datos'!E14+I129*'Datos'!E15</x:f>
        <x:v>0.06305129071850184</x:v>
      </x:c>
      <x:c r="F139" s="35" t="n">
        <x:f>B129*'Datos'!F8+C129*'Datos'!F9+D129*'Datos'!F10+E129*'Datos'!F11+F129*'Datos'!F12+G129*'Datos'!F13+H129*'Datos'!F14+I129*'Datos'!F15</x:f>
        <x:v>0.0546969053091149</x:v>
      </x:c>
      <x:c r="G139" s="35" t="n">
        <x:f>B129*'Datos'!G8+C129*'Datos'!G9+D129*'Datos'!G10+E129*'Datos'!G11+F129*'Datos'!G12+G129*'Datos'!G13+H129*'Datos'!G14+I129*'Datos'!G15</x:f>
        <x:v>0.026458738873025942</x:v>
      </x:c>
      <x:c r="H139" s="35" t="n">
        <x:f>B129*'Datos'!H8+C129*'Datos'!H9+D129*'Datos'!H10+E129*'Datos'!H11+F129*'Datos'!H12+G129*'Datos'!H13+H129*'Datos'!H14+I129*'Datos'!H15</x:f>
        <x:v>0.02595235331739716</x:v>
      </x:c>
      <x:c r="I139" s="35" t="n">
        <x:f>B129*'Datos'!I8+C129*'Datos'!I9+D129*'Datos'!I10+E129*'Datos'!I11+F129*'Datos'!I12+G129*'Datos'!I13+H129*'Datos'!I14+I129*'Datos'!I15</x:f>
        <x:v>0.042361186154502184</x:v>
      </x:c>
      <x:c r="J139" s="34" t="n">
        <x:f>SUM(B139:I139)</x:f>
        <x:v>0.9999999999999996</x:v>
      </x:c>
    </x:row>
    <x:row r="140" ht="22" customHeight="1">
      <x:c r="A140" s="31" t="str">
        <x:f>'Datos'!A10</x:f>
        <x:v>A</x:v>
      </x:c>
      <x:c r="B140" s="35" t="n">
        <x:f>B130*'Datos'!B8+C130*'Datos'!B9+D130*'Datos'!B10+E130*'Datos'!B11+F130*'Datos'!B12+G130*'Datos'!B13+H130*'Datos'!B14+I130*'Datos'!B15</x:f>
        <x:v>0.3039360058481012</x:v>
      </x:c>
      <x:c r="C140" s="35" t="n">
        <x:f>B130*'Datos'!C8+C130*'Datos'!C9+D130*'Datos'!C10+E130*'Datos'!C11+F130*'Datos'!C12+G130*'Datos'!C13+H130*'Datos'!C14+I130*'Datos'!C15</x:f>
        <x:v>0.15683032888972348</x:v>
      </x:c>
      <x:c r="D140" s="35" t="n">
        <x:f>B130*'Datos'!D8+C130*'Datos'!D9+D130*'Datos'!D10+E130*'Datos'!D11+F130*'Datos'!D12+G130*'Datos'!D13+H130*'Datos'!D14+I130*'Datos'!D15</x:f>
        <x:v>0.12393184845112153</x:v>
      </x:c>
      <x:c r="E140" s="35" t="n">
        <x:f>B130*'Datos'!E8+C130*'Datos'!E9+D130*'Datos'!E10+E130*'Datos'!E11+F130*'Datos'!E12+G130*'Datos'!E13+H130*'Datos'!E14+I130*'Datos'!E15</x:f>
        <x:v>0.06642187617855683</x:v>
      </x:c>
      <x:c r="F140" s="35" t="n">
        <x:f>B130*'Datos'!F8+C130*'Datos'!F9+D130*'Datos'!F10+E130*'Datos'!F11+F130*'Datos'!F12+G130*'Datos'!F13+H130*'Datos'!F14+I130*'Datos'!F15</x:f>
        <x:v>0.07824887489111755</x:v>
      </x:c>
      <x:c r="G140" s="35" t="n">
        <x:f>B130*'Datos'!G8+C130*'Datos'!G9+D130*'Datos'!G10+E130*'Datos'!G11+F130*'Datos'!G12+G130*'Datos'!G13+H130*'Datos'!G14+I130*'Datos'!G15</x:f>
        <x:v>0.046671803679651014</x:v>
      </x:c>
      <x:c r="H140" s="35" t="n">
        <x:f>B130*'Datos'!H8+C130*'Datos'!H9+D130*'Datos'!H10+E130*'Datos'!H11+F130*'Datos'!H12+G130*'Datos'!H13+H130*'Datos'!H14+I130*'Datos'!H15</x:f>
        <x:v>0.05666588042425721</x:v>
      </x:c>
      <x:c r="I140" s="35" t="n">
        <x:f>B130*'Datos'!I8+C130*'Datos'!I9+D130*'Datos'!I10+E130*'Datos'!I11+F130*'Datos'!I12+G130*'Datos'!I13+H130*'Datos'!I14+I130*'Datos'!I15</x:f>
        <x:v>0.16729338163747154</x:v>
      </x:c>
      <x:c r="J140" s="34" t="n">
        <x:f>SUM(B140:I140)</x:f>
        <x:v>1.0000000000000004</x:v>
      </x:c>
    </x:row>
    <x:row r="141" ht="22" customHeight="1">
      <x:c r="A141" s="31" t="str">
        <x:f>'Datos'!A11</x:f>
        <x:v>Baa</x:v>
      </x:c>
      <x:c r="B141" s="35" t="n">
        <x:f>B131*'Datos'!B8+C131*'Datos'!B9+D131*'Datos'!B10+E131*'Datos'!B11+F131*'Datos'!B12+G131*'Datos'!B13+H131*'Datos'!B14+I131*'Datos'!B15</x:f>
        <x:v>0.2077366386028592</x:v>
      </x:c>
      <x:c r="C141" s="35" t="n">
        <x:f>B131*'Datos'!C8+C131*'Datos'!C9+D131*'Datos'!C10+E131*'Datos'!C11+F131*'Datos'!C12+G131*'Datos'!C13+H131*'Datos'!C14+I131*'Datos'!C15</x:f>
        <x:v>0.11463514543829303</x:v>
      </x:c>
      <x:c r="D141" s="35" t="n">
        <x:f>B131*'Datos'!D8+C131*'Datos'!D9+D131*'Datos'!D10+E131*'Datos'!D11+F131*'Datos'!D12+G131*'Datos'!D13+H131*'Datos'!D14+I131*'Datos'!D15</x:f>
        <x:v>0.1022975163004954</x:v>
      </x:c>
      <x:c r="E141" s="35" t="n">
        <x:f>B131*'Datos'!E8+C131*'Datos'!E9+D131*'Datos'!E10+E131*'Datos'!E11+F131*'Datos'!E12+G131*'Datos'!E13+H131*'Datos'!E14+I131*'Datos'!E15</x:f>
        <x:v>0.05879997065176638</x:v>
      </x:c>
      <x:c r="F141" s="35" t="n">
        <x:f>B131*'Datos'!F8+C131*'Datos'!F9+D131*'Datos'!F10+E131*'Datos'!F11+F131*'Datos'!F12+G131*'Datos'!F13+H131*'Datos'!F14+I131*'Datos'!F15</x:f>
        <x:v>0.07999070993230323</x:v>
      </x:c>
      <x:c r="G141" s="35" t="n">
        <x:f>B131*'Datos'!G8+C131*'Datos'!G9+D131*'Datos'!G10+E131*'Datos'!G11+F131*'Datos'!G12+G131*'Datos'!G13+H131*'Datos'!G14+I131*'Datos'!G15</x:f>
        <x:v>0.052444182753187636</x:v>
      </x:c>
      <x:c r="H141" s="35" t="n">
        <x:f>B131*'Datos'!H8+C131*'Datos'!H9+D131*'Datos'!H10+E131*'Datos'!H11+F131*'Datos'!H12+G131*'Datos'!H13+H131*'Datos'!H14+I131*'Datos'!H15</x:f>
        <x:v>0.06948626390885472</x:v>
      </x:c>
      <x:c r="I141" s="35" t="n">
        <x:f>B131*'Datos'!I8+C131*'Datos'!I9+D131*'Datos'!I10+E131*'Datos'!I11+F131*'Datos'!I12+G131*'Datos'!I13+H131*'Datos'!I14+I131*'Datos'!I15</x:f>
        <x:v>0.3146095724122407</x:v>
      </x:c>
      <x:c r="J141" s="34" t="n">
        <x:f>SUM(B141:I141)</x:f>
        <x:v>1.0000000000000002</x:v>
      </x:c>
    </x:row>
    <x:row r="142" ht="22" customHeight="1">
      <x:c r="A142" s="31" t="str">
        <x:f>'Datos'!A12</x:f>
        <x:v>Ba</x:v>
      </x:c>
      <x:c r="B142" s="35" t="n">
        <x:f>B132*'Datos'!B8+C132*'Datos'!B9+D132*'Datos'!B10+E132*'Datos'!B11+F132*'Datos'!B12+G132*'Datos'!B13+H132*'Datos'!B14+I132*'Datos'!B15</x:f>
        <x:v>0.06923468959868094</x:v>
      </x:c>
      <x:c r="C142" s="35" t="n">
        <x:f>B132*'Datos'!C8+C132*'Datos'!C9+D132*'Datos'!C10+E132*'Datos'!C11+F132*'Datos'!C12+G132*'Datos'!C13+H132*'Datos'!C14+I132*'Datos'!C15</x:f>
        <x:v>0.045162164234255286</x:v>
      </x:c>
      <x:c r="D142" s="35" t="n">
        <x:f>B132*'Datos'!D8+C132*'Datos'!D9+D132*'Datos'!D10+E132*'Datos'!D11+F132*'Datos'!D12+G132*'Datos'!D13+H132*'Datos'!D14+I132*'Datos'!D15</x:f>
        <x:v>0.05231122996388186</x:v>
      </x:c>
      <x:c r="E142" s="35" t="n">
        <x:f>B132*'Datos'!E8+C132*'Datos'!E9+D132*'Datos'!E10+E132*'Datos'!E11+F132*'Datos'!E12+G132*'Datos'!E13+H132*'Datos'!E14+I132*'Datos'!E15</x:f>
        <x:v>0.03451833458752062</x:v>
      </x:c>
      <x:c r="F142" s="35" t="n">
        <x:f>B132*'Datos'!F8+C132*'Datos'!F9+D132*'Datos'!F10+E132*'Datos'!F11+F132*'Datos'!F12+G132*'Datos'!F13+H132*'Datos'!F14+I132*'Datos'!F15</x:f>
        <x:v>0.06075972621918339</x:v>
      </x:c>
      <x:c r="G142" s="35" t="n">
        <x:f>B132*'Datos'!G8+C132*'Datos'!G9+D132*'Datos'!G10+E132*'Datos'!G11+F132*'Datos'!G12+G132*'Datos'!G13+H132*'Datos'!G14+I132*'Datos'!G15</x:f>
        <x:v>0.046783962004323006</x:v>
      </x:c>
      <x:c r="H142" s="35" t="n">
        <x:f>B132*'Datos'!H8+C132*'Datos'!H9+D132*'Datos'!H10+E132*'Datos'!H11+F132*'Datos'!H12+G132*'Datos'!H13+H132*'Datos'!H14+I132*'Datos'!H15</x:f>
        <x:v>0.07073459988150317</x:v>
      </x:c>
      <x:c r="I142" s="35" t="n">
        <x:f>B132*'Datos'!I8+C132*'Datos'!I9+D132*'Datos'!I10+E132*'Datos'!I11+F132*'Datos'!I12+G132*'Datos'!I13+H132*'Datos'!I14+I132*'Datos'!I15</x:f>
        <x:v>0.6204952935106515</x:v>
      </x:c>
      <x:c r="J142" s="34" t="n">
        <x:f>SUM(B142:I142)</x:f>
        <x:v>0.9999999999999998</x:v>
      </x:c>
    </x:row>
    <x:row r="143" ht="22" customHeight="1">
      <x:c r="A143" s="31" t="str">
        <x:f>'Datos'!A13</x:f>
        <x:v>B</x:v>
      </x:c>
      <x:c r="B143" s="35" t="n">
        <x:f>B133*'Datos'!B8+C133*'Datos'!B9+D133*'Datos'!B10+E133*'Datos'!B11+F133*'Datos'!B12+G133*'Datos'!B13+H133*'Datos'!B14+I133*'Datos'!B15</x:f>
        <x:v>0.020058887917205743</x:v>
      </x:c>
      <x:c r="C143" s="35" t="n">
        <x:f>B133*'Datos'!C8+C133*'Datos'!C9+D133*'Datos'!C10+E133*'Datos'!C11+F133*'Datos'!C12+G133*'Datos'!C13+H133*'Datos'!C14+I133*'Datos'!C15</x:f>
        <x:v>0.01430969029789797</x:v>
      </x:c>
      <x:c r="D143" s="35" t="n">
        <x:f>B133*'Datos'!D8+C133*'Datos'!D9+D133*'Datos'!D10+E133*'Datos'!D11+F133*'Datos'!D12+G133*'Datos'!D13+H133*'Datos'!D14+I133*'Datos'!D15</x:f>
        <x:v>0.018781954666230182</x:v>
      </x:c>
      <x:c r="E143" s="35" t="n">
        <x:f>B133*'Datos'!E8+C133*'Datos'!E9+D133*'Datos'!E10+E133*'Datos'!E11+F133*'Datos'!E12+G133*'Datos'!E13+H133*'Datos'!E14+I133*'Datos'!E15</x:f>
        <x:v>0.013257720983208234</x:v>
      </x:c>
      <x:c r="F143" s="35" t="n">
        <x:f>B133*'Datos'!F8+C133*'Datos'!F9+D133*'Datos'!F10+E133*'Datos'!F11+F133*'Datos'!F12+G133*'Datos'!F13+H133*'Datos'!F14+I133*'Datos'!F15</x:f>
        <x:v>0.02624644298966105</x:v>
      </x:c>
      <x:c r="G143" s="35" t="n">
        <x:f>B133*'Datos'!G8+C133*'Datos'!G9+D133*'Datos'!G10+E133*'Datos'!G11+F133*'Datos'!G12+G133*'Datos'!G13+H133*'Datos'!G14+I133*'Datos'!G15</x:f>
        <x:v>0.022103758527324324</x:v>
      </x:c>
      <x:c r="H143" s="35" t="n">
        <x:f>B133*'Datos'!H8+C133*'Datos'!H9+D133*'Datos'!H10+E133*'Datos'!H11+F133*'Datos'!H12+G133*'Datos'!H13+H133*'Datos'!H14+I133*'Datos'!H15</x:f>
        <x:v>0.03588179903450091</x:v>
      </x:c>
      <x:c r="I143" s="35" t="n">
        <x:f>B133*'Datos'!I8+C133*'Datos'!I9+D133*'Datos'!I10+E133*'Datos'!I11+F133*'Datos'!I12+G133*'Datos'!I13+H133*'Datos'!I14+I133*'Datos'!I15</x:f>
        <x:v>0.8493597455839714</x:v>
      </x:c>
      <x:c r="J143" s="34" t="n">
        <x:f>SUM(B143:I143)</x:f>
        <x:v>0.9999999999999998</x:v>
      </x:c>
    </x:row>
    <x:row r="144" ht="22" customHeight="1">
      <x:c r="A144" s="31" t="str">
        <x:f>'Datos'!A14</x:f>
        <x:v>Caa-C</x:v>
      </x:c>
      <x:c r="B144" s="35" t="n">
        <x:f>B134*'Datos'!B8+C134*'Datos'!B9+D134*'Datos'!B10+E134*'Datos'!B11+F134*'Datos'!B12+G134*'Datos'!B13+H134*'Datos'!B14+I134*'Datos'!B15</x:f>
        <x:v>0.00479191877998264</x:v>
      </x:c>
      <x:c r="C144" s="35" t="n">
        <x:f>B134*'Datos'!C8+C134*'Datos'!C9+D134*'Datos'!C10+E134*'Datos'!C11+F134*'Datos'!C12+G134*'Datos'!C13+H134*'Datos'!C14+I134*'Datos'!C15</x:f>
        <x:v>0.003918710273483131</x:v>
      </x:c>
      <x:c r="D144" s="35" t="n">
        <x:f>B134*'Datos'!D8+C134*'Datos'!D9+D134*'Datos'!D10+E134*'Datos'!D11+F134*'Datos'!D12+G134*'Datos'!D13+H134*'Datos'!D14+I134*'Datos'!D15</x:f>
        <x:v>0.006011456330671656</x:v>
      </x:c>
      <x:c r="E144" s="35" t="n">
        <x:f>B134*'Datos'!E8+C134*'Datos'!E9+D134*'Datos'!E10+E134*'Datos'!E11+F134*'Datos'!E12+G134*'Datos'!E13+H134*'Datos'!E14+I134*'Datos'!E15</x:f>
        <x:v>0.004563566372636947</x:v>
      </x:c>
      <x:c r="F144" s="35" t="n">
        <x:f>B134*'Datos'!F8+C134*'Datos'!F9+D134*'Datos'!F10+E134*'Datos'!F11+F134*'Datos'!F12+G134*'Datos'!F13+H134*'Datos'!F14+I134*'Datos'!F15</x:f>
        <x:v>0.010078912891344013</x:v>
      </x:c>
      <x:c r="G144" s="35" t="n">
        <x:f>B134*'Datos'!G8+C134*'Datos'!G9+D134*'Datos'!G10+E134*'Datos'!G11+F134*'Datos'!G12+G134*'Datos'!G13+H134*'Datos'!G14+I134*'Datos'!G15</x:f>
        <x:v>0.009132827204023333</x:v>
      </x:c>
      <x:c r="H144" s="35" t="n">
        <x:f>B134*'Datos'!H8+C134*'Datos'!H9+D134*'Datos'!H10+E134*'Datos'!H11+F134*'Datos'!H12+G134*'Datos'!H13+H134*'Datos'!H14+I134*'Datos'!H15</x:f>
        <x:v>0.015605526978851054</x:v>
      </x:c>
      <x:c r="I144" s="35" t="n">
        <x:f>B134*'Datos'!I8+C134*'Datos'!I9+D134*'Datos'!I10+E134*'Datos'!I11+F134*'Datos'!I12+G134*'Datos'!I13+H134*'Datos'!I14+I134*'Datos'!I15</x:f>
        <x:v>0.9458970811690071</x:v>
      </x:c>
      <x:c r="J144" s="34" t="n">
        <x:f>SUM(B144:I144)</x:f>
        <x:v>0.9999999999999998</x:v>
      </x:c>
    </x:row>
    <x:row r="145" ht="22" customHeight="1">
      <x:c r="A145" s="31" t="str">
        <x:f>'Datos'!A15</x:f>
        <x:v>Default</x:v>
      </x:c>
      <x:c r="B145" s="35" t="n">
        <x:f>B135*'Datos'!B8+C135*'Datos'!B9+D135*'Datos'!B10+E135*'Datos'!B11+F135*'Datos'!B12+G135*'Datos'!B13+H135*'Datos'!B14+I135*'Datos'!B15</x:f>
        <x:v>0</x:v>
      </x:c>
      <x:c r="C145" s="35" t="n">
        <x:f>B135*'Datos'!C8+C135*'Datos'!C9+D135*'Datos'!C10+E135*'Datos'!C11+F135*'Datos'!C12+G135*'Datos'!C13+H135*'Datos'!C14+I135*'Datos'!C15</x:f>
        <x:v>0</x:v>
      </x:c>
      <x:c r="D145" s="35" t="n">
        <x:f>B135*'Datos'!D8+C135*'Datos'!D9+D135*'Datos'!D10+E135*'Datos'!D11+F135*'Datos'!D12+G135*'Datos'!D13+H135*'Datos'!D14+I135*'Datos'!D15</x:f>
        <x:v>0</x:v>
      </x:c>
      <x:c r="E145" s="35" t="n">
        <x:f>B135*'Datos'!E8+C135*'Datos'!E9+D135*'Datos'!E10+E135*'Datos'!E11+F135*'Datos'!E12+G135*'Datos'!E13+H135*'Datos'!E14+I135*'Datos'!E15</x:f>
        <x:v>0</x:v>
      </x:c>
      <x:c r="F145" s="35" t="n">
        <x:f>B135*'Datos'!F8+C135*'Datos'!F9+D135*'Datos'!F10+E135*'Datos'!F11+F135*'Datos'!F12+G135*'Datos'!F13+H135*'Datos'!F14+I135*'Datos'!F15</x:f>
        <x:v>0</x:v>
      </x:c>
      <x:c r="G145" s="35" t="n">
        <x:f>B135*'Datos'!G8+C135*'Datos'!G9+D135*'Datos'!G10+E135*'Datos'!G11+F135*'Datos'!G12+G135*'Datos'!G13+H135*'Datos'!G14+I135*'Datos'!G15</x:f>
        <x:v>0</x:v>
      </x:c>
      <x:c r="H145" s="35" t="n">
        <x:f>B135*'Datos'!H8+C135*'Datos'!H9+D135*'Datos'!H10+E135*'Datos'!H11+F135*'Datos'!H12+G135*'Datos'!H13+H135*'Datos'!H14+I135*'Datos'!H15</x:f>
        <x:v>0</x:v>
      </x:c>
      <x:c r="I145" s="35" t="n">
        <x:f>B135*'Datos'!I8+C135*'Datos'!I9+D135*'Datos'!I10+E135*'Datos'!I11+F135*'Datos'!I12+G135*'Datos'!I13+H135*'Datos'!I14+I135*'Datos'!I15</x:f>
        <x:v>1</x:v>
      </x:c>
      <x:c r="J145" s="34" t="n">
        <x:f>SUM(B145:I145)</x:f>
        <x:v>1</x:v>
      </x:c>
    </x:row>
    <x:row r="146" ht="22" customHeight="1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</x:row>
    <x:row r="147" ht="36" customHeight="1">
      <x:c r="A147" s="13" t="str">
        <x:v>P^14</x:v>
      </x:c>
      <x:c r="B147" s="13" t="str">
        <x:v>Aaa</x:v>
      </x:c>
      <x:c r="C147" s="13" t="str">
        <x:v>Aa</x:v>
      </x:c>
      <x:c r="D147" s="13" t="str">
        <x:v>A</x:v>
      </x:c>
      <x:c r="E147" s="13" t="str">
        <x:v>Baa</x:v>
      </x:c>
      <x:c r="F147" s="13" t="str">
        <x:v>Ba</x:v>
      </x:c>
      <x:c r="G147" s="13" t="str">
        <x:v>B</x:v>
      </x:c>
      <x:c r="H147" s="13" t="str">
        <x:v>Caa-C</x:v>
      </x:c>
      <x:c r="I147" s="13" t="str">
        <x:v>Default</x:v>
      </x:c>
      <x:c r="J147" s="13" t="str">
        <x:v>Suma</x:v>
      </x:c>
    </x:row>
    <x:row r="148" ht="22" customHeight="1">
      <x:c r="A148" s="31" t="str">
        <x:f>'Datos'!A8</x:f>
        <x:v>Aaa</x:v>
      </x:c>
      <x:c r="B148" s="35" t="n">
        <x:f>B138*'Datos'!B8+C138*'Datos'!B9+D138*'Datos'!B10+E138*'Datos'!B11+F138*'Datos'!B12+G138*'Datos'!B13+H138*'Datos'!B14+I138*'Datos'!B15</x:f>
        <x:v>0.45510515717713423</x:v>
      </x:c>
      <x:c r="C148" s="35" t="n">
        <x:f>B138*'Datos'!C8+C138*'Datos'!C9+D138*'Datos'!C10+E138*'Datos'!C11+F138*'Datos'!C12+G138*'Datos'!C13+H138*'Datos'!C14+I138*'Datos'!C15</x:f>
        <x:v>0.2115109978737035</x:v>
      </x:c>
      <x:c r="D148" s="35" t="n">
        <x:f>B138*'Datos'!D8+C138*'Datos'!D9+D138*'Datos'!D10+E138*'Datos'!D11+F138*'Datos'!D12+G138*'Datos'!D13+H138*'Datos'!D14+I138*'Datos'!D15</x:f>
        <x:v>0.13411931013077238</x:v>
      </x:c>
      <x:c r="E148" s="35" t="n">
        <x:f>B138*'Datos'!E8+C138*'Datos'!E9+D138*'Datos'!E10+E138*'Datos'!E11+F138*'Datos'!E12+G138*'Datos'!E13+H138*'Datos'!E14+I138*'Datos'!E15</x:f>
        <x:v>0.06226485335440981</x:v>
      </x:c>
      <x:c r="F148" s="35" t="n">
        <x:f>B138*'Datos'!F8+C138*'Datos'!F9+D138*'Datos'!F10+E138*'Datos'!F11+F138*'Datos'!F12+G138*'Datos'!F13+H138*'Datos'!F14+I138*'Datos'!F15</x:f>
        <x:v>0.05236391466059637</x:v>
      </x:c>
      <x:c r="G148" s="35" t="n">
        <x:f>B138*'Datos'!G8+C138*'Datos'!G9+D138*'Datos'!G10+E138*'Datos'!G11+F138*'Datos'!G12+G138*'Datos'!G13+H138*'Datos'!G14+I138*'Datos'!G15</x:f>
        <x:v>0.024729098939284346</x:v>
      </x:c>
      <x:c r="H148" s="35" t="n">
        <x:f>B138*'Datos'!H8+C138*'Datos'!H9+D138*'Datos'!H10+E138*'Datos'!H11+F138*'Datos'!H12+G138*'Datos'!H13+H138*'Datos'!H14+I138*'Datos'!H15</x:f>
        <x:v>0.023590392674527894</x:v>
      </x:c>
      <x:c r="I148" s="35" t="n">
        <x:f>B138*'Datos'!I8+C138*'Datos'!I9+D138*'Datos'!I10+E138*'Datos'!I11+F138*'Datos'!I12+G138*'Datos'!I13+H138*'Datos'!I14+I138*'Datos'!I15</x:f>
        <x:v>0.03631627518957132</x:v>
      </x:c>
      <x:c r="J148" s="34" t="n">
        <x:f>SUM(B148:I148)</x:f>
        <x:v>0.9999999999999999</x:v>
      </x:c>
    </x:row>
    <x:row r="149" ht="22" customHeight="1">
      <x:c r="A149" s="31" t="str">
        <x:f>'Datos'!A9</x:f>
        <x:v>Aa</x:v>
      </x:c>
      <x:c r="B149" s="35" t="n">
        <x:f>B139*'Datos'!B8+C139*'Datos'!B9+D139*'Datos'!B10+E139*'Datos'!B11+F139*'Datos'!B12+G139*'Datos'!B13+H139*'Datos'!B14+I139*'Datos'!B15</x:f>
        <x:v>0.4367894808536955</x:v>
      </x:c>
      <x:c r="C149" s="35" t="n">
        <x:f>B139*'Datos'!C8+C139*'Datos'!C9+D139*'Datos'!C10+E139*'Datos'!C11+F139*'Datos'!C12+G139*'Datos'!C13+H139*'Datos'!C14+I139*'Datos'!C15</x:f>
        <x:v>0.2050012186283594</x:v>
      </x:c>
      <x:c r="D149" s="35" t="n">
        <x:f>B139*'Datos'!D8+C139*'Datos'!D9+D139*'Datos'!D10+E139*'Datos'!D11+F139*'Datos'!D12+G139*'Datos'!D13+H139*'Datos'!D14+I139*'Datos'!D15</x:f>
        <x:v>0.13306352015476045</x:v>
      </x:c>
      <x:c r="E149" s="35" t="n">
        <x:f>B139*'Datos'!E8+C139*'Datos'!E9+D139*'Datos'!E10+E139*'Datos'!E11+F139*'Datos'!E12+G139*'Datos'!E13+H139*'Datos'!E14+I139*'Datos'!E15</x:f>
        <x:v>0.06287447167128901</x:v>
      </x:c>
      <x:c r="F149" s="35" t="n">
        <x:f>B139*'Datos'!F8+C139*'Datos'!F9+D139*'Datos'!F10+E139*'Datos'!F11+F139*'Datos'!F12+G139*'Datos'!F13+H139*'Datos'!F14+I139*'Datos'!F15</x:f>
        <x:v>0.055582781172575285</x:v>
      </x:c>
      <x:c r="G149" s="35" t="n">
        <x:f>B139*'Datos'!G8+C139*'Datos'!G9+D139*'Datos'!G10+E139*'Datos'!G11+F139*'Datos'!G12+G139*'Datos'!G13+H139*'Datos'!G14+I139*'Datos'!G15</x:f>
        <x:v>0.027394547413919758</x:v>
      </x:c>
      <x:c r="H149" s="35" t="n">
        <x:f>B139*'Datos'!H8+C139*'Datos'!H9+D139*'Datos'!H10+E139*'Datos'!H11+F139*'Datos'!H12+G139*'Datos'!H13+H139*'Datos'!H14+I139*'Datos'!H15</x:f>
        <x:v>0.02754367358535731</x:v>
      </x:c>
      <x:c r="I149" s="35" t="n">
        <x:f>B139*'Datos'!I8+C139*'Datos'!I9+D139*'Datos'!I10+E139*'Datos'!I11+F139*'Datos'!I12+G139*'Datos'!I13+H139*'Datos'!I14+I139*'Datos'!I15</x:f>
        <x:v>0.051750306520042824</x:v>
      </x:c>
      <x:c r="J149" s="34" t="n">
        <x:f>SUM(B149:I149)</x:f>
        <x:v>0.9999999999999996</x:v>
      </x:c>
    </x:row>
    <x:row r="150" ht="22" customHeight="1">
      <x:c r="A150" s="31" t="str">
        <x:f>'Datos'!A10</x:f>
        <x:v>A</x:v>
      </x:c>
      <x:c r="B150" s="35" t="n">
        <x:f>B140*'Datos'!B8+C140*'Datos'!B9+D140*'Datos'!B10+E140*'Datos'!B11+F140*'Datos'!B12+G140*'Datos'!B13+H140*'Datos'!B14+I140*'Datos'!B15</x:f>
        <x:v>0.3036384472079234</x:v>
      </x:c>
      <x:c r="C150" s="35" t="n">
        <x:f>B140*'Datos'!C8+C140*'Datos'!C9+D140*'Datos'!C10+E140*'Datos'!C11+F140*'Datos'!C12+G140*'Datos'!C13+H140*'Datos'!C14+I140*'Datos'!C15</x:f>
        <x:v>0.15445609523299236</x:v>
      </x:c>
      <x:c r="D150" s="35" t="n">
        <x:f>B140*'Datos'!D8+C140*'Datos'!D9+D140*'Datos'!D10+E140*'Datos'!D11+F140*'Datos'!D12+G140*'Datos'!D13+H140*'Datos'!D14+I140*'Datos'!D15</x:f>
        <x:v>0.11923025907490979</x:v>
      </x:c>
      <x:c r="E150" s="35" t="n">
        <x:f>B140*'Datos'!E8+C140*'Datos'!E9+D140*'Datos'!E10+E140*'Datos'!E11+F140*'Datos'!E12+G140*'Datos'!E13+H140*'Datos'!E14+I140*'Datos'!E15</x:f>
        <x:v>0.06324127800595304</x:v>
      </x:c>
      <x:c r="F150" s="35" t="n">
        <x:f>B140*'Datos'!F8+C140*'Datos'!F9+D140*'Datos'!F10+E140*'Datos'!F11+F140*'Datos'!F12+G140*'Datos'!F13+H140*'Datos'!F14+I140*'Datos'!F15</x:f>
        <x:v>0.0736464469557056</x:v>
      </x:c>
      <x:c r="G150" s="35" t="n">
        <x:f>B140*'Datos'!G8+C140*'Datos'!G9+D140*'Datos'!G10+E140*'Datos'!G11+F140*'Datos'!G12+G140*'Datos'!G13+H140*'Datos'!G14+I140*'Datos'!G15</x:f>
        <x:v>0.04407495356614575</x:v>
      </x:c>
      <x:c r="H150" s="35" t="n">
        <x:f>B140*'Datos'!H8+C140*'Datos'!H9+D140*'Datos'!H10+E140*'Datos'!H11+F140*'Datos'!H12+G140*'Datos'!H13+H140*'Datos'!H14+I140*'Datos'!H15</x:f>
        <x:v>0.05399233399129123</x:v>
      </x:c>
      <x:c r="I150" s="35" t="n">
        <x:f>B140*'Datos'!I8+C140*'Datos'!I9+D140*'Datos'!I10+E140*'Datos'!I11+F140*'Datos'!I12+G140*'Datos'!I13+H140*'Datos'!I14+I140*'Datos'!I15</x:f>
        <x:v>0.18772018596507917</x:v>
      </x:c>
      <x:c r="J150" s="34" t="n">
        <x:f>SUM(B150:I150)</x:f>
        <x:v>1.0000000000000002</x:v>
      </x:c>
    </x:row>
    <x:row r="151" ht="22" customHeight="1">
      <x:c r="A151" s="31" t="str">
        <x:f>'Datos'!A11</x:f>
        <x:v>Baa</x:v>
      </x:c>
      <x:c r="B151" s="35" t="n">
        <x:f>B141*'Datos'!B8+C141*'Datos'!B9+D141*'Datos'!B10+E141*'Datos'!B11+F141*'Datos'!B12+G141*'Datos'!B13+H141*'Datos'!B14+I141*'Datos'!B15</x:f>
        <x:v>0.2102553954380046</x:v>
      </x:c>
      <x:c r="C151" s="35" t="n">
        <x:f>B141*'Datos'!C8+C141*'Datos'!C9+D141*'Datos'!C10+E141*'Datos'!C11+F141*'Datos'!C12+G141*'Datos'!C13+H141*'Datos'!C14+I141*'Datos'!C15</x:f>
        <x:v>0.11315634346119616</x:v>
      </x:c>
      <x:c r="D151" s="35" t="n">
        <x:f>B141*'Datos'!D8+C141*'Datos'!D9+D141*'Datos'!D10+E141*'Datos'!D11+F141*'Datos'!D12+G141*'Datos'!D13+H141*'Datos'!D14+I141*'Datos'!D15</x:f>
        <x:v>0.09723600566655483</x:v>
      </x:c>
      <x:c r="E151" s="35" t="n">
        <x:f>B141*'Datos'!E8+C141*'Datos'!E9+D141*'Datos'!E10+E141*'Datos'!E11+F141*'Datos'!E12+G141*'Datos'!E13+H141*'Datos'!E14+I141*'Datos'!E15</x:f>
        <x:v>0.05499349140554321</x:v>
      </x:c>
      <x:c r="F151" s="35" t="n">
        <x:f>B141*'Datos'!F8+C141*'Datos'!F9+D141*'Datos'!F10+E141*'Datos'!F11+F141*'Datos'!F12+G141*'Datos'!F13+H141*'Datos'!F14+I141*'Datos'!F15</x:f>
        <x:v>0.07325809532448521</x:v>
      </x:c>
      <x:c r="G151" s="35" t="n">
        <x:f>B141*'Datos'!G8+C141*'Datos'!G9+D141*'Datos'!G10+E141*'Datos'!G11+F141*'Datos'!G12+G141*'Datos'!G13+H141*'Datos'!G14+I141*'Datos'!G15</x:f>
        <x:v>0.04789474448485152</x:v>
      </x:c>
      <x:c r="H151" s="35" t="n">
        <x:f>B141*'Datos'!H8+C141*'Datos'!H9+D141*'Datos'!H10+E141*'Datos'!H11+F141*'Datos'!H12+G141*'Datos'!H13+H141*'Datos'!H14+I141*'Datos'!H15</x:f>
        <x:v>0.0635797465101506</x:v>
      </x:c>
      <x:c r="I151" s="35" t="n">
        <x:f>B141*'Datos'!I8+C141*'Datos'!I9+D141*'Datos'!I10+E141*'Datos'!I11+F141*'Datos'!I12+G141*'Datos'!I13+H141*'Datos'!I14+I141*'Datos'!I15</x:f>
        <x:v>0.3396261777092142</x:v>
      </x:c>
      <x:c r="J151" s="34" t="n">
        <x:f>SUM(B151:I151)</x:f>
        <x:v>1.0000000000000004</x:v>
      </x:c>
    </x:row>
    <x:row r="152" ht="22" customHeight="1">
      <x:c r="A152" s="31" t="str">
        <x:f>'Datos'!A12</x:f>
        <x:v>Ba</x:v>
      </x:c>
      <x:c r="B152" s="35" t="n">
        <x:f>B142*'Datos'!B8+C142*'Datos'!B9+D142*'Datos'!B10+E142*'Datos'!B11+F142*'Datos'!B12+G142*'Datos'!B13+H142*'Datos'!B14+I142*'Datos'!B15</x:f>
        <x:v>0.07264796061597673</x:v>
      </x:c>
      <x:c r="C152" s="35" t="n">
        <x:f>B142*'Datos'!C8+C142*'Datos'!C9+D142*'Datos'!C10+E142*'Datos'!C11+F142*'Datos'!C12+G142*'Datos'!C13+H142*'Datos'!C14+I142*'Datos'!C15</x:f>
        <x:v>0.04514351119232609</x:v>
      </x:c>
      <x:c r="D152" s="35" t="n">
        <x:f>B142*'Datos'!D8+C142*'Datos'!D9+D142*'Datos'!D10+E142*'Datos'!D11+F142*'Datos'!D12+G142*'Datos'!D13+H142*'Datos'!D14+I142*'Datos'!D15</x:f>
        <x:v>0.04916043341767979</x:v>
      </x:c>
      <x:c r="E152" s="35" t="n">
        <x:f>B142*'Datos'!E8+C142*'Datos'!E9+D142*'Datos'!E10+E142*'Datos'!E11+F142*'Datos'!E12+G142*'Datos'!E13+H142*'Datos'!E14+I142*'Datos'!E15</x:f>
        <x:v>0.031623122054359167</x:v>
      </x:c>
      <x:c r="F152" s="35" t="n">
        <x:f>B142*'Datos'!F8+C142*'Datos'!F9+D142*'Datos'!F10+E142*'Datos'!F11+F142*'Datos'!F12+G142*'Datos'!F13+H142*'Datos'!F14+I142*'Datos'!F15</x:f>
        <x:v>0.05364945993837802</x:v>
      </x:c>
      <x:c r="G152" s="35" t="n">
        <x:f>B142*'Datos'!G8+C142*'Datos'!G9+D142*'Datos'!G10+E142*'Datos'!G11+F142*'Datos'!G12+G142*'Datos'!G13+H142*'Datos'!G14+I142*'Datos'!G15</x:f>
        <x:v>0.040743059395503926</x:v>
      </x:c>
      <x:c r="H152" s="35" t="n">
        <x:f>B142*'Datos'!H8+C142*'Datos'!H9+D142*'Datos'!H10+E142*'Datos'!H11+F142*'Datos'!H12+G142*'Datos'!H13+H142*'Datos'!H14+I142*'Datos'!H15</x:f>
        <x:v>0.061114631862878806</x:v>
      </x:c>
      <x:c r="I152" s="35" t="n">
        <x:f>B142*'Datos'!I8+C142*'Datos'!I9+D142*'Datos'!I10+E142*'Datos'!I11+F142*'Datos'!I12+G142*'Datos'!I13+H142*'Datos'!I14+I142*'Datos'!I15</x:f>
        <x:v>0.6459178215228972</x:v>
      </x:c>
      <x:c r="J152" s="34" t="n">
        <x:f>SUM(B152:I152)</x:f>
        <x:v>0.9999999999999998</x:v>
      </x:c>
    </x:row>
    <x:row r="153" ht="22" customHeight="1">
      <x:c r="A153" s="31" t="str">
        <x:f>'Datos'!A13</x:f>
        <x:v>B</x:v>
      </x:c>
      <x:c r="B153" s="35" t="n">
        <x:f>B143*'Datos'!B8+C143*'Datos'!B9+D143*'Datos'!B10+E143*'Datos'!B11+F143*'Datos'!B12+G143*'Datos'!B13+H143*'Datos'!B14+I143*'Datos'!B15</x:f>
        <x:v>0.021508100732949603</x:v>
      </x:c>
      <x:c r="C153" s="35" t="n">
        <x:f>B143*'Datos'!C8+C143*'Datos'!C9+D143*'Datos'!C10+E143*'Datos'!C11+F143*'Datos'!C12+G143*'Datos'!C13+H143*'Datos'!C14+I143*'Datos'!C15</x:f>
        <x:v>0.014468309022794697</x:v>
      </x:c>
      <x:c r="D153" s="35" t="n">
        <x:f>B143*'Datos'!D8+C143*'Datos'!D9+D143*'Datos'!D10+E143*'Datos'!D11+F143*'Datos'!D12+G143*'Datos'!D13+H143*'Datos'!D14+I143*'Datos'!D15</x:f>
        <x:v>0.017705548965315208</x:v>
      </x:c>
      <x:c r="E153" s="35" t="n">
        <x:f>B143*'Datos'!E8+C143*'Datos'!E9+D143*'Datos'!E10+E143*'Datos'!E11+F143*'Datos'!E12+G143*'Datos'!E13+H143*'Datos'!E14+I143*'Datos'!E15</x:f>
        <x:v>0.012125451904729516</x:v>
      </x:c>
      <x:c r="F153" s="35" t="n">
        <x:f>B143*'Datos'!F8+C143*'Datos'!F9+D143*'Datos'!F10+E143*'Datos'!F11+F143*'Datos'!F12+G143*'Datos'!F13+H143*'Datos'!F14+I143*'Datos'!F15</x:f>
        <x:v>0.022960398631722365</x:v>
      </x:c>
      <x:c r="G153" s="35" t="n">
        <x:f>B143*'Datos'!G8+C143*'Datos'!G9+D143*'Datos'!G10+E143*'Datos'!G11+F143*'Datos'!G12+G143*'Datos'!G13+H143*'Datos'!G14+I143*'Datos'!G15</x:f>
        <x:v>0.01886808321417696</x:v>
      </x:c>
      <x:c r="H153" s="35" t="n">
        <x:f>B143*'Datos'!H8+C143*'Datos'!H9+D143*'Datos'!H10+E143*'Datos'!H11+F143*'Datos'!H12+G143*'Datos'!H13+H143*'Datos'!H14+I143*'Datos'!H15</x:f>
        <x:v>0.03011884875100032</x:v>
      </x:c>
      <x:c r="I153" s="35" t="n">
        <x:f>B143*'Datos'!I8+C143*'Datos'!I9+D143*'Datos'!I10+E143*'Datos'!I11+F143*'Datos'!I12+G143*'Datos'!I13+H143*'Datos'!I14+I143*'Datos'!I15</x:f>
        <x:v>0.8622452587773112</x:v>
      </x:c>
      <x:c r="J153" s="34" t="n">
        <x:f>SUM(B153:I153)</x:f>
        <x:v>0.9999999999999998</x:v>
      </x:c>
    </x:row>
    <x:row r="154" ht="22" customHeight="1">
      <x:c r="A154" s="31" t="str">
        <x:f>'Datos'!A14</x:f>
        <x:v>Caa-C</x:v>
      </x:c>
      <x:c r="B154" s="35" t="n">
        <x:f>B144*'Datos'!B8+C144*'Datos'!B9+D144*'Datos'!B10+E144*'Datos'!B11+F144*'Datos'!B12+G144*'Datos'!B13+H144*'Datos'!B14+I144*'Datos'!B15</x:f>
        <x:v>0.005326806306506327</x:v>
      </x:c>
      <x:c r="C154" s="35" t="n">
        <x:f>B144*'Datos'!C8+C144*'Datos'!C9+D144*'Datos'!C10+E144*'Datos'!C11+F144*'Datos'!C12+G144*'Datos'!C13+H144*'Datos'!C14+I144*'Datos'!C15</x:f>
        <x:v>0.004032061463030739</x:v>
      </x:c>
      <x:c r="D154" s="35" t="n">
        <x:f>B144*'Datos'!D8+C144*'Datos'!D9+D144*'Datos'!D10+E144*'Datos'!D11+F144*'Datos'!D12+G144*'Datos'!D13+H144*'Datos'!D14+I144*'Datos'!D15</x:f>
        <x:v>0.005697616286551385</x:v>
      </x:c>
      <x:c r="E154" s="35" t="n">
        <x:f>B144*'Datos'!E8+C144*'Datos'!E9+D144*'Datos'!E10+E144*'Datos'!E11+F144*'Datos'!E12+G144*'Datos'!E13+H144*'Datos'!E14+I144*'Datos'!E15</x:f>
        <x:v>0.004172597971995946</x:v>
      </x:c>
      <x:c r="F154" s="35" t="n">
        <x:f>B144*'Datos'!F8+C144*'Datos'!F9+D144*'Datos'!F10+E144*'Datos'!F11+F144*'Datos'!F12+G144*'Datos'!F13+H144*'Datos'!F14+I144*'Datos'!F15</x:f>
        <x:v>0.00875438131623684</x:v>
      </x:c>
      <x:c r="G154" s="35" t="n">
        <x:f>B144*'Datos'!G8+C144*'Datos'!G9+D144*'Datos'!G10+E144*'Datos'!G11+F144*'Datos'!G12+G144*'Datos'!G13+H144*'Datos'!G14+I144*'Datos'!G15</x:f>
        <x:v>0.007679677937429541</x:v>
      </x:c>
      <x:c r="H154" s="35" t="n">
        <x:f>B144*'Datos'!H8+C144*'Datos'!H9+D144*'Datos'!H10+E144*'Datos'!H11+F144*'Datos'!H12+G144*'Datos'!H13+H144*'Datos'!H14+I144*'Datos'!H15</x:f>
        <x:v>0.012838821308431949</x:v>
      </x:c>
      <x:c r="I154" s="35" t="n">
        <x:f>B144*'Datos'!I8+C144*'Datos'!I9+D144*'Datos'!I10+E144*'Datos'!I11+F144*'Datos'!I12+G144*'Datos'!I13+H144*'Datos'!I14+I144*'Datos'!I15</x:f>
        <x:v>0.9514980374098171</x:v>
      </x:c>
      <x:c r="J154" s="34" t="n">
        <x:f>SUM(B154:I154)</x:f>
        <x:v>0.9999999999999998</x:v>
      </x:c>
    </x:row>
    <x:row r="155" ht="22" customHeight="1">
      <x:c r="A155" s="31" t="str">
        <x:f>'Datos'!A15</x:f>
        <x:v>Default</x:v>
      </x:c>
      <x:c r="B155" s="35" t="n">
        <x:f>B145*'Datos'!B8+C145*'Datos'!B9+D145*'Datos'!B10+E145*'Datos'!B11+F145*'Datos'!B12+G145*'Datos'!B13+H145*'Datos'!B14+I145*'Datos'!B15</x:f>
        <x:v>0</x:v>
      </x:c>
      <x:c r="C155" s="35" t="n">
        <x:f>B145*'Datos'!C8+C145*'Datos'!C9+D145*'Datos'!C10+E145*'Datos'!C11+F145*'Datos'!C12+G145*'Datos'!C13+H145*'Datos'!C14+I145*'Datos'!C15</x:f>
        <x:v>0</x:v>
      </x:c>
      <x:c r="D155" s="35" t="n">
        <x:f>B145*'Datos'!D8+C145*'Datos'!D9+D145*'Datos'!D10+E145*'Datos'!D11+F145*'Datos'!D12+G145*'Datos'!D13+H145*'Datos'!D14+I145*'Datos'!D15</x:f>
        <x:v>0</x:v>
      </x:c>
      <x:c r="E155" s="35" t="n">
        <x:f>B145*'Datos'!E8+C145*'Datos'!E9+D145*'Datos'!E10+E145*'Datos'!E11+F145*'Datos'!E12+G145*'Datos'!E13+H145*'Datos'!E14+I145*'Datos'!E15</x:f>
        <x:v>0</x:v>
      </x:c>
      <x:c r="F155" s="35" t="n">
        <x:f>B145*'Datos'!F8+C145*'Datos'!F9+D145*'Datos'!F10+E145*'Datos'!F11+F145*'Datos'!F12+G145*'Datos'!F13+H145*'Datos'!F14+I145*'Datos'!F15</x:f>
        <x:v>0</x:v>
      </x:c>
      <x:c r="G155" s="35" t="n">
        <x:f>B145*'Datos'!G8+C145*'Datos'!G9+D145*'Datos'!G10+E145*'Datos'!G11+F145*'Datos'!G12+G145*'Datos'!G13+H145*'Datos'!G14+I145*'Datos'!G15</x:f>
        <x:v>0</x:v>
      </x:c>
      <x:c r="H155" s="35" t="n">
        <x:f>B145*'Datos'!H8+C145*'Datos'!H9+D145*'Datos'!H10+E145*'Datos'!H11+F145*'Datos'!H12+G145*'Datos'!H13+H145*'Datos'!H14+I145*'Datos'!H15</x:f>
        <x:v>0</x:v>
      </x:c>
      <x:c r="I155" s="35" t="n">
        <x:f>B145*'Datos'!I8+C145*'Datos'!I9+D145*'Datos'!I10+E145*'Datos'!I11+F145*'Datos'!I12+G145*'Datos'!I13+H145*'Datos'!I14+I145*'Datos'!I15</x:f>
        <x:v>1</x:v>
      </x:c>
      <x:c r="J155" s="34" t="n">
        <x:f>SUM(B155:I155)</x:f>
        <x:v>1</x:v>
      </x:c>
    </x:row>
    <x:row r="156" ht="22" customHeight="1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</x:row>
    <x:row r="157" ht="36" customHeight="1">
      <x:c r="A157" s="13" t="str">
        <x:v>P^15</x:v>
      </x:c>
      <x:c r="B157" s="13" t="str">
        <x:v>Aaa</x:v>
      </x:c>
      <x:c r="C157" s="13" t="str">
        <x:v>Aa</x:v>
      </x:c>
      <x:c r="D157" s="13" t="str">
        <x:v>A</x:v>
      </x:c>
      <x:c r="E157" s="13" t="str">
        <x:v>Baa</x:v>
      </x:c>
      <x:c r="F157" s="13" t="str">
        <x:v>Ba</x:v>
      </x:c>
      <x:c r="G157" s="13" t="str">
        <x:v>B</x:v>
      </x:c>
      <x:c r="H157" s="13" t="str">
        <x:v>Caa-C</x:v>
      </x:c>
      <x:c r="I157" s="13" t="str">
        <x:v>Default</x:v>
      </x:c>
      <x:c r="J157" s="13" t="str">
        <x:v>Suma</x:v>
      </x:c>
    </x:row>
    <x:row r="158" ht="22" customHeight="1">
      <x:c r="A158" s="31" t="str">
        <x:f>'Datos'!A8</x:f>
        <x:v>Aaa</x:v>
      </x:c>
      <x:c r="B158" s="35" t="n">
        <x:f>B148*'Datos'!B8+C148*'Datos'!B9+D148*'Datos'!B10+E148*'Datos'!B11+F148*'Datos'!B12+G148*'Datos'!B13+H148*'Datos'!B14+I148*'Datos'!B15</x:f>
        <x:v>0.44619194703614573</x:v>
      </x:c>
      <x:c r="C158" s="35" t="n">
        <x:f>B148*'Datos'!C8+C148*'Datos'!C9+D148*'Datos'!C10+E148*'Datos'!C11+F148*'Datos'!C12+G148*'Datos'!C13+H148*'Datos'!C14+I148*'Datos'!C15</x:f>
        <x:v>0.2082041438137876</x:v>
      </x:c>
      <x:c r="D158" s="35" t="n">
        <x:f>B148*'Datos'!D8+C148*'Datos'!D9+D148*'Datos'!D10+E148*'Datos'!D11+F148*'Datos'!D12+G148*'Datos'!D13+H148*'Datos'!D14+I148*'Datos'!D15</x:f>
        <x:v>0.13333964790830719</x:v>
      </x:c>
      <x:c r="E158" s="35" t="n">
        <x:f>B148*'Datos'!E8+C148*'Datos'!E9+D148*'Datos'!E10+E148*'Datos'!E11+F148*'Datos'!E12+G148*'Datos'!E13+H148*'Datos'!E14+I148*'Datos'!E15</x:f>
        <x:v>0.06238592411215656</x:v>
      </x:c>
      <x:c r="F158" s="35" t="n">
        <x:f>B148*'Datos'!F8+C148*'Datos'!F9+D148*'Datos'!F10+E148*'Datos'!F11+F148*'Datos'!F12+G148*'Datos'!F13+H148*'Datos'!F14+I148*'Datos'!F15</x:f>
        <x:v>0.0536993880709012</x:v>
      </x:c>
      <x:c r="G158" s="35" t="n">
        <x:f>B148*'Datos'!G8+C148*'Datos'!G9+D148*'Datos'!G10+E148*'Datos'!G11+F148*'Datos'!G12+G148*'Datos'!G13+H148*'Datos'!G14+I148*'Datos'!G15</x:f>
        <x:v>0.025909215245969928</x:v>
      </x:c>
      <x:c r="H158" s="35" t="n">
        <x:f>B148*'Datos'!H8+C148*'Datos'!H9+D148*'Datos'!H10+E148*'Datos'!H11+F148*'Datos'!H12+G148*'Datos'!H13+H148*'Datos'!H14+I148*'Datos'!H15</x:f>
        <x:v>0.02541431973774016</x:v>
      </x:c>
      <x:c r="I158" s="35" t="n">
        <x:f>B148*'Datos'!I8+C148*'Datos'!I9+D148*'Datos'!I10+E148*'Datos'!I11+F148*'Datos'!I12+G148*'Datos'!I13+H148*'Datos'!I14+I148*'Datos'!I15</x:f>
        <x:v>0.04485541407499158</x:v>
      </x:c>
      <x:c r="J158" s="34" t="n">
        <x:f>SUM(B158:I158)</x:f>
        <x:v>1</x:v>
      </x:c>
    </x:row>
    <x:row r="159" ht="22" customHeight="1">
      <x:c r="A159" s="31" t="str">
        <x:f>'Datos'!A9</x:f>
        <x:v>Aa</x:v>
      </x:c>
      <x:c r="B159" s="35" t="n">
        <x:f>B149*'Datos'!B8+C149*'Datos'!B9+D149*'Datos'!B10+E149*'Datos'!B11+F149*'Datos'!B12+G149*'Datos'!B13+H149*'Datos'!B14+I149*'Datos'!B15</x:f>
        <x:v>0.4289607483016212</x:v>
      </x:c>
      <x:c r="C159" s="35" t="n">
        <x:f>B149*'Datos'!C8+C149*'Datos'!C9+D149*'Datos'!C10+E149*'Datos'!C11+F149*'Datos'!C12+G149*'Datos'!C13+H149*'Datos'!C14+I149*'Datos'!C15</x:f>
        <x:v>0.20179186151839115</x:v>
      </x:c>
      <x:c r="D159" s="35" t="n">
        <x:f>B149*'Datos'!D8+C149*'Datos'!D9+D149*'Datos'!D10+E149*'Datos'!D11+F149*'Datos'!D12+G149*'Datos'!D13+H149*'Datos'!D14+I149*'Datos'!D15</x:f>
        <x:v>0.13177843902066466</x:v>
      </x:c>
      <x:c r="E159" s="35" t="n">
        <x:f>B149*'Datos'!E8+C149*'Datos'!E9+D149*'Datos'!E10+E149*'Datos'!E11+F149*'Datos'!E12+G149*'Datos'!E13+H149*'Datos'!E14+I149*'Datos'!E15</x:f>
        <x:v>0.0625784099313379</x:v>
      </x:c>
      <x:c r="F159" s="35" t="n">
        <x:f>B149*'Datos'!F8+C149*'Datos'!F9+D149*'Datos'!F10+E149*'Datos'!F11+F149*'Datos'!F12+G149*'Datos'!F13+H149*'Datos'!F14+I149*'Datos'!F15</x:f>
        <x:v>0.05619772152184435</x:v>
      </x:c>
      <x:c r="G159" s="35" t="n">
        <x:f>B149*'Datos'!G8+C149*'Datos'!G9+D149*'Datos'!G10+E149*'Datos'!G11+F149*'Datos'!G12+G149*'Datos'!G13+H149*'Datos'!G14+I149*'Datos'!G15</x:f>
        <x:v>0.028128931946217142</x:v>
      </x:c>
      <x:c r="H159" s="35" t="n">
        <x:f>B149*'Datos'!H8+C149*'Datos'!H9+D149*'Datos'!H10+E149*'Datos'!H11+F149*'Datos'!H12+G149*'Datos'!H13+H149*'Datos'!H14+I149*'Datos'!H15</x:f>
        <x:v>0.028853312292027034</x:v>
      </x:c>
      <x:c r="I159" s="35" t="n">
        <x:f>B149*'Datos'!I8+C149*'Datos'!I9+D149*'Datos'!I10+E149*'Datos'!I11+F149*'Datos'!I12+G149*'Datos'!I13+H149*'Datos'!I14+I149*'Datos'!I15</x:f>
        <x:v>0.06171057546789614</x:v>
      </x:c>
      <x:c r="J159" s="34" t="n">
        <x:f>SUM(B159:I159)</x:f>
        <x:v>0.9999999999999996</x:v>
      </x:c>
    </x:row>
    <x:row r="160" ht="22" customHeight="1">
      <x:c r="A160" s="31" t="str">
        <x:f>'Datos'!A10</x:f>
        <x:v>A</x:v>
      </x:c>
      <x:c r="B160" s="35" t="n">
        <x:f>B150*'Datos'!B8+C150*'Datos'!B9+D150*'Datos'!B10+E150*'Datos'!B11+F150*'Datos'!B12+G150*'Datos'!B13+H150*'Datos'!B14+I150*'Datos'!B15</x:f>
        <x:v>0.30254025809030954</x:v>
      </x:c>
      <x:c r="C160" s="35" t="n">
        <x:f>B150*'Datos'!C8+C150*'Datos'!C9+D150*'Datos'!C10+E150*'Datos'!C11+F150*'Datos'!C12+G150*'Datos'!C13+H150*'Datos'!C14+I150*'Datos'!C15</x:f>
        <x:v>0.15216875075637767</x:v>
      </x:c>
      <x:c r="D160" s="35" t="n">
        <x:f>B150*'Datos'!D8+C150*'Datos'!D9+D150*'Datos'!D10+E150*'Datos'!D11+F150*'Datos'!D12+G150*'Datos'!D13+H150*'Datos'!D14+I150*'Datos'!D15</x:f>
        <x:v>0.11517447060716354</x:v>
      </x:c>
      <x:c r="E160" s="35" t="n">
        <x:f>B150*'Datos'!E8+C150*'Datos'!E9+D150*'Datos'!E10+E150*'Datos'!E11+F150*'Datos'!E12+G150*'Datos'!E13+H150*'Datos'!E14+I150*'Datos'!E15</x:f>
        <x:v>0.06050963010736894</x:v>
      </x:c>
      <x:c r="F160" s="35" t="n">
        <x:f>B150*'Datos'!F8+C150*'Datos'!F9+D150*'Datos'!F10+E150*'Datos'!F11+F150*'Datos'!F12+G150*'Datos'!F13+H150*'Datos'!F14+I150*'Datos'!F15</x:f>
        <x:v>0.06956116725768526</x:v>
      </x:c>
      <x:c r="G160" s="35" t="n">
        <x:f>B150*'Datos'!G8+C150*'Datos'!G9+D150*'Datos'!G10+E150*'Datos'!G11+F150*'Datos'!G12+G150*'Datos'!G13+H150*'Datos'!G14+I150*'Datos'!G15</x:f>
        <x:v>0.04163161668291731</x:v>
      </x:c>
      <x:c r="H160" s="35" t="n">
        <x:f>B150*'Datos'!H8+C150*'Datos'!H9+D150*'Datos'!H10+E150*'Datos'!H11+F150*'Datos'!H12+G150*'Datos'!H13+H150*'Datos'!H14+I150*'Datos'!H15</x:f>
        <x:v>0.051233431832899246</x:v>
      </x:c>
      <x:c r="I160" s="35" t="n">
        <x:f>B150*'Datos'!I8+C150*'Datos'!I9+D150*'Datos'!I10+E150*'Datos'!I11+F150*'Datos'!I12+G150*'Datos'!I13+H150*'Datos'!I14+I150*'Datos'!I15</x:f>
        <x:v>0.2071806746652787</x:v>
      </x:c>
      <x:c r="J160" s="34" t="n">
        <x:f>SUM(B160:I160)</x:f>
        <x:v>1.0000000000000002</x:v>
      </x:c>
    </x:row>
    <x:row r="161" ht="22" customHeight="1">
      <x:c r="A161" s="31" t="str">
        <x:f>'Datos'!A11</x:f>
        <x:v>Baa</x:v>
      </x:c>
      <x:c r="B161" s="35" t="n">
        <x:f>B151*'Datos'!B8+C151*'Datos'!B9+D151*'Datos'!B10+E151*'Datos'!B11+F151*'Datos'!B12+G151*'Datos'!B13+H151*'Datos'!B14+I151*'Datos'!B15</x:f>
        <x:v>0.21176359383718102</x:v>
      </x:c>
      <x:c r="C161" s="35" t="n">
        <x:f>B151*'Datos'!C8+C151*'Datos'!C9+D151*'Datos'!C10+E151*'Datos'!C11+F151*'Datos'!C12+G151*'Datos'!C13+H151*'Datos'!C14+I151*'Datos'!C15</x:f>
        <x:v>0.11169550378223682</x:v>
      </x:c>
      <x:c r="D161" s="35" t="n">
        <x:f>B151*'Datos'!D8+C151*'Datos'!D9+D151*'Datos'!D10+E151*'Datos'!D11+F151*'Datos'!D12+G151*'Datos'!D13+H151*'Datos'!D14+I151*'Datos'!D15</x:f>
        <x:v>0.09289653881831397</x:v>
      </x:c>
      <x:c r="E161" s="35" t="n">
        <x:f>B151*'Datos'!E8+C151*'Datos'!E9+D151*'Datos'!E10+E151*'Datos'!E11+F151*'Datos'!E12+G151*'Datos'!E13+H151*'Datos'!E14+I151*'Datos'!E15</x:f>
        <x:v>0.05174318605995654</x:v>
      </x:c>
      <x:c r="F161" s="35" t="n">
        <x:f>B151*'Datos'!F8+C151*'Datos'!F9+D151*'Datos'!F10+E151*'Datos'!F11+F151*'Datos'!F12+G151*'Datos'!F13+H151*'Datos'!F14+I151*'Datos'!F15</x:f>
        <x:v>0.06741912627893588</x:v>
      </x:c>
      <x:c r="G161" s="35" t="n">
        <x:f>B151*'Datos'!G8+C151*'Datos'!G9+D151*'Datos'!G10+E151*'Datos'!G11+F151*'Datos'!G12+G151*'Datos'!G13+H151*'Datos'!G14+I151*'Datos'!G15</x:f>
        <x:v>0.043836433050077395</x:v>
      </x:c>
      <x:c r="H161" s="35" t="n">
        <x:f>B151*'Datos'!H8+C151*'Datos'!H9+D151*'Datos'!H10+E151*'Datos'!H11+F151*'Datos'!H12+G151*'Datos'!H13+H151*'Datos'!H14+I151*'Datos'!H15</x:f>
        <x:v>0.058129872104738634</x:v>
      </x:c>
      <x:c r="I161" s="35" t="n">
        <x:f>B151*'Datos'!I8+C151*'Datos'!I9+D151*'Datos'!I10+E151*'Datos'!I11+F151*'Datos'!I12+G151*'Datos'!I13+H151*'Datos'!I14+I151*'Datos'!I15</x:f>
        <x:v>0.3625157460685601</x:v>
      </x:c>
      <x:c r="J161" s="34" t="n">
        <x:f>SUM(B161:I161)</x:f>
        <x:v>1.0000000000000002</x:v>
      </x:c>
    </x:row>
    <x:row r="162" ht="22" customHeight="1">
      <x:c r="A162" s="31" t="str">
        <x:f>'Datos'!A12</x:f>
        <x:v>Ba</x:v>
      </x:c>
      <x:c r="B162" s="35" t="n">
        <x:f>B152*'Datos'!B8+C152*'Datos'!B9+D152*'Datos'!B10+E152*'Datos'!B11+F152*'Datos'!B12+G152*'Datos'!B13+H152*'Datos'!B14+I152*'Datos'!B15</x:f>
        <x:v>0.0754013354952674</x:v>
      </x:c>
      <x:c r="C162" s="35" t="n">
        <x:f>B152*'Datos'!C8+C152*'Datos'!C9+D152*'Datos'!C10+E152*'Datos'!C11+F152*'Datos'!C12+G152*'Datos'!C13+H152*'Datos'!C14+I152*'Datos'!C15</x:f>
        <x:v>0.04499969731627069</x:v>
      </x:c>
      <x:c r="D162" s="35" t="n">
        <x:f>B152*'Datos'!D8+C152*'Datos'!D9+D152*'Datos'!D10+E152*'Datos'!D11+F152*'Datos'!D12+G152*'Datos'!D13+H152*'Datos'!D14+I152*'Datos'!D15</x:f>
        <x:v>0.046357234565273846</x:v>
      </x:c>
      <x:c r="E162" s="35" t="n">
        <x:f>B152*'Datos'!E8+C152*'Datos'!E9+D152*'Datos'!E10+E152*'Datos'!E11+F152*'Datos'!E12+G152*'Datos'!E13+H152*'Datos'!E14+I152*'Datos'!E15</x:f>
        <x:v>0.02910591794337083</x:v>
      </x:c>
      <x:c r="F162" s="35" t="n">
        <x:f>B152*'Datos'!F8+C152*'Datos'!F9+D152*'Datos'!F10+E152*'Datos'!F11+F152*'Datos'!F12+G152*'Datos'!F13+H152*'Datos'!F14+I152*'Datos'!F15</x:f>
        <x:v>0.04762828293111625</x:v>
      </x:c>
      <x:c r="G162" s="35" t="n">
        <x:f>B152*'Datos'!G8+C152*'Datos'!G9+D152*'Datos'!G10+E152*'Datos'!G11+F152*'Datos'!G12+G152*'Datos'!G13+H152*'Datos'!G14+I152*'Datos'!G15</x:f>
        <x:v>0.035641852192714304</x:v>
      </x:c>
      <x:c r="H162" s="35" t="n">
        <x:f>B152*'Datos'!H8+C152*'Datos'!H9+D152*'Datos'!H10+E152*'Datos'!H11+F152*'Datos'!H12+G152*'Datos'!H13+H152*'Datos'!H14+I152*'Datos'!H15</x:f>
        <x:v>0.05298067778474513</x:v>
      </x:c>
      <x:c r="I162" s="35" t="n">
        <x:f>B152*'Datos'!I8+C152*'Datos'!I9+D152*'Datos'!I10+E152*'Datos'!I11+F152*'Datos'!I12+G152*'Datos'!I13+H152*'Datos'!I14+I152*'Datos'!I15</x:f>
        <x:v>0.6678850017712413</x:v>
      </x:c>
      <x:c r="J162" s="34" t="n">
        <x:f>SUM(B162:I162)</x:f>
        <x:v>0.9999999999999998</x:v>
      </x:c>
    </x:row>
    <x:row r="163" ht="22" customHeight="1">
      <x:c r="A163" s="31" t="str">
        <x:f>'Datos'!A13</x:f>
        <x:v>B</x:v>
      </x:c>
      <x:c r="B163" s="35" t="n">
        <x:f>B153*'Datos'!B8+C153*'Datos'!B9+D153*'Datos'!B10+E153*'Datos'!B11+F153*'Datos'!B12+G153*'Datos'!B13+H153*'Datos'!B14+I153*'Datos'!B15</x:f>
        <x:v>0.022735819347621665</x:v>
      </x:c>
      <x:c r="C163" s="35" t="n">
        <x:f>B153*'Datos'!C8+C153*'Datos'!C9+D153*'Datos'!C10+E153*'Datos'!C11+F153*'Datos'!C12+G153*'Datos'!C13+H153*'Datos'!C14+I153*'Datos'!C15</x:f>
        <x:v>0.01455148776748959</x:v>
      </x:c>
      <x:c r="D163" s="35" t="n">
        <x:f>B153*'Datos'!D8+C153*'Datos'!D9+D153*'Datos'!D10+E153*'Datos'!D11+F153*'Datos'!D12+G153*'Datos'!D13+H153*'Datos'!D14+I153*'Datos'!D15</x:f>
        <x:v>0.01670368134191136</x:v>
      </x:c>
      <x:c r="E163" s="35" t="n">
        <x:f>B153*'Datos'!E8+C153*'Datos'!E9+D153*'Datos'!E10+E153*'Datos'!E11+F153*'Datos'!E12+G153*'Datos'!E13+H153*'Datos'!E14+I153*'Datos'!E15</x:f>
        <x:v>0.011118404002442924</x:v>
      </x:c>
      <x:c r="F163" s="35" t="n">
        <x:f>B153*'Datos'!F8+C153*'Datos'!F9+D153*'Datos'!F10+E153*'Datos'!F11+F153*'Datos'!F12+G153*'Datos'!F13+H153*'Datos'!F14+I153*'Datos'!F15</x:f>
        <x:v>0.02017404523370959</x:v>
      </x:c>
      <x:c r="G163" s="35" t="n">
        <x:f>B153*'Datos'!G8+C153*'Datos'!G9+D153*'Datos'!G10+E153*'Datos'!G11+F153*'Datos'!G12+G153*'Datos'!G13+H153*'Datos'!G14+I153*'Datos'!G15</x:f>
        <x:v>0.01620071245442123</x:v>
      </x:c>
      <x:c r="H163" s="35" t="n">
        <x:f>B153*'Datos'!H8+C153*'Datos'!H9+D153*'Datos'!H10+E153*'Datos'!H11+F153*'Datos'!H12+G153*'Datos'!H13+H153*'Datos'!H14+I153*'Datos'!H15</x:f>
        <x:v>0.02545254620030797</x:v>
      </x:c>
      <x:c r="I163" s="35" t="n">
        <x:f>B153*'Datos'!I8+C153*'Datos'!I9+D153*'Datos'!I10+E153*'Datos'!I11+F153*'Datos'!I12+G153*'Datos'!I13+H153*'Datos'!I14+I153*'Datos'!I15</x:f>
        <x:v>0.8730633036520955</x:v>
      </x:c>
      <x:c r="J163" s="34" t="n">
        <x:f>SUM(B163:I163)</x:f>
        <x:v>0.9999999999999998</x:v>
      </x:c>
    </x:row>
    <x:row r="164" ht="22" customHeight="1">
      <x:c r="A164" s="31" t="str">
        <x:f>'Datos'!A14</x:f>
        <x:v>Caa-C</x:v>
      </x:c>
      <x:c r="B164" s="35" t="n">
        <x:f>B154*'Datos'!B8+C154*'Datos'!B9+D154*'Datos'!B10+E154*'Datos'!B11+F154*'Datos'!B12+G154*'Datos'!B13+H154*'Datos'!B14+I154*'Datos'!B15</x:f>
        <x:v>0.005799212951140428</x:v>
      </x:c>
      <x:c r="C164" s="35" t="n">
        <x:f>B154*'Datos'!C8+C154*'Datos'!C9+D154*'Datos'!C10+E154*'Datos'!C11+F154*'Datos'!C12+G154*'Datos'!C13+H154*'Datos'!C14+I154*'Datos'!C15</x:f>
        <x:v>0.004109724691684342</x:v>
      </x:c>
      <x:c r="D164" s="35" t="n">
        <x:f>B154*'Datos'!D8+C154*'Datos'!D9+D154*'Datos'!D10+E154*'Datos'!D11+F154*'Datos'!D12+G154*'Datos'!D13+H154*'Datos'!D14+I154*'Datos'!D15</x:f>
        <x:v>0.005386117657520656</x:v>
      </x:c>
      <x:c r="E164" s="35" t="n">
        <x:f>B154*'Datos'!E8+C154*'Datos'!E9+D154*'Datos'!E10+E154*'Datos'!E11+F154*'Datos'!E12+G154*'Datos'!E13+H154*'Datos'!E14+I154*'Datos'!E15</x:f>
        <x:v>0.003815994931770783</x:v>
      </x:c>
      <x:c r="F164" s="35" t="n">
        <x:f>B154*'Datos'!F8+C154*'Datos'!F9+D154*'Datos'!F10+E154*'Datos'!F11+F154*'Datos'!F12+G154*'Datos'!F13+H154*'Datos'!F14+I154*'Datos'!F15</x:f>
        <x:v>0.007629026232404437</x:v>
      </x:c>
      <x:c r="G164" s="35" t="n">
        <x:f>B154*'Datos'!G8+C154*'Datos'!G9+D154*'Datos'!G10+E154*'Datos'!G11+F154*'Datos'!G12+G154*'Datos'!G13+H154*'Datos'!G14+I154*'Datos'!G15</x:f>
        <x:v>0.006500252197870046</x:v>
      </x:c>
      <x:c r="H164" s="35" t="n">
        <x:f>B154*'Datos'!H8+C154*'Datos'!H9+D154*'Datos'!H10+E154*'Datos'!H11+F154*'Datos'!H12+G154*'Datos'!H13+H154*'Datos'!H14+I154*'Datos'!H15</x:f>
        <x:v>0.010652585126506773</x:v>
      </x:c>
      <x:c r="I164" s="35" t="n">
        <x:f>B154*'Datos'!I8+C154*'Datos'!I9+D154*'Datos'!I10+E154*'Datos'!I11+F154*'Datos'!I12+G154*'Datos'!I13+H154*'Datos'!I14+I154*'Datos'!I15</x:f>
        <x:v>0.9561070862111023</x:v>
      </x:c>
      <x:c r="J164" s="34" t="n">
        <x:f>SUM(B164:I164)</x:f>
        <x:v>0.9999999999999998</x:v>
      </x:c>
    </x:row>
    <x:row r="165" ht="22" customHeight="1">
      <x:c r="A165" s="31" t="str">
        <x:f>'Datos'!A15</x:f>
        <x:v>Default</x:v>
      </x:c>
      <x:c r="B165" s="35" t="n">
        <x:f>B155*'Datos'!B8+C155*'Datos'!B9+D155*'Datos'!B10+E155*'Datos'!B11+F155*'Datos'!B12+G155*'Datos'!B13+H155*'Datos'!B14+I155*'Datos'!B15</x:f>
        <x:v>0</x:v>
      </x:c>
      <x:c r="C165" s="35" t="n">
        <x:f>B155*'Datos'!C8+C155*'Datos'!C9+D155*'Datos'!C10+E155*'Datos'!C11+F155*'Datos'!C12+G155*'Datos'!C13+H155*'Datos'!C14+I155*'Datos'!C15</x:f>
        <x:v>0</x:v>
      </x:c>
      <x:c r="D165" s="35" t="n">
        <x:f>B155*'Datos'!D8+C155*'Datos'!D9+D155*'Datos'!D10+E155*'Datos'!D11+F155*'Datos'!D12+G155*'Datos'!D13+H155*'Datos'!D14+I155*'Datos'!D15</x:f>
        <x:v>0</x:v>
      </x:c>
      <x:c r="E165" s="35" t="n">
        <x:f>B155*'Datos'!E8+C155*'Datos'!E9+D155*'Datos'!E10+E155*'Datos'!E11+F155*'Datos'!E12+G155*'Datos'!E13+H155*'Datos'!E14+I155*'Datos'!E15</x:f>
        <x:v>0</x:v>
      </x:c>
      <x:c r="F165" s="35" t="n">
        <x:f>B155*'Datos'!F8+C155*'Datos'!F9+D155*'Datos'!F10+E155*'Datos'!F11+F155*'Datos'!F12+G155*'Datos'!F13+H155*'Datos'!F14+I155*'Datos'!F15</x:f>
        <x:v>0</x:v>
      </x:c>
      <x:c r="G165" s="35" t="n">
        <x:f>B155*'Datos'!G8+C155*'Datos'!G9+D155*'Datos'!G10+E155*'Datos'!G11+F155*'Datos'!G12+G155*'Datos'!G13+H155*'Datos'!G14+I155*'Datos'!G15</x:f>
        <x:v>0</x:v>
      </x:c>
      <x:c r="H165" s="35" t="n">
        <x:f>B155*'Datos'!H8+C155*'Datos'!H9+D155*'Datos'!H10+E155*'Datos'!H11+F155*'Datos'!H12+G155*'Datos'!H13+H155*'Datos'!H14+I155*'Datos'!H15</x:f>
        <x:v>0</x:v>
      </x:c>
      <x:c r="I165" s="35" t="n">
        <x:f>B155*'Datos'!I8+C155*'Datos'!I9+D155*'Datos'!I10+E155*'Datos'!I11+F155*'Datos'!I12+G155*'Datos'!I13+H155*'Datos'!I14+I155*'Datos'!I15</x:f>
        <x:v>1</x:v>
      </x:c>
      <x:c r="J165" s="34" t="n">
        <x:f>SUM(B165:I165)</x:f>
        <x:v>1</x:v>
      </x:c>
    </x:row>
    <x:row r="166" ht="22" customHeight="1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</x:row>
    <x:row r="167" ht="36" customHeight="1">
      <x:c r="A167" s="13" t="str">
        <x:v>P^16</x:v>
      </x:c>
      <x:c r="B167" s="13" t="str">
        <x:v>Aaa</x:v>
      </x:c>
      <x:c r="C167" s="13" t="str">
        <x:v>Aa</x:v>
      </x:c>
      <x:c r="D167" s="13" t="str">
        <x:v>A</x:v>
      </x:c>
      <x:c r="E167" s="13" t="str">
        <x:v>Baa</x:v>
      </x:c>
      <x:c r="F167" s="13" t="str">
        <x:v>Ba</x:v>
      </x:c>
      <x:c r="G167" s="13" t="str">
        <x:v>B</x:v>
      </x:c>
      <x:c r="H167" s="13" t="str">
        <x:v>Caa-C</x:v>
      </x:c>
      <x:c r="I167" s="13" t="str">
        <x:v>Default</x:v>
      </x:c>
      <x:c r="J167" s="13" t="str">
        <x:v>Suma</x:v>
      </x:c>
    </x:row>
    <x:row r="168" ht="22" customHeight="1">
      <x:c r="A168" s="31" t="str">
        <x:f>'Datos'!A8</x:f>
        <x:v>Aaa</x:v>
      </x:c>
      <x:c r="B168" s="35" t="n">
        <x:f>B158*'Datos'!B8+C158*'Datos'!B9+D158*'Datos'!B10+E158*'Datos'!B11+F158*'Datos'!B12+G158*'Datos'!B13+H158*'Datos'!B14+I158*'Datos'!B15</x:f>
        <x:v>0.4377567370352382</x:v>
      </x:c>
      <x:c r="C168" s="35" t="n">
        <x:f>B158*'Datos'!C8+C158*'Datos'!C9+D158*'Datos'!C10+E158*'Datos'!C11+F158*'Datos'!C12+G158*'Datos'!C13+H158*'Datos'!C14+I158*'Datos'!C15</x:f>
        <x:v>0.20495388606957538</x:v>
      </x:c>
      <x:c r="D168" s="35" t="n">
        <x:f>B158*'Datos'!D8+C158*'Datos'!D9+D158*'Datos'!D10+E158*'Datos'!D11+F158*'Datos'!D12+G158*'Datos'!D13+H158*'Datos'!D14+I158*'Datos'!D15</x:f>
        <x:v>0.13235300595485203</x:v>
      </x:c>
      <x:c r="E168" s="35" t="n">
        <x:f>B158*'Datos'!E8+C158*'Datos'!E9+D158*'Datos'!E10+E158*'Datos'!E11+F158*'Datos'!E12+G158*'Datos'!E13+H158*'Datos'!E14+I158*'Datos'!E15</x:f>
        <x:v>0.06232976980032437</x:v>
      </x:c>
      <x:c r="F168" s="35" t="n">
        <x:f>B158*'Datos'!F8+C158*'Datos'!F9+D158*'Datos'!F10+E158*'Datos'!F11+F158*'Datos'!F12+G158*'Datos'!F13+H158*'Datos'!F14+I158*'Datos'!F15</x:f>
        <x:v>0.0547075498861696</x:v>
      </x:c>
      <x:c r="G168" s="35" t="n">
        <x:f>B158*'Datos'!G8+C158*'Datos'!G9+D158*'Datos'!G10+E158*'Datos'!G11+F158*'Datos'!G12+G158*'Datos'!G13+H158*'Datos'!G14+I158*'Datos'!G15</x:f>
        <x:v>0.02687523586932227</x:v>
      </x:c>
      <x:c r="H168" s="35" t="n">
        <x:f>B158*'Datos'!H8+C158*'Datos'!H9+D158*'Datos'!H10+E158*'Datos'!H11+F158*'Datos'!H12+G158*'Datos'!H13+H158*'Datos'!H14+I158*'Datos'!H15</x:f>
        <x:v>0.026973921374787636</x:v>
      </x:c>
      <x:c r="I168" s="35" t="n">
        <x:f>B158*'Datos'!I8+C158*'Datos'!I9+D158*'Datos'!I10+E158*'Datos'!I11+F158*'Datos'!I12+G158*'Datos'!I13+H158*'Datos'!I14+I158*'Datos'!I15</x:f>
        <x:v>0.05404989400973057</x:v>
      </x:c>
      <x:c r="J168" s="34" t="n">
        <x:f>SUM(B168:I168)</x:f>
        <x:v>1</x:v>
      </x:c>
    </x:row>
    <x:row r="169" ht="22" customHeight="1">
      <x:c r="A169" s="31" t="str">
        <x:f>'Datos'!A9</x:f>
        <x:v>Aa</x:v>
      </x:c>
      <x:c r="B169" s="35" t="n">
        <x:f>B159*'Datos'!B8+C159*'Datos'!B9+D159*'Datos'!B10+E159*'Datos'!B11+F159*'Datos'!B12+G159*'Datos'!B13+H159*'Datos'!B14+I159*'Datos'!B15</x:f>
        <x:v>0.4214423859158115</x:v>
      </x:c>
      <x:c r="C169" s="35" t="n">
        <x:f>B159*'Datos'!C8+C159*'Datos'!C9+D159*'Datos'!C10+E159*'Datos'!C11+F159*'Datos'!C12+G159*'Datos'!C13+H159*'Datos'!C14+I159*'Datos'!C15</x:f>
        <x:v>0.19864913781884028</x:v>
      </x:c>
      <x:c r="D169" s="35" t="n">
        <x:f>B159*'Datos'!D8+C159*'Datos'!D9+D159*'Datos'!D10+E159*'Datos'!D11+F159*'Datos'!D12+G159*'Datos'!D13+H159*'Datos'!D14+I159*'Datos'!D15</x:f>
        <x:v>0.1303973746115654</x:v>
      </x:c>
      <x:c r="E169" s="35" t="n">
        <x:f>B159*'Datos'!E8+C159*'Datos'!E9+D159*'Datos'!E10+E159*'Datos'!E11+F159*'Datos'!E12+G159*'Datos'!E13+H159*'Datos'!E14+I159*'Datos'!E15</x:f>
        <x:v>0.06218483877423417</x:v>
      </x:c>
      <x:c r="F169" s="35" t="n">
        <x:f>B159*'Datos'!F8+C159*'Datos'!F9+D159*'Datos'!F10+E159*'Datos'!F11+F159*'Datos'!F12+G159*'Datos'!F13+H159*'Datos'!F14+I159*'Datos'!F15</x:f>
        <x:v>0.056584985275784185</x:v>
      </x:c>
      <x:c r="G169" s="35" t="n">
        <x:f>B159*'Datos'!G8+C159*'Datos'!G9+D159*'Datos'!G10+E159*'Datos'!G11+F159*'Datos'!G12+G159*'Datos'!G13+H159*'Datos'!G14+I159*'Datos'!G15</x:f>
        <x:v>0.028689064527059858</x:v>
      </x:c>
      <x:c r="H169" s="35" t="n">
        <x:f>B159*'Datos'!H8+C159*'Datos'!H9+D159*'Datos'!H10+E159*'Datos'!H11+F159*'Datos'!H12+G159*'Datos'!H13+H159*'Datos'!H14+I159*'Datos'!H15</x:f>
        <x:v>0.02991155580138026</x:v>
      </x:c>
      <x:c r="I169" s="35" t="n">
        <x:f>B159*'Datos'!I8+C159*'Datos'!I9+D159*'Datos'!I10+E159*'Datos'!I11+F159*'Datos'!I12+G159*'Datos'!I13+H159*'Datos'!I14+I159*'Datos'!I15</x:f>
        <x:v>0.0721406572753239</x:v>
      </x:c>
      <x:c r="J169" s="34" t="n">
        <x:f>SUM(B169:I169)</x:f>
        <x:v>0.9999999999999997</x:v>
      </x:c>
    </x:row>
    <x:row r="170" ht="22" customHeight="1">
      <x:c r="A170" s="31" t="str">
        <x:f>'Datos'!A10</x:f>
        <x:v>A</x:v>
      </x:c>
      <x:c r="B170" s="35" t="n">
        <x:f>B160*'Datos'!B8+C160*'Datos'!B9+D160*'Datos'!B10+E160*'Datos'!B11+F160*'Datos'!B12+G160*'Datos'!B13+H160*'Datos'!B14+I160*'Datos'!B15</x:f>
        <x:v>0.3008215685319964</x:v>
      </x:c>
      <x:c r="C170" s="35" t="n">
        <x:f>B160*'Datos'!C8+C160*'Datos'!C9+D160*'Datos'!C10+E160*'Datos'!C11+F160*'Datos'!C12+G160*'Datos'!C13+H160*'Datos'!C14+I160*'Datos'!C15</x:f>
        <x:v>0.14994424533313447</x:v>
      </x:c>
      <x:c r="D170" s="35" t="n">
        <x:f>B160*'Datos'!D8+C160*'Datos'!D9+D160*'Datos'!D10+E160*'Datos'!D11+F160*'Datos'!D12+G160*'Datos'!D13+H160*'Datos'!D14+I160*'Datos'!D15</x:f>
        <x:v>0.11162476588687566</x:v>
      </x:c>
      <x:c r="E170" s="35" t="n">
        <x:f>B160*'Datos'!E8+C160*'Datos'!E9+D160*'Datos'!E10+E160*'Datos'!E11+F160*'Datos'!E12+G160*'Datos'!E13+H160*'Datos'!E14+I160*'Datos'!E15</x:f>
        <x:v>0.058138929836379104</x:v>
      </x:c>
      <x:c r="F170" s="35" t="n">
        <x:f>B160*'Datos'!F8+C160*'Datos'!F9+D160*'Datos'!F10+E160*'Datos'!F11+F160*'Datos'!F12+G160*'Datos'!F13+H160*'Datos'!F14+I160*'Datos'!F15</x:f>
        <x:v>0.06594039953623367</x:v>
      </x:c>
      <x:c r="G170" s="35" t="n">
        <x:f>B160*'Datos'!G8+C160*'Datos'!G9+D160*'Datos'!G10+E160*'Datos'!G11+F160*'Datos'!G12+G160*'Datos'!G13+H160*'Datos'!G14+I160*'Datos'!G15</x:f>
        <x:v>0.0393699120801674</x:v>
      </x:c>
      <x:c r="H170" s="35" t="n">
        <x:f>B160*'Datos'!H8+C160*'Datos'!H9+D160*'Datos'!H10+E160*'Datos'!H11+F160*'Datos'!H12+G160*'Datos'!H13+H160*'Datos'!H14+I160*'Datos'!H15</x:f>
        <x:v>0.04851463333915543</x:v>
      </x:c>
      <x:c r="I170" s="35" t="n">
        <x:f>B160*'Datos'!I8+C160*'Datos'!I9+D160*'Datos'!I10+E160*'Datos'!I11+F160*'Datos'!I12+G160*'Datos'!I13+H160*'Datos'!I14+I160*'Datos'!I15</x:f>
        <x:v>0.22564554545605808</x:v>
      </x:c>
      <x:c r="J170" s="34" t="n">
        <x:f>SUM(B170:I170)</x:f>
        <x:v>1</x:v>
      </x:c>
    </x:row>
    <x:row r="171" ht="22" customHeight="1">
      <x:c r="A171" s="31" t="str">
        <x:f>'Datos'!A11</x:f>
        <x:v>Baa</x:v>
      </x:c>
      <x:c r="B171" s="35" t="n">
        <x:f>B161*'Datos'!B8+C161*'Datos'!B9+D161*'Datos'!B10+E161*'Datos'!B11+F161*'Datos'!B12+G161*'Datos'!B13+H161*'Datos'!B14+I161*'Datos'!B15</x:f>
        <x:v>0.2124571287400494</x:v>
      </x:c>
      <x:c r="C171" s="35" t="n">
        <x:f>B161*'Datos'!C8+C161*'Datos'!C9+D161*'Datos'!C10+E161*'Datos'!C11+F161*'Datos'!C12+G161*'Datos'!C13+H161*'Datos'!C14+I161*'Datos'!C15</x:f>
        <x:v>0.1102440125693914</x:v>
      </x:c>
      <x:c r="D171" s="35" t="n">
        <x:f>B161*'Datos'!D8+C161*'Datos'!D9+D161*'Datos'!D10+E161*'Datos'!D11+F161*'Datos'!D12+G161*'Datos'!D13+H161*'Datos'!D14+I161*'Datos'!D15</x:f>
        <x:v>0.08913785496069837</x:v>
      </x:c>
      <x:c r="E171" s="35" t="n">
        <x:f>B161*'Datos'!E8+C161*'Datos'!E9+D161*'Datos'!E10+E161*'Datos'!E11+F161*'Datos'!E12+G161*'Datos'!E13+H161*'Datos'!E14+I161*'Datos'!E15</x:f>
        <x:v>0.04894873145358786</x:v>
      </x:c>
      <x:c r="F171" s="35" t="n">
        <x:f>B161*'Datos'!F8+C161*'Datos'!F9+D161*'Datos'!F10+E161*'Datos'!F11+F161*'Datos'!F12+G161*'Datos'!F13+H161*'Datos'!F14+I161*'Datos'!F15</x:f>
        <x:v>0.062353027334936605</x:v>
      </x:c>
      <x:c r="G171" s="35" t="n">
        <x:f>B161*'Datos'!G8+C161*'Datos'!G9+D161*'Datos'!G10+E161*'Datos'!G11+F161*'Datos'!G12+G161*'Datos'!G13+H161*'Datos'!G14+I161*'Datos'!G15</x:f>
        <x:v>0.040238931559440964</x:v>
      </x:c>
      <x:c r="H171" s="35" t="n">
        <x:f>B161*'Datos'!H8+C161*'Datos'!H9+D161*'Datos'!H10+E161*'Datos'!H11+F161*'Datos'!H12+G161*'Datos'!H13+H161*'Datos'!H14+I161*'Datos'!H15</x:f>
        <x:v>0.05317668036776782</x:v>
      </x:c>
      <x:c r="I171" s="35" t="n">
        <x:f>B161*'Datos'!I8+C161*'Datos'!I9+D161*'Datos'!I10+E161*'Datos'!I11+F161*'Datos'!I12+G161*'Datos'!I13+H161*'Datos'!I14+I161*'Datos'!I15</x:f>
        <x:v>0.38344363301412787</x:v>
      </x:c>
      <x:c r="J171" s="34" t="n">
        <x:f>SUM(B171:I171)</x:f>
        <x:v>1.0000000000000002</x:v>
      </x:c>
    </x:row>
    <x:row r="172" ht="22" customHeight="1">
      <x:c r="A172" s="31" t="str">
        <x:f>'Datos'!A12</x:f>
        <x:v>Ba</x:v>
      </x:c>
      <x:c r="B172" s="35" t="n">
        <x:f>B162*'Datos'!B8+C162*'Datos'!B9+D162*'Datos'!B10+E162*'Datos'!B11+F162*'Datos'!B12+G162*'Datos'!B13+H162*'Datos'!B14+I162*'Datos'!B15</x:f>
        <x:v>0.07757601939780448</x:v>
      </x:c>
      <x:c r="C172" s="35" t="n">
        <x:f>B162*'Datos'!C8+C162*'Datos'!C9+D162*'Datos'!C10+E162*'Datos'!C11+F162*'Datos'!C12+G162*'Datos'!C13+H162*'Datos'!C14+I162*'Datos'!C15</x:f>
        <x:v>0.044760529691017334</x:v>
      </x:c>
      <x:c r="D172" s="35" t="n">
        <x:f>B162*'Datos'!D8+C162*'Datos'!D9+D162*'Datos'!D10+E162*'Datos'!D11+F162*'Datos'!D12+G162*'Datos'!D13+H162*'Datos'!D14+I162*'Datos'!D15</x:f>
        <x:v>0.04386898610942109</x:v>
      </x:c>
      <x:c r="E172" s="35" t="n">
        <x:f>B162*'Datos'!E8+C162*'Datos'!E9+D162*'Datos'!E10+E162*'Datos'!E11+F162*'Datos'!E12+G162*'Datos'!E13+H162*'Datos'!E14+I162*'Datos'!E15</x:f>
        <x:v>0.02691754682522547</x:v>
      </x:c>
      <x:c r="F172" s="35" t="n">
        <x:f>B162*'Datos'!F8+C162*'Datos'!F9+D162*'Datos'!F10+E162*'Datos'!F11+F162*'Datos'!F12+G162*'Datos'!F13+H162*'Datos'!F14+I162*'Datos'!F15</x:f>
        <x:v>0.042512902078263165</x:v>
      </x:c>
      <x:c r="G172" s="35" t="n">
        <x:f>B162*'Datos'!G8+C162*'Datos'!G9+D162*'Datos'!G10+E162*'Datos'!G11+F162*'Datos'!G12+G162*'Datos'!G13+H162*'Datos'!G14+I162*'Datos'!G15</x:f>
        <x:v>0.031327006094676736</x:v>
      </x:c>
      <x:c r="H172" s="35" t="n">
        <x:f>B162*'Datos'!H8+C162*'Datos'!H9+D162*'Datos'!H10+E162*'Datos'!H11+F162*'Datos'!H12+G162*'Datos'!H13+H162*'Datos'!H14+I162*'Datos'!H15</x:f>
        <x:v>0.04610638228660004</x:v>
      </x:c>
      <x:c r="I172" s="35" t="n">
        <x:f>B162*'Datos'!I8+C162*'Datos'!I9+D162*'Datos'!I10+E162*'Datos'!I11+F162*'Datos'!I12+G162*'Datos'!I13+H162*'Datos'!I14+I162*'Datos'!I15</x:f>
        <x:v>0.6869306275169915</x:v>
      </x:c>
      <x:c r="J172" s="34" t="n">
        <x:f>SUM(B172:I172)</x:f>
        <x:v>0.9999999999999998</x:v>
      </x:c>
    </x:row>
    <x:row r="173" ht="22" customHeight="1">
      <x:c r="A173" s="31" t="str">
        <x:f>'Datos'!A13</x:f>
        <x:v>B</x:v>
      </x:c>
      <x:c r="B173" s="35" t="n">
        <x:f>B163*'Datos'!B8+C163*'Datos'!B9+D163*'Datos'!B10+E163*'Datos'!B11+F163*'Datos'!B12+G163*'Datos'!B13+H163*'Datos'!B14+I163*'Datos'!B15</x:f>
        <x:v>0.023757693586055034</x:v>
      </x:c>
      <x:c r="C173" s="35" t="n">
        <x:f>B163*'Datos'!C8+C163*'Datos'!C9+D163*'Datos'!C10+E163*'Datos'!C11+F163*'Datos'!C12+G163*'Datos'!C13+H163*'Datos'!C14+I163*'Datos'!C15</x:f>
        <x:v>0.014575720992688359</x:v>
      </x:c>
      <x:c r="D173" s="35" t="n">
        <x:f>B163*'Datos'!D8+C163*'Datos'!D9+D163*'Datos'!D10+E163*'Datos'!D11+F163*'Datos'!D12+G163*'Datos'!D13+H163*'Datos'!D14+I163*'Datos'!D15</x:f>
        <x:v>0.01578350232292839</x:v>
      </x:c>
      <x:c r="E173" s="35" t="n">
        <x:f>B163*'Datos'!E8+C163*'Datos'!E9+D163*'Datos'!E10+E163*'Datos'!E11+F163*'Datos'!E12+G163*'Datos'!E13+H163*'Datos'!E14+I163*'Datos'!E15</x:f>
        <x:v>0.01022754631758021</x:v>
      </x:c>
      <x:c r="F173" s="35" t="n">
        <x:f>B163*'Datos'!F8+C163*'Datos'!F9+D163*'Datos'!F10+E163*'Datos'!F11+F163*'Datos'!F12+G163*'Datos'!F13+H163*'Datos'!F14+I163*'Datos'!F15</x:f>
        <x:v>0.01780875501577918</x:v>
      </x:c>
      <x:c r="G173" s="35" t="n">
        <x:f>B163*'Datos'!G8+C163*'Datos'!G9+D163*'Datos'!G10+E163*'Datos'!G11+F163*'Datos'!G12+G163*'Datos'!G13+H163*'Datos'!G14+I163*'Datos'!G15</x:f>
        <x:v>0.013991192889951501</x:v>
      </x:c>
      <x:c r="H173" s="35" t="n">
        <x:f>B163*'Datos'!H8+C163*'Datos'!H9+D163*'Datos'!H10+E163*'Datos'!H11+F163*'Datos'!H12+G163*'Datos'!H13+H163*'Datos'!H14+I163*'Datos'!H15</x:f>
        <x:v>0.021648594024689497</x:v>
      </x:c>
      <x:c r="I173" s="35" t="n">
        <x:f>B163*'Datos'!I8+C163*'Datos'!I9+D163*'Datos'!I10+E163*'Datos'!I11+F163*'Datos'!I12+G163*'Datos'!I13+H163*'Datos'!I14+I163*'Datos'!I15</x:f>
        <x:v>0.8822069948503276</x:v>
      </x:c>
      <x:c r="J173" s="34" t="n">
        <x:f>SUM(B173:I173)</x:f>
        <x:v>0.9999999999999998</x:v>
      </x:c>
    </x:row>
    <x:row r="174" ht="22" customHeight="1">
      <x:c r="A174" s="31" t="str">
        <x:f>'Datos'!A14</x:f>
        <x:v>Caa-C</x:v>
      </x:c>
      <x:c r="B174" s="35" t="n">
        <x:f>B164*'Datos'!B8+C164*'Datos'!B9+D164*'Datos'!B10+E164*'Datos'!B11+F164*'Datos'!B12+G164*'Datos'!B13+H164*'Datos'!B14+I164*'Datos'!B15</x:f>
        <x:v>0.006208542386963125</x:v>
      </x:c>
      <x:c r="C174" s="35" t="n">
        <x:f>B164*'Datos'!C8+C164*'Datos'!C9+D164*'Datos'!C10+E164*'Datos'!C11+F164*'Datos'!C12+G164*'Datos'!C13+H164*'Datos'!C14+I164*'Datos'!C15</x:f>
        <x:v>0.0041590536916357255</x:v>
      </x:c>
      <x:c r="D174" s="35" t="n">
        <x:f>B164*'Datos'!D8+C164*'Datos'!D9+D164*'Datos'!D10+E164*'Datos'!D11+F164*'Datos'!D12+G164*'Datos'!D13+H164*'Datos'!D14+I164*'Datos'!D15</x:f>
        <x:v>0.005086934722852998</x:v>
      </x:c>
      <x:c r="E174" s="35" t="n">
        <x:f>B164*'Datos'!E8+C164*'Datos'!E9+D164*'Datos'!E10+E164*'Datos'!E11+F164*'Datos'!E12+G164*'Datos'!E13+H164*'Datos'!E14+I164*'Datos'!E15</x:f>
        <x:v>0.0034945845119260075</x:v>
      </x:c>
      <x:c r="F174" s="35" t="n">
        <x:f>B164*'Datos'!F8+C164*'Datos'!F9+D164*'Datos'!F10+E164*'Datos'!F11+F164*'Datos'!F12+G164*'Datos'!F13+H164*'Datos'!F14+I164*'Datos'!F15</x:f>
        <x:v>0.006673677308410906</x:v>
      </x:c>
      <x:c r="G174" s="35" t="n">
        <x:f>B164*'Datos'!G8+C164*'Datos'!G9+D164*'Datos'!G10+E164*'Datos'!G11+F164*'Datos'!G12+G164*'Datos'!G13+H164*'Datos'!G14+I164*'Datos'!G15</x:f>
        <x:v>0.005536820632821879</x:v>
      </x:c>
      <x:c r="H174" s="35" t="n">
        <x:f>B164*'Datos'!H8+C164*'Datos'!H9+D164*'Datos'!H10+E164*'Datos'!H11+F164*'Datos'!H12+G164*'Datos'!H13+H164*'Datos'!H14+I164*'Datos'!H15</x:f>
        <x:v>0.008908254679716792</x:v>
      </x:c>
      <x:c r="I174" s="35" t="n">
        <x:f>B164*'Datos'!I8+C164*'Datos'!I9+D164*'Datos'!I10+E164*'Datos'!I11+F164*'Datos'!I12+G164*'Datos'!I13+H164*'Datos'!I14+I164*'Datos'!I15</x:f>
        <x:v>0.9599321320656723</x:v>
      </x:c>
      <x:c r="J174" s="34" t="n">
        <x:f>SUM(B174:I174)</x:f>
        <x:v>0.9999999999999998</x:v>
      </x:c>
    </x:row>
    <x:row r="175" ht="22" customHeight="1">
      <x:c r="A175" s="31" t="str">
        <x:f>'Datos'!A15</x:f>
        <x:v>Default</x:v>
      </x:c>
      <x:c r="B175" s="35" t="n">
        <x:f>B165*'Datos'!B8+C165*'Datos'!B9+D165*'Datos'!B10+E165*'Datos'!B11+F165*'Datos'!B12+G165*'Datos'!B13+H165*'Datos'!B14+I165*'Datos'!B15</x:f>
        <x:v>0</x:v>
      </x:c>
      <x:c r="C175" s="35" t="n">
        <x:f>B165*'Datos'!C8+C165*'Datos'!C9+D165*'Datos'!C10+E165*'Datos'!C11+F165*'Datos'!C12+G165*'Datos'!C13+H165*'Datos'!C14+I165*'Datos'!C15</x:f>
        <x:v>0</x:v>
      </x:c>
      <x:c r="D175" s="35" t="n">
        <x:f>B165*'Datos'!D8+C165*'Datos'!D9+D165*'Datos'!D10+E165*'Datos'!D11+F165*'Datos'!D12+G165*'Datos'!D13+H165*'Datos'!D14+I165*'Datos'!D15</x:f>
        <x:v>0</x:v>
      </x:c>
      <x:c r="E175" s="35" t="n">
        <x:f>B165*'Datos'!E8+C165*'Datos'!E9+D165*'Datos'!E10+E165*'Datos'!E11+F165*'Datos'!E12+G165*'Datos'!E13+H165*'Datos'!E14+I165*'Datos'!E15</x:f>
        <x:v>0</x:v>
      </x:c>
      <x:c r="F175" s="35" t="n">
        <x:f>B165*'Datos'!F8+C165*'Datos'!F9+D165*'Datos'!F10+E165*'Datos'!F11+F165*'Datos'!F12+G165*'Datos'!F13+H165*'Datos'!F14+I165*'Datos'!F15</x:f>
        <x:v>0</x:v>
      </x:c>
      <x:c r="G175" s="35" t="n">
        <x:f>B165*'Datos'!G8+C165*'Datos'!G9+D165*'Datos'!G10+E165*'Datos'!G11+F165*'Datos'!G12+G165*'Datos'!G13+H165*'Datos'!G14+I165*'Datos'!G15</x:f>
        <x:v>0</x:v>
      </x:c>
      <x:c r="H175" s="35" t="n">
        <x:f>B165*'Datos'!H8+C165*'Datos'!H9+D165*'Datos'!H10+E165*'Datos'!H11+F165*'Datos'!H12+G165*'Datos'!H13+H165*'Datos'!H14+I165*'Datos'!H15</x:f>
        <x:v>0</x:v>
      </x:c>
      <x:c r="I175" s="35" t="n">
        <x:f>B165*'Datos'!I8+C165*'Datos'!I9+D165*'Datos'!I10+E165*'Datos'!I11+F165*'Datos'!I12+G165*'Datos'!I13+H165*'Datos'!I14+I165*'Datos'!I15</x:f>
        <x:v>1</x:v>
      </x:c>
      <x:c r="J175" s="34" t="n">
        <x:f>SUM(B175:I175)</x:f>
        <x:v>1</x:v>
      </x:c>
    </x:row>
    <x:row r="176" ht="22" customHeight="1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</x:row>
    <x:row r="177" ht="36" customHeight="1">
      <x:c r="A177" s="13" t="str">
        <x:v>P^17</x:v>
      </x:c>
      <x:c r="B177" s="13" t="str">
        <x:v>Aaa</x:v>
      </x:c>
      <x:c r="C177" s="13" t="str">
        <x:v>Aa</x:v>
      </x:c>
      <x:c r="D177" s="13" t="str">
        <x:v>A</x:v>
      </x:c>
      <x:c r="E177" s="13" t="str">
        <x:v>Baa</x:v>
      </x:c>
      <x:c r="F177" s="13" t="str">
        <x:v>Ba</x:v>
      </x:c>
      <x:c r="G177" s="13" t="str">
        <x:v>B</x:v>
      </x:c>
      <x:c r="H177" s="13" t="str">
        <x:v>Caa-C</x:v>
      </x:c>
      <x:c r="I177" s="13" t="str">
        <x:v>Default</x:v>
      </x:c>
      <x:c r="J177" s="13" t="str">
        <x:v>Suma</x:v>
      </x:c>
    </x:row>
    <x:row r="178" ht="22" customHeight="1">
      <x:c r="A178" s="31" t="str">
        <x:f>'Datos'!A8</x:f>
        <x:v>Aaa</x:v>
      </x:c>
      <x:c r="B178" s="35" t="n">
        <x:f>B168*'Datos'!B8+C168*'Datos'!B9+D168*'Datos'!B10+E168*'Datos'!B11+F168*'Datos'!B12+G168*'Datos'!B13+H168*'Datos'!B14+I168*'Datos'!B15</x:f>
        <x:v>0.42973034884366523</x:v>
      </x:c>
      <x:c r="C178" s="35" t="n">
        <x:f>B168*'Datos'!C8+C168*'Datos'!C9+D168*'Datos'!C10+E168*'Datos'!C11+F168*'Datos'!C12+G168*'Datos'!C13+H168*'Datos'!C14+I168*'Datos'!C15</x:f>
        <x:v>0.20176181835589263</x:v>
      </x:c>
      <x:c r="D178" s="35" t="n">
        <x:f>B168*'Datos'!D8+C168*'Datos'!D9+D168*'Datos'!D10+E168*'Datos'!D11+F168*'Datos'!D12+G168*'Datos'!D13+H168*'Datos'!D14+I168*'Datos'!D15</x:f>
        <x:v>0.1312045694662008</x:v>
      </x:c>
      <x:c r="E178" s="35" t="n">
        <x:f>B168*'Datos'!E8+C168*'Datos'!E9+D168*'Datos'!E10+E168*'Datos'!E11+F168*'Datos'!E12+G168*'Datos'!E13+H168*'Datos'!E14+I168*'Datos'!E15</x:f>
        <x:v>0.06212996025292656</x:v>
      </x:c>
      <x:c r="F178" s="35" t="n">
        <x:f>B168*'Datos'!F8+C168*'Datos'!F9+D168*'Datos'!F10+E168*'Datos'!F11+F168*'Datos'!F12+G168*'Datos'!F13+H168*'Datos'!F14+I168*'Datos'!F15</x:f>
        <x:v>0.05543547350465759</x:v>
      </x:c>
      <x:c r="G178" s="35" t="n">
        <x:f>B168*'Datos'!G8+C168*'Datos'!G9+D168*'Datos'!G10+E168*'Datos'!G11+F168*'Datos'!G12+G168*'Datos'!G13+H168*'Datos'!G14+I168*'Datos'!G15</x:f>
        <x:v>0.027649386464511545</x:v>
      </x:c>
      <x:c r="H178" s="35" t="n">
        <x:f>B168*'Datos'!H8+C168*'Datos'!H9+D168*'Datos'!H10+E168*'Datos'!H11+F168*'Datos'!H12+G168*'Datos'!H13+H168*'Datos'!H14+I168*'Datos'!H15</x:f>
        <x:v>0.028283984519135108</x:v>
      </x:c>
      <x:c r="I178" s="35" t="n">
        <x:f>B168*'Datos'!I8+C168*'Datos'!I9+D168*'Datos'!I10+E168*'Datos'!I11+F168*'Datos'!I12+G168*'Datos'!I13+H168*'Datos'!I14+I168*'Datos'!I15</x:f>
        <x:v>0.06380445859301068</x:v>
      </x:c>
      <x:c r="J178" s="34" t="n">
        <x:f>SUM(B178:I178)</x:f>
        <x:v>1.0000000000000002</x:v>
      </x:c>
    </x:row>
    <x:row r="179" ht="22" customHeight="1">
      <x:c r="A179" s="31" t="str">
        <x:f>'Datos'!A9</x:f>
        <x:v>Aa</x:v>
      </x:c>
      <x:c r="B179" s="35" t="n">
        <x:f>B169*'Datos'!B8+C169*'Datos'!B9+D169*'Datos'!B10+E169*'Datos'!B11+F169*'Datos'!B12+G169*'Datos'!B13+H169*'Datos'!B14+I169*'Datos'!B15</x:f>
        <x:v>0.4141998647156547</x:v>
      </x:c>
      <x:c r="C179" s="35" t="n">
        <x:f>B169*'Datos'!C8+C169*'Datos'!C9+D169*'Datos'!C10+E169*'Datos'!C11+F169*'Datos'!C12+G169*'Datos'!C13+H169*'Datos'!C14+I169*'Datos'!C15</x:f>
        <x:v>0.19556857344689427</x:v>
      </x:c>
      <x:c r="D179" s="35" t="n">
        <x:f>B169*'Datos'!D8+C169*'Datos'!D9+D169*'Datos'!D10+E169*'Datos'!D11+F169*'Datos'!D12+G169*'Datos'!D13+H169*'Datos'!D14+I169*'Datos'!D15</x:f>
        <x:v>0.128941010660838</x:v>
      </x:c>
      <x:c r="E179" s="35" t="n">
        <x:f>B169*'Datos'!E8+C169*'Datos'!E9+D169*'Datos'!E10+E169*'Datos'!E11+F169*'Datos'!E12+G169*'Datos'!E13+H169*'Datos'!E14+I169*'Datos'!E15</x:f>
        <x:v>0.06171167923227013</x:v>
      </x:c>
      <x:c r="F179" s="35" t="n">
        <x:f>B169*'Datos'!F8+C169*'Datos'!F9+D169*'Datos'!F10+E169*'Datos'!F11+F169*'Datos'!F12+G169*'Datos'!F13+H169*'Datos'!F14+I169*'Datos'!F15</x:f>
        <x:v>0.056781009616471624</x:v>
      </x:c>
      <x:c r="G179" s="35" t="n">
        <x:f>B169*'Datos'!G8+C169*'Datos'!G9+D169*'Datos'!G10+E169*'Datos'!G11+F169*'Datos'!G12+G169*'Datos'!G13+H169*'Datos'!G14+I169*'Datos'!G15</x:f>
        <x:v>0.02909930792627776</x:v>
      </x:c>
      <x:c r="H179" s="35" t="n">
        <x:f>B169*'Datos'!H8+C169*'Datos'!H9+D169*'Datos'!H10+E169*'Datos'!H11+F169*'Datos'!H12+G169*'Datos'!H13+H169*'Datos'!H14+I169*'Datos'!H15</x:f>
        <x:v>0.030748406631009924</x:v>
      </x:c>
      <x:c r="I179" s="35" t="n">
        <x:f>B169*'Datos'!I8+C169*'Datos'!I9+D169*'Datos'!I10+E169*'Datos'!I11+F169*'Datos'!I12+G169*'Datos'!I13+H169*'Datos'!I14+I169*'Datos'!I15</x:f>
        <x:v>0.0829501477705832</x:v>
      </x:c>
      <x:c r="J179" s="34" t="n">
        <x:f>SUM(B179:I179)</x:f>
        <x:v>0.9999999999999997</x:v>
      </x:c>
    </x:row>
    <x:row r="180" ht="22" customHeight="1">
      <x:c r="A180" s="31" t="str">
        <x:f>'Datos'!A10</x:f>
        <x:v>A</x:v>
      </x:c>
      <x:c r="B180" s="35" t="n">
        <x:f>B170*'Datos'!B8+C170*'Datos'!B9+D170*'Datos'!B10+E170*'Datos'!B11+F170*'Datos'!B12+G170*'Datos'!B13+H170*'Datos'!B14+I170*'Datos'!B15</x:f>
        <x:v>0.29862060771006377</x:v>
      </x:c>
      <x:c r="C180" s="35" t="n">
        <x:f>B170*'Datos'!C8+C170*'Datos'!C9+D170*'Datos'!C10+E170*'Datos'!C11+F170*'Datos'!C12+G170*'Datos'!C13+H170*'Datos'!C14+I170*'Datos'!C15</x:f>
        <x:v>0.14776694498707393</x:v>
      </x:c>
      <x:c r="D180" s="35" t="n">
        <x:f>B170*'Datos'!D8+C170*'Datos'!D9+D170*'Datos'!D10+E170*'Datos'!D11+F170*'Datos'!D12+G170*'Datos'!D13+H170*'Datos'!D14+I170*'Datos'!D15</x:f>
        <x:v>0.1084759991680961</x:v>
      </x:c>
      <x:c r="E180" s="35" t="n">
        <x:f>B170*'Datos'!E8+C170*'Datos'!E9+D170*'Datos'!E10+E170*'Datos'!E11+F170*'Datos'!E12+G170*'Datos'!E13+H170*'Datos'!E14+I170*'Datos'!E15</x:f>
        <x:v>0.05606073122234087</x:v>
      </x:c>
      <x:c r="F180" s="35" t="n">
        <x:f>B170*'Datos'!F8+C170*'Datos'!F9+D170*'Datos'!F10+E170*'Datos'!F11+F170*'Datos'!F12+G170*'Datos'!F13+H170*'Datos'!F14+I170*'Datos'!F15</x:f>
        <x:v>0.06273119036118587</x:v>
      </x:c>
      <x:c r="G180" s="35" t="n">
        <x:f>B170*'Datos'!G8+C170*'Datos'!G9+D170*'Datos'!G10+E170*'Datos'!G11+F170*'Datos'!G12+G170*'Datos'!G13+H170*'Datos'!G14+I170*'Datos'!G15</x:f>
        <x:v>0.03729979034764281</x:v>
      </x:c>
      <x:c r="H180" s="35" t="n">
        <x:f>B170*'Datos'!H8+C170*'Datos'!H9+D170*'Datos'!H10+E170*'Datos'!H11+F170*'Datos'!H12+G170*'Datos'!H13+H170*'Datos'!H14+I170*'Datos'!H15</x:f>
        <x:v>0.04591450920688859</x:v>
      </x:c>
      <x:c r="I180" s="35" t="n">
        <x:f>B170*'Datos'!I8+C170*'Datos'!I9+D170*'Datos'!I10+E170*'Datos'!I11+F170*'Datos'!I12+G170*'Datos'!I13+H170*'Datos'!I14+I170*'Datos'!I15</x:f>
        <x:v>0.24313022699670825</x:v>
      </x:c>
      <x:c r="J180" s="34" t="n">
        <x:f>SUM(B180:I180)</x:f>
        <x:v>1.0000000000000002</x:v>
      </x:c>
    </x:row>
    <x:row r="181" ht="22" customHeight="1">
      <x:c r="A181" s="31" t="str">
        <x:f>'Datos'!A11</x:f>
        <x:v>Baa</x:v>
      </x:c>
      <x:c r="B181" s="35" t="n">
        <x:f>B171*'Datos'!B8+C171*'Datos'!B9+D171*'Datos'!B10+E171*'Datos'!B11+F171*'Datos'!B12+G171*'Datos'!B13+H171*'Datos'!B14+I171*'Datos'!B15</x:f>
        <x:v>0.21249222623991879</x:v>
      </x:c>
      <x:c r="C181" s="35" t="n">
        <x:f>B171*'Datos'!C8+C171*'Datos'!C9+D171*'Datos'!C10+E171*'Datos'!C11+F171*'Datos'!C12+G171*'Datos'!C13+H171*'Datos'!C14+I171*'Datos'!C15</x:f>
        <x:v>0.10879691863364395</x:v>
      </x:c>
      <x:c r="D181" s="35" t="n">
        <x:f>B171*'Datos'!D8+C171*'Datos'!D9+D171*'Datos'!D10+E171*'Datos'!D11+F171*'Datos'!D12+G171*'Datos'!D13+H171*'Datos'!D14+I171*'Datos'!D15</x:f>
        <x:v>0.08584999038581714</x:v>
      </x:c>
      <x:c r="E181" s="35" t="n">
        <x:f>B171*'Datos'!E8+C171*'Datos'!E9+D171*'Datos'!E10+E171*'Datos'!E11+F171*'Datos'!E12+G171*'Datos'!E13+H171*'Datos'!E14+I171*'Datos'!E15</x:f>
        <x:v>0.046529974019797714</x:v>
      </x:c>
      <x:c r="F181" s="35" t="n">
        <x:f>B171*'Datos'!F8+C171*'Datos'!F9+D171*'Datos'!F10+E171*'Datos'!F11+F171*'Datos'!F12+G171*'Datos'!F13+H171*'Datos'!F14+I171*'Datos'!F15</x:f>
        <x:v>0.057953352790957396</x:v>
      </x:c>
      <x:c r="G181" s="35" t="n">
        <x:f>B171*'Datos'!G8+C171*'Datos'!G9+D171*'Datos'!G10+E171*'Datos'!G11+F171*'Datos'!G12+G171*'Datos'!G13+H171*'Datos'!G14+I171*'Datos'!G15</x:f>
        <x:v>0.03706429854331944</x:v>
      </x:c>
      <x:c r="H181" s="35" t="n">
        <x:f>B171*'Datos'!H8+C171*'Datos'!H9+D171*'Datos'!H10+E171*'Datos'!H11+F171*'Datos'!H12+G171*'Datos'!H13+H171*'Datos'!H14+I171*'Datos'!H15</x:f>
        <x:v>0.04872402620340169</x:v>
      </x:c>
      <x:c r="I181" s="35" t="n">
        <x:f>B171*'Datos'!I8+C171*'Datos'!I9+D171*'Datos'!I10+E171*'Datos'!I11+F171*'Datos'!I12+G171*'Datos'!I13+H171*'Datos'!I14+I171*'Datos'!I15</x:f>
        <x:v>0.40258921318314417</x:v>
      </x:c>
      <x:c r="J181" s="34" t="n">
        <x:f>SUM(B181:I181)</x:f>
        <x:v>1.0000000000000002</x:v>
      </x:c>
    </x:row>
    <x:row r="182" ht="22" customHeight="1">
      <x:c r="A182" s="31" t="str">
        <x:f>'Datos'!A12</x:f>
        <x:v>Ba</x:v>
      </x:c>
      <x:c r="B182" s="35" t="n">
        <x:f>B172*'Datos'!B8+C172*'Datos'!B9+D172*'Datos'!B10+E172*'Datos'!B11+F172*'Datos'!B12+G172*'Datos'!B13+H172*'Datos'!B14+I172*'Datos'!B15</x:f>
        <x:v>0.07924809173112728</x:v>
      </x:c>
      <x:c r="C182" s="35" t="n">
        <x:f>B172*'Datos'!C8+C172*'Datos'!C9+D172*'Datos'!C10+E172*'Datos'!C11+F172*'Datos'!C12+G172*'Datos'!C13+H172*'Datos'!C14+I172*'Datos'!C15</x:f>
        <x:v>0.04444789068007853</x:v>
      </x:c>
      <x:c r="D182" s="35" t="n">
        <x:f>B172*'Datos'!D8+C172*'Datos'!D9+D172*'Datos'!D10+E172*'Datos'!D11+F172*'Datos'!D12+G172*'Datos'!D13+H172*'Datos'!D14+I172*'Datos'!D15</x:f>
        <x:v>0.041661754189029246</x:v>
      </x:c>
      <x:c r="E182" s="35" t="n">
        <x:f>B172*'Datos'!E8+C172*'Datos'!E9+D172*'Datos'!E10+E172*'Datos'!E11+F172*'Datos'!E12+G172*'Datos'!E13+H172*'Datos'!E14+I172*'Datos'!E15</x:f>
        <x:v>0.025014058704739207</x:v>
      </x:c>
      <x:c r="F182" s="35" t="n">
        <x:f>B172*'Datos'!F8+C172*'Datos'!F9+D172*'Datos'!F10+E172*'Datos'!F11+F172*'Datos'!F12+G172*'Datos'!F13+H172*'Datos'!F14+I172*'Datos'!F15</x:f>
        <x:v>0.03815552434856927</x:v>
      </x:c>
      <x:c r="G182" s="35" t="n">
        <x:f>B172*'Datos'!G8+C172*'Datos'!G9+D172*'Datos'!G10+E172*'Datos'!G11+F172*'Datos'!G12+G172*'Datos'!G13+H172*'Datos'!G14+I172*'Datos'!G15</x:f>
        <x:v>0.02767107683821309</x:v>
      </x:c>
      <x:c r="H182" s="35" t="n">
        <x:f>B172*'Datos'!H8+C172*'Datos'!H9+D172*'Datos'!H10+E172*'Datos'!H11+F172*'Datos'!H12+G172*'Datos'!H13+H172*'Datos'!H14+I172*'Datos'!H15</x:f>
        <x:v>0.040294486300086134</x:v>
      </x:c>
      <x:c r="I182" s="35" t="n">
        <x:f>B172*'Datos'!I8+C172*'Datos'!I9+D172*'Datos'!I10+E172*'Datos'!I11+F172*'Datos'!I12+G172*'Datos'!I13+H172*'Datos'!I14+I172*'Datos'!I15</x:f>
        <x:v>0.7035071172081571</x:v>
      </x:c>
      <x:c r="J182" s="34" t="n">
        <x:f>SUM(B182:I182)</x:f>
        <x:v>0.9999999999999998</x:v>
      </x:c>
    </x:row>
    <x:row r="183" ht="22" customHeight="1">
      <x:c r="A183" s="31" t="str">
        <x:f>'Datos'!A13</x:f>
        <x:v>B</x:v>
      </x:c>
      <x:c r="B183" s="35" t="n">
        <x:f>B173*'Datos'!B8+C173*'Datos'!B9+D173*'Datos'!B10+E173*'Datos'!B11+F173*'Datos'!B12+G173*'Datos'!B13+H173*'Datos'!B14+I173*'Datos'!B15</x:f>
        <x:v>0.024592116039670476</x:v>
      </x:c>
      <x:c r="C183" s="35" t="n">
        <x:f>B173*'Datos'!C8+C173*'Datos'!C9+D173*'Datos'!C10+E173*'Datos'!C11+F173*'Datos'!C12+G173*'Datos'!C13+H173*'Datos'!C14+I173*'Datos'!C15</x:f>
        <x:v>0.014553869210714642</x:v>
      </x:c>
      <x:c r="D183" s="35" t="n">
        <x:f>B173*'Datos'!D8+C173*'Datos'!D9+D173*'Datos'!D10+E173*'Datos'!D11+F173*'Datos'!D12+G173*'Datos'!D13+H173*'Datos'!D14+I173*'Datos'!D15</x:f>
        <x:v>0.014946103702894554</x:v>
      </x:c>
      <x:c r="E183" s="35" t="n">
        <x:f>B173*'Datos'!E8+C173*'Datos'!E9+D173*'Datos'!E10+E173*'Datos'!E11+F173*'Datos'!E12+G173*'Datos'!E13+H173*'Datos'!E14+I173*'Datos'!E15</x:f>
        <x:v>0.009442475008273787</x:v>
      </x:c>
      <x:c r="F183" s="35" t="n">
        <x:f>B173*'Datos'!F8+C173*'Datos'!F9+D173*'Datos'!F10+E173*'Datos'!F11+F173*'Datos'!F12+G173*'Datos'!F13+H173*'Datos'!F14+I173*'Datos'!F15</x:f>
        <x:v>0.01579834045474068</x:v>
      </x:c>
      <x:c r="G183" s="35" t="n">
        <x:f>B173*'Datos'!G8+C173*'Datos'!G9+D173*'Datos'!G10+E173*'Datos'!G11+F173*'Datos'!G12+G173*'Datos'!G13+H173*'Datos'!G14+I173*'Datos'!G15</x:f>
        <x:v>0.012152903161756011</x:v>
      </x:c>
      <x:c r="H183" s="35" t="n">
        <x:f>B173*'Datos'!H8+C173*'Datos'!H9+D173*'Datos'!H10+E173*'Datos'!H11+F173*'Datos'!H12+G173*'Datos'!H13+H173*'Datos'!H14+I173*'Datos'!H15</x:f>
        <x:v>0.018528662366704852</x:v>
      </x:c>
      <x:c r="I183" s="35" t="n">
        <x:f>B173*'Datos'!I8+C173*'Datos'!I9+D173*'Datos'!I10+E173*'Datos'!I11+F173*'Datos'!I12+G173*'Datos'!I13+H173*'Datos'!I14+I173*'Datos'!I15</x:f>
        <x:v>0.8899855300552447</x:v>
      </x:c>
      <x:c r="J183" s="34" t="n">
        <x:f>SUM(B183:I183)</x:f>
        <x:v>0.9999999999999998</x:v>
      </x:c>
    </x:row>
    <x:row r="184" ht="22" customHeight="1">
      <x:c r="A184" s="31" t="str">
        <x:f>'Datos'!A14</x:f>
        <x:v>Caa-C</x:v>
      </x:c>
      <x:c r="B184" s="35" t="n">
        <x:f>B174*'Datos'!B8+C174*'Datos'!B9+D174*'Datos'!B10+E174*'Datos'!B11+F174*'Datos'!B12+G174*'Datos'!B13+H174*'Datos'!B14+I174*'Datos'!B15</x:f>
        <x:v>0.006556868301183358</x:v>
      </x:c>
      <x:c r="C184" s="35" t="n">
        <x:f>B174*'Datos'!C8+C174*'Datos'!C9+D174*'Datos'!C10+E174*'Datos'!C11+F174*'Datos'!C12+G174*'Datos'!C13+H174*'Datos'!C14+I174*'Datos'!C15</x:f>
        <x:v>0.0041860250562748055</x:v>
      </x:c>
      <x:c r="D184" s="35" t="n">
        <x:f>B174*'Datos'!D8+C174*'Datos'!D9+D174*'Datos'!D10+E174*'Datos'!D11+F174*'Datos'!D12+G174*'Datos'!D13+H174*'Datos'!D14+I174*'Datos'!D15</x:f>
        <x:v>0.004805895189172466</x:v>
      </x:c>
      <x:c r="E184" s="35" t="n">
        <x:f>B174*'Datos'!E8+C174*'Datos'!E9+D174*'Datos'!E10+E174*'Datos'!E11+F174*'Datos'!E12+G174*'Datos'!E13+H174*'Datos'!E14+I174*'Datos'!E15</x:f>
        <x:v>0.003207407380657886</x:v>
      </x:c>
      <x:c r="F184" s="35" t="n">
        <x:f>B174*'Datos'!F8+C174*'Datos'!F9+D174*'Datos'!F10+E174*'Datos'!F11+F174*'Datos'!F12+G174*'Datos'!F13+H174*'Datos'!F14+I174*'Datos'!F15</x:f>
        <x:v>0.005862638525266417</x:v>
      </x:c>
      <x:c r="G184" s="35" t="n">
        <x:f>B174*'Datos'!G8+C174*'Datos'!G9+D174*'Datos'!G10+E174*'Datos'!G11+F174*'Datos'!G12+G174*'Datos'!G13+H174*'Datos'!G14+I174*'Datos'!G15</x:f>
        <x:v>0.004745234864825114</x:v>
      </x:c>
      <x:c r="H184" s="35" t="n">
        <x:f>B174*'Datos'!H8+C174*'Datos'!H9+D174*'Datos'!H10+E174*'Datos'!H11+F174*'Datos'!H12+G174*'Datos'!H13+H174*'Datos'!H14+I174*'Datos'!H15</x:f>
        <x:v>0.007504430585166682</x:v>
      </x:c>
      <x:c r="I184" s="35" t="n">
        <x:f>B174*'Datos'!I8+C174*'Datos'!I9+D174*'Datos'!I10+E174*'Datos'!I11+F174*'Datos'!I12+G174*'Datos'!I13+H174*'Datos'!I14+I174*'Datos'!I15</x:f>
        <x:v>0.963131500097453</x:v>
      </x:c>
      <x:c r="J184" s="34" t="n">
        <x:f>SUM(B184:I184)</x:f>
        <x:v>0.9999999999999997</x:v>
      </x:c>
    </x:row>
    <x:row r="185" ht="22" customHeight="1">
      <x:c r="A185" s="31" t="str">
        <x:f>'Datos'!A15</x:f>
        <x:v>Default</x:v>
      </x:c>
      <x:c r="B185" s="35" t="n">
        <x:f>B175*'Datos'!B8+C175*'Datos'!B9+D175*'Datos'!B10+E175*'Datos'!B11+F175*'Datos'!B12+G175*'Datos'!B13+H175*'Datos'!B14+I175*'Datos'!B15</x:f>
        <x:v>0</x:v>
      </x:c>
      <x:c r="C185" s="35" t="n">
        <x:f>B175*'Datos'!C8+C175*'Datos'!C9+D175*'Datos'!C10+E175*'Datos'!C11+F175*'Datos'!C12+G175*'Datos'!C13+H175*'Datos'!C14+I175*'Datos'!C15</x:f>
        <x:v>0</x:v>
      </x:c>
      <x:c r="D185" s="35" t="n">
        <x:f>B175*'Datos'!D8+C175*'Datos'!D9+D175*'Datos'!D10+E175*'Datos'!D11+F175*'Datos'!D12+G175*'Datos'!D13+H175*'Datos'!D14+I175*'Datos'!D15</x:f>
        <x:v>0</x:v>
      </x:c>
      <x:c r="E185" s="35" t="n">
        <x:f>B175*'Datos'!E8+C175*'Datos'!E9+D175*'Datos'!E10+E175*'Datos'!E11+F175*'Datos'!E12+G175*'Datos'!E13+H175*'Datos'!E14+I175*'Datos'!E15</x:f>
        <x:v>0</x:v>
      </x:c>
      <x:c r="F185" s="35" t="n">
        <x:f>B175*'Datos'!F8+C175*'Datos'!F9+D175*'Datos'!F10+E175*'Datos'!F11+F175*'Datos'!F12+G175*'Datos'!F13+H175*'Datos'!F14+I175*'Datos'!F15</x:f>
        <x:v>0</x:v>
      </x:c>
      <x:c r="G185" s="35" t="n">
        <x:f>B175*'Datos'!G8+C175*'Datos'!G9+D175*'Datos'!G10+E175*'Datos'!G11+F175*'Datos'!G12+G175*'Datos'!G13+H175*'Datos'!G14+I175*'Datos'!G15</x:f>
        <x:v>0</x:v>
      </x:c>
      <x:c r="H185" s="35" t="n">
        <x:f>B175*'Datos'!H8+C175*'Datos'!H9+D175*'Datos'!H10+E175*'Datos'!H11+F175*'Datos'!H12+G175*'Datos'!H13+H175*'Datos'!H14+I175*'Datos'!H15</x:f>
        <x:v>0</x:v>
      </x:c>
      <x:c r="I185" s="35" t="n">
        <x:f>B175*'Datos'!I8+C175*'Datos'!I9+D175*'Datos'!I10+E175*'Datos'!I11+F175*'Datos'!I12+G175*'Datos'!I13+H175*'Datos'!I14+I175*'Datos'!I15</x:f>
        <x:v>1</x:v>
      </x:c>
      <x:c r="J185" s="34" t="n">
        <x:f>SUM(B185:I185)</x:f>
        <x:v>1</x:v>
      </x:c>
    </x:row>
    <x:row r="186" ht="22" customHeight="1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</x:row>
    <x:row r="187" ht="36" customHeight="1">
      <x:c r="A187" s="13" t="str">
        <x:v>P^18</x:v>
      </x:c>
      <x:c r="B187" s="13" t="str">
        <x:v>Aaa</x:v>
      </x:c>
      <x:c r="C187" s="13" t="str">
        <x:v>Aa</x:v>
      </x:c>
      <x:c r="D187" s="13" t="str">
        <x:v>A</x:v>
      </x:c>
      <x:c r="E187" s="13" t="str">
        <x:v>Baa</x:v>
      </x:c>
      <x:c r="F187" s="13" t="str">
        <x:v>Ba</x:v>
      </x:c>
      <x:c r="G187" s="13" t="str">
        <x:v>B</x:v>
      </x:c>
      <x:c r="H187" s="13" t="str">
        <x:v>Caa-C</x:v>
      </x:c>
      <x:c r="I187" s="13" t="str">
        <x:v>Default</x:v>
      </x:c>
      <x:c r="J187" s="13" t="str">
        <x:v>Suma</x:v>
      </x:c>
    </x:row>
    <x:row r="188" ht="22" customHeight="1">
      <x:c r="A188" s="31" t="str">
        <x:f>'Datos'!A8</x:f>
        <x:v>Aaa</x:v>
      </x:c>
      <x:c r="B188" s="35" t="n">
        <x:f>B178*'Datos'!B8+C178*'Datos'!B9+D178*'Datos'!B10+E178*'Datos'!B11+F178*'Datos'!B12+G178*'Datos'!B13+H178*'Datos'!B14+I178*'Datos'!B15</x:f>
        <x:v>0.4220570618858755</x:v>
      </x:c>
      <x:c r="C188" s="35" t="n">
        <x:f>B178*'Datos'!C8+C178*'Datos'!C9+D178*'Datos'!C10+E178*'Datos'!C11+F178*'Datos'!C12+G178*'Datos'!C13+H178*'Datos'!C14+I178*'Datos'!C15</x:f>
        <x:v>0.19862799341062595</x:v>
      </x:c>
      <x:c r="D188" s="35" t="n">
        <x:f>B178*'Datos'!D8+C178*'Datos'!D9+D178*'Datos'!D10+E178*'Datos'!D11+F178*'Datos'!D12+G178*'Datos'!D13+H178*'Datos'!D14+I178*'Datos'!D15</x:f>
        <x:v>0.1299298530280103</x:v>
      </x:c>
      <x:c r="E188" s="35" t="n">
        <x:f>B178*'Datos'!E8+C178*'Datos'!E9+D178*'Datos'!E10+E178*'Datos'!E11+F178*'Datos'!E12+G178*'Datos'!E13+H178*'Datos'!E14+I178*'Datos'!E15</x:f>
        <x:v>0.0618136314251586</x:v>
      </x:c>
      <x:c r="F188" s="35" t="n">
        <x:f>B178*'Datos'!F8+C178*'Datos'!F9+D178*'Datos'!F10+E178*'Datos'!F11+F178*'Datos'!F12+G178*'Datos'!F13+H178*'Datos'!F14+I178*'Datos'!F15</x:f>
        <x:v>0.05592454287484782</x:v>
      </x:c>
      <x:c r="G188" s="35" t="n">
        <x:f>B178*'Datos'!G8+C178*'Datos'!G9+D178*'Datos'!G10+E178*'Datos'!G11+F178*'Datos'!G12+G178*'Datos'!G13+H178*'Datos'!G14+I178*'Datos'!G15</x:f>
        <x:v>0.028253644701950176</x:v>
      </x:c>
      <x:c r="H188" s="35" t="n">
        <x:f>B178*'Datos'!H8+C178*'Datos'!H9+D178*'Datos'!H10+E178*'Datos'!H11+F178*'Datos'!H12+G178*'Datos'!H13+H178*'Datos'!H14+I178*'Datos'!H15</x:f>
        <x:v>0.02936402528482015</x:v>
      </x:c>
      <x:c r="I188" s="35" t="n">
        <x:f>B178*'Datos'!I8+C178*'Datos'!I9+D178*'Datos'!I10+E178*'Datos'!I11+F178*'Datos'!I12+G178*'Datos'!I13+H178*'Datos'!I14+I178*'Datos'!I15</x:f>
        <x:v>0.07402924738871168</x:v>
      </x:c>
      <x:c r="J188" s="34" t="n">
        <x:f>SUM(B188:I188)</x:f>
        <x:v>1.0000000000000002</x:v>
      </x:c>
    </x:row>
    <x:row r="189" ht="22" customHeight="1">
      <x:c r="A189" s="31" t="str">
        <x:f>'Datos'!A9</x:f>
        <x:v>Aa</x:v>
      </x:c>
      <x:c r="B189" s="35" t="n">
        <x:f>B179*'Datos'!B8+C179*'Datos'!B9+D179*'Datos'!B10+E179*'Datos'!B11+F179*'Datos'!B12+G179*'Datos'!B13+H179*'Datos'!B14+I179*'Datos'!B15</x:f>
        <x:v>0.40720362309013336</x:v>
      </x:c>
      <x:c r="C189" s="35" t="n">
        <x:f>B179*'Datos'!C8+C179*'Datos'!C9+D179*'Datos'!C10+E179*'Datos'!C11+F179*'Datos'!C12+G179*'Datos'!C13+H179*'Datos'!C14+I179*'Datos'!C15</x:f>
        <x:v>0.19254681047225092</x:v>
      </x:c>
      <x:c r="D189" s="35" t="n">
        <x:f>B179*'Datos'!D8+C179*'Datos'!D9+D179*'Datos'!D10+E179*'Datos'!D11+F179*'Datos'!D12+G179*'Datos'!D13+H179*'Datos'!D14+I179*'Datos'!D15</x:f>
        <x:v>0.12742630466440094</x:v>
      </x:c>
      <x:c r="E189" s="35" t="n">
        <x:f>B179*'Datos'!E8+C179*'Datos'!E9+D179*'Datos'!E10+E179*'Datos'!E11+F179*'Datos'!E12+G179*'Datos'!E13+H179*'Datos'!E14+I179*'Datos'!E15</x:f>
        <x:v>0.06117378021211613</x:v>
      </x:c>
      <x:c r="F189" s="35" t="n">
        <x:f>B179*'Datos'!F8+C179*'Datos'!F9+D179*'Datos'!F10+E179*'Datos'!F11+F179*'Datos'!F12+G179*'Datos'!F13+H179*'Datos'!F14+I179*'Datos'!F15</x:f>
        <x:v>0.056816581561222414</x:v>
      </x:c>
      <x:c r="G189" s="35" t="n">
        <x:f>B179*'Datos'!G8+C179*'Datos'!G9+D179*'Datos'!G10+E179*'Datos'!G11+F179*'Datos'!G12+G179*'Datos'!G13+H179*'Datos'!G14+I179*'Datos'!G15</x:f>
        <x:v>0.029381233910728794</x:v>
      </x:c>
      <x:c r="H189" s="35" t="n">
        <x:f>B179*'Datos'!H8+C179*'Datos'!H9+D179*'Datos'!H10+E179*'Datos'!H11+F179*'Datos'!H12+G179*'Datos'!H13+H179*'Datos'!H14+I179*'Datos'!H15</x:f>
        <x:v>0.03139221084311901</x:v>
      </x:c>
      <x:c r="I189" s="35" t="n">
        <x:f>B179*'Datos'!I8+C179*'Datos'!I9+D179*'Datos'!I10+E179*'Datos'!I11+F179*'Datos'!I12+G179*'Datos'!I13+H179*'Datos'!I14+I179*'Datos'!I15</x:f>
        <x:v>0.094059455246028</x:v>
      </x:c>
      <x:c r="J189" s="34" t="n">
        <x:f>SUM(B189:I189)</x:f>
        <x:v>0.9999999999999996</x:v>
      </x:c>
    </x:row>
    <x:row r="190" ht="22" customHeight="1">
      <x:c r="A190" s="31" t="str">
        <x:f>'Datos'!A10</x:f>
        <x:v>A</x:v>
      </x:c>
      <x:c r="B190" s="35" t="n">
        <x:f>B180*'Datos'!B8+C180*'Datos'!B9+D180*'Datos'!B10+E180*'Datos'!B11+F180*'Datos'!B12+G180*'Datos'!B13+H180*'Datos'!B14+I180*'Datos'!B15</x:f>
        <x:v>0.296044405530748</x:v>
      </x:c>
      <x:c r="C190" s="35" t="n">
        <x:f>B180*'Datos'!C8+C180*'Datos'!C9+D180*'Datos'!C10+E180*'Datos'!C11+F180*'Datos'!C12+G180*'Datos'!C13+H180*'Datos'!C14+I180*'Datos'!C15</x:f>
        <x:v>0.14562685196949268</x:v>
      </x:c>
      <x:c r="D190" s="35" t="n">
        <x:f>B180*'Datos'!D8+C180*'Datos'!D9+D180*'Datos'!D10+E180*'Datos'!D11+F180*'Datos'!D12+G180*'Datos'!D13+H180*'Datos'!D14+I180*'Datos'!D15</x:f>
        <x:v>0.10564827776798644</x:v>
      </x:c>
      <x:c r="E190" s="35" t="n">
        <x:f>B180*'Datos'!E8+C180*'Datos'!E9+D180*'Datos'!E10+E180*'Datos'!E11+F180*'Datos'!E12+G180*'Datos'!E13+H180*'Datos'!E14+I180*'Datos'!E15</x:f>
        <x:v>0.0542213666380563</x:v>
      </x:c>
      <x:c r="F190" s="35" t="n">
        <x:f>B180*'Datos'!F8+C180*'Datos'!F9+D180*'Datos'!F10+E180*'Datos'!F11+F180*'Datos'!F12+G180*'Datos'!F13+H180*'Datos'!F14+I180*'Datos'!F15</x:f>
        <x:v>0.05988329979049929</x:v>
      </x:c>
      <x:c r="G190" s="35" t="n">
        <x:f>B180*'Datos'!G8+C180*'Datos'!G9+D180*'Datos'!G10+E180*'Datos'!G11+F180*'Datos'!G12+G180*'Datos'!G13+H180*'Datos'!G14+I180*'Datos'!G15</x:f>
        <x:v>0.03541955461741085</x:v>
      </x:c>
      <x:c r="H190" s="35" t="n">
        <x:f>B180*'Datos'!H8+C180*'Datos'!H9+D180*'Datos'!H10+E180*'Datos'!H11+F180*'Datos'!H12+G180*'Datos'!H13+H180*'Datos'!H14+I180*'Datos'!H15</x:f>
        <x:v>0.04347813233305529</x:v>
      </x:c>
      <x:c r="I190" s="35" t="n">
        <x:f>B180*'Datos'!I8+C180*'Datos'!I9+D180*'Datos'!I10+E180*'Datos'!I11+F180*'Datos'!I12+G180*'Datos'!I13+H180*'Datos'!I14+I180*'Datos'!I15</x:f>
        <x:v>0.2596781113527513</x:v>
      </x:c>
      <x:c r="J190" s="34" t="n">
        <x:f>SUM(B190:I190)</x:f>
        <x:v>1.0000000000000004</x:v>
      </x:c>
    </x:row>
    <x:row r="191" ht="22" customHeight="1">
      <x:c r="A191" s="31" t="str">
        <x:f>'Datos'!A11</x:f>
        <x:v>Baa</x:v>
      </x:c>
      <x:c r="B191" s="35" t="n">
        <x:f>B181*'Datos'!B8+C181*'Datos'!B9+D181*'Datos'!B10+E181*'Datos'!B11+F181*'Datos'!B12+G181*'Datos'!B13+H181*'Datos'!B14+I181*'Datos'!B15</x:f>
        <x:v>0.21199414715275963</x:v>
      </x:c>
      <x:c r="C191" s="35" t="n">
        <x:f>B181*'Datos'!C8+C181*'Datos'!C9+D181*'Datos'!C10+E181*'Datos'!C11+F181*'Datos'!C12+G181*'Datos'!C13+H181*'Datos'!C14+I181*'Datos'!C15</x:f>
        <x:v>0.1073518656470488</x:v>
      </x:c>
      <x:c r="D191" s="35" t="n">
        <x:f>B181*'Datos'!D8+C181*'Datos'!D9+D181*'Datos'!D10+E181*'Datos'!D11+F181*'Datos'!D12+G181*'Datos'!D13+H181*'Datos'!D14+I181*'Datos'!D15</x:f>
        <x:v>0.0829466464584069</x:v>
      </x:c>
      <x:c r="E191" s="35" t="n">
        <x:f>B181*'Datos'!E8+C181*'Datos'!E9+D181*'Datos'!E10+E181*'Datos'!E11+F181*'Datos'!E12+G181*'Datos'!E13+H181*'Datos'!E14+I181*'Datos'!E15</x:f>
        <x:v>0.044422430907121016</x:v>
      </x:c>
      <x:c r="F191" s="35" t="n">
        <x:f>B181*'Datos'!F8+C181*'Datos'!F9+D181*'Datos'!F10+E181*'Datos'!F11+F181*'Datos'!F12+G181*'Datos'!F13+H181*'Datos'!F14+I181*'Datos'!F15</x:f>
        <x:v>0.054127030924222566</x:v>
      </x:c>
      <x:c r="G191" s="35" t="n">
        <x:f>B181*'Datos'!G8+C181*'Datos'!G9+D181*'Datos'!G10+E181*'Datos'!G11+F181*'Datos'!G12+G181*'Datos'!G13+H181*'Datos'!G14+I181*'Datos'!G15</x:f>
        <x:v>0.034271559015924664</x:v>
      </x:c>
      <x:c r="H191" s="35" t="n">
        <x:f>B181*'Datos'!H8+C181*'Datos'!H9+D181*'Datos'!H10+E181*'Datos'!H11+F181*'Datos'!H12+G181*'Datos'!H13+H181*'Datos'!H14+I181*'Datos'!H15</x:f>
        <x:v>0.044753337883469996</x:v>
      </x:c>
      <x:c r="I191" s="35" t="n">
        <x:f>B181*'Datos'!I8+C181*'Datos'!I9+D181*'Datos'!I10+E181*'Datos'!I11+F181*'Datos'!I12+G181*'Datos'!I13+H181*'Datos'!I14+I181*'Datos'!I15</x:f>
        <x:v>0.42013298201104665</x:v>
      </x:c>
      <x:c r="J191" s="34" t="n">
        <x:f>SUM(B191:I191)</x:f>
        <x:v>1.0000000000000004</x:v>
      </x:c>
    </x:row>
    <x:row r="192" ht="22" customHeight="1">
      <x:c r="A192" s="31" t="str">
        <x:f>'Datos'!A12</x:f>
        <x:v>Ba</x:v>
      </x:c>
      <x:c r="B192" s="35" t="n">
        <x:f>B182*'Datos'!B8+C182*'Datos'!B9+D182*'Datos'!B10+E182*'Datos'!B11+F182*'Datos'!B12+G182*'Datos'!B13+H182*'Datos'!B14+I182*'Datos'!B15</x:f>
        <x:v>0.08048680291685092</x:v>
      </x:c>
      <x:c r="C192" s="35" t="n">
        <x:f>B182*'Datos'!C8+C182*'Datos'!C9+D182*'Datos'!C10+E182*'Datos'!C11+F182*'Datos'!C12+G182*'Datos'!C13+H182*'Datos'!C14+I182*'Datos'!C15</x:f>
        <x:v>0.04407819412931335</x:v>
      </x:c>
      <x:c r="D192" s="35" t="n">
        <x:f>B182*'Datos'!D8+C182*'Datos'!D9+D182*'Datos'!D10+E182*'Datos'!D11+F182*'Datos'!D12+G182*'Datos'!D13+H182*'Datos'!D14+I182*'Datos'!D15</x:f>
        <x:v>0.03970265351800977</x:v>
      </x:c>
      <x:c r="E192" s="35" t="n">
        <x:f>B182*'Datos'!E8+C182*'Datos'!E9+D182*'Datos'!E10+E182*'Datos'!E11+F182*'Datos'!E12+G182*'Datos'!E13+H182*'Datos'!E14+I182*'Datos'!E15</x:f>
        <x:v>0.023356608989063696</x:v>
      </x:c>
      <x:c r="F192" s="35" t="n">
        <x:f>B182*'Datos'!F8+C182*'Datos'!F9+D182*'Datos'!F10+E182*'Datos'!F11+F182*'Datos'!F12+G182*'Datos'!F13+H182*'Datos'!F14+I182*'Datos'!F15</x:f>
        <x:v>0.03443527327756691</x:v>
      </x:c>
      <x:c r="G192" s="35" t="n">
        <x:f>B182*'Datos'!G8+C182*'Datos'!G9+D182*'Datos'!G10+E182*'Datos'!G11+F182*'Datos'!G12+G182*'Datos'!G13+H182*'Datos'!G14+I182*'Datos'!G15</x:f>
        <x:v>0.02456808512022548</x:v>
      </x:c>
      <x:c r="H192" s="35" t="n">
        <x:f>B182*'Datos'!H8+C182*'Datos'!H9+D182*'Datos'!H10+E182*'Datos'!H11+F182*'Datos'!H12+G182*'Datos'!H13+H182*'Datos'!H14+I182*'Datos'!H15</x:f>
        <x:v>0.03537636764888932</x:v>
      </x:c>
      <x:c r="I192" s="35" t="n">
        <x:f>B182*'Datos'!I8+C182*'Datos'!I9+D182*'Datos'!I10+E182*'Datos'!I11+F182*'Datos'!I12+G182*'Datos'!I13+H182*'Datos'!I14+I182*'Datos'!I15</x:f>
        <x:v>0.7179960144000803</x:v>
      </x:c>
      <x:c r="J192" s="34" t="n">
        <x:f>SUM(B192:I192)</x:f>
        <x:v>0.9999999999999998</x:v>
      </x:c>
    </x:row>
    <x:row r="193" ht="22" customHeight="1">
      <x:c r="A193" s="31" t="str">
        <x:f>'Datos'!A13</x:f>
        <x:v>B</x:v>
      </x:c>
      <x:c r="B193" s="35" t="n">
        <x:f>B183*'Datos'!B8+C183*'Datos'!B9+D183*'Datos'!B10+E183*'Datos'!B11+F183*'Datos'!B12+G183*'Datos'!B13+H183*'Datos'!B14+I183*'Datos'!B15</x:f>
        <x:v>0.025258452640891358</x:v>
      </x:c>
      <x:c r="C193" s="35" t="n">
        <x:f>B183*'Datos'!C8+C183*'Datos'!C9+D183*'Datos'!C10+E183*'Datos'!C11+F183*'Datos'!C12+G183*'Datos'!C13+H183*'Datos'!C14+I183*'Datos'!C15</x:f>
        <x:v>0.014495956050717096</x:v>
      </x:c>
      <x:c r="D193" s="35" t="n">
        <x:f>B183*'Datos'!D8+C183*'Datos'!D9+D183*'Datos'!D10+E183*'Datos'!D11+F183*'Datos'!D12+G183*'Datos'!D13+H183*'Datos'!D14+I183*'Datos'!D15</x:f>
        <x:v>0.014188781437414609</x:v>
      </x:c>
      <x:c r="E193" s="35" t="n">
        <x:f>B183*'Datos'!E8+C183*'Datos'!E9+D183*'Datos'!E10+E183*'Datos'!E11+F183*'Datos'!E12+G183*'Datos'!E13+H183*'Datos'!E14+I183*'Datos'!E15</x:f>
        <x:v>0.008752389465972083</x:v>
      </x:c>
      <x:c r="F193" s="35" t="n">
        <x:f>B183*'Datos'!F8+C183*'Datos'!F9+D183*'Datos'!F10+E183*'Datos'!F11+F183*'Datos'!F12+G183*'Datos'!F13+H183*'Datos'!F14+I183*'Datos'!F15</x:f>
        <x:v>0.014087183176750402</x:v>
      </x:c>
      <x:c r="G193" s="35" t="n">
        <x:f>B183*'Datos'!G8+C183*'Datos'!G9+D183*'Datos'!G10+E183*'Datos'!G11+F183*'Datos'!G12+G183*'Datos'!G13+H183*'Datos'!G14+I183*'Datos'!G15</x:f>
        <x:v>0.010617371778906419</x:v>
      </x:c>
      <x:c r="H193" s="35" t="n">
        <x:f>B183*'Datos'!H8+C183*'Datos'!H9+D183*'Datos'!H10+E183*'Datos'!H11+F183*'Datos'!H12+G183*'Datos'!H13+H183*'Datos'!H14+I183*'Datos'!H15</x:f>
        <x:v>0.015955646507622708</x:v>
      </x:c>
      <x:c r="I193" s="35" t="n">
        <x:f>B183*'Datos'!I8+C183*'Datos'!I9+D183*'Datos'!I10+E183*'Datos'!I11+F183*'Datos'!I12+G183*'Datos'!I13+H183*'Datos'!I14+I183*'Datos'!I15</x:f>
        <x:v>0.8966442189417251</x:v>
      </x:c>
      <x:c r="J193" s="34" t="n">
        <x:f>SUM(B193:I193)</x:f>
        <x:v>0.9999999999999998</x:v>
      </x:c>
    </x:row>
    <x:row r="194" ht="22" customHeight="1">
      <x:c r="A194" s="31" t="str">
        <x:f>'Datos'!A14</x:f>
        <x:v>Caa-C</x:v>
      </x:c>
      <x:c r="B194" s="35" t="n">
        <x:f>B184*'Datos'!B8+C184*'Datos'!B9+D184*'Datos'!B10+E184*'Datos'!B11+F184*'Datos'!B12+G184*'Datos'!B13+H184*'Datos'!B14+I184*'Datos'!B15</x:f>
        <x:v>0.006847945741408194</x:v>
      </x:c>
      <x:c r="C194" s="35" t="n">
        <x:f>B184*'Datos'!C8+C184*'Datos'!C9+D184*'Datos'!C10+E184*'Datos'!C11+F184*'Datos'!C12+G184*'Datos'!C13+H184*'Datos'!C14+I184*'Datos'!C15</x:f>
        <x:v>0.004195416580662132</x:v>
      </x:c>
      <x:c r="D194" s="35" t="n">
        <x:f>B184*'Datos'!D8+C184*'Datos'!D9+D184*'Datos'!D10+E184*'Datos'!D11+F184*'Datos'!D12+G184*'Datos'!D13+H184*'Datos'!D14+I184*'Datos'!D15</x:f>
        <x:v>0.004545941723553978</x:v>
      </x:c>
      <x:c r="E194" s="35" t="n">
        <x:f>B184*'Datos'!E8+C184*'Datos'!E9+D184*'Datos'!E10+E184*'Datos'!E11+F184*'Datos'!E12+G184*'Datos'!E13+H184*'Datos'!E14+I184*'Datos'!E15</x:f>
        <x:v>0.002952445229449823</x:v>
      </x:c>
      <x:c r="F194" s="35" t="n">
        <x:f>B184*'Datos'!F8+C184*'Datos'!F9+D184*'Datos'!F10+E184*'Datos'!F11+F184*'Datos'!F12+G184*'Datos'!F13+H184*'Datos'!F14+I184*'Datos'!F15</x:f>
        <x:v>0.005173726653459476</x:v>
      </x:c>
      <x:c r="G194" s="35" t="n">
        <x:f>B184*'Datos'!G8+C184*'Datos'!G9+D184*'Datos'!G10+E184*'Datos'!G11+F184*'Datos'!G12+G184*'Datos'!G13+H184*'Datos'!G14+I184*'Datos'!G15</x:f>
        <x:v>0.0040914114310378604</x:v>
      </x:c>
      <x:c r="H194" s="35" t="n">
        <x:f>B184*'Datos'!H8+C184*'Datos'!H9+D184*'Datos'!H10+E184*'Datos'!H11+F184*'Datos'!H12+G184*'Datos'!H13+H184*'Datos'!H14+I184*'Datos'!H15</x:f>
        <x:v>0.006365891166235339</x:v>
      </x:c>
      <x:c r="I194" s="35" t="n">
        <x:f>B184*'Datos'!I8+C184*'Datos'!I9+D184*'Datos'!I10+E184*'Datos'!I11+F184*'Datos'!I12+G184*'Datos'!I13+H184*'Datos'!I14+I184*'Datos'!I15</x:f>
        <x:v>0.9658272214741929</x:v>
      </x:c>
      <x:c r="J194" s="34" t="n">
        <x:f>SUM(B194:I194)</x:f>
        <x:v>0.9999999999999997</x:v>
      </x:c>
    </x:row>
    <x:row r="195" ht="22" customHeight="1">
      <x:c r="A195" s="31" t="str">
        <x:f>'Datos'!A15</x:f>
        <x:v>Default</x:v>
      </x:c>
      <x:c r="B195" s="35" t="n">
        <x:f>B185*'Datos'!B8+C185*'Datos'!B9+D185*'Datos'!B10+E185*'Datos'!B11+F185*'Datos'!B12+G185*'Datos'!B13+H185*'Datos'!B14+I185*'Datos'!B15</x:f>
        <x:v>0</x:v>
      </x:c>
      <x:c r="C195" s="35" t="n">
        <x:f>B185*'Datos'!C8+C185*'Datos'!C9+D185*'Datos'!C10+E185*'Datos'!C11+F185*'Datos'!C12+G185*'Datos'!C13+H185*'Datos'!C14+I185*'Datos'!C15</x:f>
        <x:v>0</x:v>
      </x:c>
      <x:c r="D195" s="35" t="n">
        <x:f>B185*'Datos'!D8+C185*'Datos'!D9+D185*'Datos'!D10+E185*'Datos'!D11+F185*'Datos'!D12+G185*'Datos'!D13+H185*'Datos'!D14+I185*'Datos'!D15</x:f>
        <x:v>0</x:v>
      </x:c>
      <x:c r="E195" s="35" t="n">
        <x:f>B185*'Datos'!E8+C185*'Datos'!E9+D185*'Datos'!E10+E185*'Datos'!E11+F185*'Datos'!E12+G185*'Datos'!E13+H185*'Datos'!E14+I185*'Datos'!E15</x:f>
        <x:v>0</x:v>
      </x:c>
      <x:c r="F195" s="35" t="n">
        <x:f>B185*'Datos'!F8+C185*'Datos'!F9+D185*'Datos'!F10+E185*'Datos'!F11+F185*'Datos'!F12+G185*'Datos'!F13+H185*'Datos'!F14+I185*'Datos'!F15</x:f>
        <x:v>0</x:v>
      </x:c>
      <x:c r="G195" s="35" t="n">
        <x:f>B185*'Datos'!G8+C185*'Datos'!G9+D185*'Datos'!G10+E185*'Datos'!G11+F185*'Datos'!G12+G185*'Datos'!G13+H185*'Datos'!G14+I185*'Datos'!G15</x:f>
        <x:v>0</x:v>
      </x:c>
      <x:c r="H195" s="35" t="n">
        <x:f>B185*'Datos'!H8+C185*'Datos'!H9+D185*'Datos'!H10+E185*'Datos'!H11+F185*'Datos'!H12+G185*'Datos'!H13+H185*'Datos'!H14+I185*'Datos'!H15</x:f>
        <x:v>0</x:v>
      </x:c>
      <x:c r="I195" s="35" t="n">
        <x:f>B185*'Datos'!I8+C185*'Datos'!I9+D185*'Datos'!I10+E185*'Datos'!I11+F185*'Datos'!I12+G185*'Datos'!I13+H185*'Datos'!I14+I185*'Datos'!I15</x:f>
        <x:v>1</x:v>
      </x:c>
      <x:c r="J195" s="34" t="n">
        <x:f>SUM(B195:I195)</x:f>
        <x:v>1</x:v>
      </x:c>
    </x:row>
    <x:row r="196" ht="22" customHeight="1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</x:row>
    <x:row r="197" ht="36" customHeight="1">
      <x:c r="A197" s="13" t="str">
        <x:v>P^19</x:v>
      </x:c>
      <x:c r="B197" s="13" t="str">
        <x:v>Aaa</x:v>
      </x:c>
      <x:c r="C197" s="13" t="str">
        <x:v>Aa</x:v>
      </x:c>
      <x:c r="D197" s="13" t="str">
        <x:v>A</x:v>
      </x:c>
      <x:c r="E197" s="13" t="str">
        <x:v>Baa</x:v>
      </x:c>
      <x:c r="F197" s="13" t="str">
        <x:v>Ba</x:v>
      </x:c>
      <x:c r="G197" s="13" t="str">
        <x:v>B</x:v>
      </x:c>
      <x:c r="H197" s="13" t="str">
        <x:v>Caa-C</x:v>
      </x:c>
      <x:c r="I197" s="13" t="str">
        <x:v>Default</x:v>
      </x:c>
      <x:c r="J197" s="13" t="str">
        <x:v>Suma</x:v>
      </x:c>
    </x:row>
    <x:row r="198" ht="22" customHeight="1">
      <x:c r="A198" s="31" t="str">
        <x:f>'Datos'!A8</x:f>
        <x:v>Aaa</x:v>
      </x:c>
      <x:c r="B198" s="35" t="n">
        <x:f>B188*'Datos'!B8+C188*'Datos'!B9+D188*'Datos'!B10+E188*'Datos'!B11+F188*'Datos'!B12+G188*'Datos'!B13+H188*'Datos'!B14+I188*'Datos'!B15</x:f>
        <x:v>0.41469157914473465</x:v>
      </x:c>
      <x:c r="C198" s="35" t="n">
        <x:f>B188*'Datos'!C8+C188*'Datos'!C9+D188*'Datos'!C10+E188*'Datos'!C11+F188*'Datos'!C12+G188*'Datos'!C13+H188*'Datos'!C14+I188*'Datos'!C15</x:f>
        <x:v>0.1955515825580629</x:v>
      </x:c>
      <x:c r="D198" s="35" t="n">
        <x:f>B188*'Datos'!D8+C188*'Datos'!D9+D188*'Datos'!D10+E188*'Datos'!D11+F188*'Datos'!D12+G188*'Datos'!D13+H188*'Datos'!D14+I188*'Datos'!D15</x:f>
        <x:v>0.12855698029693663</x:v>
      </x:c>
      <x:c r="E198" s="35" t="n">
        <x:f>B188*'Datos'!E8+C188*'Datos'!E9+D188*'Datos'!E10+E188*'Datos'!E11+F188*'Datos'!E12+G188*'Datos'!E13+H188*'Datos'!E14+I188*'Datos'!E15</x:f>
        <x:v>0.06140283724812358</x:v>
      </x:c>
      <x:c r="F198" s="35" t="n">
        <x:f>B188*'Datos'!F8+C188*'Datos'!F9+D188*'Datos'!F10+E188*'Datos'!F11+F188*'Datos'!F12+G188*'Datos'!F13+H188*'Datos'!F14+I188*'Datos'!F15</x:f>
        <x:v>0.05621081779167585</x:v>
      </x:c>
      <x:c r="G198" s="35" t="n">
        <x:f>B188*'Datos'!G8+C188*'Datos'!G9+D188*'Datos'!G10+E188*'Datos'!G11+F188*'Datos'!G12+G188*'Datos'!G13+H188*'Datos'!G14+I188*'Datos'!G15</x:f>
        <x:v>0.02870891752528761</x:v>
      </x:c>
      <x:c r="H198" s="35" t="n">
        <x:f>B188*'Datos'!H8+C188*'Datos'!H9+D188*'Datos'!H10+E188*'Datos'!H11+F188*'Datos'!H12+G188*'Datos'!H13+H188*'Datos'!H14+I188*'Datos'!H15</x:f>
        <x:v>0.03023581195064077</x:v>
      </x:c>
      <x:c r="I198" s="35" t="n">
        <x:f>B188*'Datos'!I8+C188*'Datos'!I9+D188*'Datos'!I10+E188*'Datos'!I11+F188*'Datos'!I12+G188*'Datos'!I13+H188*'Datos'!I14+I188*'Datos'!I15</x:f>
        <x:v>0.0846414734845382</x:v>
      </x:c>
      <x:c r="J198" s="34" t="n">
        <x:f>SUM(B198:I198)</x:f>
        <x:v>1</x:v>
      </x:c>
    </x:row>
    <x:row r="199" ht="22" customHeight="1">
      <x:c r="A199" s="31" t="str">
        <x:f>'Datos'!A9</x:f>
        <x:v>Aa</x:v>
      </x:c>
      <x:c r="B199" s="35" t="n">
        <x:f>B189*'Datos'!B8+C189*'Datos'!B9+D189*'Datos'!B10+E189*'Datos'!B11+F189*'Datos'!B12+G189*'Datos'!B13+H189*'Datos'!B14+I189*'Datos'!B15</x:f>
        <x:v>0.4004284937306963</x:v>
      </x:c>
      <x:c r="C199" s="35" t="n">
        <x:f>B189*'Datos'!C8+C189*'Datos'!C9+D189*'Datos'!C10+E189*'Datos'!C11+F189*'Datos'!C12+G189*'Datos'!C13+H189*'Datos'!C14+I189*'Datos'!C15</x:f>
        <x:v>0.18958111040001738</x:v>
      </x:c>
      <x:c r="D199" s="35" t="n">
        <x:f>B189*'Datos'!D8+C189*'Datos'!D9+D189*'Datos'!D10+E189*'Datos'!D11+F189*'Datos'!D12+G189*'Datos'!D13+H189*'Datos'!D14+I189*'Datos'!D15</x:f>
        <x:v>0.12586720487806466</x:v>
      </x:c>
      <x:c r="E199" s="35" t="n">
        <x:f>B189*'Datos'!E8+C189*'Datos'!E9+D189*'Datos'!E10+E189*'Datos'!E11+F189*'Datos'!E12+G189*'Datos'!E13+H189*'Datos'!E14+I189*'Datos'!E15</x:f>
        <x:v>0.06058348762696453</x:v>
      </x:c>
      <x:c r="F199" s="35" t="n">
        <x:f>B189*'Datos'!F8+C189*'Datos'!F9+D189*'Datos'!F10+E189*'Datos'!F11+F189*'Datos'!F12+G189*'Datos'!F13+H189*'Datos'!F14+I189*'Datos'!F15</x:f>
        <x:v>0.05671776813450764</x:v>
      </x:c>
      <x:c r="G199" s="35" t="n">
        <x:f>B189*'Datos'!G8+C189*'Datos'!G9+D189*'Datos'!G10+E189*'Datos'!G11+F189*'Datos'!G12+G189*'Datos'!G13+H189*'Datos'!G14+I189*'Datos'!G15</x:f>
        <x:v>0.02955377014397756</x:v>
      </x:c>
      <x:c r="H199" s="35" t="n">
        <x:f>B189*'Datos'!H8+C189*'Datos'!H9+D189*'Datos'!H10+E189*'Datos'!H11+F189*'Datos'!H12+G189*'Datos'!H13+H189*'Datos'!H14+I189*'Datos'!H15</x:f>
        <x:v>0.03186897100625641</x:v>
      </x:c>
      <x:c r="I199" s="35" t="n">
        <x:f>B189*'Datos'!I8+C189*'Datos'!I9+D189*'Datos'!I10+E189*'Datos'!I11+F189*'Datos'!I12+G189*'Datos'!I13+H189*'Datos'!I14+I189*'Datos'!I15</x:f>
        <x:v>0.10539919407951513</x:v>
      </x:c>
      <x:c r="J199" s="34" t="n">
        <x:f>SUM(B199:I199)</x:f>
        <x:v>0.9999999999999997</x:v>
      </x:c>
    </x:row>
    <x:row r="200" ht="22" customHeight="1">
      <x:c r="A200" s="31" t="str">
        <x:f>'Datos'!A10</x:f>
        <x:v>A</x:v>
      </x:c>
      <x:c r="B200" s="35" t="n">
        <x:f>B190*'Datos'!B8+C190*'Datos'!B9+D190*'Datos'!B10+E190*'Datos'!B11+F190*'Datos'!B12+G190*'Datos'!B13+H190*'Datos'!B14+I190*'Datos'!B15</x:f>
        <x:v>0.29317654724634695</x:v>
      </x:c>
      <x:c r="C200" s="35" t="n">
        <x:f>B190*'Datos'!C8+C190*'Datos'!C9+D190*'Datos'!C10+E190*'Datos'!C11+F190*'Datos'!C12+G190*'Datos'!C13+H190*'Datos'!C14+I190*'Datos'!C15</x:f>
        <x:v>0.14351771402502292</x:v>
      </x:c>
      <x:c r="D200" s="35" t="n">
        <x:f>B190*'Datos'!D8+C190*'Datos'!D9+D190*'Datos'!D10+E190*'Datos'!D11+F190*'Datos'!D12+G190*'Datos'!D13+H190*'Datos'!D14+I190*'Datos'!D15</x:f>
        <x:v>0.10308032748461494</x:v>
      </x:c>
      <x:c r="E200" s="35" t="n">
        <x:f>B190*'Datos'!E8+C190*'Datos'!E9+D190*'Datos'!E10+E190*'Datos'!E11+F190*'Datos'!E12+G190*'Datos'!E13+H190*'Datos'!E14+I190*'Datos'!E15</x:f>
        <x:v>0.052578425607117896</x:v>
      </x:c>
      <x:c r="F200" s="35" t="n">
        <x:f>B190*'Datos'!F8+C190*'Datos'!F9+D190*'Datos'!F10+E190*'Datos'!F11+F190*'Datos'!F12+G190*'Datos'!F13+H190*'Datos'!F14+I190*'Datos'!F15</x:f>
        <x:v>0.05735064773594217</x:v>
      </x:c>
      <x:c r="G200" s="35" t="n">
        <x:f>B190*'Datos'!G8+C190*'Datos'!G9+D190*'Datos'!G10+E190*'Datos'!G11+F190*'Datos'!G12+G190*'Datos'!G13+H190*'Datos'!G14+I190*'Datos'!G15</x:f>
        <x:v>0.033720397789798955</x:v>
      </x:c>
      <x:c r="H200" s="35" t="n">
        <x:f>B190*'Datos'!H8+C190*'Datos'!H9+D190*'Datos'!H10+E190*'Datos'!H11+F190*'Datos'!H12+G190*'Datos'!H13+H190*'Datos'!H14+I190*'Datos'!H15</x:f>
        <x:v>0.04122735640235572</x:v>
      </x:c>
      <x:c r="I200" s="35" t="n">
        <x:f>B190*'Datos'!I8+C190*'Datos'!I9+D190*'Datos'!I10+E190*'Datos'!I11+F190*'Datos'!I12+G190*'Datos'!I13+H190*'Datos'!I14+I190*'Datos'!I15</x:f>
        <x:v>0.2753485837088007</x:v>
      </x:c>
      <x:c r="J200" s="34" t="n">
        <x:f>SUM(B200:I200)</x:f>
        <x:v>1.0000000000000002</x:v>
      </x:c>
    </x:row>
    <x:row r="201" ht="22" customHeight="1">
      <x:c r="A201" s="31" t="str">
        <x:f>'Datos'!A11</x:f>
        <x:v>Baa</x:v>
      </x:c>
      <x:c r="B201" s="35" t="n">
        <x:f>B191*'Datos'!B8+C191*'Datos'!B9+D191*'Datos'!B10+E191*'Datos'!B11+F191*'Datos'!B12+G191*'Datos'!B13+H191*'Datos'!B14+I191*'Datos'!B15</x:f>
        <x:v>0.21106388202915666</x:v>
      </x:c>
      <x:c r="C201" s="35" t="n">
        <x:f>B191*'Datos'!C8+C191*'Datos'!C9+D191*'Datos'!C10+E191*'Datos'!C11+F191*'Datos'!C12+G191*'Datos'!C13+H191*'Datos'!C14+I191*'Datos'!C15</x:f>
        <x:v>0.10590823247682211</x:v>
      </x:c>
      <x:c r="D201" s="35" t="n">
        <x:f>B191*'Datos'!D8+C191*'Datos'!D9+D191*'Datos'!D10+E191*'Datos'!D11+F191*'Datos'!D12+G191*'Datos'!D13+H191*'Datos'!D14+I191*'Datos'!D15</x:f>
        <x:v>0.08035956629373983</x:v>
      </x:c>
      <x:c r="E201" s="35" t="n">
        <x:f>B191*'Datos'!E8+C191*'Datos'!E9+D191*'Datos'!E10+E191*'Datos'!E11+F191*'Datos'!E12+G191*'Datos'!E13+H191*'Datos'!E14+I191*'Datos'!E15</x:f>
        <x:v>0.04257389396166764</x:v>
      </x:c>
      <x:c r="F201" s="35" t="n">
        <x:f>B191*'Datos'!F8+C191*'Datos'!F9+D191*'Datos'!F10+E191*'Datos'!F11+F191*'Datos'!F12+G191*'Datos'!F13+H191*'Datos'!F14+I191*'Datos'!F15</x:f>
        <x:v>0.05079316079754157</x:v>
      </x:c>
      <x:c r="G201" s="35" t="n">
        <x:f>B191*'Datos'!G8+C191*'Datos'!G9+D191*'Datos'!G10+E191*'Datos'!G11+F191*'Datos'!G12+G191*'Datos'!G13+H191*'Datos'!G14+I191*'Datos'!G15</x:f>
        <x:v>0.03181963366206471</x:v>
      </x:c>
      <x:c r="H201" s="35" t="n">
        <x:f>B191*'Datos'!H8+C191*'Datos'!H9+D191*'Datos'!H10+E191*'Datos'!H11+F191*'Datos'!H12+G191*'Datos'!H13+H191*'Datos'!H14+I191*'Datos'!H15</x:f>
        <x:v>0.041233058128890665</x:v>
      </x:c>
      <x:c r="I201" s="35" t="n">
        <x:f>B191*'Datos'!I8+C191*'Datos'!I9+D191*'Datos'!I10+E191*'Datos'!I11+F191*'Datos'!I12+G191*'Datos'!I13+H191*'Datos'!I14+I191*'Datos'!I15</x:f>
        <x:v>0.436248572650117</x:v>
      </x:c>
      <x:c r="J201" s="34" t="n">
        <x:f>SUM(B201:I201)</x:f>
        <x:v>1.0000000000000002</x:v>
      </x:c>
    </x:row>
    <x:row r="202" ht="22" customHeight="1">
      <x:c r="A202" s="31" t="str">
        <x:f>'Datos'!A12</x:f>
        <x:v>Ba</x:v>
      </x:c>
      <x:c r="B202" s="35" t="n">
        <x:f>B192*'Datos'!B8+C192*'Datos'!B9+D192*'Datos'!B10+E192*'Datos'!B11+F192*'Datos'!B12+G192*'Datos'!B13+H192*'Datos'!B14+I192*'Datos'!B15</x:f>
        <x:v>0.08135401115191915</x:v>
      </x:c>
      <x:c r="C202" s="35" t="n">
        <x:f>B192*'Datos'!C8+C192*'Datos'!C9+D192*'Datos'!C10+E192*'Datos'!C11+F192*'Datos'!C12+G192*'Datos'!C13+H192*'Datos'!C14+I192*'Datos'!C15</x:f>
        <x:v>0.043663999744311906</x:v>
      </x:c>
      <x:c r="D202" s="35" t="n">
        <x:f>B192*'Datos'!D8+C192*'Datos'!D9+D192*'Datos'!D10+E192*'Datos'!D11+F192*'Datos'!D12+G192*'Datos'!D13+H192*'Datos'!D14+I192*'Datos'!D15</x:f>
        <x:v>0.037961055607563306</x:v>
      </x:c>
      <x:c r="E202" s="35" t="n">
        <x:f>B192*'Datos'!E8+C192*'Datos'!E9+D192*'Datos'!E10+E192*'Datos'!E11+F192*'Datos'!E12+G192*'Datos'!E13+H192*'Datos'!E14+I192*'Datos'!E15</x:f>
        <x:v>0.02191114494982829</x:v>
      </x:c>
      <x:c r="F202" s="35" t="n">
        <x:f>B192*'Datos'!F8+C192*'Datos'!F9+D192*'Datos'!F10+E192*'Datos'!F11+F192*'Datos'!F12+G192*'Datos'!F13+H192*'Datos'!F14+I192*'Datos'!F15</x:f>
        <x:v>0.03125224763972632</x:v>
      </x:c>
      <x:c r="G202" s="35" t="n">
        <x:f>B192*'Datos'!G8+C192*'Datos'!G9+D192*'Datos'!G10+E192*'Datos'!G11+F192*'Datos'!G12+G192*'Datos'!G13+H192*'Datos'!G14+I192*'Datos'!G15</x:f>
        <x:v>0.021929791489692835</x:v>
      </x:c>
      <x:c r="H202" s="35" t="n">
        <x:f>B192*'Datos'!H8+C192*'Datos'!H9+D192*'Datos'!H10+E192*'Datos'!H11+F192*'Datos'!H12+G192*'Datos'!H13+H192*'Datos'!H14+I192*'Datos'!H15</x:f>
        <x:v>0.031209453419198313</x:v>
      </x:c>
      <x:c r="I202" s="35" t="n">
        <x:f>B192*'Datos'!I8+C192*'Datos'!I9+D192*'Datos'!I10+E192*'Datos'!I11+F192*'Datos'!I12+G192*'Datos'!I13+H192*'Datos'!I14+I192*'Datos'!I15</x:f>
        <x:v>0.7307182959977597</x:v>
      </x:c>
      <x:c r="J202" s="34" t="n">
        <x:f>SUM(B202:I202)</x:f>
        <x:v>0.9999999999999998</x:v>
      </x:c>
    </x:row>
    <x:row r="203" ht="22" customHeight="1">
      <x:c r="A203" s="31" t="str">
        <x:f>'Datos'!A13</x:f>
        <x:v>B</x:v>
      </x:c>
      <x:c r="B203" s="35" t="n">
        <x:f>B193*'Datos'!B8+C193*'Datos'!B9+D193*'Datos'!B10+E193*'Datos'!B11+F193*'Datos'!B12+G193*'Datos'!B13+H193*'Datos'!B14+I193*'Datos'!B15</x:f>
        <x:v>0.025775882617376632</x:v>
      </x:c>
      <x:c r="C203" s="35" t="n">
        <x:f>B193*'Datos'!C8+C193*'Datos'!C9+D193*'Datos'!C10+E193*'Datos'!C11+F193*'Datos'!C12+G193*'Datos'!C13+H193*'Datos'!C14+I193*'Datos'!C15</x:f>
        <x:v>0.014409807246941414</x:v>
      </x:c>
      <x:c r="D203" s="35" t="n">
        <x:f>B193*'Datos'!D8+C193*'Datos'!D9+D193*'Datos'!D10+E193*'Datos'!D11+F193*'Datos'!D12+G193*'Datos'!D13+H193*'Datos'!D14+I193*'Datos'!D15</x:f>
        <x:v>0.013506601570433745</x:v>
      </x:c>
      <x:c r="E203" s="35" t="n">
        <x:f>B193*'Datos'!E8+C193*'Datos'!E9+D193*'Datos'!E10+E193*'Datos'!E11+F193*'Datos'!E12+G193*'Datos'!E13+H193*'Datos'!E14+I193*'Datos'!E15</x:f>
        <x:v>0.008146705685031619</x:v>
      </x:c>
      <x:c r="F203" s="35" t="n">
        <x:f>B193*'Datos'!F8+C193*'Datos'!F9+D193*'Datos'!F10+E193*'Datos'!F11+F193*'Datos'!F12+G193*'Datos'!F13+H193*'Datos'!F14+I193*'Datos'!F15</x:f>
        <x:v>0.012628569440514935</x:v>
      </x:c>
      <x:c r="G203" s="35" t="n">
        <x:f>B193*'Datos'!G8+C193*'Datos'!G9+D193*'Datos'!G10+E193*'Datos'!G11+F193*'Datos'!G12+G193*'Datos'!G13+H193*'Datos'!G14+I193*'Datos'!G15</x:f>
        <x:v>0.009330066084960625</x:v>
      </x:c>
      <x:c r="H203" s="35" t="n">
        <x:f>B193*'Datos'!H8+C193*'Datos'!H9+D193*'Datos'!H10+E193*'Datos'!H11+F193*'Datos'!H12+G193*'Datos'!H13+H193*'Datos'!H14+I193*'Datos'!H15</x:f>
        <x:v>0.013823127174174185</x:v>
      </x:c>
      <x:c r="I203" s="35" t="n">
        <x:f>B193*'Datos'!I8+C193*'Datos'!I9+D193*'Datos'!I10+E193*'Datos'!I11+F193*'Datos'!I12+G193*'Datos'!I13+H193*'Datos'!I14+I193*'Datos'!I15</x:f>
        <x:v>0.9023792401805666</x:v>
      </x:c>
      <x:c r="J203" s="34" t="n">
        <x:f>SUM(B203:I203)</x:f>
        <x:v>0.9999999999999998</x:v>
      </x:c>
    </x:row>
    <x:row r="204" ht="22" customHeight="1">
      <x:c r="A204" s="31" t="str">
        <x:f>'Datos'!A14</x:f>
        <x:v>Caa-C</x:v>
      </x:c>
      <x:c r="B204" s="35" t="n">
        <x:f>B194*'Datos'!B8+C194*'Datos'!B9+D194*'Datos'!B10+E194*'Datos'!B11+F194*'Datos'!B12+G194*'Datos'!B13+H194*'Datos'!B14+I194*'Datos'!B15</x:f>
        <x:v>0.007086475825163089</x:v>
      </x:c>
      <x:c r="C204" s="35" t="n">
        <x:f>B194*'Datos'!C8+C194*'Datos'!C9+D194*'Datos'!C10+E194*'Datos'!C11+F194*'Datos'!C12+G194*'Datos'!C13+H194*'Datos'!C14+I194*'Datos'!C15</x:f>
        <x:v>0.004191010358329557</x:v>
      </x:c>
      <x:c r="D204" s="35" t="n">
        <x:f>B194*'Datos'!D8+C194*'Datos'!D9+D194*'Datos'!D10+E194*'Datos'!D11+F194*'Datos'!D12+G194*'Datos'!D13+H194*'Datos'!D14+I194*'Datos'!D15</x:f>
        <x:v>0.0043080719773824355</x:v>
      </x:c>
      <x:c r="E204" s="35" t="n">
        <x:f>B194*'Datos'!E8+C194*'Datos'!E9+D194*'Datos'!E10+E194*'Datos'!E11+F194*'Datos'!E12+G194*'Datos'!E13+H194*'Datos'!E14+I194*'Datos'!E15</x:f>
        <x:v>0.002727114526234478</x:v>
      </x:c>
      <x:c r="F204" s="35" t="n">
        <x:f>B194*'Datos'!F8+C194*'Datos'!F9+D194*'Datos'!F10+E194*'Datos'!F11+F194*'Datos'!F12+G194*'Datos'!F13+H194*'Datos'!F14+I194*'Datos'!F15</x:f>
        <x:v>0.004588014362688344</x:v>
      </x:c>
      <x:c r="G204" s="35" t="n">
        <x:f>B194*'Datos'!G8+C194*'Datos'!G9+D194*'Datos'!G10+E194*'Datos'!G11+F194*'Datos'!G12+G194*'Datos'!G13+H194*'Datos'!G14+I194*'Datos'!G15</x:f>
        <x:v>0.003548798575733</x:v>
      </x:c>
      <x:c r="H204" s="35" t="n">
        <x:f>B194*'Datos'!H8+C194*'Datos'!H9+D194*'Datos'!H10+E194*'Datos'!H11+F194*'Datos'!H12+G194*'Datos'!H13+H194*'Datos'!H14+I194*'Datos'!H15</x:f>
        <x:v>0.0054361198108549055</x:v>
      </x:c>
      <x:c r="I204" s="35" t="n">
        <x:f>B194*'Datos'!I8+C194*'Datos'!I9+D194*'Datos'!I10+E194*'Datos'!I11+F194*'Datos'!I12+G194*'Datos'!I13+H194*'Datos'!I14+I194*'Datos'!I15</x:f>
        <x:v>0.9681143945636138</x:v>
      </x:c>
      <x:c r="J204" s="34" t="n">
        <x:f>SUM(B204:I204)</x:f>
        <x:v>0.9999999999999997</x:v>
      </x:c>
    </x:row>
    <x:row r="205" ht="22" customHeight="1">
      <x:c r="A205" s="31" t="str">
        <x:f>'Datos'!A15</x:f>
        <x:v>Default</x:v>
      </x:c>
      <x:c r="B205" s="35" t="n">
        <x:f>B195*'Datos'!B8+C195*'Datos'!B9+D195*'Datos'!B10+E195*'Datos'!B11+F195*'Datos'!B12+G195*'Datos'!B13+H195*'Datos'!B14+I195*'Datos'!B15</x:f>
        <x:v>0</x:v>
      </x:c>
      <x:c r="C205" s="35" t="n">
        <x:f>B195*'Datos'!C8+C195*'Datos'!C9+D195*'Datos'!C10+E195*'Datos'!C11+F195*'Datos'!C12+G195*'Datos'!C13+H195*'Datos'!C14+I195*'Datos'!C15</x:f>
        <x:v>0</x:v>
      </x:c>
      <x:c r="D205" s="35" t="n">
        <x:f>B195*'Datos'!D8+C195*'Datos'!D9+D195*'Datos'!D10+E195*'Datos'!D11+F195*'Datos'!D12+G195*'Datos'!D13+H195*'Datos'!D14+I195*'Datos'!D15</x:f>
        <x:v>0</x:v>
      </x:c>
      <x:c r="E205" s="35" t="n">
        <x:f>B195*'Datos'!E8+C195*'Datos'!E9+D195*'Datos'!E10+E195*'Datos'!E11+F195*'Datos'!E12+G195*'Datos'!E13+H195*'Datos'!E14+I195*'Datos'!E15</x:f>
        <x:v>0</x:v>
      </x:c>
      <x:c r="F205" s="35" t="n">
        <x:f>B195*'Datos'!F8+C195*'Datos'!F9+D195*'Datos'!F10+E195*'Datos'!F11+F195*'Datos'!F12+G195*'Datos'!F13+H195*'Datos'!F14+I195*'Datos'!F15</x:f>
        <x:v>0</x:v>
      </x:c>
      <x:c r="G205" s="35" t="n">
        <x:f>B195*'Datos'!G8+C195*'Datos'!G9+D195*'Datos'!G10+E195*'Datos'!G11+F195*'Datos'!G12+G195*'Datos'!G13+H195*'Datos'!G14+I195*'Datos'!G15</x:f>
        <x:v>0</x:v>
      </x:c>
      <x:c r="H205" s="35" t="n">
        <x:f>B195*'Datos'!H8+C195*'Datos'!H9+D195*'Datos'!H10+E195*'Datos'!H11+F195*'Datos'!H12+G195*'Datos'!H13+H195*'Datos'!H14+I195*'Datos'!H15</x:f>
        <x:v>0</x:v>
      </x:c>
      <x:c r="I205" s="35" t="n">
        <x:f>B195*'Datos'!I8+C195*'Datos'!I9+D195*'Datos'!I10+E195*'Datos'!I11+F195*'Datos'!I12+G195*'Datos'!I13+H195*'Datos'!I14+I195*'Datos'!I15</x:f>
        <x:v>1</x:v>
      </x:c>
      <x:c r="J205" s="34" t="n">
        <x:f>SUM(B205:I205)</x:f>
        <x:v>1</x:v>
      </x:c>
    </x:row>
    <x:row r="206" ht="22" customHeight="1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</x:row>
    <x:row r="207" ht="36" customHeight="1">
      <x:c r="A207" s="13" t="str">
        <x:v>P^20</x:v>
      </x:c>
      <x:c r="B207" s="13" t="str">
        <x:v>Aaa</x:v>
      </x:c>
      <x:c r="C207" s="13" t="str">
        <x:v>Aa</x:v>
      </x:c>
      <x:c r="D207" s="13" t="str">
        <x:v>A</x:v>
      </x:c>
      <x:c r="E207" s="13" t="str">
        <x:v>Baa</x:v>
      </x:c>
      <x:c r="F207" s="13" t="str">
        <x:v>Ba</x:v>
      </x:c>
      <x:c r="G207" s="13" t="str">
        <x:v>B</x:v>
      </x:c>
      <x:c r="H207" s="13" t="str">
        <x:v>Caa-C</x:v>
      </x:c>
      <x:c r="I207" s="13" t="str">
        <x:v>Default</x:v>
      </x:c>
      <x:c r="J207" s="13" t="str">
        <x:v>Suma</x:v>
      </x:c>
    </x:row>
    <x:row r="208" ht="22" customHeight="1">
      <x:c r="A208" s="31" t="str">
        <x:f>'Datos'!A8</x:f>
        <x:v>Aaa</x:v>
      </x:c>
      <x:c r="B208" s="35" t="n">
        <x:f>B198*'Datos'!B8+C198*'Datos'!B9+D198*'Datos'!B10+E198*'Datos'!B11+F198*'Datos'!B12+G198*'Datos'!B13+H198*'Datos'!B14+I198*'Datos'!B15</x:f>
        <x:v>0.4075967805118877</x:v>
      </x:c>
      <x:c r="C208" s="35" t="n">
        <x:f>B198*'Datos'!C8+C198*'Datos'!C9+D198*'Datos'!C10+E198*'Datos'!C11+F198*'Datos'!C12+G198*'Datos'!C13+H198*'Datos'!C14+I198*'Datos'!C15</x:f>
        <x:v>0.19253127257215905</x:v>
      </x:c>
      <x:c r="D208" s="35" t="n">
        <x:f>B198*'Datos'!D8+C198*'Datos'!D9+D198*'Datos'!D10+E198*'Datos'!D11+F198*'Datos'!D12+G198*'Datos'!D13+H198*'Datos'!D14+I198*'Datos'!D15</x:f>
        <x:v>0.12710837587190402</x:v>
      </x:c>
      <x:c r="E208" s="35" t="n">
        <x:f>B198*'Datos'!E8+C198*'Datos'!E9+D198*'Datos'!E10+E198*'Datos'!E11+F198*'Datos'!E12+G198*'Datos'!E13+H198*'Datos'!E14+I198*'Datos'!E15</x:f>
        <x:v>0.060915589606713234</x:v>
      </x:c>
      <x:c r="F208" s="35" t="n">
        <x:f>B198*'Datos'!F8+C198*'Datos'!F9+D198*'Datos'!F10+E198*'Datos'!F11+F198*'Datos'!F12+G198*'Datos'!F13+H198*'Datos'!F14+I198*'Datos'!F15</x:f>
        <x:v>0.056325520023826285</x:v>
      </x:c>
      <x:c r="G208" s="35" t="n">
        <x:f>B198*'Datos'!G8+C198*'Datos'!G9+D198*'Datos'!G10+E198*'Datos'!G11+F198*'Datos'!G12+G198*'Datos'!G13+H198*'Datos'!G14+I198*'Datos'!G15</x:f>
        <x:v>0.029034575629017494</x:v>
      </x:c>
      <x:c r="H208" s="35" t="n">
        <x:f>B198*'Datos'!H8+C198*'Datos'!H9+D198*'Datos'!H10+E198*'Datos'!H11+F198*'Datos'!H12+G198*'Datos'!H13+H198*'Datos'!H14+I198*'Datos'!H15</x:f>
        <x:v>0.030921669624255264</x:v>
      </x:c>
      <x:c r="I208" s="35" t="n">
        <x:f>B198*'Datos'!I8+C198*'Datos'!I9+D198*'Datos'!I10+E198*'Datos'!I11+F198*'Datos'!I12+G198*'Datos'!I13+H198*'Datos'!I14+I198*'Datos'!I15</x:f>
        <x:v>0.09556621616023715</x:v>
      </x:c>
      <x:c r="J208" s="34" t="n">
        <x:f>SUM(B208:I208)</x:f>
        <x:v>1.0000000000000002</x:v>
      </x:c>
    </x:row>
    <x:row r="209" ht="22" customHeight="1">
      <x:c r="A209" s="31" t="str">
        <x:f>'Datos'!A9</x:f>
        <x:v>Aa</x:v>
      </x:c>
      <x:c r="B209" s="35" t="n">
        <x:f>B199*'Datos'!B8+C199*'Datos'!B9+D199*'Datos'!B10+E199*'Datos'!B11+F199*'Datos'!B12+G199*'Datos'!B13+H199*'Datos'!B14+I199*'Datos'!B15</x:f>
        <x:v>0.39385308147804554</x:v>
      </x:c>
      <x:c r="C209" s="35" t="n">
        <x:f>B199*'Datos'!C8+C199*'Datos'!C9+D199*'Datos'!C10+E199*'Datos'!C11+F199*'Datos'!C12+G199*'Datos'!C13+H199*'Datos'!C14+I199*'Datos'!C15</x:f>
        <x:v>0.18666912196435573</x:v>
      </x:c>
      <x:c r="D209" s="35" t="n">
        <x:f>B199*'Datos'!D8+C199*'Datos'!D9+D199*'Datos'!D10+E199*'Datos'!D11+F199*'Datos'!D12+G199*'Datos'!D13+H199*'Datos'!D14+I199*'Datos'!D15</x:f>
        <x:v>0.12427521292104625</x:v>
      </x:c>
      <x:c r="E209" s="35" t="n">
        <x:f>B199*'Datos'!E8+C199*'Datos'!E9+D199*'Datos'!E10+E199*'Datos'!E11+F199*'Datos'!E12+G199*'Datos'!E13+H199*'Datos'!E14+I199*'Datos'!E15</x:f>
        <x:v>0.05995109239446691</x:v>
      </x:c>
      <x:c r="F209" s="35" t="n">
        <x:f>B199*'Datos'!F8+C199*'Datos'!F9+D199*'Datos'!F10+E199*'Datos'!F11+F199*'Datos'!F12+G199*'Datos'!F13+H199*'Datos'!F14+I199*'Datos'!F15</x:f>
        <x:v>0.05650666800944594</x:v>
      </x:c>
      <x:c r="G209" s="35" t="n">
        <x:f>B199*'Datos'!G8+C199*'Datos'!G9+D199*'Datos'!G10+E199*'Datos'!G11+F199*'Datos'!G12+G199*'Datos'!G13+H199*'Datos'!G14+I199*'Datos'!G15</x:f>
        <x:v>0.029633411450014826</x:v>
      </x:c>
      <x:c r="H209" s="35" t="n">
        <x:f>B199*'Datos'!H8+C199*'Datos'!H9+D199*'Datos'!H10+E199*'Datos'!H11+F199*'Datos'!H12+G199*'Datos'!H13+H199*'Datos'!H14+I199*'Datos'!H15</x:f>
        <x:v>0.03220207643643091</x:v>
      </x:c>
      <x:c r="I209" s="35" t="n">
        <x:f>B199*'Datos'!I8+C199*'Datos'!I9+D199*'Datos'!I10+E199*'Datos'!I11+F199*'Datos'!I12+G199*'Datos'!I13+H199*'Datos'!I14+I199*'Datos'!I15</x:f>
        <x:v>0.11690933534619358</x:v>
      </x:c>
      <x:c r="J209" s="34" t="n">
        <x:f>SUM(B209:I209)</x:f>
        <x:v>0.9999999999999998</x:v>
      </x:c>
    </x:row>
    <x:row r="210" ht="22" customHeight="1">
      <x:c r="A210" s="31" t="str">
        <x:f>'Datos'!A10</x:f>
        <x:v>A</x:v>
      </x:c>
      <x:c r="B210" s="35" t="n">
        <x:f>B200*'Datos'!B8+C200*'Datos'!B9+D200*'Datos'!B10+E200*'Datos'!B11+F200*'Datos'!B12+G200*'Datos'!B13+H200*'Datos'!B14+I200*'Datos'!B15</x:f>
        <x:v>0.2900828349232579</x:v>
      </x:c>
      <x:c r="C210" s="35" t="n">
        <x:f>B200*'Datos'!C8+C200*'Datos'!C9+D200*'Datos'!C10+E200*'Datos'!C11+F200*'Datos'!C12+G200*'Datos'!C13+H200*'Datos'!C14+I200*'Datos'!C15</x:f>
        <x:v>0.1414357465575964</x:v>
      </x:c>
      <x:c r="D210" s="35" t="n">
        <x:f>B200*'Datos'!D8+C200*'Datos'!D9+D200*'Datos'!D10+E200*'Datos'!D11+F200*'Datos'!D12+G200*'Datos'!D13+H200*'Datos'!D14+I200*'Datos'!D15</x:f>
        <x:v>0.10072472431437199</x:v>
      </x:c>
      <x:c r="E210" s="35" t="n">
        <x:f>B200*'Datos'!E8+C200*'Datos'!E9+D200*'Datos'!E10+E200*'Datos'!E11+F200*'Datos'!E12+G200*'Datos'!E13+H200*'Datos'!E14+I200*'Datos'!E15</x:f>
        <x:v>0.05109814088395392</x:v>
      </x:c>
      <x:c r="F210" s="35" t="n">
        <x:f>B200*'Datos'!F8+C200*'Datos'!F9+D200*'Datos'!F10+E200*'Datos'!F11+F200*'Datos'!F12+G200*'Datos'!F13+H200*'Datos'!F14+I200*'Datos'!F15</x:f>
        <x:v>0.05509185694074537</x:v>
      </x:c>
      <x:c r="G210" s="35" t="n">
        <x:f>B200*'Datos'!G8+C200*'Datos'!G9+D200*'Datos'!G10+E200*'Datos'!G11+F200*'Datos'!G12+G200*'Datos'!G13+H200*'Datos'!G14+I200*'Datos'!G15</x:f>
        <x:v>0.032189507719115766</x:v>
      </x:c>
      <x:c r="H210" s="35" t="n">
        <x:f>B200*'Datos'!H8+C200*'Datos'!H9+D200*'Datos'!H10+E200*'Datos'!H11+F200*'Datos'!H12+G200*'Datos'!H13+H200*'Datos'!H14+I200*'Datos'!H15</x:f>
        <x:v>0.03916845731757948</x:v>
      </x:c>
      <x:c r="I210" s="35" t="n">
        <x:f>B200*'Datos'!I8+C200*'Datos'!I9+D200*'Datos'!I10+E200*'Datos'!I11+F200*'Datos'!I12+G200*'Datos'!I13+H200*'Datos'!I14+I200*'Datos'!I15</x:f>
        <x:v>0.2902087313433795</x:v>
      </x:c>
      <x:c r="J210" s="34" t="n">
        <x:f>SUM(B210:I210)</x:f>
        <x:v>1.0000000000000002</x:v>
      </x:c>
    </x:row>
    <x:row r="211" ht="22" customHeight="1">
      <x:c r="A211" s="31" t="str">
        <x:f>'Datos'!A11</x:f>
        <x:v>Baa</x:v>
      </x:c>
      <x:c r="B211" s="35" t="n">
        <x:f>B201*'Datos'!B8+C201*'Datos'!B9+D201*'Datos'!B10+E201*'Datos'!B11+F201*'Datos'!B12+G201*'Datos'!B13+H201*'Datos'!B14+I201*'Datos'!B15</x:f>
        <x:v>0.20978329277615762</x:v>
      </x:c>
      <x:c r="C211" s="35" t="n">
        <x:f>B201*'Datos'!C8+C201*'Datos'!C9+D201*'Datos'!C10+E201*'Datos'!C11+F201*'Datos'!C12+G201*'Datos'!C13+H201*'Datos'!C14+I201*'Datos'!C15</x:f>
        <x:v>0.10446649426414134</x:v>
      </x:c>
      <x:c r="D211" s="35" t="n">
        <x:f>B201*'Datos'!D8+C201*'Datos'!D9+D201*'Datos'!D10+E201*'Datos'!D11+F201*'Datos'!D12+G201*'Datos'!D13+H201*'Datos'!D14+I201*'Datos'!D15</x:f>
        <x:v>0.07803435861022608</x:v>
      </x:c>
      <x:c r="E211" s="35" t="n">
        <x:f>B201*'Datos'!E8+C201*'Datos'!E9+D201*'Datos'!E10+E201*'Datos'!E11+F201*'Datos'!E12+G201*'Datos'!E13+H201*'Datos'!E14+I201*'Datos'!E15</x:f>
        <x:v>0.0409418442125166</x:v>
      </x:c>
      <x:c r="F211" s="35" t="n">
        <x:f>B201*'Datos'!F8+C201*'Datos'!F9+D201*'Datos'!F10+E201*'Datos'!F11+F201*'Datos'!F12+G201*'Datos'!F13+H201*'Datos'!F14+I201*'Datos'!F15</x:f>
        <x:v>0.0478817329468124</x:v>
      </x:c>
      <x:c r="G211" s="35" t="n">
        <x:f>B201*'Datos'!G8+C201*'Datos'!G9+D201*'Datos'!G10+E201*'Datos'!G11+F201*'Datos'!G12+G201*'Datos'!G13+H201*'Datos'!G14+I201*'Datos'!G15</x:f>
        <x:v>0.029669129089603</x:v>
      </x:c>
      <x:c r="H211" s="35" t="n">
        <x:f>B201*'Datos'!H8+C201*'Datos'!H9+D201*'Datos'!H10+E201*'Datos'!H11+F201*'Datos'!H12+G201*'Datos'!H13+H201*'Datos'!H14+I201*'Datos'!H15</x:f>
        <x:v>0.0381250037307897</x:v>
      </x:c>
      <x:c r="I211" s="35" t="n">
        <x:f>B201*'Datos'!I8+C201*'Datos'!I9+D201*'Datos'!I10+E201*'Datos'!I11+F201*'Datos'!I12+G201*'Datos'!I13+H201*'Datos'!I14+I201*'Datos'!I15</x:f>
        <x:v>0.4510981443697535</x:v>
      </x:c>
      <x:c r="J211" s="34" t="n">
        <x:f>SUM(B211:I211)</x:f>
        <x:v>1.0000000000000002</x:v>
      </x:c>
    </x:row>
    <x:row r="212" ht="22" customHeight="1">
      <x:c r="A212" s="31" t="str">
        <x:f>'Datos'!A12</x:f>
        <x:v>Ba</x:v>
      </x:c>
      <x:c r="B212" s="35" t="n">
        <x:f>B202*'Datos'!B8+C202*'Datos'!B9+D202*'Datos'!B10+E202*'Datos'!B11+F202*'Datos'!B12+G202*'Datos'!B13+H202*'Datos'!B14+I202*'Datos'!B15</x:f>
        <x:v>0.0819042650339164</x:v>
      </x:c>
      <x:c r="C212" s="35" t="n">
        <x:f>B202*'Datos'!C8+C202*'Datos'!C9+D202*'Datos'!C10+E202*'Datos'!C11+F202*'Datos'!C12+G202*'Datos'!C13+H202*'Datos'!C14+I202*'Datos'!C15</x:f>
        <x:v>0.043215088066876406</x:v>
      </x:c>
      <x:c r="D212" s="35" t="n">
        <x:f>B202*'Datos'!D8+C202*'Datos'!D9+D202*'Datos'!D10+E202*'Datos'!D11+F202*'Datos'!D12+G202*'Datos'!D13+H202*'Datos'!D14+I202*'Datos'!D15</x:f>
        <x:v>0.03640913302933956</x:v>
      </x:c>
      <x:c r="E212" s="35" t="n">
        <x:f>B202*'Datos'!E8+C202*'Datos'!E9+D202*'Datos'!E10+E202*'Datos'!E11+F202*'Datos'!E12+G202*'Datos'!E13+H202*'Datos'!E14+I202*'Datos'!E15</x:f>
        <x:v>0.020647997994757788</x:v>
      </x:c>
      <x:c r="F212" s="35" t="n">
        <x:f>B202*'Datos'!F8+C202*'Datos'!F9+D202*'Datos'!F10+E202*'Datos'!F11+F202*'Datos'!F12+G202*'Datos'!F13+H202*'Datos'!F14+I202*'Datos'!F15</x:f>
        <x:v>0.028523254730270446</x:v>
      </x:c>
      <x:c r="G212" s="35" t="n">
        <x:f>B202*'Datos'!G8+C202*'Datos'!G9+D202*'Datos'!G10+E202*'Datos'!G11+F202*'Datos'!G12+G202*'Datos'!G13+H202*'Datos'!G14+I202*'Datos'!G15</x:f>
        <x:v>0.019682606086572987</x:v>
      </x:c>
      <x:c r="H212" s="35" t="n">
        <x:f>B202*'Datos'!H8+C202*'Datos'!H9+D202*'Datos'!H10+E202*'Datos'!H11+F202*'Datos'!H12+G202*'Datos'!H13+H202*'Datos'!H14+I202*'Datos'!H15</x:f>
        <x:v>0.027673917518062967</x:v>
      </x:c>
      <x:c r="I212" s="35" t="n">
        <x:f>B202*'Datos'!I8+C202*'Datos'!I9+D202*'Datos'!I10+E202*'Datos'!I11+F202*'Datos'!I12+G202*'Datos'!I13+H202*'Datos'!I14+I202*'Datos'!I15</x:f>
        <x:v>0.7419437375402033</x:v>
      </x:c>
      <x:c r="J212" s="34" t="n">
        <x:f>SUM(B212:I212)</x:f>
        <x:v>0.9999999999999998</x:v>
      </x:c>
    </x:row>
    <x:row r="213" ht="22" customHeight="1">
      <x:c r="A213" s="31" t="str">
        <x:f>'Datos'!A13</x:f>
        <x:v>B</x:v>
      </x:c>
      <x:c r="B213" s="35" t="n">
        <x:f>B203*'Datos'!B8+C203*'Datos'!B9+D203*'Datos'!B10+E203*'Datos'!B11+F203*'Datos'!B12+G203*'Datos'!B13+H203*'Datos'!B14+I203*'Datos'!B15</x:f>
        <x:v>0.026162677305663466</x:v>
      </x:c>
      <x:c r="C213" s="35" t="n">
        <x:f>B203*'Datos'!C8+C203*'Datos'!C9+D203*'Datos'!C10+E203*'Datos'!C11+F203*'Datos'!C12+G203*'Datos'!C13+H203*'Datos'!C14+I203*'Datos'!C15</x:f>
        <x:v>0.01430155162550226</x:v>
      </x:c>
      <x:c r="D213" s="35" t="n">
        <x:f>B203*'Datos'!D8+C203*'Datos'!D9+D203*'Datos'!D10+E203*'Datos'!D11+F203*'Datos'!D12+G203*'Datos'!D13+H203*'Datos'!D14+I203*'Datos'!D15</x:f>
        <x:v>0.012893463508917801</x:v>
      </x:c>
      <x:c r="E213" s="35" t="n">
        <x:f>B203*'Datos'!E8+C203*'Datos'!E9+D203*'Datos'!E10+E203*'Datos'!E11+F203*'Datos'!E12+G203*'Datos'!E13+H203*'Datos'!E14+I203*'Datos'!E15</x:f>
        <x:v>0.007615421594522234</x:v>
      </x:c>
      <x:c r="F213" s="35" t="n">
        <x:f>B203*'Datos'!F8+C203*'Datos'!F9+D203*'Datos'!F10+E203*'Datos'!F11+F203*'Datos'!F12+G203*'Datos'!F13+H203*'Datos'!F14+I203*'Datos'!F15</x:f>
        <x:v>0.011383254571842237</x:v>
      </x:c>
      <x:c r="G213" s="35" t="n">
        <x:f>B203*'Datos'!G8+C203*'Datos'!G9+D203*'Datos'!G10+E203*'Datos'!G11+F203*'Datos'!G12+G203*'Datos'!G13+H203*'Datos'!G14+I203*'Datos'!G15</x:f>
        <x:v>0.00824724698757379</x:v>
      </x:c>
      <x:c r="H213" s="35" t="n">
        <x:f>B203*'Datos'!H8+C203*'Datos'!H9+D203*'Datos'!H10+E203*'Datos'!H11+F203*'Datos'!H12+G203*'Datos'!H13+H203*'Datos'!H14+I203*'Datos'!H15</x:f>
        <x:v>0.012047755975693894</x:v>
      </x:c>
      <x:c r="I213" s="35" t="n">
        <x:f>B203*'Datos'!I8+C203*'Datos'!I9+D203*'Datos'!I10+E203*'Datos'!I11+F203*'Datos'!I12+G203*'Datos'!I13+H203*'Datos'!I14+I203*'Datos'!I15</x:f>
        <x:v>0.9073486284302841</x:v>
      </x:c>
      <x:c r="J213" s="34" t="n">
        <x:f>SUM(B213:I213)</x:f>
        <x:v>0.9999999999999998</x:v>
      </x:c>
    </x:row>
    <x:row r="214" ht="22" customHeight="1">
      <x:c r="A214" s="31" t="str">
        <x:f>'Datos'!A14</x:f>
        <x:v>Caa-C</x:v>
      </x:c>
      <x:c r="B214" s="35" t="n">
        <x:f>B204*'Datos'!B8+C204*'Datos'!B9+D204*'Datos'!B10+E204*'Datos'!B11+F204*'Datos'!B12+G204*'Datos'!B13+H204*'Datos'!B14+I204*'Datos'!B15</x:f>
        <x:v>0.007277581890495942</x:v>
      </x:c>
      <x:c r="C214" s="35" t="n">
        <x:f>B204*'Datos'!C8+C204*'Datos'!C9+D204*'Datos'!C10+E204*'Datos'!C11+F204*'Datos'!C12+G204*'Datos'!C13+H204*'Datos'!C14+I204*'Datos'!C15</x:f>
        <x:v>0.004175784641062221</x:v>
      </x:c>
      <x:c r="D214" s="35" t="n">
        <x:f>B204*'Datos'!D8+C204*'Datos'!D9+D204*'Datos'!D10+E204*'Datos'!D11+F204*'Datos'!D12+G204*'Datos'!D13+H204*'Datos'!D14+I204*'Datos'!D15</x:f>
        <x:v>0.004092021373858337</x:v>
      </x:c>
      <x:c r="E214" s="35" t="n">
        <x:f>B204*'Datos'!E8+C204*'Datos'!E9+D204*'Datos'!E10+E204*'Datos'!E11+F204*'Datos'!E12+G204*'Datos'!E13+H204*'Datos'!E14+I204*'Datos'!E15</x:f>
        <x:v>0.0025285942581860874</x:v>
      </x:c>
      <x:c r="F214" s="35" t="n">
        <x:f>B204*'Datos'!F8+C204*'Datos'!F9+D204*'Datos'!F10+E204*'Datos'!F11+F204*'Datos'!F12+G204*'Datos'!F13+H204*'Datos'!F14+I204*'Datos'!F15</x:f>
        <x:v>0.004089460919539502</x:v>
      </x:c>
      <x:c r="G214" s="35" t="n">
        <x:f>B204*'Datos'!G8+C204*'Datos'!G9+D204*'Datos'!G10+E204*'Datos'!G11+F204*'Datos'!G12+G204*'Datos'!G13+H204*'Datos'!G14+I204*'Datos'!G15</x:f>
        <x:v>0.003096533796624586</x:v>
      </x:c>
      <x:c r="H214" s="35" t="n">
        <x:f>B204*'Datos'!H8+C204*'Datos'!H9+D204*'Datos'!H10+E204*'Datos'!H11+F204*'Datos'!H12+G204*'Datos'!H13+H204*'Datos'!H14+I204*'Datos'!H15</x:f>
        <x:v>0.004672147049806638</x:v>
      </x:c>
      <x:c r="I214" s="35" t="n">
        <x:f>B204*'Datos'!I8+C204*'Datos'!I9+D204*'Datos'!I10+E204*'Datos'!I11+F204*'Datos'!I12+G204*'Datos'!I13+H204*'Datos'!I14+I204*'Datos'!I15</x:f>
        <x:v>0.9700678760704263</x:v>
      </x:c>
      <x:c r="J214" s="34" t="n">
        <x:f>SUM(B214:I214)</x:f>
        <x:v>0.9999999999999997</x:v>
      </x:c>
    </x:row>
    <x:row r="215" ht="22" customHeight="1">
      <x:c r="A215" s="31" t="str">
        <x:f>'Datos'!A15</x:f>
        <x:v>Default</x:v>
      </x:c>
      <x:c r="B215" s="35" t="n">
        <x:f>B205*'Datos'!B8+C205*'Datos'!B9+D205*'Datos'!B10+E205*'Datos'!B11+F205*'Datos'!B12+G205*'Datos'!B13+H205*'Datos'!B14+I205*'Datos'!B15</x:f>
        <x:v>0</x:v>
      </x:c>
      <x:c r="C215" s="35" t="n">
        <x:f>B205*'Datos'!C8+C205*'Datos'!C9+D205*'Datos'!C10+E205*'Datos'!C11+F205*'Datos'!C12+G205*'Datos'!C13+H205*'Datos'!C14+I205*'Datos'!C15</x:f>
        <x:v>0</x:v>
      </x:c>
      <x:c r="D215" s="35" t="n">
        <x:f>B205*'Datos'!D8+C205*'Datos'!D9+D205*'Datos'!D10+E205*'Datos'!D11+F205*'Datos'!D12+G205*'Datos'!D13+H205*'Datos'!D14+I205*'Datos'!D15</x:f>
        <x:v>0</x:v>
      </x:c>
      <x:c r="E215" s="35" t="n">
        <x:f>B205*'Datos'!E8+C205*'Datos'!E9+D205*'Datos'!E10+E205*'Datos'!E11+F205*'Datos'!E12+G205*'Datos'!E13+H205*'Datos'!E14+I205*'Datos'!E15</x:f>
        <x:v>0</x:v>
      </x:c>
      <x:c r="F215" s="35" t="n">
        <x:f>B205*'Datos'!F8+C205*'Datos'!F9+D205*'Datos'!F10+E205*'Datos'!F11+F205*'Datos'!F12+G205*'Datos'!F13+H205*'Datos'!F14+I205*'Datos'!F15</x:f>
        <x:v>0</x:v>
      </x:c>
      <x:c r="G215" s="35" t="n">
        <x:f>B205*'Datos'!G8+C205*'Datos'!G9+D205*'Datos'!G10+E205*'Datos'!G11+F205*'Datos'!G12+G205*'Datos'!G13+H205*'Datos'!G14+I205*'Datos'!G15</x:f>
        <x:v>0</x:v>
      </x:c>
      <x:c r="H215" s="35" t="n">
        <x:f>B205*'Datos'!H8+C205*'Datos'!H9+D205*'Datos'!H10+E205*'Datos'!H11+F205*'Datos'!H12+G205*'Datos'!H13+H205*'Datos'!H14+I205*'Datos'!H15</x:f>
        <x:v>0</x:v>
      </x:c>
      <x:c r="I215" s="35" t="n">
        <x:f>B205*'Datos'!I8+C205*'Datos'!I9+D205*'Datos'!I10+E205*'Datos'!I11+F205*'Datos'!I12+G205*'Datos'!I13+H205*'Datos'!I14+I205*'Datos'!I15</x:f>
        <x:v>1</x:v>
      </x:c>
      <x:c r="J215" s="34" t="n">
        <x:f>SUM(B215:I215)</x:f>
        <x:v>1</x:v>
      </x:c>
    </x:row>
    <x:row r="216" ht="22" customHeight="1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</x:row>
    <x:row r="217" ht="36" customHeight="1">
      <x:c r="A217" s="13" t="str">
        <x:v>P^21</x:v>
      </x:c>
      <x:c r="B217" s="13" t="str">
        <x:v>Aaa</x:v>
      </x:c>
      <x:c r="C217" s="13" t="str">
        <x:v>Aa</x:v>
      </x:c>
      <x:c r="D217" s="13" t="str">
        <x:v>A</x:v>
      </x:c>
      <x:c r="E217" s="13" t="str">
        <x:v>Baa</x:v>
      </x:c>
      <x:c r="F217" s="13" t="str">
        <x:v>Ba</x:v>
      </x:c>
      <x:c r="G217" s="13" t="str">
        <x:v>B</x:v>
      </x:c>
      <x:c r="H217" s="13" t="str">
        <x:v>Caa-C</x:v>
      </x:c>
      <x:c r="I217" s="13" t="str">
        <x:v>Default</x:v>
      </x:c>
      <x:c r="J217" s="13" t="str">
        <x:v>Suma</x:v>
      </x:c>
    </x:row>
    <x:row r="218" ht="22" customHeight="1">
      <x:c r="A218" s="31" t="str">
        <x:f>'Datos'!A8</x:f>
        <x:v>Aaa</x:v>
      </x:c>
      <x:c r="B218" s="35" t="n">
        <x:f>B208*'Datos'!B8+C208*'Datos'!B9+D208*'Datos'!B10+E208*'Datos'!B11+F208*'Datos'!B12+G208*'Datos'!B13+H208*'Datos'!B14+I208*'Datos'!B15</x:f>
        <x:v>0.40074202949485704</x:v>
      </x:c>
      <x:c r="C218" s="35" t="n">
        <x:f>B208*'Datos'!C8+C208*'Datos'!C9+D208*'Datos'!C10+E208*'Datos'!C11+F208*'Datos'!C12+G208*'Datos'!C13+H208*'Datos'!C14+I208*'Datos'!C15</x:f>
        <x:v>0.18956550741331368</x:v>
      </x:c>
      <x:c r="D218" s="35" t="n">
        <x:f>B208*'Datos'!D8+C208*'Datos'!D9+D208*'Datos'!D10+E208*'Datos'!D11+F208*'Datos'!D12+G208*'Datos'!D13+H208*'Datos'!D14+I208*'Datos'!D15</x:f>
        <x:v>0.1256020315764492</x:v>
      </x:c>
      <x:c r="E218" s="35" t="n">
        <x:f>B208*'Datos'!E8+C208*'Datos'!E9+D208*'Datos'!E10+E208*'Datos'!E11+F208*'Datos'!E12+G208*'Datos'!E13+H208*'Datos'!E14+I208*'Datos'!E15</x:f>
        <x:v>0.060366663773274376</x:v>
      </x:c>
      <x:c r="F218" s="35" t="n">
        <x:f>B208*'Datos'!F8+C208*'Datos'!F9+D208*'Datos'!F10+E208*'Datos'!F11+F208*'Datos'!F12+G208*'Datos'!F13+H208*'Datos'!F14+I208*'Datos'!F15</x:f>
        <x:v>0.0562955568982877</x:v>
      </x:c>
      <x:c r="G218" s="35" t="n">
        <x:f>B208*'Datos'!G8+C208*'Datos'!G9+D208*'Datos'!G10+E208*'Datos'!G11+F208*'Datos'!G12+G208*'Datos'!G13+H208*'Datos'!G14+I208*'Datos'!G15</x:f>
        <x:v>0.02924822996992033</x:v>
      </x:c>
      <x:c r="H218" s="35" t="n">
        <x:f>B208*'Datos'!H8+C208*'Datos'!H9+D208*'Datos'!H10+E208*'Datos'!H11+F208*'Datos'!H12+G208*'Datos'!H13+H208*'Datos'!H14+I208*'Datos'!H15</x:f>
        <x:v>0.03144337232679138</x:v>
      </x:c>
      <x:c r="I218" s="35" t="n">
        <x:f>B208*'Datos'!I8+C208*'Datos'!I9+D208*'Datos'!I10+E208*'Datos'!I11+F208*'Datos'!I12+G208*'Datos'!I13+H208*'Datos'!I14+I208*'Datos'!I15</x:f>
        <x:v>0.10673660854710647</x:v>
      </x:c>
      <x:c r="J218" s="34" t="n">
        <x:f>SUM(B218:I218)</x:f>
        <x:v>1.0000000000000002</x:v>
      </x:c>
    </x:row>
    <x:row r="219" ht="22" customHeight="1">
      <x:c r="A219" s="31" t="str">
        <x:f>'Datos'!A9</x:f>
        <x:v>Aa</x:v>
      </x:c>
      <x:c r="B219" s="35" t="n">
        <x:f>B209*'Datos'!B8+C209*'Datos'!B9+D209*'Datos'!B10+E209*'Datos'!B11+F209*'Datos'!B12+G209*'Datos'!B13+H209*'Datos'!B14+I209*'Datos'!B15</x:f>
        <x:v>0.38745918441022215</x:v>
      </x:c>
      <x:c r="C219" s="35" t="n">
        <x:f>B209*'Datos'!C8+C209*'Datos'!C9+D209*'Datos'!C10+E209*'Datos'!C11+F209*'Datos'!C12+G209*'Datos'!C13+H209*'Datos'!C14+I209*'Datos'!C15</x:f>
        <x:v>0.18380876749563768</x:v>
      </x:c>
      <x:c r="D219" s="35" t="n">
        <x:f>B209*'Datos'!D8+C209*'Datos'!D9+D209*'Datos'!D10+E209*'Datos'!D11+F209*'Datos'!D12+G209*'Datos'!D13+H209*'Datos'!D14+I209*'Datos'!D15</x:f>
        <x:v>0.1226598309143407</x:v>
      </x:c>
      <x:c r="E219" s="35" t="n">
        <x:f>B209*'Datos'!E8+C209*'Datos'!E9+D209*'Datos'!E10+E209*'Datos'!E11+F209*'Datos'!E12+G209*'Datos'!E13+H209*'Datos'!E14+I209*'Datos'!E15</x:f>
        <x:v>0.05928518869363042</x:v>
      </x:c>
      <x:c r="F219" s="35" t="n">
        <x:f>B209*'Datos'!F8+C209*'Datos'!F9+D209*'Datos'!F10+E209*'Datos'!F11+F209*'Datos'!F12+G209*'Datos'!F13+H209*'Datos'!F14+I209*'Datos'!F15</x:f>
        <x:v>0.0562020283231082</x:v>
      </x:c>
      <x:c r="G219" s="35" t="n">
        <x:f>B209*'Datos'!G8+C209*'Datos'!G9+D209*'Datos'!G10+E209*'Datos'!G11+F209*'Datos'!G12+G209*'Datos'!G13+H209*'Datos'!G14+I209*'Datos'!G15</x:f>
        <x:v>0.02963445717855132</x:v>
      </x:c>
      <x:c r="H219" s="35" t="n">
        <x:f>B209*'Datos'!H8+C209*'Datos'!H9+D209*'Datos'!H10+E209*'Datos'!H11+F209*'Datos'!H12+G209*'Datos'!H13+H209*'Datos'!H14+I209*'Datos'!H15</x:f>
        <x:v>0.03241227996936148</x:v>
      </x:c>
      <x:c r="I219" s="35" t="n">
        <x:f>B209*'Datos'!I8+C209*'Datos'!I9+D209*'Datos'!I10+E209*'Datos'!I11+F209*'Datos'!I12+G209*'Datos'!I13+H209*'Datos'!I14+I209*'Datos'!I15</x:f>
        <x:v>0.12853826301514776</x:v>
      </x:c>
      <x:c r="J219" s="34" t="n">
        <x:f>SUM(B219:I219)</x:f>
        <x:v>0.9999999999999998</x:v>
      </x:c>
    </x:row>
    <x:row r="220" ht="22" customHeight="1">
      <x:c r="A220" s="31" t="str">
        <x:f>'Datos'!A10</x:f>
        <x:v>A</x:v>
      </x:c>
      <x:c r="B220" s="35" t="n">
        <x:f>B210*'Datos'!B8+C210*'Datos'!B9+D210*'Datos'!B10+E210*'Datos'!B11+F210*'Datos'!B12+G210*'Datos'!B13+H210*'Datos'!B14+I210*'Datos'!B15</x:f>
        <x:v>0.28681545545369225</x:v>
      </x:c>
      <x:c r="C220" s="35" t="n">
        <x:f>B210*'Datos'!C8+C210*'Datos'!C9+D210*'Datos'!C10+E210*'Datos'!C11+F210*'Datos'!C12+G210*'Datos'!C13+H210*'Datos'!C14+I210*'Datos'!C15</x:f>
        <x:v>0.13937877231872006</x:v>
      </x:c>
      <x:c r="D220" s="35" t="n">
        <x:f>B210*'Datos'!D8+C210*'Datos'!D9+D210*'Datos'!D10+E210*'Datos'!D11+F210*'Datos'!D12+G210*'Datos'!D13+H210*'Datos'!D14+I210*'Datos'!D15</x:f>
        <x:v>0.09854443755310523</x:v>
      </x:c>
      <x:c r="E220" s="35" t="n">
        <x:f>B210*'Datos'!E8+C210*'Datos'!E9+D210*'Datos'!E10+E210*'Datos'!E11+F210*'Datos'!E12+G210*'Datos'!E13+H210*'Datos'!E14+I210*'Datos'!E15</x:f>
        <x:v>0.04975343397733022</x:v>
      </x:c>
      <x:c r="F220" s="35" t="n">
        <x:f>B210*'Datos'!F8+C210*'Datos'!F9+D210*'Datos'!F10+E210*'Datos'!F11+F210*'Datos'!F12+G210*'Datos'!F13+H210*'Datos'!F14+I210*'Datos'!F15</x:f>
        <x:v>0.05307029219740553</x:v>
      </x:c>
      <x:c r="G220" s="35" t="n">
        <x:f>B210*'Datos'!G8+C210*'Datos'!G9+D210*'Datos'!G10+E210*'Datos'!G11+F210*'Datos'!G12+G210*'Datos'!G13+H210*'Datos'!G14+I210*'Datos'!G15</x:f>
        <x:v>0.03081215068252368</x:v>
      </x:c>
      <x:c r="H220" s="35" t="n">
        <x:f>B210*'Datos'!H8+C210*'Datos'!H9+D210*'Datos'!H10+E210*'Datos'!H11+F210*'Datos'!H12+G210*'Datos'!H13+H210*'Datos'!H14+I210*'Datos'!H15</x:f>
        <x:v>0.03729767165978323</x:v>
      </x:c>
      <x:c r="I220" s="35" t="n">
        <x:f>B210*'Datos'!I8+C210*'Datos'!I9+D210*'Datos'!I10+E210*'Datos'!I11+F210*'Datos'!I12+G210*'Datos'!I13+H210*'Datos'!I14+I210*'Datos'!I15</x:f>
        <x:v>0.3043277861574401</x:v>
      </x:c>
      <x:c r="J220" s="34" t="n">
        <x:f>SUM(B220:I220)</x:f>
        <x:v>1.0000000000000004</x:v>
      </x:c>
    </x:row>
    <x:row r="221" ht="22" customHeight="1">
      <x:c r="A221" s="31" t="str">
        <x:f>'Datos'!A11</x:f>
        <x:v>Baa</x:v>
      </x:c>
      <x:c r="B221" s="35" t="n">
        <x:f>B211*'Datos'!B8+C211*'Datos'!B9+D211*'Datos'!B10+E211*'Datos'!B11+F211*'Datos'!B12+G211*'Datos'!B13+H211*'Datos'!B14+I211*'Datos'!B15</x:f>
        <x:v>0.20821907063129114</x:v>
      </x:c>
      <x:c r="C221" s="35" t="n">
        <x:f>B211*'Datos'!C8+C211*'Datos'!C9+D211*'Datos'!C10+E211*'Datos'!C11+F211*'Datos'!C12+G211*'Datos'!C13+H211*'Datos'!C14+I211*'Datos'!C15</x:f>
        <x:v>0.10302776966320258</x:v>
      </x:c>
      <x:c r="D221" s="35" t="n">
        <x:f>B211*'Datos'!D8+C211*'Datos'!D9+D211*'Datos'!D10+E211*'Datos'!D11+F211*'Datos'!D12+G211*'Datos'!D13+H211*'Datos'!D14+I211*'Datos'!D15</x:f>
        <x:v>0.07592737288656774</x:v>
      </x:c>
      <x:c r="E221" s="35" t="n">
        <x:f>B211*'Datos'!E8+C211*'Datos'!E9+D211*'Datos'!E10+E211*'Datos'!E11+F211*'Datos'!E12+G211*'Datos'!E13+H211*'Datos'!E14+I211*'Datos'!E15</x:f>
        <x:v>0.039491467338848334</x:v>
      </x:c>
      <x:c r="F221" s="35" t="n">
        <x:f>B211*'Datos'!F8+C211*'Datos'!F9+D211*'Datos'!F10+E211*'Datos'!F11+F211*'Datos'!F12+G211*'Datos'!F13+H211*'Datos'!F14+I211*'Datos'!F15</x:f>
        <x:v>0.0453323707352265</x:v>
      </x:c>
      <x:c r="G221" s="35" t="n">
        <x:f>B211*'Datos'!G8+C211*'Datos'!G9+D211*'Datos'!G10+E211*'Datos'!G11+F211*'Datos'!G12+G211*'Datos'!G13+H211*'Datos'!G14+I211*'Datos'!G15</x:f>
        <x:v>0.0277833570232755</x:v>
      </x:c>
      <x:c r="H221" s="35" t="n">
        <x:f>B211*'Datos'!H8+C211*'Datos'!H9+D211*'Datos'!H10+E211*'Datos'!H11+F211*'Datos'!H12+G211*'Datos'!H13+H211*'Datos'!H14+I211*'Datos'!H15</x:f>
        <x:v>0.03538855088809912</x:v>
      </x:c>
      <x:c r="I221" s="35" t="n">
        <x:f>B211*'Datos'!I8+C211*'Datos'!I9+D211*'Datos'!I10+E211*'Datos'!I11+F211*'Datos'!I12+G211*'Datos'!I13+H211*'Datos'!I14+I211*'Datos'!I15</x:f>
        <x:v>0.46483004083348933</x:v>
      </x:c>
      <x:c r="J221" s="34" t="n">
        <x:f>SUM(B221:I221)</x:f>
        <x:v>1.0000000000000004</x:v>
      </x:c>
    </x:row>
    <x:row r="222" ht="22" customHeight="1">
      <x:c r="A222" s="31" t="str">
        <x:f>'Datos'!A12</x:f>
        <x:v>Ba</x:v>
      </x:c>
      <x:c r="B222" s="35" t="n">
        <x:f>B212*'Datos'!B8+C212*'Datos'!B9+D212*'Datos'!B10+E212*'Datos'!B11+F212*'Datos'!B12+G212*'Datos'!B13+H212*'Datos'!B14+I212*'Datos'!B15</x:f>
        <x:v>0.08218523130377875</x:v>
      </x:c>
      <x:c r="C222" s="35" t="n">
        <x:f>B212*'Datos'!C8+C212*'Datos'!C9+D212*'Datos'!C10+E212*'Datos'!C11+F212*'Datos'!C12+G212*'Datos'!C13+H212*'Datos'!C14+I212*'Datos'!C15</x:f>
        <x:v>0.04273918915994941</x:v>
      </x:c>
      <x:c r="D222" s="35" t="n">
        <x:f>B212*'Datos'!D8+C212*'Datos'!D9+D212*'Datos'!D10+E212*'Datos'!D11+F212*'Datos'!D12+G212*'Datos'!D13+H212*'Datos'!D14+I212*'Datos'!D15</x:f>
        <x:v>0.03502201759777997</x:v>
      </x:c>
      <x:c r="E222" s="35" t="n">
        <x:f>B212*'Datos'!E8+C212*'Datos'!E9+D212*'Datos'!E10+E212*'Datos'!E11+F212*'Datos'!E12+G212*'Datos'!E13+H212*'Datos'!E14+I212*'Datos'!E15</x:f>
        <x:v>0.019541441533148424</x:v>
      </x:c>
      <x:c r="F222" s="35" t="n">
        <x:f>B212*'Datos'!F8+C212*'Datos'!F9+D212*'Datos'!F10+E212*'Datos'!F11+F212*'Datos'!F12+G212*'Datos'!F13+H212*'Datos'!F14+I212*'Datos'!F15</x:f>
        <x:v>0.026178639034368397</x:v>
      </x:c>
      <x:c r="G222" s="35" t="n">
        <x:f>B212*'Datos'!G8+C212*'Datos'!G9+D212*'Datos'!G10+E212*'Datos'!G11+F212*'Datos'!G12+G212*'Datos'!G13+H212*'Datos'!G14+I212*'Datos'!G15</x:f>
        <x:v>0.01776504505522567</x:v>
      </x:c>
      <x:c r="H222" s="35" t="n">
        <x:f>B212*'Datos'!H8+C212*'Datos'!H9+D212*'Datos'!H10+E212*'Datos'!H11+F212*'Datos'!H12+G212*'Datos'!H13+H212*'Datos'!H14+I212*'Datos'!H15</x:f>
        <x:v>0.024669350546548577</x:v>
      </x:c>
      <x:c r="I222" s="35" t="n">
        <x:f>B212*'Datos'!I8+C212*'Datos'!I9+D212*'Datos'!I10+E212*'Datos'!I11+F212*'Datos'!I12+G212*'Datos'!I13+H212*'Datos'!I14+I212*'Datos'!I15</x:f>
        <x:v>0.7518990857692006</x:v>
      </x:c>
      <x:c r="J222" s="34" t="n">
        <x:f>SUM(B222:I222)</x:f>
        <x:v>0.9999999999999998</x:v>
      </x:c>
    </x:row>
    <x:row r="223" ht="22" customHeight="1">
      <x:c r="A223" s="31" t="str">
        <x:f>'Datos'!A13</x:f>
        <x:v>B</x:v>
      </x:c>
      <x:c r="B223" s="35" t="n">
        <x:f>B213*'Datos'!B8+C213*'Datos'!B9+D213*'Datos'!B10+E213*'Datos'!B11+F213*'Datos'!B12+G213*'Datos'!B13+H213*'Datos'!B14+I213*'Datos'!B15</x:f>
        <x:v>0.026435787129399105</x:v>
      </x:c>
      <x:c r="C223" s="35" t="n">
        <x:f>B213*'Datos'!C8+C213*'Datos'!C9+D213*'Datos'!C10+E213*'Datos'!C11+F213*'Datos'!C12+G213*'Datos'!C13+H213*'Datos'!C14+I213*'Datos'!C15</x:f>
        <x:v>0.014176008664795275</x:v>
      </x:c>
      <x:c r="D223" s="35" t="n">
        <x:f>B213*'Datos'!D8+C213*'Datos'!D9+D213*'Datos'!D10+E213*'Datos'!D11+F213*'Datos'!D12+G213*'Datos'!D13+H213*'Datos'!D14+I213*'Datos'!D15</x:f>
        <x:v>0.012342805401100382</x:v>
      </x:c>
      <x:c r="E223" s="35" t="n">
        <x:f>B213*'Datos'!E8+C213*'Datos'!E9+D213*'Datos'!E10+E213*'Datos'!E11+F213*'Datos'!E12+G213*'Datos'!E13+H213*'Datos'!E14+I213*'Datos'!E15</x:f>
        <x:v>0.007149315231521272</x:v>
      </x:c>
      <x:c r="F223" s="35" t="n">
        <x:f>B213*'Datos'!F8+C213*'Datos'!F9+D213*'Datos'!F10+E213*'Datos'!F11+F213*'Datos'!F12+G213*'Datos'!F13+H213*'Datos'!F14+I213*'Datos'!F15</x:f>
        <x:v>0.010318246313529233</x:v>
      </x:c>
      <x:c r="G223" s="35" t="n">
        <x:f>B213*'Datos'!G8+C213*'Datos'!G9+D213*'Datos'!G10+E213*'Datos'!G11+F213*'Datos'!G12+G213*'Datos'!G13+H213*'Datos'!G14+I213*'Datos'!G15</x:f>
        <x:v>0.007333601244348667</x:v>
      </x:c>
      <x:c r="H223" s="35" t="n">
        <x:f>B213*'Datos'!H8+C213*'Datos'!H9+D213*'Datos'!H10+E213*'Datos'!H11+F213*'Datos'!H12+G213*'Datos'!H13+H213*'Datos'!H14+I213*'Datos'!H15</x:f>
        <x:v>0.01056369905684563</x:v>
      </x:c>
      <x:c r="I223" s="35" t="n">
        <x:f>B213*'Datos'!I8+C213*'Datos'!I9+D213*'Datos'!I10+E213*'Datos'!I11+F213*'Datos'!I12+G213*'Datos'!I13+H213*'Datos'!I14+I213*'Datos'!I15</x:f>
        <x:v>0.9116805369584602</x:v>
      </x:c>
      <x:c r="J223" s="34" t="n">
        <x:f>SUM(B223:I223)</x:f>
        <x:v>0.9999999999999998</x:v>
      </x:c>
    </x:row>
    <x:row r="224" ht="22" customHeight="1">
      <x:c r="A224" s="31" t="str">
        <x:f>'Datos'!A14</x:f>
        <x:v>Caa-C</x:v>
      </x:c>
      <x:c r="B224" s="35" t="n">
        <x:f>B214*'Datos'!B8+C214*'Datos'!B9+D214*'Datos'!B10+E214*'Datos'!B11+F214*'Datos'!B12+G214*'Datos'!B13+H214*'Datos'!B14+I214*'Datos'!B15</x:f>
        <x:v>0.007426451885445042</x:v>
      </x:c>
      <x:c r="C224" s="35" t="n">
        <x:f>B214*'Datos'!C8+C214*'Datos'!C9+D214*'Datos'!C10+E214*'Datos'!C11+F214*'Datos'!C12+G214*'Datos'!C13+H214*'Datos'!C14+I214*'Datos'!C15</x:f>
        <x:v>0.004152080034289942</x:v>
      </x:c>
      <x:c r="D224" s="35" t="n">
        <x:f>B214*'Datos'!D8+C214*'Datos'!D9+D214*'Datos'!D10+E214*'Datos'!D11+F214*'Datos'!D12+G214*'Datos'!D13+H214*'Datos'!D14+I214*'Datos'!D15</x:f>
        <x:v>0.0038967481199860465</x:v>
      </x:c>
      <x:c r="E224" s="35" t="n">
        <x:f>B214*'Datos'!E8+C214*'Datos'!E9+D214*'Datos'!E10+E214*'Datos'!E11+F214*'Datos'!E12+G214*'Datos'!E13+H214*'Datos'!E14+I214*'Datos'!E15</x:f>
        <x:v>0.002354037229606024</x:v>
      </x:c>
      <x:c r="F224" s="35" t="n">
        <x:f>B214*'Datos'!F8+C214*'Datos'!F9+D214*'Datos'!F10+E214*'Datos'!F11+F214*'Datos'!F12+G214*'Datos'!F13+H214*'Datos'!F14+I214*'Datos'!F15</x:f>
        <x:v>0.00366452221744738</x:v>
      </x:c>
      <x:c r="G224" s="35" t="n">
        <x:f>B214*'Datos'!G8+C214*'Datos'!G9+D214*'Datos'!G10+E214*'Datos'!G11+F214*'Datos'!G12+G214*'Datos'!G13+H214*'Datos'!G14+I214*'Datos'!G15</x:f>
        <x:v>0.0027180915524538103</x:v>
      </x:c>
      <x:c r="H224" s="35" t="n">
        <x:f>B214*'Datos'!H8+C214*'Datos'!H9+D214*'Datos'!H10+E214*'Datos'!H11+F214*'Datos'!H12+G214*'Datos'!H13+H214*'Datos'!H14+I214*'Datos'!H15</x:f>
        <x:v>0.004040940349565361</x:v>
      </x:c>
      <x:c r="I224" s="35" t="n">
        <x:f>B214*'Datos'!I8+C214*'Datos'!I9+D214*'Datos'!I10+E214*'Datos'!I11+F214*'Datos'!I12+G214*'Datos'!I13+H214*'Datos'!I14+I214*'Datos'!I15</x:f>
        <x:v>0.971747128611206</x:v>
      </x:c>
      <x:c r="J224" s="34" t="n">
        <x:f>SUM(B224:I224)</x:f>
        <x:v>0.9999999999999997</x:v>
      </x:c>
    </x:row>
    <x:row r="225" ht="22" customHeight="1">
      <x:c r="A225" s="31" t="str">
        <x:f>'Datos'!A15</x:f>
        <x:v>Default</x:v>
      </x:c>
      <x:c r="B225" s="35" t="n">
        <x:f>B215*'Datos'!B8+C215*'Datos'!B9+D215*'Datos'!B10+E215*'Datos'!B11+F215*'Datos'!B12+G215*'Datos'!B13+H215*'Datos'!B14+I215*'Datos'!B15</x:f>
        <x:v>0</x:v>
      </x:c>
      <x:c r="C225" s="35" t="n">
        <x:f>B215*'Datos'!C8+C215*'Datos'!C9+D215*'Datos'!C10+E215*'Datos'!C11+F215*'Datos'!C12+G215*'Datos'!C13+H215*'Datos'!C14+I215*'Datos'!C15</x:f>
        <x:v>0</x:v>
      </x:c>
      <x:c r="D225" s="35" t="n">
        <x:f>B215*'Datos'!D8+C215*'Datos'!D9+D215*'Datos'!D10+E215*'Datos'!D11+F215*'Datos'!D12+G215*'Datos'!D13+H215*'Datos'!D14+I215*'Datos'!D15</x:f>
        <x:v>0</x:v>
      </x:c>
      <x:c r="E225" s="35" t="n">
        <x:f>B215*'Datos'!E8+C215*'Datos'!E9+D215*'Datos'!E10+E215*'Datos'!E11+F215*'Datos'!E12+G215*'Datos'!E13+H215*'Datos'!E14+I215*'Datos'!E15</x:f>
        <x:v>0</x:v>
      </x:c>
      <x:c r="F225" s="35" t="n">
        <x:f>B215*'Datos'!F8+C215*'Datos'!F9+D215*'Datos'!F10+E215*'Datos'!F11+F215*'Datos'!F12+G215*'Datos'!F13+H215*'Datos'!F14+I215*'Datos'!F15</x:f>
        <x:v>0</x:v>
      </x:c>
      <x:c r="G225" s="35" t="n">
        <x:f>B215*'Datos'!G8+C215*'Datos'!G9+D215*'Datos'!G10+E215*'Datos'!G11+F215*'Datos'!G12+G215*'Datos'!G13+H215*'Datos'!G14+I215*'Datos'!G15</x:f>
        <x:v>0</x:v>
      </x:c>
      <x:c r="H225" s="35" t="n">
        <x:f>B215*'Datos'!H8+C215*'Datos'!H9+D215*'Datos'!H10+E215*'Datos'!H11+F215*'Datos'!H12+G215*'Datos'!H13+H215*'Datos'!H14+I215*'Datos'!H15</x:f>
        <x:v>0</x:v>
      </x:c>
      <x:c r="I225" s="35" t="n">
        <x:f>B215*'Datos'!I8+C215*'Datos'!I9+D215*'Datos'!I10+E215*'Datos'!I11+F215*'Datos'!I12+G215*'Datos'!I13+H215*'Datos'!I14+I215*'Datos'!I15</x:f>
        <x:v>1</x:v>
      </x:c>
      <x:c r="J225" s="34" t="n">
        <x:f>SUM(B225:I225)</x:f>
        <x:v>1</x:v>
      </x:c>
    </x:row>
    <x:row r="226" ht="22" customHeight="1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</x:row>
    <x:row r="227" ht="36" customHeight="1">
      <x:c r="A227" s="13" t="str">
        <x:v>P^22</x:v>
      </x:c>
      <x:c r="B227" s="13" t="str">
        <x:v>Aaa</x:v>
      </x:c>
      <x:c r="C227" s="13" t="str">
        <x:v>Aa</x:v>
      </x:c>
      <x:c r="D227" s="13" t="str">
        <x:v>A</x:v>
      </x:c>
      <x:c r="E227" s="13" t="str">
        <x:v>Baa</x:v>
      </x:c>
      <x:c r="F227" s="13" t="str">
        <x:v>Ba</x:v>
      </x:c>
      <x:c r="G227" s="13" t="str">
        <x:v>B</x:v>
      </x:c>
      <x:c r="H227" s="13" t="str">
        <x:v>Caa-C</x:v>
      </x:c>
      <x:c r="I227" s="13" t="str">
        <x:v>Default</x:v>
      </x:c>
      <x:c r="J227" s="13" t="str">
        <x:v>Suma</x:v>
      </x:c>
    </x:row>
    <x:row r="228" ht="22" customHeight="1">
      <x:c r="A228" s="31" t="str">
        <x:f>'Datos'!A8</x:f>
        <x:v>Aaa</x:v>
      </x:c>
      <x:c r="B228" s="35" t="n">
        <x:f>B218*'Datos'!B8+C218*'Datos'!B9+D218*'Datos'!B10+E218*'Datos'!B11+F218*'Datos'!B12+G218*'Datos'!B13+H218*'Datos'!B14+I218*'Datos'!B15</x:f>
        <x:v>0.39410187812680886</x:v>
      </x:c>
      <x:c r="C228" s="35" t="n">
        <x:f>B218*'Datos'!C8+C218*'Datos'!C9+D218*'Datos'!C10+E218*'Datos'!C11+F218*'Datos'!C12+G218*'Datos'!C13+H218*'Datos'!C14+I218*'Datos'!C15</x:f>
        <x:v>0.18665263570421164</x:v>
      </x:c>
      <x:c r="D228" s="35" t="n">
        <x:f>B218*'Datos'!D8+C218*'Datos'!D9+D218*'Datos'!D10+E218*'Datos'!D11+F218*'Datos'!D12+G218*'Datos'!D13+H218*'Datos'!D14+I218*'Datos'!D15</x:f>
        <x:v>0.12405246242611753</x:v>
      </x:c>
      <x:c r="E228" s="35" t="n">
        <x:f>B218*'Datos'!E8+C218*'Datos'!E9+D218*'Datos'!E10+E218*'Datos'!E11+F218*'Datos'!E12+G218*'Datos'!E13+H218*'Datos'!E14+I218*'Datos'!E15</x:f>
        <x:v>0.05976822666583847</x:v>
      </x:c>
      <x:c r="F228" s="35" t="n">
        <x:f>B218*'Datos'!F8+C218*'Datos'!F9+D218*'Datos'!F10+E218*'Datos'!F11+F218*'Datos'!F12+G218*'Datos'!F13+H218*'Datos'!F14+I218*'Datos'!F15</x:f>
        <x:v>0.056144036423661746</x:v>
      </x:c>
      <x:c r="G228" s="35" t="n">
        <x:f>B218*'Datos'!G8+C218*'Datos'!G9+D218*'Datos'!G10+E218*'Datos'!G11+F218*'Datos'!G12+G218*'Datos'!G13+H218*'Datos'!G14+I218*'Datos'!G15</x:f>
        <x:v>0.029365667753170396</x:v>
      </x:c>
      <x:c r="H228" s="35" t="n">
        <x:f>B218*'Datos'!H8+C218*'Datos'!H9+D218*'Datos'!H10+E218*'Datos'!H11+F218*'Datos'!H12+G218*'Datos'!H13+H218*'Datos'!H14+I218*'Datos'!H15</x:f>
        <x:v>0.03182146246453149</x:v>
      </x:c>
      <x:c r="I228" s="35" t="n">
        <x:f>B218*'Datos'!I8+C218*'Datos'!I9+D218*'Datos'!I10+E218*'Datos'!I11+F218*'Datos'!I12+G218*'Datos'!I13+H218*'Datos'!I14+I218*'Datos'!I15</x:f>
        <x:v>0.11809363043566007</x:v>
      </x:c>
      <x:c r="J228" s="34" t="n">
        <x:f>SUM(B228:I228)</x:f>
        <x:v>1.0000000000000002</x:v>
      </x:c>
    </x:row>
    <x:row r="229" ht="22" customHeight="1">
      <x:c r="A229" s="31" t="str">
        <x:f>'Datos'!A9</x:f>
        <x:v>Aa</x:v>
      </x:c>
      <x:c r="B229" s="35" t="n">
        <x:f>B219*'Datos'!B8+C219*'Datos'!B9+D219*'Datos'!B10+E219*'Datos'!B11+F219*'Datos'!B12+G219*'Datos'!B13+H219*'Datos'!B14+I219*'Datos'!B15</x:f>
        <x:v>0.38123128729666467</x:v>
      </x:c>
      <x:c r="C229" s="35" t="n">
        <x:f>B219*'Datos'!C8+C219*'Datos'!C9+D219*'Datos'!C10+E219*'Datos'!C11+F219*'Datos'!C12+G219*'Datos'!C13+H219*'Datos'!C14+I219*'Datos'!C15</x:f>
        <x:v>0.18099818258115924</x:v>
      </x:c>
      <x:c r="D229" s="35" t="n">
        <x:f>B219*'Datos'!D8+C219*'Datos'!D9+D219*'Datos'!D10+E219*'Datos'!D11+F219*'Datos'!D12+G219*'Datos'!D13+H219*'Datos'!D14+I219*'Datos'!D15</x:f>
        <x:v>0.12102891988050647</x:v>
      </x:c>
      <x:c r="E229" s="35" t="n">
        <x:f>B219*'Datos'!E8+C219*'Datos'!E9+D219*'Datos'!E10+E219*'Datos'!E11+F219*'Datos'!E12+G219*'Datos'!E13+H219*'Datos'!E14+I219*'Datos'!E15</x:f>
        <x:v>0.05859296363378195</x:v>
      </x:c>
      <x:c r="F229" s="35" t="n">
        <x:f>B219*'Datos'!F8+C219*'Datos'!F9+D219*'Datos'!F10+E219*'Datos'!F11+F219*'Datos'!F12+G219*'Datos'!F13+H219*'Datos'!F14+I219*'Datos'!F15</x:f>
        <x:v>0.05581975704651974</x:v>
      </x:c>
      <x:c r="G229" s="35" t="n">
        <x:f>B219*'Datos'!G8+C219*'Datos'!G9+D219*'Datos'!G10+E219*'Datos'!G11+F219*'Datos'!G12+G219*'Datos'!G13+H219*'Datos'!G14+I219*'Datos'!G15</x:f>
        <x:v>0.029569252144913447</x:v>
      </x:c>
      <x:c r="H229" s="35" t="n">
        <x:f>B219*'Datos'!H8+C219*'Datos'!H9+D219*'Datos'!H10+E219*'Datos'!H11+F219*'Datos'!H12+G219*'Datos'!H13+H219*'Datos'!H14+I219*'Datos'!H15</x:f>
        <x:v>0.03251781397264353</x:v>
      </x:c>
      <x:c r="I229" s="35" t="n">
        <x:f>B219*'Datos'!I8+C219*'Datos'!I9+D219*'Datos'!I10+E219*'Datos'!I11+F219*'Datos'!I12+G219*'Datos'!I13+H219*'Datos'!I14+I219*'Datos'!I15</x:f>
        <x:v>0.14024182344381067</x:v>
      </x:c>
      <x:c r="J229" s="34" t="n">
        <x:f>SUM(B229:I229)</x:f>
        <x:v>0.9999999999999997</x:v>
      </x:c>
    </x:row>
    <x:row r="230" ht="22" customHeight="1">
      <x:c r="A230" s="31" t="str">
        <x:f>'Datos'!A10</x:f>
        <x:v>A</x:v>
      </x:c>
      <x:c r="B230" s="35" t="n">
        <x:f>B220*'Datos'!B8+C220*'Datos'!B9+D220*'Datos'!B10+E220*'Datos'!B11+F220*'Datos'!B12+G220*'Datos'!B13+H220*'Datos'!B14+I220*'Datos'!B15</x:f>
        <x:v>0.2834160762018692</x:v>
      </x:c>
      <x:c r="C230" s="35" t="n">
        <x:f>B220*'Datos'!C8+C220*'Datos'!C9+D220*'Datos'!C10+E220*'Datos'!C11+F220*'Datos'!C12+G220*'Datos'!C13+H220*'Datos'!C14+I220*'Datos'!C15</x:f>
        <x:v>0.13734564402335026</x:v>
      </x:c>
      <x:c r="D230" s="35" t="n">
        <x:f>B220*'Datos'!D8+C220*'Datos'!D9+D220*'Datos'!D10+E220*'Datos'!D11+F220*'Datos'!D12+G220*'Datos'!D13+H220*'Datos'!D14+I220*'Datos'!D15</x:f>
        <x:v>0.09651030289146516</x:v>
      </x:c>
      <x:c r="E230" s="35" t="n">
        <x:f>B220*'Datos'!E8+C220*'Datos'!E9+D220*'Datos'!E10+E220*'Datos'!E11+F220*'Datos'!E12+G220*'Datos'!E13+H220*'Datos'!E14+I220*'Datos'!E15</x:f>
        <x:v>0.04852244312607456</x:v>
      </x:c>
      <x:c r="F230" s="35" t="n">
        <x:f>B220*'Datos'!F8+C220*'Datos'!F9+D220*'Datos'!F10+E220*'Datos'!F11+F220*'Datos'!F12+G220*'Datos'!F13+H220*'Datos'!F14+I220*'Datos'!F15</x:f>
        <x:v>0.051253830465122024</x:v>
      </x:c>
      <x:c r="G230" s="35" t="n">
        <x:f>B220*'Datos'!G8+C220*'Datos'!G9+D220*'Datos'!G10+E220*'Datos'!G11+F220*'Datos'!G12+G220*'Datos'!G13+H220*'Datos'!G14+I220*'Datos'!G15</x:f>
        <x:v>0.029573034116406785</x:v>
      </x:c>
      <x:c r="H230" s="35" t="n">
        <x:f>B220*'Datos'!H8+C220*'Datos'!H9+D220*'Datos'!H10+E220*'Datos'!H11+F220*'Datos'!H12+G220*'Datos'!H13+H220*'Datos'!H14+I220*'Datos'!H15</x:f>
        <x:v>0.03560512179074091</x:v>
      </x:c>
      <x:c r="I230" s="35" t="n">
        <x:f>B220*'Datos'!I8+C220*'Datos'!I9+D220*'Datos'!I10+E220*'Datos'!I11+F220*'Datos'!I12+G220*'Datos'!I13+H220*'Datos'!I14+I220*'Datos'!I15</x:f>
        <x:v>0.3177735473849714</x:v>
      </x:c>
      <x:c r="J230" s="34" t="n">
        <x:f>SUM(B230:I230)</x:f>
        <x:v>1.0000000000000002</x:v>
      </x:c>
    </x:row>
    <x:row r="231" ht="22" customHeight="1">
      <x:c r="A231" s="31" t="str">
        <x:f>'Datos'!A11</x:f>
        <x:v>Baa</x:v>
      </x:c>
      <x:c r="B231" s="35" t="n">
        <x:f>B221*'Datos'!B8+C221*'Datos'!B9+D221*'Datos'!B10+E221*'Datos'!B11+F221*'Datos'!B12+G221*'Datos'!B13+H221*'Datos'!B14+I221*'Datos'!B15</x:f>
        <x:v>0.2064257972212946</x:v>
      </x:c>
      <x:c r="C231" s="35" t="n">
        <x:f>B221*'Datos'!C8+C221*'Datos'!C9+D221*'Datos'!C10+E221*'Datos'!C11+F221*'Datos'!C12+G221*'Datos'!C13+H221*'Datos'!C14+I221*'Datos'!C15</x:f>
        <x:v>0.10159351106686484</x:v>
      </x:c>
      <x:c r="D231" s="35" t="n">
        <x:f>B221*'Datos'!D8+C221*'Datos'!D9+D221*'Datos'!D10+E221*'Datos'!D11+F221*'Datos'!D12+G221*'Datos'!D13+H221*'Datos'!D14+I221*'Datos'!D15</x:f>
        <x:v>0.07400334378146554</x:v>
      </x:c>
      <x:c r="E231" s="35" t="n">
        <x:f>B221*'Datos'!E8+C221*'Datos'!E9+D221*'Datos'!E10+E221*'Datos'!E11+F221*'Datos'!E12+G221*'Datos'!E13+H221*'Datos'!E14+I221*'Datos'!E15</x:f>
        <x:v>0.03819411833822301</x:v>
      </x:c>
      <x:c r="F231" s="35" t="n">
        <x:f>B221*'Datos'!F8+C221*'Datos'!F9+D221*'Datos'!F10+E221*'Datos'!F11+F221*'Datos'!F12+G221*'Datos'!F13+H221*'Datos'!F14+I221*'Datos'!F15</x:f>
        <x:v>0.043093144733971765</x:v>
      </x:c>
      <x:c r="G231" s="35" t="n">
        <x:f>B221*'Datos'!G8+C221*'Datos'!G9+D221*'Datos'!G10+E221*'Datos'!G11+F221*'Datos'!G12+G221*'Datos'!G13+H221*'Datos'!G14+I221*'Datos'!G15</x:f>
        <x:v>0.026128839880653607</x:v>
      </x:c>
      <x:c r="H231" s="35" t="n">
        <x:f>B221*'Datos'!H8+C221*'Datos'!H9+D221*'Datos'!H10+E221*'Datos'!H11+F221*'Datos'!H12+G221*'Datos'!H13+H221*'Datos'!H14+I221*'Datos'!H15</x:f>
        <x:v>0.032983303807821836</x:v>
      </x:c>
      <x:c r="I231" s="35" t="n">
        <x:f>B221*'Datos'!I8+C221*'Datos'!I9+D221*'Datos'!I10+E221*'Datos'!I11+F221*'Datos'!I12+G221*'Datos'!I13+H221*'Datos'!I14+I221*'Datos'!I15</x:f>
        <x:v>0.47757794116970503</x:v>
      </x:c>
      <x:c r="J231" s="34" t="n">
        <x:f>SUM(B231:I231)</x:f>
        <x:v>1.0000000000000002</x:v>
      </x:c>
    </x:row>
    <x:row r="232" ht="22" customHeight="1">
      <x:c r="A232" s="31" t="str">
        <x:f>'Datos'!A12</x:f>
        <x:v>Ba</x:v>
      </x:c>
      <x:c r="B232" s="35" t="n">
        <x:f>B222*'Datos'!B8+C222*'Datos'!B9+D222*'Datos'!B10+E222*'Datos'!B11+F222*'Datos'!B12+G222*'Datos'!B13+H222*'Datos'!B14+I222*'Datos'!B15</x:f>
        <x:v>0.08223828754326697</x:v>
      </x:c>
      <x:c r="C232" s="35" t="n">
        <x:f>B222*'Datos'!C8+C222*'Datos'!C9+D222*'Datos'!C10+E222*'Datos'!C11+F222*'Datos'!C12+G222*'Datos'!C13+H222*'Datos'!C14+I222*'Datos'!C15</x:f>
        <x:v>0.04224248709180301</x:v>
      </x:c>
      <x:c r="D232" s="35" t="n">
        <x:f>B222*'Datos'!D8+C222*'Datos'!D9+D222*'Datos'!D10+E222*'Datos'!D11+F222*'Datos'!D12+G222*'Datos'!D13+H222*'Datos'!D14+I222*'Datos'!D15</x:f>
        <x:v>0.033777740052474976</x:v>
      </x:c>
      <x:c r="E232" s="35" t="n">
        <x:f>B222*'Datos'!E8+C222*'Datos'!E9+D222*'Datos'!E10+E222*'Datos'!E11+F222*'Datos'!E12+G222*'Datos'!E13+H222*'Datos'!E14+I222*'Datos'!E15</x:f>
        <x:v>0.01856924979123903</x:v>
      </x:c>
      <x:c r="F232" s="35" t="n">
        <x:f>B222*'Datos'!F8+C222*'Datos'!F9+D222*'Datos'!F10+E222*'Datos'!F11+F222*'Datos'!F12+G222*'Datos'!F13+H222*'Datos'!F14+I222*'Datos'!F15</x:f>
        <x:v>0.024159852905173643</x:v>
      </x:c>
      <x:c r="G232" s="35" t="n">
        <x:f>B222*'Datos'!G8+C222*'Datos'!G9+D222*'Datos'!G10+E222*'Datos'!G11+F222*'Datos'!G12+G222*'Datos'!G13+H222*'Datos'!G14+I222*'Datos'!G15</x:f>
        <x:v>0.016125644406414345</x:v>
      </x:c>
      <x:c r="H232" s="35" t="n">
        <x:f>B222*'Datos'!H8+C222*'Datos'!H9+D222*'Datos'!H10+E222*'Datos'!H11+F222*'Datos'!H12+G222*'Datos'!H13+H222*'Datos'!H14+I222*'Datos'!H15</x:f>
        <x:v>0.022111706035758173</x:v>
      </x:c>
      <x:c r="I232" s="35" t="n">
        <x:f>B222*'Datos'!I8+C222*'Datos'!I9+D222*'Datos'!I10+E222*'Datos'!I11+F222*'Datos'!I12+G222*'Datos'!I13+H222*'Datos'!I14+I222*'Datos'!I15</x:f>
        <x:v>0.7607750321738697</x:v>
      </x:c>
      <x:c r="J232" s="34" t="n">
        <x:f>SUM(B232:I232)</x:f>
        <x:v>0.9999999999999998</x:v>
      </x:c>
    </x:row>
    <x:row r="233" ht="22" customHeight="1">
      <x:c r="A233" s="31" t="str">
        <x:f>'Datos'!A13</x:f>
        <x:v>B</x:v>
      </x:c>
      <x:c r="B233" s="35" t="n">
        <x:f>B223*'Datos'!B8+C223*'Datos'!B9+D223*'Datos'!B10+E223*'Datos'!B11+F223*'Datos'!B12+G223*'Datos'!B13+H223*'Datos'!B14+I223*'Datos'!B15</x:f>
        <x:v>0.026610639498190543</x:v>
      </x:c>
      <x:c r="C233" s="35" t="n">
        <x:f>B223*'Datos'!C8+C223*'Datos'!C9+D223*'Datos'!C10+E223*'Datos'!C11+F223*'Datos'!C12+G223*'Datos'!C13+H223*'Datos'!C14+I223*'Datos'!C15</x:f>
        <x:v>0.014036985995048242</x:v>
      </x:c>
      <x:c r="D233" s="35" t="n">
        <x:f>B223*'Datos'!D8+C223*'Datos'!D9+D223*'Datos'!D10+E223*'Datos'!D11+F223*'Datos'!D12+G223*'Datos'!D13+H223*'Datos'!D14+I223*'Datos'!D15</x:f>
        <x:v>0.011848057861189105</x:v>
      </x:c>
      <x:c r="E233" s="35" t="n">
        <x:f>B223*'Datos'!E8+C223*'Datos'!E9+D223*'Datos'!E10+E223*'Datos'!E11+F223*'Datos'!E12+G223*'Datos'!E13+H223*'Datos'!E14+I223*'Datos'!E15</x:f>
        <x:v>0.0067400323882768984</x:v>
      </x:c>
      <x:c r="F233" s="35" t="n">
        <x:f>B223*'Datos'!F8+C223*'Datos'!F9+D223*'Datos'!F10+E223*'Datos'!F11+F223*'Datos'!F12+G223*'Datos'!F13+H223*'Datos'!F14+I223*'Datos'!F15</x:f>
        <x:v>0.009405783745889136</x:v>
      </x:c>
      <x:c r="G233" s="35" t="n">
        <x:f>B223*'Datos'!G8+C223*'Datos'!G9+D223*'Datos'!G10+E223*'Datos'!G11+F223*'Datos'!G12+G223*'Datos'!G13+H223*'Datos'!G14+I223*'Datos'!G15</x:f>
        <x:v>0.006560444980474466</x:v>
      </x:c>
      <x:c r="H233" s="35" t="n">
        <x:f>B223*'Datos'!H8+C223*'Datos'!H9+D223*'Datos'!H10+E223*'Datos'!H11+F223*'Datos'!H12+G223*'Datos'!H13+H223*'Datos'!H14+I223*'Datos'!H15</x:f>
        <x:v>0.009318543712390995</x:v>
      </x:c>
      <x:c r="I233" s="35" t="n">
        <x:f>B223*'Datos'!I8+C223*'Datos'!I9+D223*'Datos'!I10+E223*'Datos'!I11+F223*'Datos'!I12+G223*'Datos'!I13+H223*'Datos'!I14+I223*'Datos'!I15</x:f>
        <x:v>0.9154795118185404</x:v>
      </x:c>
      <x:c r="J233" s="34" t="n">
        <x:f>SUM(B233:I233)</x:f>
        <x:v>0.9999999999999998</x:v>
      </x:c>
    </x:row>
    <x:row r="234" ht="22" customHeight="1">
      <x:c r="A234" s="31" t="str">
        <x:f>'Datos'!A14</x:f>
        <x:v>Caa-C</x:v>
      </x:c>
      <x:c r="B234" s="35" t="n">
        <x:f>B224*'Datos'!B8+C224*'Datos'!B9+D224*'Datos'!B10+E224*'Datos'!B11+F224*'Datos'!B12+G224*'Datos'!B13+H224*'Datos'!B14+I224*'Datos'!B15</x:f>
        <x:v>0.007538106044007967</x:v>
      </x:c>
      <x:c r="C234" s="35" t="n">
        <x:f>B224*'Datos'!C8+C224*'Datos'!C9+D224*'Datos'!C10+E224*'Datos'!C11+F224*'Datos'!C12+G224*'Datos'!C13+H224*'Datos'!C14+I224*'Datos'!C15</x:f>
        <x:v>0.004121736664111951</x:v>
      </x:c>
      <x:c r="D234" s="35" t="n">
        <x:f>B224*'Datos'!D8+C224*'Datos'!D9+D224*'Datos'!D10+E224*'Datos'!D11+F224*'Datos'!D12+G224*'Datos'!D13+H224*'Datos'!D14+I224*'Datos'!D15</x:f>
        <x:v>0.0037207703416425623</x:v>
      </x:c>
      <x:c r="E234" s="35" t="n">
        <x:f>B224*'Datos'!E8+C224*'Datos'!E9+D224*'Datos'!E10+E224*'Datos'!E11+F224*'Datos'!E12+G224*'Datos'!E13+H224*'Datos'!E14+I224*'Datos'!E15</x:f>
        <x:v>0.0022007006950266208</x:v>
      </x:c>
      <x:c r="F234" s="35" t="n">
        <x:f>B224*'Datos'!F8+C224*'Datos'!F9+D224*'Datos'!F10+E224*'Datos'!F11+F224*'Datos'!F12+G224*'Datos'!F13+H224*'Datos'!F14+I224*'Datos'!F15</x:f>
        <x:v>0.003301783022980689</x:v>
      </x:c>
      <x:c r="G234" s="35" t="n">
        <x:f>B224*'Datos'!G8+C224*'Datos'!G9+D224*'Datos'!G10+E224*'Datos'!G11+F224*'Datos'!G12+G224*'Datos'!G13+H224*'Datos'!G14+I224*'Datos'!G15</x:f>
        <x:v>0.0024002819328879424</x:v>
      </x:c>
      <x:c r="H234" s="35" t="n">
        <x:f>B224*'Datos'!H8+C224*'Datos'!H9+D224*'Datos'!H10+E224*'Datos'!H11+F224*'Datos'!H12+G224*'Datos'!H13+H224*'Datos'!H14+I224*'Datos'!H15</x:f>
        <x:v>0.003516843787762817</x:v>
      </x:c>
      <x:c r="I234" s="35" t="n">
        <x:f>B224*'Datos'!I8+C224*'Datos'!I9+D224*'Datos'!I10+E224*'Datos'!I11+F224*'Datos'!I12+G224*'Datos'!I13+H224*'Datos'!I14+I224*'Datos'!I15</x:f>
        <x:v>0.9731997775115792</x:v>
      </x:c>
      <x:c r="J234" s="34" t="n">
        <x:f>SUM(B234:I234)</x:f>
        <x:v>0.9999999999999997</x:v>
      </x:c>
    </x:row>
    <x:row r="235" ht="22" customHeight="1">
      <x:c r="A235" s="31" t="str">
        <x:f>'Datos'!A15</x:f>
        <x:v>Default</x:v>
      </x:c>
      <x:c r="B235" s="35" t="n">
        <x:f>B225*'Datos'!B8+C225*'Datos'!B9+D225*'Datos'!B10+E225*'Datos'!B11+F225*'Datos'!B12+G225*'Datos'!B13+H225*'Datos'!B14+I225*'Datos'!B15</x:f>
        <x:v>0</x:v>
      </x:c>
      <x:c r="C235" s="35" t="n">
        <x:f>B225*'Datos'!C8+C225*'Datos'!C9+D225*'Datos'!C10+E225*'Datos'!C11+F225*'Datos'!C12+G225*'Datos'!C13+H225*'Datos'!C14+I225*'Datos'!C15</x:f>
        <x:v>0</x:v>
      </x:c>
      <x:c r="D235" s="35" t="n">
        <x:f>B225*'Datos'!D8+C225*'Datos'!D9+D225*'Datos'!D10+E225*'Datos'!D11+F225*'Datos'!D12+G225*'Datos'!D13+H225*'Datos'!D14+I225*'Datos'!D15</x:f>
        <x:v>0</x:v>
      </x:c>
      <x:c r="E235" s="35" t="n">
        <x:f>B225*'Datos'!E8+C225*'Datos'!E9+D225*'Datos'!E10+E225*'Datos'!E11+F225*'Datos'!E12+G225*'Datos'!E13+H225*'Datos'!E14+I225*'Datos'!E15</x:f>
        <x:v>0</x:v>
      </x:c>
      <x:c r="F235" s="35" t="n">
        <x:f>B225*'Datos'!F8+C225*'Datos'!F9+D225*'Datos'!F10+E225*'Datos'!F11+F225*'Datos'!F12+G225*'Datos'!F13+H225*'Datos'!F14+I225*'Datos'!F15</x:f>
        <x:v>0</x:v>
      </x:c>
      <x:c r="G235" s="35" t="n">
        <x:f>B225*'Datos'!G8+C225*'Datos'!G9+D225*'Datos'!G10+E225*'Datos'!G11+F225*'Datos'!G12+G225*'Datos'!G13+H225*'Datos'!G14+I225*'Datos'!G15</x:f>
        <x:v>0</x:v>
      </x:c>
      <x:c r="H235" s="35" t="n">
        <x:f>B225*'Datos'!H8+C225*'Datos'!H9+D225*'Datos'!H10+E225*'Datos'!H11+F225*'Datos'!H12+G225*'Datos'!H13+H225*'Datos'!H14+I225*'Datos'!H15</x:f>
        <x:v>0</x:v>
      </x:c>
      <x:c r="I235" s="35" t="n">
        <x:f>B225*'Datos'!I8+C225*'Datos'!I9+D225*'Datos'!I10+E225*'Datos'!I11+F225*'Datos'!I12+G225*'Datos'!I13+H225*'Datos'!I14+I225*'Datos'!I15</x:f>
        <x:v>1</x:v>
      </x:c>
      <x:c r="J235" s="34" t="n">
        <x:f>SUM(B235:I235)</x:f>
        <x:v>1</x:v>
      </x:c>
    </x:row>
    <x:row r="236" ht="22" customHeight="1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</x:row>
    <x:row r="237" ht="36" customHeight="1">
      <x:c r="A237" s="13" t="str">
        <x:v>P^23</x:v>
      </x:c>
      <x:c r="B237" s="13" t="str">
        <x:v>Aaa</x:v>
      </x:c>
      <x:c r="C237" s="13" t="str">
        <x:v>Aa</x:v>
      </x:c>
      <x:c r="D237" s="13" t="str">
        <x:v>A</x:v>
      </x:c>
      <x:c r="E237" s="13" t="str">
        <x:v>Baa</x:v>
      </x:c>
      <x:c r="F237" s="13" t="str">
        <x:v>Ba</x:v>
      </x:c>
      <x:c r="G237" s="13" t="str">
        <x:v>B</x:v>
      </x:c>
      <x:c r="H237" s="13" t="str">
        <x:v>Caa-C</x:v>
      </x:c>
      <x:c r="I237" s="13" t="str">
        <x:v>Default</x:v>
      </x:c>
      <x:c r="J237" s="13" t="str">
        <x:v>Suma</x:v>
      </x:c>
    </x:row>
    <x:row r="238" ht="22" customHeight="1">
      <x:c r="A238" s="31" t="str">
        <x:f>'Datos'!A8</x:f>
        <x:v>Aaa</x:v>
      </x:c>
      <x:c r="B238" s="35" t="n">
        <x:f>B228*'Datos'!B8+C228*'Datos'!B9+D228*'Datos'!B10+E228*'Datos'!B11+F228*'Datos'!B12+G228*'Datos'!B13+H228*'Datos'!B14+I228*'Datos'!B15</x:f>
        <x:v>0.387655064025107</x:v>
      </x:c>
      <x:c r="C238" s="35" t="n">
        <x:f>B228*'Datos'!C8+C228*'Datos'!C9+D228*'Datos'!C10+E228*'Datos'!C11+F228*'Datos'!C12+G228*'Datos'!C13+H228*'Datos'!C14+I228*'Datos'!C15</x:f>
        <x:v>0.18379099966834425</x:v>
      </x:c>
      <x:c r="D238" s="35" t="n">
        <x:f>B228*'Datos'!D8+C228*'Datos'!D9+D228*'Datos'!D10+E228*'Datos'!D11+F228*'Datos'!D12+G228*'Datos'!D13+H228*'Datos'!D14+I228*'Datos'!D15</x:f>
        <x:v>0.12247143461671173</x:v>
      </x:c>
      <x:c r="E238" s="35" t="n">
        <x:f>B228*'Datos'!E8+C228*'Datos'!E9+D228*'Datos'!E10+E228*'Datos'!E11+F228*'Datos'!E12+G228*'Datos'!E13+H228*'Datos'!E14+I228*'Datos'!E15</x:f>
        <x:v>0.05913033049562328</x:v>
      </x:c>
      <x:c r="F238" s="35" t="n">
        <x:f>B228*'Datos'!F8+C228*'Datos'!F9+D228*'Datos'!F10+E228*'Datos'!F11+F228*'Datos'!F12+G228*'Datos'!F13+H228*'Datos'!F14+I228*'Datos'!F15</x:f>
        <x:v>0.055890750121265834</x:v>
      </x:c>
      <x:c r="G238" s="35" t="n">
        <x:f>B228*'Datos'!G8+C228*'Datos'!G9+D228*'Datos'!G10+E228*'Datos'!G11+F228*'Datos'!G12+G228*'Datos'!G13+H228*'Datos'!G14+I228*'Datos'!G15</x:f>
        <x:v>0.029400889663021422</x:v>
      </x:c>
      <x:c r="H238" s="35" t="n">
        <x:f>B228*'Datos'!H8+C228*'Datos'!H9+D228*'Datos'!H10+E228*'Datos'!H11+F228*'Datos'!H12+G228*'Datos'!H13+H228*'Datos'!H14+I228*'Datos'!H15</x:f>
        <x:v>0.03207487238300742</x:v>
      </x:c>
      <x:c r="I238" s="35" t="n">
        <x:f>B228*'Datos'!I8+C228*'Datos'!I9+D228*'Datos'!I10+E228*'Datos'!I11+F228*'Datos'!I12+G228*'Datos'!I13+H228*'Datos'!I14+I228*'Datos'!I15</x:f>
        <x:v>0.12958565902691924</x:v>
      </x:c>
      <x:c r="J238" s="34" t="n">
        <x:f>SUM(B238:I238)</x:f>
        <x:v>1.0000000000000004</x:v>
      </x:c>
    </x:row>
    <x:row r="239" ht="22" customHeight="1">
      <x:c r="A239" s="31" t="str">
        <x:f>'Datos'!A9</x:f>
        <x:v>Aa</x:v>
      </x:c>
      <x:c r="B239" s="35" t="n">
        <x:f>B229*'Datos'!B8+C229*'Datos'!B9+D229*'Datos'!B10+E229*'Datos'!B11+F229*'Datos'!B12+G229*'Datos'!B13+H229*'Datos'!B14+I229*'Datos'!B15</x:f>
        <x:v>0.37515613057114067</x:v>
      </x:c>
      <x:c r="C239" s="35" t="n">
        <x:f>B229*'Datos'!C8+C229*'Datos'!C9+D229*'Datos'!C10+E229*'Datos'!C11+F229*'Datos'!C12+G229*'Datos'!C13+H229*'Datos'!C14+I229*'Datos'!C15</x:f>
        <x:v>0.1782356799187285</x:v>
      </x:c>
      <x:c r="D239" s="35" t="n">
        <x:f>B229*'Datos'!D8+C229*'Datos'!D9+D229*'Datos'!D10+E229*'Datos'!D11+F229*'Datos'!D12+G229*'Datos'!D13+H229*'Datos'!D14+I229*'Datos'!D15</x:f>
        <x:v>0.11938898883207703</x:v>
      </x:c>
      <x:c r="E239" s="35" t="n">
        <x:f>B229*'Datos'!E8+C229*'Datos'!E9+D229*'Datos'!E10+E229*'Datos'!E11+F229*'Datos'!E12+G229*'Datos'!E13+H229*'Datos'!E14+I229*'Datos'!E15</x:f>
        <x:v>0.05788043336995394</x:v>
      </x:c>
      <x:c r="F239" s="35" t="n">
        <x:f>B229*'Datos'!F8+C229*'Datos'!F9+D229*'Datos'!F10+E229*'Datos'!F11+F229*'Datos'!F12+G229*'Datos'!F13+H229*'Datos'!F14+I229*'Datos'!F15</x:f>
        <x:v>0.055373352411385975</x:v>
      </x:c>
      <x:c r="G239" s="35" t="n">
        <x:f>B229*'Datos'!G8+C229*'Datos'!G9+D229*'Datos'!G10+E229*'Datos'!G11+F229*'Datos'!G12+G229*'Datos'!G13+H229*'Datos'!G14+I229*'Datos'!G15</x:f>
        <x:v>0.02944841827444548</x:v>
      </x:c>
      <x:c r="H239" s="35" t="n">
        <x:f>B229*'Datos'!H8+C229*'Datos'!H9+D229*'Datos'!H10+E229*'Datos'!H11+F229*'Datos'!H12+G229*'Datos'!H13+H229*'Datos'!H14+I229*'Datos'!H15</x:f>
        <x:v>0.032534578984928564</x:v>
      </x:c>
      <x:c r="I239" s="35" t="n">
        <x:f>B229*'Datos'!I8+C229*'Datos'!I9+D229*'Datos'!I10+E229*'Datos'!I11+F229*'Datos'!I12+G229*'Datos'!I13+H229*'Datos'!I14+I229*'Datos'!I15</x:f>
        <x:v>0.15198241763733963</x:v>
      </x:c>
      <x:c r="J239" s="34" t="n">
        <x:f>SUM(B239:I239)</x:f>
        <x:v>0.9999999999999998</x:v>
      </x:c>
    </x:row>
    <x:row r="240" ht="22" customHeight="1">
      <x:c r="A240" s="31" t="str">
        <x:f>'Datos'!A10</x:f>
        <x:v>A</x:v>
      </x:c>
      <x:c r="B240" s="35" t="n">
        <x:f>B230*'Datos'!B8+C230*'Datos'!B9+D230*'Datos'!B10+E230*'Datos'!B11+F230*'Datos'!B12+G230*'Datos'!B13+H230*'Datos'!B14+I230*'Datos'!B15</x:f>
        <x:v>0.27991816494954624</x:v>
      </x:c>
      <x:c r="C240" s="35" t="n">
        <x:f>B230*'Datos'!C8+C230*'Datos'!C9+D230*'Datos'!C10+E230*'Datos'!C11+F230*'Datos'!C12+G230*'Datos'!C13+H230*'Datos'!C14+I230*'Datos'!C15</x:f>
        <x:v>0.1353358583317846</x:v>
      </x:c>
      <x:c r="D240" s="35" t="n">
        <x:f>B230*'Datos'!D8+C230*'Datos'!D9+D230*'Datos'!D10+E230*'Datos'!D11+F230*'Datos'!D12+G230*'Datos'!D13+H230*'Datos'!D14+I230*'Datos'!D15</x:f>
        <x:v>0.09459916054462804</x:v>
      </x:c>
      <x:c r="E240" s="35" t="n">
        <x:f>B230*'Datos'!E8+C230*'Datos'!E9+D230*'Datos'!E10+E230*'Datos'!E11+F230*'Datos'!E12+G230*'Datos'!E13+H230*'Datos'!E14+I230*'Datos'!E15</x:f>
        <x:v>0.04738740646495813</x:v>
      </x:c>
      <x:c r="F240" s="35" t="n">
        <x:f>B230*'Datos'!F8+C230*'Datos'!F9+D230*'Datos'!F10+E230*'Datos'!F11+F230*'Datos'!F12+G230*'Datos'!F13+H230*'Datos'!F14+I230*'Datos'!F15</x:f>
        <x:v>0.0496144992132261</x:v>
      </x:c>
      <x:c r="G240" s="35" t="n">
        <x:f>B230*'Datos'!G8+C230*'Datos'!G9+D230*'Datos'!G10+E230*'Datos'!G11+F230*'Datos'!G12+G230*'Datos'!G13+H230*'Datos'!G14+I230*'Datos'!G15</x:f>
        <x:v>0.02845716691472061</x:v>
      </x:c>
      <x:c r="H240" s="35" t="n">
        <x:f>B230*'Datos'!H8+C230*'Datos'!H9+D230*'Datos'!H10+E230*'Datos'!H11+F230*'Datos'!H12+G230*'Datos'!H13+H230*'Datos'!H14+I230*'Datos'!H15</x:f>
        <x:v>0.03407753666165069</x:v>
      </x:c>
      <x:c r="I240" s="35" t="n">
        <x:f>B230*'Datos'!I8+C230*'Datos'!I9+D230*'Datos'!I10+E230*'Datos'!I11+F230*'Datos'!I12+G230*'Datos'!I13+H230*'Datos'!I14+I230*'Datos'!I15</x:f>
        <x:v>0.33061020691948584</x:v>
      </x:c>
      <x:c r="J240" s="34" t="n">
        <x:f>SUM(B240:I240)</x:f>
        <x:v>1.0000000000000004</x:v>
      </x:c>
    </x:row>
    <x:row r="241" ht="22" customHeight="1">
      <x:c r="A241" s="31" t="str">
        <x:f>'Datos'!A11</x:f>
        <x:v>Baa</x:v>
      </x:c>
      <x:c r="B241" s="35" t="n">
        <x:f>B231*'Datos'!B8+C231*'Datos'!B9+D231*'Datos'!B10+E231*'Datos'!B11+F231*'Datos'!B12+G231*'Datos'!B13+H231*'Datos'!B14+I231*'Datos'!B15</x:f>
        <x:v>0.20444832614826858</x:v>
      </x:c>
      <x:c r="C241" s="35" t="n">
        <x:f>B231*'Datos'!C8+C231*'Datos'!C9+D231*'Datos'!C10+E231*'Datos'!C11+F231*'Datos'!C12+G231*'Datos'!C13+H231*'Datos'!C14+I231*'Datos'!C15</x:f>
        <x:v>0.10016529937239908</x:v>
      </x:c>
      <x:c r="D241" s="35" t="n">
        <x:f>B231*'Datos'!D8+C231*'Datos'!D9+D231*'Datos'!D10+E231*'Datos'!D11+F231*'Datos'!D12+G231*'Datos'!D13+H231*'Datos'!D14+I231*'Datos'!D15</x:f>
        <x:v>0.07223360221228008</x:v>
      </x:c>
      <x:c r="E241" s="35" t="n">
        <x:f>B231*'Datos'!E8+C231*'Datos'!E9+D231*'Datos'!E10+E231*'Datos'!E11+F231*'Datos'!E12+G231*'Datos'!E13+H231*'Datos'!E14+I231*'Datos'!E15</x:f>
        <x:v>0.03702612449676242</x:v>
      </x:c>
      <x:c r="F241" s="35" t="n">
        <x:f>B231*'Datos'!F8+C231*'Datos'!F9+D231*'Datos'!F10+E231*'Datos'!F11+F231*'Datos'!F12+G231*'Datos'!F13+H231*'Datos'!F14+I231*'Datos'!F15</x:f>
        <x:v>0.04111948584649354</x:v>
      </x:c>
      <x:c r="G241" s="35" t="n">
        <x:f>B231*'Datos'!G8+C231*'Datos'!G9+D231*'Datos'!G10+E231*'Datos'!G11+F231*'Datos'!G12+G231*'Datos'!G13+H231*'Datos'!G14+I231*'Datos'!G15</x:f>
        <x:v>0.024675481719660962</x:v>
      </x:c>
      <x:c r="H241" s="35" t="n">
        <x:f>B231*'Datos'!H8+C231*'Datos'!H9+D231*'Datos'!H10+E231*'Datos'!H11+F231*'Datos'!H12+G231*'Datos'!H13+H231*'Datos'!H14+I231*'Datos'!H15</x:f>
        <x:v>0.03087071828824941</x:v>
      </x:c>
      <x:c r="I241" s="35" t="n">
        <x:f>B231*'Datos'!I8+C231*'Datos'!I9+D231*'Datos'!I10+E231*'Datos'!I11+F231*'Datos'!I12+G231*'Datos'!I13+H231*'Datos'!I14+I231*'Datos'!I15</x:f>
        <x:v>0.4894609619158862</x:v>
      </x:c>
      <x:c r="J241" s="34" t="n">
        <x:f>SUM(B241:I241)</x:f>
        <x:v>1.0000000000000002</x:v>
      </x:c>
    </x:row>
    <x:row r="242" ht="22" customHeight="1">
      <x:c r="A242" s="31" t="str">
        <x:f>'Datos'!A12</x:f>
        <x:v>Ba</x:v>
      </x:c>
      <x:c r="B242" s="35" t="n">
        <x:f>B232*'Datos'!B8+C232*'Datos'!B9+D232*'Datos'!B10+E232*'Datos'!B11+F232*'Datos'!B12+G232*'Datos'!B13+H232*'Datos'!B14+I232*'Datos'!B15</x:f>
        <x:v>0.08209917400927969</x:v>
      </x:c>
      <x:c r="C242" s="35" t="n">
        <x:f>B232*'Datos'!C8+C232*'Datos'!C9+D232*'Datos'!C10+E232*'Datos'!C11+F232*'Datos'!C12+G232*'Datos'!C13+H232*'Datos'!C14+I232*'Datos'!C15</x:f>
        <x:v>0.041729977277685563</x:v>
      </x:c>
      <x:c r="D242" s="35" t="n">
        <x:f>B232*'Datos'!D8+C232*'Datos'!D9+D232*'Datos'!D10+E232*'Datos'!D11+F232*'Datos'!D12+G232*'Datos'!D13+H232*'Datos'!D14+I232*'Datos'!D15</x:f>
        <x:v>0.03265705244592907</x:v>
      </x:c>
      <x:c r="E242" s="35" t="n">
        <x:f>B232*'Datos'!E8+C232*'Datos'!E9+D232*'Datos'!E10+E232*'Datos'!E11+F232*'Datos'!E12+G232*'Datos'!E13+H232*'Datos'!E14+I232*'Datos'!E15</x:f>
        <x:v>0.0177122777055983</x:v>
      </x:c>
      <x:c r="F242" s="35" t="n">
        <x:f>B232*'Datos'!F8+C232*'Datos'!F9+D232*'Datos'!F10+E232*'Datos'!F11+F232*'Datos'!F12+G232*'Datos'!F13+H232*'Datos'!F14+I232*'Datos'!F15</x:f>
        <x:v>0.022417548498830674</x:v>
      </x:c>
      <x:c r="G242" s="35" t="n">
        <x:f>B232*'Datos'!G8+C232*'Datos'!G9+D232*'Datos'!G10+E232*'Datos'!G11+F232*'Datos'!G12+G232*'Datos'!G13+H232*'Datos'!G14+I232*'Datos'!G15</x:f>
        <x:v>0.014721250530343614</x:v>
      </x:c>
      <x:c r="H242" s="35" t="n">
        <x:f>B232*'Datos'!H8+C232*'Datos'!H9+D232*'Datos'!H10+E232*'Datos'!H11+F232*'Datos'!H12+G232*'Datos'!H13+H232*'Datos'!H14+I232*'Datos'!H15</x:f>
        <x:v>0.01993063092913956</x:v>
      </x:c>
      <x:c r="I242" s="35" t="n">
        <x:f>B232*'Datos'!I8+C232*'Datos'!I9+D232*'Datos'!I10+E232*'Datos'!I11+F232*'Datos'!I12+G232*'Datos'!I13+H232*'Datos'!I14+I232*'Datos'!I15</x:f>
        <x:v>0.7687320886031933</x:v>
      </x:c>
      <x:c r="J242" s="34" t="n">
        <x:f>SUM(B242:I242)</x:f>
        <x:v>0.9999999999999998</x:v>
      </x:c>
    </x:row>
    <x:row r="243" ht="22" customHeight="1">
      <x:c r="A243" s="31" t="str">
        <x:f>'Datos'!A13</x:f>
        <x:v>B</x:v>
      </x:c>
      <x:c r="B243" s="35" t="n">
        <x:f>B233*'Datos'!B8+C233*'Datos'!B9+D233*'Datos'!B10+E233*'Datos'!B11+F233*'Datos'!B12+G233*'Datos'!B13+H233*'Datos'!B14+I233*'Datos'!B15</x:f>
        <x:v>0.026701076904610172</x:v>
      </x:c>
      <x:c r="C243" s="35" t="n">
        <x:f>B233*'Datos'!C8+C233*'Datos'!C9+D233*'Datos'!C10+E233*'Datos'!C11+F233*'Datos'!C12+G233*'Datos'!C13+H233*'Datos'!C14+I233*'Datos'!C15</x:f>
        <x:v>0.013887506880415708</x:v>
      </x:c>
      <x:c r="D243" s="35" t="n">
        <x:f>B233*'Datos'!D8+C233*'Datos'!D9+D233*'Datos'!D10+E233*'Datos'!D11+F233*'Datos'!D12+G233*'Datos'!D13+H233*'Datos'!D14+I233*'Datos'!D15</x:f>
        <x:v>0.011402923069251414</x:v>
      </x:c>
      <x:c r="E243" s="35" t="n">
        <x:f>B233*'Datos'!E8+C233*'Datos'!E9+D233*'Datos'!E10+E233*'Datos'!E11+F233*'Datos'!E12+G233*'Datos'!E13+H233*'Datos'!E14+I233*'Datos'!E15</x:f>
        <x:v>0.006380103072092593</x:v>
      </x:c>
      <x:c r="F243" s="35" t="n">
        <x:f>B233*'Datos'!F8+C233*'Datos'!F9+D233*'Datos'!F10+E233*'Datos'!F11+F233*'Datos'!F12+G233*'Datos'!F13+H233*'Datos'!F14+I233*'Datos'!F15</x:f>
        <x:v>0.00862248473356811</x:v>
      </x:c>
      <x:c r="G243" s="35" t="n">
        <x:f>B233*'Datos'!G8+C233*'Datos'!G9+D233*'Datos'!G10+E233*'Datos'!G11+F233*'Datos'!G12+G233*'Datos'!G13+H233*'Datos'!G14+I233*'Datos'!G15</x:f>
        <x:v>0.00590434978384405</x:v>
      </x:c>
      <x:c r="H243" s="35" t="n">
        <x:f>B233*'Datos'!H8+C233*'Datos'!H9+D233*'Datos'!H10+E233*'Datos'!H11+F233*'Datos'!H12+G233*'Datos'!H13+H233*'Datos'!H14+I233*'Datos'!H15</x:f>
        <x:v>0.008270254764339497</x:v>
      </x:c>
      <x:c r="I243" s="35" t="n">
        <x:f>B233*'Datos'!I8+C233*'Datos'!I9+D233*'Datos'!I10+E233*'Datos'!I11+F233*'Datos'!I12+G233*'Datos'!I13+H233*'Datos'!I14+I233*'Datos'!I15</x:f>
        <x:v>0.9188313007918782</x:v>
      </x:c>
      <x:c r="J243" s="34" t="n">
        <x:f>SUM(B243:I243)</x:f>
        <x:v>0.9999999999999998</x:v>
      </x:c>
    </x:row>
    <x:row r="244" ht="22" customHeight="1">
      <x:c r="A244" s="31" t="str">
        <x:f>'Datos'!A14</x:f>
        <x:v>Caa-C</x:v>
      </x:c>
      <x:c r="B244" s="35" t="n">
        <x:f>B234*'Datos'!B8+C234*'Datos'!B9+D234*'Datos'!B10+E234*'Datos'!B11+F234*'Datos'!B12+G234*'Datos'!B13+H234*'Datos'!B14+I234*'Datos'!B15</x:f>
        <x:v>0.007617255845608007</x:v>
      </x:c>
      <x:c r="C244" s="35" t="n">
        <x:f>B234*'Datos'!C8+C234*'Datos'!C9+D234*'Datos'!C10+E234*'Datos'!C11+F234*'Datos'!C12+G234*'Datos'!C13+H234*'Datos'!C14+I234*'Datos'!C15</x:f>
        <x:v>0.004086204115230335</x:v>
      </x:c>
      <x:c r="D244" s="35" t="n">
        <x:f>B234*'Datos'!D8+C234*'Datos'!D9+D234*'Datos'!D10+E234*'Datos'!D11+F234*'Datos'!D12+G234*'Datos'!D13+H234*'Datos'!D14+I234*'Datos'!D15</x:f>
        <x:v>0.0035623949908993925</x:v>
      </x:c>
      <x:c r="E244" s="35" t="n">
        <x:f>B234*'Datos'!E8+C234*'Datos'!E9+D234*'Datos'!E10+E234*'Datos'!E11+F234*'Datos'!E12+G234*'Datos'!E13+H234*'Datos'!E14+I234*'Datos'!E15</x:f>
        <x:v>0.0020660218985217287</x:v>
      </x:c>
      <x:c r="F244" s="35" t="n">
        <x:f>B234*'Datos'!F8+C234*'Datos'!F9+D234*'Datos'!F10+E234*'Datos'!F11+F234*'Datos'!F12+G234*'Datos'!F13+H234*'Datos'!F14+I234*'Datos'!F15</x:f>
        <x:v>0.0029916287424721823</x:v>
      </x:c>
      <x:c r="G244" s="35" t="n">
        <x:f>B234*'Datos'!G8+C234*'Datos'!G9+D234*'Datos'!G10+E234*'Datos'!G11+F234*'Datos'!G12+G234*'Datos'!G13+H234*'Datos'!G14+I234*'Datos'!G15</x:f>
        <x:v>0.0021325027653766233</x:v>
      </x:c>
      <x:c r="H244" s="35" t="n">
        <x:f>B234*'Datos'!H8+C234*'Datos'!H9+D234*'Datos'!H10+E234*'Datos'!H11+F234*'Datos'!H12+G234*'Datos'!H13+H234*'Datos'!H14+I234*'Datos'!H15</x:f>
        <x:v>0.003079739719284902</x:v>
      </x:c>
      <x:c r="I244" s="35" t="n">
        <x:f>B234*'Datos'!I8+C234*'Datos'!I9+D234*'Datos'!I10+E234*'Datos'!I11+F234*'Datos'!I12+G234*'Datos'!I13+H234*'Datos'!I14+I234*'Datos'!I15</x:f>
        <x:v>0.9744642519226066</x:v>
      </x:c>
      <x:c r="J244" s="34" t="n">
        <x:f>SUM(B244:I244)</x:f>
        <x:v>0.9999999999999998</x:v>
      </x:c>
    </x:row>
    <x:row r="245" ht="22" customHeight="1">
      <x:c r="A245" s="31" t="str">
        <x:f>'Datos'!A15</x:f>
        <x:v>Default</x:v>
      </x:c>
      <x:c r="B245" s="35" t="n">
        <x:f>B235*'Datos'!B8+C235*'Datos'!B9+D235*'Datos'!B10+E235*'Datos'!B11+F235*'Datos'!B12+G235*'Datos'!B13+H235*'Datos'!B14+I235*'Datos'!B15</x:f>
        <x:v>0</x:v>
      </x:c>
      <x:c r="C245" s="35" t="n">
        <x:f>B235*'Datos'!C8+C235*'Datos'!C9+D235*'Datos'!C10+E235*'Datos'!C11+F235*'Datos'!C12+G235*'Datos'!C13+H235*'Datos'!C14+I235*'Datos'!C15</x:f>
        <x:v>0</x:v>
      </x:c>
      <x:c r="D245" s="35" t="n">
        <x:f>B235*'Datos'!D8+C235*'Datos'!D9+D235*'Datos'!D10+E235*'Datos'!D11+F235*'Datos'!D12+G235*'Datos'!D13+H235*'Datos'!D14+I235*'Datos'!D15</x:f>
        <x:v>0</x:v>
      </x:c>
      <x:c r="E245" s="35" t="n">
        <x:f>B235*'Datos'!E8+C235*'Datos'!E9+D235*'Datos'!E10+E235*'Datos'!E11+F235*'Datos'!E12+G235*'Datos'!E13+H235*'Datos'!E14+I235*'Datos'!E15</x:f>
        <x:v>0</x:v>
      </x:c>
      <x:c r="F245" s="35" t="n">
        <x:f>B235*'Datos'!F8+C235*'Datos'!F9+D235*'Datos'!F10+E235*'Datos'!F11+F235*'Datos'!F12+G235*'Datos'!F13+H235*'Datos'!F14+I235*'Datos'!F15</x:f>
        <x:v>0</x:v>
      </x:c>
      <x:c r="G245" s="35" t="n">
        <x:f>B235*'Datos'!G8+C235*'Datos'!G9+D235*'Datos'!G10+E235*'Datos'!G11+F235*'Datos'!G12+G235*'Datos'!G13+H235*'Datos'!G14+I235*'Datos'!G15</x:f>
        <x:v>0</x:v>
      </x:c>
      <x:c r="H245" s="35" t="n">
        <x:f>B235*'Datos'!H8+C235*'Datos'!H9+D235*'Datos'!H10+E235*'Datos'!H11+F235*'Datos'!H12+G235*'Datos'!H13+H235*'Datos'!H14+I235*'Datos'!H15</x:f>
        <x:v>0</x:v>
      </x:c>
      <x:c r="I245" s="35" t="n">
        <x:f>B235*'Datos'!I8+C235*'Datos'!I9+D235*'Datos'!I10+E235*'Datos'!I11+F235*'Datos'!I12+G235*'Datos'!I13+H235*'Datos'!I14+I235*'Datos'!I15</x:f>
        <x:v>1</x:v>
      </x:c>
      <x:c r="J245" s="34" t="n">
        <x:f>SUM(B245:I245)</x:f>
        <x:v>1</x:v>
      </x:c>
    </x:row>
    <x:row r="246" ht="22" customHeight="1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</x:row>
    <x:row r="247" ht="36" customHeight="1">
      <x:c r="A247" s="13" t="str">
        <x:v>P^24</x:v>
      </x:c>
      <x:c r="B247" s="13" t="str">
        <x:v>Aaa</x:v>
      </x:c>
      <x:c r="C247" s="13" t="str">
        <x:v>Aa</x:v>
      </x:c>
      <x:c r="D247" s="13" t="str">
        <x:v>A</x:v>
      </x:c>
      <x:c r="E247" s="13" t="str">
        <x:v>Baa</x:v>
      </x:c>
      <x:c r="F247" s="13" t="str">
        <x:v>Ba</x:v>
      </x:c>
      <x:c r="G247" s="13" t="str">
        <x:v>B</x:v>
      </x:c>
      <x:c r="H247" s="13" t="str">
        <x:v>Caa-C</x:v>
      </x:c>
      <x:c r="I247" s="13" t="str">
        <x:v>Default</x:v>
      </x:c>
      <x:c r="J247" s="13" t="str">
        <x:v>Suma</x:v>
      </x:c>
    </x:row>
    <x:row r="248" ht="22" customHeight="1">
      <x:c r="A248" s="31" t="str">
        <x:f>'Datos'!A8</x:f>
        <x:v>Aaa</x:v>
      </x:c>
      <x:c r="B248" s="35" t="n">
        <x:f>B238*'Datos'!B8+C238*'Datos'!B9+D238*'Datos'!B10+E238*'Datos'!B11+F238*'Datos'!B12+G238*'Datos'!B13+H238*'Datos'!B14+I238*'Datos'!B15</x:f>
        <x:v>0.3813837252481418</x:v>
      </x:c>
      <x:c r="C248" s="35" t="n">
        <x:f>B238*'Datos'!C8+C238*'Datos'!C9+D238*'Datos'!C10+E238*'Datos'!C11+F238*'Datos'!C12+G238*'Datos'!C13+H238*'Datos'!C14+I238*'Datos'!C15</x:f>
        <x:v>0.18097898719385608</x:v>
      </x:c>
      <x:c r="D248" s="35" t="n">
        <x:f>B238*'Datos'!D8+C238*'Datos'!D9+D238*'Datos'!D10+E238*'Datos'!D11+F238*'Datos'!D12+G238*'Datos'!D13+H238*'Datos'!D14+I238*'Datos'!D15</x:f>
        <x:v>0.12086852470295108</x:v>
      </x:c>
      <x:c r="E248" s="35" t="n">
        <x:f>B238*'Datos'!E8+C238*'Datos'!E9+D238*'Datos'!E10+E238*'Datos'!E11+F238*'Datos'!E12+G238*'Datos'!E13+H238*'Datos'!E14+I238*'Datos'!E15</x:f>
        <x:v>0.05846130346859459</x:v>
      </x:c>
      <x:c r="F248" s="35" t="n">
        <x:f>B238*'Datos'!F8+C238*'Datos'!F9+D238*'Datos'!F10+E238*'Datos'!F11+F238*'Datos'!F12+G238*'Datos'!F13+H238*'Datos'!F14+I238*'Datos'!F15</x:f>
        <x:v>0.055552612619474286</x:v>
      </x:c>
      <x:c r="G248" s="35" t="n">
        <x:f>B238*'Datos'!G8+C238*'Datos'!G9+D238*'Datos'!G10+E238*'Datos'!G11+F238*'Datos'!G12+G238*'Datos'!G13+H238*'Datos'!G14+I238*'Datos'!G15</x:f>
        <x:v>0.029366207924324372</x:v>
      </x:c>
      <x:c r="H248" s="35" t="n">
        <x:f>B238*'Datos'!H8+C238*'Datos'!H9+D238*'Datos'!H10+E238*'Datos'!H11+F238*'Datos'!H12+G238*'Datos'!H13+H238*'Datos'!H14+I238*'Datos'!H15</x:f>
        <x:v>0.03222075329202603</x:v>
      </x:c>
      <x:c r="I248" s="35" t="n">
        <x:f>B238*'Datos'!I8+C238*'Datos'!I9+D238*'Datos'!I10+E238*'Datos'!I11+F238*'Datos'!I12+G238*'Datos'!I13+H238*'Datos'!I14+I238*'Datos'!I15</x:f>
        <x:v>0.14116788555063198</x:v>
      </x:c>
      <x:c r="J248" s="34" t="n">
        <x:f>SUM(B248:I248)</x:f>
        <x:v>1.0000000000000002</x:v>
      </x:c>
    </x:row>
    <x:row r="249" ht="22" customHeight="1">
      <x:c r="A249" s="31" t="str">
        <x:f>'Datos'!A9</x:f>
        <x:v>Aa</x:v>
      </x:c>
      <x:c r="B249" s="35" t="n">
        <x:f>B239*'Datos'!B8+C239*'Datos'!B9+D239*'Datos'!B10+E239*'Datos'!B11+F239*'Datos'!B12+G239*'Datos'!B13+H239*'Datos'!B14+I239*'Datos'!B15</x:f>
        <x:v>0.3692223482554717</x:v>
      </x:c>
      <x:c r="C249" s="35" t="n">
        <x:f>B239*'Datos'!C8+C239*'Datos'!C9+D239*'Datos'!C10+E239*'Datos'!C11+F239*'Datos'!C12+G239*'Datos'!C13+H239*'Datos'!C14+I239*'Datos'!C15</x:f>
        <x:v>0.17551972446874464</x:v>
      </x:c>
      <x:c r="D249" s="35" t="n">
        <x:f>B239*'Datos'!D8+C239*'Datos'!D9+D239*'Datos'!D10+E239*'Datos'!D11+F239*'Datos'!D12+G239*'Datos'!D13+H239*'Datos'!D14+I239*'Datos'!D15</x:f>
        <x:v>0.11774542917378777</x:v>
      </x:c>
      <x:c r="E249" s="35" t="n">
        <x:f>B239*'Datos'!E8+C239*'Datos'!E9+D239*'Datos'!E10+E239*'Datos'!E11+F239*'Datos'!E12+G239*'Datos'!E13+H239*'Datos'!E14+I239*'Datos'!E15</x:f>
        <x:v>0.05715263677369872</x:v>
      </x:c>
      <x:c r="F249" s="35" t="n">
        <x:f>B239*'Datos'!F8+C239*'Datos'!F9+D239*'Datos'!F10+E239*'Datos'!F11+F239*'Datos'!F12+G239*'Datos'!F13+H239*'Datos'!F14+I239*'Datos'!F15</x:f>
        <x:v>0.05487426505463618</x:v>
      </x:c>
      <x:c r="G249" s="35" t="n">
        <x:f>B239*'Datos'!G8+C239*'Datos'!G9+D239*'Datos'!G10+E239*'Datos'!G11+F239*'Datos'!G12+G239*'Datos'!G13+H239*'Datos'!G14+I239*'Datos'!G15</x:f>
        <x:v>0.029281070048024938</x:v>
      </x:c>
      <x:c r="H249" s="35" t="n">
        <x:f>B239*'Datos'!H8+C239*'Datos'!H9+D239*'Datos'!H10+E239*'Datos'!H11+F239*'Datos'!H12+G239*'Datos'!H13+H239*'Datos'!H14+I239*'Datos'!H15</x:f>
        <x:v>0.03247636422350777</x:v>
      </x:c>
      <x:c r="I249" s="35" t="n">
        <x:f>B239*'Datos'!I8+C239*'Datos'!I9+D239*'Datos'!I10+E239*'Datos'!I11+F239*'Datos'!I12+G239*'Datos'!I13+H239*'Datos'!I14+I239*'Datos'!I15</x:f>
        <x:v>0.1637281620021282</x:v>
      </x:c>
      <x:c r="J249" s="34" t="n">
        <x:f>SUM(B249:I249)</x:f>
        <x:v>1</x:v>
      </x:c>
    </x:row>
    <x:row r="250" ht="22" customHeight="1">
      <x:c r="A250" s="31" t="str">
        <x:f>'Datos'!A10</x:f>
        <x:v>A</x:v>
      </x:c>
      <x:c r="B250" s="35" t="n">
        <x:f>B240*'Datos'!B8+C240*'Datos'!B9+D240*'Datos'!B10+E240*'Datos'!B11+F240*'Datos'!B12+G240*'Datos'!B13+H240*'Datos'!B14+I240*'Datos'!B15</x:f>
        <x:v>0.2763487442720505</x:v>
      </x:c>
      <x:c r="C250" s="35" t="n">
        <x:f>B240*'Datos'!C8+C240*'Datos'!C9+D240*'Datos'!C10+E240*'Datos'!C11+F240*'Datos'!C12+G240*'Datos'!C13+H240*'Datos'!C14+I240*'Datos'!C15</x:f>
        <x:v>0.13334929922624345</x:v>
      </x:c>
      <x:c r="D250" s="35" t="n">
        <x:f>B240*'Datos'!D8+C240*'Datos'!D9+D240*'Datos'!D10+E240*'Datos'!D11+F240*'Datos'!D12+G240*'Datos'!D13+H240*'Datos'!D14+I240*'Datos'!D15</x:f>
        <x:v>0.09279247260886489</x:v>
      </x:c>
      <x:c r="E250" s="35" t="n">
        <x:f>B240*'Datos'!E8+C240*'Datos'!E9+D240*'Datos'!E10+E240*'Datos'!E11+F240*'Datos'!E12+G240*'Datos'!E13+H240*'Datos'!E14+I240*'Datos'!E15</x:f>
        <x:v>0.04633380833017563</x:v>
      </x:c>
      <x:c r="F250" s="35" t="n">
        <x:f>B240*'Datos'!F8+C240*'Datos'!F9+D240*'Datos'!F10+E240*'Datos'!F11+F240*'Datos'!F12+G240*'Datos'!F13+H240*'Datos'!F14+I240*'Datos'!F15</x:f>
        <x:v>0.04812806259103982</x:v>
      </x:c>
      <x:c r="G250" s="35" t="n">
        <x:f>B240*'Datos'!G8+C240*'Datos'!G9+D240*'Datos'!G10+E240*'Datos'!G11+F240*'Datos'!G12+G240*'Datos'!G13+H240*'Datos'!G14+I240*'Datos'!G15</x:f>
        <x:v>0.027450374057595373</x:v>
      </x:c>
      <x:c r="H250" s="35" t="n">
        <x:f>B240*'Datos'!H8+C240*'Datos'!H9+D240*'Datos'!H10+E240*'Datos'!H11+F240*'Datos'!H12+G240*'Datos'!H13+H240*'Datos'!H14+I240*'Datos'!H15</x:f>
        <x:v>0.03270009255396726</x:v>
      </x:c>
      <x:c r="I250" s="35" t="n">
        <x:f>B240*'Datos'!I8+C240*'Datos'!I9+D240*'Datos'!I10+E240*'Datos'!I11+F240*'Datos'!I12+G240*'Datos'!I13+H240*'Datos'!I14+I240*'Datos'!I15</x:f>
        <x:v>0.34289714636006335</x:v>
      </x:c>
      <x:c r="J250" s="34" t="n">
        <x:f>SUM(B250:I250)</x:f>
        <x:v>1.0000000000000002</x:v>
      </x:c>
    </x:row>
    <x:row r="251" ht="22" customHeight="1">
      <x:c r="A251" s="31" t="str">
        <x:f>'Datos'!A11</x:f>
        <x:v>Baa</x:v>
      </x:c>
      <x:c r="B251" s="35" t="n">
        <x:f>B241*'Datos'!B8+C241*'Datos'!B9+D241*'Datos'!B10+E241*'Datos'!B11+F241*'Datos'!B12+G241*'Datos'!B13+H241*'Datos'!B14+I241*'Datos'!B15</x:f>
        <x:v>0.20232364832796698</x:v>
      </x:c>
      <x:c r="C251" s="35" t="n">
        <x:f>B241*'Datos'!C8+C241*'Datos'!C9+D241*'Datos'!C10+E241*'Datos'!C11+F241*'Datos'!C12+G241*'Datos'!C13+H241*'Datos'!C14+I241*'Datos'!C15</x:f>
        <x:v>0.09874471286161776</x:v>
      </x:c>
      <x:c r="D251" s="35" t="n">
        <x:f>B241*'Datos'!D8+C241*'Datos'!D9+D241*'Datos'!D10+E241*'Datos'!D11+F241*'Datos'!D12+G241*'Datos'!D13+H241*'Datos'!D14+I241*'Datos'!D15</x:f>
        <x:v>0.07059470656181617</x:v>
      </x:c>
      <x:c r="E251" s="35" t="n">
        <x:f>B241*'Datos'!E8+C241*'Datos'!E9+D241*'Datos'!E10+E241*'Datos'!E11+F241*'Datos'!E12+G241*'Datos'!E13+H241*'Datos'!E14+I241*'Datos'!E15</x:f>
        <x:v>0.03596784503595957</x:v>
      </x:c>
      <x:c r="F251" s="35" t="n">
        <x:f>B241*'Datos'!F8+C241*'Datos'!F9+D241*'Datos'!F10+E241*'Datos'!F11+F241*'Datos'!F12+G241*'Datos'!F13+H241*'Datos'!F14+I241*'Datos'!F15</x:f>
        <x:v>0.03937320696986667</x:v>
      </x:c>
      <x:c r="G251" s="35" t="n">
        <x:f>B241*'Datos'!G8+C241*'Datos'!G9+D241*'Datos'!G10+E241*'Datos'!G11+F241*'Datos'!G12+G241*'Datos'!G13+H241*'Datos'!G14+I241*'Datos'!G15</x:f>
        <x:v>0.023396527999064214</x:v>
      </x:c>
      <x:c r="H251" s="35" t="n">
        <x:f>B241*'Datos'!H8+C241*'Datos'!H9+D241*'Datos'!H10+E241*'Datos'!H11+F241*'Datos'!H12+G241*'Datos'!H13+H241*'Datos'!H14+I241*'Datos'!H15</x:f>
        <x:v>0.029015015659555034</x:v>
      </x:c>
      <x:c r="I251" s="35" t="n">
        <x:f>B241*'Datos'!I8+C241*'Datos'!I9+D241*'Datos'!I10+E241*'Datos'!I11+F241*'Datos'!I12+G241*'Datos'!I13+H241*'Datos'!I14+I241*'Datos'!I15</x:f>
        <x:v>0.5005843365841539</x:v>
      </x:c>
      <x:c r="J251" s="34" t="n">
        <x:f>SUM(B251:I251)</x:f>
        <x:v>1.0000000000000004</x:v>
      </x:c>
    </x:row>
    <x:row r="252" ht="22" customHeight="1">
      <x:c r="A252" s="31" t="str">
        <x:f>'Datos'!A12</x:f>
        <x:v>Ba</x:v>
      </x:c>
      <x:c r="B252" s="35" t="n">
        <x:f>B242*'Datos'!B8+C242*'Datos'!B9+D242*'Datos'!B10+E242*'Datos'!B11+F242*'Datos'!B12+G242*'Datos'!B13+H242*'Datos'!B14+I242*'Datos'!B15</x:f>
        <x:v>0.08179864424395997</x:v>
      </x:c>
      <x:c r="C252" s="35" t="n">
        <x:f>B242*'Datos'!C8+C242*'Datos'!C9+D242*'Datos'!C10+E242*'Datos'!C11+F242*'Datos'!C12+G242*'Datos'!C13+H242*'Datos'!C14+I242*'Datos'!C15</x:f>
        <x:v>0.04120572553551907</x:v>
      </x:c>
      <x:c r="D252" s="35" t="n">
        <x:f>B242*'Datos'!D8+C242*'Datos'!D9+D242*'Datos'!D10+E242*'Datos'!D11+F242*'Datos'!D12+G242*'Datos'!D13+H242*'Datos'!D14+I242*'Datos'!D15</x:f>
        <x:v>0.03164319414532171</x:v>
      </x:c>
      <x:c r="E252" s="35" t="n">
        <x:f>B242*'Datos'!E8+C242*'Datos'!E9+D242*'Datos'!E10+E242*'Datos'!E11+F242*'Datos'!E12+G242*'Datos'!E13+H242*'Datos'!E14+I242*'Datos'!E15</x:f>
        <x:v>0.016954072508091177</x:v>
      </x:c>
      <x:c r="F252" s="35" t="n">
        <x:f>B242*'Datos'!F8+C242*'Datos'!F9+D242*'Datos'!F10+E242*'Datos'!F11+F242*'Datos'!F12+G242*'Datos'!F13+H242*'Datos'!F14+I242*'Datos'!F15</x:f>
        <x:v>0.02091004909393202</x:v>
      </x:c>
      <x:c r="G252" s="35" t="n">
        <x:f>B242*'Datos'!G8+C242*'Datos'!G9+D242*'Datos'!G10+E242*'Datos'!G11+F242*'Datos'!G12+G242*'Datos'!G13+H242*'Datos'!G14+I242*'Datos'!G15</x:f>
        <x:v>0.01351561814267365</x:v>
      </x:c>
      <x:c r="H252" s="35" t="n">
        <x:f>B242*'Datos'!H8+C242*'Datos'!H9+D242*'Datos'!H10+E242*'Datos'!H11+F242*'Datos'!H12+G242*'Datos'!H13+H242*'Datos'!H14+I242*'Datos'!H15</x:f>
        <x:v>0.018067192499859074</x:v>
      </x:c>
      <x:c r="I252" s="35" t="n">
        <x:f>B242*'Datos'!I8+C242*'Datos'!I9+D242*'Datos'!I10+E242*'Datos'!I11+F242*'Datos'!I12+G242*'Datos'!I13+H242*'Datos'!I14+I242*'Datos'!I15</x:f>
        <x:v>0.7759055038306432</x:v>
      </x:c>
      <x:c r="J252" s="34" t="n">
        <x:f>SUM(B252:I252)</x:f>
        <x:v>0.9999999999999998</x:v>
      </x:c>
    </x:row>
    <x:row r="253" ht="22" customHeight="1">
      <x:c r="A253" s="31" t="str">
        <x:f>'Datos'!A13</x:f>
        <x:v>B</x:v>
      </x:c>
      <x:c r="B253" s="35" t="n">
        <x:f>B243*'Datos'!B8+C243*'Datos'!B9+D243*'Datos'!B10+E243*'Datos'!B11+F243*'Datos'!B12+G243*'Datos'!B13+H243*'Datos'!B14+I243*'Datos'!B15</x:f>
        <x:v>0.02671938477595061</x:v>
      </x:c>
      <x:c r="C253" s="35" t="n">
        <x:f>B243*'Datos'!C8+C243*'Datos'!C9+D243*'Datos'!C10+E243*'Datos'!C11+F243*'Datos'!C12+G243*'Datos'!C13+H243*'Datos'!C14+I243*'Datos'!C15</x:f>
        <x:v>0.013729983973265173</x:v>
      </x:c>
      <x:c r="D253" s="35" t="n">
        <x:f>B243*'Datos'!D8+C243*'Datos'!D9+D243*'Datos'!D10+E243*'Datos'!D11+F243*'Datos'!D12+G243*'Datos'!D13+H243*'Datos'!D14+I243*'Datos'!D15</x:f>
        <x:v>0.011001534501377013</x:v>
      </x:c>
      <x:c r="E253" s="35" t="n">
        <x:f>B243*'Datos'!E8+C243*'Datos'!E9+D243*'Datos'!E10+E243*'Datos'!E11+F243*'Datos'!E12+G243*'Datos'!E13+H243*'Datos'!E14+I243*'Datos'!E15</x:f>
        <x:v>0.006062913844188323</x:v>
      </x:c>
      <x:c r="F253" s="35" t="n">
        <x:f>B243*'Datos'!F8+C243*'Datos'!F9+D243*'Datos'!F10+E243*'Datos'!F11+F243*'Datos'!F12+G243*'Datos'!F13+H243*'Datos'!F14+I243*'Datos'!F15</x:f>
        <x:v>0.007948635693539822</x:v>
      </x:c>
      <x:c r="G253" s="35" t="n">
        <x:f>B243*'Datos'!G8+C243*'Datos'!G9+D243*'Datos'!G10+E243*'Datos'!G11+F243*'Datos'!G12+G243*'Datos'!G13+H243*'Datos'!G14+I243*'Datos'!G15</x:f>
        <x:v>0.005346083612840969</x:v>
      </x:c>
      <x:c r="H253" s="35" t="n">
        <x:f>B243*'Datos'!H8+C243*'Datos'!H9+D243*'Datos'!H10+E243*'Datos'!H11+F243*'Datos'!H12+G243*'Datos'!H13+H243*'Datos'!H14+I243*'Datos'!H15</x:f>
        <x:v>0.007384890987470884</x:v>
      </x:c>
      <x:c r="I253" s="35" t="n">
        <x:f>B243*'Datos'!I8+C243*'Datos'!I9+D243*'Datos'!I10+E243*'Datos'!I11+F243*'Datos'!I12+G243*'Datos'!I13+H243*'Datos'!I14+I243*'Datos'!I15</x:f>
        <x:v>0.921806572611367</x:v>
      </x:c>
      <x:c r="J253" s="34" t="n">
        <x:f>SUM(B253:I253)</x:f>
        <x:v>0.9999999999999998</x:v>
      </x:c>
    </x:row>
    <x:row r="254" ht="22" customHeight="1">
      <x:c r="A254" s="31" t="str">
        <x:f>'Datos'!A14</x:f>
        <x:v>Caa-C</x:v>
      </x:c>
      <x:c r="B254" s="35" t="n">
        <x:f>B244*'Datos'!B8+C244*'Datos'!B9+D244*'Datos'!B10+E244*'Datos'!B11+F244*'Datos'!B12+G244*'Datos'!B13+H244*'Datos'!B14+I244*'Datos'!B15</x:f>
        <x:v>0.007668227492967057</x:v>
      </x:c>
      <x:c r="C254" s="35" t="n">
        <x:f>B244*'Datos'!C8+C244*'Datos'!C9+D244*'Datos'!C10+E244*'Datos'!C11+F244*'Datos'!C12+G244*'Datos'!C13+H244*'Datos'!C14+I244*'Datos'!C15</x:f>
        <x:v>0.004046627945906667</x:v>
      </x:c>
      <x:c r="D254" s="35" t="n">
        <x:f>B244*'Datos'!D8+C244*'Datos'!D9+D244*'Datos'!D10+E244*'Datos'!D11+F244*'Datos'!D12+G244*'Datos'!D13+H244*'Datos'!D14+I244*'Datos'!D15</x:f>
        <x:v>0.003419868950239373</x:v>
      </x:c>
      <x:c r="E254" s="35" t="n">
        <x:f>B244*'Datos'!E8+C244*'Datos'!E9+D244*'Datos'!E10+E244*'Datos'!E11+F244*'Datos'!E12+G244*'Datos'!E13+H244*'Datos'!E14+I244*'Datos'!E15</x:f>
        <x:v>0.0019476566264590065</x:v>
      </x:c>
      <x:c r="F254" s="35" t="n">
        <x:f>B244*'Datos'!F8+C244*'Datos'!F9+D244*'Datos'!F10+E244*'Datos'!F11+F244*'Datos'!F12+G244*'Datos'!F13+H244*'Datos'!F14+I244*'Datos'!F15</x:f>
        <x:v>0.0027259611005869835</x:v>
      </x:c>
      <x:c r="G254" s="35" t="n">
        <x:f>B244*'Datos'!G8+C244*'Datos'!G9+D244*'Datos'!G10+E244*'Datos'!G11+F244*'Datos'!G12+G244*'Datos'!G13+H244*'Datos'!G14+I244*'Datos'!G15</x:f>
        <x:v>0.0019061762275239668</x:v>
      </x:c>
      <x:c r="H254" s="35" t="n">
        <x:f>B244*'Datos'!H8+C244*'Datos'!H9+D244*'Datos'!H10+E244*'Datos'!H11+F244*'Datos'!H12+G244*'Datos'!H13+H244*'Datos'!H14+I244*'Datos'!H15</x:f>
        <x:v>0.0027137133727612164</x:v>
      </x:c>
      <x:c r="I254" s="35" t="n">
        <x:f>B244*'Datos'!I8+C244*'Datos'!I9+D244*'Datos'!I10+E244*'Datos'!I11+F244*'Datos'!I12+G244*'Datos'!I13+H244*'Datos'!I14+I244*'Datos'!I15</x:f>
        <x:v>0.9755717682835554</x:v>
      </x:c>
      <x:c r="J254" s="34" t="n">
        <x:f>SUM(B254:I254)</x:f>
        <x:v>0.9999999999999997</x:v>
      </x:c>
    </x:row>
    <x:row r="255" ht="22" customHeight="1">
      <x:c r="A255" s="31" t="str">
        <x:f>'Datos'!A15</x:f>
        <x:v>Default</x:v>
      </x:c>
      <x:c r="B255" s="35" t="n">
        <x:f>B245*'Datos'!B8+C245*'Datos'!B9+D245*'Datos'!B10+E245*'Datos'!B11+F245*'Datos'!B12+G245*'Datos'!B13+H245*'Datos'!B14+I245*'Datos'!B15</x:f>
        <x:v>0</x:v>
      </x:c>
      <x:c r="C255" s="35" t="n">
        <x:f>B245*'Datos'!C8+C245*'Datos'!C9+D245*'Datos'!C10+E245*'Datos'!C11+F245*'Datos'!C12+G245*'Datos'!C13+H245*'Datos'!C14+I245*'Datos'!C15</x:f>
        <x:v>0</x:v>
      </x:c>
      <x:c r="D255" s="35" t="n">
        <x:f>B245*'Datos'!D8+C245*'Datos'!D9+D245*'Datos'!D10+E245*'Datos'!D11+F245*'Datos'!D12+G245*'Datos'!D13+H245*'Datos'!D14+I245*'Datos'!D15</x:f>
        <x:v>0</x:v>
      </x:c>
      <x:c r="E255" s="35" t="n">
        <x:f>B245*'Datos'!E8+C245*'Datos'!E9+D245*'Datos'!E10+E245*'Datos'!E11+F245*'Datos'!E12+G245*'Datos'!E13+H245*'Datos'!E14+I245*'Datos'!E15</x:f>
        <x:v>0</x:v>
      </x:c>
      <x:c r="F255" s="35" t="n">
        <x:f>B245*'Datos'!F8+C245*'Datos'!F9+D245*'Datos'!F10+E245*'Datos'!F11+F245*'Datos'!F12+G245*'Datos'!F13+H245*'Datos'!F14+I245*'Datos'!F15</x:f>
        <x:v>0</x:v>
      </x:c>
      <x:c r="G255" s="35" t="n">
        <x:f>B245*'Datos'!G8+C245*'Datos'!G9+D245*'Datos'!G10+E245*'Datos'!G11+F245*'Datos'!G12+G245*'Datos'!G13+H245*'Datos'!G14+I245*'Datos'!G15</x:f>
        <x:v>0</x:v>
      </x:c>
      <x:c r="H255" s="35" t="n">
        <x:f>B245*'Datos'!H8+C245*'Datos'!H9+D245*'Datos'!H10+E245*'Datos'!H11+F245*'Datos'!H12+G245*'Datos'!H13+H245*'Datos'!H14+I245*'Datos'!H15</x:f>
        <x:v>0</x:v>
      </x:c>
      <x:c r="I255" s="35" t="n">
        <x:f>B245*'Datos'!I8+C245*'Datos'!I9+D245*'Datos'!I10+E245*'Datos'!I11+F245*'Datos'!I12+G245*'Datos'!I13+H245*'Datos'!I14+I245*'Datos'!I15</x:f>
        <x:v>1</x:v>
      </x:c>
      <x:c r="J255" s="34" t="n">
        <x:f>SUM(B255:I255)</x:f>
        <x:v>1</x:v>
      </x:c>
    </x:row>
    <x:row r="256" ht="22" customHeight="1">
      <x:c r="A256" s="2"/>
      <x:c r="B256" s="2"/>
      <x:c r="C256" s="2"/>
      <x:c r="D256" s="2"/>
      <x:c r="E256" s="2"/>
      <x:c r="F256" s="2"/>
      <x:c r="G256" s="2"/>
      <x:c r="H256" s="2"/>
      <x:c r="I256" s="2"/>
      <x:c r="J256" s="2"/>
    </x:row>
    <x:row r="257" ht="36" customHeight="1">
      <x:c r="A257" s="13" t="str">
        <x:v>P^25</x:v>
      </x:c>
      <x:c r="B257" s="13" t="str">
        <x:v>Aaa</x:v>
      </x:c>
      <x:c r="C257" s="13" t="str">
        <x:v>Aa</x:v>
      </x:c>
      <x:c r="D257" s="13" t="str">
        <x:v>A</x:v>
      </x:c>
      <x:c r="E257" s="13" t="str">
        <x:v>Baa</x:v>
      </x:c>
      <x:c r="F257" s="13" t="str">
        <x:v>Ba</x:v>
      </x:c>
      <x:c r="G257" s="13" t="str">
        <x:v>B</x:v>
      </x:c>
      <x:c r="H257" s="13" t="str">
        <x:v>Caa-C</x:v>
      </x:c>
      <x:c r="I257" s="13" t="str">
        <x:v>Default</x:v>
      </x:c>
      <x:c r="J257" s="13" t="str">
        <x:v>Suma</x:v>
      </x:c>
    </x:row>
    <x:row r="258" ht="22" customHeight="1">
      <x:c r="A258" s="31" t="str">
        <x:f>'Datos'!A8</x:f>
        <x:v>Aaa</x:v>
      </x:c>
      <x:c r="B258" s="35" t="n">
        <x:f>B248*'Datos'!B8+C248*'Datos'!B9+D248*'Datos'!B10+E248*'Datos'!B11+F248*'Datos'!B12+G248*'Datos'!B13+H248*'Datos'!B14+I248*'Datos'!B15</x:f>
        <x:v>0.3752727797472757</x:v>
      </x:c>
      <x:c r="C258" s="35" t="n">
        <x:f>B248*'Datos'!C8+C248*'Datos'!C9+D248*'Datos'!C10+E248*'Datos'!C11+F248*'Datos'!C12+G248*'Datos'!C13+H248*'Datos'!C14+I248*'Datos'!C15</x:f>
        <x:v>0.17821506051881694</x:v>
      </x:c>
      <x:c r="D258" s="35" t="n">
        <x:f>B248*'Datos'!D8+C248*'Datos'!D9+D248*'Datos'!D10+E248*'Datos'!D11+F248*'Datos'!D12+G248*'Datos'!D13+H248*'Datos'!D14+I248*'Datos'!D15</x:f>
        <x:v>0.11925155277226034</x:v>
      </x:c>
      <x:c r="E258" s="35" t="n">
        <x:f>B248*'Datos'!E8+C248*'Datos'!E9+D248*'Datos'!E10+E248*'Datos'!E11+F248*'Datos'!E12+G248*'Datos'!E13+H248*'Datos'!E14+I248*'Datos'!E15</x:f>
        <x:v>0.05776806119833242</x:v>
      </x:c>
      <x:c r="F258" s="35" t="n">
        <x:f>B248*'Datos'!F8+C248*'Datos'!F9+D248*'Datos'!F10+E248*'Datos'!F11+F248*'Datos'!F12+G248*'Datos'!F13+H248*'Datos'!F14+I248*'Datos'!F15</x:f>
        <x:v>0.05514405445689287</x:v>
      </x:c>
      <x:c r="G258" s="35" t="n">
        <x:f>B248*'Datos'!G8+C248*'Datos'!G9+D248*'Datos'!G10+E248*'Datos'!G11+F248*'Datos'!G12+G248*'Datos'!G13+H248*'Datos'!G14+I248*'Datos'!G15</x:f>
        <x:v>0.029272377639875113</x:v>
      </x:c>
      <x:c r="H258" s="35" t="n">
        <x:f>B248*'Datos'!H8+C248*'Datos'!H9+D248*'Datos'!H10+E248*'Datos'!H11+F248*'Datos'!H12+G248*'Datos'!H13+H248*'Datos'!H14+I248*'Datos'!H15</x:f>
        <x:v>0.032274441886242</x:v>
      </x:c>
      <x:c r="I258" s="35" t="n">
        <x:f>B248*'Datos'!I8+C248*'Datos'!I9+D248*'Datos'!I10+E248*'Datos'!I11+F248*'Datos'!I12+G248*'Datos'!I13+H248*'Datos'!I14+I248*'Datos'!I15</x:f>
        <x:v>0.1528016717803049</x:v>
      </x:c>
      <x:c r="J258" s="34" t="n">
        <x:f>SUM(B258:I258)</x:f>
        <x:v>1.0000000000000002</x:v>
      </x:c>
    </x:row>
    <x:row r="259" ht="22" customHeight="1">
      <x:c r="A259" s="31" t="str">
        <x:f>'Datos'!A9</x:f>
        <x:v>Aa</x:v>
      </x:c>
      <x:c r="B259" s="35" t="n">
        <x:f>B249*'Datos'!B8+C249*'Datos'!B9+D249*'Datos'!B10+E249*'Datos'!B11+F249*'Datos'!B12+G249*'Datos'!B13+H249*'Datos'!B14+I249*'Datos'!B15</x:f>
        <x:v>0.3634201654619484</x:v>
      </x:c>
      <x:c r="C259" s="35" t="n">
        <x:f>B249*'Datos'!C8+C249*'Datos'!C9+D249*'Datos'!C10+E249*'Datos'!C11+F249*'Datos'!C12+G249*'Datos'!C13+H249*'Datos'!C14+I249*'Datos'!C15</x:f>
        <x:v>0.1728489142412645</x:v>
      </x:c>
      <x:c r="D259" s="35" t="n">
        <x:f>B249*'Datos'!D8+C249*'Datos'!D9+D249*'Datos'!D10+E249*'Datos'!D11+F249*'Datos'!D12+G249*'Datos'!D13+H249*'Datos'!D14+I249*'Datos'!D15</x:f>
        <x:v>0.11610270565283617</x:v>
      </x:c>
      <x:c r="E259" s="35" t="n">
        <x:f>B249*'Datos'!E8+C249*'Datos'!E9+D249*'Datos'!E10+E249*'Datos'!E11+F249*'Datos'!E12+G249*'Datos'!E13+H249*'Datos'!E14+I249*'Datos'!E15</x:f>
        <x:v>0.056413795094595286</x:v>
      </x:c>
      <x:c r="F259" s="35" t="n">
        <x:f>B249*'Datos'!F8+C249*'Datos'!F9+D249*'Datos'!F10+E249*'Datos'!F11+F249*'Datos'!F12+G249*'Datos'!F13+H249*'Datos'!F14+I249*'Datos'!F15</x:f>
        <x:v>0.05433220467199294</x:v>
      </x:c>
      <x:c r="G259" s="35" t="n">
        <x:f>B249*'Datos'!G8+C249*'Datos'!G9+D249*'Datos'!G10+E249*'Datos'!G11+F249*'Datos'!G12+G249*'Datos'!G13+H249*'Datos'!G14+I249*'Datos'!G15</x:f>
        <x:v>0.029075010527989175</x:v>
      </x:c>
      <x:c r="H259" s="35" t="n">
        <x:f>B249*'Datos'!H8+C249*'Datos'!H9+D249*'Datos'!H10+E249*'Datos'!H11+F249*'Datos'!H12+G249*'Datos'!H13+H249*'Datos'!H14+I249*'Datos'!H15</x:f>
        <x:v>0.0323550755450555</x:v>
      </x:c>
      <x:c r="I259" s="35" t="n">
        <x:f>B249*'Datos'!I8+C249*'Datos'!I9+D249*'Datos'!I10+E249*'Datos'!I11+F249*'Datos'!I12+G249*'Datos'!I13+H249*'Datos'!I14+I249*'Datos'!I15</x:f>
        <x:v>0.17545212880431793</x:v>
      </x:c>
      <x:c r="J259" s="34" t="n">
        <x:f>SUM(B259:I259)</x:f>
        <x:v>1</x:v>
      </x:c>
    </x:row>
    <x:row r="260" ht="22" customHeight="1">
      <x:c r="A260" s="31" t="str">
        <x:f>'Datos'!A10</x:f>
        <x:v>A</x:v>
      </x:c>
      <x:c r="B260" s="35" t="n">
        <x:f>B250*'Datos'!B8+C250*'Datos'!B9+D250*'Datos'!B10+E250*'Datos'!B11+F250*'Datos'!B12+G250*'Datos'!B13+H250*'Datos'!B14+I250*'Datos'!B15</x:f>
        <x:v>0.27272973015444607</x:v>
      </x:c>
      <x:c r="C260" s="35" t="n">
        <x:f>B250*'Datos'!C8+C250*'Datos'!C9+D250*'Datos'!C10+E250*'Datos'!C11+F250*'Datos'!C12+G250*'Datos'!C13+H250*'Datos'!C14+I250*'Datos'!C15</x:f>
        <x:v>0.13138606887600393</x:v>
      </x:c>
      <x:c r="D260" s="35" t="n">
        <x:f>B250*'Datos'!D8+C250*'Datos'!D9+D250*'Datos'!D10+E250*'Datos'!D11+F250*'Datos'!D12+G250*'Datos'!D13+H250*'Datos'!D14+I250*'Datos'!D15</x:f>
        <x:v>0.09107528826272332</x:v>
      </x:c>
      <x:c r="E260" s="35" t="n">
        <x:f>B250*'Datos'!E8+C250*'Datos'!E9+D250*'Datos'!E10+E250*'Datos'!E11+F250*'Datos'!E12+G250*'Datos'!E13+H250*'Datos'!E14+I250*'Datos'!E15</x:f>
        <x:v>0.04534972175682268</x:v>
      </x:c>
      <x:c r="F260" s="35" t="n">
        <x:f>B250*'Datos'!F8+C250*'Datos'!F9+D250*'Datos'!F10+E250*'Datos'!F11+F250*'Datos'!F12+G250*'Datos'!F13+H250*'Datos'!F14+I250*'Datos'!F15</x:f>
        <x:v>0.04677360065785392</x:v>
      </x:c>
      <x:c r="G260" s="35" t="n">
        <x:f>B250*'Datos'!G8+C250*'Datos'!G9+D250*'Datos'!G10+E250*'Datos'!G11+F250*'Datos'!G12+G250*'Datos'!G13+H250*'Datos'!G14+I250*'Datos'!G15</x:f>
        <x:v>0.026539577129649352</x:v>
      </x:c>
      <x:c r="H260" s="35" t="n">
        <x:f>B250*'Datos'!H8+C250*'Datos'!H9+D250*'Datos'!H10+E250*'Datos'!H11+F250*'Datos'!H12+G250*'Datos'!H13+H250*'Datos'!H14+I250*'Datos'!H15</x:f>
        <x:v>0.031457622135085433</x:v>
      </x:c>
      <x:c r="I260" s="35" t="n">
        <x:f>B250*'Datos'!I8+C250*'Datos'!I9+D250*'Datos'!I10+E250*'Datos'!I11+F250*'Datos'!I12+G250*'Datos'!I13+H250*'Datos'!I14+I250*'Datos'!I15</x:f>
        <x:v>0.3546883910274156</x:v>
      </x:c>
      <x:c r="J260" s="34" t="n">
        <x:f>SUM(B260:I260)</x:f>
        <x:v>1.0000000000000004</x:v>
      </x:c>
    </x:row>
    <x:row r="261" ht="22" customHeight="1">
      <x:c r="A261" s="31" t="str">
        <x:f>'Datos'!A11</x:f>
        <x:v>Baa</x:v>
      </x:c>
      <x:c r="B261" s="35" t="n">
        <x:f>B251*'Datos'!B8+C251*'Datos'!B9+D251*'Datos'!B10+E251*'Datos'!B11+F251*'Datos'!B12+G251*'Datos'!B13+H251*'Datos'!B14+I251*'Datos'!B15</x:f>
        <x:v>0.2000823631880856</x:v>
      </x:c>
      <x:c r="C261" s="35" t="n">
        <x:f>B251*'Datos'!C8+C251*'Datos'!C9+D251*'Datos'!C10+E251*'Datos'!C11+F251*'Datos'!C12+G251*'Datos'!C13+H251*'Datos'!C14+I251*'Datos'!C15</x:f>
        <x:v>0.0973332474494393</x:v>
      </x:c>
      <x:c r="D261" s="35" t="n">
        <x:f>B251*'Datos'!D8+C251*'Datos'!D9+D251*'Datos'!D10+E251*'Datos'!D11+F251*'Datos'!D12+G251*'Datos'!D13+H251*'Datos'!D14+I251*'Datos'!D15</x:f>
        <x:v>0.06906738740227657</x:v>
      </x:c>
      <x:c r="E261" s="35" t="n">
        <x:f>B251*'Datos'!E8+C251*'Datos'!E9+D251*'Datos'!E10+E251*'Datos'!E11+F251*'Datos'!E12+G251*'Datos'!E13+H251*'Datos'!E14+I251*'Datos'!E15</x:f>
        <x:v>0.035002926952514925</x:v>
      </x:c>
      <x:c r="F261" s="35" t="n">
        <x:f>B251*'Datos'!F8+C251*'Datos'!F9+D251*'Datos'!F10+E251*'Datos'!F11+F251*'Datos'!F12+G251*'Datos'!F13+H251*'Datos'!F14+I251*'Datos'!F15</x:f>
        <x:v>0.03782163362081466</x:v>
      </x:c>
      <x:c r="G261" s="35" t="n">
        <x:f>B251*'Datos'!G8+C251*'Datos'!G9+D251*'Datos'!G10+E251*'Datos'!G11+F251*'Datos'!G12+G251*'Datos'!G13+H251*'Datos'!G14+I251*'Datos'!G15</x:f>
        <x:v>0.022268398418574593</x:v>
      </x:c>
      <x:c r="H261" s="35" t="n">
        <x:f>B251*'Datos'!H8+C251*'Datos'!H9+D251*'Datos'!H10+E251*'Datos'!H11+F251*'Datos'!H12+G251*'Datos'!H13+H251*'Datos'!H14+I251*'Datos'!H15</x:f>
        <x:v>0.027383623481019904</x:v>
      </x:c>
      <x:c r="I261" s="35" t="n">
        <x:f>B251*'Datos'!I8+C251*'Datos'!I9+D251*'Datos'!I10+E251*'Datos'!I11+F251*'Datos'!I12+G251*'Datos'!I13+H251*'Datos'!I14+I251*'Datos'!I15</x:f>
        <x:v>0.5110404194872747</x:v>
      </x:c>
      <x:c r="J261" s="34" t="n">
        <x:f>SUM(B261:I261)</x:f>
        <x:v>1.0000000000000002</x:v>
      </x:c>
    </x:row>
    <x:row r="262" ht="22" customHeight="1">
      <x:c r="A262" s="31" t="str">
        <x:f>'Datos'!A12</x:f>
        <x:v>Ba</x:v>
      </x:c>
      <x:c r="B262" s="35" t="n">
        <x:f>B252*'Datos'!B8+C252*'Datos'!B9+D252*'Datos'!B10+E252*'Datos'!B11+F252*'Datos'!B12+G252*'Datos'!B13+H252*'Datos'!B14+I252*'Datos'!B15</x:f>
        <x:v>0.08136308168063097</x:v>
      </x:c>
      <x:c r="C262" s="35" t="n">
        <x:f>B252*'Datos'!C8+C252*'Datos'!C9+D252*'Datos'!C10+E252*'Datos'!C11+F252*'Datos'!C12+G252*'Datos'!C13+H252*'Datos'!C14+I252*'Datos'!C15</x:f>
        <x:v>0.040673060130083066</x:v>
      </x:c>
      <x:c r="D262" s="35" t="n">
        <x:f>B252*'Datos'!D8+C252*'Datos'!D9+D252*'Datos'!D10+E252*'Datos'!D11+F252*'Datos'!D12+G252*'Datos'!D13+H252*'Datos'!D14+I252*'Datos'!D15</x:f>
        <x:v>0.030721637711996767</x:v>
      </x:c>
      <x:c r="E262" s="35" t="n">
        <x:f>B252*'Datos'!E8+C252*'Datos'!E9+D252*'Datos'!E10+E252*'Datos'!E11+F252*'Datos'!E12+G252*'Datos'!E13+H252*'Datos'!E14+I252*'Datos'!E15</x:f>
        <x:v>0.016280521702804803</x:v>
      </x:c>
      <x:c r="F262" s="35" t="n">
        <x:f>B252*'Datos'!F8+C252*'Datos'!F9+D252*'Datos'!F10+E252*'Datos'!F11+F252*'Datos'!F12+G252*'Datos'!F13+H252*'Datos'!F14+I252*'Datos'!F15</x:f>
        <x:v>0.019602105608643557</x:v>
      </x:c>
      <x:c r="G262" s="35" t="n">
        <x:f>B252*'Datos'!G8+C252*'Datos'!G9+D252*'Datos'!G10+E252*'Datos'!G11+F252*'Datos'!G12+G252*'Datos'!G13+H252*'Datos'!G14+I252*'Datos'!G15</x:f>
        <x:v>0.01247825815747943</x:v>
      </x:c>
      <x:c r="H262" s="35" t="n">
        <x:f>B252*'Datos'!H8+C252*'Datos'!H9+D252*'Datos'!H10+E252*'Datos'!H11+F252*'Datos'!H12+G252*'Datos'!H13+H252*'Datos'!H14+I252*'Datos'!H15</x:f>
        <x:v>0.016471971170653996</x:v>
      </x:c>
      <x:c r="I262" s="35" t="n">
        <x:f>B252*'Datos'!I8+C252*'Datos'!I9+D252*'Datos'!I10+E252*'Datos'!I11+F252*'Datos'!I12+G252*'Datos'!I13+H252*'Datos'!I14+I252*'Datos'!I15</x:f>
        <x:v>0.7824093638377072</x:v>
      </x:c>
      <x:c r="J262" s="34" t="n">
        <x:f>SUM(B262:I262)</x:f>
        <x:v>0.9999999999999998</x:v>
      </x:c>
    </x:row>
    <x:row r="263" ht="22" customHeight="1">
      <x:c r="A263" s="31" t="str">
        <x:f>'Datos'!A13</x:f>
        <x:v>B</x:v>
      </x:c>
      <x:c r="B263" s="35" t="n">
        <x:f>B253*'Datos'!B8+C253*'Datos'!B9+D253*'Datos'!B10+E253*'Datos'!B11+F253*'Datos'!B12+G253*'Datos'!B13+H253*'Datos'!B14+I253*'Datos'!B15</x:f>
        <x:v>0.02667637375689631</x:v>
      </x:c>
      <x:c r="C263" s="35" t="n">
        <x:f>B253*'Datos'!C8+C253*'Datos'!C9+D253*'Datos'!C10+E253*'Datos'!C11+F253*'Datos'!C12+G253*'Datos'!C13+H253*'Datos'!C14+I253*'Datos'!C15</x:f>
        <x:v>0.013566352164265294</x:v>
      </x:c>
      <x:c r="D263" s="35" t="n">
        <x:f>B253*'Datos'!D8+C253*'Datos'!D9+D253*'Datos'!D10+E253*'Datos'!D11+F253*'Datos'!D12+G253*'Datos'!D13+H253*'Datos'!D14+I253*'Datos'!D15</x:f>
        <x:v>0.01063853653417153</x:v>
      </x:c>
      <x:c r="E263" s="35" t="n">
        <x:f>B253*'Datos'!E8+C253*'Datos'!E9+D253*'Datos'!E10+E253*'Datos'!E11+F253*'Datos'!E12+G253*'Datos'!E13+H253*'Datos'!E14+I253*'Datos'!E15</x:f>
        <x:v>0.0057826544404567725</x:v>
      </x:c>
      <x:c r="F263" s="35" t="n">
        <x:f>B253*'Datos'!F8+C253*'Datos'!F9+D253*'Datos'!F10+E253*'Datos'!F11+F253*'Datos'!F12+G253*'Datos'!F13+H253*'Datos'!F14+I253*'Datos'!F15</x:f>
        <x:v>0.007367600209867165</x:v>
      </x:c>
      <x:c r="G263" s="35" t="n">
        <x:f>B253*'Datos'!G8+C253*'Datos'!G9+D253*'Datos'!G10+E253*'Datos'!G11+F253*'Datos'!G12+G253*'Datos'!G13+H253*'Datos'!G14+I253*'Datos'!G15</x:f>
        <x:v>0.004869787920722139</x:v>
      </x:c>
      <x:c r="H263" s="35" t="n">
        <x:f>B253*'Datos'!H8+C253*'Datos'!H9+D253*'Datos'!H10+E253*'Datos'!H11+F253*'Datos'!H12+G253*'Datos'!H13+H253*'Datos'!H14+I253*'Datos'!H15</x:f>
        <x:v>0.0066348765683953755</x:v>
      </x:c>
      <x:c r="I263" s="35" t="n">
        <x:f>B253*'Datos'!I8+C253*'Datos'!I9+D253*'Datos'!I10+E253*'Datos'!I11+F253*'Datos'!I12+G253*'Datos'!I13+H253*'Datos'!I14+I253*'Datos'!I15</x:f>
        <x:v>0.9244638184052252</x:v>
      </x:c>
      <x:c r="J263" s="34" t="n">
        <x:f>SUM(B263:I263)</x:f>
        <x:v>0.9999999999999998</x:v>
      </x:c>
    </x:row>
    <x:row r="264" ht="22" customHeight="1">
      <x:c r="A264" s="31" t="str">
        <x:f>'Datos'!A14</x:f>
        <x:v>Caa-C</x:v>
      </x:c>
      <x:c r="B264" s="35" t="n">
        <x:f>B254*'Datos'!B8+C254*'Datos'!B9+D254*'Datos'!B10+E254*'Datos'!B11+F254*'Datos'!B12+G254*'Datos'!B13+H254*'Datos'!B14+I254*'Datos'!B15</x:f>
        <x:v>0.007694929606758735</x:v>
      </x:c>
      <x:c r="C264" s="35" t="n">
        <x:f>B254*'Datos'!C8+C254*'Datos'!C9+D254*'Datos'!C10+E254*'Datos'!C11+F254*'Datos'!C12+G254*'Datos'!C13+H254*'Datos'!C14+I254*'Datos'!C15</x:f>
        <x:v>0.004003917005749287</x:v>
      </x:c>
      <x:c r="D264" s="35" t="n">
        <x:f>B254*'Datos'!D8+C254*'Datos'!D9+D254*'Datos'!D10+E254*'Datos'!D11+F254*'Datos'!D12+G254*'Datos'!D13+H254*'Datos'!D14+I254*'Datos'!D15</x:f>
        <x:v>0.0032914751160619173</x:v>
      </x:c>
      <x:c r="E264" s="35" t="n">
        <x:f>B254*'Datos'!E8+C254*'Datos'!E9+D254*'Datos'!E10+E254*'Datos'!E11+F254*'Datos'!E12+G254*'Datos'!E13+H254*'Datos'!E14+I254*'Datos'!E15</x:f>
        <x:v>0.0018434934785630745</x:v>
      </x:c>
      <x:c r="F264" s="35" t="n">
        <x:f>B254*'Datos'!F8+C254*'Datos'!F9+D254*'Datos'!F10+E254*'Datos'!F11+F254*'Datos'!F12+G254*'Datos'!F13+H254*'Datos'!F14+I254*'Datos'!F15</x:f>
        <x:v>0.0024979560017634687</x:v>
      </x:c>
      <x:c r="G264" s="35" t="n">
        <x:f>B254*'Datos'!G8+C254*'Datos'!G9+D254*'Datos'!G10+E254*'Datos'!G11+F254*'Datos'!G12+G254*'Datos'!G13+H254*'Datos'!G14+I254*'Datos'!G15</x:f>
        <x:v>0.0017143208465329022</x:v>
      </x:c>
      <x:c r="H264" s="35" t="n">
        <x:f>B254*'Datos'!H8+C254*'Datos'!H9+D254*'Datos'!H10+E254*'Datos'!H11+F254*'Datos'!H12+G254*'Datos'!H13+H254*'Datos'!H14+I254*'Datos'!H15</x:f>
        <x:v>0.0024060720233245276</x:v>
      </x:c>
      <x:c r="I264" s="35" t="n">
        <x:f>B254*'Datos'!I8+C254*'Datos'!I9+D254*'Datos'!I10+E254*'Datos'!I11+F254*'Datos'!I12+G254*'Datos'!I13+H254*'Datos'!I14+I254*'Datos'!I15</x:f>
        <x:v>0.9765478359212457</x:v>
      </x:c>
      <x:c r="J264" s="34" t="n">
        <x:f>SUM(B264:I264)</x:f>
        <x:v>0.9999999999999997</x:v>
      </x:c>
    </x:row>
    <x:row r="265" ht="22" customHeight="1">
      <x:c r="A265" s="31" t="str">
        <x:f>'Datos'!A15</x:f>
        <x:v>Default</x:v>
      </x:c>
      <x:c r="B265" s="35" t="n">
        <x:f>B255*'Datos'!B8+C255*'Datos'!B9+D255*'Datos'!B10+E255*'Datos'!B11+F255*'Datos'!B12+G255*'Datos'!B13+H255*'Datos'!B14+I255*'Datos'!B15</x:f>
        <x:v>0</x:v>
      </x:c>
      <x:c r="C265" s="35" t="n">
        <x:f>B255*'Datos'!C8+C255*'Datos'!C9+D255*'Datos'!C10+E255*'Datos'!C11+F255*'Datos'!C12+G255*'Datos'!C13+H255*'Datos'!C14+I255*'Datos'!C15</x:f>
        <x:v>0</x:v>
      </x:c>
      <x:c r="D265" s="35" t="n">
        <x:f>B255*'Datos'!D8+C255*'Datos'!D9+D255*'Datos'!D10+E255*'Datos'!D11+F255*'Datos'!D12+G255*'Datos'!D13+H255*'Datos'!D14+I255*'Datos'!D15</x:f>
        <x:v>0</x:v>
      </x:c>
      <x:c r="E265" s="35" t="n">
        <x:f>B255*'Datos'!E8+C255*'Datos'!E9+D255*'Datos'!E10+E255*'Datos'!E11+F255*'Datos'!E12+G255*'Datos'!E13+H255*'Datos'!E14+I255*'Datos'!E15</x:f>
        <x:v>0</x:v>
      </x:c>
      <x:c r="F265" s="35" t="n">
        <x:f>B255*'Datos'!F8+C255*'Datos'!F9+D255*'Datos'!F10+E255*'Datos'!F11+F255*'Datos'!F12+G255*'Datos'!F13+H255*'Datos'!F14+I255*'Datos'!F15</x:f>
        <x:v>0</x:v>
      </x:c>
      <x:c r="G265" s="35" t="n">
        <x:f>B255*'Datos'!G8+C255*'Datos'!G9+D255*'Datos'!G10+E255*'Datos'!G11+F255*'Datos'!G12+G255*'Datos'!G13+H255*'Datos'!G14+I255*'Datos'!G15</x:f>
        <x:v>0</x:v>
      </x:c>
      <x:c r="H265" s="35" t="n">
        <x:f>B255*'Datos'!H8+C255*'Datos'!H9+D255*'Datos'!H10+E255*'Datos'!H11+F255*'Datos'!H12+G255*'Datos'!H13+H255*'Datos'!H14+I255*'Datos'!H15</x:f>
        <x:v>0</x:v>
      </x:c>
      <x:c r="I265" s="35" t="n">
        <x:f>B255*'Datos'!I8+C255*'Datos'!I9+D255*'Datos'!I10+E255*'Datos'!I11+F255*'Datos'!I12+G255*'Datos'!I13+H255*'Datos'!I14+I255*'Datos'!I15</x:f>
        <x:v>1</x:v>
      </x:c>
      <x:c r="J265" s="34" t="n">
        <x:f>SUM(B265:I265)</x:f>
        <x:v>1</x:v>
      </x:c>
    </x:row>
    <x:row r="266" ht="22" customHeight="1">
      <x:c r="A266" s="2"/>
      <x:c r="B266" s="2"/>
      <x:c r="C266" s="2"/>
      <x:c r="D266" s="2"/>
      <x:c r="E266" s="2"/>
      <x:c r="F266" s="2"/>
      <x:c r="G266" s="2"/>
      <x:c r="H266" s="2"/>
      <x:c r="I266" s="2"/>
      <x:c r="J266" s="2"/>
    </x:row>
    <x:row r="267" ht="22" customHeight="1">
      <x:c r="A267" s="2"/>
      <x:c r="B267" s="2"/>
      <x:c r="C267" s="2"/>
      <x:c r="D267" s="2"/>
      <x:c r="E267" s="2"/>
      <x:c r="F267" s="2"/>
      <x:c r="G267" s="2"/>
      <x:c r="H267" s="2"/>
      <x:c r="I267" s="2"/>
      <x:c r="J267" s="2"/>
    </x:row>
    <x:row r="268" ht="22" customHeight="1">
      <x:c r="A268" s="2"/>
      <x:c r="B268" s="2"/>
      <x:c r="C268" s="2"/>
      <x:c r="D268" s="2"/>
      <x:c r="E268" s="2"/>
      <x:c r="F268" s="2"/>
      <x:c r="G268" s="2"/>
      <x:c r="H268" s="2"/>
      <x:c r="I268" s="2"/>
      <x:c r="J268" s="2"/>
    </x:row>
    <x:row r="269" ht="22" customHeight="1">
      <x:c r="A269" s="2"/>
      <x:c r="B269" s="2"/>
      <x:c r="C269" s="2"/>
      <x:c r="D269" s="2"/>
      <x:c r="E269" s="2"/>
      <x:c r="F269" s="2"/>
      <x:c r="G269" s="2"/>
      <x:c r="H269" s="2"/>
      <x:c r="I269" s="2"/>
      <x:c r="J269" s="2"/>
    </x:row>
    <x:row r="270" ht="22" customHeight="1">
      <x:c r="A270" s="2"/>
      <x:c r="B270" s="2"/>
      <x:c r="C270" s="2"/>
      <x:c r="D270" s="2"/>
      <x:c r="E270" s="2"/>
      <x:c r="F270" s="2"/>
      <x:c r="G270" s="2"/>
      <x:c r="H270" s="2"/>
      <x:c r="I270" s="2"/>
      <x:c r="J270" s="2"/>
    </x:row>
    <x:row r="271" ht="22" customHeight="1">
      <x:c r="A271" s="2"/>
      <x:c r="B271" s="2"/>
      <x:c r="C271" s="2"/>
      <x:c r="D271" s="2"/>
      <x:c r="E271" s="2"/>
      <x:c r="F271" s="2"/>
      <x:c r="G271" s="2"/>
      <x:c r="H271" s="2"/>
      <x:c r="I271" s="2"/>
      <x:c r="J271" s="2"/>
    </x:row>
    <x:row r="272" ht="22" customHeight="1">
      <x:c r="A272" s="2"/>
      <x:c r="B272" s="2"/>
      <x:c r="C272" s="2"/>
      <x:c r="D272" s="2"/>
      <x:c r="E272" s="2"/>
      <x:c r="F272" s="2"/>
      <x:c r="G272" s="2"/>
      <x:c r="H272" s="2"/>
      <x:c r="I272" s="2"/>
      <x:c r="J272" s="2"/>
    </x:row>
    <x:row r="273" ht="22" customHeight="1">
      <x:c r="A273" s="2"/>
      <x:c r="B273" s="2"/>
      <x:c r="C273" s="2"/>
      <x:c r="D273" s="2"/>
      <x:c r="E273" s="2"/>
      <x:c r="F273" s="2"/>
      <x:c r="G273" s="2"/>
      <x:c r="H273" s="2"/>
      <x:c r="I273" s="2"/>
      <x:c r="J273" s="2"/>
    </x:row>
    <x:row r="274" ht="22" customHeight="1">
      <x:c r="A274" s="2"/>
      <x:c r="B274" s="2"/>
      <x:c r="C274" s="2"/>
      <x:c r="D274" s="2"/>
      <x:c r="E274" s="2"/>
      <x:c r="F274" s="2"/>
      <x:c r="G274" s="2"/>
      <x:c r="H274" s="2"/>
      <x:c r="I274" s="2"/>
      <x:c r="J274" s="2"/>
    </x:row>
    <x:row r="275" ht="27" customHeight="1">
      <x:c r="A275" s="10" t="str">
        <x:v>1.a · Probabilidad acumulada Fᵢ(n)</x:v>
      </x:c>
      <x:c r="B275" s="10" t="str">
        <x:v>1.a · Probabilidad acumulada Fᵢ(n)</x:v>
      </x:c>
      <x:c r="C275" s="10" t="str">
        <x:v>1.a · Probabilidad acumulada Fᵢ(n)</x:v>
      </x:c>
      <x:c r="D275" s="10" t="str">
        <x:v>1.a · Probabilidad acumulada Fᵢ(n)</x:v>
      </x:c>
      <x:c r="E275" s="10" t="str">
        <x:v>1.a · Probabilidad acumulada Fᵢ(n)</x:v>
      </x:c>
      <x:c r="F275" s="10" t="str">
        <x:v>1.a · Probabilidad acumulada Fᵢ(n)</x:v>
      </x:c>
      <x:c r="G275" s="10" t="str">
        <x:v>1.a · Probabilidad acumulada Fᵢ(n)</x:v>
      </x:c>
      <x:c r="H275" s="10" t="str">
        <x:v>1.a · Probabilidad acumulada Fᵢ(n)</x:v>
      </x:c>
      <x:c r="I275" s="10" t="str">
        <x:v>1.a · Probabilidad acumulada Fᵢ(n)</x:v>
      </x:c>
      <x:c r="J275" s="10" t="str">
        <x:v>1.a · Probabilidad acumulada Fᵢ(n)</x:v>
      </x:c>
    </x:row>
    <x:row r="276" ht="36" customHeight="1">
      <x:c r="A276" s="13" t="str">
        <x:v>Año</x:v>
      </x:c>
      <x:c r="B276" s="13" t="str">
        <x:v>Aaa</x:v>
      </x:c>
      <x:c r="C276" s="13" t="str">
        <x:v>Aa</x:v>
      </x:c>
      <x:c r="D276" s="13" t="str">
        <x:v>A</x:v>
      </x:c>
      <x:c r="E276" s="13" t="str">
        <x:v>Baa</x:v>
      </x:c>
      <x:c r="F276" s="13" t="str">
        <x:v>Ba</x:v>
      </x:c>
      <x:c r="G276" s="13" t="str">
        <x:v>B</x:v>
      </x:c>
      <x:c r="H276" s="13" t="str">
        <x:v>Caa-C</x:v>
      </x:c>
      <x:c r="I276" s="2"/>
      <x:c r="J276" s="2"/>
    </x:row>
    <x:row r="277" ht="22" customHeight="1">
      <x:c r="A277" s="2" t="n">
        <x:v>1</x:v>
      </x:c>
      <x:c r="B277" s="34" t="n">
        <x:f>I18</x:f>
        <x:v>5.216254094999365e-22</x:v>
      </x:c>
      <x:c r="C277" s="34" t="n">
        <x:f>I19</x:f>
        <x:v>2.3113048019581464e-16</x:v>
      </x:c>
      <x:c r="D277" s="34" t="n">
        <x:f>I20</x:f>
        <x:v>9.94547807356765e-12</x:v>
      </x:c>
      <x:c r="E277" s="34" t="n">
        <x:f>I21</x:f>
        <x:v>2.1532905563759428e-7</x:v>
      </x:c>
      <x:c r="F277" s="34" t="n">
        <x:f>I22</x:f>
        <x:v>0.00012448745897170936</x:v>
      </x:c>
      <x:c r="G277" s="34" t="n">
        <x:f>I23</x:f>
        <x:v>0.006198922845653687</x:v>
      </x:c>
      <x:c r="H277" s="34" t="n">
        <x:f>I24</x:f>
        <x:v>0.3552002361816082</x:v>
      </x:c>
      <x:c r="I277" s="2"/>
      <x:c r="J277" s="2"/>
    </x:row>
    <x:row r="278" ht="22" customHeight="1">
      <x:c r="A278" s="2" t="n">
        <x:v>2</x:v>
      </x:c>
      <x:c r="B278" s="34" t="n">
        <x:f>I28</x:f>
        <x:v>6.246046519588928e-11</x:v>
      </x:c>
      <x:c r="C278" s="34" t="n">
        <x:f>I29</x:f>
        <x:v>7.146648808599094e-9</x:v>
      </x:c>
      <x:c r="D278" s="34" t="n">
        <x:f>I30</x:f>
        <x:v>0.0000030736351867796693</x:v>
      </x:c>
      <x:c r="E278" s="34" t="n">
        <x:f>I31</x:f>
        <x:v>0.0001920847691198835</x:v>
      </x:c>
      <x:c r="F278" s="34" t="n">
        <x:f>I32</x:f>
        <x:v>0.006276458258730638</x:v>
      </x:c>
      <x:c r="G278" s="34" t="n">
        <x:f>I33</x:f>
        <x:v>0.18816838032441846</x:v>
      </x:c>
      <x:c r="H278" s="34" t="n">
        <x:f>I34</x:f>
        <x:v>0.5400228251038722</x:v>
      </x:c>
      <x:c r="I278" s="2"/>
      <x:c r="J278" s="2"/>
    </x:row>
    <x:row r="279" ht="22" customHeight="1">
      <x:c r="A279" s="2" t="n">
        <x:v>3</x:v>
      </x:c>
      <x:c r="B279" s="34" t="n">
        <x:f>I38</x:f>
        <x:v>1.7563980097444551e-7</x:v>
      </x:c>
      <x:c r="C279" s="34" t="n">
        <x:f>I39</x:f>
        <x:v>0.0000034572066796960136</x:v>
      </x:c>
      <x:c r="D279" s="34" t="n">
        <x:f>I40</x:f>
        <x:v>0.00018884512196357597</x:v>
      </x:c>
      <x:c r="E279" s="34" t="n">
        <x:f>I41</x:f>
        <x:v>0.006054064320654201</x:v>
      </x:c>
      <x:c r="F279" s="34" t="n">
        <x:f>I42</x:f>
        <x:v>0.05732915447194955</x:v>
      </x:c>
      <x:c r="G279" s="34" t="n">
        <x:f>I43</x:f>
        <x:v>0.34639079686870466</x:v>
      </x:c>
      <x:c r="H279" s="34" t="n">
        <x:f>I44</x:f>
        <x:v>0.65777530714952</x:v>
      </x:c>
      <x:c r="I279" s="2"/>
      <x:c r="J279" s="2"/>
    </x:row>
    <x:row r="280" ht="22" customHeight="1">
      <x:c r="A280" s="2" t="n">
        <x:v>4</x:v>
      </x:c>
      <x:c r="B280" s="34" t="n">
        <x:f>I48</x:f>
        <x:v>0.00000998902234744546</x:v>
      </x:c>
      <x:c r="C280" s="34" t="n">
        <x:f>I49</x:f>
        <x:v>0.0001137993128592469</x:v>
      </x:c>
      <x:c r="D280" s="34" t="n">
        <x:f>I50</x:f>
        <x:v>0.002770963562815445</x:v>
      </x:c>
      <x:c r="E280" s="34" t="n">
        <x:f>I51</x:f>
        <x:v>0.023950908852873445</x:v>
      </x:c>
      <x:c r="F280" s="34" t="n">
        <x:f>I52</x:f>
        <x:v>0.1306546786992547</x:v>
      </x:c>
      <x:c r="G280" s="34" t="n">
        <x:f>I53</x:f>
        <x:v>0.4677067893884257</x:v>
      </x:c>
      <x:c r="H280" s="34" t="n">
        <x:f>I54</x:f>
        <x:v>0.7381758800687297</x:v>
      </x:c>
      <x:c r="I280" s="2"/>
      <x:c r="J280" s="2"/>
    </x:row>
    <x:row r="281" ht="22" customHeight="1">
      <x:c r="A281" s="2" t="n">
        <x:v>5</x:v>
      </x:c>
      <x:c r="B281" s="34" t="n">
        <x:f>I58</x:f>
        <x:v>0.0001462043658049989</x:v>
      </x:c>
      <x:c r="C281" s="34" t="n">
        <x:f>I59</x:f>
        <x:v>0.0006639813224527685</x:v>
      </x:c>
      <x:c r="D281" s="34" t="n">
        <x:f>I60</x:f>
        <x:v>0.010039876931736986</x:v>
      </x:c>
      <x:c r="E281" s="34" t="n">
        <x:f>I61</x:f>
        <x:v>0.05126157889349471</x:v>
      </x:c>
      <x:c r="F281" s="34" t="n">
        <x:f>I62</x:f>
        <x:v>0.20968173073144664</x:v>
      </x:c>
      <x:c r="G281" s="34" t="n">
        <x:f>I63</x:f>
        <x:v>0.559988933287287</x:v>
      </x:c>
      <x:c r="H281" s="34" t="n">
        <x:f>I64</x:f>
        <x:v>0.7949043829091912</x:v>
      </x:c>
      <x:c r="I281" s="2"/>
      <x:c r="J281" s="2"/>
    </x:row>
    <x:row r="282" ht="22" customHeight="1">
      <x:c r="A282" s="2" t="n">
        <x:v>6</x:v>
      </x:c>
      <x:c r="B282" s="34" t="n">
        <x:f>I68</x:f>
        <x:v>0.0006458370021644292</x:v>
      </x:c>
      <x:c r="C282" s="34" t="n">
        <x:f>I69</x:f>
        <x:v>0.002019457729814197</x:v>
      </x:c>
      <x:c r="D282" s="34" t="n">
        <x:f>I70</x:f>
        <x:v>0.022324187033522583</x:v>
      </x:c>
      <x:c r="E282" s="34" t="n">
        <x:f>I71</x:f>
        <x:v>0.08426600787697706</x:v>
      </x:c>
      <x:c r="F282" s="34" t="n">
        <x:f>I72</x:f>
        <x:v>0.2858151085242281</x:v>
      </x:c>
      <x:c r="G282" s="34" t="n">
        <x:f>I73</x:f>
        <x:v>0.630931042899854</x:v>
      </x:c>
      <x:c r="H282" s="34" t="n">
        <x:f>I74</x:f>
        <x:v>0.8359000483864065</x:v>
      </x:c>
      <x:c r="I282" s="2"/>
      <x:c r="J282" s="2"/>
    </x:row>
    <x:row r="283" ht="22" customHeight="1">
      <x:c r="A283" s="2" t="n">
        <x:v>7</x:v>
      </x:c>
      <x:c r="B283" s="34" t="n">
        <x:f>I78</x:f>
        <x:v>0.0017660248979106375</x:v>
      </x:c>
      <x:c r="C283" s="34" t="n">
        <x:f>I79</x:f>
        <x:v>0.004436174135353211</x:v>
      </x:c>
      <x:c r="D283" s="34" t="n">
        <x:f>I80</x:f>
        <x:v>0.038794852411058824</x:v>
      </x:c>
      <x:c r="E283" s="34" t="n">
        <x:f>I81</x:f>
        <x:v>0.11998281542778882</x:v>
      </x:c>
      <x:c r="F283" s="34" t="n">
        <x:f>I82</x:f>
        <x:v>0.3552646253005081</x:v>
      </x:c>
      <x:c r="G283" s="34" t="n">
        <x:f>I83</x:f>
        <x:v>0.6861760733759514</x:v>
      </x:c>
      <x:c r="H283" s="34" t="n">
        <x:f>I84</x:f>
        <x:v>0.8661531498642896</x:v>
      </x:c>
      <x:c r="I283" s="2"/>
      <x:c r="J283" s="2"/>
    </x:row>
    <x:row r="284" ht="22" customHeight="1">
      <x:c r="A284" s="2" t="n">
        <x:v>8</x:v>
      </x:c>
      <x:c r="B284" s="34" t="n">
        <x:f>I88</x:f>
        <x:v>0.00371702913084825</x:v>
      </x:c>
      <x:c r="C284" s="34" t="n">
        <x:f>I89</x:f>
        <x:v>0.008035985070011789</x:v>
      </x:c>
      <x:c r="D284" s="34" t="n">
        <x:f>I90</x:f>
        <x:v>0.05825324608276912</x:v>
      </x:c>
      <x:c r="E284" s="34" t="n">
        <x:f>I91</x:f>
        <x:v>0.15631486686034735</x:v>
      </x:c>
      <x:c r="F284" s="34" t="n">
        <x:f>I92</x:f>
        <x:v>0.4167931542381858</x:v>
      </x:c>
      <x:c r="G284" s="34" t="n">
        <x:f>I93</x:f>
        <x:v>0.7297321221629153</x:v>
      </x:c>
      <x:c r="H284" s="34" t="n">
        <x:f>I94</x:f>
        <x:v>0.88890722337935</x:v>
      </x:c>
      <x:c r="I284" s="2"/>
      <x:c r="J284" s="2"/>
    </x:row>
    <x:row r="285" ht="22" customHeight="1">
      <x:c r="A285" s="2" t="n">
        <x:v>9</x:v>
      </x:c>
      <x:c r="B285" s="34" t="n">
        <x:f>I98</x:f>
        <x:v>0.006637140905270813</x:v>
      </x:c>
      <x:c r="C285" s="34" t="n">
        <x:f>I99</x:f>
        <x:v>0.012833197277714262</x:v>
      </x:c>
      <x:c r="D285" s="34" t="n">
        <x:f>I100</x:f>
        <x:v>0.07954193925303349</x:v>
      </x:c>
      <x:c r="E285" s="34" t="n">
        <x:f>I101</x:f>
        <x:v>0.19188453217763027</x:v>
      </x:c>
      <x:c r="F285" s="34" t="n">
        <x:f>I102</x:f>
        <x:v>0.47043278720068465</x:v>
      </x:c>
      <x:c r="G285" s="34" t="n">
        <x:f>I103</x:f>
        <x:v>0.7644651045030014</x:v>
      </x:c>
      <x:c r="H285" s="34" t="n">
        <x:f>I104</x:f>
        <x:v>0.9063188100258169</x:v>
      </x:c>
      <x:c r="I285" s="2"/>
      <x:c r="J285" s="2"/>
    </x:row>
    <x:row r="286" ht="22" customHeight="1">
      <x:c r="A286" s="2" t="n">
        <x:v>10</x:v>
      </x:c>
      <x:c r="B286" s="34" t="n">
        <x:f>I108</x:f>
        <x:v>0.010592902060956387</x:v>
      </x:c>
      <x:c r="C286" s="34" t="n">
        <x:f>I109</x:f>
        <x:v>0.01877068693096352</x:v>
      </x:c>
      <x:c r="D286" s="34" t="n">
        <x:f>I110</x:f>
        <x:v>0.10170557806234265</x:v>
      </x:c>
      <x:c r="E286" s="34" t="n">
        <x:f>I111</x:f>
        <x:v>0.2258468004323551</x:v>
      </x:c>
      <x:c r="F286" s="34" t="n">
        <x:f>I112</x:f>
        <x:v>0.5167919659169874</x:v>
      </x:c>
      <x:c r="G286" s="34" t="n">
        <x:f>I113</x:f>
        <x:v>0.7924518830525478</x:v>
      </x:c>
      <x:c r="H286" s="34" t="n">
        <x:f>I114</x:f>
        <x:v>0.919851071690342</x:v>
      </x:c>
      <x:c r="I286" s="2"/>
      <x:c r="J286" s="2"/>
    </x:row>
    <x:row r="287" ht="22" customHeight="1">
      <x:c r="A287" s="2" t="n">
        <x:v>11</x:v>
      </x:c>
      <x:c r="B287" s="34" t="n">
        <x:f>I118</x:f>
        <x:v>0.01559087661832862</x:v>
      </x:c>
      <x:c r="C287" s="34" t="n">
        <x:f>I119</x:f>
        <x:v>0.02575033573171011</x:v>
      </x:c>
      <x:c r="D287" s="34" t="n">
        <x:f>I120</x:f>
        <x:v>0.12402514108925583</x:v>
      </x:c>
      <x:c r="E287" s="34" t="n">
        <x:f>I121</x:f>
        <x:v>0.257733580683231</x:v>
      </x:c>
      <x:c r="F287" s="34" t="n">
        <x:f>I122</x:f>
        <x:v>0.5566935329731396</x:v>
      </x:c>
      <x:c r="G287" s="34" t="n">
        <x:f>I123</x:f>
        <x:v>0.8152187025762052</x:v>
      </x:c>
      <x:c r="H287" s="34" t="n">
        <x:f>I124</x:f>
        <x:v>0.9305161961522053</x:v>
      </x:c>
      <x:c r="I287" s="2"/>
      <x:c r="J287" s="2"/>
    </x:row>
    <x:row r="288" ht="22" customHeight="1">
      <x:c r="A288" s="2" t="n">
        <x:v>12</x:v>
      </x:c>
      <x:c r="B288" s="34" t="n">
        <x:f>I128</x:f>
        <x:v>0.02159282815927012</x:v>
      </x:c>
      <x:c r="C288" s="34" t="n">
        <x:f>I129</x:f>
        <x:v>0.033654721306019895</x:v>
      </x:c>
      <x:c r="D288" s="34" t="n">
        <x:f>I130</x:f>
        <x:v>0.14599704494538557</x:v>
      </x:c>
      <x:c r="E288" s="34" t="n">
        <x:f>I131</x:f>
        <x:v>0.2873345431511407</x:v>
      </x:c>
      <x:c r="F288" s="34" t="n">
        <x:f>I132</x:f>
        <x:v>0.590993291019292</x:v>
      </x:c>
      <x:c r="G288" s="34" t="n">
        <x:f>I133</x:f>
        <x:v>0.8339022488665937</x:v>
      </x:c>
      <x:c r="H288" s="34" t="n">
        <x:f>I134</x:f>
        <x:v>0.9390275912361549</x:v>
      </x:c>
      <x:c r="I288" s="2"/>
      <x:c r="J288" s="2"/>
    </x:row>
    <x:row r="289" ht="22" customHeight="1">
      <x:c r="A289" s="2" t="n">
        <x:v>13</x:v>
      </x:c>
      <x:c r="B289" s="34" t="n">
        <x:f>I138</x:f>
        <x:v>0.028530209293660284</x:v>
      </x:c>
      <x:c r="C289" s="34" t="n">
        <x:f>I139</x:f>
        <x:v>0.042361186154502184</x:v>
      </x:c>
      <x:c r="D289" s="34" t="n">
        <x:f>I140</x:f>
        <x:v>0.16729338163747154</x:v>
      </x:c>
      <x:c r="E289" s="34" t="n">
        <x:f>I141</x:f>
        <x:v>0.3146095724122407</x:v>
      </x:c>
      <x:c r="F289" s="34" t="n">
        <x:f>I142</x:f>
        <x:v>0.6204952935106515</x:v>
      </x:c>
      <x:c r="G289" s="34" t="n">
        <x:f>I143</x:f>
        <x:v>0.8493597455839714</x:v>
      </x:c>
      <x:c r="H289" s="34" t="n">
        <x:f>I144</x:f>
        <x:v>0.9458970811690071</x:v>
      </x:c>
      <x:c r="I289" s="2"/>
      <x:c r="J289" s="2"/>
    </x:row>
    <x:row r="290" ht="22" customHeight="1">
      <x:c r="A290" s="2" t="n">
        <x:v>14</x:v>
      </x:c>
      <x:c r="B290" s="34" t="n">
        <x:f>I148</x:f>
        <x:v>0.03631627518957132</x:v>
      </x:c>
      <x:c r="C290" s="34" t="n">
        <x:f>I149</x:f>
        <x:v>0.051750306520042824</x:v>
      </x:c>
      <x:c r="D290" s="34" t="n">
        <x:f>I150</x:f>
        <x:v>0.18772018596507917</x:v>
      </x:c>
      <x:c r="E290" s="34" t="n">
        <x:f>I151</x:f>
        <x:v>0.3396261777092142</x:v>
      </x:c>
      <x:c r="F290" s="34" t="n">
        <x:f>I152</x:f>
        <x:v>0.6459178215228972</x:v>
      </x:c>
      <x:c r="G290" s="34" t="n">
        <x:f>I153</x:f>
        <x:v>0.8622452587773112</x:v>
      </x:c>
      <x:c r="H290" s="34" t="n">
        <x:f>I154</x:f>
        <x:v>0.9514980374098171</x:v>
      </x:c>
      <x:c r="I290" s="2"/>
      <x:c r="J290" s="2"/>
    </x:row>
    <x:row r="291" ht="22" customHeight="1">
      <x:c r="A291" s="2" t="n">
        <x:v>15</x:v>
      </x:c>
      <x:c r="B291" s="34" t="n">
        <x:f>I158</x:f>
        <x:v>0.04485541407499158</x:v>
      </x:c>
      <x:c r="C291" s="34" t="n">
        <x:f>I159</x:f>
        <x:v>0.06171057546789614</x:v>
      </x:c>
      <x:c r="D291" s="34" t="n">
        <x:f>I160</x:f>
        <x:v>0.2071806746652787</x:v>
      </x:c>
      <x:c r="E291" s="34" t="n">
        <x:f>I161</x:f>
        <x:v>0.3625157460685601</x:v>
      </x:c>
      <x:c r="F291" s="34" t="n">
        <x:f>I162</x:f>
        <x:v>0.6678850017712413</x:v>
      </x:c>
      <x:c r="G291" s="34" t="n">
        <x:f>I163</x:f>
        <x:v>0.8730633036520955</x:v>
      </x:c>
      <x:c r="H291" s="34" t="n">
        <x:f>I164</x:f>
        <x:v>0.9561070862111023</x:v>
      </x:c>
      <x:c r="I291" s="2"/>
      <x:c r="J291" s="2"/>
    </x:row>
    <x:row r="292" ht="22" customHeight="1">
      <x:c r="A292" s="2" t="n">
        <x:v>16</x:v>
      </x:c>
      <x:c r="B292" s="34" t="n">
        <x:f>I168</x:f>
        <x:v>0.05404989400973057</x:v>
      </x:c>
      <x:c r="C292" s="34" t="n">
        <x:f>I169</x:f>
        <x:v>0.0721406572753239</x:v>
      </x:c>
      <x:c r="D292" s="34" t="n">
        <x:f>I170</x:f>
        <x:v>0.22564554545605808</x:v>
      </x:c>
      <x:c r="E292" s="34" t="n">
        <x:f>I171</x:f>
        <x:v>0.38344363301412787</x:v>
      </x:c>
      <x:c r="F292" s="34" t="n">
        <x:f>I172</x:f>
        <x:v>0.6869306275169915</x:v>
      </x:c>
      <x:c r="G292" s="34" t="n">
        <x:f>I173</x:f>
        <x:v>0.8822069948503276</x:v>
      </x:c>
      <x:c r="H292" s="34" t="n">
        <x:f>I174</x:f>
        <x:v>0.9599321320656723</x:v>
      </x:c>
      <x:c r="I292" s="2"/>
      <x:c r="J292" s="2"/>
    </x:row>
    <x:row r="293" ht="22" customHeight="1">
      <x:c r="A293" s="2" t="n">
        <x:v>17</x:v>
      </x:c>
      <x:c r="B293" s="34" t="n">
        <x:f>I178</x:f>
        <x:v>0.06380445859301068</x:v>
      </x:c>
      <x:c r="C293" s="34" t="n">
        <x:f>I179</x:f>
        <x:v>0.0829501477705832</x:v>
      </x:c>
      <x:c r="D293" s="34" t="n">
        <x:f>I180</x:f>
        <x:v>0.24313022699670825</x:v>
      </x:c>
      <x:c r="E293" s="34" t="n">
        <x:f>I181</x:f>
        <x:v>0.40258921318314417</x:v>
      </x:c>
      <x:c r="F293" s="34" t="n">
        <x:f>I182</x:f>
        <x:v>0.7035071172081571</x:v>
      </x:c>
      <x:c r="G293" s="34" t="n">
        <x:f>I183</x:f>
        <x:v>0.8899855300552447</x:v>
      </x:c>
      <x:c r="H293" s="34" t="n">
        <x:f>I184</x:f>
        <x:v>0.963131500097453</x:v>
      </x:c>
      <x:c r="I293" s="2"/>
      <x:c r="J293" s="2"/>
    </x:row>
    <x:row r="294" ht="22" customHeight="1">
      <x:c r="A294" s="2" t="n">
        <x:v>18</x:v>
      </x:c>
      <x:c r="B294" s="34" t="n">
        <x:f>I188</x:f>
        <x:v>0.07402924738871168</x:v>
      </x:c>
      <x:c r="C294" s="34" t="n">
        <x:f>I189</x:f>
        <x:v>0.094059455246028</x:v>
      </x:c>
      <x:c r="D294" s="34" t="n">
        <x:f>I190</x:f>
        <x:v>0.2596781113527513</x:v>
      </x:c>
      <x:c r="E294" s="34" t="n">
        <x:f>I191</x:f>
        <x:v>0.42013298201104665</x:v>
      </x:c>
      <x:c r="F294" s="34" t="n">
        <x:f>I192</x:f>
        <x:v>0.7179960144000803</x:v>
      </x:c>
      <x:c r="G294" s="34" t="n">
        <x:f>I193</x:f>
        <x:v>0.8966442189417251</x:v>
      </x:c>
      <x:c r="H294" s="34" t="n">
        <x:f>I194</x:f>
        <x:v>0.9658272214741929</x:v>
      </x:c>
      <x:c r="I294" s="2"/>
      <x:c r="J294" s="2"/>
    </x:row>
    <x:row r="295" ht="22" customHeight="1">
      <x:c r="A295" s="2" t="n">
        <x:v>19</x:v>
      </x:c>
      <x:c r="B295" s="34" t="n">
        <x:f>I198</x:f>
        <x:v>0.0846414734845382</x:v>
      </x:c>
      <x:c r="C295" s="34" t="n">
        <x:f>I199</x:f>
        <x:v>0.10539919407951513</x:v>
      </x:c>
      <x:c r="D295" s="34" t="n">
        <x:f>I200</x:f>
        <x:v>0.2753485837088007</x:v>
      </x:c>
      <x:c r="E295" s="34" t="n">
        <x:f>I201</x:f>
        <x:v>0.436248572650117</x:v>
      </x:c>
      <x:c r="F295" s="34" t="n">
        <x:f>I202</x:f>
        <x:v>0.7307182959977597</x:v>
      </x:c>
      <x:c r="G295" s="34" t="n">
        <x:f>I203</x:f>
        <x:v>0.9023792401805666</x:v>
      </x:c>
      <x:c r="H295" s="34" t="n">
        <x:f>I204</x:f>
        <x:v>0.9681143945636138</x:v>
      </x:c>
      <x:c r="I295" s="2"/>
      <x:c r="J295" s="2"/>
    </x:row>
    <x:row r="296" ht="22" customHeight="1">
      <x:c r="A296" s="2" t="n">
        <x:v>20</x:v>
      </x:c>
      <x:c r="B296" s="34" t="n">
        <x:f>I208</x:f>
        <x:v>0.09556621616023715</x:v>
      </x:c>
      <x:c r="C296" s="34" t="n">
        <x:f>I209</x:f>
        <x:v>0.11690933534619358</x:v>
      </x:c>
      <x:c r="D296" s="34" t="n">
        <x:f>I210</x:f>
        <x:v>0.2902087313433795</x:v>
      </x:c>
      <x:c r="E296" s="34" t="n">
        <x:f>I211</x:f>
        <x:v>0.4510981443697535</x:v>
      </x:c>
      <x:c r="F296" s="34" t="n">
        <x:f>I212</x:f>
        <x:v>0.7419437375402033</x:v>
      </x:c>
      <x:c r="G296" s="34" t="n">
        <x:f>I213</x:f>
        <x:v>0.9073486284302841</x:v>
      </x:c>
      <x:c r="H296" s="34" t="n">
        <x:f>I214</x:f>
        <x:v>0.9700678760704263</x:v>
      </x:c>
      <x:c r="I296" s="2"/>
      <x:c r="J296" s="2"/>
    </x:row>
    <x:row r="297" ht="22" customHeight="1">
      <x:c r="A297" s="2" t="n">
        <x:v>21</x:v>
      </x:c>
      <x:c r="B297" s="34" t="n">
        <x:f>I218</x:f>
        <x:v>0.10673660854710647</x:v>
      </x:c>
      <x:c r="C297" s="34" t="n">
        <x:f>I219</x:f>
        <x:v>0.12853826301514776</x:v>
      </x:c>
      <x:c r="D297" s="34" t="n">
        <x:f>I220</x:f>
        <x:v>0.3043277861574401</x:v>
      </x:c>
      <x:c r="E297" s="34" t="n">
        <x:f>I221</x:f>
        <x:v>0.46483004083348933</x:v>
      </x:c>
      <x:c r="F297" s="34" t="n">
        <x:f>I222</x:f>
        <x:v>0.7518990857692006</x:v>
      </x:c>
      <x:c r="G297" s="34" t="n">
        <x:f>I223</x:f>
        <x:v>0.9116805369584602</x:v>
      </x:c>
      <x:c r="H297" s="34" t="n">
        <x:f>I224</x:f>
        <x:v>0.971747128611206</x:v>
      </x:c>
      <x:c r="I297" s="2"/>
      <x:c r="J297" s="2"/>
    </x:row>
    <x:row r="298" ht="22" customHeight="1">
      <x:c r="A298" s="2" t="n">
        <x:v>22</x:v>
      </x:c>
      <x:c r="B298" s="34" t="n">
        <x:f>I228</x:f>
        <x:v>0.11809363043566007</x:v>
      </x:c>
      <x:c r="C298" s="34" t="n">
        <x:f>I229</x:f>
        <x:v>0.14024182344381067</x:v>
      </x:c>
      <x:c r="D298" s="34" t="n">
        <x:f>I230</x:f>
        <x:v>0.3177735473849714</x:v>
      </x:c>
      <x:c r="E298" s="34" t="n">
        <x:f>I231</x:f>
        <x:v>0.47757794116970503</x:v>
      </x:c>
      <x:c r="F298" s="34" t="n">
        <x:f>I232</x:f>
        <x:v>0.7607750321738697</x:v>
      </x:c>
      <x:c r="G298" s="34" t="n">
        <x:f>I233</x:f>
        <x:v>0.9154795118185404</x:v>
      </x:c>
      <x:c r="H298" s="34" t="n">
        <x:f>I234</x:f>
        <x:v>0.9731997775115792</x:v>
      </x:c>
      <x:c r="I298" s="2"/>
      <x:c r="J298" s="2"/>
    </x:row>
    <x:row r="299" ht="22" customHeight="1">
      <x:c r="A299" s="2" t="n">
        <x:v>23</x:v>
      </x:c>
      <x:c r="B299" s="34" t="n">
        <x:f>I238</x:f>
        <x:v>0.12958565902691924</x:v>
      </x:c>
      <x:c r="C299" s="34" t="n">
        <x:f>I239</x:f>
        <x:v>0.15198241763733963</x:v>
      </x:c>
      <x:c r="D299" s="34" t="n">
        <x:f>I240</x:f>
        <x:v>0.33061020691948584</x:v>
      </x:c>
      <x:c r="E299" s="34" t="n">
        <x:f>I241</x:f>
        <x:v>0.4894609619158862</x:v>
      </x:c>
      <x:c r="F299" s="34" t="n">
        <x:f>I242</x:f>
        <x:v>0.7687320886031933</x:v>
      </x:c>
      <x:c r="G299" s="34" t="n">
        <x:f>I243</x:f>
        <x:v>0.9188313007918782</x:v>
      </x:c>
      <x:c r="H299" s="34" t="n">
        <x:f>I244</x:f>
        <x:v>0.9744642519226066</x:v>
      </x:c>
      <x:c r="I299" s="2"/>
      <x:c r="J299" s="2"/>
    </x:row>
    <x:row r="300" ht="22" customHeight="1">
      <x:c r="A300" s="2" t="n">
        <x:v>24</x:v>
      </x:c>
      <x:c r="B300" s="34" t="n">
        <x:f>I248</x:f>
        <x:v>0.14116788555063198</x:v>
      </x:c>
      <x:c r="C300" s="34" t="n">
        <x:f>I249</x:f>
        <x:v>0.1637281620021282</x:v>
      </x:c>
      <x:c r="D300" s="34" t="n">
        <x:f>I250</x:f>
        <x:v>0.34289714636006335</x:v>
      </x:c>
      <x:c r="E300" s="34" t="n">
        <x:f>I251</x:f>
        <x:v>0.5005843365841539</x:v>
      </x:c>
      <x:c r="F300" s="34" t="n">
        <x:f>I252</x:f>
        <x:v>0.7759055038306432</x:v>
      </x:c>
      <x:c r="G300" s="34" t="n">
        <x:f>I253</x:f>
        <x:v>0.921806572611367</x:v>
      </x:c>
      <x:c r="H300" s="34" t="n">
        <x:f>I254</x:f>
        <x:v>0.9755717682835554</x:v>
      </x:c>
      <x:c r="I300" s="2"/>
      <x:c r="J300" s="2"/>
    </x:row>
    <x:row r="301" ht="22" customHeight="1">
      <x:c r="A301" s="2" t="n">
        <x:v>25</x:v>
      </x:c>
      <x:c r="B301" s="34" t="n">
        <x:f>I258</x:f>
        <x:v>0.1528016717803049</x:v>
      </x:c>
      <x:c r="C301" s="34" t="n">
        <x:f>I259</x:f>
        <x:v>0.17545212880431793</x:v>
      </x:c>
      <x:c r="D301" s="34" t="n">
        <x:f>I260</x:f>
        <x:v>0.3546883910274156</x:v>
      </x:c>
      <x:c r="E301" s="34" t="n">
        <x:f>I261</x:f>
        <x:v>0.5110404194872747</x:v>
      </x:c>
      <x:c r="F301" s="34" t="n">
        <x:f>I262</x:f>
        <x:v>0.7824093638377072</x:v>
      </x:c>
      <x:c r="G301" s="34" t="n">
        <x:f>I263</x:f>
        <x:v>0.9244638184052252</x:v>
      </x:c>
      <x:c r="H301" s="34" t="n">
        <x:f>I264</x:f>
        <x:v>0.9765478359212457</x:v>
      </x:c>
      <x:c r="I301" s="2"/>
      <x:c r="J301" s="2"/>
    </x:row>
    <x:row r="302" ht="22" customHeight="1">
      <x:c r="A302" s="2"/>
      <x:c r="B302" s="2"/>
      <x:c r="C302" s="2"/>
      <x:c r="D302" s="2"/>
      <x:c r="E302" s="2"/>
      <x:c r="F302" s="2"/>
      <x:c r="G302" s="2"/>
      <x:c r="H302" s="2"/>
      <x:c r="I302" s="2"/>
      <x:c r="J302" s="2"/>
    </x:row>
    <x:row r="303" ht="22" customHeight="1">
      <x:c r="A303" s="2"/>
      <x:c r="B303" s="2"/>
      <x:c r="C303" s="2"/>
      <x:c r="D303" s="2"/>
      <x:c r="E303" s="2"/>
      <x:c r="F303" s="2"/>
      <x:c r="G303" s="2"/>
      <x:c r="H303" s="2"/>
      <x:c r="I303" s="2"/>
      <x:c r="J303" s="2"/>
    </x:row>
    <x:row r="304" ht="22" customHeight="1">
      <x:c r="A304" s="2"/>
      <x:c r="B304" s="2"/>
      <x:c r="C304" s="2"/>
      <x:c r="D304" s="2"/>
      <x:c r="E304" s="2"/>
      <x:c r="F304" s="2"/>
      <x:c r="G304" s="2"/>
      <x:c r="H304" s="2"/>
      <x:c r="I304" s="2"/>
      <x:c r="J304" s="2"/>
    </x:row>
    <x:row r="305" ht="22" customHeight="1">
      <x:c r="A305" s="2"/>
      <x:c r="B305" s="2"/>
      <x:c r="C305" s="2"/>
      <x:c r="D305" s="2"/>
      <x:c r="E305" s="2"/>
      <x:c r="F305" s="2"/>
      <x:c r="G305" s="2"/>
      <x:c r="H305" s="2"/>
      <x:c r="I305" s="2"/>
      <x:c r="J305" s="2"/>
    </x:row>
    <x:row r="306" ht="22" customHeight="1">
      <x:c r="A306" s="2"/>
      <x:c r="B306" s="2"/>
      <x:c r="C306" s="2"/>
      <x:c r="D306" s="2"/>
      <x:c r="E306" s="2"/>
      <x:c r="F306" s="2"/>
      <x:c r="G306" s="2"/>
      <x:c r="H306" s="2"/>
      <x:c r="I306" s="2"/>
      <x:c r="J306" s="2"/>
    </x:row>
    <x:row r="307" ht="27" customHeight="1">
      <x:c r="A307" s="10" t="str">
        <x:v>1.a · Probabilidad de primer default fᵢ(n)</x:v>
      </x:c>
      <x:c r="B307" s="10" t="str">
        <x:v>1.a · Probabilidad de primer default fᵢ(n)</x:v>
      </x:c>
      <x:c r="C307" s="10" t="str">
        <x:v>1.a · Probabilidad de primer default fᵢ(n)</x:v>
      </x:c>
      <x:c r="D307" s="10" t="str">
        <x:v>1.a · Probabilidad de primer default fᵢ(n)</x:v>
      </x:c>
      <x:c r="E307" s="10" t="str">
        <x:v>1.a · Probabilidad de primer default fᵢ(n)</x:v>
      </x:c>
      <x:c r="F307" s="10" t="str">
        <x:v>1.a · Probabilidad de primer default fᵢ(n)</x:v>
      </x:c>
      <x:c r="G307" s="10" t="str">
        <x:v>1.a · Probabilidad de primer default fᵢ(n)</x:v>
      </x:c>
      <x:c r="H307" s="10" t="str">
        <x:v>1.a · Probabilidad de primer default fᵢ(n)</x:v>
      </x:c>
      <x:c r="I307" s="10" t="str">
        <x:v>1.a · Probabilidad de primer default fᵢ(n)</x:v>
      </x:c>
      <x:c r="J307" s="10" t="str">
        <x:v>1.a · Probabilidad de primer default fᵢ(n)</x:v>
      </x:c>
    </x:row>
    <x:row r="308" ht="36" customHeight="1">
      <x:c r="A308" s="13" t="str">
        <x:v>Año</x:v>
      </x:c>
      <x:c r="B308" s="13" t="str">
        <x:v>Aaa</x:v>
      </x:c>
      <x:c r="C308" s="13" t="str">
        <x:v>Aa</x:v>
      </x:c>
      <x:c r="D308" s="13" t="str">
        <x:v>A</x:v>
      </x:c>
      <x:c r="E308" s="13" t="str">
        <x:v>Baa</x:v>
      </x:c>
      <x:c r="F308" s="13" t="str">
        <x:v>Ba</x:v>
      </x:c>
      <x:c r="G308" s="13" t="str">
        <x:v>B</x:v>
      </x:c>
      <x:c r="H308" s="13" t="str">
        <x:v>Caa-C</x:v>
      </x:c>
      <x:c r="I308" s="2"/>
      <x:c r="J308" s="2"/>
    </x:row>
    <x:row r="309" ht="22" customHeight="1">
      <x:c r="A309" s="2" t="n">
        <x:v>1</x:v>
      </x:c>
      <x:c r="B309" s="34" t="n">
        <x:f>B277</x:f>
        <x:v>5.216254094999365e-22</x:v>
      </x:c>
      <x:c r="C309" s="34" t="n">
        <x:f>C277</x:f>
        <x:v>2.3113048019581464e-16</x:v>
      </x:c>
      <x:c r="D309" s="34" t="n">
        <x:f>D277</x:f>
        <x:v>9.94547807356765e-12</x:v>
      </x:c>
      <x:c r="E309" s="34" t="n">
        <x:f>E277</x:f>
        <x:v>2.1532905563759428e-7</x:v>
      </x:c>
      <x:c r="F309" s="34" t="n">
        <x:f>F277</x:f>
        <x:v>0.00012448745897170936</x:v>
      </x:c>
      <x:c r="G309" s="34" t="n">
        <x:f>G277</x:f>
        <x:v>0.006198922845653687</x:v>
      </x:c>
      <x:c r="H309" s="34" t="n">
        <x:f>H277</x:f>
        <x:v>0.3552002361816082</x:v>
      </x:c>
      <x:c r="I309" s="2"/>
      <x:c r="J309" s="2"/>
    </x:row>
    <x:row r="310" ht="22" customHeight="1">
      <x:c r="A310" s="2" t="n">
        <x:v>2</x:v>
      </x:c>
      <x:c r="B310" s="34" t="n">
        <x:f>B278-B277</x:f>
        <x:v>6.246046519536765e-11</x:v>
      </x:c>
      <x:c r="C310" s="34" t="n">
        <x:f>C278-C277</x:f>
        <x:v>7.146648577468614e-9</x:v>
      </x:c>
      <x:c r="D310" s="34" t="n">
        <x:f>D278-D277</x:f>
        <x:v>0.000003073625241301596</x:v>
      </x:c>
      <x:c r="E310" s="34" t="n">
        <x:f>E278-E277</x:f>
        <x:v>0.0001918694400642459</x:v>
      </x:c>
      <x:c r="F310" s="34" t="n">
        <x:f>F278-F277</x:f>
        <x:v>0.006151970799758929</x:v>
      </x:c>
      <x:c r="G310" s="34" t="n">
        <x:f>G278-G277</x:f>
        <x:v>0.18196945747876478</x:v>
      </x:c>
      <x:c r="H310" s="34" t="n">
        <x:f>H278-H277</x:f>
        <x:v>0.18482258892226405</x:v>
      </x:c>
      <x:c r="I310" s="2"/>
      <x:c r="J310" s="2"/>
    </x:row>
    <x:row r="311" ht="22" customHeight="1">
      <x:c r="A311" s="2" t="n">
        <x:v>3</x:v>
      </x:c>
      <x:c r="B311" s="34" t="n">
        <x:f>B279-B278</x:f>
        <x:v>1.7557734050924963e-7</x:v>
      </x:c>
      <x:c r="C311" s="34" t="n">
        <x:f>C279-C278</x:f>
        <x:v>0.0000034500600308874147</x:v>
      </x:c>
      <x:c r="D311" s="34" t="n">
        <x:f>D279-D278</x:f>
        <x:v>0.0001857714867767963</x:v>
      </x:c>
      <x:c r="E311" s="34" t="n">
        <x:f>E279-E278</x:f>
        <x:v>0.005861979551534317</x:v>
      </x:c>
      <x:c r="F311" s="34" t="n">
        <x:f>F279-F278</x:f>
        <x:v>0.05105269621321891</x:v>
      </x:c>
      <x:c r="G311" s="34" t="n">
        <x:f>G279-G278</x:f>
        <x:v>0.1582224165442862</x:v>
      </x:c>
      <x:c r="H311" s="34" t="n">
        <x:f>H279-H278</x:f>
        <x:v>0.11775248204564781</x:v>
      </x:c>
      <x:c r="I311" s="2"/>
      <x:c r="J311" s="2"/>
    </x:row>
    <x:row r="312" ht="22" customHeight="1">
      <x:c r="A312" s="2" t="n">
        <x:v>4</x:v>
      </x:c>
      <x:c r="B312" s="34" t="n">
        <x:f>B280-B279</x:f>
        <x:v>0.000009813382546471015</x:v>
      </x:c>
      <x:c r="C312" s="34" t="n">
        <x:f>C280-C279</x:f>
        <x:v>0.00011034210617955089</x:v>
      </x:c>
      <x:c r="D312" s="34" t="n">
        <x:f>D280-D279</x:f>
        <x:v>0.002582118440851869</x:v>
      </x:c>
      <x:c r="E312" s="34" t="n">
        <x:f>E280-E279</x:f>
        <x:v>0.017896844532219243</x:v>
      </x:c>
      <x:c r="F312" s="34" t="n">
        <x:f>F280-F279</x:f>
        <x:v>0.07332552422730515</x:v>
      </x:c>
      <x:c r="G312" s="34" t="n">
        <x:f>G280-G279</x:f>
        <x:v>0.12131599251972103</x:v>
      </x:c>
      <x:c r="H312" s="34" t="n">
        <x:f>H280-H279</x:f>
        <x:v>0.08040057291920966</x:v>
      </x:c>
      <x:c r="I312" s="2"/>
      <x:c r="J312" s="2"/>
    </x:row>
    <x:row r="313" ht="22" customHeight="1">
      <x:c r="A313" s="2" t="n">
        <x:v>5</x:v>
      </x:c>
      <x:c r="B313" s="34" t="n">
        <x:f>B281-B280</x:f>
        <x:v>0.00013621534345755344</x:v>
      </x:c>
      <x:c r="C313" s="34" t="n">
        <x:f>C281-C280</x:f>
        <x:v>0.0005501820095935216</x:v>
      </x:c>
      <x:c r="D313" s="34" t="n">
        <x:f>D281-D280</x:f>
        <x:v>0.007268913368921541</x:v>
      </x:c>
      <x:c r="E313" s="34" t="n">
        <x:f>E281-E280</x:f>
        <x:v>0.027310670040621265</x:v>
      </x:c>
      <x:c r="F313" s="34" t="n">
        <x:f>F281-F280</x:f>
        <x:v>0.07902705203219193</x:v>
      </x:c>
      <x:c r="G313" s="34" t="n">
        <x:f>G281-G280</x:f>
        <x:v>0.09228214389886136</x:v>
      </x:c>
      <x:c r="H313" s="34" t="n">
        <x:f>H281-H280</x:f>
        <x:v>0.05672850284046149</x:v>
      </x:c>
      <x:c r="I313" s="2"/>
      <x:c r="J313" s="2"/>
    </x:row>
    <x:row r="314" ht="22" customHeight="1">
      <x:c r="A314" s="2" t="n">
        <x:v>6</x:v>
      </x:c>
      <x:c r="B314" s="34" t="n">
        <x:f>B282-B281</x:f>
        <x:v>0.0004996326363594303</x:v>
      </x:c>
      <x:c r="C314" s="34" t="n">
        <x:f>C282-C281</x:f>
        <x:v>0.0013554764073614284</x:v>
      </x:c>
      <x:c r="D314" s="34" t="n">
        <x:f>D282-D281</x:f>
        <x:v>0.012284310101785597</x:v>
      </x:c>
      <x:c r="E314" s="34" t="n">
        <x:f>E282-E281</x:f>
        <x:v>0.03300442898348235</x:v>
      </x:c>
      <x:c r="F314" s="34" t="n">
        <x:f>F282-F281</x:f>
        <x:v>0.07613337779278145</x:v>
      </x:c>
      <x:c r="G314" s="34" t="n">
        <x:f>G282-G281</x:f>
        <x:v>0.07094210961256697</x:v>
      </x:c>
      <x:c r="H314" s="34" t="n">
        <x:f>H282-H281</x:f>
        <x:v>0.04099566547721534</x:v>
      </x:c>
      <x:c r="I314" s="2"/>
      <x:c r="J314" s="2"/>
    </x:row>
    <x:row r="315" ht="22" customHeight="1">
      <x:c r="A315" s="2" t="n">
        <x:v>7</x:v>
      </x:c>
      <x:c r="B315" s="34" t="n">
        <x:f>B283-B282</x:f>
        <x:v>0.0011201878957462082</x:v>
      </x:c>
      <x:c r="C315" s="34" t="n">
        <x:f>C283-C282</x:f>
        <x:v>0.0024167164055390136</x:v>
      </x:c>
      <x:c r="D315" s="34" t="n">
        <x:f>D283-D282</x:f>
        <x:v>0.01647066537753624</x:v>
      </x:c>
      <x:c r="E315" s="34" t="n">
        <x:f>E283-E282</x:f>
        <x:v>0.03571680755081176</x:v>
      </x:c>
      <x:c r="F315" s="34" t="n">
        <x:f>F283-F282</x:f>
        <x:v>0.06944951677628003</x:v>
      </x:c>
      <x:c r="G315" s="34" t="n">
        <x:f>G283-G282</x:f>
        <x:v>0.05524503047609741</x:v>
      </x:c>
      <x:c r="H315" s="34" t="n">
        <x:f>H283-H282</x:f>
        <x:v>0.03025310147788307</x:v>
      </x:c>
      <x:c r="I315" s="2"/>
      <x:c r="J315" s="2"/>
    </x:row>
    <x:row r="316" ht="22" customHeight="1">
      <x:c r="A316" s="2" t="n">
        <x:v>8</x:v>
      </x:c>
      <x:c r="B316" s="34" t="n">
        <x:f>B284-B283</x:f>
        <x:v>0.0019510042329376124</x:v>
      </x:c>
      <x:c r="C316" s="34" t="n">
        <x:f>C284-C283</x:f>
        <x:v>0.003599810934658578</x:v>
      </x:c>
      <x:c r="D316" s="34" t="n">
        <x:f>D284-D283</x:f>
        <x:v>0.019458393671710296</x:v>
      </x:c>
      <x:c r="E316" s="34" t="n">
        <x:f>E284-E283</x:f>
        <x:v>0.03633205143255852</x:v>
      </x:c>
      <x:c r="F316" s="34" t="n">
        <x:f>F284-F283</x:f>
        <x:v>0.061528528937677684</x:v>
      </x:c>
      <x:c r="G316" s="34" t="n">
        <x:f>G284-G283</x:f>
        <x:v>0.04355604878696384</x:v>
      </x:c>
      <x:c r="H316" s="34" t="n">
        <x:f>H284-H283</x:f>
        <x:v>0.022754073515060425</x:v>
      </x:c>
      <x:c r="I316" s="2"/>
      <x:c r="J316" s="2"/>
    </x:row>
    <x:row r="317" ht="22" customHeight="1">
      <x:c r="A317" s="2" t="n">
        <x:v>9</x:v>
      </x:c>
      <x:c r="B317" s="34" t="n">
        <x:f>B285-B284</x:f>
        <x:v>0.002920111774422563</x:v>
      </x:c>
      <x:c r="C317" s="34" t="n">
        <x:f>C285-C284</x:f>
        <x:v>0.004797212207702474</x:v>
      </x:c>
      <x:c r="D317" s="34" t="n">
        <x:f>D285-D284</x:f>
        <x:v>0.02128869317026437</x:v>
      </x:c>
      <x:c r="E317" s="34" t="n">
        <x:f>E285-E284</x:f>
        <x:v>0.03556966531728292</x:v>
      </x:c>
      <x:c r="F317" s="34" t="n">
        <x:f>F285-F284</x:f>
        <x:v>0.05363963296249885</x:v>
      </x:c>
      <x:c r="G317" s="34" t="n">
        <x:f>G285-G284</x:f>
        <x:v>0.03473298234008615</x:v>
      </x:c>
      <x:c r="H317" s="34" t="n">
        <x:f>H285-H284</x:f>
        <x:v>0.017411586646466914</x:v>
      </x:c>
      <x:c r="I317" s="2"/>
      <x:c r="J317" s="2"/>
    </x:row>
    <x:row r="318" ht="22" customHeight="1">
      <x:c r="A318" s="2" t="n">
        <x:v>10</x:v>
      </x:c>
      <x:c r="B318" s="34" t="n">
        <x:f>B286-B285</x:f>
        <x:v>0.003955761155685574</x:v>
      </x:c>
      <x:c r="C318" s="34" t="n">
        <x:f>C286-C285</x:f>
        <x:v>0.005937489653249257</x:v>
      </x:c>
      <x:c r="D318" s="34" t="n">
        <x:f>D286-D285</x:f>
        <x:v>0.02216363880930916</x:v>
      </x:c>
      <x:c r="E318" s="34" t="n">
        <x:f>E286-E285</x:f>
        <x:v>0.03396226825472484</x:v>
      </x:c>
      <x:c r="F318" s="34" t="n">
        <x:f>F286-F285</x:f>
        <x:v>0.04635917871630274</x:v>
      </x:c>
      <x:c r="G318" s="34" t="n">
        <x:f>G286-G285</x:f>
        <x:v>0.027986778549546343</x:v>
      </x:c>
      <x:c r="H318" s="34" t="n">
        <x:f>H286-H285</x:f>
        <x:v>0.013532261664525036</x:v>
      </x:c>
      <x:c r="I318" s="2"/>
      <x:c r="J318" s="2"/>
    </x:row>
    <x:row r="319" ht="22" customHeight="1">
      <x:c r="A319" s="2" t="n">
        <x:v>11</x:v>
      </x:c>
      <x:c r="B319" s="34" t="n">
        <x:f>B287-B286</x:f>
        <x:v>0.004997974557372232</x:v>
      </x:c>
      <x:c r="C319" s="34" t="n">
        <x:f>C287-C286</x:f>
        <x:v>0.006979648800746589</x:v>
      </x:c>
      <x:c r="D319" s="34" t="n">
        <x:f>D287-D286</x:f>
        <x:v>0.02231956302691318</x:v>
      </x:c>
      <x:c r="E319" s="34" t="n">
        <x:f>E287-E286</x:f>
        <x:v>0.03188678025087588</x:v>
      </x:c>
      <x:c r="F319" s="34" t="n">
        <x:f>F287-F286</x:f>
        <x:v>0.03990156705615222</x:v>
      </x:c>
      <x:c r="G319" s="34" t="n">
        <x:f>G287-G286</x:f>
        <x:v>0.022766819523657444</x:v>
      </x:c>
      <x:c r="H319" s="34" t="n">
        <x:f>H287-H286</x:f>
        <x:v>0.010665124461863296</x:v>
      </x:c>
      <x:c r="I319" s="2"/>
      <x:c r="J319" s="2"/>
    </x:row>
    <x:row r="320" ht="22" customHeight="1">
      <x:c r="A320" s="2" t="n">
        <x:v>12</x:v>
      </x:c>
      <x:c r="B320" s="34" t="n">
        <x:f>B288-B287</x:f>
        <x:v>0.0060019515409415</x:v>
      </x:c>
      <x:c r="C320" s="34" t="n">
        <x:f>C288-C287</x:f>
        <x:v>0.007904385574309787</x:v>
      </x:c>
      <x:c r="D320" s="34" t="n">
        <x:f>D288-D287</x:f>
        <x:v>0.021971903856129738</x:v>
      </x:c>
      <x:c r="E320" s="34" t="n">
        <x:f>E288-E287</x:f>
        <x:v>0.02960096246790972</x:v>
      </x:c>
      <x:c r="F320" s="34" t="n">
        <x:f>F288-F287</x:f>
        <x:v>0.03429975804615237</x:v>
      </x:c>
      <x:c r="G320" s="34" t="n">
        <x:f>G288-G287</x:f>
        <x:v>0.018683546290388486</x:v>
      </x:c>
      <x:c r="H320" s="34" t="n">
        <x:f>H288-H287</x:f>
        <x:v>0.008511395083949602</x:v>
      </x:c>
      <x:c r="I320" s="2"/>
      <x:c r="J320" s="2"/>
    </x:row>
    <x:row r="321" ht="22" customHeight="1">
      <x:c r="A321" s="2" t="n">
        <x:v>13</x:v>
      </x:c>
      <x:c r="B321" s="34" t="n">
        <x:f>B289-B288</x:f>
        <x:v>0.006937381134390165</x:v>
      </x:c>
      <x:c r="C321" s="34" t="n">
        <x:f>C289-C288</x:f>
        <x:v>0.008706464848482288</x:v>
      </x:c>
      <x:c r="D321" s="34" t="n">
        <x:f>D289-D288</x:f>
        <x:v>0.02129633669208597</x:v>
      </x:c>
      <x:c r="E321" s="34" t="n">
        <x:f>E289-E288</x:f>
        <x:v>0.02727502926109998</x:v>
      </x:c>
      <x:c r="F321" s="34" t="n">
        <x:f>F289-F288</x:f>
        <x:v>0.02950200249135948</x:v>
      </x:c>
      <x:c r="G321" s="34" t="n">
        <x:f>G289-G288</x:f>
        <x:v>0.015457496717377728</x:v>
      </x:c>
      <x:c r="H321" s="34" t="n">
        <x:f>H289-H288</x:f>
        <x:v>0.006869489932852191</x:v>
      </x:c>
      <x:c r="I321" s="2"/>
      <x:c r="J321" s="2"/>
    </x:row>
    <x:row r="322" ht="22" customHeight="1">
      <x:c r="A322" s="2" t="n">
        <x:v>14</x:v>
      </x:c>
      <x:c r="B322" s="34" t="n">
        <x:f>B290-B289</x:f>
        <x:v>0.007786065895911035</x:v>
      </x:c>
      <x:c r="C322" s="34" t="n">
        <x:f>C290-C289</x:f>
        <x:v>0.00938912036554064</x:v>
      </x:c>
      <x:c r="D322" s="34" t="n">
        <x:f>D290-D289</x:f>
        <x:v>0.02042680432760763</x:v>
      </x:c>
      <x:c r="E322" s="34" t="n">
        <x:f>E290-E289</x:f>
        <x:v>0.025016605296973526</x:v>
      </x:c>
      <x:c r="F322" s="34" t="n">
        <x:f>F290-F289</x:f>
        <x:v>0.02542252801224576</x:v>
      </x:c>
      <x:c r="G322" s="34" t="n">
        <x:f>G290-G289</x:f>
        <x:v>0.012885513193339748</x:v>
      </x:c>
      <x:c r="H322" s="34" t="n">
        <x:f>H290-H289</x:f>
        <x:v>0.005600956240810029</x:v>
      </x:c>
      <x:c r="I322" s="2"/>
      <x:c r="J322" s="2"/>
    </x:row>
    <x:row r="323" ht="22" customHeight="1">
      <x:c r="A323" s="2" t="n">
        <x:v>15</x:v>
      </x:c>
      <x:c r="B323" s="34" t="n">
        <x:f>B291-B290</x:f>
        <x:v>0.00853913888542026</x:v>
      </x:c>
      <x:c r="C323" s="34" t="n">
        <x:f>C291-C290</x:f>
        <x:v>0.009960268947853318</x:v>
      </x:c>
      <x:c r="D323" s="34" t="n">
        <x:f>D291-D290</x:f>
        <x:v>0.019460488700199535</x:v>
      </x:c>
      <x:c r="E323" s="34" t="n">
        <x:f>E291-E290</x:f>
        <x:v>0.022889568359345858</x:v>
      </x:c>
      <x:c r="F323" s="34" t="n">
        <x:f>F291-F290</x:f>
        <x:v>0.021967180248344098</x:v>
      </x:c>
      <x:c r="G323" s="34" t="n">
        <x:f>G291-G290</x:f>
        <x:v>0.010818044874784327</x:v>
      </x:c>
      <x:c r="H323" s="34" t="n">
        <x:f>H291-H290</x:f>
        <x:v>0.004609048801285209</x:v>
      </x:c>
      <x:c r="I323" s="2"/>
      <x:c r="J323" s="2"/>
    </x:row>
    <x:row r="324" ht="22" customHeight="1">
      <x:c r="A324" s="2" t="n">
        <x:v>16</x:v>
      </x:c>
      <x:c r="B324" s="34" t="n">
        <x:f>B292-B291</x:f>
        <x:v>0.009194479934738993</x:v>
      </x:c>
      <x:c r="C324" s="34" t="n">
        <x:f>C292-C291</x:f>
        <x:v>0.010430081807427757</x:v>
      </x:c>
      <x:c r="D324" s="34" t="n">
        <x:f>D292-D291</x:f>
        <x:v>0.01846487079077938</x:v>
      </x:c>
      <x:c r="E324" s="34" t="n">
        <x:f>E292-E291</x:f>
        <x:v>0.020927886945567797</x:v>
      </x:c>
      <x:c r="F324" s="34" t="n">
        <x:f>F292-F291</x:f>
        <x:v>0.019045625745750194</x:v>
      </x:c>
      <x:c r="G324" s="34" t="n">
        <x:f>G292-G291</x:f>
        <x:v>0.009143691198232107</x:v>
      </x:c>
      <x:c r="H324" s="34" t="n">
        <x:f>H292-H291</x:f>
        <x:v>0.0038250458545699972</x:v>
      </x:c>
      <x:c r="I324" s="2"/>
      <x:c r="J324" s="2"/>
    </x:row>
    <x:row r="325" ht="22" customHeight="1">
      <x:c r="A325" s="2" t="n">
        <x:v>17</x:v>
      </x:c>
      <x:c r="B325" s="34" t="n">
        <x:f>B293-B292</x:f>
        <x:v>0.009754564583280105</x:v>
      </x:c>
      <x:c r="C325" s="34" t="n">
        <x:f>C293-C292</x:f>
        <x:v>0.010809490495259297</x:v>
      </x:c>
      <x:c r="D325" s="34" t="n">
        <x:f>D293-D292</x:f>
        <x:v>0.017484681540650165</x:v>
      </x:c>
      <x:c r="E325" s="34" t="n">
        <x:f>E293-E292</x:f>
        <x:v>0.019145580169016296</x:v>
      </x:c>
      <x:c r="F325" s="34" t="n">
        <x:f>F293-F292</x:f>
        <x:v>0.01657648969116554</x:v>
      </x:c>
      <x:c r="G325" s="34" t="n">
        <x:f>G293-G292</x:f>
        <x:v>0.007778535204917114</x:v>
      </x:c>
      <x:c r="H325" s="34" t="n">
        <x:f>H293-H292</x:f>
        <x:v>0.0031993680317806694</x:v>
      </x:c>
      <x:c r="I325" s="2"/>
      <x:c r="J325" s="2"/>
    </x:row>
    <x:row r="326" ht="22" customHeight="1">
      <x:c r="A326" s="2" t="n">
        <x:v>18</x:v>
      </x:c>
      <x:c r="B326" s="34" t="n">
        <x:f>B294-B293</x:f>
        <x:v>0.010224788795701004</x:v>
      </x:c>
      <x:c r="C326" s="34" t="n">
        <x:f>C294-C293</x:f>
        <x:v>0.011109307475444807</x:v>
      </x:c>
      <x:c r="D326" s="34" t="n">
        <x:f>D294-D293</x:f>
        <x:v>0.01654788435604307</x:v>
      </x:c>
      <x:c r="E326" s="34" t="n">
        <x:f>E294-E293</x:f>
        <x:v>0.017543768827902484</x:v>
      </x:c>
      <x:c r="F326" s="34" t="n">
        <x:f>F294-F293</x:f>
        <x:v>0.014488897191923256</x:v>
      </x:c>
      <x:c r="G326" s="34" t="n">
        <x:f>G294-G293</x:f>
        <x:v>0.006658688886480357</x:v>
      </x:c>
      <x:c r="H326" s="34" t="n">
        <x:f>H294-H293</x:f>
        <x:v>0.0026957213767399013</x:v>
      </x:c>
      <x:c r="I326" s="2"/>
      <x:c r="J326" s="2"/>
    </x:row>
    <x:row r="327" ht="22" customHeight="1">
      <x:c r="A327" s="2" t="n">
        <x:v>19</x:v>
      </x:c>
      <x:c r="B327" s="34" t="n">
        <x:f>B295-B294</x:f>
        <x:v>0.010612226095826516</x:v>
      </x:c>
      <x:c r="C327" s="34" t="n">
        <x:f>C295-C294</x:f>
        <x:v>0.011339738833487129</x:v>
      </x:c>
      <x:c r="D327" s="34" t="n">
        <x:f>D295-D294</x:f>
        <x:v>0.015670472356049403</x:v>
      </x:c>
      <x:c r="E327" s="34" t="n">
        <x:f>E295-E294</x:f>
        <x:v>0.016115590639070365</x:v>
      </x:c>
      <x:c r="F327" s="34" t="n">
        <x:f>F295-F294</x:f>
        <x:v>0.012722281597679408</x:v>
      </x:c>
      <x:c r="G327" s="34" t="n">
        <x:f>G295-G294</x:f>
        <x:v>0.005735021238841509</x:v>
      </x:c>
      <x:c r="H327" s="34" t="n">
        <x:f>H295-H294</x:f>
        <x:v>0.0022871730894209463</x:v>
      </x:c>
      <x:c r="I327" s="2"/>
      <x:c r="J327" s="2"/>
    </x:row>
    <x:row r="328" ht="22" customHeight="1">
      <x:c r="A328" s="2" t="n">
        <x:v>20</x:v>
      </x:c>
      <x:c r="B328" s="34" t="n">
        <x:f>B296-B295</x:f>
        <x:v>0.010924742675698956</x:v>
      </x:c>
      <x:c r="C328" s="34" t="n">
        <x:f>C296-C295</x:f>
        <x:v>0.011510141266678445</x:v>
      </x:c>
      <x:c r="D328" s="34" t="n">
        <x:f>D296-D295</x:f>
        <x:v>0.014860147634578769</x:v>
      </x:c>
      <x:c r="E328" s="34" t="n">
        <x:f>E296-E295</x:f>
        <x:v>0.014849571719636467</x:v>
      </x:c>
      <x:c r="F328" s="34" t="n">
        <x:f>F296-F295</x:f>
        <x:v>0.011225441542443537</x:v>
      </x:c>
      <x:c r="G328" s="34" t="n">
        <x:f>G296-G295</x:f>
        <x:v>0.004969388249717488</x:v>
      </x:c>
      <x:c r="H328" s="34" t="n">
        <x:f>H296-H295</x:f>
        <x:v>0.0019534815068125155</x:v>
      </x:c>
      <x:c r="I328" s="2"/>
      <x:c r="J328" s="2"/>
    </x:row>
    <x:row r="329" ht="22" customHeight="1">
      <x:c r="A329" s="2" t="n">
        <x:v>21</x:v>
      </x:c>
      <x:c r="B329" s="34" t="n">
        <x:f>B297-B296</x:f>
        <x:v>0.011170392386869316</x:v>
      </x:c>
      <x:c r="C329" s="34" t="n">
        <x:f>C297-C296</x:f>
        <x:v>0.011628927668954181</x:v>
      </x:c>
      <x:c r="D329" s="34" t="n">
        <x:f>D297-D296</x:f>
        <x:v>0.014119054814060616</x:v>
      </x:c>
      <x:c r="E329" s="34" t="n">
        <x:f>E297-E296</x:f>
        <x:v>0.013731896463735849</x:v>
      </x:c>
      <x:c r="F329" s="34" t="n">
        <x:f>F297-F296</x:f>
        <x:v>0.009955348228997352</x:v>
      </x:c>
      <x:c r="G329" s="34" t="n">
        <x:f>G297-G296</x:f>
        <x:v>0.004331908528176109</x:v>
      </x:c>
      <x:c r="H329" s="34" t="n">
        <x:f>H297-H296</x:f>
        <x:v>0.0016792525407797187</x:v>
      </x:c>
      <x:c r="I329" s="2"/>
      <x:c r="J329" s="2"/>
    </x:row>
    <x:row r="330" ht="22" customHeight="1">
      <x:c r="A330" s="2" t="n">
        <x:v>22</x:v>
      </x:c>
      <x:c r="B330" s="34" t="n">
        <x:f>B298-B297</x:f>
        <x:v>0.0113570218885536</x:v>
      </x:c>
      <x:c r="C330" s="34" t="n">
        <x:f>C298-C297</x:f>
        <x:v>0.011703560428662912</x:v>
      </x:c>
      <x:c r="D330" s="34" t="n">
        <x:f>D298-D297</x:f>
        <x:v>0.013445761227531272</x:v>
      </x:c>
      <x:c r="E330" s="34" t="n">
        <x:f>E298-E297</x:f>
        <x:v>0.0127479003362157</x:v>
      </x:c>
      <x:c r="F330" s="34" t="n">
        <x:f>F298-F297</x:f>
        <x:v>0.008875946404669044</x:v>
      </x:c>
      <x:c r="G330" s="34" t="n">
        <x:f>G298-G297</x:f>
        <x:v>0.0037989748600801843</x:v>
      </x:c>
      <x:c r="H330" s="34" t="n">
        <x:f>H298-H297</x:f>
        <x:v>0.0014526489003731102</x:v>
      </x:c>
      <x:c r="I330" s="2"/>
      <x:c r="J330" s="2"/>
    </x:row>
    <x:row r="331" ht="22" customHeight="1">
      <x:c r="A331" s="2" t="n">
        <x:v>23</x:v>
      </x:c>
      <x:c r="B331" s="34" t="n">
        <x:f>B299-B298</x:f>
        <x:v>0.011492028591259168</x:v>
      </x:c>
      <x:c r="C331" s="34" t="n">
        <x:f>C299-C298</x:f>
        <x:v>0.011740594193528964</x:v>
      </x:c>
      <x:c r="D331" s="34" t="n">
        <x:f>D299-D298</x:f>
        <x:v>0.01283665953451446</x:v>
      </x:c>
      <x:c r="E331" s="34" t="n">
        <x:f>E299-E298</x:f>
        <x:v>0.011883020746181139</x:v>
      </x:c>
      <x:c r="F331" s="34" t="n">
        <x:f>F299-F298</x:f>
        <x:v>0.00795705642932365</x:v>
      </x:c>
      <x:c r="G331" s="34" t="n">
        <x:f>G299-G298</x:f>
        <x:v>0.003351788973337877</x:v>
      </x:c>
      <x:c r="H331" s="34" t="n">
        <x:f>H299-H298</x:f>
        <x:v>0.0012644744110273942</x:v>
      </x:c>
      <x:c r="I331" s="2"/>
      <x:c r="J331" s="2"/>
    </x:row>
    <x:row r="332" ht="22" customHeight="1">
      <x:c r="A332" s="2" t="n">
        <x:v>24</x:v>
      </x:c>
      <x:c r="B332" s="34" t="n">
        <x:f>B300-B299</x:f>
        <x:v>0.01158222652371274</x:v>
      </x:c>
      <x:c r="C332" s="34" t="n">
        <x:f>C300-C299</x:f>
        <x:v>0.011745744364788563</x:v>
      </x:c>
      <x:c r="D332" s="34" t="n">
        <x:f>D300-D299</x:f>
        <x:v>0.012286939440577516</x:v>
      </x:c>
      <x:c r="E332" s="34" t="n">
        <x:f>E300-E299</x:f>
        <x:v>0.011123374668267738</x:v>
      </x:c>
      <x:c r="F332" s="34" t="n">
        <x:f>F300-F299</x:f>
        <x:v>0.007173415227449853</x:v>
      </x:c>
      <x:c r="G332" s="34" t="n">
        <x:f>G300-G299</x:f>
        <x:v>0.002975271819488756</x:v>
      </x:c>
      <x:c r="H332" s="34" t="n">
        <x:f>H300-H299</x:f>
        <x:v>0.001107516360948857</x:v>
      </x:c>
      <x:c r="I332" s="2"/>
      <x:c r="J332" s="2"/>
    </x:row>
    <x:row r="333" ht="22" customHeight="1">
      <x:c r="A333" s="2" t="n">
        <x:v>25</x:v>
      </x:c>
      <x:c r="B333" s="34" t="n">
        <x:f>B301-B300</x:f>
        <x:v>0.011633786229672927</x:v>
      </x:c>
      <x:c r="C333" s="34" t="n">
        <x:f>C301-C300</x:f>
        <x:v>0.011723966802189734</x:v>
      </x:c>
      <x:c r="D333" s="34" t="n">
        <x:f>D301-D300</x:f>
        <x:v>0.011791244667352263</x:v>
      </x:c>
      <x:c r="E333" s="34" t="n">
        <x:f>E301-E300</x:f>
        <x:v>0.010456082903120834</x:v>
      </x:c>
      <x:c r="F333" s="34" t="n">
        <x:f>F301-F300</x:f>
        <x:v>0.006503860007064044</x:v>
      </x:c>
      <x:c r="G333" s="34" t="n">
        <x:f>G301-G300</x:f>
        <x:v>0.002657245793858176</x:v>
      </x:c>
      <x:c r="H333" s="34" t="n">
        <x:f>H301-H300</x:f>
        <x:v>0.0009760676376903143</x:v>
      </x:c>
      <x:c r="I333" s="2"/>
      <x:c r="J333" s="2"/>
    </x:row>
    <x:row r="334" ht="22" customHeight="1">
      <x:c r="A334" s="2"/>
      <x:c r="B334" s="2"/>
      <x:c r="C334" s="2"/>
      <x:c r="D334" s="2"/>
      <x:c r="E334" s="2"/>
      <x:c r="F334" s="2"/>
      <x:c r="G334" s="2"/>
      <x:c r="H334" s="2"/>
      <x:c r="I334" s="2"/>
      <x:c r="J334" s="2"/>
    </x:row>
    <x:row r="335" ht="36" customHeight="1">
      <x:c r="A335" s="22" t="str">
        <x:v>F(n) = Pⁿ(i, Default). f(n) = F(n) − F(n−1), respecto a la cohorte inicial, sin dividir por supervivientes.</x:v>
      </x:c>
      <x:c r="B335" s="22" t="str">
        <x:v>F(n) = Pⁿ(i, Default). f(n) = F(n) − F(n−1), respecto a la cohorte inicial, sin dividir por supervivientes.</x:v>
      </x:c>
      <x:c r="C335" s="22" t="str">
        <x:v>F(n) = Pⁿ(i, Default). f(n) = F(n) − F(n−1), respecto a la cohorte inicial, sin dividir por supervivientes.</x:v>
      </x:c>
      <x:c r="D335" s="22" t="str">
        <x:v>F(n) = Pⁿ(i, Default). f(n) = F(n) − F(n−1), respecto a la cohorte inicial, sin dividir por supervivientes.</x:v>
      </x:c>
      <x:c r="E335" s="22" t="str">
        <x:v>F(n) = Pⁿ(i, Default). f(n) = F(n) − F(n−1), respecto a la cohorte inicial, sin dividir por supervivientes.</x:v>
      </x:c>
      <x:c r="F335" s="22" t="str">
        <x:v>F(n) = Pⁿ(i, Default). f(n) = F(n) − F(n−1), respecto a la cohorte inicial, sin dividir por supervivientes.</x:v>
      </x:c>
      <x:c r="G335" s="22" t="str">
        <x:v>F(n) = Pⁿ(i, Default). f(n) = F(n) − F(n−1), respecto a la cohorte inicial, sin dividir por supervivientes.</x:v>
      </x:c>
      <x:c r="H335" s="22" t="str">
        <x:v>F(n) = Pⁿ(i, Default). f(n) = F(n) − F(n−1), respecto a la cohorte inicial, sin dividir por supervivientes.</x:v>
      </x:c>
      <x:c r="I335" s="22" t="str">
        <x:v>F(n) = Pⁿ(i, Default). f(n) = F(n) − F(n−1), respecto a la cohorte inicial, sin dividir por supervivientes.</x:v>
      </x:c>
      <x:c r="J335" s="22" t="str">
        <x:v>F(n) = Pⁿ(i, Default). f(n) = F(n) − F(n−1), respecto a la cohorte inicial, sin dividir por supervivientes.</x:v>
      </x:c>
    </x:row>
    <x:row r="336" ht="22" customHeight="1">
      <x:c r="A336" s="2"/>
      <x:c r="B336" s="2"/>
      <x:c r="C336" s="2"/>
      <x:c r="D336" s="2"/>
      <x:c r="E336" s="2"/>
      <x:c r="F336" s="2"/>
      <x:c r="G336" s="2"/>
      <x:c r="H336" s="2"/>
      <x:c r="I336" s="2"/>
      <x:c r="J336" s="2"/>
    </x:row>
    <x:row r="337" ht="22" customHeight="1">
      <x:c r="A337" s="2"/>
      <x:c r="B337" s="2"/>
      <x:c r="C337" s="2"/>
      <x:c r="D337" s="2"/>
      <x:c r="E337" s="2"/>
      <x:c r="F337" s="2"/>
      <x:c r="G337" s="2"/>
      <x:c r="H337" s="2"/>
      <x:c r="I337" s="2"/>
      <x:c r="J337" s="2"/>
    </x:row>
    <x:row r="338" ht="22" customHeight="1">
      <x:c r="A338" s="2"/>
      <x:c r="B338" s="2"/>
      <x:c r="C338" s="2"/>
      <x:c r="D338" s="2"/>
      <x:c r="E338" s="2"/>
      <x:c r="F338" s="2"/>
      <x:c r="G338" s="2"/>
      <x:c r="H338" s="2"/>
      <x:c r="I338" s="2"/>
      <x:c r="J338" s="2"/>
    </x:row>
    <x:row r="339" ht="22" customHeight="1">
      <x:c r="A339" s="2"/>
      <x:c r="B339" s="2"/>
      <x:c r="C339" s="2"/>
      <x:c r="D339" s="2"/>
      <x:c r="E339" s="2"/>
      <x:c r="F339" s="2"/>
      <x:c r="G339" s="2"/>
      <x:c r="H339" s="2"/>
      <x:c r="I339" s="2"/>
      <x:c r="J339" s="2"/>
    </x:row>
    <x:row r="340" ht="22" customHeight="1">
      <x:c r="A340" s="2"/>
      <x:c r="B340" s="2"/>
      <x:c r="C340" s="2"/>
      <x:c r="D340" s="2"/>
      <x:c r="E340" s="2"/>
      <x:c r="F340" s="2"/>
      <x:c r="G340" s="2"/>
      <x:c r="H340" s="2"/>
      <x:c r="I340" s="2"/>
      <x:c r="J340" s="2"/>
    </x:row>
  </x:sheetData>
  <x:mergeCells>
    <x:mergeCell ref="A1:J2"/>
    <x:mergeCell ref="A3:J4"/>
    <x:mergeCell ref="A275:J275"/>
    <x:mergeCell ref="A307:J307"/>
    <x:mergeCell ref="A335:J335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5" hidden="0" customWidth="1"/>
  </x:cols>
  <x:sheetData>
    <x:row r="1" ht="25" customHeight="1">
      <x:c r="A1" s="5" t="str">
        <x:v>E2 · Una trayectoria exacta</x:v>
      </x:c>
      <x:c r="B1" s="5" t="str">
        <x:v>E2 · Una trayectoria exacta</x:v>
      </x:c>
      <x:c r="C1" s="5" t="str">
        <x:v>E2 · Una trayectoria exacta</x:v>
      </x:c>
      <x:c r="D1" s="5" t="str">
        <x:v>E2 · Una trayectoria exacta</x:v>
      </x:c>
      <x:c r="E1" s="5" t="str">
        <x:v>E2 · Una trayectoria exacta</x:v>
      </x:c>
      <x:c r="F1" s="5" t="str">
        <x:v>E2 · Una trayectoria exacta</x:v>
      </x:c>
      <x:c r="G1" s="5" t="str">
        <x:v>E2 · Una trayectoria exacta</x:v>
      </x:c>
      <x:c r="H1" s="5" t="str">
        <x:v>E2 · Una trayectoria exacta</x:v>
      </x:c>
      <x:c r="I1" s="5" t="str">
        <x:v>E2 · Una trayectoria exacta</x:v>
      </x:c>
    </x:row>
    <x:row r="2" ht="25" customHeight="1">
      <x:c r="A2" s="5" t="str">
        <x:v>E2 · Una trayectoria exacta</x:v>
      </x:c>
      <x:c r="B2" s="5" t="str">
        <x:v>E2 · Una trayectoria exacta</x:v>
      </x:c>
      <x:c r="C2" s="5" t="str">
        <x:v>E2 · Una trayectoria exacta</x:v>
      </x:c>
      <x:c r="D2" s="5" t="str">
        <x:v>E2 · Una trayectoria exacta</x:v>
      </x:c>
      <x:c r="E2" s="5" t="str">
        <x:v>E2 · Una trayectoria exacta</x:v>
      </x:c>
      <x:c r="F2" s="5" t="str">
        <x:v>E2 · Una trayectoria exacta</x:v>
      </x:c>
      <x:c r="G2" s="5" t="str">
        <x:v>E2 · Una trayectoria exacta</x:v>
      </x:c>
      <x:c r="H2" s="5" t="str">
        <x:v>E2 · Una trayectoria exacta</x:v>
      </x:c>
      <x:c r="I2" s="5" t="str">
        <x:v>E2 · Una trayectoria exacta</x:v>
      </x:c>
    </x:row>
    <x:row r="3" ht="21" customHeight="1">
      <x:c r="A3" s="7" t="str">
        <x:v>Aₜ = ∫s dWₛ · Mₜ = Aₜ² − t³/3 · sin error de Euler en las fechas de la malla.</x:v>
      </x:c>
      <x:c r="B3" s="7" t="str">
        <x:v>Aₜ = ∫s dWₛ · Mₜ = Aₜ² − t³/3 · sin error de Euler en las fechas de la malla.</x:v>
      </x:c>
      <x:c r="C3" s="7" t="str">
        <x:v>Aₜ = ∫s dWₛ · Mₜ = Aₜ² − t³/3 · sin error de Euler en las fechas de la malla.</x:v>
      </x:c>
      <x:c r="D3" s="7" t="str">
        <x:v>Aₜ = ∫s dWₛ · Mₜ = Aₜ² − t³/3 · sin error de Euler en las fechas de la malla.</x:v>
      </x:c>
      <x:c r="E3" s="7" t="str">
        <x:v>Aₜ = ∫s dWₛ · Mₜ = Aₜ² − t³/3 · sin error de Euler en las fechas de la malla.</x:v>
      </x:c>
      <x:c r="F3" s="7" t="str">
        <x:v>Aₜ = ∫s dWₛ · Mₜ = Aₜ² − t³/3 · sin error de Euler en las fechas de la malla.</x:v>
      </x:c>
      <x:c r="G3" s="7" t="str">
        <x:v>Aₜ = ∫s dWₛ · Mₜ = Aₜ² − t³/3 · sin error de Euler en las fechas de la malla.</x:v>
      </x:c>
      <x:c r="H3" s="7" t="str">
        <x:v>Aₜ = ∫s dWₛ · Mₜ = Aₜ² − t³/3 · sin error de Euler en las fechas de la malla.</x:v>
      </x:c>
      <x:c r="I3" s="7" t="str">
        <x:v>Aₜ = ∫s dWₛ · Mₜ = Aₜ² − t³/3 · sin error de Euler en las fechas de la malla.</x:v>
      </x:c>
    </x:row>
    <x:row r="4" ht="21" customHeight="1">
      <x:c r="A4" s="7" t="str">
        <x:v>Aₜ = ∫s dWₛ · Mₜ = Aₜ² − t³/3 · sin error de Euler en las fechas de la malla.</x:v>
      </x:c>
      <x:c r="B4" s="7" t="str">
        <x:v>Aₜ = ∫s dWₛ · Mₜ = Aₜ² − t³/3 · sin error de Euler en las fechas de la malla.</x:v>
      </x:c>
      <x:c r="C4" s="7" t="str">
        <x:v>Aₜ = ∫s dWₛ · Mₜ = Aₜ² − t³/3 · sin error de Euler en las fechas de la malla.</x:v>
      </x:c>
      <x:c r="D4" s="7" t="str">
        <x:v>Aₜ = ∫s dWₛ · Mₜ = Aₜ² − t³/3 · sin error de Euler en las fechas de la malla.</x:v>
      </x:c>
      <x:c r="E4" s="7" t="str">
        <x:v>Aₜ = ∫s dWₛ · Mₜ = Aₜ² − t³/3 · sin error de Euler en las fechas de la malla.</x:v>
      </x:c>
      <x:c r="F4" s="7" t="str">
        <x:v>Aₜ = ∫s dWₛ · Mₜ = Aₜ² − t³/3 · sin error de Euler en las fechas de la malla.</x:v>
      </x:c>
      <x:c r="G4" s="7" t="str">
        <x:v>Aₜ = ∫s dWₛ · Mₜ = Aₜ² − t³/3 · sin error de Euler en las fechas de la malla.</x:v>
      </x:c>
      <x:c r="H4" s="7" t="str">
        <x:v>Aₜ = ∫s dWₛ · Mₜ = Aₜ² − t³/3 · sin error de Euler en las fechas de la malla.</x:v>
      </x:c>
      <x:c r="I4" s="7" t="str">
        <x:v>Aₜ = ∫s dWₛ · Mₜ = Aₜ² − t³/3 · sin error de Euler en las fechas de la malla.</x:v>
      </x:c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</x:row>
    <x:row r="6" ht="36" customHeight="1">
      <x:c r="A6" s="13" t="str">
        <x:v>Paso j</x:v>
      </x:c>
      <x:c r="B6" s="13" t="str">
        <x:v>tⱼ</x:v>
      </x:c>
      <x:c r="C6" s="13" t="str">
        <x:v>q(tⱼ)</x:v>
      </x:c>
      <x:c r="D6" s="13" t="str">
        <x:v>Δqⱼ</x:v>
      </x:c>
      <x:c r="E6" s="13" t="str">
        <x:v>Zⱼ fijo</x:v>
      </x:c>
      <x:c r="F6" s="13" t="str">
        <x:v>ΔAⱼ</x:v>
      </x:c>
      <x:c r="G6" s="13" t="str">
        <x:v>Aₜ</x:v>
      </x:c>
      <x:c r="H6" s="13" t="str">
        <x:v>Mₜ</x:v>
      </x:c>
      <x:c r="I6" s="13" t="str">
        <x:v>Cota inferior</x:v>
      </x:c>
      <x:c r="J6" s="52" t="str">
        <x:v>Etiqueta gráfico</x:v>
      </x:c>
    </x:row>
    <x:row r="7" ht="22" customHeight="1">
      <x:c r="A7" s="2" t="n">
        <x:v>0</x:v>
      </x:c>
      <x:c r="B7" s="49" t="n">
        <x:f>A7/'Datos'!$B$27*'Datos'!$B$26</x:f>
        <x:v>0</x:v>
      </x:c>
      <x:c r="C7" s="46" t="n">
        <x:f>B7^3/3</x:f>
        <x:v>0</x:v>
      </x:c>
      <x:c r="D7" s="46" t="n">
        <x:f>0</x:f>
        <x:v>0</x:v>
      </x:c>
      <x:c r="E7" s="79" t="n">
        <x:v>0</x:v>
      </x:c>
      <x:c r="F7" s="46" t="n">
        <x:f>SQRT(D7)*E7</x:f>
        <x:v>0</x:v>
      </x:c>
      <x:c r="G7" s="46" t="n">
        <x:f>0</x:f>
        <x:v>0</x:v>
      </x:c>
      <x:c r="H7" s="46" t="n">
        <x:f>G7^2-C7</x:f>
        <x:v>0</x:v>
      </x:c>
      <x:c r="I7" s="46" t="n">
        <x:f>-C7</x:f>
        <x:v>0</x:v>
      </x:c>
      <x:c r="J7" s="52" t="str">
        <x:f>TEXT(B7,"0.00")</x:f>
        <x:v>0.00</x:v>
      </x:c>
    </x:row>
    <x:row r="8" ht="22" customHeight="1">
      <x:c r="A8" s="2" t="n">
        <x:v>1</x:v>
      </x:c>
      <x:c r="B8" s="49" t="n">
        <x:f>A8/'Datos'!$B$27*'Datos'!$B$26</x:f>
        <x:v>0.01</x:v>
      </x:c>
      <x:c r="C8" s="46" t="n">
        <x:f>B8^3/3</x:f>
        <x:v>3.333333333333334e-7</x:v>
      </x:c>
      <x:c r="D8" s="46" t="n">
        <x:f>C8-C7</x:f>
        <x:v>3.333333333333334e-7</x:v>
      </x:c>
      <x:c r="E8" s="79" t="n">
        <x:v>-0.4975866625614567</x:v>
      </x:c>
      <x:c r="F8" s="46" t="n">
        <x:f>SQRT(D8)*E8</x:f>
        <x:v>-0.00028728179357502456</x:v>
      </x:c>
      <x:c r="G8" s="46" t="n">
        <x:f>G7+F8</x:f>
        <x:v>-0.00028728179357502456</x:v>
      </x:c>
      <x:c r="H8" s="46" t="n">
        <x:f>G8^2-C8</x:f>
        <x:v>-2.5080250441365037e-7</x:v>
      </x:c>
      <x:c r="I8" s="46" t="n">
        <x:f>-C8</x:f>
        <x:v>-3.333333333333334e-7</x:v>
      </x:c>
      <x:c r="J8" s="52" t="str">
        <x:f>TEXT(B8,"0.00")</x:f>
        <x:v>0.01</x:v>
      </x:c>
    </x:row>
    <x:row r="9" ht="22" customHeight="1">
      <x:c r="A9" s="2" t="n">
        <x:v>2</x:v>
      </x:c>
      <x:c r="B9" s="49" t="n">
        <x:f>A9/'Datos'!$B$27*'Datos'!$B$26</x:f>
        <x:v>0.02</x:v>
      </x:c>
      <x:c r="C9" s="46" t="n">
        <x:f>B9^3/3</x:f>
        <x:v>0.0000026666666666666673</x:v>
      </x:c>
      <x:c r="D9" s="46" t="n">
        <x:f>C9-C8</x:f>
        <x:v>0.000002333333333333334</x:v>
      </x:c>
      <x:c r="E9" s="79" t="n">
        <x:v>-0.06279823136838737</x:v>
      </x:c>
      <x:c r="F9" s="46" t="n">
        <x:f>SQRT(D9)*E9</x:f>
        <x:v>-0.00009592588291832847</x:v>
      </x:c>
      <x:c r="G9" s="46" t="n">
        <x:f>G8+F9</x:f>
        <x:v>-0.000383207676493353</x:v>
      </x:c>
      <x:c r="H9" s="46" t="n">
        <x:f>G9^2-C9</x:f>
        <x:v>-0.000002519818543343233</x:v>
      </x:c>
      <x:c r="I9" s="46" t="n">
        <x:f>-C9</x:f>
        <x:v>-0.0000026666666666666673</x:v>
      </x:c>
      <x:c r="J9" s="52" t="str">
        <x:f>TEXT(B9,"0.00")</x:f>
        <x:v>0.02</x:v>
      </x:c>
    </x:row>
    <x:row r="10" ht="22" customHeight="1">
      <x:c r="A10" s="2" t="n">
        <x:v>3</x:v>
      </x:c>
      <x:c r="B10" s="49" t="n">
        <x:f>A10/'Datos'!$B$27*'Datos'!$B$26</x:f>
        <x:v>0.03</x:v>
      </x:c>
      <x:c r="C10" s="46" t="n">
        <x:f>B10^3/3</x:f>
        <x:v>0.000008999999999999999</x:v>
      </x:c>
      <x:c r="D10" s="46" t="n">
        <x:f>C10-C9</x:f>
        <x:v>0.000006333333333333331</x:v>
      </x:c>
      <x:c r="E10" s="79" t="n">
        <x:v>0.7590138525841263</x:v>
      </x:c>
      <x:c r="F10" s="46" t="n">
        <x:f>SQRT(D10)*E10</x:f>
        <x:v>0.0019101429736957175</x:v>
      </x:c>
      <x:c r="G10" s="46" t="n">
        <x:f>G9+F10</x:f>
        <x:v>0.0015269352972023644</x:v>
      </x:c>
      <x:c r="H10" s="46" t="n">
        <x:f>G10^2-C10</x:f>
        <x:v>-0.000006668468598157526</x:v>
      </x:c>
      <x:c r="I10" s="46" t="n">
        <x:f>-C10</x:f>
        <x:v>-0.000008999999999999999</x:v>
      </x:c>
      <x:c r="J10" s="52" t="str">
        <x:f>TEXT(B10,"0.00")</x:f>
        <x:v>0.03</x:v>
      </x:c>
    </x:row>
    <x:row r="11" ht="22" customHeight="1">
      <x:c r="A11" s="2" t="n">
        <x:v>4</x:v>
      </x:c>
      <x:c r="B11" s="49" t="n">
        <x:f>A11/'Datos'!$B$27*'Datos'!$B$26</x:f>
        <x:v>0.04</x:v>
      </x:c>
      <x:c r="C11" s="46" t="n">
        <x:f>B11^3/3</x:f>
        <x:v>0.000021333333333333338</x:v>
      </x:c>
      <x:c r="D11" s="46" t="n">
        <x:f>C11-C10</x:f>
        <x:v>0.00001233333333333334</x:v>
      </x:c>
      <x:c r="E11" s="79" t="n">
        <x:v>0.8824733640133864</x:v>
      </x:c>
      <x:c r="F11" s="46" t="n">
        <x:f>SQRT(D11)*E11</x:f>
        <x:v>0.0030991446031200724</x:v>
      </x:c>
      <x:c r="G11" s="46" t="n">
        <x:f>G10+F11</x:f>
        <x:v>0.004626079900322436</x:v>
      </x:c>
      <x:c r="H11" s="46" t="n">
        <x:f>G11^2-C11</x:f>
        <x:v>6.728191083390478e-8</x:v>
      </x:c>
      <x:c r="I11" s="46" t="n">
        <x:f>-C11</x:f>
        <x:v>-0.000021333333333333338</x:v>
      </x:c>
      <x:c r="J11" s="52" t="str">
        <x:f>TEXT(B11,"0.00")</x:f>
        <x:v>0.04</x:v>
      </x:c>
    </x:row>
    <x:row r="12" ht="22" customHeight="1">
      <x:c r="A12" s="2" t="n">
        <x:v>5</x:v>
      </x:c>
      <x:c r="B12" s="49" t="n">
        <x:f>A12/'Datos'!$B$27*'Datos'!$B$26</x:f>
        <x:v>0.05</x:v>
      </x:c>
      <x:c r="C12" s="46" t="n">
        <x:f>B12^3/3</x:f>
        <x:v>0.00004166666666666668</x:v>
      </x:c>
      <x:c r="D12" s="46" t="n">
        <x:f>C12-C11</x:f>
        <x:v>0.00002033333333333334</x:v>
      </x:c>
      <x:c r="E12" s="79" t="n">
        <x:v>-0.21948776000852685</x:v>
      </x:c>
      <x:c r="F12" s="46" t="n">
        <x:f>SQRT(D12)*E12</x:f>
        <x:v>-0.0009897251275661006</x:v>
      </x:c>
      <x:c r="G12" s="46" t="n">
        <x:f>G11+F12</x:f>
        <x:v>0.003636354772756336</x:v>
      </x:c>
      <x:c r="H12" s="46" t="n">
        <x:f>G12^2-C12</x:f>
        <x:v>-0.000028443590633318897</x:v>
      </x:c>
      <x:c r="I12" s="46" t="n">
        <x:f>-C12</x:f>
        <x:v>-0.00004166666666666668</x:v>
      </x:c>
      <x:c r="J12" s="52" t="str">
        <x:f>TEXT(B12,"0.00")</x:f>
        <x:v>0.05</x:v>
      </x:c>
    </x:row>
    <x:row r="13" ht="22" customHeight="1">
      <x:c r="A13" s="2" t="n">
        <x:v>6</x:v>
      </x:c>
      <x:c r="B13" s="49" t="n">
        <x:f>A13/'Datos'!$B$27*'Datos'!$B$26</x:f>
        <x:v>0.06</x:v>
      </x:c>
      <x:c r="C13" s="46" t="n">
        <x:f>B13^3/3</x:f>
        <x:v>0.00007199999999999999</x:v>
      </x:c>
      <x:c r="D13" s="46" t="n">
        <x:f>C13-C12</x:f>
        <x:v>0.00003033333333333331</x:v>
      </x:c>
      <x:c r="E13" s="79" t="n">
        <x:v>-0.09630333820646386</x:v>
      </x:c>
      <x:c r="F13" s="46" t="n">
        <x:f>SQRT(D13)*E13</x:f>
        <x:v>-0.0005303974291112526</x:v>
      </x:c>
      <x:c r="G13" s="46" t="n">
        <x:f>G12+F13</x:f>
        <x:v>0.003105957343645083</x:v>
      </x:c>
      <x:c r="H13" s="46" t="n">
        <x:f>G13^2-C13</x:f>
        <x:v>-0.00006235302897945717</x:v>
      </x:c>
      <x:c r="I13" s="46" t="n">
        <x:f>-C13</x:f>
        <x:v>-0.00007199999999999999</x:v>
      </x:c>
      <x:c r="J13" s="52" t="str">
        <x:f>TEXT(B13,"0.00")</x:f>
        <x:v>0.06</x:v>
      </x:c>
    </x:row>
    <x:row r="14" ht="22" customHeight="1">
      <x:c r="A14" s="2" t="n">
        <x:v>7</x:v>
      </x:c>
      <x:c r="B14" s="49" t="n">
        <x:f>A14/'Datos'!$B$27*'Datos'!$B$26</x:f>
        <x:v>0.07</x:v>
      </x:c>
      <x:c r="C14" s="46" t="n">
        <x:f>B14^3/3</x:f>
        <x:v>0.00011433333333333337</x:v>
      </x:c>
      <x:c r="D14" s="46" t="n">
        <x:f>C14-C13</x:f>
        <x:v>0.00004233333333333338</x:v>
      </x:c>
      <x:c r="E14" s="79" t="n">
        <x:v>0.5551229224830374</x:v>
      </x:c>
      <x:c r="F14" s="46" t="n">
        <x:f>SQRT(D14)*E14</x:f>
        <x:v>0.0036118557234657003</x:v>
      </x:c>
      <x:c r="G14" s="46" t="n">
        <x:f>G13+F14</x:f>
        <x:v>0.0067178130671107835</x:v>
      </x:c>
      <x:c r="H14" s="46" t="n">
        <x:f>G14^2-C14</x:f>
        <x:v>-0.00006920432092868898</x:v>
      </x:c>
      <x:c r="I14" s="46" t="n">
        <x:f>-C14</x:f>
        <x:v>-0.00011433333333333337</x:v>
      </x:c>
      <x:c r="J14" s="52" t="str">
        <x:f>TEXT(B14,"0.00")</x:f>
        <x:v>0.07</x:v>
      </x:c>
    </x:row>
    <x:row r="15" ht="22" customHeight="1">
      <x:c r="A15" s="2" t="n">
        <x:v>8</x:v>
      </x:c>
      <x:c r="B15" s="49" t="n">
        <x:f>A15/'Datos'!$B$27*'Datos'!$B$26</x:f>
        <x:v>0.08</x:v>
      </x:c>
      <x:c r="C15" s="46" t="n">
        <x:f>B15^3/3</x:f>
        <x:v>0.0001706666666666667</x:v>
      </x:c>
      <x:c r="D15" s="46" t="n">
        <x:f>C15-C14</x:f>
        <x:v>0.00005633333333333334</x:v>
      </x:c>
      <x:c r="E15" s="79" t="n">
        <x:v>0.05986013230692219</x:v>
      </x:c>
      <x:c r="F15" s="46" t="n">
        <x:f>SQRT(D15)*E15</x:f>
        <x:v>0.00044928342551466585</x:v>
      </x:c>
      <x:c r="G15" s="46" t="n">
        <x:f>G14+F15</x:f>
        <x:v>0.0071670964926254495</x:v>
      </x:c>
      <x:c r="H15" s="46" t="n">
        <x:f>G15^2-C15</x:f>
        <x:v>-0.00011929939453206268</x:v>
      </x:c>
      <x:c r="I15" s="46" t="n">
        <x:f>-C15</x:f>
        <x:v>-0.0001706666666666667</x:v>
      </x:c>
      <x:c r="J15" s="52" t="str">
        <x:f>TEXT(B15,"0.00")</x:f>
        <x:v>0.08</x:v>
      </x:c>
    </x:row>
    <x:row r="16" ht="22" customHeight="1">
      <x:c r="A16" s="2" t="n">
        <x:v>9</x:v>
      </x:c>
      <x:c r="B16" s="49" t="n">
        <x:f>A16/'Datos'!$B$27*'Datos'!$B$26</x:f>
        <x:v>0.09</x:v>
      </x:c>
      <x:c r="C16" s="46" t="n">
        <x:f>B16^3/3</x:f>
        <x:v>0.00024299999999999997</x:v>
      </x:c>
      <x:c r="D16" s="46" t="n">
        <x:f>C16-C15</x:f>
        <x:v>0.00007233333333333327</x:v>
      </x:c>
      <x:c r="E16" s="79" t="n">
        <x:v>-1.1227823542740187</x:v>
      </x:c>
      <x:c r="F16" s="46" t="n">
        <x:f>SQRT(D16)*E16</x:f>
        <x:v>-0.009549152260279378</x:v>
      </x:c>
      <x:c r="G16" s="46" t="n">
        <x:f>G15+F16</x:f>
        <x:v>-0.0023820557676539284</x:v>
      </x:c>
      <x:c r="H16" s="46" t="n">
        <x:f>G16^2-C16</x:f>
        <x:v>-0.00023732581031978662</x:v>
      </x:c>
      <x:c r="I16" s="46" t="n">
        <x:f>-C16</x:f>
        <x:v>-0.00024299999999999997</x:v>
      </x:c>
      <x:c r="J16" s="52" t="str">
        <x:f>TEXT(B16,"0.00")</x:f>
        <x:v>0.09</x:v>
      </x:c>
    </x:row>
    <x:row r="17" ht="22" customHeight="1">
      <x:c r="A17" s="2" t="n">
        <x:v>10</x:v>
      </x:c>
      <x:c r="B17" s="49" t="n">
        <x:f>A17/'Datos'!$B$27*'Datos'!$B$26</x:f>
        <x:v>0.1</x:v>
      </x:c>
      <x:c r="C17" s="46" t="n">
        <x:f>B17^3/3</x:f>
        <x:v>0.00033333333333333343</x:v>
      </x:c>
      <x:c r="D17" s="46" t="n">
        <x:f>C17-C16</x:f>
        <x:v>0.00009033333333333346</x:v>
      </x:c>
      <x:c r="E17" s="79" t="n">
        <x:v>0.23876587462703125</x:v>
      </x:c>
      <x:c r="F17" s="46" t="n">
        <x:f>SQRT(D17)*E17</x:f>
        <x:v>0.002269322786076458</x:v>
      </x:c>
      <x:c r="G17" s="46" t="n">
        <x:f>G16+F17</x:f>
        <x:v>-0.00011273298157747028</x:v>
      </x:c>
      <x:c r="H17" s="46" t="n">
        <x:f>G17^2-C17</x:f>
        <x:v>-0.0003333206246081981</x:v>
      </x:c>
      <x:c r="I17" s="46" t="n">
        <x:f>-C17</x:f>
        <x:v>-0.00033333333333333343</x:v>
      </x:c>
      <x:c r="J17" s="52" t="str">
        <x:f>TEXT(B17,"0.00")</x:f>
        <x:v>0.10</x:v>
      </x:c>
    </x:row>
    <x:row r="18" ht="22" customHeight="1">
      <x:c r="A18" s="2" t="n">
        <x:v>11</x:v>
      </x:c>
      <x:c r="B18" s="49" t="n">
        <x:f>A18/'Datos'!$B$27*'Datos'!$B$26</x:f>
        <x:v>0.11</x:v>
      </x:c>
      <x:c r="C18" s="46" t="n">
        <x:f>B18^3/3</x:f>
        <x:v>0.00044366666666666664</x:v>
      </x:c>
      <x:c r="D18" s="46" t="n">
        <x:f>C18-C17</x:f>
        <x:v>0.00011033333333333321</x:v>
      </x:c>
      <x:c r="E18" s="79" t="n">
        <x:v>-1.6933031421411668</x:v>
      </x:c>
      <x:c r="F18" s="46" t="n">
        <x:f>SQRT(D18)*E18</x:f>
        <x:v>-0.0177864011801365</x:v>
      </x:c>
      <x:c r="G18" s="46" t="n">
        <x:f>G17+F18</x:f>
        <x:v>-0.01789913416171397</x:v>
      </x:c>
      <x:c r="H18" s="46" t="n">
        <x:f>G18^2-C18</x:f>
        <x:v>-0.00012328766292763062</x:v>
      </x:c>
      <x:c r="I18" s="46" t="n">
        <x:f>-C18</x:f>
        <x:v>-0.00044366666666666664</x:v>
      </x:c>
      <x:c r="J18" s="52" t="str">
        <x:f>TEXT(B18,"0.00")</x:f>
        <x:v>0.11</x:v>
      </x:c>
    </x:row>
    <x:row r="19" ht="22" customHeight="1">
      <x:c r="A19" s="2" t="n">
        <x:v>12</x:v>
      </x:c>
      <x:c r="B19" s="49" t="n">
        <x:f>A19/'Datos'!$B$27*'Datos'!$B$26</x:f>
        <x:v>0.12</x:v>
      </x:c>
      <x:c r="C19" s="46" t="n">
        <x:f>B19^3/3</x:f>
        <x:v>0.0005759999999999999</x:v>
      </x:c>
      <x:c r="D19" s="46" t="n">
        <x:f>C19-C18</x:f>
        <x:v>0.00013233333333333326</x:v>
      </x:c>
      <x:c r="E19" s="79" t="n">
        <x:v>-1.5742098495680465</x:v>
      </x:c>
      <x:c r="F19" s="46" t="n">
        <x:f>SQRT(D19)*E19</x:f>
        <x:v>-0.018109116030693758</x:v>
      </x:c>
      <x:c r="G19" s="46" t="n">
        <x:f>G18+F19</x:f>
        <x:v>-0.03600825019240773</x:v>
      </x:c>
      <x:c r="H19" s="46" t="n">
        <x:f>G19^2-C19</x:f>
        <x:v>0.0007205940819190312</x:v>
      </x:c>
      <x:c r="I19" s="46" t="n">
        <x:f>-C19</x:f>
        <x:v>-0.0005759999999999999</x:v>
      </x:c>
      <x:c r="J19" s="52" t="str">
        <x:f>TEXT(B19,"0.00")</x:f>
        <x:v>0.12</x:v>
      </x:c>
    </x:row>
    <x:row r="20" ht="22" customHeight="1">
      <x:c r="A20" s="2" t="n">
        <x:v>13</x:v>
      </x:c>
      <x:c r="B20" s="49" t="n">
        <x:f>A20/'Datos'!$B$27*'Datos'!$B$26</x:f>
        <x:v>0.13</x:v>
      </x:c>
      <x:c r="C20" s="46" t="n">
        <x:f>B20^3/3</x:f>
        <x:v>0.0007323333333333334</x:v>
      </x:c>
      <x:c r="D20" s="46" t="n">
        <x:f>C20-C19</x:f>
        <x:v>0.00015633333333333352</x:v>
      </x:c>
      <x:c r="E20" s="79" t="n">
        <x:v>0.013933753709327213</x:v>
      </x:c>
      <x:c r="F20" s="46" t="n">
        <x:f>SQRT(D20)*E20</x:f>
        <x:v>0.00017421836102115946</x:v>
      </x:c>
      <x:c r="G20" s="46" t="n">
        <x:f>G19+F20</x:f>
        <x:v>-0.035834031831386566</x:v>
      </x:c>
      <x:c r="H20" s="46" t="n">
        <x:f>G20^2-C20</x:f>
        <x:v>0.0005517445039594921</x:v>
      </x:c>
      <x:c r="I20" s="46" t="n">
        <x:f>-C20</x:f>
        <x:v>-0.0007323333333333334</x:v>
      </x:c>
      <x:c r="J20" s="52" t="str">
        <x:f>TEXT(B20,"0.00")</x:f>
        <x:v>0.13</x:v>
      </x:c>
    </x:row>
    <x:row r="21" ht="22" customHeight="1">
      <x:c r="A21" s="2" t="n">
        <x:v>14</x:v>
      </x:c>
      <x:c r="B21" s="49" t="n">
        <x:f>A21/'Datos'!$B$27*'Datos'!$B$26</x:f>
        <x:v>0.14</x:v>
      </x:c>
      <x:c r="C21" s="46" t="n">
        <x:f>B21^3/3</x:f>
        <x:v>0.0009146666666666669</x:v>
      </x:c>
      <x:c r="D21" s="46" t="n">
        <x:f>C21-C20</x:f>
        <x:v>0.0001823333333333335</x:v>
      </x:c>
      <x:c r="E21" s="79" t="n">
        <x:v>0.0049550820187718924</x:v>
      </x:c>
      <x:c r="F21" s="46" t="n">
        <x:f>SQRT(D21)*E21</x:f>
        <x:v>0.00006690889896861711</x:v>
      </x:c>
      <x:c r="G21" s="46" t="n">
        <x:f>G20+F21</x:f>
        <x:v>-0.03576712293241795</x:v>
      </x:c>
      <x:c r="H21" s="46" t="n">
        <x:f>G21^2-C21</x:f>
        <x:v>0.00036462041619603094</x:v>
      </x:c>
      <x:c r="I21" s="46" t="n">
        <x:f>-C21</x:f>
        <x:v>-0.0009146666666666669</x:v>
      </x:c>
      <x:c r="J21" s="52" t="str">
        <x:f>TEXT(B21,"0.00")</x:f>
        <x:v>0.14</x:v>
      </x:c>
    </x:row>
    <x:row r="22" ht="22" customHeight="1">
      <x:c r="A22" s="2" t="n">
        <x:v>15</x:v>
      </x:c>
      <x:c r="B22" s="49" t="n">
        <x:f>A22/'Datos'!$B$27*'Datos'!$B$26</x:f>
        <x:v>0.15</x:v>
      </x:c>
      <x:c r="C22" s="46" t="n">
        <x:f>B22^3/3</x:f>
        <x:v>0.001125</x:v>
      </x:c>
      <x:c r="D22" s="46" t="n">
        <x:f>C22-C21</x:f>
        <x:v>0.000210333333333333</x:v>
      </x:c>
      <x:c r="E22" s="79" t="n">
        <x:v>0.7226344525915692</x:v>
      </x:c>
      <x:c r="F22" s="46" t="n">
        <x:f>SQRT(D22)*E22</x:f>
        <x:v>0.010480275892641241</x:v>
      </x:c>
      <x:c r="G22" s="46" t="n">
        <x:f>G21+F22</x:f>
        <x:v>-0.025286847039776704</x:v>
      </x:c>
      <x:c r="H22" s="46" t="n">
        <x:f>G22^2-C22</x:f>
        <x:v>-0.00048557536678693603</x:v>
      </x:c>
      <x:c r="I22" s="46" t="n">
        <x:f>-C22</x:f>
        <x:v>-0.001125</x:v>
      </x:c>
      <x:c r="J22" s="52" t="str">
        <x:f>TEXT(B22,"0.00")</x:f>
        <x:v>0.15</x:v>
      </x:c>
    </x:row>
    <x:row r="23" ht="22" customHeight="1">
      <x:c r="A23" s="2" t="n">
        <x:v>16</x:v>
      </x:c>
      <x:c r="B23" s="49" t="n">
        <x:f>A23/'Datos'!$B$27*'Datos'!$B$26</x:f>
        <x:v>0.16</x:v>
      </x:c>
      <x:c r="C23" s="46" t="n">
        <x:f>B23^3/3</x:f>
        <x:v>0.0013653333333333336</x:v>
      </x:c>
      <x:c r="D23" s="46" t="n">
        <x:f>C23-C22</x:f>
        <x:v>0.00024033333333333372</x:v>
      </x:c>
      <x:c r="E23" s="79" t="n">
        <x:v>-1.744390081811474</x:v>
      </x:c>
      <x:c r="F23" s="46" t="n">
        <x:f>SQRT(D23)*E23</x:f>
        <x:v>-0.02704273508217157</x:v>
      </x:c>
      <x:c r="G23" s="46" t="n">
        <x:f>G22+F23</x:f>
        <x:v>-0.05232958212194827</x:v>
      </x:c>
      <x:c r="H23" s="46" t="n">
        <x:f>G23^2-C23</x:f>
        <x:v>0.0013730518317243946</x:v>
      </x:c>
      <x:c r="I23" s="46" t="n">
        <x:f>-C23</x:f>
        <x:v>-0.0013653333333333336</x:v>
      </x:c>
      <x:c r="J23" s="52" t="str">
        <x:f>TEXT(B23,"0.00")</x:f>
        <x:v>0.16</x:v>
      </x:c>
    </x:row>
    <x:row r="24" ht="22" customHeight="1">
      <x:c r="A24" s="2" t="n">
        <x:v>17</x:v>
      </x:c>
      <x:c r="B24" s="49" t="n">
        <x:f>A24/'Datos'!$B$27*'Datos'!$B$26</x:f>
        <x:v>0.17</x:v>
      </x:c>
      <x:c r="C24" s="46" t="n">
        <x:f>B24^3/3</x:f>
        <x:v>0.0016376666666666668</x:v>
      </x:c>
      <x:c r="D24" s="46" t="n">
        <x:f>C24-C23</x:f>
        <x:v>0.0002723333333333332</x:v>
      </x:c>
      <x:c r="E24" s="79" t="n">
        <x:v>0.04117685569591512</x:v>
      </x:c>
      <x:c r="F24" s="46" t="n">
        <x:f>SQRT(D24)*E24</x:f>
        <x:v>0.000679522092985654</x:v>
      </x:c>
      <x:c r="G24" s="46" t="n">
        <x:f>G23+F24</x:f>
        <x:v>-0.051650060028962615</x:v>
      </x:c>
      <x:c r="H24" s="46" t="n">
        <x:f>G24^2-C24</x:f>
        <x:v>0.0010300620343287748</x:v>
      </x:c>
      <x:c r="I24" s="46" t="n">
        <x:f>-C24</x:f>
        <x:v>-0.0016376666666666668</x:v>
      </x:c>
      <x:c r="J24" s="52" t="str">
        <x:f>TEXT(B24,"0.00")</x:f>
        <x:v>0.17</x:v>
      </x:c>
    </x:row>
    <x:row r="25" ht="22" customHeight="1">
      <x:c r="A25" s="2" t="n">
        <x:v>18</x:v>
      </x:c>
      <x:c r="B25" s="49" t="n">
        <x:f>A25/'Datos'!$B$27*'Datos'!$B$26</x:f>
        <x:v>0.18</x:v>
      </x:c>
      <x:c r="C25" s="46" t="n">
        <x:f>B25^3/3</x:f>
        <x:v>0.0019439999999999998</x:v>
      </x:c>
      <x:c r="D25" s="46" t="n">
        <x:f>C25-C24</x:f>
        <x:v>0.00030633333333333294</x:v>
      </x:c>
      <x:c r="E25" s="79" t="n">
        <x:v>0.12936922405017975</x:v>
      </x:c>
      <x:c r="F25" s="46" t="n">
        <x:f>SQRT(D25)*E25</x:f>
        <x:v>0.002264269421889144</x:v>
      </x:c>
      <x:c r="G25" s="46" t="n">
        <x:f>G24+F25</x:f>
        <x:v>-0.049385790607073474</x:v>
      </x:c>
      <x:c r="H25" s="46" t="n">
        <x:f>G25^2-C25</x:f>
        <x:v>0.0004949563138857067</x:v>
      </x:c>
      <x:c r="I25" s="46" t="n">
        <x:f>-C25</x:f>
        <x:v>-0.0019439999999999998</x:v>
      </x:c>
      <x:c r="J25" s="52" t="str">
        <x:f>TEXT(B25,"0.00")</x:f>
        <x:v>0.18</x:v>
      </x:c>
    </x:row>
    <x:row r="26" ht="22" customHeight="1">
      <x:c r="A26" s="2" t="n">
        <x:v>19</x:v>
      </x:c>
      <x:c r="B26" s="49" t="n">
        <x:f>A26/'Datos'!$B$27*'Datos'!$B$26</x:f>
        <x:v>0.19</x:v>
      </x:c>
      <x:c r="C26" s="46" t="n">
        <x:f>B26^3/3</x:f>
        <x:v>0.0022863333333333334</x:v>
      </x:c>
      <x:c r="D26" s="46" t="n">
        <x:f>C26-C25</x:f>
        <x:v>0.0003423333333333336</x:v>
      </x:c>
      <x:c r="E26" s="79" t="n">
        <x:v>0.08879360651500214</x:v>
      </x:c>
      <x:c r="F26" s="46" t="n">
        <x:f>SQRT(D26)*E26</x:f>
        <x:v>0.001642881693955821</x:v>
      </x:c>
      <x:c r="G26" s="46" t="n">
        <x:f>G25+F26</x:f>
        <x:v>-0.04774290891311765</x:v>
      </x:c>
      <x:c r="H26" s="46" t="n">
        <x:f>G26^2-C26</x:f>
        <x:v>-0.000006947981847084308</x:v>
      </x:c>
      <x:c r="I26" s="46" t="n">
        <x:f>-C26</x:f>
        <x:v>-0.0022863333333333334</x:v>
      </x:c>
      <x:c r="J26" s="52" t="str">
        <x:f>TEXT(B26,"0.00")</x:f>
        <x:v>0.19</x:v>
      </x:c>
    </x:row>
    <x:row r="27" ht="22" customHeight="1">
      <x:c r="A27" s="2" t="n">
        <x:v>20</x:v>
      </x:c>
      <x:c r="B27" s="49" t="n">
        <x:f>A27/'Datos'!$B$27*'Datos'!$B$26</x:f>
        <x:v>0.2</x:v>
      </x:c>
      <x:c r="C27" s="46" t="n">
        <x:f>B27^3/3</x:f>
        <x:v>0.0026666666666666674</x:v>
      </x:c>
      <x:c r="D27" s="46" t="n">
        <x:f>C27-C26</x:f>
        <x:v>0.0003803333333333341</x:v>
      </x:c>
      <x:c r="E27" s="79" t="n">
        <x:v>-2.81358691022717</x:v>
      </x:c>
      <x:c r="F27" s="46" t="n">
        <x:f>SQRT(D27)*E27</x:f>
        <x:v>-0.05487095635792316</x:v>
      </x:c>
      <x:c r="G27" s="46" t="n">
        <x:f>G26+F27</x:f>
        <x:v>-0.10261386527104081</x:v>
      </x:c>
      <x:c r="H27" s="46" t="n">
        <x:f>G27^2-C27</x:f>
        <x:v>0.007862938679196648</x:v>
      </x:c>
      <x:c r="I27" s="46" t="n">
        <x:f>-C27</x:f>
        <x:v>-0.0026666666666666674</x:v>
      </x:c>
      <x:c r="J27" s="52" t="str">
        <x:f>TEXT(B27,"0.00")</x:f>
        <x:v>0.20</x:v>
      </x:c>
    </x:row>
    <x:row r="28" ht="22" customHeight="1">
      <x:c r="A28" s="2" t="n">
        <x:v>21</x:v>
      </x:c>
      <x:c r="B28" s="49" t="n">
        <x:f>A28/'Datos'!$B$27*'Datos'!$B$26</x:f>
        <x:v>0.21</x:v>
      </x:c>
      <x:c r="C28" s="46" t="n">
        <x:f>B28^3/3</x:f>
        <x:v>0.0030869999999999995</x:v>
      </x:c>
      <x:c r="D28" s="46" t="n">
        <x:f>C28-C27</x:f>
        <x:v>0.000420333333333332</x:v>
      </x:c>
      <x:c r="E28" s="79" t="n">
        <x:v>0.8351040649871935</x:v>
      </x:c>
      <x:c r="F28" s="46" t="n">
        <x:f>SQRT(D28)*E28</x:f>
        <x:v>0.017121330614086872</x:v>
      </x:c>
      <x:c r="G28" s="46" t="n">
        <x:f>G27+F28</x:f>
        <x:v>-0.08549253465695394</x:v>
      </x:c>
      <x:c r="H28" s="46" t="n">
        <x:f>G28^2-C28</x:f>
        <x:v>0.004221973482070472</x:v>
      </x:c>
      <x:c r="I28" s="46" t="n">
        <x:f>-C28</x:f>
        <x:v>-0.0030869999999999995</x:v>
      </x:c>
      <x:c r="J28" s="52" t="str">
        <x:f>TEXT(B28,"0.00")</x:f>
        <x:v>0.21</x:v>
      </x:c>
    </x:row>
    <x:row r="29" ht="22" customHeight="1">
      <x:c r="A29" s="2" t="n">
        <x:v>22</x:v>
      </x:c>
      <x:c r="B29" s="49" t="n">
        <x:f>A29/'Datos'!$B$27*'Datos'!$B$26</x:f>
        <x:v>0.22</x:v>
      </x:c>
      <x:c r="C29" s="46" t="n">
        <x:f>B29^3/3</x:f>
        <x:v>0.003549333333333333</x:v>
      </x:c>
      <x:c r="D29" s="46" t="n">
        <x:f>C29-C28</x:f>
        <x:v>0.0004623333333333337</x:v>
      </x:c>
      <x:c r="E29" s="79" t="n">
        <x:v>-1.0703172075742589</x:v>
      </x:c>
      <x:c r="F29" s="46" t="n">
        <x:f>SQRT(D29)*E29</x:f>
        <x:v>-0.023013894127523627</x:v>
      </x:c>
      <x:c r="G29" s="46" t="n">
        <x:f>G28+F29</x:f>
        <x:v>-0.10850642878447757</x:v>
      </x:c>
      <x:c r="H29" s="46" t="n">
        <x:f>G29^2-C29</x:f>
        <x:v>0.008224311754227569</x:v>
      </x:c>
      <x:c r="I29" s="46" t="n">
        <x:f>-C29</x:f>
        <x:v>-0.003549333333333333</x:v>
      </x:c>
      <x:c r="J29" s="52" t="str">
        <x:f>TEXT(B29,"0.00")</x:f>
        <x:v>0.22</x:v>
      </x:c>
    </x:row>
    <x:row r="30" ht="22" customHeight="1">
      <x:c r="A30" s="2" t="n">
        <x:v>23</x:v>
      </x:c>
      <x:c r="B30" s="49" t="n">
        <x:f>A30/'Datos'!$B$27*'Datos'!$B$26</x:f>
        <x:v>0.23</x:v>
      </x:c>
      <x:c r="C30" s="46" t="n">
        <x:f>B30^3/3</x:f>
        <x:v>0.004055666666666667</x:v>
      </x:c>
      <x:c r="D30" s="46" t="n">
        <x:f>C30-C29</x:f>
        <x:v>0.0005063333333333335</x:v>
      </x:c>
      <x:c r="E30" s="79" t="n">
        <x:v>-1.4325693011182488</x:v>
      </x:c>
      <x:c r="F30" s="46" t="n">
        <x:f>SQRT(D30)*E30</x:f>
        <x:v>-0.03223546207210968</x:v>
      </x:c>
      <x:c r="G30" s="46" t="n">
        <x:f>G29+F30</x:f>
        <x:v>-0.14074189085658725</x:v>
      </x:c>
      <x:c r="H30" s="46" t="n">
        <x:f>G30^2-C30</x:f>
        <x:v>0.015752613175220854</x:v>
      </x:c>
      <x:c r="I30" s="46" t="n">
        <x:f>-C30</x:f>
        <x:v>-0.004055666666666667</x:v>
      </x:c>
      <x:c r="J30" s="52" t="str">
        <x:f>TEXT(B30,"0.00")</x:f>
        <x:v>0.23</x:v>
      </x:c>
    </x:row>
    <x:row r="31" ht="22" customHeight="1">
      <x:c r="A31" s="2" t="n">
        <x:v>24</x:v>
      </x:c>
      <x:c r="B31" s="49" t="n">
        <x:f>A31/'Datos'!$B$27*'Datos'!$B$26</x:f>
        <x:v>0.24</x:v>
      </x:c>
      <x:c r="C31" s="46" t="n">
        <x:f>B31^3/3</x:f>
        <x:v>0.004607999999999999</x:v>
      </x:c>
      <x:c r="D31" s="46" t="n">
        <x:f>C31-C30</x:f>
        <x:v>0.0005523333333333326</x:v>
      </x:c>
      <x:c r="E31" s="79" t="n">
        <x:v>-1.1275881137839083</x:v>
      </x:c>
      <x:c r="F31" s="46" t="n">
        <x:f>SQRT(D31)*E31</x:f>
        <x:v>-0.026500319868211438</x:v>
      </x:c>
      <x:c r="G31" s="46" t="n">
        <x:f>G30+F31</x:f>
        <x:v>-0.1672422107247987</x:v>
      </x:c>
      <x:c r="H31" s="46" t="n">
        <x:f>G31^2-C31</x:f>
        <x:v>0.02336195704811797</x:v>
      </x:c>
      <x:c r="I31" s="46" t="n">
        <x:f>-C31</x:f>
        <x:v>-0.004607999999999999</x:v>
      </x:c>
      <x:c r="J31" s="52" t="str">
        <x:f>TEXT(B31,"0.00")</x:f>
        <x:v>0.24</x:v>
      </x:c>
    </x:row>
    <x:row r="32" ht="22" customHeight="1">
      <x:c r="A32" s="2" t="n">
        <x:v>25</x:v>
      </x:c>
      <x:c r="B32" s="49" t="n">
        <x:f>A32/'Datos'!$B$27*'Datos'!$B$26</x:f>
        <x:v>0.25</x:v>
      </x:c>
      <x:c r="C32" s="46" t="n">
        <x:f>B32^3/3</x:f>
        <x:v>0.005208333333333333</x:v>
      </x:c>
      <x:c r="D32" s="46" t="n">
        <x:f>C32-C31</x:f>
        <x:v>0.0006003333333333338</x:v>
      </x:c>
      <x:c r="E32" s="79" t="n">
        <x:v>0.9128016783329065</x:v>
      </x:c>
      <x:c r="F32" s="46" t="n">
        <x:f>SQRT(D32)*E32</x:f>
        <x:v>0.02236519344908688</x:v>
      </x:c>
      <x:c r="G32" s="46" t="n">
        <x:f>G31+F32</x:f>
        <x:v>-0.1448770172757118</x:v>
      </x:c>
      <x:c r="H32" s="46" t="n">
        <x:f>G32^2-C32</x:f>
        <x:v>0.015781016801373567</x:v>
      </x:c>
      <x:c r="I32" s="46" t="n">
        <x:f>-C32</x:f>
        <x:v>-0.005208333333333333</x:v>
      </x:c>
      <x:c r="J32" s="52" t="str">
        <x:f>TEXT(B32,"0.00")</x:f>
        <x:v>0.25</x:v>
      </x:c>
    </x:row>
    <x:row r="33" ht="22" customHeight="1">
      <x:c r="A33" s="2" t="n">
        <x:v>26</x:v>
      </x:c>
      <x:c r="B33" s="49" t="n">
        <x:f>A33/'Datos'!$B$27*'Datos'!$B$26</x:f>
        <x:v>0.26</x:v>
      </x:c>
      <x:c r="C33" s="46" t="n">
        <x:f>B33^3/3</x:f>
        <x:v>0.005858666666666667</x:v>
      </x:c>
      <x:c r="D33" s="46" t="n">
        <x:f>C33-C32</x:f>
        <x:v>0.0006503333333333344</x:v>
      </x:c>
      <x:c r="E33" s="79" t="n">
        <x:v>-0.4262063411441592</x:v>
      </x:c>
      <x:c r="F33" s="46" t="n">
        <x:f>SQRT(D33)*E33</x:f>
        <x:v>-0.010868958092455172</x:v>
      </x:c>
      <x:c r="G33" s="46" t="n">
        <x:f>G32+F33</x:f>
        <x:v>-0.15574597536816698</x:v>
      </x:c>
      <x:c r="H33" s="46" t="n">
        <x:f>G33^2-C33</x:f>
        <x:v>0.018398142176715006</x:v>
      </x:c>
      <x:c r="I33" s="46" t="n">
        <x:f>-C33</x:f>
        <x:v>-0.005858666666666667</x:v>
      </x:c>
      <x:c r="J33" s="52" t="str">
        <x:f>TEXT(B33,"0.00")</x:f>
        <x:v>0.26</x:v>
      </x:c>
    </x:row>
    <x:row r="34" ht="22" customHeight="1">
      <x:c r="A34" s="2" t="n">
        <x:v>27</x:v>
      </x:c>
      <x:c r="B34" s="49" t="n">
        <x:f>A34/'Datos'!$B$27*'Datos'!$B$26</x:f>
        <x:v>0.27</x:v>
      </x:c>
      <x:c r="C34" s="46" t="n">
        <x:f>B34^3/3</x:f>
        <x:v>0.006561000000000001</x:v>
      </x:c>
      <x:c r="D34" s="46" t="n">
        <x:f>C34-C33</x:f>
        <x:v>0.0007023333333333335</x:v>
      </x:c>
      <x:c r="E34" s="79" t="n">
        <x:v>-0.21755812988758516</x:v>
      </x:c>
      <x:c r="F34" s="46" t="n">
        <x:f>SQRT(D34)*E34</x:f>
        <x:v>-0.005765632504404768</x:v>
      </x:c>
      <x:c r="G34" s="46" t="n">
        <x:f>G33+F34</x:f>
        <x:v>-0.16151160787257174</x:v>
      </x:c>
      <x:c r="H34" s="46" t="n">
        <x:f>G34^2-C34</x:f>
        <x:v>0.019524999477583377</x:v>
      </x:c>
      <x:c r="I34" s="46" t="n">
        <x:f>-C34</x:f>
        <x:v>-0.006561000000000001</x:v>
      </x:c>
      <x:c r="J34" s="52" t="str">
        <x:f>TEXT(B34,"0.00")</x:f>
        <x:v>0.27</x:v>
      </x:c>
    </x:row>
    <x:row r="35" ht="22" customHeight="1">
      <x:c r="A35" s="2" t="n">
        <x:v>28</x:v>
      </x:c>
      <x:c r="B35" s="49" t="n">
        <x:f>A35/'Datos'!$B$27*'Datos'!$B$26</x:f>
        <x:v>0.28</x:v>
      </x:c>
      <x:c r="C35" s="46" t="n">
        <x:f>B35^3/3</x:f>
        <x:v>0.007317333333333335</x:v>
      </x:c>
      <x:c r="D35" s="46" t="n">
        <x:f>C35-C34</x:f>
        <x:v>0.0007563333333333346</x:v>
      </x:c>
      <x:c r="E35" s="79" t="n">
        <x:v>-0.3283144328635175</x:v>
      </x:c>
      <x:c r="F35" s="46" t="n">
        <x:f>SQRT(D35)*E35</x:f>
        <x:v>-0.009029144336154144</x:v>
      </x:c>
      <x:c r="G35" s="46" t="n">
        <x:f>G34+F35</x:f>
        <x:v>-0.1705407522087259</x:v>
      </x:c>
      <x:c r="H35" s="46" t="n">
        <x:f>G35^2-C35</x:f>
        <x:v>0.021766814830584708</x:v>
      </x:c>
      <x:c r="I35" s="46" t="n">
        <x:f>-C35</x:f>
        <x:v>-0.007317333333333335</x:v>
      </x:c>
      <x:c r="J35" s="52" t="str">
        <x:f>TEXT(B35,"0.00")</x:f>
        <x:v>0.28</x:v>
      </x:c>
    </x:row>
    <x:row r="36" ht="22" customHeight="1">
      <x:c r="A36" s="2" t="n">
        <x:v>29</x:v>
      </x:c>
      <x:c r="B36" s="49" t="n">
        <x:f>A36/'Datos'!$B$27*'Datos'!$B$26</x:f>
        <x:v>0.29</x:v>
      </x:c>
      <x:c r="C36" s="46" t="n">
        <x:f>B36^3/3</x:f>
        <x:v>0.008129666666666665</x:v>
      </x:c>
      <x:c r="D36" s="46" t="n">
        <x:f>C36-C35</x:f>
        <x:v>0.0008123333333333298</x:v>
      </x:c>
      <x:c r="E36" s="79" t="n">
        <x:v>-1.2615159947385268</x:v>
      </x:c>
      <x:c r="F36" s="46" t="n">
        <x:f>SQRT(D36)*E36</x:f>
        <x:v>-0.03595505012437525</x:v>
      </x:c>
      <x:c r="G36" s="46" t="n">
        <x:f>G35+F36</x:f>
        <x:v>-0.20649580233310114</x:v>
      </x:c>
      <x:c r="H36" s="46" t="n">
        <x:f>G36^2-C36</x:f>
        <x:v>0.03451084971452451</x:v>
      </x:c>
      <x:c r="I36" s="46" t="n">
        <x:f>-C36</x:f>
        <x:v>-0.008129666666666665</x:v>
      </x:c>
      <x:c r="J36" s="52" t="str">
        <x:f>TEXT(B36,"0.00")</x:f>
        <x:v>0.29</x:v>
      </x:c>
    </x:row>
    <x:row r="37" ht="22" customHeight="1">
      <x:c r="A37" s="2" t="n">
        <x:v>30</x:v>
      </x:c>
      <x:c r="B37" s="49" t="n">
        <x:f>A37/'Datos'!$B$27*'Datos'!$B$26</x:f>
        <x:v>0.3</x:v>
      </x:c>
      <x:c r="C37" s="46" t="n">
        <x:f>B37^3/3</x:f>
        <x:v>0.009</x:v>
      </x:c>
      <x:c r="D37" s="46" t="n">
        <x:f>C37-C36</x:f>
        <x:v>0.0008703333333333341</x:v>
      </x:c>
      <x:c r="E37" s="79" t="n">
        <x:v>-0.6009919065660312</x:v>
      </x:c>
      <x:c r="F37" s="46" t="n">
        <x:f>SQRT(D37)*E37</x:f>
        <x:v>-0.01773011008200276</x:v>
      </x:c>
      <x:c r="G37" s="46" t="n">
        <x:f>G36+F37</x:f>
        <x:v>-0.2242259124151039</x:v>
      </x:c>
      <x:c r="H37" s="46" t="n">
        <x:f>G37^2-C37</x:f>
        <x:v>0.04127725979838584</x:v>
      </x:c>
      <x:c r="I37" s="46" t="n">
        <x:f>-C37</x:f>
        <x:v>-0.009</x:v>
      </x:c>
      <x:c r="J37" s="52" t="str">
        <x:f>TEXT(B37,"0.00")</x:f>
        <x:v>0.30</x:v>
      </x:c>
    </x:row>
    <x:row r="38" ht="22" customHeight="1">
      <x:c r="A38" s="2" t="n">
        <x:v>31</x:v>
      </x:c>
      <x:c r="B38" s="49" t="n">
        <x:f>A38/'Datos'!$B$27*'Datos'!$B$26</x:f>
        <x:v>0.31</x:v>
      </x:c>
      <x:c r="C38" s="46" t="n">
        <x:f>B38^3/3</x:f>
        <x:v>0.009930333333333333</x:v>
      </x:c>
      <x:c r="D38" s="46" t="n">
        <x:f>C38-C37</x:f>
        <x:v>0.0009303333333333334</x:v>
      </x:c>
      <x:c r="E38" s="79" t="n">
        <x:v>-0.7559903599818392</x:v>
      </x:c>
      <x:c r="F38" s="46" t="n">
        <x:f>SQRT(D38)*E38</x:f>
        <x:v>-0.023058738730033557</x:v>
      </x:c>
      <x:c r="G38" s="46" t="n">
        <x:f>G37+F38</x:f>
        <x:v>-0.24728465114513745</x:v>
      </x:c>
      <x:c r="H38" s="46" t="n">
        <x:f>G38^2-C38</x:f>
        <x:v>0.051219365358638996</x:v>
      </x:c>
      <x:c r="I38" s="46" t="n">
        <x:f>-C38</x:f>
        <x:v>-0.009930333333333333</x:v>
      </x:c>
      <x:c r="J38" s="52" t="str">
        <x:f>TEXT(B38,"0.00")</x:f>
        <x:v>0.31</x:v>
      </x:c>
    </x:row>
    <x:row r="39" ht="22" customHeight="1">
      <x:c r="A39" s="2" t="n">
        <x:v>32</x:v>
      </x:c>
      <x:c r="B39" s="49" t="n">
        <x:f>A39/'Datos'!$B$27*'Datos'!$B$26</x:f>
        <x:v>0.32</x:v>
      </x:c>
      <x:c r="C39" s="46" t="n">
        <x:f>B39^3/3</x:f>
        <x:v>0.010922666666666669</x:v>
      </x:c>
      <x:c r="D39" s="46" t="n">
        <x:f>C39-C38</x:f>
        <x:v>0.0009923333333333364</x:v>
      </x:c>
      <x:c r="E39" s="79" t="n">
        <x:v>-1.24545569662464</x:v>
      </x:c>
      <x:c r="F39" s="46" t="n">
        <x:f>SQRT(D39)*E39</x:f>
        <x:v>-0.03923350183725832</x:v>
      </x:c>
      <x:c r="G39" s="46" t="n">
        <x:f>G38+F39</x:f>
        <x:v>-0.2865181529823958</x:v>
      </x:c>
      <x:c r="H39" s="46" t="n">
        <x:f>G39^2-C39</x:f>
        <x:v>0.0711699853217769</x:v>
      </x:c>
      <x:c r="I39" s="46" t="n">
        <x:f>-C39</x:f>
        <x:v>-0.010922666666666669</x:v>
      </x:c>
      <x:c r="J39" s="52" t="str">
        <x:f>TEXT(B39,"0.00")</x:f>
        <x:v>0.32</x:v>
      </x:c>
    </x:row>
    <x:row r="40" ht="22" customHeight="1">
      <x:c r="A40" s="2" t="n">
        <x:v>33</x:v>
      </x:c>
      <x:c r="B40" s="49" t="n">
        <x:f>A40/'Datos'!$B$27*'Datos'!$B$26</x:f>
        <x:v>0.33</x:v>
      </x:c>
      <x:c r="C40" s="46" t="n">
        <x:f>B40^3/3</x:f>
        <x:v>0.011979000000000002</x:v>
      </x:c>
      <x:c r="D40" s="46" t="n">
        <x:f>C40-C39</x:f>
        <x:v>0.0010563333333333327</x:v>
      </x:c>
      <x:c r="E40" s="79" t="n">
        <x:v>-1.017818183195128</x:v>
      </x:c>
      <x:c r="F40" s="46" t="n">
        <x:f>SQRT(D40)*E40</x:f>
        <x:v>-0.033080395823211754</x:v>
      </x:c>
      <x:c r="G40" s="46" t="n">
        <x:f>G39+F40</x:f>
        <x:v>-0.31959854880560756</x:v>
      </x:c>
      <x:c r="H40" s="46" t="n">
        <x:f>G40^2-C40</x:f>
        <x:v>0.09016423239865032</x:v>
      </x:c>
      <x:c r="I40" s="46" t="n">
        <x:f>-C40</x:f>
        <x:v>-0.011979000000000002</x:v>
      </x:c>
      <x:c r="J40" s="52" t="str">
        <x:f>TEXT(B40,"0.00")</x:f>
        <x:v>0.33</x:v>
      </x:c>
    </x:row>
    <x:row r="41" ht="22" customHeight="1">
      <x:c r="A41" s="2" t="n">
        <x:v>34</x:v>
      </x:c>
      <x:c r="B41" s="49" t="n">
        <x:f>A41/'Datos'!$B$27*'Datos'!$B$26</x:f>
        <x:v>0.34</x:v>
      </x:c>
      <x:c r="C41" s="46" t="n">
        <x:f>B41^3/3</x:f>
        <x:v>0.013101333333333335</x:v>
      </x:c>
      <x:c r="D41" s="46" t="n">
        <x:f>C41-C40</x:f>
        <x:v>0.0011223333333333328</x:v>
      </x:c>
      <x:c r="E41" s="79" t="n">
        <x:v>-1.1613101488051116</x:v>
      </x:c>
      <x:c r="F41" s="46" t="n">
        <x:f>SQRT(D41)*E41</x:f>
        <x:v>-0.038905334373766205</x:v>
      </x:c>
      <x:c r="G41" s="46" t="n">
        <x:f>G40+F41</x:f>
        <x:v>-0.35850388317937376</x:v>
      </x:c>
      <x:c r="H41" s="46" t="n">
        <x:f>G41^2-C41</x:f>
        <x:v>0.11542370092135672</x:v>
      </x:c>
      <x:c r="I41" s="46" t="n">
        <x:f>-C41</x:f>
        <x:v>-0.013101333333333335</x:v>
      </x:c>
      <x:c r="J41" s="52" t="str">
        <x:f>TEXT(B41,"0.00")</x:f>
        <x:v>0.34</x:v>
      </x:c>
    </x:row>
    <x:row r="42" ht="22" customHeight="1">
      <x:c r="A42" s="2" t="n">
        <x:v>35</x:v>
      </x:c>
      <x:c r="B42" s="49" t="n">
        <x:f>A42/'Datos'!$B$27*'Datos'!$B$26</x:f>
        <x:v>0.35</x:v>
      </x:c>
      <x:c r="C42" s="46" t="n">
        <x:f>B42^3/3</x:f>
        <x:v>0.014291666666666663</x:v>
      </x:c>
      <x:c r="D42" s="46" t="n">
        <x:f>C42-C41</x:f>
        <x:v>0.001190333333333328</x:v>
      </x:c>
      <x:c r="E42" s="79" t="n">
        <x:v>-0.9122727766696747</x:v>
      </x:c>
      <x:c r="F42" s="46" t="n">
        <x:f>SQRT(D42)*E42</x:f>
        <x:v>-0.03147451255453537</x:v>
      </x:c>
      <x:c r="G42" s="46" t="n">
        <x:f>G41+F42</x:f>
        <x:v>-0.38997839573390913</x:v>
      </x:c>
      <x:c r="H42" s="46" t="n">
        <x:f>G42^2-C42</x:f>
        <x:v>0.13779148247252676</x:v>
      </x:c>
      <x:c r="I42" s="46" t="n">
        <x:f>-C42</x:f>
        <x:v>-0.014291666666666663</x:v>
      </x:c>
      <x:c r="J42" s="52" t="str">
        <x:f>TEXT(B42,"0.00")</x:f>
        <x:v>0.35</x:v>
      </x:c>
    </x:row>
    <x:row r="43" ht="22" customHeight="1">
      <x:c r="A43" s="2" t="n">
        <x:v>36</x:v>
      </x:c>
      <x:c r="B43" s="49" t="n">
        <x:f>A43/'Datos'!$B$27*'Datos'!$B$26</x:f>
        <x:v>0.36</x:v>
      </x:c>
      <x:c r="C43" s="46" t="n">
        <x:f>B43^3/3</x:f>
        <x:v>0.015551999999999998</x:v>
      </x:c>
      <x:c r="D43" s="46" t="n">
        <x:f>C43-C42</x:f>
        <x:v>0.0012603333333333355</x:v>
      </x:c>
      <x:c r="E43" s="79" t="n">
        <x:v>-0.3074626929511786</x:v>
      </x:c>
      <x:c r="F43" s="46" t="n">
        <x:f>SQRT(D43)*E43</x:f>
        <x:v>-0.010915286465506779</x:v>
      </x:c>
      <x:c r="G43" s="46" t="n">
        <x:f>G42+F43</x:f>
        <x:v>-0.4008936821994159</x:v>
      </x:c>
      <x:c r="H43" s="46" t="n">
        <x:f>G43^2-C43</x:f>
        <x:v>0.14516374442740626</x:v>
      </x:c>
      <x:c r="I43" s="46" t="n">
        <x:f>-C43</x:f>
        <x:v>-0.015551999999999998</x:v>
      </x:c>
      <x:c r="J43" s="52" t="str">
        <x:f>TEXT(B43,"0.00")</x:f>
        <x:v>0.36</x:v>
      </x:c>
    </x:row>
    <x:row r="44" ht="22" customHeight="1">
      <x:c r="A44" s="2" t="n">
        <x:v>37</x:v>
      </x:c>
      <x:c r="B44" s="49" t="n">
        <x:f>A44/'Datos'!$B$27*'Datos'!$B$26</x:f>
        <x:v>0.37</x:v>
      </x:c>
      <x:c r="C44" s="46" t="n">
        <x:f>B44^3/3</x:f>
        <x:v>0.01688433333333333</x:v>
      </x:c>
      <x:c r="D44" s="46" t="n">
        <x:f>C44-C43</x:f>
        <x:v>0.001332333333333333</x:v>
      </x:c>
      <x:c r="E44" s="79" t="n">
        <x:v>0.5981906027072177</x:v>
      </x:c>
      <x:c r="F44" s="46" t="n">
        <x:f>SQRT(D44)*E44</x:f>
        <x:v>0.021834639854120146</x:v>
      </x:c>
      <x:c r="G44" s="46" t="n">
        <x:f>G43+F44</x:f>
        <x:v>-0.37905904234529575</x:v>
      </x:c>
      <x:c r="H44" s="46" t="n">
        <x:f>G44^2-C44</x:f>
        <x:v>0.1268014242503994</x:v>
      </x:c>
      <x:c r="I44" s="46" t="n">
        <x:f>-C44</x:f>
        <x:v>-0.01688433333333333</x:v>
      </x:c>
      <x:c r="J44" s="52" t="str">
        <x:f>TEXT(B44,"0.00")</x:f>
        <x:v>0.37</x:v>
      </x:c>
    </x:row>
    <x:row r="45" ht="22" customHeight="1">
      <x:c r="A45" s="2" t="n">
        <x:v>38</x:v>
      </x:c>
      <x:c r="B45" s="49" t="n">
        <x:f>A45/'Datos'!$B$27*'Datos'!$B$26</x:f>
        <x:v>0.38</x:v>
      </x:c>
      <x:c r="C45" s="46" t="n">
        <x:f>B45^3/3</x:f>
        <x:v>0.018290666666666667</x:v>
      </x:c>
      <x:c r="D45" s="46" t="n">
        <x:f>C45-C44</x:f>
        <x:v>0.0014063333333333358</x:v>
      </x:c>
      <x:c r="E45" s="79" t="n">
        <x:v>-1.5978084599285551</x:v>
      </x:c>
      <x:c r="F45" s="46" t="n">
        <x:f>SQRT(D45)*E45</x:f>
        <x:v>-0.05991959256375353</x:v>
      </x:c>
      <x:c r="G45" s="46" t="n">
        <x:f>G44+F45</x:f>
        <x:v>-0.43897863490904926</x:v>
      </x:c>
      <x:c r="H45" s="46" t="n">
        <x:f>G45^2-C45</x:f>
        <x:v>0.1744115752399457</x:v>
      </x:c>
      <x:c r="I45" s="46" t="n">
        <x:f>-C45</x:f>
        <x:v>-0.018290666666666667</x:v>
      </x:c>
      <x:c r="J45" s="52" t="str">
        <x:f>TEXT(B45,"0.00")</x:f>
        <x:v>0.38</x:v>
      </x:c>
    </x:row>
    <x:row r="46" ht="22" customHeight="1">
      <x:c r="A46" s="2" t="n">
        <x:v>39</x:v>
      </x:c>
      <x:c r="B46" s="49" t="n">
        <x:f>A46/'Datos'!$B$27*'Datos'!$B$26</x:f>
        <x:v>0.39</x:v>
      </x:c>
      <x:c r="C46" s="46" t="n">
        <x:f>B46^3/3</x:f>
        <x:v>0.019773000000000002</x:v>
      </x:c>
      <x:c r="D46" s="46" t="n">
        <x:f>C46-C45</x:f>
        <x:v>0.0014823333333333355</x:v>
      </x:c>
      <x:c r="E46" s="79" t="n">
        <x:v>-0.8339452953560933</x:v>
      </x:c>
      <x:c r="F46" s="46" t="n">
        <x:f>SQRT(D46)*E46</x:f>
        <x:v>-0.032107796396723044</x:v>
      </x:c>
      <x:c r="G46" s="46" t="n">
        <x:f>G45+F46</x:f>
        <x:v>-0.4710864313057723</x:v>
      </x:c>
      <x:c r="H46" s="46" t="n">
        <x:f>G46^2-C46</x:f>
        <x:v>0.20214942576040815</x:v>
      </x:c>
      <x:c r="I46" s="46" t="n">
        <x:f>-C46</x:f>
        <x:v>-0.019773000000000002</x:v>
      </x:c>
      <x:c r="J46" s="52" t="str">
        <x:f>TEXT(B46,"0.00")</x:f>
        <x:v>0.39</x:v>
      </x:c>
    </x:row>
    <x:row r="47" ht="22" customHeight="1">
      <x:c r="A47" s="2" t="n">
        <x:v>40</x:v>
      </x:c>
      <x:c r="B47" s="49" t="n">
        <x:f>A47/'Datos'!$B$27*'Datos'!$B$26</x:f>
        <x:v>0.4</x:v>
      </x:c>
      <x:c r="C47" s="46" t="n">
        <x:f>B47^3/3</x:f>
        <x:v>0.02133333333333334</x:v>
      </x:c>
      <x:c r="D47" s="46" t="n">
        <x:f>C47-C46</x:f>
        <x:v>0.0015603333333333372</x:v>
      </x:c>
      <x:c r="E47" s="79" t="n">
        <x:v>0.5886338486010837</x:v>
      </x:c>
      <x:c r="F47" s="46" t="n">
        <x:f>SQRT(D47)*E47</x:f>
        <x:v>0.023251657933233385</x:v>
      </x:c>
      <x:c r="G47" s="46" t="n">
        <x:f>G46+F47</x:f>
        <x:v>-0.44783477337253896</x:v>
      </x:c>
      <x:c r="H47" s="46" t="n">
        <x:f>G47^2-C47</x:f>
        <x:v>0.1792226509083</x:v>
      </x:c>
      <x:c r="I47" s="46" t="n">
        <x:f>-C47</x:f>
        <x:v>-0.02133333333333334</x:v>
      </x:c>
      <x:c r="J47" s="52" t="str">
        <x:f>TEXT(B47,"0.00")</x:f>
        <x:v>0.40</x:v>
      </x:c>
    </x:row>
    <x:row r="48" ht="22" customHeight="1">
      <x:c r="A48" s="2" t="n">
        <x:v>41</x:v>
      </x:c>
      <x:c r="B48" s="49" t="n">
        <x:f>A48/'Datos'!$B$27*'Datos'!$B$26</x:f>
        <x:v>0.41</x:v>
      </x:c>
      <x:c r="C48" s="46" t="n">
        <x:f>B48^3/3</x:f>
        <x:v>0.02297366666666666</x:v>
      </x:c>
      <x:c r="D48" s="46" t="n">
        <x:f>C48-C47</x:f>
        <x:v>0.00164033333333332</x:v>
      </x:c>
      <x:c r="E48" s="79" t="n">
        <x:v>-0.6334768070742595</x:v>
      </x:c>
      <x:c r="F48" s="46" t="n">
        <x:f>SQRT(D48)*E48</x:f>
        <x:v>-0.025656462403340005</x:v>
      </x:c>
      <x:c r="G48" s="46" t="n">
        <x:f>G47+F48</x:f>
        <x:v>-0.473491235775879</x:v>
      </x:c>
      <x:c r="H48" s="46" t="n">
        <x:f>G48^2-C48</x:f>
        <x:v>0.20122028368990236</x:v>
      </x:c>
      <x:c r="I48" s="46" t="n">
        <x:f>-C48</x:f>
        <x:v>-0.02297366666666666</x:v>
      </x:c>
      <x:c r="J48" s="52" t="str">
        <x:f>TEXT(B48,"0.00")</x:f>
        <x:v>0.41</x:v>
      </x:c>
    </x:row>
    <x:row r="49" ht="22" customHeight="1">
      <x:c r="A49" s="2" t="n">
        <x:v>42</x:v>
      </x:c>
      <x:c r="B49" s="49" t="n">
        <x:f>A49/'Datos'!$B$27*'Datos'!$B$26</x:f>
        <x:v>0.42</x:v>
      </x:c>
      <x:c r="C49" s="46" t="n">
        <x:f>B49^3/3</x:f>
        <x:v>0.024695999999999996</x:v>
      </x:c>
      <x:c r="D49" s="46" t="n">
        <x:f>C49-C48</x:f>
        <x:v>0.0017223333333333361</x:v>
      </x:c>
      <x:c r="E49" s="79" t="n">
        <x:v>-0.5353921406285491</x:v>
      </x:c>
      <x:c r="F49" s="46" t="n">
        <x:f>SQRT(D49)*E49</x:f>
        <x:v>-0.022219311371892408</x:v>
      </x:c>
      <x:c r="G49" s="46" t="n">
        <x:f>G48+F49</x:f>
        <x:v>-0.4957105471477714</x:v>
      </x:c>
      <x:c r="H49" s="46" t="n">
        <x:f>G49^2-C49</x:f>
        <x:v>0.2210329465535429</x:v>
      </x:c>
      <x:c r="I49" s="46" t="n">
        <x:f>-C49</x:f>
        <x:v>-0.024695999999999996</x:v>
      </x:c>
      <x:c r="J49" s="52" t="str">
        <x:f>TEXT(B49,"0.00")</x:f>
        <x:v>0.42</x:v>
      </x:c>
    </x:row>
    <x:row r="50" ht="22" customHeight="1">
      <x:c r="A50" s="2" t="n">
        <x:v>43</x:v>
      </x:c>
      <x:c r="B50" s="49" t="n">
        <x:f>A50/'Datos'!$B$27*'Datos'!$B$26</x:f>
        <x:v>0.43</x:v>
      </x:c>
      <x:c r="C50" s="46" t="n">
        <x:f>B50^3/3</x:f>
        <x:v>0.026502333333333333</x:v>
      </x:c>
      <x:c r="D50" s="46" t="n">
        <x:f>C50-C49</x:f>
        <x:v>0.0018063333333333369</x:v>
      </x:c>
      <x:c r="E50" s="79" t="n">
        <x:v>-0.6400309680683048</x:v>
      </x:c>
      <x:c r="F50" s="46" t="n">
        <x:f>SQRT(D50)*E50</x:f>
        <x:v>-0.027201943617007007</x:v>
      </x:c>
      <x:c r="G50" s="46" t="n">
        <x:f>G49+F50</x:f>
        <x:v>-0.5229124907647784</x:v>
      </x:c>
      <x:c r="H50" s="46" t="n">
        <x:f>G50^2-C50</x:f>
        <x:v>0.24693513966449113</x:v>
      </x:c>
      <x:c r="I50" s="46" t="n">
        <x:f>-C50</x:f>
        <x:v>-0.026502333333333333</x:v>
      </x:c>
      <x:c r="J50" s="52" t="str">
        <x:f>TEXT(B50,"0.00")</x:f>
        <x:v>0.43</x:v>
      </x:c>
    </x:row>
    <x:row r="51" ht="22" customHeight="1">
      <x:c r="A51" s="2" t="n">
        <x:v>44</x:v>
      </x:c>
      <x:c r="B51" s="49" t="n">
        <x:f>A51/'Datos'!$B$27*'Datos'!$B$26</x:f>
        <x:v>0.44</x:v>
      </x:c>
      <x:c r="C51" s="46" t="n">
        <x:f>B51^3/3</x:f>
        <x:v>0.028394666666666665</x:v>
      </x:c>
      <x:c r="D51" s="46" t="n">
        <x:f>C51-C50</x:f>
        <x:v>0.0018923333333333327</x:v>
      </x:c>
      <x:c r="E51" s="79" t="n">
        <x:v>-0.8298643761350533</x:v>
      </x:c>
      <x:c r="F51" s="46" t="n">
        <x:f>SQRT(D51)*E51</x:f>
        <x:v>-0.03609989524237259</x:v>
      </x:c>
      <x:c r="G51" s="46" t="n">
        <x:f>G50+F51</x:f>
        <x:v>-0.559012386007151</x:v>
      </x:c>
      <x:c r="H51" s="46" t="n">
        <x:f>G51^2-C51</x:f>
        <x:v>0.28410018104274126</x:v>
      </x:c>
      <x:c r="I51" s="46" t="n">
        <x:f>-C51</x:f>
        <x:v>-0.028394666666666665</x:v>
      </x:c>
      <x:c r="J51" s="52" t="str">
        <x:f>TEXT(B51,"0.00")</x:f>
        <x:v>0.44</x:v>
      </x:c>
    </x:row>
    <x:row r="52" ht="22" customHeight="1">
      <x:c r="A52" s="2" t="n">
        <x:v>45</x:v>
      </x:c>
      <x:c r="B52" s="49" t="n">
        <x:f>A52/'Datos'!$B$27*'Datos'!$B$26</x:f>
        <x:v>0.45</x:v>
      </x:c>
      <x:c r="C52" s="46" t="n">
        <x:f>B52^3/3</x:f>
        <x:v>0.030375000000000003</x:v>
      </x:c>
      <x:c r="D52" s="46" t="n">
        <x:f>C52-C51</x:f>
        <x:v>0.0019803333333333374</x:v>
      </x:c>
      <x:c r="E52" s="79" t="n">
        <x:v>0.8181012126860314</x:v>
      </x:c>
      <x:c r="F52" s="46" t="n">
        <x:f>SQRT(D52)*E52</x:f>
        <x:v>0.03640626996884116</x:v>
      </x:c>
      <x:c r="G52" s="46" t="n">
        <x:f>G51+F52</x:f>
        <x:v>-0.5226061160383099</x:v>
      </x:c>
      <x:c r="H52" s="46" t="n">
        <x:f>G52^2-C52</x:f>
        <x:v>0.24274215252064738</x:v>
      </x:c>
      <x:c r="I52" s="46" t="n">
        <x:f>-C52</x:f>
        <x:v>-0.030375000000000003</x:v>
      </x:c>
      <x:c r="J52" s="52" t="str">
        <x:f>TEXT(B52,"0.00")</x:f>
        <x:v>0.45</x:v>
      </x:c>
    </x:row>
    <x:row r="53" ht="22" customHeight="1">
      <x:c r="A53" s="2" t="n">
        <x:v>46</x:v>
      </x:c>
      <x:c r="B53" s="49" t="n">
        <x:f>A53/'Datos'!$B$27*'Datos'!$B$26</x:f>
        <x:v>0.46</x:v>
      </x:c>
      <x:c r="C53" s="46" t="n">
        <x:f>B53^3/3</x:f>
        <x:v>0.03244533333333333</x:v>
      </x:c>
      <x:c r="D53" s="46" t="n">
        <x:f>C53-C52</x:f>
        <x:v>0.0020703333333333303</x:v>
      </x:c>
      <x:c r="E53" s="79" t="n">
        <x:v>-0.48181019205899667</x:v>
      </x:c>
      <x:c r="F53" s="46" t="n">
        <x:f>SQRT(D53)*E53</x:f>
        <x:v>-0.021922804952368955</x:v>
      </x:c>
      <x:c r="G53" s="46" t="n">
        <x:f>G52+F53</x:f>
        <x:v>-0.5445289209906788</x:v>
      </x:c>
      <x:c r="H53" s="46" t="n">
        <x:f>G53^2-C53</x:f>
        <x:v>0.2640664124619396</x:v>
      </x:c>
      <x:c r="I53" s="46" t="n">
        <x:f>-C53</x:f>
        <x:v>-0.03244533333333333</x:v>
      </x:c>
      <x:c r="J53" s="52" t="str">
        <x:f>TEXT(B53,"0.00")</x:f>
        <x:v>0.46</x:v>
      </x:c>
    </x:row>
    <x:row r="54" ht="22" customHeight="1">
      <x:c r="A54" s="2" t="n">
        <x:v>47</x:v>
      </x:c>
      <x:c r="B54" s="49" t="n">
        <x:f>A54/'Datos'!$B$27*'Datos'!$B$26</x:f>
        <x:v>0.47</x:v>
      </x:c>
      <x:c r="C54" s="46" t="n">
        <x:f>B54^3/3</x:f>
        <x:v>0.03460766666666666</x:v>
      </x:c>
      <x:c r="D54" s="46" t="n">
        <x:f>C54-C53</x:f>
        <x:v>0.0021623333333333286</x:v>
      </x:c>
      <x:c r="E54" s="79" t="n">
        <x:v>-0.361382269074106</x:v>
      </x:c>
      <x:c r="F54" s="46" t="n">
        <x:f>SQRT(D54)*E54</x:f>
        <x:v>-0.016804599328063483</x:v>
      </x:c>
      <x:c r="G54" s="46" t="n">
        <x:f>G53+F54</x:f>
        <x:v>-0.5613335203187423</x:v>
      </x:c>
      <x:c r="H54" s="46" t="n">
        <x:f>G54^2-C54</x:f>
        <x:v>0.2804876543667652</x:v>
      </x:c>
      <x:c r="I54" s="46" t="n">
        <x:f>-C54</x:f>
        <x:v>-0.03460766666666666</x:v>
      </x:c>
      <x:c r="J54" s="52" t="str">
        <x:f>TEXT(B54,"0.00")</x:f>
        <x:v>0.47</x:v>
      </x:c>
    </x:row>
    <x:row r="55" ht="22" customHeight="1">
      <x:c r="A55" s="2" t="n">
        <x:v>48</x:v>
      </x:c>
      <x:c r="B55" s="49" t="n">
        <x:f>A55/'Datos'!$B$27*'Datos'!$B$26</x:f>
        <x:v>0.48</x:v>
      </x:c>
      <x:c r="C55" s="46" t="n">
        <x:f>B55^3/3</x:f>
        <x:v>0.036863999999999994</x:v>
      </x:c>
      <x:c r="D55" s="46" t="n">
        <x:f>C55-C54</x:f>
        <x:v>0.0022563333333333324</x:v>
      </x:c>
      <x:c r="E55" s="79" t="n">
        <x:v>0.04093987330027266</x:v>
      </x:c>
      <x:c r="F55" s="46" t="n">
        <x:f>SQRT(D55)*E55</x:f>
        <x:v>0.00194467989360092</x:v>
      </x:c>
      <x:c r="G55" s="46" t="n">
        <x:f>G54+F55</x:f>
        <x:v>-0.5593888404251414</x:v>
      </x:c>
      <x:c r="H55" s="46" t="n">
        <x:f>G55^2-C55</x:f>
        <x:v>0.27605187479218424</x:v>
      </x:c>
      <x:c r="I55" s="46" t="n">
        <x:f>-C55</x:f>
        <x:v>-0.036863999999999994</x:v>
      </x:c>
      <x:c r="J55" s="52" t="str">
        <x:f>TEXT(B55,"0.00")</x:f>
        <x:v>0.48</x:v>
      </x:c>
    </x:row>
    <x:row r="56" ht="22" customHeight="1">
      <x:c r="A56" s="2" t="n">
        <x:v>49</x:v>
      </x:c>
      <x:c r="B56" s="49" t="n">
        <x:f>A56/'Datos'!$B$27*'Datos'!$B$26</x:f>
        <x:v>0.49</x:v>
      </x:c>
      <x:c r="C56" s="46" t="n">
        <x:f>B56^3/3</x:f>
        <x:v>0.03921633333333333</x:v>
      </x:c>
      <x:c r="D56" s="46" t="n">
        <x:f>C56-C55</x:f>
        <x:v>0.002352333333333338</x:v>
      </x:c>
      <x:c r="E56" s="79" t="n">
        <x:v>-1.8547942234483177</x:v>
      </x:c>
      <x:c r="F56" s="46" t="n">
        <x:f>SQRT(D56)*E56</x:f>
        <x:v>-0.0899591132889585</x:v>
      </x:c>
      <x:c r="G56" s="46" t="n">
        <x:f>G55+F56</x:f>
        <x:v>-0.6493479537140998</x:v>
      </x:c>
      <x:c r="H56" s="46" t="n">
        <x:f>G56^2-C56</x:f>
        <x:v>0.38243643165935537</x:v>
      </x:c>
      <x:c r="I56" s="46" t="n">
        <x:f>-C56</x:f>
        <x:v>-0.03921633333333333</x:v>
      </x:c>
      <x:c r="J56" s="52" t="str">
        <x:f>TEXT(B56,"0.00")</x:f>
        <x:v>0.49</x:v>
      </x:c>
    </x:row>
    <x:row r="57" ht="22" customHeight="1">
      <x:c r="A57" s="2" t="n">
        <x:v>50</x:v>
      </x:c>
      <x:c r="B57" s="49" t="n">
        <x:f>A57/'Datos'!$B$27*'Datos'!$B$26</x:f>
        <x:v>0.5</x:v>
      </x:c>
      <x:c r="C57" s="46" t="n">
        <x:f>B57^3/3</x:f>
        <x:v>0.041666666666666664</x:v>
      </x:c>
      <x:c r="D57" s="46" t="n">
        <x:f>C57-C56</x:f>
        <x:v>0.002450333333333332</x:v>
      </x:c>
      <x:c r="E57" s="79" t="n">
        <x:v>-0.37218542734919197</x:v>
      </x:c>
      <x:c r="F57" s="46" t="n">
        <x:f>SQRT(D57)*E57</x:f>
        <x:v>-0.018423491938518066</x:v>
      </x:c>
      <x:c r="G57" s="46" t="n">
        <x:f>G56+F57</x:f>
        <x:v>-0.6677714456526179</x:v>
      </x:c>
      <x:c r="H57" s="46" t="n">
        <x:f>G57^2-C57</x:f>
        <x:v>0.4042520369623206</x:v>
      </x:c>
      <x:c r="I57" s="46" t="n">
        <x:f>-C57</x:f>
        <x:v>-0.041666666666666664</x:v>
      </x:c>
      <x:c r="J57" s="52" t="str">
        <x:f>TEXT(B57,"0.00")</x:f>
        <x:v>0.50</x:v>
      </x:c>
    </x:row>
    <x:row r="58" ht="22" customHeight="1">
      <x:c r="A58" s="2" t="n">
        <x:v>51</x:v>
      </x:c>
      <x:c r="B58" s="49" t="n">
        <x:f>A58/'Datos'!$B$27*'Datos'!$B$26</x:f>
        <x:v>0.51</x:v>
      </x:c>
      <x:c r="C58" s="46" t="n">
        <x:f>B58^3/3</x:f>
        <x:v>0.044217000000000006</x:v>
      </x:c>
      <x:c r="D58" s="46" t="n">
        <x:f>C58-C57</x:f>
        <x:v>0.002550333333333342</x:v>
      </x:c>
      <x:c r="E58" s="79" t="n">
        <x:v>-0.461508580401661</x:v>
      </x:c>
      <x:c r="F58" s="46" t="n">
        <x:f>SQRT(D58)*E58</x:f>
        <x:v>-0.023306564089830402</x:v>
      </x:c>
      <x:c r="G58" s="46" t="n">
        <x:f>G57+F58</x:f>
        <x:v>-0.6910780097424484</x:v>
      </x:c>
      <x:c r="H58" s="46" t="n">
        <x:f>G58^2-C58</x:f>
        <x:v>0.43337181554958354</x:v>
      </x:c>
      <x:c r="I58" s="46" t="n">
        <x:f>-C58</x:f>
        <x:v>-0.044217000000000006</x:v>
      </x:c>
      <x:c r="J58" s="52" t="str">
        <x:f>TEXT(B58,"0.00")</x:f>
        <x:v>0.51</x:v>
      </x:c>
    </x:row>
    <x:row r="59" ht="22" customHeight="1">
      <x:c r="A59" s="2" t="n">
        <x:v>52</x:v>
      </x:c>
      <x:c r="B59" s="49" t="n">
        <x:f>A59/'Datos'!$B$27*'Datos'!$B$26</x:f>
        <x:v>0.52</x:v>
      </x:c>
      <x:c r="C59" s="46" t="n">
        <x:f>B59^3/3</x:f>
        <x:v>0.04686933333333334</x:v>
      </x:c>
      <x:c r="D59" s="46" t="n">
        <x:f>C59-C58</x:f>
        <x:v>0.002652333333333333</x:v>
      </x:c>
      <x:c r="E59" s="79" t="n">
        <x:v>-1.2868327090805303</x:v>
      </x:c>
      <x:c r="F59" s="46" t="n">
        <x:f>SQRT(D59)*E59</x:f>
        <x:v>-0.0662729256362567</x:v>
      </x:c>
      <x:c r="G59" s="46" t="n">
        <x:f>G58+F59</x:f>
        <x:v>-0.7573509353787051</x:v>
      </x:c>
      <x:c r="H59" s="46" t="n">
        <x:f>G59^2-C59</x:f>
        <x:v>0.5267111059856663</x:v>
      </x:c>
      <x:c r="I59" s="46" t="n">
        <x:f>-C59</x:f>
        <x:v>-0.04686933333333334</x:v>
      </x:c>
      <x:c r="J59" s="52" t="str">
        <x:f>TEXT(B59,"0.00")</x:f>
        <x:v>0.52</x:v>
      </x:c>
    </x:row>
    <x:row r="60" ht="22" customHeight="1">
      <x:c r="A60" s="2" t="n">
        <x:v>53</x:v>
      </x:c>
      <x:c r="B60" s="49" t="n">
        <x:f>A60/'Datos'!$B$27*'Datos'!$B$26</x:f>
        <x:v>0.53</x:v>
      </x:c>
      <x:c r="C60" s="46" t="n">
        <x:f>B60^3/3</x:f>
        <x:v>0.04962566666666667</x:v>
      </x:c>
      <x:c r="D60" s="46" t="n">
        <x:f>C60-C59</x:f>
        <x:v>0.002756333333333333</x:v>
      </x:c>
      <x:c r="E60" s="79" t="n">
        <x:v>0.30704357011323263</x:v>
      </x:c>
      <x:c r="F60" s="46" t="n">
        <x:f>SQRT(D60)*E60</x:f>
        <x:v>0.016120031114475932</x:v>
      </x:c>
      <x:c r="G60" s="46" t="n">
        <x:f>G59+F60</x:f>
        <x:v>-0.7412309042642292</x:v>
      </x:c>
      <x:c r="H60" s="46" t="n">
        <x:f>G60^2-C60</x:f>
        <x:v>0.4997975867697002</x:v>
      </x:c>
      <x:c r="I60" s="46" t="n">
        <x:f>-C60</x:f>
        <x:v>-0.04962566666666667</x:v>
      </x:c>
      <x:c r="J60" s="52" t="str">
        <x:f>TEXT(B60,"0.00")</x:f>
        <x:v>0.53</x:v>
      </x:c>
    </x:row>
    <x:row r="61" ht="22" customHeight="1">
      <x:c r="A61" s="2" t="n">
        <x:v>54</x:v>
      </x:c>
      <x:c r="B61" s="49" t="n">
        <x:f>A61/'Datos'!$B$27*'Datos'!$B$26</x:f>
        <x:v>0.54</x:v>
      </x:c>
      <x:c r="C61" s="46" t="n">
        <x:f>B61^3/3</x:f>
        <x:v>0.05248800000000001</x:v>
      </x:c>
      <x:c r="D61" s="46" t="n">
        <x:f>C61-C60</x:f>
        <x:v>0.002862333333333335</x:v>
      </x:c>
      <x:c r="E61" s="79" t="n">
        <x:v>-0.4264364218804948</x:v>
      </x:c>
      <x:c r="F61" s="46" t="n">
        <x:f>SQRT(D61)*E61</x:f>
        <x:v>-0.022814680683782524</x:v>
      </x:c>
      <x:c r="G61" s="46" t="n">
        <x:f>G60+F61</x:f>
        <x:v>-0.7640455849480118</x:v>
      </x:c>
      <x:c r="H61" s="46" t="n">
        <x:f>G61^2-C61</x:f>
        <x:v>0.5312776558785495</x:v>
      </x:c>
      <x:c r="I61" s="46" t="n">
        <x:f>-C61</x:f>
        <x:v>-0.05248800000000001</x:v>
      </x:c>
      <x:c r="J61" s="52" t="str">
        <x:f>TEXT(B61,"0.00")</x:f>
        <x:v>0.54</x:v>
      </x:c>
    </x:row>
    <x:row r="62" ht="22" customHeight="1">
      <x:c r="A62" s="2" t="n">
        <x:v>55</x:v>
      </x:c>
      <x:c r="B62" s="49" t="n">
        <x:f>A62/'Datos'!$B$27*'Datos'!$B$26</x:f>
        <x:v>0.55</x:v>
      </x:c>
      <x:c r="C62" s="46" t="n">
        <x:f>B62^3/3</x:f>
        <x:v>0.05545833333333335</x:v>
      </x:c>
      <x:c r="D62" s="46" t="n">
        <x:f>C62-C61</x:f>
        <x:v>0.0029703333333333456</x:v>
      </x:c>
      <x:c r="E62" s="79" t="n">
        <x:v>-1.1687706551771289</x:v>
      </x:c>
      <x:c r="F62" s="46" t="n">
        <x:f>SQRT(D62)*E62</x:f>
        <x:v>-0.06369889425643312</x:v>
      </x:c>
      <x:c r="G62" s="46" t="n">
        <x:f>G61+F62</x:f>
        <x:v>-0.8277444792044449</x:v>
      </x:c>
      <x:c r="H62" s="46" t="n">
        <x:f>G62^2-C62</x:f>
        <x:v>0.6297025895201044</x:v>
      </x:c>
      <x:c r="I62" s="46" t="n">
        <x:f>-C62</x:f>
        <x:v>-0.05545833333333335</x:v>
      </x:c>
      <x:c r="J62" s="52" t="str">
        <x:f>TEXT(B62,"0.00")</x:f>
        <x:v>0.55</x:v>
      </x:c>
    </x:row>
    <x:row r="63" ht="22" customHeight="1">
      <x:c r="A63" s="2" t="n">
        <x:v>56</x:v>
      </x:c>
      <x:c r="B63" s="49" t="n">
        <x:f>A63/'Datos'!$B$27*'Datos'!$B$26</x:f>
        <x:v>0.56</x:v>
      </x:c>
      <x:c r="C63" s="46" t="n">
        <x:f>B63^3/3</x:f>
        <x:v>0.05853866666666668</x:v>
      </x:c>
      <x:c r="D63" s="46" t="n">
        <x:f>C63-C62</x:f>
        <x:v>0.0030803333333333308</x:v>
      </x:c>
      <x:c r="E63" s="79" t="n">
        <x:v>0.4762229551911834</x:v>
      </x:c>
      <x:c r="F63" s="46" t="n">
        <x:f>SQRT(D63)*E63</x:f>
        <x:v>0.02643073153543371</x:v>
      </x:c>
      <x:c r="G63" s="46" t="n">
        <x:f>G62+F63</x:f>
        <x:v>-0.8013137476690112</x:v>
      </x:c>
      <x:c r="H63" s="46" t="n">
        <x:f>G63^2-C63</x:f>
        <x:v>0.5835650555366891</x:v>
      </x:c>
      <x:c r="I63" s="46" t="n">
        <x:f>-C63</x:f>
        <x:v>-0.05853866666666668</x:v>
      </x:c>
      <x:c r="J63" s="52" t="str">
        <x:f>TEXT(B63,"0.00")</x:f>
        <x:v>0.56</x:v>
      </x:c>
    </x:row>
    <x:row r="64" ht="22" customHeight="1">
      <x:c r="A64" s="2" t="n">
        <x:v>57</x:v>
      </x:c>
      <x:c r="B64" s="49" t="n">
        <x:f>A64/'Datos'!$B$27*'Datos'!$B$26</x:f>
        <x:v>0.57</x:v>
      </x:c>
      <x:c r="C64" s="46" t="n">
        <x:f>B64^3/3</x:f>
        <x:v>0.06173099999999998</x:v>
      </x:c>
      <x:c r="D64" s="46" t="n">
        <x:f>C64-C63</x:f>
        <x:v>0.003192333333333297</x:v>
      </x:c>
      <x:c r="E64" s="79" t="n">
        <x:v>0.22546485068064842</x:v>
      </x:c>
      <x:c r="F64" s="46" t="n">
        <x:f>SQRT(D64)*E64</x:f>
        <x:v>0.012738930334385225</x:v>
      </x:c>
      <x:c r="G64" s="46" t="n">
        <x:f>G63+F64</x:f>
        <x:v>-0.788574817334626</x:v>
      </x:c>
      <x:c r="H64" s="46" t="n">
        <x:f>G64^2-C64</x:f>
        <x:v>0.5601192425343388</x:v>
      </x:c>
      <x:c r="I64" s="46" t="n">
        <x:f>-C64</x:f>
        <x:v>-0.06173099999999998</x:v>
      </x:c>
      <x:c r="J64" s="52" t="str">
        <x:f>TEXT(B64,"0.00")</x:f>
        <x:v>0.57</x:v>
      </x:c>
    </x:row>
    <x:row r="65" ht="22" customHeight="1">
      <x:c r="A65" s="2" t="n">
        <x:v>58</x:v>
      </x:c>
      <x:c r="B65" s="49" t="n">
        <x:f>A65/'Datos'!$B$27*'Datos'!$B$26</x:f>
        <x:v>0.58</x:v>
      </x:c>
      <x:c r="C65" s="46" t="n">
        <x:f>B65^3/3</x:f>
        <x:v>0.06503733333333332</x:v>
      </x:c>
      <x:c r="D65" s="46" t="n">
        <x:f>C65-C64</x:f>
        <x:v>0.0033063333333333417</x:v>
      </x:c>
      <x:c r="E65" s="79" t="n">
        <x:v>-0.2923177512957061</x:v>
      </x:c>
      <x:c r="F65" s="46" t="n">
        <x:f>SQRT(D65)*E65</x:f>
        <x:v>-0.016808482522625852</x:v>
      </x:c>
      <x:c r="G65" s="46" t="n">
        <x:f>G64+F65</x:f>
        <x:v>-0.8053832998572519</x:v>
      </x:c>
      <x:c r="H65" s="46" t="n">
        <x:f>G65^2-C65</x:f>
        <x:v>0.5836049263556228</x:v>
      </x:c>
      <x:c r="I65" s="46" t="n">
        <x:f>-C65</x:f>
        <x:v>-0.06503733333333332</x:v>
      </x:c>
      <x:c r="J65" s="52" t="str">
        <x:f>TEXT(B65,"0.00")</x:f>
        <x:v>0.58</x:v>
      </x:c>
    </x:row>
    <x:row r="66" ht="22" customHeight="1">
      <x:c r="A66" s="2" t="n">
        <x:v>59</x:v>
      </x:c>
      <x:c r="B66" s="49" t="n">
        <x:f>A66/'Datos'!$B$27*'Datos'!$B$26</x:f>
        <x:v>0.59</x:v>
      </x:c>
      <x:c r="C66" s="46" t="n">
        <x:f>B66^3/3</x:f>
        <x:v>0.06845966666666665</x:v>
      </x:c>
      <x:c r="D66" s="46" t="n">
        <x:f>C66-C65</x:f>
        <x:v>0.003422333333333333</x:v>
      </x:c>
      <x:c r="E66" s="79" t="n">
        <x:v>0.5100806966483531</x:v>
      </x:c>
      <x:c r="F66" s="46" t="n">
        <x:f>SQRT(D66)*E66</x:f>
        <x:v>0.02984008405705651</x:v>
      </x:c>
      <x:c r="G66" s="46" t="n">
        <x:f>G65+F66</x:f>
        <x:v>-0.7755432158001954</x:v>
      </x:c>
      <x:c r="H66" s="46" t="n">
        <x:f>G66^2-C66</x:f>
        <x:v>0.5330076129070417</x:v>
      </x:c>
      <x:c r="I66" s="46" t="n">
        <x:f>-C66</x:f>
        <x:v>-0.06845966666666665</x:v>
      </x:c>
      <x:c r="J66" s="52" t="str">
        <x:f>TEXT(B66,"0.00")</x:f>
        <x:v>0.59</x:v>
      </x:c>
    </x:row>
    <x:row r="67" ht="22" customHeight="1">
      <x:c r="A67" s="2" t="n">
        <x:v>60</x:v>
      </x:c>
      <x:c r="B67" s="49" t="n">
        <x:f>A67/'Datos'!$B$27*'Datos'!$B$26</x:f>
        <x:v>0.6</x:v>
      </x:c>
      <x:c r="C67" s="46" t="n">
        <x:f>B67^3/3</x:f>
        <x:v>0.072</x:v>
      </x:c>
      <x:c r="D67" s="46" t="n">
        <x:f>C67-C66</x:f>
        <x:v>0.0035403333333333398</x:v>
      </x:c>
      <x:c r="E67" s="79" t="n">
        <x:v>0.2973988995882617</x:v>
      </x:c>
      <x:c r="F67" s="46" t="n">
        <x:f>SQRT(D67)*E67</x:f>
        <x:v>0.017695442786810765</x:v>
      </x:c>
      <x:c r="G67" s="46" t="n">
        <x:f>G66+F67</x:f>
        <x:v>-0.7578477730133846</x:v>
      </x:c>
      <x:c r="H67" s="46" t="n">
        <x:f>G67^2-C67</x:f>
        <x:v>0.5023332470613465</x:v>
      </x:c>
      <x:c r="I67" s="46" t="n">
        <x:f>-C67</x:f>
        <x:v>-0.072</x:v>
      </x:c>
      <x:c r="J67" s="52" t="str">
        <x:f>TEXT(B67,"0.00")</x:f>
        <x:v>0.60</x:v>
      </x:c>
    </x:row>
    <x:row r="68" ht="22" customHeight="1">
      <x:c r="A68" s="2" t="n">
        <x:v>61</x:v>
      </x:c>
      <x:c r="B68" s="49" t="n">
        <x:f>A68/'Datos'!$B$27*'Datos'!$B$26</x:f>
        <x:v>0.61</x:v>
      </x:c>
      <x:c r="C68" s="46" t="n">
        <x:f>B68^3/3</x:f>
        <x:v>0.07566033333333333</x:v>
      </x:c>
      <x:c r="D68" s="46" t="n">
        <x:f>C68-C67</x:f>
        <x:v>0.003660333333333335</x:v>
      </x:c>
      <x:c r="E68" s="79" t="n">
        <x:v>0.5661550138335729</x:v>
      </x:c>
      <x:c r="F68" s="46" t="n">
        <x:f>SQRT(D68)*E68</x:f>
        <x:v>0.03425276824863326</x:v>
      </x:c>
      <x:c r="G68" s="46" t="n">
        <x:f>G67+F68</x:f>
        <x:v>-0.7235950047647514</x:v>
      </x:c>
      <x:c r="H68" s="46" t="n">
        <x:f>G68^2-C68</x:f>
        <x:v>0.4479293975871672</x:v>
      </x:c>
      <x:c r="I68" s="46" t="n">
        <x:f>-C68</x:f>
        <x:v>-0.07566033333333333</x:v>
      </x:c>
      <x:c r="J68" s="52" t="str">
        <x:f>TEXT(B68,"0.00")</x:f>
        <x:v>0.61</x:v>
      </x:c>
    </x:row>
    <x:row r="69" ht="22" customHeight="1">
      <x:c r="A69" s="2" t="n">
        <x:v>62</x:v>
      </x:c>
      <x:c r="B69" s="49" t="n">
        <x:f>A69/'Datos'!$B$27*'Datos'!$B$26</x:f>
        <x:v>0.62</x:v>
      </x:c>
      <x:c r="C69" s="46" t="n">
        <x:f>B69^3/3</x:f>
        <x:v>0.07944266666666666</x:v>
      </x:c>
      <x:c r="D69" s="46" t="n">
        <x:f>C69-C68</x:f>
        <x:v>0.003782333333333332</x:v>
      </x:c>
      <x:c r="E69" s="79" t="n">
        <x:v>1.661076069933416</x:v>
      </x:c>
      <x:c r="F69" s="46" t="n">
        <x:f>SQRT(D69)*E69</x:f>
        <x:v>0.10215730368499755</x:v>
      </x:c>
      <x:c r="G69" s="46" t="n">
        <x:f>G68+F69</x:f>
        <x:v>-0.6214377010797538</x:v>
      </x:c>
      <x:c r="H69" s="46" t="n">
        <x:f>G69^2-C69</x:f>
        <x:v>0.30674214965662283</x:v>
      </x:c>
      <x:c r="I69" s="46" t="n">
        <x:f>-C69</x:f>
        <x:v>-0.07944266666666666</x:v>
      </x:c>
      <x:c r="J69" s="52" t="str">
        <x:f>TEXT(B69,"0.00")</x:f>
        <x:v>0.62</x:v>
      </x:c>
    </x:row>
    <x:row r="70" ht="22" customHeight="1">
      <x:c r="A70" s="2" t="n">
        <x:v>63</x:v>
      </x:c>
      <x:c r="B70" s="49" t="n">
        <x:f>A70/'Datos'!$B$27*'Datos'!$B$26</x:f>
        <x:v>0.63</x:v>
      </x:c>
      <x:c r="C70" s="46" t="n">
        <x:f>B70^3/3</x:f>
        <x:v>0.083349</x:v>
      </x:c>
      <x:c r="D70" s="46" t="n">
        <x:f>C70-C69</x:f>
        <x:v>0.003906333333333345</x:v>
      </x:c>
      <x:c r="E70" s="79" t="n">
        <x:v>0.7463727219556995</x:v>
      </x:c>
      <x:c r="F70" s="46" t="n">
        <x:f>SQRT(D70)*E70</x:f>
        <x:v>0.04664879270139218</x:v>
      </x:c>
      <x:c r="G70" s="46" t="n">
        <x:f>G69+F70</x:f>
        <x:v>-0.5747889083783616</x:v>
      </x:c>
      <x:c r="H70" s="46" t="n">
        <x:f>G70^2-C70</x:f>
        <x:v>0.24703328919478856</x:v>
      </x:c>
      <x:c r="I70" s="46" t="n">
        <x:f>-C70</x:f>
        <x:v>-0.083349</x:v>
      </x:c>
      <x:c r="J70" s="52" t="str">
        <x:f>TEXT(B70,"0.00")</x:f>
        <x:v>0.63</x:v>
      </x:c>
    </x:row>
    <x:row r="71" ht="22" customHeight="1">
      <x:c r="A71" s="2" t="n">
        <x:v>64</x:v>
      </x:c>
      <x:c r="B71" s="49" t="n">
        <x:f>A71/'Datos'!$B$27*'Datos'!$B$26</x:f>
        <x:v>0.64</x:v>
      </x:c>
      <x:c r="C71" s="46" t="n">
        <x:f>B71^3/3</x:f>
        <x:v>0.08738133333333335</x:v>
      </x:c>
      <x:c r="D71" s="46" t="n">
        <x:f>C71-C70</x:f>
        <x:v>0.004032333333333346</x:v>
      </x:c>
      <x:c r="E71" s="79" t="n">
        <x:v>1.240152204487159</x:v>
      </x:c>
      <x:c r="F71" s="46" t="n">
        <x:f>SQRT(D71)*E71</x:f>
        <x:v>0.07875047872889605</x:v>
      </x:c>
      <x:c r="G71" s="46" t="n">
        <x:f>G70+F71</x:f>
        <x:v>-0.49603842964946554</x:v>
      </x:c>
      <x:c r="H71" s="46" t="n">
        <x:f>G71^2-C71</x:f>
        <x:v>0.15867279035577442</x:v>
      </x:c>
      <x:c r="I71" s="46" t="n">
        <x:f>-C71</x:f>
        <x:v>-0.08738133333333335</x:v>
      </x:c>
      <x:c r="J71" s="52" t="str">
        <x:f>TEXT(B71,"0.00")</x:f>
        <x:v>0.64</x:v>
      </x:c>
    </x:row>
    <x:row r="72" ht="22" customHeight="1">
      <x:c r="A72" s="2" t="n">
        <x:v>65</x:v>
      </x:c>
      <x:c r="B72" s="49" t="n">
        <x:f>A72/'Datos'!$B$27*'Datos'!$B$26</x:f>
        <x:v>0.65</x:v>
      </x:c>
      <x:c r="C72" s="46" t="n">
        <x:f>B72^3/3</x:f>
        <x:v>0.09154166666666667</x:v>
      </x:c>
      <x:c r="D72" s="46" t="n">
        <x:f>C72-C71</x:f>
        <x:v>0.0041603333333333214</x:v>
      </x:c>
      <x:c r="E72" s="79" t="n">
        <x:v>-0.7728713189328781</x:v>
      </x:c>
      <x:c r="F72" s="46" t="n">
        <x:f>SQRT(D72)*E72</x:f>
        <x:v>-0.04985069933954825</x:v>
      </x:c>
      <x:c r="G72" s="46" t="n">
        <x:f>G71+F72</x:f>
        <x:v>-0.5458891289890138</x:v>
      </x:c>
      <x:c r="H72" s="46" t="n">
        <x:f>G72^2-C72</x:f>
        <x:v>0.2064532744817174</x:v>
      </x:c>
      <x:c r="I72" s="46" t="n">
        <x:f>-C72</x:f>
        <x:v>-0.09154166666666667</x:v>
      </x:c>
      <x:c r="J72" s="52" t="str">
        <x:f>TEXT(B72,"0.00")</x:f>
        <x:v>0.65</x:v>
      </x:c>
    </x:row>
    <x:row r="73" ht="22" customHeight="1">
      <x:c r="A73" s="2" t="n">
        <x:v>66</x:v>
      </x:c>
      <x:c r="B73" s="49" t="n">
        <x:f>A73/'Datos'!$B$27*'Datos'!$B$26</x:f>
        <x:v>0.66</x:v>
      </x:c>
      <x:c r="C73" s="46" t="n">
        <x:f>B73^3/3</x:f>
        <x:v>0.09583200000000001</x:v>
      </x:c>
      <x:c r="D73" s="46" t="n">
        <x:f>C73-C72</x:f>
        <x:v>0.0042903333333333404</x:v>
      </x:c>
      <x:c r="E73" s="79" t="n">
        <x:v>-3.11885874808243</x:v>
      </x:c>
      <x:c r="F73" s="46" t="n">
        <x:f>SQRT(D73)*E73</x:f>
        <x:v>-0.20428723199660234</x:v>
      </x:c>
      <x:c r="G73" s="46" t="n">
        <x:f>G72+F73</x:f>
        <x:v>-0.7501763609856161</x:v>
      </x:c>
      <x:c r="H73" s="46" t="n">
        <x:f>G73^2-C73</x:f>
        <x:v>0.46693257258162146</x:v>
      </x:c>
      <x:c r="I73" s="46" t="n">
        <x:f>-C73</x:f>
        <x:v>-0.09583200000000001</x:v>
      </x:c>
      <x:c r="J73" s="52" t="str">
        <x:f>TEXT(B73,"0.00")</x:f>
        <x:v>0.66</x:v>
      </x:c>
    </x:row>
    <x:row r="74" ht="22" customHeight="1">
      <x:c r="A74" s="2" t="n">
        <x:v>67</x:v>
      </x:c>
      <x:c r="B74" s="49" t="n">
        <x:f>A74/'Datos'!$B$27*'Datos'!$B$26</x:f>
        <x:v>0.67</x:v>
      </x:c>
      <x:c r="C74" s="46" t="n">
        <x:f>B74^3/3</x:f>
        <x:v>0.10025433333333335</x:v>
      </x:c>
      <x:c r="D74" s="46" t="n">
        <x:f>C74-C73</x:f>
        <x:v>0.004422333333333334</x:v>
      </x:c>
      <x:c r="E74" s="79" t="n">
        <x:v>-0.48483791667966675</x:v>
      </x:c>
      <x:c r="F74" s="46" t="n">
        <x:f>SQRT(D74)*E74</x:f>
        <x:v>-0.03224202524092253</x:v>
      </x:c>
      <x:c r="G74" s="46" t="n">
        <x:f>G73+F74</x:f>
        <x:v>-0.7824183862265387</x:v>
      </x:c>
      <x:c r="H74" s="46" t="n">
        <x:f>G74^2-C74</x:f>
        <x:v>0.5119241977720077</x:v>
      </x:c>
      <x:c r="I74" s="46" t="n">
        <x:f>-C74</x:f>
        <x:v>-0.10025433333333335</x:v>
      </x:c>
      <x:c r="J74" s="52" t="str">
        <x:f>TEXT(B74,"0.00")</x:f>
        <x:v>0.67</x:v>
      </x:c>
    </x:row>
    <x:row r="75" ht="22" customHeight="1">
      <x:c r="A75" s="2" t="n">
        <x:v>68</x:v>
      </x:c>
      <x:c r="B75" s="49" t="n">
        <x:f>A75/'Datos'!$B$27*'Datos'!$B$26</x:f>
        <x:v>0.68</x:v>
      </x:c>
      <x:c r="C75" s="46" t="n">
        <x:f>B75^3/3</x:f>
        <x:v>0.10481066666666668</x:v>
      </x:c>
      <x:c r="D75" s="46" t="n">
        <x:f>C75-C74</x:f>
        <x:v>0.004556333333333329</x:v>
      </x:c>
      <x:c r="E75" s="79" t="n">
        <x:v>-0.9442762396727603</x:v>
      </x:c>
      <x:c r="F75" s="46" t="n">
        <x:f>SQRT(D75)*E75</x:f>
        <x:v>-0.06373922906181377</x:v>
      </x:c>
      <x:c r="G75" s="46" t="n">
        <x:f>G74+F75</x:f>
        <x:v>-0.8461576152883524</x:v>
      </x:c>
      <x:c r="H75" s="46" t="n">
        <x:f>G75^2-C75</x:f>
        <x:v>0.6111720432438047</x:v>
      </x:c>
      <x:c r="I75" s="46" t="n">
        <x:f>-C75</x:f>
        <x:v>-0.10481066666666668</x:v>
      </x:c>
      <x:c r="J75" s="52" t="str">
        <x:f>TEXT(B75,"0.00")</x:f>
        <x:v>0.68</x:v>
      </x:c>
    </x:row>
    <x:row r="76" ht="22" customHeight="1">
      <x:c r="A76" s="2" t="n">
        <x:v>69</x:v>
      </x:c>
      <x:c r="B76" s="49" t="n">
        <x:f>A76/'Datos'!$B$27*'Datos'!$B$26</x:f>
        <x:v>0.69</x:v>
      </x:c>
      <x:c r="C76" s="46" t="n">
        <x:f>B76^3/3</x:f>
        <x:v>0.10950299999999998</x:v>
      </x:c>
      <x:c r="D76" s="46" t="n">
        <x:f>C76-C75</x:f>
        <x:v>0.004692333333333298</x:v>
      </x:c>
      <x:c r="E76" s="79" t="n">
        <x:v>-0.37650639181844475</x:v>
      </x:c>
      <x:c r="F76" s="46" t="n">
        <x:f>SQRT(D76)*E76</x:f>
        <x:v>-0.025790916857033056</x:v>
      </x:c>
      <x:c r="G76" s="46" t="n">
        <x:f>G75+F76</x:f>
        <x:v>-0.8719485321453855</x:v>
      </x:c>
      <x:c r="H76" s="46" t="n">
        <x:f>G76^2-C76</x:f>
        <x:v>0.6507912427104923</x:v>
      </x:c>
      <x:c r="I76" s="46" t="n">
        <x:f>-C76</x:f>
        <x:v>-0.10950299999999998</x:v>
      </x:c>
      <x:c r="J76" s="52" t="str">
        <x:f>TEXT(B76,"0.00")</x:f>
        <x:v>0.69</x:v>
      </x:c>
    </x:row>
    <x:row r="77" ht="22" customHeight="1">
      <x:c r="A77" s="2" t="n">
        <x:v>70</x:v>
      </x:c>
      <x:c r="B77" s="49" t="n">
        <x:f>A77/'Datos'!$B$27*'Datos'!$B$26</x:f>
        <x:v>0.7</x:v>
      </x:c>
      <x:c r="C77" s="46" t="n">
        <x:f>B77^3/3</x:f>
        <x:v>0.1143333333333333</x:v>
      </x:c>
      <x:c r="D77" s="46" t="n">
        <x:f>C77-C76</x:f>
        <x:v>0.004830333333333325</x:v>
      </x:c>
      <x:c r="E77" s="79" t="n">
        <x:v>-0.19672246421249004</x:v>
      </x:c>
      <x:c r="F77" s="46" t="n">
        <x:f>SQRT(D77)*E77</x:f>
        <x:v>-0.013672329201386594</x:v>
      </x:c>
      <x:c r="G77" s="46" t="n">
        <x:f>G76+F77</x:f>
        <x:v>-0.8856208613467721</x:v>
      </x:c>
      <x:c r="H77" s="46" t="n">
        <x:f>G77^2-C77</x:f>
        <x:v>0.6699909767192652</x:v>
      </x:c>
      <x:c r="I77" s="46" t="n">
        <x:f>-C77</x:f>
        <x:v>-0.1143333333333333</x:v>
      </x:c>
      <x:c r="J77" s="52" t="str">
        <x:f>TEXT(B77,"0.00")</x:f>
        <x:v>0.70</x:v>
      </x:c>
    </x:row>
    <x:row r="78" ht="22" customHeight="1">
      <x:c r="A78" s="2" t="n">
        <x:v>71</x:v>
      </x:c>
      <x:c r="B78" s="49" t="n">
        <x:f>A78/'Datos'!$B$27*'Datos'!$B$26</x:f>
        <x:v>0.71</x:v>
      </x:c>
      <x:c r="C78" s="46" t="n">
        <x:f>B78^3/3</x:f>
        <x:v>0.11930366666666664</x:v>
      </x:c>
      <x:c r="D78" s="46" t="n">
        <x:f>C78-C77</x:f>
        <x:v>0.0049703333333333405</x:v>
      </x:c>
      <x:c r="E78" s="79" t="n">
        <x:v>-0.4409744703306935</x:v>
      </x:c>
      <x:c r="F78" s="46" t="n">
        <x:f>SQRT(D78)*E78</x:f>
        <x:v>-0.03108896078043091</x:v>
      </x:c>
      <x:c r="G78" s="46" t="n">
        <x:f>G77+F78</x:f>
        <x:v>-0.916709822127203</x:v>
      </x:c>
      <x:c r="H78" s="46" t="n">
        <x:f>G78^2-C78</x:f>
        <x:v>0.7210532313178215</x:v>
      </x:c>
      <x:c r="I78" s="46" t="n">
        <x:f>-C78</x:f>
        <x:v>-0.11930366666666664</x:v>
      </x:c>
      <x:c r="J78" s="52" t="str">
        <x:f>TEXT(B78,"0.00")</x:f>
        <x:v>0.71</x:v>
      </x:c>
    </x:row>
    <x:row r="79" ht="22" customHeight="1">
      <x:c r="A79" s="2" t="n">
        <x:v>72</x:v>
      </x:c>
      <x:c r="B79" s="49" t="n">
        <x:f>A79/'Datos'!$B$27*'Datos'!$B$26</x:f>
        <x:v>0.72</x:v>
      </x:c>
      <x:c r="C79" s="46" t="n">
        <x:f>B79^3/3</x:f>
        <x:v>0.12441599999999998</x:v>
      </x:c>
      <x:c r="D79" s="46" t="n">
        <x:f>C79-C78</x:f>
        <x:v>0.005112333333333344</x:v>
      </x:c>
      <x:c r="E79" s="79" t="n">
        <x:v>0.1101143269431415</x:v>
      </x:c>
      <x:c r="F79" s="46" t="n">
        <x:f>SQRT(D79)*E79</x:f>
        <x:v>0.007873238545361321</x:v>
      </x:c>
      <x:c r="G79" s="46" t="n">
        <x:f>G78+F79</x:f>
        <x:v>-0.9088365835818416</x:v>
      </x:c>
      <x:c r="H79" s="46" t="n">
        <x:f>G79^2-C79</x:f>
        <x:v>0.7015679356567138</x:v>
      </x:c>
      <x:c r="I79" s="46" t="n">
        <x:f>-C79</x:f>
        <x:v>-0.12441599999999998</x:v>
      </x:c>
      <x:c r="J79" s="52" t="str">
        <x:f>TEXT(B79,"0.00")</x:f>
        <x:v>0.72</x:v>
      </x:c>
    </x:row>
    <x:row r="80" ht="22" customHeight="1">
      <x:c r="A80" s="2" t="n">
        <x:v>73</x:v>
      </x:c>
      <x:c r="B80" s="49" t="n">
        <x:f>A80/'Datos'!$B$27*'Datos'!$B$26</x:f>
        <x:v>0.73</x:v>
      </x:c>
      <x:c r="C80" s="46" t="n">
        <x:f>B80^3/3</x:f>
        <x:v>0.1296723333333333</x:v>
      </x:c>
      <x:c r="D80" s="46" t="n">
        <x:f>C80-C79</x:f>
        <x:v>0.005256333333333321</x:v>
      </x:c>
      <x:c r="E80" s="79" t="n">
        <x:v>1.808388167334497</x:v>
      </x:c>
      <x:c r="F80" s="46" t="n">
        <x:f>SQRT(D80)*E80</x:f>
        <x:v>0.13110918143117606</x:v>
      </x:c>
      <x:c r="G80" s="46" t="n">
        <x:f>G79+F80</x:f>
        <x:v>-0.7777274021506655</x:v>
      </x:c>
      <x:c r="H80" s="46" t="n">
        <x:f>G80^2-C80</x:f>
        <x:v>0.4751875787226897</x:v>
      </x:c>
      <x:c r="I80" s="46" t="n">
        <x:f>-C80</x:f>
        <x:v>-0.1296723333333333</x:v>
      </x:c>
      <x:c r="J80" s="52" t="str">
        <x:f>TEXT(B80,"0.00")</x:f>
        <x:v>0.73</x:v>
      </x:c>
    </x:row>
    <x:row r="81" ht="22" customHeight="1">
      <x:c r="A81" s="2" t="n">
        <x:v>74</x:v>
      </x:c>
      <x:c r="B81" s="49" t="n">
        <x:f>A81/'Datos'!$B$27*'Datos'!$B$26</x:f>
        <x:v>0.74</x:v>
      </x:c>
      <x:c r="C81" s="46" t="n">
        <x:f>B81^3/3</x:f>
        <x:v>0.13507466666666665</x:v>
      </x:c>
      <x:c r="D81" s="46" t="n">
        <x:f>C81-C80</x:f>
        <x:v>0.005402333333333342</x:v>
      </x:c>
      <x:c r="E81" s="79" t="n">
        <x:v>-1.2829738143703868</x:v>
      </x:c>
      <x:c r="F81" s="46" t="n">
        <x:f>SQRT(D81)*E81</x:f>
        <x:v>-0.0942993026628373</x:v>
      </x:c>
      <x:c r="G81" s="46" t="n">
        <x:f>G80+F81</x:f>
        <x:v>-0.8720267048135028</x:v>
      </x:c>
      <x:c r="H81" s="46" t="n">
        <x:f>G81^2-C81</x:f>
        <x:v>0.6253559072412291</x:v>
      </x:c>
      <x:c r="I81" s="46" t="n">
        <x:f>-C81</x:f>
        <x:v>-0.13507466666666665</x:v>
      </x:c>
      <x:c r="J81" s="52" t="str">
        <x:f>TEXT(B81,"0.00")</x:f>
        <x:v>0.74</x:v>
      </x:c>
    </x:row>
    <x:row r="82" ht="22" customHeight="1">
      <x:c r="A82" s="2" t="n">
        <x:v>75</x:v>
      </x:c>
      <x:c r="B82" s="49" t="n">
        <x:f>A82/'Datos'!$B$27*'Datos'!$B$26</x:f>
        <x:v>0.75</x:v>
      </x:c>
      <x:c r="C82" s="46" t="n">
        <x:f>B82^3/3</x:f>
        <x:v>0.140625</x:v>
      </x:c>
      <x:c r="D82" s="46" t="n">
        <x:f>C82-C81</x:f>
        <x:v>0.0055503333333333515</x:v>
      </x:c>
      <x:c r="E82" s="79" t="n">
        <x:v>-0.9837059959026229</x:v>
      </x:c>
      <x:c r="F82" s="46" t="n">
        <x:f>SQRT(D82)*E82</x:f>
        <x:v>-0.07328664686381908</x:v>
      </x:c>
      <x:c r="G82" s="46" t="n">
        <x:f>G81+F82</x:f>
        <x:v>-0.9453133516773218</x:v>
      </x:c>
      <x:c r="H82" s="46" t="n">
        <x:f>G82^2-C82</x:f>
        <x:v>0.7529923328594118</x:v>
      </x:c>
      <x:c r="I82" s="46" t="n">
        <x:f>-C82</x:f>
        <x:v>-0.140625</x:v>
      </x:c>
      <x:c r="J82" s="52" t="str">
        <x:f>TEXT(B82,"0.00")</x:f>
        <x:v>0.75</x:v>
      </x:c>
    </x:row>
    <x:row r="83" ht="22" customHeight="1">
      <x:c r="A83" s="2" t="n">
        <x:v>76</x:v>
      </x:c>
      <x:c r="B83" s="49" t="n">
        <x:f>A83/'Datos'!$B$27*'Datos'!$B$26</x:f>
        <x:v>0.76</x:v>
      </x:c>
      <x:c r="C83" s="46" t="n">
        <x:f>B83^3/3</x:f>
        <x:v>0.14632533333333334</x:v>
      </x:c>
      <x:c r="D83" s="46" t="n">
        <x:f>C83-C82</x:f>
        <x:v>0.005700333333333335</x:v>
      </x:c>
      <x:c r="E83" s="79" t="n">
        <x:v>0.033140799733042105</x:v>
      </x:c>
      <x:c r="F83" s="46" t="n">
        <x:f>SQRT(D83)*E83</x:f>
        <x:v>0.0025021486694024116</x:v>
      </x:c>
      <x:c r="G83" s="46" t="n">
        <x:f>G82+F83</x:f>
        <x:v>-0.9428112030079193</x:v>
      </x:c>
      <x:c r="H83" s="46" t="n">
        <x:f>G83^2-C83</x:f>
        <x:v>0.7425676311839068</x:v>
      </x:c>
      <x:c r="I83" s="46" t="n">
        <x:f>-C83</x:f>
        <x:v>-0.14632533333333334</x:v>
      </x:c>
      <x:c r="J83" s="52" t="str">
        <x:f>TEXT(B83,"0.00")</x:f>
        <x:v>0.76</x:v>
      </x:c>
    </x:row>
    <x:row r="84" ht="22" customHeight="1">
      <x:c r="A84" s="2" t="n">
        <x:v>77</x:v>
      </x:c>
      <x:c r="B84" s="49" t="n">
        <x:f>A84/'Datos'!$B$27*'Datos'!$B$26</x:f>
        <x:v>0.77</x:v>
      </x:c>
      <x:c r="C84" s="46" t="n">
        <x:f>B84^3/3</x:f>
        <x:v>0.15217766666666668</x:v>
      </x:c>
      <x:c r="D84" s="46" t="n">
        <x:f>C84-C83</x:f>
        <x:v>0.005852333333333348</x:v>
      </x:c>
      <x:c r="E84" s="79" t="n">
        <x:v>-0.8862025398561917</x:v>
      </x:c>
      <x:c r="F84" s="46" t="n">
        <x:f>SQRT(D84)*E84</x:f>
        <x:v>-0.0677949769784024</x:v>
      </x:c>
      <x:c r="G84" s="46" t="n">
        <x:f>G83+F84</x:f>
        <x:v>-1.0106061799863217</x:v>
      </x:c>
      <x:c r="H84" s="46" t="n">
        <x:f>G84^2-C84</x:f>
        <x:v>0.8691471843598791</x:v>
      </x:c>
      <x:c r="I84" s="46" t="n">
        <x:f>-C84</x:f>
        <x:v>-0.15217766666666668</x:v>
      </x:c>
      <x:c r="J84" s="52" t="str">
        <x:f>TEXT(B84,"0.00")</x:f>
        <x:v>0.77</x:v>
      </x:c>
    </x:row>
    <x:row r="85" ht="22" customHeight="1">
      <x:c r="A85" s="2" t="n">
        <x:v>78</x:v>
      </x:c>
      <x:c r="B85" s="49" t="n">
        <x:f>A85/'Datos'!$B$27*'Datos'!$B$26</x:f>
        <x:v>0.78</x:v>
      </x:c>
      <x:c r="C85" s="46" t="n">
        <x:f>B85^3/3</x:f>
        <x:v>0.15818400000000002</x:v>
      </x:c>
      <x:c r="D85" s="46" t="n">
        <x:f>C85-C84</x:f>
        <x:v>0.006006333333333336</x:v>
      </x:c>
      <x:c r="E85" s="79" t="n">
        <x:v>-0.3069789669123386</x:v>
      </x:c>
      <x:c r="F85" s="46" t="n">
        <x:f>SQRT(D85)*E85</x:f>
        <x:v>-0.023791034977589113</x:v>
      </x:c>
      <x:c r="G85" s="46" t="n">
        <x:f>G84+F85</x:f>
        <x:v>-1.034397214963911</x:v>
      </x:c>
      <x:c r="H85" s="46" t="n">
        <x:f>G85^2-C85</x:f>
        <x:v>0.9117935983250952</x:v>
      </x:c>
      <x:c r="I85" s="46" t="n">
        <x:f>-C85</x:f>
        <x:v>-0.15818400000000002</x:v>
      </x:c>
      <x:c r="J85" s="52" t="str">
        <x:f>TEXT(B85,"0.00")</x:f>
        <x:v>0.78</x:v>
      </x:c>
    </x:row>
    <x:row r="86" ht="22" customHeight="1">
      <x:c r="A86" s="2" t="n">
        <x:v>79</x:v>
      </x:c>
      <x:c r="B86" s="49" t="n">
        <x:f>A86/'Datos'!$B$27*'Datos'!$B$26</x:f>
        <x:v>0.79</x:v>
      </x:c>
      <x:c r="C86" s="46" t="n">
        <x:f>B86^3/3</x:f>
        <x:v>0.16434633333333334</x:v>
      </x:c>
      <x:c r="D86" s="46" t="n">
        <x:f>C86-C85</x:f>
        <x:v>0.006162333333333325</x:v>
      </x:c>
      <x:c r="E86" s="79" t="n">
        <x:v>0.6765041803717324</x:v>
      </x:c>
      <x:c r="F86" s="46" t="n">
        <x:f>SQRT(D86)*E86</x:f>
        <x:v>0.053105937236619</x:v>
      </x:c>
      <x:c r="G86" s="46" t="n">
        <x:f>G85+F86</x:f>
        <x:v>-0.9812912777272919</x:v>
      </x:c>
      <x:c r="H86" s="46" t="n">
        <x:f>G86^2-C86</x:f>
        <x:v>0.7985862384103276</x:v>
      </x:c>
      <x:c r="I86" s="46" t="n">
        <x:f>-C86</x:f>
        <x:v>-0.16434633333333334</x:v>
      </x:c>
      <x:c r="J86" s="52" t="str">
        <x:f>TEXT(B86,"0.00")</x:f>
        <x:v>0.79</x:v>
      </x:c>
    </x:row>
    <x:row r="87" ht="22" customHeight="1">
      <x:c r="A87" s="2" t="n">
        <x:v>80</x:v>
      </x:c>
      <x:c r="B87" s="49" t="n">
        <x:f>A87/'Datos'!$B$27*'Datos'!$B$26</x:f>
        <x:v>0.8</x:v>
      </x:c>
      <x:c r="C87" s="46" t="n">
        <x:f>B87^3/3</x:f>
        <x:v>0.17066666666666672</x:v>
      </x:c>
      <x:c r="D87" s="46" t="n">
        <x:f>C87-C86</x:f>
        <x:v>0.006320333333333372</x:v>
      </x:c>
      <x:c r="E87" s="79" t="n">
        <x:v>0.02085686828140498</x:v>
      </x:c>
      <x:c r="F87" s="46" t="n">
        <x:f>SQRT(D87)*E87</x:f>
        <x:v>0.0016581319596083528</x:v>
      </x:c>
      <x:c r="G87" s="46" t="n">
        <x:f>G86+F87</x:f>
        <x:v>-0.9796331457676835</x:v>
      </x:c>
      <x:c r="H87" s="46" t="n">
        <x:f>G87^2-C87</x:f>
        <x:v>0.7890144336200205</x:v>
      </x:c>
      <x:c r="I87" s="46" t="n">
        <x:f>-C87</x:f>
        <x:v>-0.17066666666666672</x:v>
      </x:c>
      <x:c r="J87" s="52" t="str">
        <x:f>TEXT(B87,"0.00")</x:f>
        <x:v>0.80</x:v>
      </x:c>
    </x:row>
    <x:row r="88" ht="22" customHeight="1">
      <x:c r="A88" s="2" t="n">
        <x:v>81</x:v>
      </x:c>
      <x:c r="B88" s="49" t="n">
        <x:f>A88/'Datos'!$B$27*'Datos'!$B$26</x:f>
        <x:v>0.81</x:v>
      </x:c>
      <x:c r="C88" s="46" t="n">
        <x:f>B88^3/3</x:f>
        <x:v>0.17714700000000003</x:v>
      </x:c>
      <x:c r="D88" s="46" t="n">
        <x:f>C88-C87</x:f>
        <x:v>0.00648033333333331</x:v>
      </x:c>
      <x:c r="E88" s="79" t="n">
        <x:v>-0.6111241806487215</x:v>
      </x:c>
      <x:c r="F88" s="46" t="n">
        <x:f>SQRT(D88)*E88</x:f>
        <x:v>-0.04919581285806877</x:v>
      </x:c>
      <x:c r="G88" s="46" t="n">
        <x:f>G87+F88</x:f>
        <x:v>-1.0288289586257522</x:v>
      </x:c>
      <x:c r="H88" s="46" t="n">
        <x:f>G88^2-C88</x:f>
        <x:v>0.8813420261069497</x:v>
      </x:c>
      <x:c r="I88" s="46" t="n">
        <x:f>-C88</x:f>
        <x:v>-0.17714700000000003</x:v>
      </x:c>
      <x:c r="J88" s="52" t="str">
        <x:f>TEXT(B88,"0.00")</x:f>
        <x:v>0.81</x:v>
      </x:c>
    </x:row>
    <x:row r="89" ht="22" customHeight="1">
      <x:c r="A89" s="2" t="n">
        <x:v>82</x:v>
      </x:c>
      <x:c r="B89" s="49" t="n">
        <x:f>A89/'Datos'!$B$27*'Datos'!$B$26</x:f>
        <x:v>0.82</x:v>
      </x:c>
      <x:c r="C89" s="46" t="n">
        <x:f>B89^3/3</x:f>
        <x:v>0.18378933333333328</x:v>
      </x:c>
      <x:c r="D89" s="46" t="n">
        <x:f>C89-C88</x:f>
        <x:v>0.00664233333333325</x:v>
      </x:c>
      <x:c r="E89" s="79" t="n">
        <x:v>0.6509379686966573</x:v>
      </x:c>
      <x:c r="F89" s="46" t="n">
        <x:f>SQRT(D89)*E89</x:f>
        <x:v>0.053051777238105995</x:v>
      </x:c>
      <x:c r="G89" s="46" t="n">
        <x:f>G88+F89</x:f>
        <x:v>-0.9757771813876462</x:v>
      </x:c>
      <x:c r="H89" s="46" t="n">
        <x:f>G89^2-C89</x:f>
        <x:v>0.7683517743834862</x:v>
      </x:c>
      <x:c r="I89" s="46" t="n">
        <x:f>-C89</x:f>
        <x:v>-0.18378933333333328</x:v>
      </x:c>
      <x:c r="J89" s="52" t="str">
        <x:f>TEXT(B89,"0.00")</x:f>
        <x:v>0.82</x:v>
      </x:c>
    </x:row>
    <x:row r="90" ht="22" customHeight="1">
      <x:c r="A90" s="2" t="n">
        <x:v>83</x:v>
      </x:c>
      <x:c r="B90" s="49" t="n">
        <x:f>A90/'Datos'!$B$27*'Datos'!$B$26</x:f>
        <x:v>0.83</x:v>
      </x:c>
      <x:c r="C90" s="46" t="n">
        <x:f>B90^3/3</x:f>
        <x:v>0.19059566666666664</x:v>
      </x:c>
      <x:c r="D90" s="46" t="n">
        <x:f>C90-C89</x:f>
        <x:v>0.006806333333333359</x:v>
      </x:c>
      <x:c r="E90" s="79" t="n">
        <x:v>1.119852566462552</x:v>
      </x:c>
      <x:c r="F90" s="46" t="n">
        <x:f>SQRT(D90)*E90</x:f>
        <x:v>0.0923884023135338</x:v>
      </x:c>
      <x:c r="G90" s="46" t="n">
        <x:f>G89+F90</x:f>
        <x:v>-0.8833887790741124</x:v>
      </x:c>
      <x:c r="H90" s="46" t="n">
        <x:f>G90^2-C90</x:f>
        <x:v>0.5897800683273844</x:v>
      </x:c>
      <x:c r="I90" s="46" t="n">
        <x:f>-C90</x:f>
        <x:v>-0.19059566666666664</x:v>
      </x:c>
      <x:c r="J90" s="52" t="str">
        <x:f>TEXT(B90,"0.00")</x:f>
        <x:v>0.83</x:v>
      </x:c>
    </x:row>
    <x:row r="91" ht="22" customHeight="1">
      <x:c r="A91" s="2" t="n">
        <x:v>84</x:v>
      </x:c>
      <x:c r="B91" s="49" t="n">
        <x:f>A91/'Datos'!$B$27*'Datos'!$B$26</x:f>
        <x:v>0.84</x:v>
      </x:c>
      <x:c r="C91" s="46" t="n">
        <x:f>B91^3/3</x:f>
        <x:v>0.19756799999999997</x:v>
      </x:c>
      <x:c r="D91" s="46" t="n">
        <x:f>C91-C90</x:f>
        <x:v>0.00697233333333333</x:v>
      </x:c>
      <x:c r="E91" s="79" t="n">
        <x:v>-1.038135366780366</x:v>
      </x:c>
      <x:c r="F91" s="46" t="n">
        <x:f>SQRT(D91)*E91</x:f>
        <x:v>-0.08668482115623281</x:v>
      </x:c>
      <x:c r="G91" s="46" t="n">
        <x:f>G90+F91</x:f>
        <x:v>-0.9700736002303452</x:v>
      </x:c>
      <x:c r="H91" s="46" t="n">
        <x:f>G91^2-C91</x:f>
        <x:v>0.7434747898638636</x:v>
      </x:c>
      <x:c r="I91" s="46" t="n">
        <x:f>-C91</x:f>
        <x:v>-0.19756799999999997</x:v>
      </x:c>
      <x:c r="J91" s="52" t="str">
        <x:f>TEXT(B91,"0.00")</x:f>
        <x:v>0.84</x:v>
      </x:c>
    </x:row>
    <x:row r="92" ht="22" customHeight="1">
      <x:c r="A92" s="2" t="n">
        <x:v>85</x:v>
      </x:c>
      <x:c r="B92" s="49" t="n">
        <x:f>A92/'Datos'!$B$27*'Datos'!$B$26</x:f>
        <x:v>0.85</x:v>
      </x:c>
      <x:c r="C92" s="46" t="n">
        <x:f>B92^3/3</x:f>
        <x:v>0.2047083333333333</x:v>
      </x:c>
      <x:c r="D92" s="46" t="n">
        <x:f>C92-C91</x:f>
        <x:v>0.007140333333333332</x:v>
      </x:c>
      <x:c r="E92" s="79" t="n">
        <x:v>-0.6763535199156205</x:v>
      </x:c>
      <x:c r="F92" s="46" t="n">
        <x:f>SQRT(D92)*E92</x:f>
        <x:v>-0.057152205939549665</x:v>
      </x:c>
      <x:c r="G92" s="46" t="n">
        <x:f>G91+F92</x:f>
        <x:v>-1.027225806169895</x:v>
      </x:c>
      <x:c r="H92" s="46" t="n">
        <x:f>G92^2-C92</x:f>
        <x:v>0.8504845235280571</x:v>
      </x:c>
      <x:c r="I92" s="46" t="n">
        <x:f>-C92</x:f>
        <x:v>-0.2047083333333333</x:v>
      </x:c>
      <x:c r="J92" s="52" t="str">
        <x:f>TEXT(B92,"0.00")</x:f>
        <x:v>0.85</x:v>
      </x:c>
    </x:row>
    <x:row r="93" ht="22" customHeight="1">
      <x:c r="A93" s="2" t="n">
        <x:v>86</x:v>
      </x:c>
      <x:c r="B93" s="49" t="n">
        <x:f>A93/'Datos'!$B$27*'Datos'!$B$26</x:f>
        <x:v>0.86</x:v>
      </x:c>
      <x:c r="C93" s="46" t="n">
        <x:f>B93^3/3</x:f>
        <x:v>0.21201866666666666</x:v>
      </x:c>
      <x:c r="D93" s="46" t="n">
        <x:f>C93-C92</x:f>
        <x:v>0.007310333333333363</x:v>
      </x:c>
      <x:c r="E93" s="79" t="n">
        <x:v>0.05141648910933251</x:v>
      </x:c>
      <x:c r="F93" s="46" t="n">
        <x:f>SQRT(D93)*E93</x:f>
        <x:v>0.004396134875545102</x:v>
      </x:c>
      <x:c r="G93" s="46" t="n">
        <x:f>G92+F93</x:f>
        <x:v>-1.0228296712943499</x:v>
      </x:c>
      <x:c r="H93" s="46" t="n">
        <x:f>G93^2-C93</x:f>
        <x:v>0.8341618698134411</x:v>
      </x:c>
      <x:c r="I93" s="46" t="n">
        <x:f>-C93</x:f>
        <x:v>-0.21201866666666666</x:v>
      </x:c>
      <x:c r="J93" s="52" t="str">
        <x:f>TEXT(B93,"0.00")</x:f>
        <x:v>0.86</x:v>
      </x:c>
    </x:row>
    <x:row r="94" ht="22" customHeight="1">
      <x:c r="A94" s="2" t="n">
        <x:v>87</x:v>
      </x:c>
      <x:c r="B94" s="49" t="n">
        <x:f>A94/'Datos'!$B$27*'Datos'!$B$26</x:f>
        <x:v>0.87</x:v>
      </x:c>
      <x:c r="C94" s="46" t="n">
        <x:f>B94^3/3</x:f>
        <x:v>0.21950099999999997</x:v>
      </x:c>
      <x:c r="D94" s="46" t="n">
        <x:f>C94-C93</x:f>
        <x:v>0.007482333333333313</x:v>
      </x:c>
      <x:c r="E94" s="79" t="n">
        <x:v>-0.024213106127362903</x:v>
      </x:c>
      <x:c r="F94" s="46" t="n">
        <x:f>SQRT(D94)*E94</x:f>
        <x:v>-0.002094445343330332</x:v>
      </x:c>
      <x:c r="G94" s="46" t="n">
        <x:f>G93+F94</x:f>
        <x:v>-1.0249241166376801</x:v>
      </x:c>
      <x:c r="H94" s="46" t="n">
        <x:f>G94^2-C94</x:f>
        <x:v>0.830968444865529</x:v>
      </x:c>
      <x:c r="I94" s="46" t="n">
        <x:f>-C94</x:f>
        <x:v>-0.21950099999999997</x:v>
      </x:c>
      <x:c r="J94" s="52" t="str">
        <x:f>TEXT(B94,"0.00")</x:f>
        <x:v>0.87</x:v>
      </x:c>
    </x:row>
    <x:row r="95" ht="22" customHeight="1">
      <x:c r="A95" s="2" t="n">
        <x:v>88</x:v>
      </x:c>
      <x:c r="B95" s="49" t="n">
        <x:f>A95/'Datos'!$B$27*'Datos'!$B$26</x:f>
        <x:v>0.88</x:v>
      </x:c>
      <x:c r="C95" s="46" t="n">
        <x:f>B95^3/3</x:f>
        <x:v>0.22715733333333332</x:v>
      </x:c>
      <x:c r="D95" s="46" t="n">
        <x:f>C95-C94</x:f>
        <x:v>0.007656333333333348</x:v>
      </x:c>
      <x:c r="E95" s="79" t="n">
        <x:v>2.5971870804987987</x:v>
      </x:c>
      <x:c r="F95" s="46" t="n">
        <x:f>SQRT(D95)*E95</x:f>
        <x:v>0.2272551062960324</x:v>
      </x:c>
      <x:c r="G95" s="46" t="n">
        <x:f>G94+F95</x:f>
        <x:v>-0.7976690103416477</x:v>
      </x:c>
      <x:c r="H95" s="46" t="n">
        <x:f>G95^2-C95</x:f>
        <x:v>0.40911851672609034</x:v>
      </x:c>
      <x:c r="I95" s="46" t="n">
        <x:f>-C95</x:f>
        <x:v>-0.22715733333333332</x:v>
      </x:c>
      <x:c r="J95" s="52" t="str">
        <x:f>TEXT(B95,"0.00")</x:f>
        <x:v>0.88</x:v>
      </x:c>
    </x:row>
    <x:row r="96" ht="22" customHeight="1">
      <x:c r="A96" s="2" t="n">
        <x:v>89</x:v>
      </x:c>
      <x:c r="B96" s="49" t="n">
        <x:f>A96/'Datos'!$B$27*'Datos'!$B$26</x:f>
        <x:v>0.89</x:v>
      </x:c>
      <x:c r="C96" s="46" t="n">
        <x:f>B96^3/3</x:f>
        <x:v>0.23498966666666668</x:v>
      </x:c>
      <x:c r="D96" s="46" t="n">
        <x:f>C96-C95</x:f>
        <x:v>0.007832333333333358</x:v>
      </x:c>
      <x:c r="E96" s="79" t="n">
        <x:v>-0.6028133724892978</x:v>
      </x:c>
      <x:c r="F96" s="46" t="n">
        <x:f>SQRT(D96)*E96</x:f>
        <x:v>-0.053349267274987046</x:v>
      </x:c>
      <x:c r="G96" s="46" t="n">
        <x:f>G95+F96</x:f>
        <x:v>-0.8510182776166347</x:v>
      </x:c>
      <x:c r="H96" s="46" t="n">
        <x:f>G96^2-C96</x:f>
        <x:v>0.48924244217091695</x:v>
      </x:c>
      <x:c r="I96" s="46" t="n">
        <x:f>-C96</x:f>
        <x:v>-0.23498966666666668</x:v>
      </x:c>
      <x:c r="J96" s="52" t="str">
        <x:f>TEXT(B96,"0.00")</x:f>
        <x:v>0.89</x:v>
      </x:c>
    </x:row>
    <x:row r="97" ht="22" customHeight="1">
      <x:c r="A97" s="2" t="n">
        <x:v>90</x:v>
      </x:c>
      <x:c r="B97" s="49" t="n">
        <x:f>A97/'Datos'!$B$27*'Datos'!$B$26</x:f>
        <x:v>0.9</x:v>
      </x:c>
      <x:c r="C97" s="46" t="n">
        <x:f>B97^3/3</x:f>
        <x:v>0.24300000000000002</x:v>
      </x:c>
      <x:c r="D97" s="46" t="n">
        <x:f>C97-C96</x:f>
        <x:v>0.008010333333333342</x:v>
      </x:c>
      <x:c r="E97" s="79" t="n">
        <x:v>0.12676025246634656</x:v>
      </x:c>
      <x:c r="F97" s="46" t="n">
        <x:f>SQRT(D97)*E97</x:f>
        <x:v>0.011345101608737458</x:v>
      </x:c>
      <x:c r="G97" s="46" t="n">
        <x:f>G96+F97</x:f>
        <x:v>-0.8396731760078973</x:v>
      </x:c>
      <x:c r="H97" s="46" t="n">
        <x:f>G97^2-C97</x:f>
        <x:v>0.4620510425071892</x:v>
      </x:c>
      <x:c r="I97" s="46" t="n">
        <x:f>-C97</x:f>
        <x:v>-0.24300000000000002</x:v>
      </x:c>
      <x:c r="J97" s="52" t="str">
        <x:f>TEXT(B97,"0.00")</x:f>
        <x:v>0.90</x:v>
      </x:c>
    </x:row>
    <x:row r="98" ht="22" customHeight="1">
      <x:c r="A98" s="2" t="n">
        <x:v>91</x:v>
      </x:c>
      <x:c r="B98" s="49" t="n">
        <x:f>A98/'Datos'!$B$27*'Datos'!$B$26</x:f>
        <x:v>0.91</x:v>
      </x:c>
      <x:c r="C98" s="46" t="n">
        <x:f>B98^3/3</x:f>
        <x:v>0.25119033333333335</x:v>
      </x:c>
      <x:c r="D98" s="46" t="n">
        <x:f>C98-C97</x:f>
        <x:v>0.008190333333333327</x:v>
      </x:c>
      <x:c r="E98" s="79" t="n">
        <x:v>-0.2653529278758518</x:v>
      </x:c>
      <x:c r="F98" s="46" t="n">
        <x:f>SQRT(D98)*E98</x:f>
        <x:v>-0.024014562142310118</x:v>
      </x:c>
      <x:c r="G98" s="46" t="n">
        <x:f>G97+F98</x:f>
        <x:v>-0.8636877381502074</x:v>
      </x:c>
      <x:c r="H98" s="46" t="n">
        <x:f>G98^2-C98</x:f>
        <x:v>0.4947661756976878</x:v>
      </x:c>
      <x:c r="I98" s="46" t="n">
        <x:f>-C98</x:f>
        <x:v>-0.25119033333333335</x:v>
      </x:c>
      <x:c r="J98" s="52" t="str">
        <x:f>TEXT(B98,"0.00")</x:f>
        <x:v>0.91</x:v>
      </x:c>
    </x:row>
    <x:row r="99" ht="22" customHeight="1">
      <x:c r="A99" s="2" t="n">
        <x:v>92</x:v>
      </x:c>
      <x:c r="B99" s="49" t="n">
        <x:f>A99/'Datos'!$B$27*'Datos'!$B$26</x:f>
        <x:v>0.92</x:v>
      </x:c>
      <x:c r="C99" s="46" t="n">
        <x:f>B99^3/3</x:f>
        <x:v>0.25956266666666666</x:v>
      </x:c>
      <x:c r="D99" s="46" t="n">
        <x:f>C99-C98</x:f>
        <x:v>0.008372333333333315</x:v>
      </x:c>
      <x:c r="E99" s="79" t="n">
        <x:v>-0.19970842149809648</x:v>
      </x:c>
      <x:c r="F99" s="46" t="n">
        <x:f>SQRT(D99)*E99</x:f>
        <x:v>-0.018273411508753654</x:v>
      </x:c>
      <x:c r="G99" s="46" t="n">
        <x:f>G98+F99</x:f>
        <x:v>-0.881961149658961</x:v>
      </x:c>
      <x:c r="H99" s="46" t="n">
        <x:f>G99^2-C99</x:f>
        <x:v>0.5182928028410896</x:v>
      </x:c>
      <x:c r="I99" s="46" t="n">
        <x:f>-C99</x:f>
        <x:v>-0.25956266666666666</x:v>
      </x:c>
      <x:c r="J99" s="52" t="str">
        <x:f>TEXT(B99,"0.00")</x:f>
        <x:v>0.92</x:v>
      </x:c>
    </x:row>
    <x:row r="100" ht="22" customHeight="1">
      <x:c r="A100" s="2" t="n">
        <x:v>93</x:v>
      </x:c>
      <x:c r="B100" s="49" t="n">
        <x:f>A100/'Datos'!$B$27*'Datos'!$B$26</x:f>
        <x:v>0.93</x:v>
      </x:c>
      <x:c r="C100" s="46" t="n">
        <x:f>B100^3/3</x:f>
        <x:v>0.26811900000000005</x:v>
      </x:c>
      <x:c r="D100" s="46" t="n">
        <x:f>C100-C99</x:f>
        <x:v>0.008556333333333388</x:v>
      </x:c>
      <x:c r="E100" s="79" t="n">
        <x:v>0.468124079464442</x:v>
      </x:c>
      <x:c r="F100" s="46" t="n">
        <x:f>SQRT(D100)*E100</x:f>
        <x:v>0.04330168821665006</x:v>
      </x:c>
      <x:c r="G100" s="46" t="n">
        <x:f>G99+F100</x:f>
        <x:v>-0.838659461442311</x:v>
      </x:c>
      <x:c r="H100" s="46" t="n">
        <x:f>G100^2-C100</x:f>
        <x:v>0.435230692266707</x:v>
      </x:c>
      <x:c r="I100" s="46" t="n">
        <x:f>-C100</x:f>
        <x:v>-0.26811900000000005</x:v>
      </x:c>
      <x:c r="J100" s="52" t="str">
        <x:f>TEXT(B100,"0.00")</x:f>
        <x:v>0.93</x:v>
      </x:c>
    </x:row>
    <x:row r="101" ht="22" customHeight="1">
      <x:c r="A101" s="2" t="n">
        <x:v>94</x:v>
      </x:c>
      <x:c r="B101" s="49" t="n">
        <x:f>A101/'Datos'!$B$27*'Datos'!$B$26</x:f>
        <x:v>0.94</x:v>
      </x:c>
      <x:c r="C101" s="46" t="n">
        <x:f>B101^3/3</x:f>
        <x:v>0.2768613333333333</x:v>
      </x:c>
      <x:c r="D101" s="46" t="n">
        <x:f>C101-C100</x:f>
        <x:v>0.008742333333333241</x:v>
      </x:c>
      <x:c r="E101" s="79" t="n">
        <x:v>0.058044672849945765</x:v>
      </x:c>
      <x:c r="F101" s="46" t="n">
        <x:f>SQRT(D101)*E101</x:f>
        <x:v>0.005427202778018263</x:v>
      </x:c>
      <x:c r="G101" s="46" t="n">
        <x:f>G100+F101</x:f>
        <x:v>-0.8332322586642927</x:v>
      </x:c>
      <x:c r="H101" s="46" t="n">
        <x:f>G101^2-C101</x:f>
        <x:v>0.4174146635454655</x:v>
      </x:c>
      <x:c r="I101" s="46" t="n">
        <x:f>-C101</x:f>
        <x:v>-0.2768613333333333</x:v>
      </x:c>
      <x:c r="J101" s="52" t="str">
        <x:f>TEXT(B101,"0.00")</x:f>
        <x:v>0.94</x:v>
      </x:c>
    </x:row>
    <x:row r="102" ht="22" customHeight="1">
      <x:c r="A102" s="2" t="n">
        <x:v>95</x:v>
      </x:c>
      <x:c r="B102" s="49" t="n">
        <x:f>A102/'Datos'!$B$27*'Datos'!$B$26</x:f>
        <x:v>0.95</x:v>
      </x:c>
      <x:c r="C102" s="46" t="n">
        <x:f>B102^3/3</x:f>
        <x:v>0.2857916666666666</x:v>
      </x:c>
      <x:c r="D102" s="46" t="n">
        <x:f>C102-C101</x:f>
        <x:v>0.008930333333333318</x:v>
      </x:c>
      <x:c r="E102" s="79" t="n">
        <x:v>-1.5553845242639333</x:v>
      </x:c>
      <x:c r="F102" s="46" t="n">
        <x:f>SQRT(D102)*E102</x:f>
        <x:v>-0.1469845233369873</x:v>
      </x:c>
      <x:c r="G102" s="46" t="n">
        <x:f>G101+F102</x:f>
        <x:v>-0.98021678200128</x:v>
      </x:c>
      <x:c r="H102" s="46" t="n">
        <x:f>G102^2-C102</x:f>
        <x:v>0.6750332730502784</x:v>
      </x:c>
      <x:c r="I102" s="46" t="n">
        <x:f>-C102</x:f>
        <x:v>-0.2857916666666666</x:v>
      </x:c>
      <x:c r="J102" s="52" t="str">
        <x:f>TEXT(B102,"0.00")</x:f>
        <x:v>0.95</x:v>
      </x:c>
    </x:row>
    <x:row r="103" ht="22" customHeight="1">
      <x:c r="A103" s="2" t="n">
        <x:v>96</x:v>
      </x:c>
      <x:c r="B103" s="49" t="n">
        <x:f>A103/'Datos'!$B$27*'Datos'!$B$26</x:f>
        <x:v>0.96</x:v>
      </x:c>
      <x:c r="C103" s="46" t="n">
        <x:f>B103^3/3</x:f>
        <x:v>0.29491199999999995</x:v>
      </x:c>
      <x:c r="D103" s="46" t="n">
        <x:f>C103-C102</x:f>
        <x:v>0.009120333333333341</x:v>
      </x:c>
      <x:c r="E103" s="79" t="n">
        <x:v>-0.6111042262645439</x:v>
      </x:c>
      <x:c r="F103" s="46" t="n">
        <x:f>SQRT(D103)*E103</x:f>
        <x:v>-0.05836072023253548</x:v>
      </x:c>
      <x:c r="G103" s="46" t="n">
        <x:f>G102+F103</x:f>
        <x:v>-1.0385775022338155</x:v>
      </x:c>
      <x:c r="H103" s="46" t="n">
        <x:f>G103^2-C103</x:f>
        <x:v>0.7837312281462311</x:v>
      </x:c>
      <x:c r="I103" s="46" t="n">
        <x:f>-C103</x:f>
        <x:v>-0.29491199999999995</x:v>
      </x:c>
      <x:c r="J103" s="52" t="str">
        <x:f>TEXT(B103,"0.00")</x:f>
        <x:v>0.96</x:v>
      </x:c>
    </x:row>
    <x:row r="104" ht="22" customHeight="1">
      <x:c r="A104" s="2" t="n">
        <x:v>97</x:v>
      </x:c>
      <x:c r="B104" s="49" t="n">
        <x:f>A104/'Datos'!$B$27*'Datos'!$B$26</x:f>
        <x:v>0.97</x:v>
      </x:c>
      <x:c r="C104" s="46" t="n">
        <x:f>B104^3/3</x:f>
        <x:v>0.3042243333333333</x:v>
      </x:c>
      <x:c r="D104" s="46" t="n">
        <x:f>C104-C103</x:f>
        <x:v>0.009312333333333367</x:v>
      </x:c>
      <x:c r="E104" s="79" t="n">
        <x:v>1.6017808199861496</x:v>
      </x:c>
      <x:c r="F104" s="46" t="n">
        <x:f>SQRT(D104)*E104</x:f>
        <x:v>0.15457254074232368</x:v>
      </x:c>
      <x:c r="G104" s="46" t="n">
        <x:f>G103+F104</x:f>
        <x:v>-0.8840049614914918</x:v>
      </x:c>
      <x:c r="H104" s="46" t="n">
        <x:f>G104^2-C104</x:f>
        <x:v>0.4772404386082405</x:v>
      </x:c>
      <x:c r="I104" s="46" t="n">
        <x:f>-C104</x:f>
        <x:v>-0.3042243333333333</x:v>
      </x:c>
      <x:c r="J104" s="52" t="str">
        <x:f>TEXT(B104,"0.00")</x:f>
        <x:v>0.97</x:v>
      </x:c>
    </x:row>
    <x:row r="105" ht="22" customHeight="1">
      <x:c r="A105" s="2" t="n">
        <x:v>98</x:v>
      </x:c>
      <x:c r="B105" s="49" t="n">
        <x:f>A105/'Datos'!$B$27*'Datos'!$B$26</x:f>
        <x:v>0.98</x:v>
      </x:c>
      <x:c r="C105" s="46" t="n">
        <x:f>B105^3/3</x:f>
        <x:v>0.31373066666666666</x:v>
      </x:c>
      <x:c r="D105" s="46" t="n">
        <x:f>C105-C104</x:f>
        <x:v>0.009506333333333339</x:v>
      </x:c>
      <x:c r="E105" s="79" t="n">
        <x:v>2.2761273832286792</x:v>
      </x:c>
      <x:c r="F105" s="46" t="n">
        <x:f>SQRT(D105)*E105</x:f>
        <x:v>0.2219233925666745</x:v>
      </x:c>
      <x:c r="G105" s="46" t="n">
        <x:f>G104+F105</x:f>
        <x:v>-0.6620815689248173</x:v>
      </x:c>
      <x:c r="H105" s="46" t="n">
        <x:f>G105^2-C105</x:f>
        <x:v>0.12462133724328095</x:v>
      </x:c>
      <x:c r="I105" s="46" t="n">
        <x:f>-C105</x:f>
        <x:v>-0.31373066666666666</x:v>
      </x:c>
      <x:c r="J105" s="52" t="str">
        <x:f>TEXT(B105,"0.00")</x:f>
        <x:v>0.98</x:v>
      </x:c>
    </x:row>
    <x:row r="106" ht="22" customHeight="1">
      <x:c r="A106" s="2" t="n">
        <x:v>99</x:v>
      </x:c>
      <x:c r="B106" s="49" t="n">
        <x:f>A106/'Datos'!$B$27*'Datos'!$B$26</x:f>
        <x:v>0.99</x:v>
      </x:c>
      <x:c r="C106" s="46" t="n">
        <x:f>B106^3/3</x:f>
        <x:v>0.323433</x:v>
      </x:c>
      <x:c r="D106" s="46" t="n">
        <x:f>C106-C105</x:f>
        <x:v>0.009702333333333368</x:v>
      </x:c>
      <x:c r="E106" s="79" t="n">
        <x:v>-2.4027931771431437</x:v>
      </x:c>
      <x:c r="F106" s="46" t="n">
        <x:f>SQRT(D106)*E106</x:f>
        <x:v>-0.236676144356391</x:v>
      </x:c>
      <x:c r="G106" s="46" t="n">
        <x:f>G105+F106</x:f>
        <x:v>-0.8987577132812083</x:v>
      </x:c>
      <x:c r="H106" s="46" t="n">
        <x:f>G106^2-C106</x:f>
        <x:v>0.48433242718246666</x:v>
      </x:c>
      <x:c r="I106" s="46" t="n">
        <x:f>-C106</x:f>
        <x:v>-0.323433</x:v>
      </x:c>
      <x:c r="J106" s="52" t="str">
        <x:f>TEXT(B106,"0.00")</x:f>
        <x:v>0.99</x:v>
      </x:c>
    </x:row>
    <x:row r="107" ht="22" customHeight="1">
      <x:c r="A107" s="2" t="n">
        <x:v>100</x:v>
      </x:c>
      <x:c r="B107" s="49" t="n">
        <x:f>A107/'Datos'!$B$27*'Datos'!$B$26</x:f>
        <x:v>1</x:v>
      </x:c>
      <x:c r="C107" s="46" t="n">
        <x:f>B107^3/3</x:f>
        <x:v>0.3333333333333333</x:v>
      </x:c>
      <x:c r="D107" s="46" t="n">
        <x:f>C107-C106</x:f>
        <x:v>0.009900333333333289</x:v>
      </x:c>
      <x:c r="E107" s="79" t="n">
        <x:v>-0.26416267894331436</x:v>
      </x:c>
      <x:c r="F107" s="46" t="n">
        <x:f>SQRT(D107)*E107</x:f>
        <x:v>-0.026284297175514268</x:v>
      </x:c>
      <x:c r="G107" s="46" t="n">
        <x:f>G106+F107</x:f>
        <x:v>-0.9250420104567226</x:v>
      </x:c>
      <x:c r="H107" s="46" t="n">
        <x:f>G107^2-C107</x:f>
        <x:v>0.5223693877764821</x:v>
      </x:c>
      <x:c r="I107" s="46" t="n">
        <x:f>-C107</x:f>
        <x:v>-0.3333333333333333</x:v>
      </x:c>
      <x:c r="J107" s="52" t="str">
        <x:f>TEXT(B107,"0.00")</x:f>
        <x:v>1.00</x:v>
      </x:c>
    </x:row>
    <x:row r="108" ht="22" customHeight="1">
      <x:c r="A108" s="2"/>
      <x:c r="B108" s="2"/>
      <x:c r="C108" s="2"/>
      <x:c r="D108" s="2"/>
      <x:c r="E108" s="2"/>
      <x:c r="F108" s="2"/>
      <x:c r="G108" s="2"/>
      <x:c r="H108" s="2"/>
      <x:c r="I108" s="2"/>
    </x:row>
    <x:row r="109" ht="22" customHeight="1">
      <x:c r="A109" s="2"/>
      <x:c r="B109" s="2"/>
      <x:c r="C109" s="2"/>
      <x:c r="D109" s="2"/>
      <x:c r="E109" s="2"/>
      <x:c r="F109" s="2"/>
      <x:c r="G109" s="2"/>
      <x:c r="H109" s="2"/>
      <x:c r="I109" s="2"/>
    </x:row>
    <x:row r="110" ht="36" customHeight="1">
      <x:c r="A110" s="22" t="str">
        <x:v>Se conservan exactamente los 100 Z de Trayectoria del Excel anterior. Cambiar el tiempo escala la malla; el número de pasos debe mantenerse en 100.</x:v>
      </x:c>
      <x:c r="B110" s="22" t="str">
        <x:v>Se conservan exactamente los 100 Z de Trayectoria del Excel anterior. Cambiar el tiempo escala la malla; el número de pasos debe mantenerse en 100.</x:v>
      </x:c>
      <x:c r="C110" s="22" t="str">
        <x:v>Se conservan exactamente los 100 Z de Trayectoria del Excel anterior. Cambiar el tiempo escala la malla; el número de pasos debe mantenerse en 100.</x:v>
      </x:c>
      <x:c r="D110" s="22" t="str">
        <x:v>Se conservan exactamente los 100 Z de Trayectoria del Excel anterior. Cambiar el tiempo escala la malla; el número de pasos debe mantenerse en 100.</x:v>
      </x:c>
      <x:c r="E110" s="22" t="str">
        <x:v>Se conservan exactamente los 100 Z de Trayectoria del Excel anterior. Cambiar el tiempo escala la malla; el número de pasos debe mantenerse en 100.</x:v>
      </x:c>
      <x:c r="F110" s="22" t="str">
        <x:v>Se conservan exactamente los 100 Z de Trayectoria del Excel anterior. Cambiar el tiempo escala la malla; el número de pasos debe mantenerse en 100.</x:v>
      </x:c>
      <x:c r="G110" s="22" t="str">
        <x:v>Se conservan exactamente los 100 Z de Trayectoria del Excel anterior. Cambiar el tiempo escala la malla; el número de pasos debe mantenerse en 100.</x:v>
      </x:c>
      <x:c r="H110" s="22" t="str">
        <x:v>Se conservan exactamente los 100 Z de Trayectoria del Excel anterior. Cambiar el tiempo escala la malla; el número de pasos debe mantenerse en 100.</x:v>
      </x:c>
      <x:c r="I110" s="22" t="str">
        <x:v>Se conservan exactamente los 100 Z de Trayectoria del Excel anterior. Cambiar el tiempo escala la malla; el número de pasos debe mantenerse en 100.</x:v>
      </x:c>
    </x:row>
    <x:row r="111" ht="22" customHeight="1">
      <x:c r="A111" s="2"/>
      <x:c r="B111" s="2"/>
      <x:c r="C111" s="2"/>
      <x:c r="D111" s="2"/>
      <x:c r="E111" s="2"/>
      <x:c r="F111" s="2"/>
      <x:c r="G111" s="2"/>
      <x:c r="H111" s="2"/>
      <x:c r="I111" s="2"/>
    </x:row>
    <x:row r="112" ht="22" customHeight="1">
      <x:c r="A112" s="2"/>
      <x:c r="B112" s="2"/>
      <x:c r="C112" s="2"/>
      <x:c r="D112" s="2"/>
      <x:c r="E112" s="2"/>
      <x:c r="F112" s="2"/>
      <x:c r="G112" s="2"/>
      <x:c r="H112" s="2"/>
      <x:c r="I112" s="2"/>
    </x:row>
    <x:row r="113" ht="22" customHeight="1">
      <x:c r="A113" s="2"/>
      <x:c r="B113" s="2"/>
      <x:c r="C113" s="2"/>
      <x:c r="D113" s="2"/>
      <x:c r="E113" s="2"/>
      <x:c r="F113" s="2"/>
      <x:c r="G113" s="2"/>
      <x:c r="H113" s="2"/>
      <x:c r="I113" s="2"/>
    </x:row>
    <x:row r="114" ht="22" customHeight="1">
      <x:c r="A114" s="2"/>
      <x:c r="B114" s="2"/>
      <x:c r="C114" s="2"/>
      <x:c r="D114" s="2"/>
      <x:c r="E114" s="2"/>
      <x:c r="F114" s="2"/>
      <x:c r="G114" s="2"/>
      <x:c r="H114" s="2"/>
      <x:c r="I114" s="2"/>
    </x:row>
    <x:row r="115" ht="22" customHeight="1">
      <x:c r="A115" s="2"/>
      <x:c r="B115" s="2"/>
      <x:c r="C115" s="2"/>
      <x:c r="D115" s="2"/>
      <x:c r="E115" s="2"/>
      <x:c r="F115" s="2"/>
      <x:c r="G115" s="2"/>
      <x:c r="H115" s="2"/>
      <x:c r="I115" s="2"/>
    </x:row>
    <x:row r="116" ht="22" customHeight="1">
      <x:c r="A116" s="2"/>
      <x:c r="B116" s="2"/>
      <x:c r="C116" s="2"/>
      <x:c r="D116" s="2"/>
      <x:c r="E116" s="2"/>
      <x:c r="F116" s="2"/>
      <x:c r="G116" s="2"/>
      <x:c r="H116" s="2"/>
      <x:c r="I116" s="2"/>
    </x:row>
    <x:row r="117" ht="22" customHeight="1">
      <x:c r="A117" s="2"/>
      <x:c r="B117" s="2"/>
      <x:c r="C117" s="2"/>
      <x:c r="D117" s="2"/>
      <x:c r="E117" s="2"/>
      <x:c r="F117" s="2"/>
      <x:c r="G117" s="2"/>
      <x:c r="H117" s="2"/>
      <x:c r="I117" s="2"/>
    </x:row>
    <x:row r="118" ht="22" customHeight="1">
      <x:c r="A118" s="2"/>
      <x:c r="B118" s="2"/>
      <x:c r="C118" s="2"/>
      <x:c r="D118" s="2"/>
      <x:c r="E118" s="2"/>
      <x:c r="F118" s="2"/>
      <x:c r="G118" s="2"/>
      <x:c r="H118" s="2"/>
      <x:c r="I118" s="2"/>
    </x:row>
    <x:row r="119" ht="22" customHeight="1">
      <x:c r="A119" s="2"/>
      <x:c r="B119" s="2"/>
      <x:c r="C119" s="2"/>
      <x:c r="D119" s="2"/>
      <x:c r="E119" s="2"/>
      <x:c r="F119" s="2"/>
      <x:c r="G119" s="2"/>
      <x:c r="H119" s="2"/>
      <x:c r="I119" s="2"/>
    </x:row>
    <x:row r="120" ht="22" customHeight="1">
      <x:c r="A120" s="2"/>
      <x:c r="B120" s="2"/>
      <x:c r="C120" s="2"/>
      <x:c r="D120" s="2"/>
      <x:c r="E120" s="2"/>
      <x:c r="F120" s="2"/>
      <x:c r="G120" s="2"/>
      <x:c r="H120" s="2"/>
      <x:c r="I120" s="2"/>
    </x:row>
    <x:row r="121" ht="22" customHeight="1">
      <x:c r="A121" s="2"/>
      <x:c r="B121" s="2"/>
      <x:c r="C121" s="2"/>
      <x:c r="D121" s="2"/>
      <x:c r="E121" s="2"/>
      <x:c r="F121" s="2"/>
      <x:c r="G121" s="2"/>
      <x:c r="H121" s="2"/>
      <x:c r="I121" s="2"/>
    </x:row>
    <x:row r="122" ht="22" customHeight="1">
      <x:c r="A122" s="2"/>
      <x:c r="B122" s="2"/>
      <x:c r="C122" s="2"/>
      <x:c r="D122" s="2"/>
      <x:c r="E122" s="2"/>
      <x:c r="F122" s="2"/>
      <x:c r="G122" s="2"/>
      <x:c r="H122" s="2"/>
      <x:c r="I122" s="2"/>
    </x:row>
    <x:row r="123" ht="22" customHeight="1">
      <x:c r="A123" s="2"/>
      <x:c r="B123" s="2"/>
      <x:c r="C123" s="2"/>
      <x:c r="D123" s="2"/>
      <x:c r="E123" s="2"/>
      <x:c r="F123" s="2"/>
      <x:c r="G123" s="2"/>
      <x:c r="H123" s="2"/>
      <x:c r="I123" s="2"/>
    </x:row>
    <x:row r="124" ht="22" customHeight="1">
      <x:c r="A124" s="2"/>
      <x:c r="B124" s="2"/>
      <x:c r="C124" s="2"/>
      <x:c r="D124" s="2"/>
      <x:c r="E124" s="2"/>
      <x:c r="F124" s="2"/>
      <x:c r="G124" s="2"/>
      <x:c r="H124" s="2"/>
      <x:c r="I124" s="2"/>
    </x:row>
    <x:row r="125" ht="22" customHeight="1">
      <x:c r="A125" s="2"/>
      <x:c r="B125" s="2"/>
      <x:c r="C125" s="2"/>
      <x:c r="D125" s="2"/>
      <x:c r="E125" s="2"/>
      <x:c r="F125" s="2"/>
      <x:c r="G125" s="2"/>
      <x:c r="H125" s="2"/>
      <x:c r="I125" s="2"/>
    </x:row>
    <x:row r="126" ht="22" customHeight="1">
      <x:c r="A126" s="2"/>
      <x:c r="B126" s="2"/>
      <x:c r="C126" s="2"/>
      <x:c r="D126" s="2"/>
      <x:c r="E126" s="2"/>
      <x:c r="F126" s="2"/>
      <x:c r="G126" s="2"/>
      <x:c r="H126" s="2"/>
      <x:c r="I126" s="2"/>
    </x:row>
  </x:sheetData>
  <x:mergeCells>
    <x:mergeCell ref="A1:I2"/>
    <x:mergeCell ref="A3:I4"/>
    <x:mergeCell ref="A110:I110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5" hidden="0" customWidth="1"/>
  </x:cols>
  <x:sheetData>
    <x:row r="1" ht="25" customHeight="1">
      <x:c r="A1" s="5" t="str">
        <x:v>E2 · 5.000 réplicas terminales</x:v>
      </x:c>
      <x:c r="B1" s="5" t="str">
        <x:v>E2 · 5.000 réplicas terminales</x:v>
      </x:c>
      <x:c r="C1" s="5" t="str">
        <x:v>E2 · 5.000 réplicas terminales</x:v>
      </x:c>
      <x:c r="D1" s="5" t="str">
        <x:v>E2 · 5.000 réplicas terminales</x:v>
      </x:c>
      <x:c r="E1" s="5" t="str">
        <x:v>E2 · 5.000 réplicas terminales</x:v>
      </x:c>
      <x:c r="F1" s="5" t="str">
        <x:v>E2 · 5.000 réplicas terminales</x:v>
      </x:c>
      <x:c r="G1" s="5" t="str">
        <x:v>E2 · 5.000 réplicas terminales</x:v>
      </x:c>
      <x:c r="H1" s="5" t="str">
        <x:v>E2 · 5.000 réplicas terminales</x:v>
      </x:c>
    </x:row>
    <x:row r="2" ht="25" customHeight="1">
      <x:c r="A2" s="5" t="str">
        <x:v>E2 · 5.000 réplicas terminales</x:v>
      </x:c>
      <x:c r="B2" s="5" t="str">
        <x:v>E2 · 5.000 réplicas terminales</x:v>
      </x:c>
      <x:c r="C2" s="5" t="str">
        <x:v>E2 · 5.000 réplicas terminales</x:v>
      </x:c>
      <x:c r="D2" s="5" t="str">
        <x:v>E2 · 5.000 réplicas terminales</x:v>
      </x:c>
      <x:c r="E2" s="5" t="str">
        <x:v>E2 · 5.000 réplicas terminales</x:v>
      </x:c>
      <x:c r="F2" s="5" t="str">
        <x:v>E2 · 5.000 réplicas terminales</x:v>
      </x:c>
      <x:c r="G2" s="5" t="str">
        <x:v>E2 · 5.000 réplicas terminales</x:v>
      </x:c>
      <x:c r="H2" s="5" t="str">
        <x:v>E2 · 5.000 réplicas terminales</x:v>
      </x:c>
    </x:row>
    <x:row r="3" ht="21" customHeight="1">
      <x:c r="A3" s="7" t="str">
        <x:v>Normales del Excel original. Cada Mₜ se recalcula como (t³/3) × (Z²−1).</x:v>
      </x:c>
      <x:c r="B3" s="7" t="str">
        <x:v>Normales del Excel original. Cada Mₜ se recalcula como (t³/3) × (Z²−1).</x:v>
      </x:c>
      <x:c r="C3" s="7" t="str">
        <x:v>Normales del Excel original. Cada Mₜ se recalcula como (t³/3) × (Z²−1).</x:v>
      </x:c>
      <x:c r="D3" s="7" t="str">
        <x:v>Normales del Excel original. Cada Mₜ se recalcula como (t³/3) × (Z²−1).</x:v>
      </x:c>
      <x:c r="E3" s="7" t="str">
        <x:v>Normales del Excel original. Cada Mₜ se recalcula como (t³/3) × (Z²−1).</x:v>
      </x:c>
      <x:c r="F3" s="7" t="str">
        <x:v>Normales del Excel original. Cada Mₜ se recalcula como (t³/3) × (Z²−1).</x:v>
      </x:c>
      <x:c r="G3" s="7" t="str">
        <x:v>Normales del Excel original. Cada Mₜ se recalcula como (t³/3) × (Z²−1).</x:v>
      </x:c>
      <x:c r="H3" s="7" t="str">
        <x:v>Normales del Excel original. Cada Mₜ se recalcula como (t³/3) × (Z²−1).</x:v>
      </x:c>
    </x:row>
    <x:row r="4" ht="21" customHeight="1">
      <x:c r="A4" s="7" t="str">
        <x:v>Normales del Excel original. Cada Mₜ se recalcula como (t³/3) × (Z²−1).</x:v>
      </x:c>
      <x:c r="B4" s="7" t="str">
        <x:v>Normales del Excel original. Cada Mₜ se recalcula como (t³/3) × (Z²−1).</x:v>
      </x:c>
      <x:c r="C4" s="7" t="str">
        <x:v>Normales del Excel original. Cada Mₜ se recalcula como (t³/3) × (Z²−1).</x:v>
      </x:c>
      <x:c r="D4" s="7" t="str">
        <x:v>Normales del Excel original. Cada Mₜ se recalcula como (t³/3) × (Z²−1).</x:v>
      </x:c>
      <x:c r="E4" s="7" t="str">
        <x:v>Normales del Excel original. Cada Mₜ se recalcula como (t³/3) × (Z²−1).</x:v>
      </x:c>
      <x:c r="F4" s="7" t="str">
        <x:v>Normales del Excel original. Cada Mₜ se recalcula como (t³/3) × (Z²−1).</x:v>
      </x:c>
      <x:c r="G4" s="7" t="str">
        <x:v>Normales del Excel original. Cada Mₜ se recalcula como (t³/3) × (Z²−1).</x:v>
      </x:c>
      <x:c r="H4" s="7" t="str">
        <x:v>Normales del Excel original. Cada Mₜ se recalcula como (t³/3) × (Z²−1).</x:v>
      </x:c>
    </x:row>
    <x:row r="5" ht="22" customHeight="1">
      <x:c r="A5" s="2"/>
      <x:c r="B5" s="2"/>
      <x:c r="C5" s="2"/>
      <x:c r="D5" s="2"/>
      <x:c r="E5" s="2"/>
      <x:c r="F5" s="2"/>
      <x:c r="G5" s="2"/>
      <x:c r="H5" s="2"/>
    </x:row>
    <x:row r="6" ht="22" customHeight="1">
      <x:c r="A6" s="13" t="str">
        <x:v>Réplica</x:v>
      </x:c>
      <x:c r="B6" s="13" t="str">
        <x:v>Z fijo</x:v>
      </x:c>
      <x:c r="C6" s="13" t="str">
        <x:v>Z²</x:v>
      </x:c>
      <x:c r="D6" s="13" t="str">
        <x:v>q(t)</x:v>
      </x:c>
      <x:c r="E6" s="13" t="str">
        <x:v>Mₜ</x:v>
      </x:c>
      <x:c r="F6" s="13" t="str">
        <x:v>Valor Mₜ</x:v>
      </x:c>
      <x:c r="G6" s="13" t="str">
        <x:v>CDF empírica</x:v>
      </x:c>
      <x:c r="H6" s="13" t="str">
        <x:v>CDF teórica</x:v>
      </x:c>
      <x:c r="I6" s="52" t="str">
        <x:v>Etiqueta gráfico</x:v>
      </x:c>
    </x:row>
    <x:row r="7" ht="22" customHeight="1">
      <x:c r="A7" s="2" t="n">
        <x:v>1</x:v>
      </x:c>
      <x:c r="B7" s="79" t="n">
        <x:v>0.0573605551342864</x:v>
      </x:c>
      <x:c r="C7" s="46" t="n">
        <x:f>B7^2</x:f>
        <x:v>0.0032902332853135103</x:v>
      </x:c>
      <x:c r="D7" s="47" t="n">
        <x:f>'Datos'!$B$26^3/3</x:f>
        <x:v>0.3333333333333333</x:v>
      </x:c>
      <x:c r="E7" s="46" t="n">
        <x:f>D7*(C7-1)</x:f>
        <x:v>-0.3322365889048955</x:v>
      </x:c>
      <x:c r="F7" s="49" t="n">
        <x:f>'E2 Ito'!$D$18+0/40*(MAX($E$7:$E$5006)-'E2 Ito'!$D$18)</x:f>
        <x:v>-0.3333333333333333</x:v>
      </x:c>
      <x:c r="G7" s="50" t="n">
        <x:f>COUNTIF($E$7:$E$5006,"&lt;="&amp;F7)/COUNT($E$7:$E$5006)</x:f>
        <x:v>0</x:v>
      </x:c>
      <x:c r="H7" s="51" t="n">
        <x:f>IF('Datos'!$B$26=0,IF(F7&gt;=0,1,0),IF(F7&lt;=-'Datos'!$B$26^3/3,0,2*NORM.S.DIST(SQRT(3*F7/'Datos'!$B$26^3+1),TRUE)-1))</x:f>
        <x:v>0</x:v>
      </x:c>
      <x:c r="I7" s="52" t="str">
        <x:f>TEXT(F7,"0.00")</x:f>
        <x:v>-0.33</x:v>
      </x:c>
    </x:row>
    <x:row r="8" ht="22" customHeight="1">
      <x:c r="A8" s="2" t="n">
        <x:v>2</x:v>
      </x:c>
      <x:c r="B8" s="79" t="n">
        <x:v>-0.31096061149967086</x:v>
      </x:c>
      <x:c r="C8" s="46" t="n">
        <x:f>B8^2</x:f>
        <x:v>0.09669650190424924</x:v>
      </x:c>
      <x:c r="D8" s="47" t="n">
        <x:f>'Datos'!$B$26^3/3</x:f>
        <x:v>0.3333333333333333</x:v>
      </x:c>
      <x:c r="E8" s="46" t="n">
        <x:f>D8*(C8-1)</x:f>
        <x:v>-0.3011011660319169</x:v>
      </x:c>
      <x:c r="F8" s="49" t="n">
        <x:f>'E2 Ito'!$D$18+1/40*(MAX($E$7:$E$5006)-'E2 Ito'!$D$18)</x:f>
        <x:v>-0.23429791088631963</x:v>
      </x:c>
      <x:c r="G8" s="50" t="n">
        <x:f>COUNTIF($E$7:$E$5006,"&lt;="&amp;F8)/COUNT($E$7:$E$5006)</x:f>
        <x:v>0.413</x:v>
      </x:c>
      <x:c r="H8" s="51" t="n">
        <x:f>IF('Datos'!$B$26=0,IF(F8&gt;=0,1,0),IF(F8&lt;=-'Datos'!$B$26^3/3,0,2*NORM.S.DIST(SQRT(3*F8/'Datos'!$B$26^3+1),TRUE)-1))</x:f>
        <x:v>0.4142977558841783</x:v>
      </x:c>
      <x:c r="I8" s="52" t="str">
        <x:f>TEXT(F8,"0.00")</x:f>
        <x:v>-0.23</x:v>
      </x:c>
    </x:row>
    <x:row r="9" ht="22" customHeight="1">
      <x:c r="A9" s="2" t="n">
        <x:v>3</x:v>
      </x:c>
      <x:c r="B9" s="79" t="n">
        <x:v>0.7478384547893403</x:v>
      </x:c>
      <x:c r="C9" s="46" t="n">
        <x:f>B9^2</x:f>
        <x:v>0.5592623544617081</x:v>
      </x:c>
      <x:c r="D9" s="47" t="n">
        <x:f>'Datos'!$B$26^3/3</x:f>
        <x:v>0.3333333333333333</x:v>
      </x:c>
      <x:c r="E9" s="46" t="n">
        <x:f>D9*(C9-1)</x:f>
        <x:v>-0.14691254851276395</x:v>
      </x:c>
      <x:c r="F9" s="49" t="n">
        <x:f>'E2 Ito'!$D$18+2/40*(MAX($E$7:$E$5006)-'E2 Ito'!$D$18)</x:f>
        <x:v>-0.1352624884393059</x:v>
      </x:c>
      <x:c r="G9" s="50" t="n">
        <x:f>COUNTIF($E$7:$E$5006,"&lt;="&amp;F9)/COUNT($E$7:$E$5006)</x:f>
        <x:v>0.5528</x:v>
      </x:c>
      <x:c r="H9" s="51" t="n">
        <x:f>IF('Datos'!$B$26=0,IF(F9&gt;=0,1,0),IF(F9&lt;=-'Datos'!$B$26^3/3,0,2*NORM.S.DIST(SQRT(3*F9/'Datos'!$B$26^3+1),TRUE)-1))</x:f>
        <x:v>0.5592052346843674</x:v>
      </x:c>
      <x:c r="I9" s="52" t="str">
        <x:f>TEXT(F9,"0.00")</x:f>
        <x:v>-0.14</x:v>
      </x:c>
    </x:row>
    <x:row r="10" ht="22" customHeight="1">
      <x:c r="A10" s="2" t="n">
        <x:v>4</x:v>
      </x:c>
      <x:c r="B10" s="79" t="n">
        <x:v>0.5816933161473619</x:v>
      </x:c>
      <x:c r="C10" s="46" t="n">
        <x:f>B10^2</x:f>
        <x:v>0.3383671140505147</x:v>
      </x:c>
      <x:c r="D10" s="47" t="n">
        <x:f>'Datos'!$B$26^3/3</x:f>
        <x:v>0.3333333333333333</x:v>
      </x:c>
      <x:c r="E10" s="46" t="n">
        <x:f>D10*(C10-1)</x:f>
        <x:v>-0.2205442953164951</x:v>
      </x:c>
      <x:c r="F10" s="49" t="n">
        <x:f>'E2 Ito'!$D$18+3/40*(MAX($E$7:$E$5006)-'E2 Ito'!$D$18)</x:f>
        <x:v>-0.03622706599229225</x:v>
      </x:c>
      <x:c r="G10" s="50" t="n">
        <x:f>COUNTIF($E$7:$E$5006,"&lt;="&amp;F10)/COUNT($E$7:$E$5006)</x:f>
        <x:v>0.646</x:v>
      </x:c>
      <x:c r="H10" s="51" t="n">
        <x:f>IF('Datos'!$B$26=0,IF(F10&gt;=0,1,0),IF(F10&lt;=-'Datos'!$B$26^3/3,0,2*NORM.S.DIST(SQRT(3*F10/'Datos'!$B$26^3+1),TRUE)-1))</x:f>
        <x:v>0.6548798248357517</x:v>
      </x:c>
      <x:c r="I10" s="52" t="str">
        <x:f>TEXT(F10,"0.00")</x:f>
        <x:v>-0.04</x:v>
      </x:c>
    </x:row>
    <x:row r="11" ht="22" customHeight="1">
      <x:c r="A11" s="2" t="n">
        <x:v>5</x:v>
      </x:c>
      <x:c r="B11" s="79" t="n">
        <x:v>-0.45254745385939965</x:v>
      </x:c>
      <x:c r="C11" s="46" t="n">
        <x:f>B11^2</x:f>
        <x:v>0.20479919799462545</x:v>
      </x:c>
      <x:c r="D11" s="47" t="n">
        <x:f>'Datos'!$B$26^3/3</x:f>
        <x:v>0.3333333333333333</x:v>
      </x:c>
      <x:c r="E11" s="46" t="n">
        <x:f>D11*(C11-1)</x:f>
        <x:v>-0.2650669340017915</x:v>
      </x:c>
      <x:c r="F11" s="49" t="n">
        <x:f>'E2 Ito'!$D$18+4/40*(MAX($E$7:$E$5006)-'E2 Ito'!$D$18)</x:f>
        <x:v>0.06280835645472149</x:v>
      </x:c>
      <x:c r="G11" s="50" t="n">
        <x:f>COUNTIF($E$7:$E$5006,"&lt;="&amp;F11)/COUNT($E$7:$E$5006)</x:f>
        <x:v>0.7116</x:v>
      </x:c>
      <x:c r="H11" s="51" t="n">
        <x:f>IF('Datos'!$B$26=0,IF(F11&gt;=0,1,0),IF(F11&lt;=-'Datos'!$B$26^3/3,0,2*NORM.S.DIST(SQRT(3*F11/'Datos'!$B$26^3+1),TRUE)-1))</x:f>
        <x:v>0.7243525312225532</x:v>
      </x:c>
      <x:c r="I11" s="52" t="str">
        <x:f>TEXT(F11,"0.00")</x:f>
        <x:v>0.06</x:v>
      </x:c>
    </x:row>
    <x:row r="12" ht="22" customHeight="1">
      <x:c r="A12" s="2" t="n">
        <x:v>6</x:v>
      </x:c>
      <x:c r="B12" s="79" t="n">
        <x:v>-0.14427759713126995</x:v>
      </x:c>
      <x:c r="C12" s="46" t="n">
        <x:f>B12^2</x:f>
        <x:v>0.020816025033973035</x:v>
      </x:c>
      <x:c r="D12" s="47" t="n">
        <x:f>'Datos'!$B$26^3/3</x:f>
        <x:v>0.3333333333333333</x:v>
      </x:c>
      <x:c r="E12" s="46" t="n">
        <x:f>D12*(C12-1)</x:f>
        <x:v>-0.326394658322009</x:v>
      </x:c>
      <x:c r="F12" s="49" t="n">
        <x:f>'E2 Ito'!$D$18+5/40*(MAX($E$7:$E$5006)-'E2 Ito'!$D$18)</x:f>
        <x:v>0.16184377890173518</x:v>
      </x:c>
      <x:c r="G12" s="50" t="n">
        <x:f>COUNTIF($E$7:$E$5006,"&lt;="&amp;F12)/COUNT($E$7:$E$5006)</x:f>
        <x:v>0.764</x:v>
      </x:c>
      <x:c r="H12" s="51" t="n">
        <x:f>IF('Datos'!$B$26=0,IF(F12&gt;=0,1,0),IF(F12&lt;=-'Datos'!$B$26^3/3,0,2*NORM.S.DIST(SQRT(3*F12/'Datos'!$B$26^3+1),TRUE)-1))</x:f>
        <x:v>0.7770889053249237</x:v>
      </x:c>
      <x:c r="I12" s="52" t="str">
        <x:f>TEXT(F12,"0.00")</x:f>
        <x:v>0.16</x:v>
      </x:c>
    </x:row>
    <x:row r="13" ht="22" customHeight="1">
      <x:c r="A13" s="2" t="n">
        <x:v>7</x:v>
      </x:c>
      <x:c r="B13" s="79" t="n">
        <x:v>-0.6026032626984548</x:v>
      </x:c>
      <x:c r="C13" s="46" t="n">
        <x:f>B13^2</x:f>
        <x:v>0.36313069221482286</x:v>
      </x:c>
      <x:c r="D13" s="47" t="n">
        <x:f>'Datos'!$B$26^3/3</x:f>
        <x:v>0.3333333333333333</x:v>
      </x:c>
      <x:c r="E13" s="46" t="n">
        <x:f>D13*(C13-1)</x:f>
        <x:v>-0.2122897692617257</x:v>
      </x:c>
      <x:c r="F13" s="49" t="n">
        <x:f>'E2 Ito'!$D$18+6/40*(MAX($E$7:$E$5006)-'E2 Ito'!$D$18)</x:f>
        <x:v>0.2608792013487488</x:v>
      </x:c>
      <x:c r="G13" s="50" t="n">
        <x:f>COUNTIF($E$7:$E$5006,"&lt;="&amp;F13)/COUNT($E$7:$E$5006)</x:f>
        <x:v>0.8044</x:v>
      </x:c>
      <x:c r="H13" s="51" t="n">
        <x:f>IF('Datos'!$B$26=0,IF(F13&gt;=0,1,0),IF(F13&lt;=-'Datos'!$B$26^3/3,0,2*NORM.S.DIST(SQRT(3*F13/'Datos'!$B$26^3+1),TRUE)-1))</x:f>
        <x:v>0.8181742228691915</x:v>
      </x:c>
      <x:c r="I13" s="52" t="str">
        <x:f>TEXT(F13,"0.00")</x:f>
        <x:v>0.26</x:v>
      </x:c>
    </x:row>
    <x:row r="14" ht="22" customHeight="1">
      <x:c r="A14" s="2" t="n">
        <x:v>8</x:v>
      </x:c>
      <x:c r="B14" s="79" t="n">
        <x:v>-0.23028506948583086</x:v>
      </x:c>
      <x:c r="C14" s="46" t="n">
        <x:f>B14^2</x:f>
        <x:v>0.05303121322809395</x:v>
      </x:c>
      <x:c r="D14" s="47" t="n">
        <x:f>'Datos'!$B$26^3/3</x:f>
        <x:v>0.3333333333333333</x:v>
      </x:c>
      <x:c r="E14" s="46" t="n">
        <x:f>D14*(C14-1)</x:f>
        <x:v>-0.31565626225730203</x:v>
      </x:c>
      <x:c r="F14" s="49" t="n">
        <x:f>'E2 Ito'!$D$18+7/40*(MAX($E$7:$E$5006)-'E2 Ito'!$D$18)</x:f>
        <x:v>0.3599146237957625</x:v>
      </x:c>
      <x:c r="G14" s="50" t="n">
        <x:f>COUNTIF($E$7:$E$5006,"&lt;="&amp;F14)/COUNT($E$7:$E$5006)</x:f>
        <x:v>0.843</x:v>
      </x:c>
      <x:c r="H14" s="51" t="n">
        <x:f>IF('Datos'!$B$26=0,IF(F14&gt;=0,1,0),IF(F14&lt;=-'Datos'!$B$26^3/3,0,2*NORM.S.DIST(SQRT(3*F14/'Datos'!$B$26^3+1),TRUE)-1))</x:f>
        <x:v>0.850734779239992</x:v>
      </x:c>
      <x:c r="I14" s="52" t="str">
        <x:f>TEXT(F14,"0.00")</x:f>
        <x:v>0.36</x:v>
      </x:c>
    </x:row>
    <x:row r="15" ht="22" customHeight="1">
      <x:c r="A15" s="2" t="n">
        <x:v>9</x:v>
      </x:c>
      <x:c r="B15" s="79" t="n">
        <x:v>0.933353766100879</x:v>
      </x:c>
      <x:c r="C15" s="46" t="n">
        <x:f>B15^2</x:f>
        <x:v>0.8711492526946942</x:v>
      </x:c>
      <x:c r="D15" s="47" t="n">
        <x:f>'Datos'!$B$26^3/3</x:f>
        <x:v>0.3333333333333333</x:v>
      </x:c>
      <x:c r="E15" s="46" t="n">
        <x:f>D15*(C15-1)</x:f>
        <x:v>-0.04295024910176859</x:v>
      </x:c>
      <x:c r="F15" s="49" t="n">
        <x:f>'E2 Ito'!$D$18+8/40*(MAX($E$7:$E$5006)-'E2 Ito'!$D$18)</x:f>
        <x:v>0.4589500462427763</x:v>
      </x:c>
      <x:c r="G15" s="50" t="n">
        <x:f>COUNTIF($E$7:$E$5006,"&lt;="&amp;F15)/COUNT($E$7:$E$5006)</x:f>
        <x:v>0.8702</x:v>
      </x:c>
      <x:c r="H15" s="51" t="n">
        <x:f>IF('Datos'!$B$26=0,IF(F15&gt;=0,1,0),IF(F15&lt;=-'Datos'!$B$26^3/3,0,2*NORM.S.DIST(SQRT(3*F15/'Datos'!$B$26^3+1),TRUE)-1))</x:f>
        <x:v>0.8768543749749729</x:v>
      </x:c>
      <x:c r="I15" s="52" t="str">
        <x:f>TEXT(F15,"0.00")</x:f>
        <x:v>0.46</x:v>
      </x:c>
    </x:row>
    <x:row r="16" ht="22" customHeight="1">
      <x:c r="A16" s="2" t="n">
        <x:v>10</x:v>
      </x:c>
      <x:c r="B16" s="79" t="n">
        <x:v>0.4019241431371779</x:v>
      </x:c>
      <x:c r="C16" s="46" t="n">
        <x:f>B16^2</x:f>
        <x:v>0.16154301683655467</x:v>
      </x:c>
      <x:c r="D16" s="47" t="n">
        <x:f>'Datos'!$B$26^3/3</x:f>
        <x:v>0.3333333333333333</x:v>
      </x:c>
      <x:c r="E16" s="46" t="n">
        <x:f>D16*(C16-1)</x:f>
        <x:v>-0.27948566105448175</x:v>
      </x:c>
      <x:c r="F16" s="49" t="n">
        <x:f>'E2 Ito'!$D$18+9/40*(MAX($E$7:$E$5006)-'E2 Ito'!$D$18)</x:f>
        <x:v>0.55798546868979</x:v>
      </x:c>
      <x:c r="G16" s="50" t="n">
        <x:f>COUNTIF($E$7:$E$5006,"&lt;="&amp;F16)/COUNT($E$7:$E$5006)</x:f>
        <x:v>0.8946</x:v>
      </x:c>
      <x:c r="H16" s="51" t="n">
        <x:f>IF('Datos'!$B$26=0,IF(F16&gt;=0,1,0),IF(F16&lt;=-'Datos'!$B$26^3/3,0,2*NORM.S.DIST(SQRT(3*F16/'Datos'!$B$26^3+1),TRUE)-1))</x:f>
        <x:v>0.8979978292172288</x:v>
      </x:c>
      <x:c r="I16" s="52" t="str">
        <x:f>TEXT(F16,"0.00")</x:f>
        <x:v>0.56</x:v>
      </x:c>
    </x:row>
    <x:row r="17" ht="22" customHeight="1">
      <x:c r="A17" s="2" t="n">
        <x:v>11</x:v>
      </x:c>
      <x:c r="B17" s="79" t="n">
        <x:v>0.7413349446660409</x:v>
      </x:c>
      <x:c r="C17" s="46" t="n">
        <x:f>B17^2</x:f>
        <x:v>0.5495775001830019</x:v>
      </x:c>
      <x:c r="D17" s="47" t="n">
        <x:f>'Datos'!$B$26^3/3</x:f>
        <x:v>0.3333333333333333</x:v>
      </x:c>
      <x:c r="E17" s="46" t="n">
        <x:f>D17*(C17-1)</x:f>
        <x:v>-0.15014083327233269</x:v>
      </x:c>
      <x:c r="F17" s="49" t="n">
        <x:f>'E2 Ito'!$D$18+10/40*(MAX($E$7:$E$5006)-'E2 Ito'!$D$18)</x:f>
        <x:v>0.6570208911368036</x:v>
      </x:c>
      <x:c r="G17" s="50" t="n">
        <x:f>COUNTIF($E$7:$E$5006,"&lt;="&amp;F17)/COUNT($E$7:$E$5006)</x:f>
        <x:v>0.9126</x:v>
      </x:c>
      <x:c r="H17" s="51" t="n">
        <x:f>IF('Datos'!$B$26=0,IF(F17&gt;=0,1,0),IF(F17&lt;=-'Datos'!$B$26^3/3,0,2*NORM.S.DIST(SQRT(3*F17/'Datos'!$B$26^3+1),TRUE)-1))</x:f>
        <x:v>0.9152338449454298</x:v>
      </x:c>
      <x:c r="I17" s="52" t="str">
        <x:f>TEXT(F17,"0.00")</x:f>
        <x:v>0.66</x:v>
      </x:c>
    </x:row>
    <x:row r="18" ht="22" customHeight="1">
      <x:c r="A18" s="2" t="n">
        <x:v>12</x:v>
      </x:c>
      <x:c r="B18" s="79" t="n">
        <x:v>-0.21220592819986964</x:v>
      </x:c>
      <x:c r="C18" s="46" t="n">
        <x:f>B18^2</x:f>
        <x:v>0.04503135596316823</x:v>
      </x:c>
      <x:c r="D18" s="47" t="n">
        <x:f>'Datos'!$B$26^3/3</x:f>
        <x:v>0.3333333333333333</x:v>
      </x:c>
      <x:c r="E18" s="46" t="n">
        <x:f>D18*(C18-1)</x:f>
        <x:v>-0.3183228813456106</x:v>
      </x:c>
      <x:c r="F18" s="49" t="n">
        <x:f>'E2 Ito'!$D$18+11/40*(MAX($E$7:$E$5006)-'E2 Ito'!$D$18)</x:f>
        <x:v>0.7560563135838174</x:v>
      </x:c>
      <x:c r="G18" s="50" t="n">
        <x:f>COUNTIF($E$7:$E$5006,"&lt;="&amp;F18)/COUNT($E$7:$E$5006)</x:f>
        <x:v>0.9262</x:v>
      </x:c>
      <x:c r="H18" s="51" t="n">
        <x:f>IF('Datos'!$B$26=0,IF(F18&gt;=0,1,0),IF(F18&lt;=-'Datos'!$B$26^3/3,0,2*NORM.S.DIST(SQRT(3*F18/'Datos'!$B$26^3+1),TRUE)-1))</x:f>
        <x:v>0.9293635762748473</x:v>
      </x:c>
      <x:c r="I18" s="52" t="str">
        <x:f>TEXT(F18,"0.00")</x:f>
        <x:v>0.76</x:v>
      </x:c>
    </x:row>
    <x:row r="19" ht="22" customHeight="1">
      <x:c r="A19" s="2" t="n">
        <x:v>13</x:v>
      </x:c>
      <x:c r="B19" s="79" t="n">
        <x:v>0.3846960853717952</x:v>
      </x:c>
      <x:c r="C19" s="46" t="n">
        <x:f>B19^2</x:f>
        <x:v>0.14799107810038356</x:v>
      </x:c>
      <x:c r="D19" s="47" t="n">
        <x:f>'Datos'!$B$26^3/3</x:f>
        <x:v>0.3333333333333333</x:v>
      </x:c>
      <x:c r="E19" s="46" t="n">
        <x:f>D19*(C19-1)</x:f>
        <x:v>-0.2840029739665388</x:v>
      </x:c>
      <x:c r="F19" s="49" t="n">
        <x:f>'E2 Ito'!$D$18+12/40*(MAX($E$7:$E$5006)-'E2 Ito'!$D$18)</x:f>
        <x:v>0.855091736030831</x:v>
      </x:c>
      <x:c r="G19" s="50" t="n">
        <x:f>COUNTIF($E$7:$E$5006,"&lt;="&amp;F19)/COUNT($E$7:$E$5006)</x:f>
        <x:v>0.938</x:v>
      </x:c>
      <x:c r="H19" s="51" t="n">
        <x:f>IF('Datos'!$B$26=0,IF(F19&gt;=0,1,0),IF(F19&lt;=-'Datos'!$B$26^3/3,0,2*NORM.S.DIST(SQRT(3*F19/'Datos'!$B$26^3+1),TRUE)-1))</x:f>
        <x:v>0.9410000401648824</x:v>
      </x:c>
      <x:c r="I19" s="52" t="str">
        <x:f>TEXT(F19,"0.00")</x:f>
        <x:v>0.86</x:v>
      </x:c>
    </x:row>
    <x:row r="20" ht="22" customHeight="1">
      <x:c r="A20" s="2" t="n">
        <x:v>14</x:v>
      </x:c>
      <x:c r="B20" s="79" t="n">
        <x:v>1.946481997418083</x:v>
      </x:c>
      <x:c r="C20" s="46" t="n">
        <x:f>B20^2</x:f>
        <x:v>3.7887921662726898</x:v>
      </x:c>
      <x:c r="D20" s="47" t="n">
        <x:f>'Datos'!$B$26^3/3</x:f>
        <x:v>0.3333333333333333</x:v>
      </x:c>
      <x:c r="E20" s="46" t="n">
        <x:f>D20*(C20-1)</x:f>
        <x:v>0.9295973887575633</x:v>
      </x:c>
      <x:c r="F20" s="49" t="n">
        <x:f>'E2 Ito'!$D$18+13/40*(MAX($E$7:$E$5006)-'E2 Ito'!$D$18)</x:f>
        <x:v>0.9541271584778448</x:v>
      </x:c>
      <x:c r="G20" s="50" t="n">
        <x:f>COUNTIF($E$7:$E$5006,"&lt;="&amp;F20)/COUNT($E$7:$E$5006)</x:f>
        <x:v>0.9496</x:v>
      </x:c>
      <x:c r="H20" s="51" t="n">
        <x:f>IF('Datos'!$B$26=0,IF(F20&gt;=0,1,0),IF(F20&lt;=-'Datos'!$B$26^3/3,0,2*NORM.S.DIST(SQRT(3*F20/'Datos'!$B$26^3+1),TRUE)-1))</x:f>
        <x:v>0.9506198088786173</x:v>
      </x:c>
      <x:c r="I20" s="52" t="str">
        <x:f>TEXT(F20,"0.00")</x:f>
        <x:v>0.95</x:v>
      </x:c>
    </x:row>
    <x:row r="21" ht="22" customHeight="1">
      <x:c r="A21" s="2" t="n">
        <x:v>15</x:v>
      </x:c>
      <x:c r="B21" s="79" t="n">
        <x:v>-0.8485944491349604</x:v>
      </x:c>
      <x:c r="C21" s="46" t="n">
        <x:f>B21^2</x:f>
        <x:v>0.7201125391026669</x:v>
      </x:c>
      <x:c r="D21" s="47" t="n">
        <x:f>'Datos'!$B$26^3/3</x:f>
        <x:v>0.3333333333333333</x:v>
      </x:c>
      <x:c r="E21" s="46" t="n">
        <x:f>D21*(C21-1)</x:f>
        <x:v>-0.09329582029911102</x:v>
      </x:c>
      <x:c r="F21" s="49" t="n">
        <x:f>'E2 Ito'!$D$18+14/40*(MAX($E$7:$E$5006)-'E2 Ito'!$D$18)</x:f>
        <x:v>1.0531625809248584</x:v>
      </x:c>
      <x:c r="G21" s="50" t="n">
        <x:f>COUNTIF($E$7:$E$5006,"&lt;="&amp;F21)/COUNT($E$7:$E$5006)</x:f>
        <x:v>0.958</x:v>
      </x:c>
      <x:c r="H21" s="51" t="n">
        <x:f>IF('Datos'!$B$26=0,IF(F21&gt;=0,1,0),IF(F21&lt;=-'Datos'!$B$26^3/3,0,2*NORM.S.DIST(SQRT(3*F21/'Datos'!$B$26^3+1),TRUE)-1))</x:f>
        <x:v>0.9585980764627113</x:v>
      </x:c>
      <x:c r="I21" s="52" t="str">
        <x:f>TEXT(F21,"0.00")</x:f>
        <x:v>1.05</x:v>
      </x:c>
    </x:row>
    <x:row r="22" ht="22" customHeight="1">
      <x:c r="A22" s="2" t="n">
        <x:v>16</x:v>
      </x:c>
      <x:c r="B22" s="79" t="n">
        <x:v>1.732772366819117</x:v>
      </x:c>
      <x:c r="C22" s="46" t="n">
        <x:f>B22^2</x:f>
        <x:v>3.0025000752119246</x:v>
      </x:c>
      <x:c r="D22" s="47" t="n">
        <x:f>'Datos'!$B$26^3/3</x:f>
        <x:v>0.3333333333333333</x:v>
      </x:c>
      <x:c r="E22" s="46" t="n">
        <x:f>D22*(C22-1)</x:f>
        <x:v>0.6675000250706415</x:v>
      </x:c>
      <x:c r="F22" s="49" t="n">
        <x:f>'E2 Ito'!$D$18+15/40*(MAX($E$7:$E$5006)-'E2 Ito'!$D$18)</x:f>
        <x:v>1.1521980033718722</x:v>
      </x:c>
      <x:c r="G22" s="50" t="n">
        <x:f>COUNTIF($E$7:$E$5006,"&lt;="&amp;F22)/COUNT($E$7:$E$5006)</x:f>
        <x:v>0.9652</x:v>
      </x:c>
      <x:c r="H22" s="51" t="n">
        <x:f>IF('Datos'!$B$26=0,IF(F22&gt;=0,1,0),IF(F22&lt;=-'Datos'!$B$26^3/3,0,2*NORM.S.DIST(SQRT(3*F22/'Datos'!$B$26^3+1),TRUE)-1))</x:f>
        <x:v>0.9652332457273034</x:v>
      </x:c>
      <x:c r="I22" s="52" t="str">
        <x:f>TEXT(F22,"0.00")</x:f>
        <x:v>1.15</x:v>
      </x:c>
    </x:row>
    <x:row r="23" ht="22" customHeight="1">
      <x:c r="A23" s="2" t="n">
        <x:v>17</x:v>
      </x:c>
      <x:c r="B23" s="79" t="n">
        <x:v>-0.10227542682478855</x:v>
      </x:c>
      <x:c r="C23" s="46" t="n">
        <x:f>B23^2</x:f>
        <x:v>0.010460262932192677</x:v>
      </x:c>
      <x:c r="D23" s="47" t="n">
        <x:f>'Datos'!$B$26^3/3</x:f>
        <x:v>0.3333333333333333</x:v>
      </x:c>
      <x:c r="E23" s="46" t="n">
        <x:f>D23*(C23-1)</x:f>
        <x:v>-0.3298465790226024</x:v>
      </x:c>
      <x:c r="F23" s="49" t="n">
        <x:f>'E2 Ito'!$D$18+16/40*(MAX($E$7:$E$5006)-'E2 Ito'!$D$18)</x:f>
        <x:v>1.251233425818886</x:v>
      </x:c>
      <x:c r="G23" s="50" t="n">
        <x:f>COUNTIF($E$7:$E$5006,"&lt;="&amp;F23)/COUNT($E$7:$E$5006)</x:f>
        <x:v>0.9702</x:v>
      </x:c>
      <x:c r="H23" s="51" t="n">
        <x:f>IF('Datos'!$B$26=0,IF(F23&gt;=0,1,0),IF(F23&lt;=-'Datos'!$B$26^3/3,0,2*NORM.S.DIST(SQRT(3*F23/'Datos'!$B$26^3+1),TRUE)-1))</x:f>
        <x:v>0.970764636204807</x:v>
      </x:c>
      <x:c r="I23" s="52" t="str">
        <x:f>TEXT(F23,"0.00")</x:f>
        <x:v>1.25</x:v>
      </x:c>
    </x:row>
    <x:row r="24" ht="22" customHeight="1">
      <x:c r="A24" s="2" t="n">
        <x:v>18</x:v>
      </x:c>
      <x:c r="B24" s="79" t="n">
        <x:v>-2.490093784632568</x:v>
      </x:c>
      <x:c r="C24" s="46" t="n">
        <x:f>B24^2</x:f>
        <x:v>6.200567056265746</x:v>
      </x:c>
      <x:c r="D24" s="47" t="n">
        <x:f>'Datos'!$B$26^3/3</x:f>
        <x:v>0.3333333333333333</x:v>
      </x:c>
      <x:c r="E24" s="46" t="n">
        <x:f>D24*(C24-1)</x:f>
        <x:v>1.733522352088582</x:v>
      </x:c>
      <x:c r="F24" s="49" t="n">
        <x:f>'E2 Ito'!$D$18+17/40*(MAX($E$7:$E$5006)-'E2 Ito'!$D$18)</x:f>
        <x:v>1.3502688482658995</x:v>
      </x:c>
      <x:c r="G24" s="50" t="n">
        <x:f>COUNTIF($E$7:$E$5006,"&lt;="&amp;F24)/COUNT($E$7:$E$5006)</x:f>
        <x:v>0.974</x:v>
      </x:c>
      <x:c r="H24" s="51" t="n">
        <x:f>IF('Datos'!$B$26=0,IF(F24&gt;=0,1,0),IF(F24&lt;=-'Datos'!$B$26^3/3,0,2*NORM.S.DIST(SQRT(3*F24/'Datos'!$B$26^3+1),TRUE)-1))</x:f>
        <x:v>0.9753855219271821</x:v>
      </x:c>
      <x:c r="I24" s="52" t="str">
        <x:f>TEXT(F24,"0.00")</x:f>
        <x:v>1.35</x:v>
      </x:c>
    </x:row>
    <x:row r="25" ht="22" customHeight="1">
      <x:c r="A25" s="2" t="n">
        <x:v>19</x:v>
      </x:c>
      <x:c r="B25" s="79" t="n">
        <x:v>-1.486107732076464</x:v>
      </x:c>
      <x:c r="C25" s="46" t="n">
        <x:f>B25^2</x:f>
        <x:v>2.208516191337451</x:v>
      </x:c>
      <x:c r="D25" s="47" t="n">
        <x:f>'Datos'!$B$26^3/3</x:f>
        <x:v>0.3333333333333333</x:v>
      </x:c>
      <x:c r="E25" s="46" t="n">
        <x:f>D25*(C25-1)</x:f>
        <x:v>0.40283873044581703</x:v>
      </x:c>
      <x:c r="F25" s="49" t="n">
        <x:f>'E2 Ito'!$D$18+18/40*(MAX($E$7:$E$5006)-'E2 Ito'!$D$18)</x:f>
        <x:v>1.4493042707129133</x:v>
      </x:c>
      <x:c r="G25" s="50" t="n">
        <x:f>COUNTIF($E$7:$E$5006,"&lt;="&amp;F25)/COUNT($E$7:$E$5006)</x:f>
        <x:v>0.9782</x:v>
      </x:c>
      <x:c r="H25" s="51" t="n">
        <x:f>IF('Datos'!$B$26=0,IF(F25&gt;=0,1,0),IF(F25&lt;=-'Datos'!$B$26^3/3,0,2*NORM.S.DIST(SQRT(3*F25/'Datos'!$B$26^3+1),TRUE)-1))</x:f>
        <x:v>0.979252907910412</x:v>
      </x:c>
      <x:c r="I25" s="52" t="str">
        <x:f>TEXT(F25,"0.00")</x:f>
        <x:v>1.45</x:v>
      </x:c>
    </x:row>
    <x:row r="26" ht="22" customHeight="1">
      <x:c r="A26" s="2" t="n">
        <x:v>20</x:v>
      </x:c>
      <x:c r="B26" s="79" t="n">
        <x:v>0.15822632912688503</x:v>
      </x:c>
      <x:c r="C26" s="46" t="n">
        <x:f>B26^2</x:f>
        <x:v>0.025035571228969346</x:v>
      </x:c>
      <x:c r="D26" s="47" t="n">
        <x:f>'Datos'!$B$26^3/3</x:f>
        <x:v>0.3333333333333333</x:v>
      </x:c>
      <x:c r="E26" s="46" t="n">
        <x:f>D26*(C26-1)</x:f>
        <x:v>-0.32498814292367684</x:v>
      </x:c>
      <x:c r="F26" s="49" t="n">
        <x:f>'E2 Ito'!$D$18+19/40*(MAX($E$7:$E$5006)-'E2 Ito'!$D$18)</x:f>
        <x:v>1.548339693159927</x:v>
      </x:c>
      <x:c r="G26" s="50" t="n">
        <x:f>COUNTIF($E$7:$E$5006,"&lt;="&amp;F26)/COUNT($E$7:$E$5006)</x:f>
        <x:v>0.9816</x:v>
      </x:c>
      <x:c r="H26" s="51" t="n">
        <x:f>IF('Datos'!$B$26=0,IF(F26&gt;=0,1,0),IF(F26&lt;=-'Datos'!$B$26^3/3,0,2*NORM.S.DIST(SQRT(3*F26/'Datos'!$B$26^3+1),TRUE)-1))</x:f>
        <x:v>0.9824949742943505</x:v>
      </x:c>
      <x:c r="I26" s="52" t="str">
        <x:f>TEXT(F26,"0.00")</x:f>
        <x:v>1.55</x:v>
      </x:c>
    </x:row>
    <x:row r="27" ht="22" customHeight="1">
      <x:c r="A27" s="2" t="n">
        <x:v>21</x:v>
      </x:c>
      <x:c r="B27" s="79" t="n">
        <x:v>-0.7267533040745996</x:v>
      </x:c>
      <x:c r="C27" s="46" t="n">
        <x:f>B27^2</x:f>
        <x:v>0.5281703649833475</x:v>
      </x:c>
      <x:c r="D27" s="47" t="n">
        <x:f>'Datos'!$B$26^3/3</x:f>
        <x:v>0.3333333333333333</x:v>
      </x:c>
      <x:c r="E27" s="46" t="n">
        <x:f>D27*(C27-1)</x:f>
        <x:v>-0.15727654500555083</x:v>
      </x:c>
      <x:c r="F27" s="49" t="n">
        <x:f>'E2 Ito'!$D$18+20/40*(MAX($E$7:$E$5006)-'E2 Ito'!$D$18)</x:f>
        <x:v>1.6473751156069407</x:v>
      </x:c>
      <x:c r="G27" s="50" t="n">
        <x:f>COUNTIF($E$7:$E$5006,"&lt;="&amp;F27)/COUNT($E$7:$E$5006)</x:f>
        <x:v>0.985</x:v>
      </x:c>
      <x:c r="H27" s="51" t="n">
        <x:f>IF('Datos'!$B$26=0,IF(F27&gt;=0,1,0),IF(F27&lt;=-'Datos'!$B$26^3/3,0,2*NORM.S.DIST(SQRT(3*F27/'Datos'!$B$26^3+1),TRUE)-1))</x:f>
        <x:v>0.9852168183378698</x:v>
      </x:c>
      <x:c r="I27" s="52" t="str">
        <x:f>TEXT(F27,"0.00")</x:f>
        <x:v>1.65</x:v>
      </x:c>
    </x:row>
    <x:row r="28" ht="22" customHeight="1">
      <x:c r="A28" s="2" t="n">
        <x:v>22</x:v>
      </x:c>
      <x:c r="B28" s="79" t="n">
        <x:v>-1.965142838463868</x:v>
      </x:c>
      <x:c r="C28" s="46" t="n">
        <x:f>B28^2</x:f>
        <x:v>3.861786375565828</x:v>
      </x:c>
      <x:c r="D28" s="47" t="n">
        <x:f>'Datos'!$B$26^3/3</x:f>
        <x:v>0.3333333333333333</x:v>
      </x:c>
      <x:c r="E28" s="46" t="n">
        <x:f>D28*(C28-1)</x:f>
        <x:v>0.953928791855276</x:v>
      </x:c>
      <x:c r="F28" s="49" t="n">
        <x:f>'E2 Ito'!$D$18+21/40*(MAX($E$7:$E$5006)-'E2 Ito'!$D$18)</x:f>
        <x:v>1.7464105380539545</x:v>
      </x:c>
      <x:c r="G28" s="50" t="n">
        <x:f>COUNTIF($E$7:$E$5006,"&lt;="&amp;F28)/COUNT($E$7:$E$5006)</x:f>
        <x:v>0.9878</x:v>
      </x:c>
      <x:c r="H28" s="51" t="n">
        <x:f>IF('Datos'!$B$26=0,IF(F28&gt;=0,1,0),IF(F28&lt;=-'Datos'!$B$26^3/3,0,2*NORM.S.DIST(SQRT(3*F28/'Datos'!$B$26^3+1),TRUE)-1))</x:f>
        <x:v>0.987504932461235</x:v>
      </x:c>
      <x:c r="I28" s="52" t="str">
        <x:f>TEXT(F28,"0.00")</x:f>
        <x:v>1.75</x:v>
      </x:c>
    </x:row>
    <x:row r="29" ht="22" customHeight="1">
      <x:c r="A29" s="2" t="n">
        <x:v>23</x:v>
      </x:c>
      <x:c r="B29" s="79" t="n">
        <x:v>1.6004387747485807</x:v>
      </x:c>
      <x:c r="C29" s="46" t="n">
        <x:f>B29^2</x:f>
        <x:v>2.561404271718738</x:v>
      </x:c>
      <x:c r="D29" s="47" t="n">
        <x:f>'Datos'!$B$26^3/3</x:f>
        <x:v>0.3333333333333333</x:v>
      </x:c>
      <x:c r="E29" s="46" t="n">
        <x:f>D29*(C29-1)</x:f>
        <x:v>0.5204680905729127</x:v>
      </x:c>
      <x:c r="F29" s="49" t="n">
        <x:f>'E2 Ito'!$D$18+22/40*(MAX($E$7:$E$5006)-'E2 Ito'!$D$18)</x:f>
        <x:v>1.845445960500968</x:v>
      </x:c>
      <x:c r="G29" s="50" t="n">
        <x:f>COUNTIF($E$7:$E$5006,"&lt;="&amp;F29)/COUNT($E$7:$E$5006)</x:f>
        <x:v>0.9896</x:v>
      </x:c>
      <x:c r="H29" s="51" t="n">
        <x:f>IF('Datos'!$B$26=0,IF(F29&gt;=0,1,0),IF(F29&lt;=-'Datos'!$B$26^3/3,0,2*NORM.S.DIST(SQRT(3*F29/'Datos'!$B$26^3+1),TRUE)-1))</x:f>
        <x:v>0.9894307296165792</x:v>
      </x:c>
      <x:c r="I29" s="52" t="str">
        <x:f>TEXT(F29,"0.00")</x:f>
        <x:v>1.85</x:v>
      </x:c>
    </x:row>
    <x:row r="30" ht="22" customHeight="1">
      <x:c r="A30" s="2" t="n">
        <x:v>24</x:v>
      </x:c>
      <x:c r="B30" s="79" t="n">
        <x:v>-1.1583397806813158</x:v>
      </x:c>
      <x:c r="C30" s="46" t="n">
        <x:f>B30^2</x:f>
        <x:v>1.3417510475088388</x:v>
      </x:c>
      <x:c r="D30" s="47" t="n">
        <x:f>'Datos'!$B$26^3/3</x:f>
        <x:v>0.3333333333333333</x:v>
      </x:c>
      <x:c r="E30" s="46" t="n">
        <x:f>D30*(C30-1)</x:f>
        <x:v>0.11391701583627958</x:v>
      </x:c>
      <x:c r="F30" s="49" t="n">
        <x:f>'E2 Ito'!$D$18+23/40*(MAX($E$7:$E$5006)-'E2 Ito'!$D$18)</x:f>
        <x:v>1.9444813829479817</x:v>
      </x:c>
      <x:c r="G30" s="50" t="n">
        <x:f>COUNTIF($E$7:$E$5006,"&lt;="&amp;F30)/COUNT($E$7:$E$5006)</x:f>
        <x:v>0.991</x:v>
      </x:c>
      <x:c r="H30" s="51" t="n">
        <x:f>IF('Datos'!$B$26=0,IF(F30&gt;=0,1,0),IF(F30&lt;=-'Datos'!$B$26^3/3,0,2*NORM.S.DIST(SQRT(3*F30/'Datos'!$B$26^3+1),TRUE)-1))</x:f>
        <x:v>0.9910533412875857</x:v>
      </x:c>
      <x:c r="I30" s="52" t="str">
        <x:f>TEXT(F30,"0.00")</x:f>
        <x:v>1.94</x:v>
      </x:c>
    </x:row>
    <x:row r="31" ht="22" customHeight="1">
      <x:c r="A31" s="2" t="n">
        <x:v>25</x:v>
      </x:c>
      <x:c r="B31" s="79" t="n">
        <x:v>-0.18576149638212566</x:v>
      </x:c>
      <x:c r="C31" s="46" t="n">
        <x:f>B31^2</x:f>
        <x:v>0.03450733353812649</x:v>
      </x:c>
      <x:c r="D31" s="47" t="n">
        <x:f>'Datos'!$B$26^3/3</x:f>
        <x:v>0.3333333333333333</x:v>
      </x:c>
      <x:c r="E31" s="46" t="n">
        <x:f>D31*(C31-1)</x:f>
        <x:v>-0.3218308888206245</x:v>
      </x:c>
      <x:c r="F31" s="49" t="n">
        <x:f>'E2 Ito'!$D$18+24/40*(MAX($E$7:$E$5006)-'E2 Ito'!$D$18)</x:f>
        <x:v>2.043516805394995</x:v>
      </x:c>
      <x:c r="G31" s="50" t="n">
        <x:f>COUNTIF($E$7:$E$5006,"&lt;="&amp;F31)/COUNT($E$7:$E$5006)</x:f>
        <x:v>0.9924</x:v>
      </x:c>
      <x:c r="H31" s="51" t="n">
        <x:f>IF('Datos'!$B$26=0,IF(F31&gt;=0,1,0),IF(F31&lt;=-'Datos'!$B$26^3/3,0,2*NORM.S.DIST(SQRT(3*F31/'Datos'!$B$26^3+1),TRUE)-1))</x:f>
        <x:v>0.9924218538836853</x:v>
      </x:c>
      <x:c r="I31" s="52" t="str">
        <x:f>TEXT(F31,"0.00")</x:f>
        <x:v>2.04</x:v>
      </x:c>
    </x:row>
    <x:row r="32" ht="22" customHeight="1">
      <x:c r="A32" s="2" t="n">
        <x:v>26</x:v>
      </x:c>
      <x:c r="B32" s="79" t="n">
        <x:v>-0.7040519751279719</x:v>
      </x:c>
      <x:c r="C32" s="46" t="n">
        <x:f>B32^2</x:f>
        <x:v>0.49568918368159837</x:v>
      </x:c>
      <x:c r="D32" s="47" t="n">
        <x:f>'Datos'!$B$26^3/3</x:f>
        <x:v>0.3333333333333333</x:v>
      </x:c>
      <x:c r="E32" s="46" t="n">
        <x:f>D32*(C32-1)</x:f>
        <x:v>-0.16810360543946717</x:v>
      </x:c>
      <x:c r="F32" s="49" t="n">
        <x:f>'E2 Ito'!$D$18+25/40*(MAX($E$7:$E$5006)-'E2 Ito'!$D$18)</x:f>
        <x:v>2.142552227842009</x:v>
      </x:c>
      <x:c r="G32" s="50" t="n">
        <x:f>COUNTIF($E$7:$E$5006,"&lt;="&amp;F32)/COUNT($E$7:$E$5006)</x:f>
        <x:v>0.9942</x:v>
      </x:c>
      <x:c r="H32" s="51" t="n">
        <x:f>IF('Datos'!$B$26=0,IF(F32&gt;=0,1,0),IF(F32&lt;=-'Datos'!$B$26^3/3,0,2*NORM.S.DIST(SQRT(3*F32/'Datos'!$B$26^3+1),TRUE)-1))</x:f>
        <x:v>0.9935771072614095</x:v>
      </x:c>
      <x:c r="I32" s="52" t="str">
        <x:f>TEXT(F32,"0.00")</x:f>
        <x:v>2.14</x:v>
      </x:c>
    </x:row>
    <x:row r="33" ht="22" customHeight="1">
      <x:c r="A33" s="2" t="n">
        <x:v>27</x:v>
      </x:c>
      <x:c r="B33" s="79" t="n">
        <x:v>1.4076144882512196</x:v>
      </x:c>
      <x:c r="C33" s="46" t="n">
        <x:f>B33^2</x:f>
        <x:v>1.9813785475347427</x:v>
      </x:c>
      <x:c r="D33" s="47" t="n">
        <x:f>'Datos'!$B$26^3/3</x:f>
        <x:v>0.3333333333333333</x:v>
      </x:c>
      <x:c r="E33" s="46" t="n">
        <x:f>D33*(C33-1)</x:f>
        <x:v>0.3271261825115809</x:v>
      </x:c>
      <x:c r="F33" s="49" t="n">
        <x:f>'E2 Ito'!$D$18+26/40*(MAX($E$7:$E$5006)-'E2 Ito'!$D$18)</x:f>
        <x:v>2.2415876502890226</x:v>
      </x:c>
      <x:c r="G33" s="50" t="n">
        <x:f>COUNTIF($E$7:$E$5006,"&lt;="&amp;F33)/COUNT($E$7:$E$5006)</x:f>
        <x:v>0.9946</x:v>
      </x:c>
      <x:c r="H33" s="51" t="n">
        <x:f>IF('Datos'!$B$26=0,IF(F33&gt;=0,1,0),IF(F33&lt;=-'Datos'!$B$26^3/3,0,2*NORM.S.DIST(SQRT(3*F33/'Datos'!$B$26^3+1),TRUE)-1))</x:f>
        <x:v>0.9945531489125372</x:v>
      </x:c>
      <x:c r="I33" s="52" t="str">
        <x:f>TEXT(F33,"0.00")</x:f>
        <x:v>2.24</x:v>
      </x:c>
    </x:row>
    <x:row r="34" ht="22" customHeight="1">
      <x:c r="A34" s="2" t="n">
        <x:v>28</x:v>
      </x:c>
      <x:c r="B34" s="79" t="n">
        <x:v>-1.364328862389424</x:v>
      </x:c>
      <x:c r="C34" s="46" t="n">
        <x:f>B34^2</x:f>
        <x:v>1.8613932447488202</x:v>
      </x:c>
      <x:c r="D34" s="47" t="n">
        <x:f>'Datos'!$B$26^3/3</x:f>
        <x:v>0.3333333333333333</x:v>
      </x:c>
      <x:c r="E34" s="46" t="n">
        <x:f>D34*(C34-1)</x:f>
        <x:v>0.28713108158294004</x:v>
      </x:c>
      <x:c r="F34" s="49" t="n">
        <x:f>'E2 Ito'!$D$18+27/40*(MAX($E$7:$E$5006)-'E2 Ito'!$D$18)</x:f>
        <x:v>2.3406230727360366</x:v>
      </x:c>
      <x:c r="G34" s="50" t="n">
        <x:f>COUNTIF($E$7:$E$5006,"&lt;="&amp;F34)/COUNT($E$7:$E$5006)</x:f>
        <x:v>0.9952</x:v>
      </x:c>
      <x:c r="H34" s="51" t="n">
        <x:f>IF('Datos'!$B$26=0,IF(F34&gt;=0,1,0),IF(F34&lt;=-'Datos'!$B$26^3/3,0,2*NORM.S.DIST(SQRT(3*F34/'Datos'!$B$26^3+1),TRUE)-1))</x:f>
        <x:v>0.9953784153327279</x:v>
      </x:c>
      <x:c r="I34" s="52" t="str">
        <x:f>TEXT(F34,"0.00")</x:f>
        <x:v>2.34</x:v>
      </x:c>
    </x:row>
    <x:row r="35" ht="22" customHeight="1">
      <x:c r="A35" s="2" t="n">
        <x:v>29</x:v>
      </x:c>
      <x:c r="B35" s="79" t="n">
        <x:v>-0.7244134781377818</x:v>
      </x:c>
      <x:c r="C35" s="46" t="n">
        <x:f>B35^2</x:f>
        <x:v>0.5247748873076784</x:v>
      </x:c>
      <x:c r="D35" s="47" t="n">
        <x:f>'Datos'!$B$26^3/3</x:f>
        <x:v>0.3333333333333333</x:v>
      </x:c>
      <x:c r="E35" s="46" t="n">
        <x:f>D35*(C35-1)</x:f>
        <x:v>-0.15840837089744053</x:v>
      </x:c>
      <x:c r="F35" s="49" t="n">
        <x:f>'E2 Ito'!$D$18+28/40*(MAX($E$7:$E$5006)-'E2 Ito'!$D$18)</x:f>
        <x:v>2.43965849518305</x:v>
      </x:c>
      <x:c r="G35" s="50" t="n">
        <x:f>COUNTIF($E$7:$E$5006,"&lt;="&amp;F35)/COUNT($E$7:$E$5006)</x:f>
        <x:v>0.9954</x:v>
      </x:c>
      <x:c r="H35" s="51" t="n">
        <x:f>IF('Datos'!$B$26=0,IF(F35&gt;=0,1,0),IF(F35&lt;=-'Datos'!$B$26^3/3,0,2*NORM.S.DIST(SQRT(3*F35/'Datos'!$B$26^3+1),TRUE)-1))</x:f>
        <x:v>0.9960766957924867</x:v>
      </x:c>
      <x:c r="I35" s="52" t="str">
        <x:f>TEXT(F35,"0.00")</x:f>
        <x:v>2.44</x:v>
      </x:c>
    </x:row>
    <x:row r="36" ht="22" customHeight="1">
      <x:c r="A36" s="2" t="n">
        <x:v>30</x:v>
      </x:c>
      <x:c r="B36" s="79" t="n">
        <x:v>2.1410461309243245</x:v>
      </x:c>
      <x:c r="C36" s="46" t="n">
        <x:f>B36^2</x:f>
        <x:v>4.58407853474602</x:v>
      </x:c>
      <x:c r="D36" s="47" t="n">
        <x:f>'Datos'!$B$26^3/3</x:f>
        <x:v>0.3333333333333333</x:v>
      </x:c>
      <x:c r="E36" s="46" t="n">
        <x:f>D36*(C36-1)</x:f>
        <x:v>1.1946928449153398</x:v>
      </x:c>
      <x:c r="F36" s="49" t="n">
        <x:f>'E2 Ito'!$D$18+29/40*(MAX($E$7:$E$5006)-'E2 Ito'!$D$18)</x:f>
        <x:v>2.538693917630064</x:v>
      </x:c>
      <x:c r="G36" s="50" t="n">
        <x:f>COUNTIF($E$7:$E$5006,"&lt;="&amp;F36)/COUNT($E$7:$E$5006)</x:f>
        <x:v>0.9966</x:v>
      </x:c>
      <x:c r="H36" s="51" t="n">
        <x:f>IF('Datos'!$B$26=0,IF(F36&gt;=0,1,0),IF(F36&lt;=-'Datos'!$B$26^3/3,0,2*NORM.S.DIST(SQRT(3*F36/'Datos'!$B$26^3+1),TRUE)-1))</x:f>
        <x:v>0.9966679215313821</x:v>
      </x:c>
      <x:c r="I36" s="52" t="str">
        <x:f>TEXT(F36,"0.00")</x:f>
        <x:v>2.54</x:v>
      </x:c>
    </x:row>
    <x:row r="37" ht="22" customHeight="1">
      <x:c r="A37" s="2" t="n">
        <x:v>31</x:v>
      </x:c>
      <x:c r="B37" s="79" t="n">
        <x:v>1.0208589081778312</x:v>
      </x:c>
      <x:c r="C37" s="46" t="n">
        <x:f>B37^2</x:f>
        <x:v>1.0421529104060336</x:v>
      </x:c>
      <x:c r="D37" s="47" t="n">
        <x:f>'Datos'!$B$26^3/3</x:f>
        <x:v>0.3333333333333333</x:v>
      </x:c>
      <x:c r="E37" s="46" t="n">
        <x:f>D37*(C37-1)</x:f>
        <x:v>0.014050970135344546</x:v>
      </x:c>
      <x:c r="F37" s="49" t="n">
        <x:f>'E2 Ito'!$D$18+30/40*(MAX($E$7:$E$5006)-'E2 Ito'!$D$18)</x:f>
        <x:v>2.6377293400770774</x:v>
      </x:c>
      <x:c r="G37" s="50" t="n">
        <x:f>COUNTIF($E$7:$E$5006,"&lt;="&amp;F37)/COUNT($E$7:$E$5006)</x:f>
        <x:v>0.9968</x:v>
      </x:c>
      <x:c r="H37" s="51" t="n">
        <x:f>IF('Datos'!$B$26=0,IF(F37&gt;=0,1,0),IF(F37&lt;=-'Datos'!$B$26^3/3,0,2*NORM.S.DIST(SQRT(3*F37/'Datos'!$B$26^3+1),TRUE)-1))</x:f>
        <x:v>0.9971688141567867</x:v>
      </x:c>
      <x:c r="I37" s="52" t="str">
        <x:f>TEXT(F37,"0.00")</x:f>
        <x:v>2.64</x:v>
      </x:c>
    </x:row>
    <x:row r="38" ht="22" customHeight="1">
      <x:c r="A38" s="2" t="n">
        <x:v>32</x:v>
      </x:c>
      <x:c r="B38" s="79" t="n">
        <x:v>-0.6006235950025617</x:v>
      </x:c>
      <x:c r="C38" s="46" t="n">
        <x:f>B38^2</x:f>
        <x:v>0.36074870287380123</x:v>
      </x:c>
      <x:c r="D38" s="47" t="n">
        <x:f>'Datos'!$B$26^3/3</x:f>
        <x:v>0.3333333333333333</x:v>
      </x:c>
      <x:c r="E38" s="46" t="n">
        <x:f>D38*(C38-1)</x:f>
        <x:v>-0.21308376570873291</x:v>
      </x:c>
      <x:c r="F38" s="49" t="n">
        <x:f>'E2 Ito'!$D$18+31/40*(MAX($E$7:$E$5006)-'E2 Ito'!$D$18)</x:f>
        <x:v>2.7367647625240914</x:v>
      </x:c>
      <x:c r="G38" s="50" t="n">
        <x:f>COUNTIF($E$7:$E$5006,"&lt;="&amp;F38)/COUNT($E$7:$E$5006)</x:f>
        <x:v>0.9974</x:v>
      </x:c>
      <x:c r="H38" s="51" t="n">
        <x:f>IF('Datos'!$B$26=0,IF(F38&gt;=0,1,0),IF(F38&lt;=-'Datos'!$B$26^3/3,0,2*NORM.S.DIST(SQRT(3*F38/'Datos'!$B$26^3+1),TRUE)-1))</x:f>
        <x:v>0.9975934199608316</x:v>
      </x:c>
      <x:c r="I38" s="52" t="str">
        <x:f>TEXT(F38,"0.00")</x:f>
        <x:v>2.74</x:v>
      </x:c>
    </x:row>
    <x:row r="39" ht="22" customHeight="1">
      <x:c r="A39" s="2" t="n">
        <x:v>33</x:v>
      </x:c>
      <x:c r="B39" s="79" t="n">
        <x:v>0.16171214818042523</x:v>
      </x:c>
      <x:c r="C39" s="46" t="n">
        <x:f>B39^2</x:f>
        <x:v>0.026150818869127807</x:v>
      </x:c>
      <x:c r="D39" s="47" t="n">
        <x:f>'Datos'!$B$26^3/3</x:f>
        <x:v>0.3333333333333333</x:v>
      </x:c>
      <x:c r="E39" s="46" t="n">
        <x:f>D39*(C39-1)</x:f>
        <x:v>-0.3246163937102907</x:v>
      </x:c>
      <x:c r="F39" s="49" t="n">
        <x:f>'E2 Ito'!$D$18+32/40*(MAX($E$7:$E$5006)-'E2 Ito'!$D$18)</x:f>
        <x:v>2.835800184971105</x:v>
      </x:c>
      <x:c r="G39" s="50" t="n">
        <x:f>COUNTIF($E$7:$E$5006,"&lt;="&amp;F39)/COUNT($E$7:$E$5006)</x:f>
        <x:v>0.998</x:v>
      </x:c>
      <x:c r="H39" s="51" t="n">
        <x:f>IF('Datos'!$B$26=0,IF(F39&gt;=0,1,0),IF(F39&lt;=-'Datos'!$B$26^3/3,0,2*NORM.S.DIST(SQRT(3*F39/'Datos'!$B$26^3+1),TRUE)-1))</x:f>
        <x:v>0.9979535514140592</x:v>
      </x:c>
      <x:c r="I39" s="52" t="str">
        <x:f>TEXT(F39,"0.00")</x:f>
        <x:v>2.84</x:v>
      </x:c>
    </x:row>
    <x:row r="40" ht="22" customHeight="1">
      <x:c r="A40" s="2" t="n">
        <x:v>34</x:v>
      </x:c>
      <x:c r="B40" s="79" t="n">
        <x:v>-1.9323933468555528</x:v>
      </x:c>
      <x:c r="C40" s="46" t="n">
        <x:f>B40^2</x:f>
        <x:v>3.7341440469716045</x:v>
      </x:c>
      <x:c r="D40" s="47" t="n">
        <x:f>'Datos'!$B$26^3/3</x:f>
        <x:v>0.3333333333333333</x:v>
      </x:c>
      <x:c r="E40" s="46" t="n">
        <x:f>D40*(C40-1)</x:f>
        <x:v>0.9113813489905348</x:v>
      </x:c>
      <x:c r="F40" s="49" t="n">
        <x:f>'E2 Ito'!$D$18+33/40*(MAX($E$7:$E$5006)-'E2 Ito'!$D$18)</x:f>
        <x:v>2.9348356074181186</x:v>
      </x:c>
      <x:c r="G40" s="50" t="n">
        <x:f>COUNTIF($E$7:$E$5006,"&lt;="&amp;F40)/COUNT($E$7:$E$5006)</x:f>
        <x:v>0.9982</x:v>
      </x:c>
      <x:c r="H40" s="51" t="n">
        <x:f>IF('Datos'!$B$26=0,IF(F40&gt;=0,1,0),IF(F40&lt;=-'Datos'!$B$26^3/3,0,2*NORM.S.DIST(SQRT(3*F40/'Datos'!$B$26^3+1),TRUE)-1))</x:f>
        <x:v>0.998259152849182</x:v>
      </x:c>
      <x:c r="I40" s="52" t="str">
        <x:f>TEXT(F40,"0.00")</x:f>
        <x:v>2.93</x:v>
      </x:c>
    </x:row>
    <x:row r="41" ht="22" customHeight="1">
      <x:c r="A41" s="2" t="n">
        <x:v>35</x:v>
      </x:c>
      <x:c r="B41" s="79" t="n">
        <x:v>0.1497437074140902</x:v>
      </x:c>
      <x:c r="C41" s="46" t="n">
        <x:f>B41^2</x:f>
        <x:v>0.022423177910116655</x:v>
      </x:c>
      <x:c r="D41" s="47" t="n">
        <x:f>'Datos'!$B$26^3/3</x:f>
        <x:v>0.3333333333333333</x:v>
      </x:c>
      <x:c r="E41" s="46" t="n">
        <x:f>D41*(C41-1)</x:f>
        <x:v>-0.3258589406966278</x:v>
      </x:c>
      <x:c r="F41" s="49" t="n">
        <x:f>'E2 Ito'!$D$18+34/40*(MAX($E$7:$E$5006)-'E2 Ito'!$D$18)</x:f>
        <x:v>3.033871029865132</x:v>
      </x:c>
      <x:c r="G41" s="50" t="n">
        <x:f>COUNTIF($E$7:$E$5006,"&lt;="&amp;F41)/COUNT($E$7:$E$5006)</x:f>
        <x:v>0.9982</x:v>
      </x:c>
      <x:c r="H41" s="51" t="n">
        <x:f>IF('Datos'!$B$26=0,IF(F41&gt;=0,1,0),IF(F41&lt;=-'Datos'!$B$26^3/3,0,2*NORM.S.DIST(SQRT(3*F41/'Datos'!$B$26^3+1),TRUE)-1))</x:f>
        <x:v>0.9985186040205027</x:v>
      </x:c>
      <x:c r="I41" s="52" t="str">
        <x:f>TEXT(F41,"0.00")</x:f>
        <x:v>3.03</x:v>
      </x:c>
    </x:row>
    <x:row r="42" ht="22" customHeight="1">
      <x:c r="A42" s="2" t="n">
        <x:v>36</x:v>
      </x:c>
      <x:c r="B42" s="79" t="n">
        <x:v>-2.1625278011723132</x:v>
      </x:c>
      <x:c r="C42" s="46" t="n">
        <x:f>B42^2</x:f>
        <x:v>4.67652649084316</x:v>
      </x:c>
      <x:c r="D42" s="47" t="n">
        <x:f>'Datos'!$B$26^3/3</x:f>
        <x:v>0.3333333333333333</x:v>
      </x:c>
      <x:c r="E42" s="46" t="n">
        <x:f>D42*(C42-1)</x:f>
        <x:v>1.2255088302810533</x:v>
      </x:c>
      <x:c r="F42" s="49" t="n">
        <x:f>'E2 Ito'!$D$18+35/40*(MAX($E$7:$E$5006)-'E2 Ito'!$D$18)</x:f>
        <x:v>3.132906452312146</x:v>
      </x:c>
      <x:c r="G42" s="50" t="n">
        <x:f>COUNTIF($E$7:$E$5006,"&lt;="&amp;F42)/COUNT($E$7:$E$5006)</x:f>
        <x:v>0.9984</x:v>
      </x:c>
      <x:c r="H42" s="51" t="n">
        <x:f>IF('Datos'!$B$26=0,IF(F42&gt;=0,1,0),IF(F42&lt;=-'Datos'!$B$26^3/3,0,2*NORM.S.DIST(SQRT(3*F42/'Datos'!$B$26^3+1),TRUE)-1))</x:f>
        <x:v>0.9987389725983506</x:v>
      </x:c>
      <x:c r="I42" s="52" t="str">
        <x:f>TEXT(F42,"0.00")</x:f>
        <x:v>3.13</x:v>
      </x:c>
    </x:row>
    <x:row r="43" ht="22" customHeight="1">
      <x:c r="A43" s="2" t="n">
        <x:v>37</x:v>
      </x:c>
      <x:c r="B43" s="79" t="n">
        <x:v>1.7490333930374946</x:v>
      </x:c>
      <x:c r="C43" s="46" t="n">
        <x:f>B43^2</x:f>
        <x:v>3.059117809960251</x:v>
      </x:c>
      <x:c r="D43" s="47" t="n">
        <x:f>'Datos'!$B$26^3/3</x:f>
        <x:v>0.3333333333333333</x:v>
      </x:c>
      <x:c r="E43" s="46" t="n">
        <x:f>D43*(C43-1)</x:f>
        <x:v>0.6863726033200837</x:v>
      </x:c>
      <x:c r="F43" s="49" t="n">
        <x:f>'E2 Ito'!$D$18+36/40*(MAX($E$7:$E$5006)-'E2 Ito'!$D$18)</x:f>
        <x:v>3.2319418747591597</x:v>
      </x:c>
      <x:c r="G43" s="50" t="n">
        <x:f>COUNTIF($E$7:$E$5006,"&lt;="&amp;F43)/COUNT($E$7:$E$5006)</x:f>
        <x:v>0.999</x:v>
      </x:c>
      <x:c r="H43" s="51" t="n">
        <x:f>IF('Datos'!$B$26=0,IF(F43&gt;=0,1,0),IF(F43&lt;=-'Datos'!$B$26^3/3,0,2*NORM.S.DIST(SQRT(3*F43/'Datos'!$B$26^3+1),TRUE)-1))</x:f>
        <x:v>0.9989262245728336</x:v>
      </x:c>
      <x:c r="I43" s="52" t="str">
        <x:f>TEXT(F43,"0.00")</x:f>
        <x:v>3.23</x:v>
      </x:c>
    </x:row>
    <x:row r="44" ht="22" customHeight="1">
      <x:c r="A44" s="2" t="n">
        <x:v>38</x:v>
      </x:c>
      <x:c r="B44" s="79" t="n">
        <x:v>0.19939998752378169</x:v>
      </x:c>
      <x:c r="C44" s="46" t="n">
        <x:f>B44^2</x:f>
        <x:v>0.039760355024484294</x:v>
      </x:c>
      <x:c r="D44" s="47" t="n">
        <x:f>'Datos'!$B$26^3/3</x:f>
        <x:v>0.3333333333333333</x:v>
      </x:c>
      <x:c r="E44" s="46" t="n">
        <x:f>D44*(C44-1)</x:f>
        <x:v>-0.3200798816585052</x:v>
      </x:c>
      <x:c r="F44" s="49" t="n">
        <x:f>'E2 Ito'!$D$18+37/40*(MAX($E$7:$E$5006)-'E2 Ito'!$D$18)</x:f>
        <x:v>3.3309772972061737</x:v>
      </x:c>
      <x:c r="G44" s="50" t="n">
        <x:f>COUNTIF($E$7:$E$5006,"&lt;="&amp;F44)/COUNT($E$7:$E$5006)</x:f>
        <x:v>0.9992</x:v>
      </x:c>
      <x:c r="H44" s="51" t="n">
        <x:f>IF('Datos'!$B$26=0,IF(F44&gt;=0,1,0),IF(F44&lt;=-'Datos'!$B$26^3/3,0,2*NORM.S.DIST(SQRT(3*F44/'Datos'!$B$26^3+1),TRUE)-1))</x:f>
        <x:v>0.9990853998767006</x:v>
      </x:c>
      <x:c r="I44" s="52" t="str">
        <x:f>TEXT(F44,"0.00")</x:f>
        <x:v>3.33</x:v>
      </x:c>
    </x:row>
    <x:row r="45" ht="22" customHeight="1">
      <x:c r="A45" s="2" t="n">
        <x:v>39</x:v>
      </x:c>
      <x:c r="B45" s="79" t="n">
        <x:v>0.6559009826185265</x:v>
      </x:c>
      <x:c r="C45" s="46" t="n">
        <x:f>B45^2</x:f>
        <x:v>0.43020609899994855</x:v>
      </x:c>
      <x:c r="D45" s="47" t="n">
        <x:f>'Datos'!$B$26^3/3</x:f>
        <x:v>0.3333333333333333</x:v>
      </x:c>
      <x:c r="E45" s="46" t="n">
        <x:f>D45*(C45-1)</x:f>
        <x:v>-0.18993130033335048</x:v>
      </x:c>
      <x:c r="F45" s="49" t="n">
        <x:f>'E2 Ito'!$D$18+38/40*(MAX($E$7:$E$5006)-'E2 Ito'!$D$18)</x:f>
        <x:v>3.430012719653187</x:v>
      </x:c>
      <x:c r="G45" s="50" t="n">
        <x:f>COUNTIF($E$7:$E$5006,"&lt;="&amp;F45)/COUNT($E$7:$E$5006)</x:f>
        <x:v>0.9994</x:v>
      </x:c>
      <x:c r="H45" s="51" t="n">
        <x:f>IF('Datos'!$B$26=0,IF(F45&gt;=0,1,0),IF(F45&lt;=-'Datos'!$B$26^3/3,0,2*NORM.S.DIST(SQRT(3*F45/'Datos'!$B$26^3+1),TRUE)-1))</x:f>
        <x:v>0.9992207592017177</x:v>
      </x:c>
      <x:c r="I45" s="52" t="str">
        <x:f>TEXT(F45,"0.00")</x:f>
        <x:v>3.43</x:v>
      </x:c>
    </x:row>
    <x:row r="46" ht="22" customHeight="1">
      <x:c r="A46" s="2" t="n">
        <x:v>40</x:v>
      </x:c>
      <x:c r="B46" s="79" t="n">
        <x:v>-1.664274832233862</x:v>
      </x:c>
      <x:c r="C46" s="46" t="n">
        <x:f>B46^2</x:f>
        <x:v>2.76981071720705</x:v>
      </x:c>
      <x:c r="D46" s="47" t="n">
        <x:f>'Datos'!$B$26^3/3</x:f>
        <x:v>0.3333333333333333</x:v>
      </x:c>
      <x:c r="E46" s="46" t="n">
        <x:f>D46*(C46-1)</x:f>
        <x:v>0.5899369057356832</x:v>
      </x:c>
      <x:c r="F46" s="49" t="n">
        <x:f>'E2 Ito'!$D$18+39/40*(MAX($E$7:$E$5006)-'E2 Ito'!$D$18)</x:f>
        <x:v>3.529048142100201</x:v>
      </x:c>
      <x:c r="G46" s="50" t="n">
        <x:f>COUNTIF($E$7:$E$5006,"&lt;="&amp;F46)/COUNT($E$7:$E$5006)</x:f>
        <x:v>0.9998</x:v>
      </x:c>
      <x:c r="H46" s="51" t="n">
        <x:f>IF('Datos'!$B$26=0,IF(F46&gt;=0,1,0),IF(F46&lt;=-'Datos'!$B$26^3/3,0,2*NORM.S.DIST(SQRT(3*F46/'Datos'!$B$26^3+1),TRUE)-1))</x:f>
        <x:v>0.9993359069067149</x:v>
      </x:c>
      <x:c r="I46" s="52" t="str">
        <x:f>TEXT(F46,"0.00")</x:f>
        <x:v>3.53</x:v>
      </x:c>
    </x:row>
    <x:row r="47" ht="22" customHeight="1">
      <x:c r="A47" s="2" t="n">
        <x:v>41</x:v>
      </x:c>
      <x:c r="B47" s="79" t="n">
        <x:v>-0.24990484747862843</x:v>
      </x:c>
      <x:c r="C47" s="46" t="n">
        <x:f>B47^2</x:f>
        <x:v>0.06245243279331654</x:v>
      </x:c>
      <x:c r="D47" s="47" t="n">
        <x:f>'Datos'!$B$26^3/3</x:f>
        <x:v>0.3333333333333333</x:v>
      </x:c>
      <x:c r="E47" s="46" t="n">
        <x:f>D47*(C47-1)</x:f>
        <x:v>-0.3125158557355611</x:v>
      </x:c>
      <x:c r="F47" s="49" t="n">
        <x:f>'E2 Ito'!$D$18+40/40*(MAX($E$7:$E$5006)-'E2 Ito'!$D$18)</x:f>
        <x:v>3.6280835645472145</x:v>
      </x:c>
      <x:c r="G47" s="50" t="n">
        <x:f>COUNTIF($E$7:$E$5006,"&lt;="&amp;F47)/COUNT($E$7:$E$5006)</x:f>
        <x:v>1</x:v>
      </x:c>
      <x:c r="H47" s="51" t="n">
        <x:f>IF('Datos'!$B$26=0,IF(F47&gt;=0,1,0),IF(F47&lt;=-'Datos'!$B$26^3/3,0,2*NORM.S.DIST(SQRT(3*F47/'Datos'!$B$26^3+1),TRUE)-1))</x:f>
        <x:v>0.999433894044516</x:v>
      </x:c>
      <x:c r="I47" s="52" t="str">
        <x:f>TEXT(F47,"0.00")</x:f>
        <x:v>3.63</x:v>
      </x:c>
    </x:row>
    <x:row r="48" ht="22" customHeight="1">
      <x:c r="A48" s="2" t="n">
        <x:v>42</x:v>
      </x:c>
      <x:c r="B48" s="79" t="n">
        <x:v>-1.1760433979565155</x:v>
      </x:c>
      <x:c r="C48" s="46" t="n">
        <x:f>B48^2</x:f>
        <x:v>1.383078073877107</x:v>
      </x:c>
      <x:c r="D48" s="47" t="n">
        <x:f>'Datos'!$B$26^3/3</x:f>
        <x:v>0.3333333333333333</x:v>
      </x:c>
      <x:c r="E48" s="46" t="n">
        <x:f>D48*(C48-1)</x:f>
        <x:v>0.12769269129236896</x:v>
      </x:c>
      <x:c r="F48" s="2"/>
      <x:c r="G48" s="2"/>
      <x:c r="H48" s="2"/>
    </x:row>
    <x:row r="49" ht="22" customHeight="1">
      <x:c r="A49" s="2" t="n">
        <x:v>43</x:v>
      </x:c>
      <x:c r="B49" s="79" t="n">
        <x:v>-0.8005847158349833</x:v>
      </x:c>
      <x:c r="C49" s="46" t="n">
        <x:f>B49^2</x:f>
        <x:v>0.6409358872285809</x:v>
      </x:c>
      <x:c r="D49" s="47" t="n">
        <x:f>'Datos'!$B$26^3/3</x:f>
        <x:v>0.3333333333333333</x:v>
      </x:c>
      <x:c r="E49" s="46" t="n">
        <x:f>D49*(C49-1)</x:f>
        <x:v>-0.11968803759047304</x:v>
      </x:c>
      <x:c r="F49" s="2"/>
      <x:c r="G49" s="2"/>
      <x:c r="H49" s="2"/>
    </x:row>
    <x:row r="50" ht="22" customHeight="1">
      <x:c r="A50" s="2" t="n">
        <x:v>44</x:v>
      </x:c>
      <x:c r="B50" s="79" t="n">
        <x:v>-1.0252987953540769</x:v>
      </x:c>
      <x:c r="C50" s="46" t="n">
        <x:f>B50^2</x:f>
        <x:v>1.0512376197545212</x:v>
      </x:c>
      <x:c r="D50" s="47" t="n">
        <x:f>'Datos'!$B$26^3/3</x:f>
        <x:v>0.3333333333333333</x:v>
      </x:c>
      <x:c r="E50" s="46" t="n">
        <x:f>D50*(C50-1)</x:f>
        <x:v>0.017079206584840412</x:v>
      </x:c>
      <x:c r="F50" s="2"/>
      <x:c r="G50" s="2"/>
      <x:c r="H50" s="2"/>
    </x:row>
    <x:row r="51" ht="22" customHeight="1">
      <x:c r="A51" s="2" t="n">
        <x:v>45</x:v>
      </x:c>
      <x:c r="B51" s="79" t="n">
        <x:v>1.9466545125906365</x:v>
      </x:c>
      <x:c r="C51" s="46" t="n">
        <x:f>B51^2</x:f>
        <x:v>3.7894637913894886</x:v>
      </x:c>
      <x:c r="D51" s="47" t="n">
        <x:f>'Datos'!$B$26^3/3</x:f>
        <x:v>0.3333333333333333</x:v>
      </x:c>
      <x:c r="E51" s="46" t="n">
        <x:f>D51*(C51-1)</x:f>
        <x:v>0.9298212637964962</x:v>
      </x:c>
      <x:c r="F51" s="2"/>
      <x:c r="G51" s="2"/>
      <x:c r="H51" s="2"/>
    </x:row>
    <x:row r="52" ht="22" customHeight="1">
      <x:c r="A52" s="2" t="n">
        <x:v>46</x:v>
      </x:c>
      <x:c r="B52" s="79" t="n">
        <x:v>-0.2662819260474778</x:v>
      </x:c>
      <x:c r="C52" s="46" t="n">
        <x:f>B52^2</x:f>
        <x:v>0.07090606413955444</x:v>
      </x:c>
      <x:c r="D52" s="47" t="n">
        <x:f>'Datos'!$B$26^3/3</x:f>
        <x:v>0.3333333333333333</x:v>
      </x:c>
      <x:c r="E52" s="46" t="n">
        <x:f>D52*(C52-1)</x:f>
        <x:v>-0.3096979786201485</x:v>
      </x:c>
      <x:c r="F52" s="2"/>
      <x:c r="G52" s="2"/>
      <x:c r="H52" s="2"/>
    </x:row>
    <x:row r="53" ht="22" customHeight="1">
      <x:c r="A53" s="2" t="n">
        <x:v>47</x:v>
      </x:c>
      <x:c r="B53" s="79" t="n">
        <x:v>-0.7124168034042396</x:v>
      </x:c>
      <x:c r="C53" s="46" t="n">
        <x:f>B53^2</x:f>
        <x:v>0.5075377017727151</x:v>
      </x:c>
      <x:c r="D53" s="47" t="n">
        <x:f>'Datos'!$B$26^3/3</x:f>
        <x:v>0.3333333333333333</x:v>
      </x:c>
      <x:c r="E53" s="46" t="n">
        <x:f>D53*(C53-1)</x:f>
        <x:v>-0.16415409940909498</x:v>
      </x:c>
      <x:c r="F53" s="2"/>
      <x:c r="G53" s="2"/>
      <x:c r="H53" s="2"/>
    </x:row>
    <x:row r="54" ht="22" customHeight="1">
      <x:c r="A54" s="2" t="n">
        <x:v>48</x:v>
      </x:c>
      <x:c r="B54" s="79" t="n">
        <x:v>-1.2459492957112843</x:v>
      </x:c>
      <x:c r="C54" s="46" t="n">
        <x:f>B54^2</x:f>
        <x:v>1.5523896474834453</x:v>
      </x:c>
      <x:c r="D54" s="47" t="n">
        <x:f>'Datos'!$B$26^3/3</x:f>
        <x:v>0.3333333333333333</x:v>
      </x:c>
      <x:c r="E54" s="46" t="n">
        <x:f>D54*(C54-1)</x:f>
        <x:v>0.18412988249448176</x:v>
      </x:c>
      <x:c r="F54" s="2"/>
      <x:c r="G54" s="2"/>
      <x:c r="H54" s="2"/>
    </x:row>
    <x:row r="55" ht="22" customHeight="1">
      <x:c r="A55" s="2" t="n">
        <x:v>49</x:v>
      </x:c>
      <x:c r="B55" s="79" t="n">
        <x:v>-0.19582376105832272</x:v>
      </x:c>
      <x:c r="C55" s="46" t="n">
        <x:f>B55^2</x:f>
        <x:v>0.03834694539502707</x:v>
      </x:c>
      <x:c r="D55" s="47" t="n">
        <x:f>'Datos'!$B$26^3/3</x:f>
        <x:v>0.3333333333333333</x:v>
      </x:c>
      <x:c r="E55" s="46" t="n">
        <x:f>D55*(C55-1)</x:f>
        <x:v>-0.32055101820165766</x:v>
      </x:c>
      <x:c r="F55" s="2"/>
      <x:c r="G55" s="2"/>
      <x:c r="H55" s="2"/>
    </x:row>
    <x:row r="56" ht="22" customHeight="1">
      <x:c r="A56" s="2" t="n">
        <x:v>50</x:v>
      </x:c>
      <x:c r="B56" s="79" t="n">
        <x:v>0.5140909295506418</x:v>
      </x:c>
      <x:c r="C56" s="46" t="n">
        <x:f>B56^2</x:f>
        <x:v>0.264289483846243</x:v>
      </x:c>
      <x:c r="D56" s="47" t="n">
        <x:f>'Datos'!$B$26^3/3</x:f>
        <x:v>0.3333333333333333</x:v>
      </x:c>
      <x:c r="E56" s="46" t="n">
        <x:f>D56*(C56-1)</x:f>
        <x:v>-0.24523683871791896</x:v>
      </x:c>
      <x:c r="F56" s="2"/>
      <x:c r="G56" s="2"/>
      <x:c r="H56" s="2"/>
    </x:row>
    <x:row r="57" ht="22" customHeight="1">
      <x:c r="A57" s="2" t="n">
        <x:v>51</x:v>
      </x:c>
      <x:c r="B57" s="79" t="n">
        <x:v>0.5870765738334736</x:v>
      </x:c>
      <x:c r="C57" s="46" t="n">
        <x:f>B57^2</x:f>
        <x:v>0.34465890354404993</x:v>
      </x:c>
      <x:c r="D57" s="47" t="n">
        <x:f>'Datos'!$B$26^3/3</x:f>
        <x:v>0.3333333333333333</x:v>
      </x:c>
      <x:c r="E57" s="46" t="n">
        <x:f>D57*(C57-1)</x:f>
        <x:v>-0.21844703215198336</x:v>
      </x:c>
      <x:c r="F57" s="2"/>
      <x:c r="G57" s="2"/>
      <x:c r="H57" s="2"/>
    </x:row>
    <x:row r="58" ht="22" customHeight="1">
      <x:c r="A58" s="2" t="n">
        <x:v>52</x:v>
      </x:c>
      <x:c r="B58" s="79" t="n">
        <x:v>1.9345675144657943</x:v>
      </x:c>
      <x:c r="C58" s="46" t="n">
        <x:f>B58^2</x:f>
        <x:v>3.7425514680263614</x:v>
      </x:c>
      <x:c r="D58" s="47" t="n">
        <x:f>'Datos'!$B$26^3/3</x:f>
        <x:v>0.3333333333333333</x:v>
      </x:c>
      <x:c r="E58" s="46" t="n">
        <x:f>D58*(C58-1)</x:f>
        <x:v>0.9141838226754537</x:v>
      </x:c>
      <x:c r="F58" s="2"/>
      <x:c r="G58" s="2"/>
      <x:c r="H58" s="2"/>
    </x:row>
    <x:row r="59" ht="22" customHeight="1">
      <x:c r="A59" s="2" t="n">
        <x:v>53</x:v>
      </x:c>
      <x:c r="B59" s="79" t="n">
        <x:v>-0.9782972355937177</x:v>
      </x:c>
      <x:c r="C59" s="46" t="n">
        <x:f>B59^2</x:f>
        <x:v>0.9570654811703101</x:v>
      </x:c>
      <x:c r="D59" s="47" t="n">
        <x:f>'Datos'!$B$26^3/3</x:f>
        <x:v>0.3333333333333333</x:v>
      </x:c>
      <x:c r="E59" s="46" t="n">
        <x:f>D59*(C59-1)</x:f>
        <x:v>-0.014311506276563302</x:v>
      </x:c>
      <x:c r="F59" s="2"/>
      <x:c r="G59" s="2"/>
      <x:c r="H59" s="2"/>
    </x:row>
    <x:row r="60" ht="22" customHeight="1">
      <x:c r="A60" s="2" t="n">
        <x:v>54</x:v>
      </x:c>
      <x:c r="B60" s="79" t="n">
        <x:v>0.6001256724174504</x:v>
      </x:c>
      <x:c r="C60" s="46" t="n">
        <x:f>B60^2</x:f>
        <x:v>0.360150822694497</x:v>
      </x:c>
      <x:c r="D60" s="47" t="n">
        <x:f>'Datos'!$B$26^3/3</x:f>
        <x:v>0.3333333333333333</x:v>
      </x:c>
      <x:c r="E60" s="46" t="n">
        <x:f>D60*(C60-1)</x:f>
        <x:v>-0.21328305910183434</x:v>
      </x:c>
      <x:c r="F60" s="2"/>
      <x:c r="G60" s="2"/>
      <x:c r="H60" s="2"/>
    </x:row>
    <x:row r="61" ht="22" customHeight="1">
      <x:c r="A61" s="2" t="n">
        <x:v>55</x:v>
      </x:c>
      <x:c r="B61" s="79" t="n">
        <x:v>0.3391021510430082</x:v>
      </x:c>
      <x:c r="C61" s="46" t="n">
        <x:f>B61^2</x:f>
        <x:v>0.11499026884199516</x:v>
      </x:c>
      <x:c r="D61" s="47" t="n">
        <x:f>'Datos'!$B$26^3/3</x:f>
        <x:v>0.3333333333333333</x:v>
      </x:c>
      <x:c r="E61" s="46" t="n">
        <x:f>D61*(C61-1)</x:f>
        <x:v>-0.29500324371933495</x:v>
      </x:c>
      <x:c r="F61" s="2"/>
      <x:c r="G61" s="2"/>
      <x:c r="H61" s="2"/>
    </x:row>
    <x:row r="62" ht="22" customHeight="1">
      <x:c r="A62" s="2" t="n">
        <x:v>56</x:v>
      </x:c>
      <x:c r="B62" s="79" t="n">
        <x:v>-0.031716672317495746</x:v>
      </x:c>
      <x:c r="C62" s="46" t="n">
        <x:f>B62^2</x:f>
        <x:v>0.001005947302895401</x:v>
      </x:c>
      <x:c r="D62" s="47" t="n">
        <x:f>'Datos'!$B$26^3/3</x:f>
        <x:v>0.3333333333333333</x:v>
      </x:c>
      <x:c r="E62" s="46" t="n">
        <x:f>D62*(C62-1)</x:f>
        <x:v>-0.3329980175657015</x:v>
      </x:c>
      <x:c r="F62" s="2"/>
      <x:c r="G62" s="2"/>
      <x:c r="H62" s="2"/>
    </x:row>
    <x:row r="63" ht="22" customHeight="1">
      <x:c r="A63" s="2" t="n">
        <x:v>57</x:v>
      </x:c>
      <x:c r="B63" s="79" t="n">
        <x:v>0.6227010519936634</x:v>
      </x:c>
      <x:c r="C63" s="46" t="n">
        <x:f>B63^2</x:f>
        <x:v>0.38775660015401514</x:v>
      </x:c>
      <x:c r="D63" s="47" t="n">
        <x:f>'Datos'!$B$26^3/3</x:f>
        <x:v>0.3333333333333333</x:v>
      </x:c>
      <x:c r="E63" s="46" t="n">
        <x:f>D63*(C63-1)</x:f>
        <x:v>-0.20408113328199495</x:v>
      </x:c>
      <x:c r="F63" s="2"/>
      <x:c r="G63" s="2"/>
      <x:c r="H63" s="2"/>
    </x:row>
    <x:row r="64" ht="22" customHeight="1">
      <x:c r="A64" s="2" t="n">
        <x:v>58</x:v>
      </x:c>
      <x:c r="B64" s="79" t="n">
        <x:v>-1.3724302906208972</x:v>
      </x:c>
      <x:c r="C64" s="46" t="n">
        <x:f>B64^2</x:f>
        <x:v>1.8835649026137602</x:v>
      </x:c>
      <x:c r="D64" s="47" t="n">
        <x:f>'Datos'!$B$26^3/3</x:f>
        <x:v>0.3333333333333333</x:v>
      </x:c>
      <x:c r="E64" s="46" t="n">
        <x:f>D64*(C64-1)</x:f>
        <x:v>0.2945216342045867</x:v>
      </x:c>
      <x:c r="F64" s="2"/>
      <x:c r="G64" s="2"/>
      <x:c r="H64" s="2"/>
    </x:row>
    <x:row r="65" ht="22" customHeight="1">
      <x:c r="A65" s="2" t="n">
        <x:v>59</x:v>
      </x:c>
      <x:c r="B65" s="79" t="n">
        <x:v>-2.0528077017253055</x:v>
      </x:c>
      <x:c r="C65" s="46" t="n">
        <x:f>B65^2</x:f>
        <x:v>4.2140194602627306</x:v>
      </x:c>
      <x:c r="D65" s="47" t="n">
        <x:f>'Datos'!$B$26^3/3</x:f>
        <x:v>0.3333333333333333</x:v>
      </x:c>
      <x:c r="E65" s="46" t="n">
        <x:f>D65*(C65-1)</x:f>
        <x:v>1.0713398200875768</x:v>
      </x:c>
      <x:c r="F65" s="2"/>
      <x:c r="G65" s="2"/>
      <x:c r="H65" s="2"/>
    </x:row>
    <x:row r="66" ht="22" customHeight="1">
      <x:c r="A66" s="2" t="n">
        <x:v>60</x:v>
      </x:c>
      <x:c r="B66" s="79" t="n">
        <x:v>-0.5912883017633529</x:v>
      </x:c>
      <x:c r="C66" s="46" t="n">
        <x:f>B66^2</x:f>
        <x:v>0.34962185580218985</x:v>
      </x:c>
      <x:c r="D66" s="47" t="n">
        <x:f>'Datos'!$B$26^3/3</x:f>
        <x:v>0.3333333333333333</x:v>
      </x:c>
      <x:c r="E66" s="46" t="n">
        <x:f>D66*(C66-1)</x:f>
        <x:v>-0.21679271473260336</x:v>
      </x:c>
      <x:c r="F66" s="2"/>
      <x:c r="G66" s="2"/>
      <x:c r="H66" s="2"/>
    </x:row>
    <x:row r="67" ht="22" customHeight="1">
      <x:c r="A67" s="2" t="n">
        <x:v>61</x:v>
      </x:c>
      <x:c r="B67" s="79" t="n">
        <x:v>0.647954449644865</x:v>
      </x:c>
      <x:c r="C67" s="46" t="n">
        <x:f>B67^2</x:f>
        <x:v>0.41984496881457994</x:v>
      </x:c>
      <x:c r="D67" s="47" t="n">
        <x:f>'Datos'!$B$26^3/3</x:f>
        <x:v>0.3333333333333333</x:v>
      </x:c>
      <x:c r="E67" s="46" t="n">
        <x:f>D67*(C67-1)</x:f>
        <x:v>-0.19338501039514</x:v>
      </x:c>
      <x:c r="F67" s="2"/>
      <x:c r="G67" s="2"/>
      <x:c r="H67" s="2"/>
    </x:row>
    <x:row r="68" ht="22" customHeight="1">
      <x:c r="A68" s="2" t="n">
        <x:v>62</x:v>
      </x:c>
      <x:c r="B68" s="79" t="n">
        <x:v>1.1997680708852647</x:v>
      </x:c>
      <x:c r="C68" s="46" t="n">
        <x:f>B68^2</x:f>
        <x:v>1.4394434239157496</x:v>
      </x:c>
      <x:c r="D68" s="47" t="n">
        <x:f>'Datos'!$B$26^3/3</x:f>
        <x:v>0.3333333333333333</x:v>
      </x:c>
      <x:c r="E68" s="46" t="n">
        <x:f>D68*(C68-1)</x:f>
        <x:v>0.14648114130524986</x:v>
      </x:c>
      <x:c r="F68" s="2"/>
      <x:c r="G68" s="2"/>
      <x:c r="H68" s="2"/>
    </x:row>
    <x:row r="69" ht="22" customHeight="1">
      <x:c r="A69" s="2" t="n">
        <x:v>63</x:v>
      </x:c>
      <x:c r="B69" s="79" t="n">
        <x:v>0.49021237419648694</x:v>
      </x:c>
      <x:c r="C69" s="46" t="n">
        <x:f>B69^2</x:f>
        <x:v>0.24030817181535655</x:v>
      </x:c>
      <x:c r="D69" s="47" t="n">
        <x:f>'Datos'!$B$26^3/3</x:f>
        <x:v>0.3333333333333333</x:v>
      </x:c>
      <x:c r="E69" s="46" t="n">
        <x:f>D69*(C69-1)</x:f>
        <x:v>-0.2532306093948811</x:v>
      </x:c>
      <x:c r="F69" s="2"/>
      <x:c r="G69" s="2"/>
      <x:c r="H69" s="2"/>
    </x:row>
    <x:row r="70" ht="22" customHeight="1">
      <x:c r="A70" s="2" t="n">
        <x:v>64</x:v>
      </x:c>
      <x:c r="B70" s="79" t="n">
        <x:v>-0.9147737860661456</x:v>
      </x:c>
      <x:c r="C70" s="46" t="n">
        <x:f>B70^2</x:f>
        <x:v>0.8368110796737902</x:v>
      </x:c>
      <x:c r="D70" s="47" t="n">
        <x:f>'Datos'!$B$26^3/3</x:f>
        <x:v>0.3333333333333333</x:v>
      </x:c>
      <x:c r="E70" s="46" t="n">
        <x:f>D70*(C70-1)</x:f>
        <x:v>-0.05439630677540326</x:v>
      </x:c>
      <x:c r="F70" s="2"/>
      <x:c r="G70" s="2"/>
      <x:c r="H70" s="2"/>
    </x:row>
    <x:row r="71" ht="22" customHeight="1">
      <x:c r="A71" s="2" t="n">
        <x:v>65</x:v>
      </x:c>
      <x:c r="B71" s="79" t="n">
        <x:v>-0.5314101193436558</x:v>
      </x:c>
      <x:c r="C71" s="46" t="n">
        <x:f>B71^2</x:f>
        <x:v>0.2823967149408385</x:v>
      </x:c>
      <x:c r="D71" s="47" t="n">
        <x:f>'Datos'!$B$26^3/3</x:f>
        <x:v>0.3333333333333333</x:v>
      </x:c>
      <x:c r="E71" s="46" t="n">
        <x:f>D71*(C71-1)</x:f>
        <x:v>-0.23920109501972048</x:v>
      </x:c>
      <x:c r="F71" s="2"/>
      <x:c r="G71" s="2"/>
      <x:c r="H71" s="2"/>
    </x:row>
    <x:row r="72" ht="22" customHeight="1">
      <x:c r="A72" s="2" t="n">
        <x:v>66</x:v>
      </x:c>
      <x:c r="B72" s="79" t="n">
        <x:v>1.0307799915612763</x:v>
      </x:c>
      <x:c r="C72" s="46" t="n">
        <x:f>B72^2</x:f>
        <x:v>1.062507391003065</x:v>
      </x:c>
      <x:c r="D72" s="47" t="n">
        <x:f>'Datos'!$B$26^3/3</x:f>
        <x:v>0.3333333333333333</x:v>
      </x:c>
      <x:c r="E72" s="46" t="n">
        <x:f>D72*(C72-1)</x:f>
        <x:v>0.020835797001021634</x:v>
      </x:c>
      <x:c r="F72" s="2"/>
      <x:c r="G72" s="2"/>
      <x:c r="H72" s="2"/>
    </x:row>
    <x:row r="73" ht="22" customHeight="1">
      <x:c r="A73" s="2" t="n">
        <x:v>67</x:v>
      </x:c>
      <x:c r="B73" s="79" t="n">
        <x:v>-1.6060441490086033</x:v>
      </x:c>
      <x:c r="C73" s="46" t="n">
        <x:f>B73^2</x:f>
        <x:v>2.5793778085647685</x:v>
      </x:c>
      <x:c r="D73" s="47" t="n">
        <x:f>'Datos'!$B$26^3/3</x:f>
        <x:v>0.3333333333333333</x:v>
      </x:c>
      <x:c r="E73" s="46" t="n">
        <x:f>D73*(C73-1)</x:f>
        <x:v>0.5264592695215895</x:v>
      </x:c>
      <x:c r="F73" s="2"/>
      <x:c r="G73" s="2"/>
      <x:c r="H73" s="2"/>
    </x:row>
    <x:row r="74" ht="22" customHeight="1">
      <x:c r="A74" s="2" t="n">
        <x:v>68</x:v>
      </x:c>
      <x:c r="B74" s="79" t="n">
        <x:v>-0.131570574168378</x:v>
      </x:c>
      <x:c r="C74" s="46" t="n">
        <x:f>B74^2</x:f>
        <x:v>0.017310815986996658</x:v>
      </x:c>
      <x:c r="D74" s="47" t="n">
        <x:f>'Datos'!$B$26^3/3</x:f>
        <x:v>0.3333333333333333</x:v>
      </x:c>
      <x:c r="E74" s="46" t="n">
        <x:f>D74*(C74-1)</x:f>
        <x:v>-0.32756306133766777</x:v>
      </x:c>
      <x:c r="F74" s="2"/>
      <x:c r="G74" s="2"/>
      <x:c r="H74" s="2"/>
    </x:row>
    <x:row r="75" ht="22" customHeight="1">
      <x:c r="A75" s="2" t="n">
        <x:v>69</x:v>
      </x:c>
      <x:c r="B75" s="79" t="n">
        <x:v>-1.4182991251650994</x:v>
      </x:c>
      <x:c r="C75" s="46" t="n">
        <x:f>B75^2</x:f>
        <x:v>2.0115724084440862</x:v>
      </x:c>
      <x:c r="D75" s="47" t="n">
        <x:f>'Datos'!$B$26^3/3</x:f>
        <x:v>0.3333333333333333</x:v>
      </x:c>
      <x:c r="E75" s="46" t="n">
        <x:f>D75*(C75-1)</x:f>
        <x:v>0.3371908028146954</x:v>
      </x:c>
      <x:c r="F75" s="2"/>
      <x:c r="G75" s="2"/>
      <x:c r="H75" s="2"/>
    </x:row>
    <x:row r="76" ht="22" customHeight="1">
      <x:c r="A76" s="2" t="n">
        <x:v>70</x:v>
      </x:c>
      <x:c r="B76" s="79" t="n">
        <x:v>0.9822799667815794</x:v>
      </x:c>
      <x:c r="C76" s="46" t="n">
        <x:f>B76^2</x:f>
        <x:v>0.9648739331404207</x:v>
      </x:c>
      <x:c r="D76" s="47" t="n">
        <x:f>'Datos'!$B$26^3/3</x:f>
        <x:v>0.3333333333333333</x:v>
      </x:c>
      <x:c r="E76" s="46" t="n">
        <x:f>D76*(C76-1)</x:f>
        <x:v>-0.011708688953193103</x:v>
      </x:c>
      <x:c r="F76" s="2"/>
      <x:c r="G76" s="2"/>
      <x:c r="H76" s="2"/>
    </x:row>
    <x:row r="77" ht="22" customHeight="1">
      <x:c r="A77" s="2" t="n">
        <x:v>71</x:v>
      </x:c>
      <x:c r="B77" s="79" t="n">
        <x:v>0.3753324359434239</x:v>
      </x:c>
      <x:c r="C77" s="46" t="n">
        <x:f>B77^2</x:f>
        <x:v>0.1408744374712244</x:v>
      </x:c>
      <x:c r="D77" s="47" t="n">
        <x:f>'Datos'!$B$26^3/3</x:f>
        <x:v>0.3333333333333333</x:v>
      </x:c>
      <x:c r="E77" s="46" t="n">
        <x:f>D77*(C77-1)</x:f>
        <x:v>-0.28637518750959184</x:v>
      </x:c>
      <x:c r="F77" s="2"/>
      <x:c r="G77" s="2"/>
      <x:c r="H77" s="2"/>
    </x:row>
    <x:row r="78" ht="22" customHeight="1">
      <x:c r="A78" s="2" t="n">
        <x:v>72</x:v>
      </x:c>
      <x:c r="B78" s="79" t="n">
        <x:v>0.49367299577142376</x:v>
      </x:c>
      <x:c r="C78" s="46" t="n">
        <x:f>B78^2</x:f>
        <x:v>0.2437130267539322</x:v>
      </x:c>
      <x:c r="D78" s="47" t="n">
        <x:f>'Datos'!$B$26^3/3</x:f>
        <x:v>0.3333333333333333</x:v>
      </x:c>
      <x:c r="E78" s="46" t="n">
        <x:f>D78*(C78-1)</x:f>
        <x:v>-0.25209565774868925</x:v>
      </x:c>
      <x:c r="F78" s="2"/>
      <x:c r="G78" s="2"/>
      <x:c r="H78" s="2"/>
    </x:row>
    <x:row r="79" ht="22" customHeight="1">
      <x:c r="A79" s="2" t="n">
        <x:v>73</x:v>
      </x:c>
      <x:c r="B79" s="79" t="n">
        <x:v>1.148764237231111</x:v>
      </x:c>
      <x:c r="C79" s="46" t="n">
        <x:f>B79^2</x:f>
        <x:v>1.3196592727411764</x:v>
      </x:c>
      <x:c r="D79" s="47" t="n">
        <x:f>'Datos'!$B$26^3/3</x:f>
        <x:v>0.3333333333333333</x:v>
      </x:c>
      <x:c r="E79" s="46" t="n">
        <x:f>D79*(C79-1)</x:f>
        <x:v>0.10655309091372547</x:v>
      </x:c>
      <x:c r="F79" s="2"/>
      <x:c r="G79" s="2"/>
      <x:c r="H79" s="2"/>
    </x:row>
    <x:row r="80" ht="22" customHeight="1">
      <x:c r="A80" s="2" t="n">
        <x:v>74</x:v>
      </x:c>
      <x:c r="B80" s="79" t="n">
        <x:v>-0.4381171923053358</x:v>
      </x:c>
      <x:c r="C80" s="46" t="n">
        <x:f>B80^2</x:f>
        <x:v>0.19194667419351058</x:v>
      </x:c>
      <x:c r="D80" s="47" t="n">
        <x:f>'Datos'!$B$26^3/3</x:f>
        <x:v>0.3333333333333333</x:v>
      </x:c>
      <x:c r="E80" s="46" t="n">
        <x:f>D80*(C80-1)</x:f>
        <x:v>-0.26935110860216316</x:v>
      </x:c>
      <x:c r="F80" s="2"/>
      <x:c r="G80" s="2"/>
      <x:c r="H80" s="2"/>
    </x:row>
    <x:row r="81" ht="22" customHeight="1">
      <x:c r="A81" s="2" t="n">
        <x:v>75</x:v>
      </x:c>
      <x:c r="B81" s="79" t="n">
        <x:v>-0.8377130938913518</x:v>
      </x:c>
      <x:c r="C81" s="46" t="n">
        <x:f>B81^2</x:f>
        <x:v>0.7017632276770208</x:v>
      </x:c>
      <x:c r="D81" s="47" t="n">
        <x:f>'Datos'!$B$26^3/3</x:f>
        <x:v>0.3333333333333333</x:v>
      </x:c>
      <x:c r="E81" s="46" t="n">
        <x:f>D81*(C81-1)</x:f>
        <x:v>-0.09941225744099305</x:v>
      </x:c>
      <x:c r="F81" s="2"/>
      <x:c r="G81" s="2"/>
      <x:c r="H81" s="2"/>
    </x:row>
    <x:row r="82" ht="22" customHeight="1">
      <x:c r="A82" s="2" t="n">
        <x:v>76</x:v>
      </x:c>
      <x:c r="B82" s="79" t="n">
        <x:v>-1.3629618197401465</x:v>
      </x:c>
      <x:c r="C82" s="46" t="n">
        <x:f>B82^2</x:f>
        <x:v>1.8576649220693717</x:v>
      </x:c>
      <x:c r="D82" s="47" t="n">
        <x:f>'Datos'!$B$26^3/3</x:f>
        <x:v>0.3333333333333333</x:v>
      </x:c>
      <x:c r="E82" s="46" t="n">
        <x:f>D82*(C82-1)</x:f>
        <x:v>0.2858883073564572</x:v>
      </x:c>
      <x:c r="F82" s="2"/>
      <x:c r="G82" s="2"/>
      <x:c r="H82" s="2"/>
    </x:row>
    <x:row r="83" ht="22" customHeight="1">
      <x:c r="A83" s="2" t="n">
        <x:v>77</x:v>
      </x:c>
      <x:c r="B83" s="79" t="n">
        <x:v>-0.678474078338847</x:v>
      </x:c>
      <x:c r="C83" s="46" t="n">
        <x:f>B83^2</x:f>
        <x:v>0.4603270749777479</x:v>
      </x:c>
      <x:c r="D83" s="47" t="n">
        <x:f>'Datos'!$B$26^3/3</x:f>
        <x:v>0.3333333333333333</x:v>
      </x:c>
      <x:c r="E83" s="46" t="n">
        <x:f>D83*(C83-1)</x:f>
        <x:v>-0.17989097500741735</x:v>
      </x:c>
      <x:c r="F83" s="2"/>
      <x:c r="G83" s="2"/>
      <x:c r="H83" s="2"/>
    </x:row>
    <x:row r="84" ht="22" customHeight="1">
      <x:c r="A84" s="2" t="n">
        <x:v>78</x:v>
      </x:c>
      <x:c r="B84" s="79" t="n">
        <x:v>-0.22811314493067555</x:v>
      </x:c>
      <x:c r="C84" s="46" t="n">
        <x:f>B84^2</x:f>
        <x:v>0.05203560689016339</x:v>
      </x:c>
      <x:c r="D84" s="47" t="n">
        <x:f>'Datos'!$B$26^3/3</x:f>
        <x:v>0.3333333333333333</x:v>
      </x:c>
      <x:c r="E84" s="46" t="n">
        <x:f>D84*(C84-1)</x:f>
        <x:v>-0.31598813103661216</x:v>
      </x:c>
      <x:c r="F84" s="2"/>
      <x:c r="G84" s="2"/>
      <x:c r="H84" s="2"/>
    </x:row>
    <x:row r="85" ht="22" customHeight="1">
      <x:c r="A85" s="2" t="n">
        <x:v>79</x:v>
      </x:c>
      <x:c r="B85" s="79" t="n">
        <x:v>0.4713773133995377</x:v>
      </x:c>
      <x:c r="C85" s="46" t="n">
        <x:f>B85^2</x:f>
        <x:v>0.22219657158776598</x:v>
      </x:c>
      <x:c r="D85" s="47" t="n">
        <x:f>'Datos'!$B$26^3/3</x:f>
        <x:v>0.3333333333333333</x:v>
      </x:c>
      <x:c r="E85" s="46" t="n">
        <x:f>D85*(C85-1)</x:f>
        <x:v>-0.2592678094707447</x:v>
      </x:c>
      <x:c r="F85" s="2"/>
      <x:c r="G85" s="2"/>
      <x:c r="H85" s="2"/>
    </x:row>
    <x:row r="86" ht="22" customHeight="1">
      <x:c r="A86" s="2" t="n">
        <x:v>80</x:v>
      </x:c>
      <x:c r="B86" s="79" t="n">
        <x:v>-1.9986131314157902</x:v>
      </x:c>
      <x:c r="C86" s="46" t="n">
        <x:f>B86^2</x:f>
        <x:v>3.994454449067631</x:v>
      </x:c>
      <x:c r="D86" s="47" t="n">
        <x:f>'Datos'!$B$26^3/3</x:f>
        <x:v>0.3333333333333333</x:v>
      </x:c>
      <x:c r="E86" s="46" t="n">
        <x:f>D86*(C86-1)</x:f>
        <x:v>0.9981514830225435</x:v>
      </x:c>
      <x:c r="F86" s="2"/>
      <x:c r="G86" s="2"/>
      <x:c r="H86" s="2"/>
    </x:row>
    <x:row r="87" ht="22" customHeight="1">
      <x:c r="A87" s="2" t="n">
        <x:v>81</x:v>
      </x:c>
      <x:c r="B87" s="79" t="n">
        <x:v>-1.1674718814532679</x:v>
      </x:c>
      <x:c r="C87" s="46" t="n">
        <x:f>B87^2</x:f>
        <x:v>1.3629905939840332</x:v>
      </x:c>
      <x:c r="D87" s="47" t="n">
        <x:f>'Datos'!$B$26^3/3</x:f>
        <x:v>0.3333333333333333</x:v>
      </x:c>
      <x:c r="E87" s="46" t="n">
        <x:f>D87*(C87-1)</x:f>
        <x:v>0.1209968646613444</x:v>
      </x:c>
      <x:c r="F87" s="2"/>
      <x:c r="G87" s="2"/>
      <x:c r="H87" s="2"/>
    </x:row>
    <x:row r="88" ht="22" customHeight="1">
      <x:c r="A88" s="2" t="n">
        <x:v>82</x:v>
      </x:c>
      <x:c r="B88" s="79" t="n">
        <x:v>0.11948684376761841</x:v>
      </x:c>
      <x:c r="C88" s="46" t="n">
        <x:f>B88^2</x:f>
        <x:v>0.01427710583354725</x:v>
      </x:c>
      <x:c r="D88" s="47" t="n">
        <x:f>'Datos'!$B$26^3/3</x:f>
        <x:v>0.3333333333333333</x:v>
      </x:c>
      <x:c r="E88" s="46" t="n">
        <x:f>D88*(C88-1)</x:f>
        <x:v>-0.3285742980554842</x:v>
      </x:c>
      <x:c r="F88" s="2"/>
      <x:c r="G88" s="2"/>
      <x:c r="H88" s="2"/>
    </x:row>
    <x:row r="89" ht="22" customHeight="1">
      <x:c r="A89" s="2" t="n">
        <x:v>83</x:v>
      </x:c>
      <x:c r="B89" s="79" t="n">
        <x:v>-1.3409534072695475</x:v>
      </x:c>
      <x:c r="C89" s="46" t="n">
        <x:f>B89^2</x:f>
        <x:v>1.798156040467809</x:v>
      </x:c>
      <x:c r="D89" s="47" t="n">
        <x:f>'Datos'!$B$26^3/3</x:f>
        <x:v>0.3333333333333333</x:v>
      </x:c>
      <x:c r="E89" s="46" t="n">
        <x:f>D89*(C89-1)</x:f>
        <x:v>0.26605201348926966</x:v>
      </x:c>
      <x:c r="F89" s="2"/>
      <x:c r="G89" s="2"/>
      <x:c r="H89" s="2"/>
    </x:row>
    <x:row r="90" ht="22" customHeight="1">
      <x:c r="A90" s="2" t="n">
        <x:v>84</x:v>
      </x:c>
      <x:c r="B90" s="79" t="n">
        <x:v>-0.07726794830357506</x:v>
      </x:c>
      <x:c r="C90" s="46" t="n">
        <x:f>B90^2</x:f>
        <x:v>0.005970335835043947</x:v>
      </x:c>
      <x:c r="D90" s="47" t="n">
        <x:f>'Datos'!$B$26^3/3</x:f>
        <x:v>0.3333333333333333</x:v>
      </x:c>
      <x:c r="E90" s="46" t="n">
        <x:f>D90*(C90-1)</x:f>
        <x:v>-0.3313432213883187</x:v>
      </x:c>
      <x:c r="F90" s="2"/>
      <x:c r="G90" s="2"/>
      <x:c r="H90" s="2"/>
    </x:row>
    <x:row r="91" ht="22" customHeight="1">
      <x:c r="A91" s="2" t="n">
        <x:v>85</x:v>
      </x:c>
      <x:c r="B91" s="79" t="n">
        <x:v>0.5850733016275466</x:v>
      </x:c>
      <x:c r="C91" s="46" t="n">
        <x:f>B91^2</x:f>
        <x:v>0.34231076827735807</x:v>
      </x:c>
      <x:c r="D91" s="47" t="n">
        <x:f>'Datos'!$B$26^3/3</x:f>
        <x:v>0.3333333333333333</x:v>
      </x:c>
      <x:c r="E91" s="46" t="n">
        <x:f>D91*(C91-1)</x:f>
        <x:v>-0.2192297439075473</x:v>
      </x:c>
      <x:c r="F91" s="2"/>
      <x:c r="G91" s="2"/>
      <x:c r="H91" s="2"/>
    </x:row>
    <x:row r="92" ht="22" customHeight="1">
      <x:c r="A92" s="2" t="n">
        <x:v>86</x:v>
      </x:c>
      <x:c r="B92" s="79" t="n">
        <x:v>0.6527032545960261</x:v>
      </x:c>
      <x:c r="C92" s="46" t="n">
        <x:f>B92^2</x:f>
        <x:v>0.42602153856024483</x:v>
      </x:c>
      <x:c r="D92" s="47" t="n">
        <x:f>'Datos'!$B$26^3/3</x:f>
        <x:v>0.3333333333333333</x:v>
      </x:c>
      <x:c r="E92" s="46" t="n">
        <x:f>D92*(C92-1)</x:f>
        <x:v>-0.19132615381325171</x:v>
      </x:c>
      <x:c r="F92" s="2"/>
      <x:c r="G92" s="2"/>
      <x:c r="H92" s="2"/>
    </x:row>
    <x:row r="93" ht="22" customHeight="1">
      <x:c r="A93" s="2" t="n">
        <x:v>87</x:v>
      </x:c>
      <x:c r="B93" s="79" t="n">
        <x:v>1.977833387285658</x:v>
      </x:c>
      <x:c r="C93" s="46" t="n">
        <x:f>B93^2</x:f>
        <x:v>3.911824907861859</x:v>
      </x:c>
      <x:c r="D93" s="47" t="n">
        <x:f>'Datos'!$B$26^3/3</x:f>
        <x:v>0.3333333333333333</x:v>
      </x:c>
      <x:c r="E93" s="46" t="n">
        <x:f>D93*(C93-1)</x:f>
        <x:v>0.9706083026206197</x:v>
      </x:c>
      <x:c r="F93" s="2"/>
      <x:c r="G93" s="2"/>
      <x:c r="H93" s="2"/>
    </x:row>
    <x:row r="94" ht="22" customHeight="1">
      <x:c r="A94" s="2" t="n">
        <x:v>88</x:v>
      </x:c>
      <x:c r="B94" s="79" t="n">
        <x:v>0.4912259683597913</x:v>
      </x:c>
      <x:c r="C94" s="46" t="n">
        <x:f>B94^2</x:f>
        <x:v>0.2413029519910147</x:v>
      </x:c>
      <x:c r="D94" s="47" t="n">
        <x:f>'Datos'!$B$26^3/3</x:f>
        <x:v>0.3333333333333333</x:v>
      </x:c>
      <x:c r="E94" s="46" t="n">
        <x:f>D94*(C94-1)</x:f>
        <x:v>-0.2528990160029951</x:v>
      </x:c>
      <x:c r="F94" s="2"/>
      <x:c r="G94" s="2"/>
      <x:c r="H94" s="2"/>
    </x:row>
    <x:row r="95" ht="22" customHeight="1">
      <x:c r="A95" s="2" t="n">
        <x:v>89</x:v>
      </x:c>
      <x:c r="B95" s="79" t="n">
        <x:v>-1.9197638550728617</x:v>
      </x:c>
      <x:c r="C95" s="46" t="n">
        <x:f>B95^2</x:f>
        <x:v>3.6854932592442156</x:v>
      </x:c>
      <x:c r="D95" s="47" t="n">
        <x:f>'Datos'!$B$26^3/3</x:f>
        <x:v>0.3333333333333333</x:v>
      </x:c>
      <x:c r="E95" s="46" t="n">
        <x:f>D95*(C95-1)</x:f>
        <x:v>0.8951644197480718</x:v>
      </x:c>
      <x:c r="F95" s="2"/>
      <x:c r="G95" s="2"/>
      <x:c r="H95" s="2"/>
    </x:row>
    <x:row r="96" ht="22" customHeight="1">
      <x:c r="A96" s="2" t="n">
        <x:v>90</x:v>
      </x:c>
      <x:c r="B96" s="79" t="n">
        <x:v>0.889434952239585</x:v>
      </x:c>
      <x:c r="C96" s="46" t="n">
        <x:f>B96^2</x:f>
        <x:v>0.7910945342654329</x:v>
      </x:c>
      <x:c r="D96" s="47" t="n">
        <x:f>'Datos'!$B$26^3/3</x:f>
        <x:v>0.3333333333333333</x:v>
      </x:c>
      <x:c r="E96" s="46" t="n">
        <x:f>D96*(C96-1)</x:f>
        <x:v>-0.06963515524485571</x:v>
      </x:c>
      <x:c r="F96" s="2"/>
      <x:c r="G96" s="2"/>
      <x:c r="H96" s="2"/>
    </x:row>
    <x:row r="97" ht="22" customHeight="1">
      <x:c r="A97" s="2" t="n">
        <x:v>91</x:v>
      </x:c>
      <x:c r="B97" s="79" t="n">
        <x:v>-1.1602189537071594</x:v>
      </x:c>
      <x:c r="C97" s="46" t="n">
        <x:f>B97^2</x:f>
        <x:v>1.3461080205413358</x:v>
      </x:c>
      <x:c r="D97" s="47" t="n">
        <x:f>'Datos'!$B$26^3/3</x:f>
        <x:v>0.3333333333333333</x:v>
      </x:c>
      <x:c r="E97" s="46" t="n">
        <x:f>D97*(C97-1)</x:f>
        <x:v>0.11536934018044527</x:v>
      </x:c>
      <x:c r="F97" s="2"/>
      <x:c r="G97" s="2"/>
      <x:c r="H97" s="2"/>
    </x:row>
    <x:row r="98" ht="22" customHeight="1">
      <x:c r="A98" s="2" t="n">
        <x:v>92</x:v>
      </x:c>
      <x:c r="B98" s="79" t="n">
        <x:v>-0.11523160125795082</x:v>
      </x:c>
      <x:c r="C98" s="46" t="n">
        <x:f>B98^2</x:f>
        <x:v>0.013278321928471372</x:v>
      </x:c>
      <x:c r="D98" s="47" t="n">
        <x:f>'Datos'!$B$26^3/3</x:f>
        <x:v>0.3333333333333333</x:v>
      </x:c>
      <x:c r="E98" s="46" t="n">
        <x:f>D98*(C98-1)</x:f>
        <x:v>-0.32890722602384287</x:v>
      </x:c>
      <x:c r="F98" s="2"/>
      <x:c r="G98" s="2"/>
      <x:c r="H98" s="2"/>
    </x:row>
    <x:row r="99" ht="22" customHeight="1">
      <x:c r="A99" s="2" t="n">
        <x:v>93</x:v>
      </x:c>
      <x:c r="B99" s="79" t="n">
        <x:v>1.1316416435683714</x:v>
      </x:c>
      <x:c r="C99" s="46" t="n">
        <x:f>B99^2</x:f>
        <x:v>1.2806128094581248</x:v>
      </x:c>
      <x:c r="D99" s="47" t="n">
        <x:f>'Datos'!$B$26^3/3</x:f>
        <x:v>0.3333333333333333</x:v>
      </x:c>
      <x:c r="E99" s="46" t="n">
        <x:f>D99*(C99-1)</x:f>
        <x:v>0.09353760315270827</x:v>
      </x:c>
      <x:c r="F99" s="2"/>
      <x:c r="G99" s="2"/>
      <x:c r="H99" s="2"/>
    </x:row>
    <x:row r="100" ht="22" customHeight="1">
      <x:c r="A100" s="2" t="n">
        <x:v>94</x:v>
      </x:c>
      <x:c r="B100" s="79" t="n">
        <x:v>-0.03552768032914615</x:v>
      </x:c>
      <x:c r="C100" s="46" t="n">
        <x:f>B100^2</x:f>
        <x:v>0.001262216069569998</x:v>
      </x:c>
      <x:c r="D100" s="47" t="n">
        <x:f>'Datos'!$B$26^3/3</x:f>
        <x:v>0.3333333333333333</x:v>
      </x:c>
      <x:c r="E100" s="46" t="n">
        <x:f>D100*(C100-1)</x:f>
        <x:v>-0.33291259464347667</x:v>
      </x:c>
      <x:c r="F100" s="2"/>
      <x:c r="G100" s="2"/>
      <x:c r="H100" s="2"/>
    </x:row>
    <x:row r="101" ht="22" customHeight="1">
      <x:c r="A101" s="2" t="n">
        <x:v>95</x:v>
      </x:c>
      <x:c r="B101" s="79" t="n">
        <x:v>2.13872053558818</x:v>
      </x:c>
      <x:c r="C101" s="46" t="n">
        <x:f>B101^2</x:f>
        <x:v>4.574125529346593</x:v>
      </x:c>
      <x:c r="D101" s="47" t="n">
        <x:f>'Datos'!$B$26^3/3</x:f>
        <x:v>0.3333333333333333</x:v>
      </x:c>
      <x:c r="E101" s="46" t="n">
        <x:f>D101*(C101-1)</x:f>
        <x:v>1.1913751764488643</x:v>
      </x:c>
      <x:c r="F101" s="2"/>
      <x:c r="G101" s="2"/>
      <x:c r="H101" s="2"/>
    </x:row>
    <x:row r="102" ht="22" customHeight="1">
      <x:c r="A102" s="2" t="n">
        <x:v>96</x:v>
      </x:c>
      <x:c r="B102" s="79" t="n">
        <x:v>1.3036554096894795</x:v>
      </x:c>
      <x:c r="C102" s="46" t="n">
        <x:f>B102^2</x:f>
        <x:v>1.6995174272126445</x:v>
      </x:c>
      <x:c r="D102" s="47" t="n">
        <x:f>'Datos'!$B$26^3/3</x:f>
        <x:v>0.3333333333333333</x:v>
      </x:c>
      <x:c r="E102" s="46" t="n">
        <x:f>D102*(C102-1)</x:f>
        <x:v>0.23317247573754818</x:v>
      </x:c>
      <x:c r="F102" s="2"/>
      <x:c r="G102" s="2"/>
      <x:c r="H102" s="2"/>
    </x:row>
    <x:row r="103" ht="22" customHeight="1">
      <x:c r="A103" s="2" t="n">
        <x:v>97</x:v>
      </x:c>
      <x:c r="B103" s="79" t="n">
        <x:v>0.4510654439390068</x:v>
      </x:c>
      <x:c r="C103" s="46" t="n">
        <x:f>B103^2</x:f>
        <x:v>0.2034600347158933</x:v>
      </x:c>
      <x:c r="D103" s="47" t="n">
        <x:f>'Datos'!$B$26^3/3</x:f>
        <x:v>0.3333333333333333</x:v>
      </x:c>
      <x:c r="E103" s="46" t="n">
        <x:f>D103*(C103-1)</x:f>
        <x:v>-0.2655133217613689</x:v>
      </x:c>
      <x:c r="F103" s="2"/>
      <x:c r="G103" s="2"/>
      <x:c r="H103" s="2"/>
    </x:row>
    <x:row r="104" ht="22" customHeight="1">
      <x:c r="A104" s="2" t="n">
        <x:v>98</x:v>
      </x:c>
      <x:c r="B104" s="79" t="n">
        <x:v>0.922710113027054</x:v>
      </x:c>
      <x:c r="C104" s="46" t="n">
        <x:f>B104^2</x:f>
        <x:v>0.8513939526823987</x:v>
      </x:c>
      <x:c r="D104" s="47" t="n">
        <x:f>'Datos'!$B$26^3/3</x:f>
        <x:v>0.3333333333333333</x:v>
      </x:c>
      <x:c r="E104" s="46" t="n">
        <x:f>D104*(C104-1)</x:f>
        <x:v>-0.0495353491058671</x:v>
      </x:c>
      <x:c r="F104" s="2"/>
      <x:c r="G104" s="2"/>
      <x:c r="H104" s="2"/>
    </x:row>
    <x:row r="105" ht="22" customHeight="1">
      <x:c r="A105" s="2" t="n">
        <x:v>99</x:v>
      </x:c>
      <x:c r="B105" s="79" t="n">
        <x:v>0.11900281367526971</x:v>
      </x:c>
      <x:c r="C105" s="46" t="n">
        <x:f>B105^2</x:f>
        <x:v>0.01416166966263096</x:v>
      </x:c>
      <x:c r="D105" s="47" t="n">
        <x:f>'Datos'!$B$26^3/3</x:f>
        <x:v>0.3333333333333333</x:v>
      </x:c>
      <x:c r="E105" s="46" t="n">
        <x:f>D105*(C105-1)</x:f>
        <x:v>-0.328612776779123</x:v>
      </x:c>
      <x:c r="F105" s="2"/>
      <x:c r="G105" s="2"/>
      <x:c r="H105" s="2"/>
    </x:row>
    <x:row r="106" ht="22" customHeight="1">
      <x:c r="A106" s="2" t="n">
        <x:v>100</x:v>
      </x:c>
      <x:c r="B106" s="79" t="n">
        <x:v>0.4420894295614599</x:v>
      </x:c>
      <x:c r="C106" s="46" t="n">
        <x:f>B106^2</x:f>
        <x:v>0.19544306372997702</x:v>
      </x:c>
      <x:c r="D106" s="47" t="n">
        <x:f>'Datos'!$B$26^3/3</x:f>
        <x:v>0.3333333333333333</x:v>
      </x:c>
      <x:c r="E106" s="46" t="n">
        <x:f>D106*(C106-1)</x:f>
        <x:v>-0.268185645423341</x:v>
      </x:c>
      <x:c r="F106" s="2"/>
      <x:c r="G106" s="2"/>
      <x:c r="H106" s="2"/>
    </x:row>
    <x:row r="107" ht="22" customHeight="1">
      <x:c r="A107" s="2" t="n">
        <x:v>101</x:v>
      </x:c>
      <x:c r="B107" s="79" t="n">
        <x:v>0.9612053372564197</x:v>
      </x:c>
      <x:c r="C107" s="46" t="n">
        <x:f>B107^2</x:f>
        <x:v>0.9239157003702274</x:v>
      </x:c>
      <x:c r="D107" s="47" t="n">
        <x:f>'Datos'!$B$26^3/3</x:f>
        <x:v>0.3333333333333333</x:v>
      </x:c>
      <x:c r="E107" s="46" t="n">
        <x:f>D107*(C107-1)</x:f>
        <x:v>-0.025361433209924195</x:v>
      </x:c>
      <x:c r="F107" s="2"/>
      <x:c r="G107" s="2"/>
      <x:c r="H107" s="2"/>
    </x:row>
    <x:row r="108" ht="22" customHeight="1">
      <x:c r="A108" s="2" t="n">
        <x:v>102</x:v>
      </x:c>
      <x:c r="B108" s="79" t="n">
        <x:v>-0.35028715116632436</x:v>
      </x:c>
      <x:c r="C108" s="46" t="n">
        <x:f>B108^2</x:f>
        <x:v>0.12270108827221937</x:v>
      </x:c>
      <x:c r="D108" s="47" t="n">
        <x:f>'Datos'!$B$26^3/3</x:f>
        <x:v>0.3333333333333333</x:v>
      </x:c>
      <x:c r="E108" s="46" t="n">
        <x:f>D108*(C108-1)</x:f>
        <x:v>-0.2924329705759269</x:v>
      </x:c>
      <x:c r="F108" s="2"/>
      <x:c r="G108" s="2"/>
      <x:c r="H108" s="2"/>
    </x:row>
    <x:row r="109" ht="22" customHeight="1">
      <x:c r="A109" s="2" t="n">
        <x:v>103</x:v>
      </x:c>
      <x:c r="B109" s="79" t="n">
        <x:v>-0.072556291107557</x:v>
      </x:c>
      <x:c r="C109" s="46" t="n">
        <x:f>B109^2</x:f>
        <x:v>0.005264415379284555</x:v>
      </x:c>
      <x:c r="D109" s="47" t="n">
        <x:f>'Datos'!$B$26^3/3</x:f>
        <x:v>0.3333333333333333</x:v>
      </x:c>
      <x:c r="E109" s="46" t="n">
        <x:f>D109*(C109-1)</x:f>
        <x:v>-0.33157852820690514</x:v>
      </x:c>
      <x:c r="F109" s="2"/>
      <x:c r="G109" s="2"/>
      <x:c r="H109" s="2"/>
    </x:row>
    <x:row r="110" ht="22" customHeight="1">
      <x:c r="A110" s="2" t="n">
        <x:v>104</x:v>
      </x:c>
      <x:c r="B110" s="79" t="n">
        <x:v>-0.5227692460304294</x:v>
      </x:c>
      <x:c r="C110" s="46" t="n">
        <x:f>B110^2</x:f>
        <x:v>0.2732876845952236</x:v>
      </x:c>
      <x:c r="D110" s="47" t="n">
        <x:f>'Datos'!$B$26^3/3</x:f>
        <x:v>0.3333333333333333</x:v>
      </x:c>
      <x:c r="E110" s="46" t="n">
        <x:f>D110*(C110-1)</x:f>
        <x:v>-0.24223743846825876</x:v>
      </x:c>
      <x:c r="F110" s="2"/>
      <x:c r="G110" s="2"/>
      <x:c r="H110" s="2"/>
    </x:row>
    <x:row r="111" ht="22" customHeight="1">
      <x:c r="A111" s="2" t="n">
        <x:v>105</x:v>
      </x:c>
      <x:c r="B111" s="79" t="n">
        <x:v>0.060215134303686337</x:v>
      </x:c>
      <x:c r="C111" s="46" t="n">
        <x:f>B111^2</x:f>
        <x:v>0.003625862399210983</x:v>
      </x:c>
      <x:c r="D111" s="47" t="n">
        <x:f>'Datos'!$B$26^3/3</x:f>
        <x:v>0.3333333333333333</x:v>
      </x:c>
      <x:c r="E111" s="46" t="n">
        <x:f>D111*(C111-1)</x:f>
        <x:v>-0.3321247125335963</x:v>
      </x:c>
      <x:c r="F111" s="2"/>
      <x:c r="G111" s="2"/>
      <x:c r="H111" s="2"/>
    </x:row>
    <x:row r="112" ht="22" customHeight="1">
      <x:c r="A112" s="2" t="n">
        <x:v>106</x:v>
      </x:c>
      <x:c r="B112" s="79" t="n">
        <x:v>0.42386318604859674</x:v>
      </x:c>
      <x:c r="C112" s="46" t="n">
        <x:f>B112^2</x:f>
        <x:v>0.17966000048726732</x:v>
      </x:c>
      <x:c r="D112" s="47" t="n">
        <x:f>'Datos'!$B$26^3/3</x:f>
        <x:v>0.3333333333333333</x:v>
      </x:c>
      <x:c r="E112" s="46" t="n">
        <x:f>D112*(C112-1)</x:f>
        <x:v>-0.2734466665042442</x:v>
      </x:c>
      <x:c r="F112" s="2"/>
      <x:c r="G112" s="2"/>
      <x:c r="H112" s="2"/>
    </x:row>
    <x:row r="113" ht="22" customHeight="1">
      <x:c r="A113" s="2" t="n">
        <x:v>107</x:v>
      </x:c>
      <x:c r="B113" s="79" t="n">
        <x:v>1.1453661998187743</x:v>
      </x:c>
      <x:c r="C113" s="46" t="n">
        <x:f>B113^2</x:f>
        <x:v>1.3118637316873005</x:v>
      </x:c>
      <x:c r="D113" s="47" t="n">
        <x:f>'Datos'!$B$26^3/3</x:f>
        <x:v>0.3333333333333333</x:v>
      </x:c>
      <x:c r="E113" s="46" t="n">
        <x:f>D113*(C113-1)</x:f>
        <x:v>0.10395457722910018</x:v>
      </x:c>
      <x:c r="F113" s="2"/>
      <x:c r="G113" s="2"/>
      <x:c r="H113" s="2"/>
    </x:row>
    <x:row r="114" ht="22" customHeight="1">
      <x:c r="A114" s="2" t="n">
        <x:v>108</x:v>
      </x:c>
      <x:c r="B114" s="79" t="n">
        <x:v>-1.2489957333680008</x:v>
      </x:c>
      <x:c r="C114" s="46" t="n">
        <x:f>B114^2</x:f>
        <x:v>1.5599903419714702</x:v>
      </x:c>
      <x:c r="D114" s="47" t="n">
        <x:f>'Datos'!$B$26^3/3</x:f>
        <x:v>0.3333333333333333</x:v>
      </x:c>
      <x:c r="E114" s="46" t="n">
        <x:f>D114*(C114-1)</x:f>
        <x:v>0.1866634473238234</x:v>
      </x:c>
      <x:c r="F114" s="2"/>
      <x:c r="G114" s="2"/>
      <x:c r="H114" s="2"/>
    </x:row>
    <x:row r="115" ht="22" customHeight="1">
      <x:c r="A115" s="2" t="n">
        <x:v>109</x:v>
      </x:c>
      <x:c r="B115" s="79" t="n">
        <x:v>1.69475825095706</x:v>
      </x:c>
      <x:c r="C115" s="46" t="n">
        <x:f>B115^2</x:f>
        <x:v>2.872205529187033</x:v>
      </x:c>
      <x:c r="D115" s="47" t="n">
        <x:f>'Datos'!$B$26^3/3</x:f>
        <x:v>0.3333333333333333</x:v>
      </x:c>
      <x:c r="E115" s="46" t="n">
        <x:f>D115*(C115-1)</x:f>
        <x:v>0.624068509729011</x:v>
      </x:c>
      <x:c r="F115" s="2"/>
      <x:c r="G115" s="2"/>
      <x:c r="H115" s="2"/>
    </x:row>
    <x:row r="116" ht="22" customHeight="1">
      <x:c r="A116" s="2" t="n">
        <x:v>110</x:v>
      </x:c>
      <x:c r="B116" s="79" t="n">
        <x:v>-0.47319177418037506</x:v>
      </x:c>
      <x:c r="C116" s="46" t="n">
        <x:f>B116^2</x:f>
        <x:v>0.22391045515197106</x:v>
      </x:c>
      <x:c r="D116" s="47" t="n">
        <x:f>'Datos'!$B$26^3/3</x:f>
        <x:v>0.3333333333333333</x:v>
      </x:c>
      <x:c r="E116" s="46" t="n">
        <x:f>D116*(C116-1)</x:f>
        <x:v>-0.258696514949343</x:v>
      </x:c>
      <x:c r="F116" s="2"/>
      <x:c r="G116" s="2"/>
      <x:c r="H116" s="2"/>
    </x:row>
    <x:row r="117" ht="22" customHeight="1">
      <x:c r="A117" s="2" t="n">
        <x:v>111</x:v>
      </x:c>
      <x:c r="B117" s="79" t="n">
        <x:v>-0.8454057035874887</x:v>
      </x:c>
      <x:c r="C117" s="46" t="n">
        <x:f>B117^2</x:f>
        <x:v>0.7147108036582568</x:v>
      </x:c>
      <x:c r="D117" s="47" t="n">
        <x:f>'Datos'!$B$26^3/3</x:f>
        <x:v>0.3333333333333333</x:v>
      </x:c>
      <x:c r="E117" s="46" t="n">
        <x:f>D117*(C117-1)</x:f>
        <x:v>-0.09509639878058107</x:v>
      </x:c>
      <x:c r="F117" s="2"/>
      <x:c r="G117" s="2"/>
      <x:c r="H117" s="2"/>
    </x:row>
    <x:row r="118" ht="22" customHeight="1">
      <x:c r="A118" s="2" t="n">
        <x:v>112</x:v>
      </x:c>
      <x:c r="B118" s="79" t="n">
        <x:v>-0.20712835458394513</x:v>
      </x:c>
      <x:c r="C118" s="46" t="n">
        <x:f>B118^2</x:f>
        <x:v>0.0429021552726525</x:v>
      </x:c>
      <x:c r="D118" s="47" t="n">
        <x:f>'Datos'!$B$26^3/3</x:f>
        <x:v>0.3333333333333333</x:v>
      </x:c>
      <x:c r="E118" s="46" t="n">
        <x:f>D118*(C118-1)</x:f>
        <x:v>-0.31903261490911583</x:v>
      </x:c>
      <x:c r="F118" s="2"/>
      <x:c r="G118" s="2"/>
      <x:c r="H118" s="2"/>
    </x:row>
    <x:row r="119" ht="22" customHeight="1">
      <x:c r="A119" s="2" t="n">
        <x:v>113</x:v>
      </x:c>
      <x:c r="B119" s="79" t="n">
        <x:v>-0.2915441240312727</x:v>
      </x:c>
      <x:c r="C119" s="46" t="n">
        <x:f>B119^2</x:f>
        <x:v>0.08499797625716213</x:v>
      </x:c>
      <x:c r="D119" s="47" t="n">
        <x:f>'Datos'!$B$26^3/3</x:f>
        <x:v>0.3333333333333333</x:v>
      </x:c>
      <x:c r="E119" s="46" t="n">
        <x:f>D119*(C119-1)</x:f>
        <x:v>-0.30500067458094593</x:v>
      </x:c>
      <x:c r="F119" s="2"/>
      <x:c r="G119" s="2"/>
      <x:c r="H119" s="2"/>
    </x:row>
    <x:row r="120" ht="22" customHeight="1">
      <x:c r="A120" s="2" t="n">
        <x:v>114</x:v>
      </x:c>
      <x:c r="B120" s="79" t="n">
        <x:v>0.24423902598634506</x:v>
      </x:c>
      <x:c r="C120" s="46" t="n">
        <x:f>B120^2</x:f>
        <x:v>0.059652701814758534</x:v>
      </x:c>
      <x:c r="D120" s="47" t="n">
        <x:f>'Datos'!$B$26^3/3</x:f>
        <x:v>0.3333333333333333</x:v>
      </x:c>
      <x:c r="E120" s="46" t="n">
        <x:f>D120*(C120-1)</x:f>
        <x:v>-0.3134490993950805</x:v>
      </x:c>
      <x:c r="F120" s="2"/>
      <x:c r="G120" s="2"/>
      <x:c r="H120" s="2"/>
    </x:row>
    <x:row r="121" ht="22" customHeight="1">
      <x:c r="A121" s="2" t="n">
        <x:v>115</x:v>
      </x:c>
      <x:c r="B121" s="79" t="n">
        <x:v>-0.03882268531207097</x:v>
      </x:c>
      <x:c r="C121" s="46" t="n">
        <x:f>B121^2</x:f>
        <x:v>0.001507200894840091</x:v>
      </x:c>
      <x:c r="D121" s="47" t="n">
        <x:f>'Datos'!$B$26^3/3</x:f>
        <x:v>0.3333333333333333</x:v>
      </x:c>
      <x:c r="E121" s="46" t="n">
        <x:f>D121*(C121-1)</x:f>
        <x:v>-0.3328309330350533</x:v>
      </x:c>
      <x:c r="F121" s="2"/>
      <x:c r="G121" s="2"/>
      <x:c r="H121" s="2"/>
    </x:row>
    <x:row r="122" ht="22" customHeight="1">
      <x:c r="A122" s="2" t="n">
        <x:v>116</x:v>
      </x:c>
      <x:c r="B122" s="79" t="n">
        <x:v>0.05362104399152414</x:v>
      </x:c>
      <x:c r="C122" s="46" t="n">
        <x:f>B122^2</x:f>
        <x:v>0.0028752163587409674</x:v>
      </x:c>
      <x:c r="D122" s="47" t="n">
        <x:f>'Datos'!$B$26^3/3</x:f>
        <x:v>0.3333333333333333</x:v>
      </x:c>
      <x:c r="E122" s="46" t="n">
        <x:f>D122*(C122-1)</x:f>
        <x:v>-0.33237492788041967</x:v>
      </x:c>
      <x:c r="F122" s="2"/>
      <x:c r="G122" s="2"/>
      <x:c r="H122" s="2"/>
    </x:row>
    <x:row r="123" ht="22" customHeight="1">
      <x:c r="A123" s="2" t="n">
        <x:v>117</x:v>
      </x:c>
      <x:c r="B123" s="79" t="n">
        <x:v>0.9193773908400524</x:v>
      </x:c>
      <x:c r="C123" s="46" t="n">
        <x:f>B123^2</x:f>
        <x:v>0.8452547867878625</x:v>
      </x:c>
      <x:c r="D123" s="47" t="n">
        <x:f>'Datos'!$B$26^3/3</x:f>
        <x:v>0.3333333333333333</x:v>
      </x:c>
      <x:c r="E123" s="46" t="n">
        <x:f>D123*(C123-1)</x:f>
        <x:v>-0.051581737737379174</x:v>
      </x:c>
      <x:c r="F123" s="2"/>
      <x:c r="G123" s="2"/>
      <x:c r="H123" s="2"/>
    </x:row>
    <x:row r="124" ht="22" customHeight="1">
      <x:c r="A124" s="2" t="n">
        <x:v>118</x:v>
      </x:c>
      <x:c r="B124" s="79" t="n">
        <x:v>-0.7417393025074646</x:v>
      </x:c>
      <x:c r="C124" s="46" t="n">
        <x:f>B124^2</x:f>
        <x:v>0.55017719288426</x:v>
      </x:c>
      <x:c r="D124" s="47" t="n">
        <x:f>'Datos'!$B$26^3/3</x:f>
        <x:v>0.3333333333333333</x:v>
      </x:c>
      <x:c r="E124" s="46" t="n">
        <x:f>D124*(C124-1)</x:f>
        <x:v>-0.14994093570524664</x:v>
      </x:c>
      <x:c r="F124" s="2"/>
      <x:c r="G124" s="2"/>
      <x:c r="H124" s="2"/>
    </x:row>
    <x:row r="125" ht="22" customHeight="1">
      <x:c r="A125" s="2" t="n">
        <x:v>119</x:v>
      </x:c>
      <x:c r="B125" s="79" t="n">
        <x:v>0.4963690936703858</x:v>
      </x:c>
      <x:c r="C125" s="46" t="n">
        <x:f>B125^2</x:f>
        <x:v>0.2463822771511602</x:v>
      </x:c>
      <x:c r="D125" s="47" t="n">
        <x:f>'Datos'!$B$26^3/3</x:f>
        <x:v>0.3333333333333333</x:v>
      </x:c>
      <x:c r="E125" s="46" t="n">
        <x:f>D125*(C125-1)</x:f>
        <x:v>-0.2512059076162799</x:v>
      </x:c>
      <x:c r="F125" s="2"/>
      <x:c r="G125" s="2"/>
      <x:c r="H125" s="2"/>
    </x:row>
    <x:row r="126" ht="22" customHeight="1">
      <x:c r="A126" s="2" t="n">
        <x:v>120</x:v>
      </x:c>
      <x:c r="B126" s="79" t="n">
        <x:v>1.0966250609080344</x:v>
      </x:c>
      <x:c r="C126" s="46" t="n">
        <x:f>B126^2</x:f>
        <x:v>1.20258652421155</x:v>
      </x:c>
      <x:c r="D126" s="47" t="n">
        <x:f>'Datos'!$B$26^3/3</x:f>
        <x:v>0.3333333333333333</x:v>
      </x:c>
      <x:c r="E126" s="46" t="n">
        <x:f>D126*(C126-1)</x:f>
        <x:v>0.06752884140385003</x:v>
      </x:c>
      <x:c r="F126" s="2"/>
      <x:c r="G126" s="2"/>
      <x:c r="H126" s="2"/>
    </x:row>
    <x:row r="127" ht="22" customHeight="1">
      <x:c r="A127" s="2" t="n">
        <x:v>121</x:v>
      </x:c>
      <x:c r="B127" s="79" t="n">
        <x:v>-0.01891787428085647</x:v>
      </x:c>
      <x:c r="C127" s="46" t="n">
        <x:f>B127^2</x:f>
        <x:v>0.00035788596730629074</x:v>
      </x:c>
      <x:c r="D127" s="47" t="n">
        <x:f>'Datos'!$B$26^3/3</x:f>
        <x:v>0.3333333333333333</x:v>
      </x:c>
      <x:c r="E127" s="46" t="n">
        <x:f>D127*(C127-1)</x:f>
        <x:v>-0.3332140380108979</x:v>
      </x:c>
      <x:c r="F127" s="2"/>
      <x:c r="G127" s="2"/>
      <x:c r="H127" s="2"/>
    </x:row>
    <x:row r="128" ht="22" customHeight="1">
      <x:c r="A128" s="2" t="n">
        <x:v>122</x:v>
      </x:c>
      <x:c r="B128" s="79" t="n">
        <x:v>-0.5296544222076063</x:v>
      </x:c>
      <x:c r="C128" s="46" t="n">
        <x:f>B128^2</x:f>
        <x:v>0.28053380696407326</x:v>
      </x:c>
      <x:c r="D128" s="47" t="n">
        <x:f>'Datos'!$B$26^3/3</x:f>
        <x:v>0.3333333333333333</x:v>
      </x:c>
      <x:c r="E128" s="46" t="n">
        <x:f>D128*(C128-1)</x:f>
        <x:v>-0.2398220643453089</x:v>
      </x:c>
      <x:c r="F128" s="2"/>
      <x:c r="G128" s="2"/>
      <x:c r="H128" s="2"/>
    </x:row>
    <x:row r="129" ht="22" customHeight="1">
      <x:c r="A129" s="2" t="n">
        <x:v>123</x:v>
      </x:c>
      <x:c r="B129" s="79" t="n">
        <x:v>0.8570716292405341</x:v>
      </x:c>
      <x:c r="C129" s="46" t="n">
        <x:f>B129^2</x:f>
        <x:v>0.7345717776490236</x:v>
      </x:c>
      <x:c r="D129" s="47" t="n">
        <x:f>'Datos'!$B$26^3/3</x:f>
        <x:v>0.3333333333333333</x:v>
      </x:c>
      <x:c r="E129" s="46" t="n">
        <x:f>D129*(C129-1)</x:f>
        <x:v>-0.08847607411699213</x:v>
      </x:c>
      <x:c r="F129" s="2"/>
      <x:c r="G129" s="2"/>
      <x:c r="H129" s="2"/>
    </x:row>
    <x:row r="130" ht="22" customHeight="1">
      <x:c r="A130" s="2" t="n">
        <x:v>124</x:v>
      </x:c>
      <x:c r="B130" s="79" t="n">
        <x:v>-0.9867764547686998</x:v>
      </x:c>
      <x:c r="C130" s="46" t="n">
        <x:f>B130^2</x:f>
        <x:v>0.9737277716858839</x:v>
      </x:c>
      <x:c r="D130" s="47" t="n">
        <x:f>'Datos'!$B$26^3/3</x:f>
        <x:v>0.3333333333333333</x:v>
      </x:c>
      <x:c r="E130" s="46" t="n">
        <x:f>D130*(C130-1)</x:f>
        <x:v>-0.00875740943803871</x:v>
      </x:c>
      <x:c r="F130" s="2"/>
      <x:c r="G130" s="2"/>
      <x:c r="H130" s="2"/>
    </x:row>
    <x:row r="131" ht="22" customHeight="1">
      <x:c r="A131" s="2" t="n">
        <x:v>125</x:v>
      </x:c>
      <x:c r="B131" s="79" t="n">
        <x:v>2.016573791218907</x:v>
      </x:c>
      <x:c r="C131" s="46" t="n">
        <x:f>B131^2</x:f>
        <x:v>4.066569855430996</x:v>
      </x:c>
      <x:c r="D131" s="47" t="n">
        <x:f>'Datos'!$B$26^3/3</x:f>
        <x:v>0.3333333333333333</x:v>
      </x:c>
      <x:c r="E131" s="46" t="n">
        <x:f>D131*(C131-1)</x:f>
        <x:v>1.022189951810332</x:v>
      </x:c>
      <x:c r="F131" s="2"/>
      <x:c r="G131" s="2"/>
      <x:c r="H131" s="2"/>
    </x:row>
    <x:row r="132" ht="22" customHeight="1">
      <x:c r="A132" s="2" t="n">
        <x:v>126</x:v>
      </x:c>
      <x:c r="B132" s="79" t="n">
        <x:v>1.8665002019022316</x:v>
      </x:c>
      <x:c r="C132" s="46" t="n">
        <x:f>B132^2</x:f>
        <x:v>3.4838230037010716</x:v>
      </x:c>
      <x:c r="D132" s="47" t="n">
        <x:f>'Datos'!$B$26^3/3</x:f>
        <x:v>0.3333333333333333</x:v>
      </x:c>
      <x:c r="E132" s="46" t="n">
        <x:f>D132*(C132-1)</x:f>
        <x:v>0.8279410012336905</x:v>
      </x:c>
      <x:c r="F132" s="2"/>
      <x:c r="G132" s="2"/>
      <x:c r="H132" s="2"/>
    </x:row>
    <x:row r="133" ht="22" customHeight="1">
      <x:c r="A133" s="2" t="n">
        <x:v>127</x:v>
      </x:c>
      <x:c r="B133" s="79" t="n">
        <x:v>-1.6033209945375806</x:v>
      </x:c>
      <x:c r="C133" s="46" t="n">
        <x:f>B133^2</x:f>
        <x:v>2.5706382115249764</x:v>
      </x:c>
      <x:c r="D133" s="47" t="n">
        <x:f>'Datos'!$B$26^3/3</x:f>
        <x:v>0.3333333333333333</x:v>
      </x:c>
      <x:c r="E133" s="46" t="n">
        <x:f>D133*(C133-1)</x:f>
        <x:v>0.5235460705083255</x:v>
      </x:c>
      <x:c r="F133" s="2"/>
      <x:c r="G133" s="2"/>
      <x:c r="H133" s="2"/>
    </x:row>
    <x:row r="134" ht="22" customHeight="1">
      <x:c r="A134" s="2" t="n">
        <x:v>128</x:v>
      </x:c>
      <x:c r="B134" s="79" t="n">
        <x:v>-0.5708518510442242</x:v>
      </x:c>
      <x:c r="C134" s="46" t="n">
        <x:f>B134^2</x:f>
        <x:v>0.32587183584061713</x:v>
      </x:c>
      <x:c r="D134" s="47" t="n">
        <x:f>'Datos'!$B$26^3/3</x:f>
        <x:v>0.3333333333333333</x:v>
      </x:c>
      <x:c r="E134" s="46" t="n">
        <x:f>D134*(C134-1)</x:f>
        <x:v>-0.2247093880531276</x:v>
      </x:c>
      <x:c r="F134" s="2"/>
      <x:c r="G134" s="2"/>
      <x:c r="H134" s="2"/>
    </x:row>
    <x:row r="135" ht="22" customHeight="1">
      <x:c r="A135" s="2" t="n">
        <x:v>129</x:v>
      </x:c>
      <x:c r="B135" s="79" t="n">
        <x:v>0.4519463901502835</x:v>
      </x:c>
      <x:c r="C135" s="46" t="n">
        <x:f>B135^2</x:f>
        <x:v>0.20425553956987225</x:v>
      </x:c>
      <x:c r="D135" s="47" t="n">
        <x:f>'Datos'!$B$26^3/3</x:f>
        <x:v>0.3333333333333333</x:v>
      </x:c>
      <x:c r="E135" s="46" t="n">
        <x:f>D135*(C135-1)</x:f>
        <x:v>-0.26524815347670927</x:v>
      </x:c>
      <x:c r="F135" s="2"/>
      <x:c r="G135" s="2"/>
      <x:c r="H135" s="2"/>
    </x:row>
    <x:row r="136" ht="22" customHeight="1">
      <x:c r="A136" s="2" t="n">
        <x:v>130</x:v>
      </x:c>
      <x:c r="B136" s="79" t="n">
        <x:v>1.1940370075843367</x:v>
      </x:c>
      <x:c r="C136" s="46" t="n">
        <x:f>B136^2</x:f>
        <x:v>1.4257243754809574</x:v>
      </x:c>
      <x:c r="D136" s="47" t="n">
        <x:f>'Datos'!$B$26^3/3</x:f>
        <x:v>0.3333333333333333</x:v>
      </x:c>
      <x:c r="E136" s="46" t="n">
        <x:f>D136*(C136-1)</x:f>
        <x:v>0.14190812516031914</x:v>
      </x:c>
      <x:c r="F136" s="2"/>
      <x:c r="G136" s="2"/>
      <x:c r="H136" s="2"/>
    </x:row>
    <x:row r="137" ht="22" customHeight="1">
      <x:c r="A137" s="2" t="n">
        <x:v>131</x:v>
      </x:c>
      <x:c r="B137" s="79" t="n">
        <x:v>-0.29558107472285455</x:v>
      </x:c>
      <x:c r="C137" s="46" t="n">
        <x:f>B137^2</x:f>
        <x:v>0.08736817173431773</x:v>
      </x:c>
      <x:c r="D137" s="47" t="n">
        <x:f>'Datos'!$B$26^3/3</x:f>
        <x:v>0.3333333333333333</x:v>
      </x:c>
      <x:c r="E137" s="46" t="n">
        <x:f>D137*(C137-1)</x:f>
        <x:v>-0.30421060942189404</x:v>
      </x:c>
      <x:c r="F137" s="2"/>
      <x:c r="G137" s="2"/>
      <x:c r="H137" s="2"/>
    </x:row>
    <x:row r="138" ht="22" customHeight="1">
      <x:c r="A138" s="2" t="n">
        <x:v>132</x:v>
      </x:c>
      <x:c r="B138" s="79" t="n">
        <x:v>1.1731569990541173</x:v>
      </x:c>
      <x:c r="C138" s="46" t="n">
        <x:f>B138^2</x:f>
        <x:v>1.3762973444296622</x:v>
      </x:c>
      <x:c r="D138" s="47" t="n">
        <x:f>'Datos'!$B$26^3/3</x:f>
        <x:v>0.3333333333333333</x:v>
      </x:c>
      <x:c r="E138" s="46" t="n">
        <x:f>D138*(C138-1)</x:f>
        <x:v>0.12543244814322074</x:v>
      </x:c>
      <x:c r="F138" s="2"/>
      <x:c r="G138" s="2"/>
      <x:c r="H138" s="2"/>
    </x:row>
    <x:row r="139" ht="22" customHeight="1">
      <x:c r="A139" s="2" t="n">
        <x:v>133</x:v>
      </x:c>
      <x:c r="B139" s="79" t="n">
        <x:v>-0.9735174707025562</x:v>
      </x:c>
      <x:c r="C139" s="46" t="n">
        <x:f>B139^2</x:f>
        <x:v>0.9477362657631024</x:v>
      </x:c>
      <x:c r="D139" s="47" t="n">
        <x:f>'Datos'!$B$26^3/3</x:f>
        <x:v>0.3333333333333333</x:v>
      </x:c>
      <x:c r="E139" s="46" t="n">
        <x:f>D139*(C139-1)</x:f>
        <x:v>-0.01742124474563252</x:v>
      </x:c>
      <x:c r="F139" s="2"/>
      <x:c r="G139" s="2"/>
      <x:c r="H139" s="2"/>
    </x:row>
    <x:row r="140" ht="22" customHeight="1">
      <x:c r="A140" s="2" t="n">
        <x:v>134</x:v>
      </x:c>
      <x:c r="B140" s="79" t="n">
        <x:v>-0.04024871307732773</x:v>
      </x:c>
      <x:c r="C140" s="46" t="n">
        <x:f>B140^2</x:f>
        <x:v>0.0016199589043810524</x:v>
      </x:c>
      <x:c r="D140" s="47" t="n">
        <x:f>'Datos'!$B$26^3/3</x:f>
        <x:v>0.3333333333333333</x:v>
      </x:c>
      <x:c r="E140" s="46" t="n">
        <x:f>D140*(C140-1)</x:f>
        <x:v>-0.33279334703187297</x:v>
      </x:c>
      <x:c r="F140" s="2"/>
      <x:c r="G140" s="2"/>
      <x:c r="H140" s="2"/>
    </x:row>
    <x:row r="141" ht="22" customHeight="1">
      <x:c r="A141" s="2" t="n">
        <x:v>135</x:v>
      </x:c>
      <x:c r="B141" s="79" t="n">
        <x:v>-0.5704589954684571</x:v>
      </x:c>
      <x:c r="C141" s="46" t="n">
        <x:f>B141^2</x:f>
        <x:v>0.3254234655108812</x:v>
      </x:c>
      <x:c r="D141" s="47" t="n">
        <x:f>'Datos'!$B$26^3/3</x:f>
        <x:v>0.3333333333333333</x:v>
      </x:c>
      <x:c r="E141" s="46" t="n">
        <x:f>D141*(C141-1)</x:f>
        <x:v>-0.22485884482970625</x:v>
      </x:c>
      <x:c r="F141" s="2"/>
      <x:c r="G141" s="2"/>
      <x:c r="H141" s="2"/>
    </x:row>
    <x:row r="142" ht="22" customHeight="1">
      <x:c r="A142" s="2" t="n">
        <x:v>136</x:v>
      </x:c>
      <x:c r="B142" s="79" t="n">
        <x:v>0.32773157209992904</x:v>
      </x:c>
      <x:c r="C142" s="46" t="n">
        <x:f>B142^2</x:f>
        <x:v>0.10740798335109099</x:v>
      </x:c>
      <x:c r="D142" s="47" t="n">
        <x:f>'Datos'!$B$26^3/3</x:f>
        <x:v>0.3333333333333333</x:v>
      </x:c>
      <x:c r="E142" s="46" t="n">
        <x:f>D142*(C142-1)</x:f>
        <x:v>-0.29753067221630297</x:v>
      </x:c>
      <x:c r="F142" s="2"/>
      <x:c r="G142" s="2"/>
      <x:c r="H142" s="2"/>
    </x:row>
    <x:row r="143" ht="22" customHeight="1">
      <x:c r="A143" s="2" t="n">
        <x:v>137</x:v>
      </x:c>
      <x:c r="B143" s="79" t="n">
        <x:v>0.9834830777253185</x:v>
      </x:c>
      <x:c r="C143" s="46" t="n">
        <x:f>B143^2</x:f>
        <x:v>0.9672389641720649</x:v>
      </x:c>
      <x:c r="D143" s="47" t="n">
        <x:f>'Datos'!$B$26^3/3</x:f>
        <x:v>0.3333333333333333</x:v>
      </x:c>
      <x:c r="E143" s="46" t="n">
        <x:f>D143*(C143-1)</x:f>
        <x:v>-0.010920345275978367</x:v>
      </x:c>
      <x:c r="F143" s="2"/>
      <x:c r="G143" s="2"/>
      <x:c r="H143" s="2"/>
    </x:row>
    <x:row r="144" ht="22" customHeight="1">
      <x:c r="A144" s="2" t="n">
        <x:v>138</x:v>
      </x:c>
      <x:c r="B144" s="79" t="n">
        <x:v>1.3400275894188283</x:v>
      </x:c>
      <x:c r="C144" s="46" t="n">
        <x:f>B144^2</x:f>
        <x:v>1.7956739404036357</x:v>
      </x:c>
      <x:c r="D144" s="47" t="n">
        <x:f>'Datos'!$B$26^3/3</x:f>
        <x:v>0.3333333333333333</x:v>
      </x:c>
      <x:c r="E144" s="46" t="n">
        <x:f>D144*(C144-1)</x:f>
        <x:v>0.2652246468012119</x:v>
      </x:c>
      <x:c r="F144" s="2"/>
      <x:c r="G144" s="2"/>
      <x:c r="H144" s="2"/>
    </x:row>
    <x:row r="145" ht="22" customHeight="1">
      <x:c r="A145" s="2" t="n">
        <x:v>139</x:v>
      </x:c>
      <x:c r="B145" s="79" t="n">
        <x:v>0.1395946402449329</x:v>
      </x:c>
      <x:c r="C145" s="46" t="n">
        <x:f>B145^2</x:f>
        <x:v>0.01948666358511224</x:v>
      </x:c>
      <x:c r="D145" s="47" t="n">
        <x:f>'Datos'!$B$26^3/3</x:f>
        <x:v>0.3333333333333333</x:v>
      </x:c>
      <x:c r="E145" s="46" t="n">
        <x:f>D145*(C145-1)</x:f>
        <x:v>-0.32683777880496256</x:v>
      </x:c>
      <x:c r="F145" s="2"/>
      <x:c r="G145" s="2"/>
      <x:c r="H145" s="2"/>
    </x:row>
    <x:row r="146" ht="22" customHeight="1">
      <x:c r="A146" s="2" t="n">
        <x:v>140</x:v>
      </x:c>
      <x:c r="B146" s="79" t="n">
        <x:v>0.19840966434187893</x:v>
      </x:c>
      <x:c r="C146" s="46" t="n">
        <x:f>B146^2</x:f>
        <x:v>0.039366394904257064</x:v>
      </x:c>
      <x:c r="D146" s="47" t="n">
        <x:f>'Datos'!$B$26^3/3</x:f>
        <x:v>0.3333333333333333</x:v>
      </x:c>
      <x:c r="E146" s="46" t="n">
        <x:f>D146*(C146-1)</x:f>
        <x:v>-0.32021120169858097</x:v>
      </x:c>
      <x:c r="F146" s="2"/>
      <x:c r="G146" s="2"/>
      <x:c r="H146" s="2"/>
    </x:row>
    <x:row r="147" ht="22" customHeight="1">
      <x:c r="A147" s="2" t="n">
        <x:v>141</x:v>
      </x:c>
      <x:c r="B147" s="79" t="n">
        <x:v>0.9687921507539203</x:v>
      </x:c>
      <x:c r="C147" s="46" t="n">
        <x:f>B147^2</x:f>
        <x:v>0.9385582313624067</x:v>
      </x:c>
      <x:c r="D147" s="47" t="n">
        <x:f>'Datos'!$B$26^3/3</x:f>
        <x:v>0.3333333333333333</x:v>
      </x:c>
      <x:c r="E147" s="46" t="n">
        <x:f>D147*(C147-1)</x:f>
        <x:v>-0.020480589545864437</x:v>
      </x:c>
      <x:c r="F147" s="2"/>
      <x:c r="G147" s="2"/>
      <x:c r="H147" s="2"/>
    </x:row>
    <x:row r="148" ht="22" customHeight="1">
      <x:c r="A148" s="2" t="n">
        <x:v>142</x:v>
      </x:c>
      <x:c r="B148" s="79" t="n">
        <x:v>0.7159894778471223</x:v>
      </x:c>
      <x:c r="C148" s="46" t="n">
        <x:f>B148^2</x:f>
        <x:v>0.5126409323877948</x:v>
      </x:c>
      <x:c r="D148" s="47" t="n">
        <x:f>'Datos'!$B$26^3/3</x:f>
        <x:v>0.3333333333333333</x:v>
      </x:c>
      <x:c r="E148" s="46" t="n">
        <x:f>D148*(C148-1)</x:f>
        <x:v>-0.1624530225374017</x:v>
      </x:c>
      <x:c r="F148" s="2"/>
      <x:c r="G148" s="2"/>
      <x:c r="H148" s="2"/>
    </x:row>
    <x:row r="149" ht="22" customHeight="1">
      <x:c r="A149" s="2" t="n">
        <x:v>143</x:v>
      </x:c>
      <x:c r="B149" s="79" t="n">
        <x:v>-1.1960709772701983</x:v>
      </x:c>
      <x:c r="C149" s="46" t="n">
        <x:f>B149^2</x:f>
        <x:v>1.4305857826680872</x:v>
      </x:c>
      <x:c r="D149" s="47" t="n">
        <x:f>'Datos'!$B$26^3/3</x:f>
        <x:v>0.3333333333333333</x:v>
      </x:c>
      <x:c r="E149" s="46" t="n">
        <x:f>D149*(C149-1)</x:f>
        <x:v>0.14352859422269573</x:v>
      </x:c>
      <x:c r="F149" s="2"/>
      <x:c r="G149" s="2"/>
      <x:c r="H149" s="2"/>
    </x:row>
    <x:row r="150" ht="22" customHeight="1">
      <x:c r="A150" s="2" t="n">
        <x:v>144</x:v>
      </x:c>
      <x:c r="B150" s="79" t="n">
        <x:v>1.0677572062955758</x:v>
      </x:c>
      <x:c r="C150" s="46" t="n">
        <x:f>B150^2</x:f>
        <x:v>1.1401054515961329</x:v>
      </x:c>
      <x:c r="D150" s="47" t="n">
        <x:f>'Datos'!$B$26^3/3</x:f>
        <x:v>0.3333333333333333</x:v>
      </x:c>
      <x:c r="E150" s="46" t="n">
        <x:f>D150*(C150-1)</x:f>
        <x:v>0.04670181719871095</x:v>
      </x:c>
      <x:c r="F150" s="2"/>
      <x:c r="G150" s="2"/>
      <x:c r="H150" s="2"/>
    </x:row>
    <x:row r="151" ht="22" customHeight="1">
      <x:c r="A151" s="2" t="n">
        <x:v>145</x:v>
      </x:c>
      <x:c r="B151" s="79" t="n">
        <x:v>-0.36103442426796417</x:v>
      </x:c>
      <x:c r="C151" s="46" t="n">
        <x:f>B151^2</x:f>
        <x:v>0.13034585550650035</x:v>
      </x:c>
      <x:c r="D151" s="47" t="n">
        <x:f>'Datos'!$B$26^3/3</x:f>
        <x:v>0.3333333333333333</x:v>
      </x:c>
      <x:c r="E151" s="46" t="n">
        <x:f>D151*(C151-1)</x:f>
        <x:v>-0.2898847148311665</x:v>
      </x:c>
      <x:c r="F151" s="2"/>
      <x:c r="G151" s="2"/>
      <x:c r="H151" s="2"/>
    </x:row>
    <x:row r="152" ht="22" customHeight="1">
      <x:c r="A152" s="2" t="n">
        <x:v>146</x:v>
      </x:c>
      <x:c r="B152" s="79" t="n">
        <x:v>-0.282856507858314</x:v>
      </x:c>
      <x:c r="C152" s="46" t="n">
        <x:f>B152^2</x:f>
        <x:v>0.08000780403780046</x:v>
      </x:c>
      <x:c r="D152" s="47" t="n">
        <x:f>'Datos'!$B$26^3/3</x:f>
        <x:v>0.3333333333333333</x:v>
      </x:c>
      <x:c r="E152" s="46" t="n">
        <x:f>D152*(C152-1)</x:f>
        <x:v>-0.30666406532073315</x:v>
      </x:c>
      <x:c r="F152" s="2"/>
      <x:c r="G152" s="2"/>
      <x:c r="H152" s="2"/>
    </x:row>
    <x:row r="153" ht="22" customHeight="1">
      <x:c r="A153" s="2" t="n">
        <x:v>147</x:v>
      </x:c>
      <x:c r="B153" s="79" t="n">
        <x:v>-0.07191437066311161</x:v>
      </x:c>
      <x:c r="C153" s="46" t="n">
        <x:f>B153^2</x:f>
        <x:v>0.005171676707871408</x:v>
      </x:c>
      <x:c r="D153" s="47" t="n">
        <x:f>'Datos'!$B$26^3/3</x:f>
        <x:v>0.3333333333333333</x:v>
      </x:c>
      <x:c r="E153" s="46" t="n">
        <x:f>D153*(C153-1)</x:f>
        <x:v>-0.33160944109737617</x:v>
      </x:c>
      <x:c r="F153" s="2"/>
      <x:c r="G153" s="2"/>
      <x:c r="H153" s="2"/>
    </x:row>
    <x:row r="154" ht="22" customHeight="1">
      <x:c r="A154" s="2" t="n">
        <x:v>148</x:v>
      </x:c>
      <x:c r="B154" s="79" t="n">
        <x:v>0.0997712471676023</x:v>
      </x:c>
      <x:c r="C154" s="46" t="n">
        <x:f>B154^2</x:f>
        <x:v>0.00995430176137879</x:v>
      </x:c>
      <x:c r="D154" s="47" t="n">
        <x:f>'Datos'!$B$26^3/3</x:f>
        <x:v>0.3333333333333333</x:v>
      </x:c>
      <x:c r="E154" s="46" t="n">
        <x:f>D154*(C154-1)</x:f>
        <x:v>-0.33001523274620703</x:v>
      </x:c>
      <x:c r="F154" s="2"/>
      <x:c r="G154" s="2"/>
      <x:c r="H154" s="2"/>
    </x:row>
    <x:row r="155" ht="22" customHeight="1">
      <x:c r="A155" s="2" t="n">
        <x:v>149</x:v>
      </x:c>
      <x:c r="B155" s="79" t="n">
        <x:v>-1.1914936962551508</x:v>
      </x:c>
      <x:c r="C155" s="46" t="n">
        <x:f>B155^2</x:f>
        <x:v>1.4196572282157616</x:v>
      </x:c>
      <x:c r="D155" s="47" t="n">
        <x:f>'Datos'!$B$26^3/3</x:f>
        <x:v>0.3333333333333333</x:v>
      </x:c>
      <x:c r="E155" s="46" t="n">
        <x:f>D155*(C155-1)</x:f>
        <x:v>0.13988574273858717</x:v>
      </x:c>
      <x:c r="F155" s="2"/>
      <x:c r="G155" s="2"/>
      <x:c r="H155" s="2"/>
    </x:row>
    <x:row r="156" ht="22" customHeight="1">
      <x:c r="A156" s="2" t="n">
        <x:v>150</x:v>
      </x:c>
      <x:c r="B156" s="79" t="n">
        <x:v>-0.6879882472974682</x:v>
      </x:c>
      <x:c r="C156" s="46" t="n">
        <x:f>B156^2</x:f>
        <x:v>0.47332782841944226</x:v>
      </x:c>
      <x:c r="D156" s="47" t="n">
        <x:f>'Datos'!$B$26^3/3</x:f>
        <x:v>0.3333333333333333</x:v>
      </x:c>
      <x:c r="E156" s="46" t="n">
        <x:f>D156*(C156-1)</x:f>
        <x:v>-0.1755573905268526</x:v>
      </x:c>
      <x:c r="F156" s="2"/>
      <x:c r="G156" s="2"/>
      <x:c r="H156" s="2"/>
    </x:row>
    <x:row r="157" ht="22" customHeight="1">
      <x:c r="A157" s="2" t="n">
        <x:v>151</x:v>
      </x:c>
      <x:c r="B157" s="79" t="n">
        <x:v>0.061095314599996016</x:v>
      </x:c>
      <x:c r="C157" s="46" t="n">
        <x:f>B157^2</x:f>
        <x:v>0.003732637466072486</x:v>
      </x:c>
      <x:c r="D157" s="47" t="n">
        <x:f>'Datos'!$B$26^3/3</x:f>
        <x:v>0.3333333333333333</x:v>
      </x:c>
      <x:c r="E157" s="46" t="n">
        <x:f>D157*(C157-1)</x:f>
        <x:v>-0.3320891208446425</x:v>
      </x:c>
      <x:c r="F157" s="2"/>
      <x:c r="G157" s="2"/>
      <x:c r="H157" s="2"/>
    </x:row>
    <x:row r="158" ht="22" customHeight="1">
      <x:c r="A158" s="2" t="n">
        <x:v>152</x:v>
      </x:c>
      <x:c r="B158" s="79" t="n">
        <x:v>0.007529873944225203</x:v>
      </x:c>
      <x:c r="C158" s="46" t="n">
        <x:f>B158^2</x:f>
        <x:v>0.00005669900161592161</x:v>
      </x:c>
      <x:c r="D158" s="47" t="n">
        <x:f>'Datos'!$B$26^3/3</x:f>
        <x:v>0.3333333333333333</x:v>
      </x:c>
      <x:c r="E158" s="46" t="n">
        <x:f>D158*(C158-1)</x:f>
        <x:v>-0.333314433666128</x:v>
      </x:c>
      <x:c r="F158" s="2"/>
      <x:c r="G158" s="2"/>
      <x:c r="H158" s="2"/>
    </x:row>
    <x:row r="159" ht="22" customHeight="1">
      <x:c r="A159" s="2" t="n">
        <x:v>153</x:v>
      </x:c>
      <x:c r="B159" s="79" t="n">
        <x:v>-1.1499291130687108</x:v>
      </x:c>
      <x:c r="C159" s="46" t="n">
        <x:f>B159^2</x:f>
        <x:v>1.322336965082992</x:v>
      </x:c>
      <x:c r="D159" s="47" t="n">
        <x:f>'Datos'!$B$26^3/3</x:f>
        <x:v>0.3333333333333333</x:v>
      </x:c>
      <x:c r="E159" s="46" t="n">
        <x:f>D159*(C159-1)</x:f>
        <x:v>0.10744565502766397</x:v>
      </x:c>
      <x:c r="F159" s="2"/>
      <x:c r="G159" s="2"/>
      <x:c r="H159" s="2"/>
    </x:row>
    <x:row r="160" ht="22" customHeight="1">
      <x:c r="A160" s="2" t="n">
        <x:v>154</x:v>
      </x:c>
      <x:c r="B160" s="79" t="n">
        <x:v>-0.2502861970353399</x:v>
      </x:c>
      <x:c r="C160" s="46" t="n">
        <x:f>B160^2</x:f>
        <x:v>0.06264318042641298</x:v>
      </x:c>
      <x:c r="D160" s="47" t="n">
        <x:f>'Datos'!$B$26^3/3</x:f>
        <x:v>0.3333333333333333</x:v>
      </x:c>
      <x:c r="E160" s="46" t="n">
        <x:f>D160*(C160-1)</x:f>
        <x:v>-0.3124522731911957</x:v>
      </x:c>
      <x:c r="F160" s="2"/>
      <x:c r="G160" s="2"/>
      <x:c r="H160" s="2"/>
    </x:row>
    <x:row r="161" ht="22" customHeight="1">
      <x:c r="A161" s="2" t="n">
        <x:v>155</x:v>
      </x:c>
      <x:c r="B161" s="79" t="n">
        <x:v>-0.9153803139462173</x:v>
      </x:c>
      <x:c r="C161" s="46" t="n">
        <x:f>B161^2</x:f>
        <x:v>0.8379211191602755</x:v>
      </x:c>
      <x:c r="D161" s="47" t="n">
        <x:f>'Datos'!$B$26^3/3</x:f>
        <x:v>0.3333333333333333</x:v>
      </x:c>
      <x:c r="E161" s="46" t="n">
        <x:f>D161*(C161-1)</x:f>
        <x:v>-0.054026293613241516</x:v>
      </x:c>
      <x:c r="F161" s="2"/>
      <x:c r="G161" s="2"/>
      <x:c r="H161" s="2"/>
    </x:row>
    <x:row r="162" ht="22" customHeight="1">
      <x:c r="A162" s="2" t="n">
        <x:v>156</x:v>
      </x:c>
      <x:c r="B162" s="79" t="n">
        <x:v>1.6895381211269842</x:v>
      </x:c>
      <x:c r="C162" s="46" t="n">
        <x:f>B162^2</x:f>
        <x:v>2.8545390627413</x:v>
      </x:c>
      <x:c r="D162" s="47" t="n">
        <x:f>'Datos'!$B$26^3/3</x:f>
        <x:v>0.3333333333333333</x:v>
      </x:c>
      <x:c r="E162" s="46" t="n">
        <x:f>D162*(C162-1)</x:f>
        <x:v>0.6181796875804333</x:v>
      </x:c>
      <x:c r="F162" s="2"/>
      <x:c r="G162" s="2"/>
      <x:c r="H162" s="2"/>
    </x:row>
    <x:row r="163" ht="22" customHeight="1">
      <x:c r="A163" s="2" t="n">
        <x:v>157</x:v>
      </x:c>
      <x:c r="B163" s="79" t="n">
        <x:v>-0.3760529035479331</x:v>
      </x:c>
      <x:c r="C163" s="46" t="n">
        <x:f>B163^2</x:f>
        <x:v>0.14141578626683107</x:v>
      </x:c>
      <x:c r="D163" s="47" t="n">
        <x:f>'Datos'!$B$26^3/3</x:f>
        <x:v>0.3333333333333333</x:v>
      </x:c>
      <x:c r="E163" s="46" t="n">
        <x:f>D163*(C163-1)</x:f>
        <x:v>-0.2861947379110563</x:v>
      </x:c>
      <x:c r="F163" s="2"/>
      <x:c r="G163" s="2"/>
      <x:c r="H163" s="2"/>
    </x:row>
    <x:row r="164" ht="22" customHeight="1">
      <x:c r="A164" s="2" t="n">
        <x:v>158</x:v>
      </x:c>
      <x:c r="B164" s="79" t="n">
        <x:v>-0.2363418163130677</x:v>
      </x:c>
      <x:c r="C164" s="46" t="n">
        <x:f>B164^2</x:f>
        <x:v>0.05585745413815983</x:v>
      </x:c>
      <x:c r="D164" s="47" t="n">
        <x:f>'Datos'!$B$26^3/3</x:f>
        <x:v>0.3333333333333333</x:v>
      </x:c>
      <x:c r="E164" s="46" t="n">
        <x:f>D164*(C164-1)</x:f>
        <x:v>-0.31471418195394674</x:v>
      </x:c>
      <x:c r="F164" s="2"/>
      <x:c r="G164" s="2"/>
      <x:c r="H164" s="2"/>
    </x:row>
    <x:row r="165" ht="22" customHeight="1">
      <x:c r="A165" s="2" t="n">
        <x:v>159</x:v>
      </x:c>
      <x:c r="B165" s="79" t="n">
        <x:v>-0.272169501290215</x:v>
      </x:c>
      <x:c r="C165" s="46" t="n">
        <x:f>B165^2</x:f>
        <x:v>0.07407623743256435</x:v>
      </x:c>
      <x:c r="D165" s="47" t="n">
        <x:f>'Datos'!$B$26^3/3</x:f>
        <x:v>0.3333333333333333</x:v>
      </x:c>
      <x:c r="E165" s="46" t="n">
        <x:f>D165*(C165-1)</x:f>
        <x:v>-0.30864125418914523</x:v>
      </x:c>
      <x:c r="F165" s="2"/>
      <x:c r="G165" s="2"/>
      <x:c r="H165" s="2"/>
    </x:row>
    <x:row r="166" ht="22" customHeight="1">
      <x:c r="A166" s="2" t="n">
        <x:v>160</x:v>
      </x:c>
      <x:c r="B166" s="79" t="n">
        <x:v>-1.0731038553591865</x:v>
      </x:c>
      <x:c r="C166" s="46" t="n">
        <x:f>B166^2</x:f>
        <x:v>1.1515518843867498</x:v>
      </x:c>
      <x:c r="D166" s="47" t="n">
        <x:f>'Datos'!$B$26^3/3</x:f>
        <x:v>0.3333333333333333</x:v>
      </x:c>
      <x:c r="E166" s="46" t="n">
        <x:f>D166*(C166-1)</x:f>
        <x:v>0.05051729479558327</x:v>
      </x:c>
      <x:c r="F166" s="2"/>
      <x:c r="G166" s="2"/>
      <x:c r="H166" s="2"/>
    </x:row>
    <x:row r="167" ht="22" customHeight="1">
      <x:c r="A167" s="2" t="n">
        <x:v>161</x:v>
      </x:c>
      <x:c r="B167" s="79" t="n">
        <x:v>0.30278928513789166</x:v>
      </x:c>
      <x:c r="C167" s="46" t="n">
        <x:f>B167^2</x:f>
        <x:v>0.09168135119431546</x:v>
      </x:c>
      <x:c r="D167" s="47" t="n">
        <x:f>'Datos'!$B$26^3/3</x:f>
        <x:v>0.3333333333333333</x:v>
      </x:c>
      <x:c r="E167" s="46" t="n">
        <x:f>D167*(C167-1)</x:f>
        <x:v>-0.3027728829352282</x:v>
      </x:c>
      <x:c r="F167" s="2"/>
      <x:c r="G167" s="2"/>
      <x:c r="H167" s="2"/>
    </x:row>
    <x:row r="168" ht="22" customHeight="1">
      <x:c r="A168" s="2" t="n">
        <x:v>162</x:v>
      </x:c>
      <x:c r="B168" s="79" t="n">
        <x:v>-0.5027587285720099</x:v>
      </x:c>
      <x:c r="C168" s="46" t="n">
        <x:f>B168^2</x:f>
        <x:v>0.2527663391553439</x:v>
      </x:c>
      <x:c r="D168" s="47" t="n">
        <x:f>'Datos'!$B$26^3/3</x:f>
        <x:v>0.3333333333333333</x:v>
      </x:c>
      <x:c r="E168" s="46" t="n">
        <x:f>D168*(C168-1)</x:f>
        <x:v>-0.2490778869482187</x:v>
      </x:c>
      <x:c r="F168" s="2"/>
      <x:c r="G168" s="2"/>
      <x:c r="H168" s="2"/>
    </x:row>
    <x:row r="169" ht="22" customHeight="1">
      <x:c r="A169" s="2" t="n">
        <x:v>163</x:v>
      </x:c>
      <x:c r="B169" s="79" t="n">
        <x:v>-0.1886744407012325</x:v>
      </x:c>
      <x:c r="C169" s="46" t="n">
        <x:f>B169^2</x:f>
        <x:v>0.0355980445739229</x:v>
      </x:c>
      <x:c r="D169" s="47" t="n">
        <x:f>'Datos'!$B$26^3/3</x:f>
        <x:v>0.3333333333333333</x:v>
      </x:c>
      <x:c r="E169" s="46" t="n">
        <x:f>D169*(C169-1)</x:f>
        <x:v>-0.32146731847535903</x:v>
      </x:c>
      <x:c r="F169" s="2"/>
      <x:c r="G169" s="2"/>
      <x:c r="H169" s="2"/>
    </x:row>
    <x:row r="170" ht="22" customHeight="1">
      <x:c r="A170" s="2" t="n">
        <x:v>164</x:v>
      </x:c>
      <x:c r="B170" s="79" t="n">
        <x:v>-0.4227437778128808</x:v>
      </x:c>
      <x:c r="C170" s="46" t="n">
        <x:f>B170^2</x:f>
        <x:v>0.17871230167950633</x:v>
      </x:c>
      <x:c r="D170" s="47" t="n">
        <x:f>'Datos'!$B$26^3/3</x:f>
        <x:v>0.3333333333333333</x:v>
      </x:c>
      <x:c r="E170" s="46" t="n">
        <x:f>D170*(C170-1)</x:f>
        <x:v>-0.2737625661068312</x:v>
      </x:c>
      <x:c r="F170" s="2"/>
      <x:c r="G170" s="2"/>
      <x:c r="H170" s="2"/>
    </x:row>
    <x:row r="171" ht="22" customHeight="1">
      <x:c r="A171" s="2" t="n">
        <x:v>165</x:v>
      </x:c>
      <x:c r="B171" s="79" t="n">
        <x:v>-1.9220233598412235</x:v>
      </x:c>
      <x:c r="C171" s="46" t="n">
        <x:f>B171^2</x:f>
        <x:v>3.6941737957753453</x:v>
      </x:c>
      <x:c r="D171" s="47" t="n">
        <x:f>'Datos'!$B$26^3/3</x:f>
        <x:v>0.3333333333333333</x:v>
      </x:c>
      <x:c r="E171" s="46" t="n">
        <x:f>D171*(C171-1)</x:f>
        <x:v>0.8980579319251151</x:v>
      </x:c>
      <x:c r="F171" s="2"/>
      <x:c r="G171" s="2"/>
      <x:c r="H171" s="2"/>
    </x:row>
    <x:row r="172" ht="22" customHeight="1">
      <x:c r="A172" s="2" t="n">
        <x:v>166</x:v>
      </x:c>
      <x:c r="B172" s="79" t="n">
        <x:v>0.3795797498549029</x:v>
      </x:c>
      <x:c r="C172" s="46" t="n">
        <x:f>B172^2</x:f>
        <x:v>0.14408078649991066</x:v>
      </x:c>
      <x:c r="D172" s="47" t="n">
        <x:f>'Datos'!$B$26^3/3</x:f>
        <x:v>0.3333333333333333</x:v>
      </x:c>
      <x:c r="E172" s="46" t="n">
        <x:f>D172*(C172-1)</x:f>
        <x:v>-0.28530640450002975</x:v>
      </x:c>
      <x:c r="F172" s="2"/>
      <x:c r="G172" s="2"/>
      <x:c r="H172" s="2"/>
    </x:row>
    <x:row r="173" ht="22" customHeight="1">
      <x:c r="A173" s="2" t="n">
        <x:v>167</x:v>
      </x:c>
      <x:c r="B173" s="79" t="n">
        <x:v>-0.553917570195329</x:v>
      </x:c>
      <x:c r="C173" s="46" t="n">
        <x:f>B173^2</x:f>
        <x:v>0.3068246745710972</x:v>
      </x:c>
      <x:c r="D173" s="47" t="n">
        <x:f>'Datos'!$B$26^3/3</x:f>
        <x:v>0.3333333333333333</x:v>
      </x:c>
      <x:c r="E173" s="46" t="n">
        <x:f>D173*(C173-1)</x:f>
        <x:v>-0.23105844180963425</x:v>
      </x:c>
      <x:c r="F173" s="2"/>
      <x:c r="G173" s="2"/>
      <x:c r="H173" s="2"/>
    </x:row>
    <x:row r="174" ht="22" customHeight="1">
      <x:c r="A174" s="2" t="n">
        <x:v>168</x:v>
      </x:c>
      <x:c r="B174" s="79" t="n">
        <x:v>-0.34909864825897297</x:v>
      </x:c>
      <x:c r="C174" s="46" t="n">
        <x:f>B174^2</x:f>
        <x:v>0.12186986621624213</x:v>
      </x:c>
      <x:c r="D174" s="47" t="n">
        <x:f>'Datos'!$B$26^3/3</x:f>
        <x:v>0.3333333333333333</x:v>
      </x:c>
      <x:c r="E174" s="46" t="n">
        <x:f>D174*(C174-1)</x:f>
        <x:v>-0.29271004459458594</x:v>
      </x:c>
      <x:c r="F174" s="2"/>
      <x:c r="G174" s="2"/>
      <x:c r="H174" s="2"/>
    </x:row>
    <x:row r="175" ht="22" customHeight="1">
      <x:c r="A175" s="2" t="n">
        <x:v>169</x:v>
      </x:c>
      <x:c r="B175" s="79" t="n">
        <x:v>-1.6014702919366033</x:v>
      </x:c>
      <x:c r="C175" s="46" t="n">
        <x:f>B175^2</x:f>
        <x:v>2.564707095955509</x:v>
      </x:c>
      <x:c r="D175" s="47" t="n">
        <x:f>'Datos'!$B$26^3/3</x:f>
        <x:v>0.3333333333333333</x:v>
      </x:c>
      <x:c r="E175" s="46" t="n">
        <x:f>D175*(C175-1)</x:f>
        <x:v>0.5215690319851697</x:v>
      </x:c>
      <x:c r="F175" s="2"/>
      <x:c r="G175" s="2"/>
      <x:c r="H175" s="2"/>
    </x:row>
    <x:row r="176" ht="22" customHeight="1">
      <x:c r="A176" s="2" t="n">
        <x:v>170</x:v>
      </x:c>
      <x:c r="B176" s="79" t="n">
        <x:v>-1.0410861499762578</x:v>
      </x:c>
      <x:c r="C176" s="46" t="n">
        <x:f>B176^2</x:f>
        <x:v>1.0838603716723871</x:v>
      </x:c>
      <x:c r="D176" s="47" t="n">
        <x:f>'Datos'!$B$26^3/3</x:f>
        <x:v>0.3333333333333333</x:v>
      </x:c>
      <x:c r="E176" s="46" t="n">
        <x:f>D176*(C176-1)</x:f>
        <x:v>0.027953457224129043</x:v>
      </x:c>
      <x:c r="F176" s="2"/>
      <x:c r="G176" s="2"/>
      <x:c r="H176" s="2"/>
    </x:row>
    <x:row r="177" ht="22" customHeight="1">
      <x:c r="A177" s="2" t="n">
        <x:v>171</x:v>
      </x:c>
      <x:c r="B177" s="79" t="n">
        <x:v>0.33322818574778457</x:v>
      </x:c>
      <x:c r="C177" s="46" t="n">
        <x:f>B177^2</x:f>
        <x:v>0.11104102377676002</x:v>
      </x:c>
      <x:c r="D177" s="47" t="n">
        <x:f>'Datos'!$B$26^3/3</x:f>
        <x:v>0.3333333333333333</x:v>
      </x:c>
      <x:c r="E177" s="46" t="n">
        <x:f>D177*(C177-1)</x:f>
        <x:v>-0.29631965874107996</x:v>
      </x:c>
      <x:c r="F177" s="2"/>
      <x:c r="G177" s="2"/>
      <x:c r="H177" s="2"/>
    </x:row>
    <x:row r="178" ht="22" customHeight="1">
      <x:c r="A178" s="2" t="n">
        <x:v>172</x:v>
      </x:c>
      <x:c r="B178" s="79" t="n">
        <x:v>-0.6257422268259284</x:v>
      </x:c>
      <x:c r="C178" s="46" t="n">
        <x:f>B178^2</x:f>
        <x:v>0.3915533344330716</x:v>
      </x:c>
      <x:c r="D178" s="47" t="n">
        <x:f>'Datos'!$B$26^3/3</x:f>
        <x:v>0.3333333333333333</x:v>
      </x:c>
      <x:c r="E178" s="46" t="n">
        <x:f>D178*(C178-1)</x:f>
        <x:v>-0.20281555518897612</x:v>
      </x:c>
      <x:c r="F178" s="2"/>
      <x:c r="G178" s="2"/>
      <x:c r="H178" s="2"/>
    </x:row>
    <x:row r="179" ht="22" customHeight="1">
      <x:c r="A179" s="2" t="n">
        <x:v>173</x:v>
      </x:c>
      <x:c r="B179" s="79" t="n">
        <x:v>0.5438051678610037</x:v>
      </x:c>
      <x:c r="C179" s="46" t="n">
        <x:f>B179^2</x:f>
        <x:v>0.29572406059233447</x:v>
      </x:c>
      <x:c r="D179" s="47" t="n">
        <x:f>'Datos'!$B$26^3/3</x:f>
        <x:v>0.3333333333333333</x:v>
      </x:c>
      <x:c r="E179" s="46" t="n">
        <x:f>D179*(C179-1)</x:f>
        <x:v>-0.23475864646922184</x:v>
      </x:c>
      <x:c r="F179" s="2"/>
      <x:c r="G179" s="2"/>
      <x:c r="H179" s="2"/>
    </x:row>
    <x:row r="180" ht="22" customHeight="1">
      <x:c r="A180" s="2" t="n">
        <x:v>174</x:v>
      </x:c>
      <x:c r="B180" s="79" t="n">
        <x:v>0.34808271818287406</x:v>
      </x:c>
      <x:c r="C180" s="46" t="n">
        <x:f>B180^2</x:f>
        <x:v>0.12116157869757813</x:v>
      </x:c>
      <x:c r="D180" s="47" t="n">
        <x:f>'Datos'!$B$26^3/3</x:f>
        <x:v>0.3333333333333333</x:v>
      </x:c>
      <x:c r="E180" s="46" t="n">
        <x:f>D180*(C180-1)</x:f>
        <x:v>-0.2929461404341406</x:v>
      </x:c>
      <x:c r="F180" s="2"/>
      <x:c r="G180" s="2"/>
      <x:c r="H180" s="2"/>
    </x:row>
    <x:row r="181" ht="22" customHeight="1">
      <x:c r="A181" s="2" t="n">
        <x:v>175</x:v>
      </x:c>
      <x:c r="B181" s="79" t="n">
        <x:v>0.3615653015401497</x:v>
      </x:c>
      <x:c r="C181" s="46" t="n">
        <x:f>B181^2</x:f>
        <x:v>0.1307294672778194</x:v>
      </x:c>
      <x:c r="D181" s="47" t="n">
        <x:f>'Datos'!$B$26^3/3</x:f>
        <x:v>0.3333333333333333</x:v>
      </x:c>
      <x:c r="E181" s="46" t="n">
        <x:f>D181*(C181-1)</x:f>
        <x:v>-0.28975684424072684</x:v>
      </x:c>
      <x:c r="F181" s="2"/>
      <x:c r="G181" s="2"/>
      <x:c r="H181" s="2"/>
    </x:row>
    <x:row r="182" ht="22" customHeight="1">
      <x:c r="A182" s="2" t="n">
        <x:v>176</x:v>
      </x:c>
      <x:c r="B182" s="79" t="n">
        <x:v>-0.14250294801639485</x:v>
      </x:c>
      <x:c r="C182" s="46" t="n">
        <x:f>B182^2</x:f>
        <x:v>0.020307090193363332</x:v>
      </x:c>
      <x:c r="D182" s="47" t="n">
        <x:f>'Datos'!$B$26^3/3</x:f>
        <x:v>0.3333333333333333</x:v>
      </x:c>
      <x:c r="E182" s="46" t="n">
        <x:f>D182*(C182-1)</x:f>
        <x:v>-0.32656430326887886</x:v>
      </x:c>
      <x:c r="F182" s="2"/>
      <x:c r="G182" s="2"/>
      <x:c r="H182" s="2"/>
    </x:row>
    <x:row r="183" ht="22" customHeight="1">
      <x:c r="A183" s="2" t="n">
        <x:v>177</x:v>
      </x:c>
      <x:c r="B183" s="79" t="n">
        <x:v>0.7195141652188421</x:v>
      </x:c>
      <x:c r="C183" s="46" t="n">
        <x:f>B183^2</x:f>
        <x:v>0.5177006339505673</x:v>
      </x:c>
      <x:c r="D183" s="47" t="n">
        <x:f>'Datos'!$B$26^3/3</x:f>
        <x:v>0.3333333333333333</x:v>
      </x:c>
      <x:c r="E183" s="46" t="n">
        <x:f>D183*(C183-1)</x:f>
        <x:v>-0.16076645534981088</x:v>
      </x:c>
      <x:c r="F183" s="2"/>
      <x:c r="G183" s="2"/>
      <x:c r="H183" s="2"/>
    </x:row>
    <x:row r="184" ht="22" customHeight="1">
      <x:c r="A184" s="2" t="n">
        <x:v>178</x:v>
      </x:c>
      <x:c r="B184" s="79" t="n">
        <x:v>0.10259776822048651</x:v>
      </x:c>
      <x:c r="C184" s="46" t="n">
        <x:f>B184^2</x:f>
        <x:v>0.01052630204382467</x:v>
      </x:c>
      <x:c r="D184" s="47" t="n">
        <x:f>'Datos'!$B$26^3/3</x:f>
        <x:v>0.3333333333333333</x:v>
      </x:c>
      <x:c r="E184" s="46" t="n">
        <x:f>D184*(C184-1)</x:f>
        <x:v>-0.3298245659853918</x:v>
      </x:c>
      <x:c r="F184" s="2"/>
      <x:c r="G184" s="2"/>
      <x:c r="H184" s="2"/>
    </x:row>
    <x:row r="185" ht="22" customHeight="1">
      <x:c r="A185" s="2" t="n">
        <x:v>179</x:v>
      </x:c>
      <x:c r="B185" s="79" t="n">
        <x:v>-0.5201475681762041</x:v>
      </x:c>
      <x:c r="C185" s="46" t="n">
        <x:f>B185^2</x:f>
        <x:v>0.2705534926796189</x:v>
      </x:c>
      <x:c r="D185" s="47" t="n">
        <x:f>'Datos'!$B$26^3/3</x:f>
        <x:v>0.3333333333333333</x:v>
      </x:c>
      <x:c r="E185" s="46" t="n">
        <x:f>D185*(C185-1)</x:f>
        <x:v>-0.24314883577346036</x:v>
      </x:c>
      <x:c r="F185" s="2"/>
      <x:c r="G185" s="2"/>
      <x:c r="H185" s="2"/>
    </x:row>
    <x:row r="186" ht="22" customHeight="1">
      <x:c r="A186" s="2" t="n">
        <x:v>180</x:v>
      </x:c>
      <x:c r="B186" s="79" t="n">
        <x:v>-1.7372823217294424</x:v>
      </x:c>
      <x:c r="C186" s="46" t="n">
        <x:f>B186^2</x:f>
        <x:v>3.018149865393642</x:v>
      </x:c>
      <x:c r="D186" s="47" t="n">
        <x:f>'Datos'!$B$26^3/3</x:f>
        <x:v>0.3333333333333333</x:v>
      </x:c>
      <x:c r="E186" s="46" t="n">
        <x:f>D186*(C186-1)</x:f>
        <x:v>0.6727166217978806</x:v>
      </x:c>
      <x:c r="F186" s="2"/>
      <x:c r="G186" s="2"/>
      <x:c r="H186" s="2"/>
    </x:row>
    <x:row r="187" ht="22" customHeight="1">
      <x:c r="A187" s="2" t="n">
        <x:v>181</x:v>
      </x:c>
      <x:c r="B187" s="79" t="n">
        <x:v>0.656947790605105</x:v>
      </x:c>
      <x:c r="C187" s="46" t="n">
        <x:f>B187^2</x:f>
        <x:v>0.43158039958092886</x:v>
      </x:c>
      <x:c r="D187" s="47" t="n">
        <x:f>'Datos'!$B$26^3/3</x:f>
        <x:v>0.3333333333333333</x:v>
      </x:c>
      <x:c r="E187" s="46" t="n">
        <x:f>D187*(C187-1)</x:f>
        <x:v>-0.18947320013969038</x:v>
      </x:c>
      <x:c r="F187" s="2"/>
      <x:c r="G187" s="2"/>
      <x:c r="H187" s="2"/>
    </x:row>
    <x:row r="188" ht="22" customHeight="1">
      <x:c r="A188" s="2" t="n">
        <x:v>182</x:v>
      </x:c>
      <x:c r="B188" s="79" t="n">
        <x:v>-0.6510144220913132</x:v>
      </x:c>
      <x:c r="C188" s="46" t="n">
        <x:f>B188^2</x:f>
        <x:v>0.42381977777088653</x:v>
      </x:c>
      <x:c r="D188" s="47" t="n">
        <x:f>'Datos'!$B$26^3/3</x:f>
        <x:v>0.3333333333333333</x:v>
      </x:c>
      <x:c r="E188" s="46" t="n">
        <x:f>D188*(C188-1)</x:f>
        <x:v>-0.19206007407637116</x:v>
      </x:c>
      <x:c r="F188" s="2"/>
      <x:c r="G188" s="2"/>
      <x:c r="H188" s="2"/>
    </x:row>
    <x:row r="189" ht="22" customHeight="1">
      <x:c r="A189" s="2" t="n">
        <x:v>183</x:v>
      </x:c>
      <x:c r="B189" s="79" t="n">
        <x:v>0.2599449022266999</x:v>
      </x:c>
      <x:c r="C189" s="46" t="n">
        <x:f>B189^2</x:f>
        <x:v>0.06757135219364858</x:v>
      </x:c>
      <x:c r="D189" s="47" t="n">
        <x:f>'Datos'!$B$26^3/3</x:f>
        <x:v>0.3333333333333333</x:v>
      </x:c>
      <x:c r="E189" s="46" t="n">
        <x:f>D189*(C189-1)</x:f>
        <x:v>-0.3108095492687838</x:v>
      </x:c>
      <x:c r="F189" s="2"/>
      <x:c r="G189" s="2"/>
      <x:c r="H189" s="2"/>
    </x:row>
    <x:row r="190" ht="22" customHeight="1">
      <x:c r="A190" s="2" t="n">
        <x:v>184</x:v>
      </x:c>
      <x:c r="B190" s="79" t="n">
        <x:v>-0.4433513339727025</x:v>
      </x:c>
      <x:c r="C190" s="46" t="n">
        <x:f>B190^2</x:f>
        <x:v>0.19656040533537478</x:v>
      </x:c>
      <x:c r="D190" s="47" t="n">
        <x:f>'Datos'!$B$26^3/3</x:f>
        <x:v>0.3333333333333333</x:v>
      </x:c>
      <x:c r="E190" s="46" t="n">
        <x:f>D190*(C190-1)</x:f>
        <x:v>-0.2678131982215417</x:v>
      </x:c>
      <x:c r="F190" s="2"/>
      <x:c r="G190" s="2"/>
      <x:c r="H190" s="2"/>
    </x:row>
    <x:row r="191" ht="22" customHeight="1">
      <x:c r="A191" s="2" t="n">
        <x:v>185</x:v>
      </x:c>
      <x:c r="B191" s="79" t="n">
        <x:v>-0.9648877606211849</x:v>
      </x:c>
      <x:c r="C191" s="46" t="n">
        <x:f>B191^2</x:f>
        <x:v>0.9310083905965649</x:v>
      </x:c>
      <x:c r="D191" s="47" t="n">
        <x:f>'Datos'!$B$26^3/3</x:f>
        <x:v>0.3333333333333333</x:v>
      </x:c>
      <x:c r="E191" s="46" t="n">
        <x:f>D191*(C191-1)</x:f>
        <x:v>-0.022997203134478356</x:v>
      </x:c>
      <x:c r="F191" s="2"/>
      <x:c r="G191" s="2"/>
      <x:c r="H191" s="2"/>
    </x:row>
    <x:row r="192" ht="22" customHeight="1">
      <x:c r="A192" s="2" t="n">
        <x:v>186</x:v>
      </x:c>
      <x:c r="B192" s="79" t="n">
        <x:v>0.07630855417758844</x:v>
      </x:c>
      <x:c r="C192" s="46" t="n">
        <x:f>B192^2</x:f>
        <x:v>0.0058229954406739505</x:v>
      </x:c>
      <x:c r="D192" s="47" t="n">
        <x:f>'Datos'!$B$26^3/3</x:f>
        <x:v>0.3333333333333333</x:v>
      </x:c>
      <x:c r="E192" s="46" t="n">
        <x:f>D192*(C192-1)</x:f>
        <x:v>-0.33139233485310865</x:v>
      </x:c>
      <x:c r="F192" s="2"/>
      <x:c r="G192" s="2"/>
      <x:c r="H192" s="2"/>
    </x:row>
    <x:row r="193" ht="22" customHeight="1">
      <x:c r="A193" s="2" t="n">
        <x:v>187</x:v>
      </x:c>
      <x:c r="B193" s="79" t="n">
        <x:v>0.6918323411579731</x:v>
      </x:c>
      <x:c r="C193" s="46" t="n">
        <x:f>B193^2</x:f>
        <x:v>0.47863198827212206</x:v>
      </x:c>
      <x:c r="D193" s="47" t="n">
        <x:f>'Datos'!$B$26^3/3</x:f>
        <x:v>0.3333333333333333</x:v>
      </x:c>
      <x:c r="E193" s="46" t="n">
        <x:f>D193*(C193-1)</x:f>
        <x:v>-0.17378933724262596</x:v>
      </x:c>
      <x:c r="F193" s="2"/>
      <x:c r="G193" s="2"/>
      <x:c r="H193" s="2"/>
    </x:row>
    <x:row r="194" ht="22" customHeight="1">
      <x:c r="A194" s="2" t="n">
        <x:v>188</x:v>
      </x:c>
      <x:c r="B194" s="79" t="n">
        <x:v>1.415242237575609</x:v>
      </x:c>
      <x:c r="C194" s="46" t="n">
        <x:f>B194^2</x:f>
        <x:v>2.0029105910180167</x:v>
      </x:c>
      <x:c r="D194" s="47" t="n">
        <x:f>'Datos'!$B$26^3/3</x:f>
        <x:v>0.3333333333333333</x:v>
      </x:c>
      <x:c r="E194" s="46" t="n">
        <x:f>D194*(C194-1)</x:f>
        <x:v>0.3343035303393389</x:v>
      </x:c>
      <x:c r="F194" s="2"/>
      <x:c r="G194" s="2"/>
      <x:c r="H194" s="2"/>
    </x:row>
    <x:row r="195" ht="22" customHeight="1">
      <x:c r="A195" s="2" t="n">
        <x:v>189</x:v>
      </x:c>
      <x:c r="B195" s="79" t="n">
        <x:v>0.5905205046056887</x:v>
      </x:c>
      <x:c r="C195" s="46" t="n">
        <x:f>B195^2</x:f>
        <x:v>0.3487144663597572</x:v>
      </x:c>
      <x:c r="D195" s="47" t="n">
        <x:f>'Datos'!$B$26^3/3</x:f>
        <x:v>0.3333333333333333</x:v>
      </x:c>
      <x:c r="E195" s="46" t="n">
        <x:f>D195*(C195-1)</x:f>
        <x:v>-0.21709517788008093</x:v>
      </x:c>
      <x:c r="F195" s="2"/>
      <x:c r="G195" s="2"/>
      <x:c r="H195" s="2"/>
    </x:row>
    <x:row r="196" ht="22" customHeight="1">
      <x:c r="A196" s="2" t="n">
        <x:v>190</x:v>
      </x:c>
      <x:c r="B196" s="79" t="n">
        <x:v>-0.5270206222313306</x:v>
      </x:c>
      <x:c r="C196" s="46" t="n">
        <x:f>B196^2</x:f>
        <x:v>0.2777507362570989</x:v>
      </x:c>
      <x:c r="D196" s="47" t="n">
        <x:f>'Datos'!$B$26^3/3</x:f>
        <x:v>0.3333333333333333</x:v>
      </x:c>
      <x:c r="E196" s="46" t="n">
        <x:f>D196*(C196-1)</x:f>
        <x:v>-0.24074975458096703</x:v>
      </x:c>
      <x:c r="F196" s="2"/>
      <x:c r="G196" s="2"/>
      <x:c r="H196" s="2"/>
    </x:row>
    <x:row r="197" ht="22" customHeight="1">
      <x:c r="A197" s="2" t="n">
        <x:v>191</x:v>
      </x:c>
      <x:c r="B197" s="79" t="n">
        <x:v>0.5950186385273332</x:v>
      </x:c>
      <x:c r="C197" s="46" t="n">
        <x:f>B197^2</x:f>
        <x:v>0.35404718019492115</x:v>
      </x:c>
      <x:c r="D197" s="47" t="n">
        <x:f>'Datos'!$B$26^3/3</x:f>
        <x:v>0.3333333333333333</x:v>
      </x:c>
      <x:c r="E197" s="46" t="n">
        <x:f>D197*(C197-1)</x:f>
        <x:v>-0.2153176066016929</x:v>
      </x:c>
      <x:c r="F197" s="2"/>
      <x:c r="G197" s="2"/>
      <x:c r="H197" s="2"/>
    </x:row>
    <x:row r="198" ht="22" customHeight="1">
      <x:c r="A198" s="2" t="n">
        <x:v>192</x:v>
      </x:c>
      <x:c r="B198" s="79" t="n">
        <x:v>1.4971847640149676</x:v>
      </x:c>
      <x:c r="C198" s="46" t="n">
        <x:f>B198^2</x:f>
        <x:v>2.2415622175985543</x:v>
      </x:c>
      <x:c r="D198" s="47" t="n">
        <x:f>'Datos'!$B$26^3/3</x:f>
        <x:v>0.3333333333333333</x:v>
      </x:c>
      <x:c r="E198" s="46" t="n">
        <x:f>D198*(C198-1)</x:f>
        <x:v>0.41385407253285145</x:v>
      </x:c>
      <x:c r="F198" s="2"/>
      <x:c r="G198" s="2"/>
      <x:c r="H198" s="2"/>
    </x:row>
    <x:row r="199" ht="22" customHeight="1">
      <x:c r="A199" s="2" t="n">
        <x:v>193</x:v>
      </x:c>
      <x:c r="B199" s="79" t="n">
        <x:v>0.8454526303611001</x:v>
      </x:c>
      <x:c r="C199" s="46" t="n">
        <x:f>B199^2</x:f>
        <x:v>0.7147901501845029</x:v>
      </x:c>
      <x:c r="D199" s="47" t="n">
        <x:f>'Datos'!$B$26^3/3</x:f>
        <x:v>0.3333333333333333</x:v>
      </x:c>
      <x:c r="E199" s="46" t="n">
        <x:f>D199*(C199-1)</x:f>
        <x:v>-0.09506994993849904</x:v>
      </x:c>
      <x:c r="F199" s="2"/>
      <x:c r="G199" s="2"/>
      <x:c r="H199" s="2"/>
    </x:row>
    <x:row r="200" ht="22" customHeight="1">
      <x:c r="A200" s="2" t="n">
        <x:v>194</x:v>
      </x:c>
      <x:c r="B200" s="79" t="n">
        <x:v>3.0010679277151673</x:v>
      </x:c>
      <x:c r="C200" s="46" t="n">
        <x:f>B200^2</x:f>
        <x:v>9.006408706760608</x:v>
      </x:c>
      <x:c r="D200" s="47" t="n">
        <x:f>'Datos'!$B$26^3/3</x:f>
        <x:v>0.3333333333333333</x:v>
      </x:c>
      <x:c r="E200" s="46" t="n">
        <x:f>D200*(C200-1)</x:f>
        <x:v>2.668802902253536</x:v>
      </x:c>
      <x:c r="F200" s="2"/>
      <x:c r="G200" s="2"/>
      <x:c r="H200" s="2"/>
    </x:row>
    <x:row r="201" ht="22" customHeight="1">
      <x:c r="A201" s="2" t="n">
        <x:v>195</x:v>
      </x:c>
      <x:c r="B201" s="79" t="n">
        <x:v>0.4110657306867463</x:v>
      </x:c>
      <x:c r="C201" s="46" t="n">
        <x:f>B201^2</x:f>
        <x:v>0.16897503494502863</x:v>
      </x:c>
      <x:c r="D201" s="47" t="n">
        <x:f>'Datos'!$B$26^3/3</x:f>
        <x:v>0.3333333333333333</x:v>
      </x:c>
      <x:c r="E201" s="46" t="n">
        <x:f>D201*(C201-1)</x:f>
        <x:v>-0.27700832168499046</x:v>
      </x:c>
      <x:c r="F201" s="2"/>
      <x:c r="G201" s="2"/>
      <x:c r="H201" s="2"/>
    </x:row>
    <x:row r="202" ht="22" customHeight="1">
      <x:c r="A202" s="2" t="n">
        <x:v>196</x:v>
      </x:c>
      <x:c r="B202" s="79" t="n">
        <x:v>-0.051417769897803084</x:v>
      </x:c>
      <x:c r="C202" s="46" t="n">
        <x:f>B202^2</x:f>
        <x:v>0.0026437870612634248</x:v>
      </x:c>
      <x:c r="D202" s="47" t="n">
        <x:f>'Datos'!$B$26^3/3</x:f>
        <x:v>0.3333333333333333</x:v>
      </x:c>
      <x:c r="E202" s="46" t="n">
        <x:f>D202*(C202-1)</x:f>
        <x:v>-0.33245207097957885</x:v>
      </x:c>
      <x:c r="F202" s="2"/>
      <x:c r="G202" s="2"/>
      <x:c r="H202" s="2"/>
    </x:row>
    <x:row r="203" ht="22" customHeight="1">
      <x:c r="A203" s="2" t="n">
        <x:v>197</x:v>
      </x:c>
      <x:c r="B203" s="79" t="n">
        <x:v>0.047679994647747866</x:v>
      </x:c>
      <x:c r="C203" s="46" t="n">
        <x:f>B203^2</x:f>
        <x:v>0.0022733818896092653</x:v>
      </x:c>
      <x:c r="D203" s="47" t="n">
        <x:f>'Datos'!$B$26^3/3</x:f>
        <x:v>0.3333333333333333</x:v>
      </x:c>
      <x:c r="E203" s="46" t="n">
        <x:f>D203*(C203-1)</x:f>
        <x:v>-0.33257553937013024</x:v>
      </x:c>
      <x:c r="F203" s="2"/>
      <x:c r="G203" s="2"/>
      <x:c r="H203" s="2"/>
    </x:row>
    <x:row r="204" ht="22" customHeight="1">
      <x:c r="A204" s="2" t="n">
        <x:v>198</x:v>
      </x:c>
      <x:c r="B204" s="79" t="n">
        <x:v>0.2950098773472628</x:v>
      </x:c>
      <x:c r="C204" s="46" t="n">
        <x:f>B204^2</x:f>
        <x:v>0.08703082773244704</x:v>
      </x:c>
      <x:c r="D204" s="47" t="n">
        <x:f>'Datos'!$B$26^3/3</x:f>
        <x:v>0.3333333333333333</x:v>
      </x:c>
      <x:c r="E204" s="46" t="n">
        <x:f>D204*(C204-1)</x:f>
        <x:v>-0.30432305742251764</x:v>
      </x:c>
      <x:c r="F204" s="2"/>
      <x:c r="G204" s="2"/>
      <x:c r="H204" s="2"/>
    </x:row>
    <x:row r="205" ht="22" customHeight="1">
      <x:c r="A205" s="2" t="n">
        <x:v>199</x:v>
      </x:c>
      <x:c r="B205" s="79" t="n">
        <x:v>-0.5817630875862707</x:v>
      </x:c>
      <x:c r="C205" s="46" t="n">
        <x:f>B205^2</x:f>
        <x:v>0.3384482900779109</x:v>
      </x:c>
      <x:c r="D205" s="47" t="n">
        <x:f>'Datos'!$B$26^3/3</x:f>
        <x:v>0.3333333333333333</x:v>
      </x:c>
      <x:c r="E205" s="46" t="n">
        <x:f>D205*(C205-1)</x:f>
        <x:v>-0.22051723664069636</x:v>
      </x:c>
      <x:c r="F205" s="2"/>
      <x:c r="G205" s="2"/>
      <x:c r="H205" s="2"/>
    </x:row>
    <x:row r="206" ht="22" customHeight="1">
      <x:c r="A206" s="2" t="n">
        <x:v>200</x:v>
      </x:c>
      <x:c r="B206" s="79" t="n">
        <x:v>3.293701819650977</x:v>
      </x:c>
      <x:c r="C206" s="46" t="n">
        <x:f>B206^2</x:f>
        <x:v>10.848471676772157</x:v>
      </x:c>
      <x:c r="D206" s="47" t="n">
        <x:f>'Datos'!$B$26^3/3</x:f>
        <x:v>0.3333333333333333</x:v>
      </x:c>
      <x:c r="E206" s="46" t="n">
        <x:f>D206*(C206-1)</x:f>
        <x:v>3.2828238922573854</x:v>
      </x:c>
      <x:c r="F206" s="2"/>
      <x:c r="G206" s="2"/>
      <x:c r="H206" s="2"/>
    </x:row>
    <x:row r="207" ht="22" customHeight="1">
      <x:c r="A207" s="2" t="n">
        <x:v>201</x:v>
      </x:c>
      <x:c r="B207" s="79" t="n">
        <x:v>0.8811331247478812</x:v>
      </x:c>
      <x:c r="C207" s="46" t="n">
        <x:f>B207^2</x:f>
        <x:v>0.7763955835279651</x:v>
      </x:c>
      <x:c r="D207" s="47" t="n">
        <x:f>'Datos'!$B$26^3/3</x:f>
        <x:v>0.3333333333333333</x:v>
      </x:c>
      <x:c r="E207" s="46" t="n">
        <x:f>D207*(C207-1)</x:f>
        <x:v>-0.07453480549067829</x:v>
      </x:c>
      <x:c r="F207" s="2"/>
      <x:c r="G207" s="2"/>
      <x:c r="H207" s="2"/>
    </x:row>
    <x:row r="208" ht="22" customHeight="1">
      <x:c r="A208" s="2" t="n">
        <x:v>202</x:v>
      </x:c>
      <x:c r="B208" s="79" t="n">
        <x:v>0.05599688779280384</x:v>
      </x:c>
      <x:c r="C208" s="46" t="n">
        <x:f>B208^2</x:f>
        <x:v>0.0031356514424798637</x:v>
      </x:c>
      <x:c r="D208" s="47" t="n">
        <x:f>'Datos'!$B$26^3/3</x:f>
        <x:v>0.3333333333333333</x:v>
      </x:c>
      <x:c r="E208" s="46" t="n">
        <x:f>D208*(C208-1)</x:f>
        <x:v>-0.33228811618584003</x:v>
      </x:c>
      <x:c r="F208" s="2"/>
      <x:c r="G208" s="2"/>
      <x:c r="H208" s="2"/>
    </x:row>
    <x:row r="209" ht="22" customHeight="1">
      <x:c r="A209" s="2" t="n">
        <x:v>203</x:v>
      </x:c>
      <x:c r="B209" s="79" t="n">
        <x:v>0.9001753794965486</x:v>
      </x:c>
      <x:c r="C209" s="46" t="n">
        <x:f>B209^2</x:f>
        <x:v>0.8103157138517553</x:v>
      </x:c>
      <x:c r="D209" s="47" t="n">
        <x:f>'Datos'!$B$26^3/3</x:f>
        <x:v>0.3333333333333333</x:v>
      </x:c>
      <x:c r="E209" s="46" t="n">
        <x:f>D209*(C209-1)</x:f>
        <x:v>-0.06322809538274823</x:v>
      </x:c>
      <x:c r="F209" s="2"/>
      <x:c r="G209" s="2"/>
      <x:c r="H209" s="2"/>
    </x:row>
    <x:row r="210" ht="22" customHeight="1">
      <x:c r="A210" s="2" t="n">
        <x:v>204</x:v>
      </x:c>
      <x:c r="B210" s="79" t="n">
        <x:v>-0.688347016470864</x:v>
      </x:c>
      <x:c r="C210" s="46" t="n">
        <x:f>B210^2</x:f>
        <x:v>0.47382161508434</x:v>
      </x:c>
      <x:c r="D210" s="47" t="n">
        <x:f>'Datos'!$B$26^3/3</x:f>
        <x:v>0.3333333333333333</x:v>
      </x:c>
      <x:c r="E210" s="46" t="n">
        <x:f>D210*(C210-1)</x:f>
        <x:v>-0.17539279497188667</x:v>
      </x:c>
      <x:c r="F210" s="2"/>
      <x:c r="G210" s="2"/>
      <x:c r="H210" s="2"/>
    </x:row>
    <x:row r="211" ht="22" customHeight="1">
      <x:c r="A211" s="2" t="n">
        <x:v>205</x:v>
      </x:c>
      <x:c r="B211" s="79" t="n">
        <x:v>0.947859255815056</x:v>
      </x:c>
      <x:c r="C211" s="46" t="n">
        <x:f>B211^2</x:f>
        <x:v>0.8984371688342718</x:v>
      </x:c>
      <x:c r="D211" s="47" t="n">
        <x:f>'Datos'!$B$26^3/3</x:f>
        <x:v>0.3333333333333333</x:v>
      </x:c>
      <x:c r="E211" s="46" t="n">
        <x:f>D211*(C211-1)</x:f>
        <x:v>-0.03385427705524272</x:v>
      </x:c>
      <x:c r="F211" s="2"/>
      <x:c r="G211" s="2"/>
      <x:c r="H211" s="2"/>
    </x:row>
    <x:row r="212" ht="22" customHeight="1">
      <x:c r="A212" s="2" t="n">
        <x:v>206</x:v>
      </x:c>
      <x:c r="B212" s="79" t="n">
        <x:v>0.24189286771933738</x:v>
      </x:c>
      <x:c r="C212" s="46" t="n">
        <x:f>B212^2</x:f>
        <x:v>0.05851215945348485</x:v>
      </x:c>
      <x:c r="D212" s="47" t="n">
        <x:f>'Datos'!$B$26^3/3</x:f>
        <x:v>0.3333333333333333</x:v>
      </x:c>
      <x:c r="E212" s="46" t="n">
        <x:f>D212*(C212-1)</x:f>
        <x:v>-0.3138292801821717</x:v>
      </x:c>
      <x:c r="F212" s="2"/>
      <x:c r="G212" s="2"/>
      <x:c r="H212" s="2"/>
    </x:row>
    <x:row r="213" ht="22" customHeight="1">
      <x:c r="A213" s="2" t="n">
        <x:v>207</x:v>
      </x:c>
      <x:c r="B213" s="79" t="n">
        <x:v>0.6854720074041838</x:v>
      </x:c>
      <x:c r="C213" s="46" t="n">
        <x:f>B213^2</x:f>
        <x:v>0.4698718729347214</x:v>
      </x:c>
      <x:c r="D213" s="47" t="n">
        <x:f>'Datos'!$B$26^3/3</x:f>
        <x:v>0.3333333333333333</x:v>
      </x:c>
      <x:c r="E213" s="46" t="n">
        <x:f>D213*(C213-1)</x:f>
        <x:v>-0.1767093756884262</x:v>
      </x:c>
      <x:c r="F213" s="2"/>
      <x:c r="G213" s="2"/>
      <x:c r="H213" s="2"/>
    </x:row>
    <x:row r="214" ht="22" customHeight="1">
      <x:c r="A214" s="2" t="n">
        <x:v>208</x:v>
      </x:c>
      <x:c r="B214" s="79" t="n">
        <x:v>-1.6733984750628113</x:v>
      </x:c>
      <x:c r="C214" s="46" t="n">
        <x:f>B214^2</x:f>
        <x:v>2.800262456342542</x:v>
      </x:c>
      <x:c r="D214" s="47" t="n">
        <x:f>'Datos'!$B$26^3/3</x:f>
        <x:v>0.3333333333333333</x:v>
      </x:c>
      <x:c r="E214" s="46" t="n">
        <x:f>D214*(C214-1)</x:f>
        <x:v>0.600087485447514</x:v>
      </x:c>
      <x:c r="F214" s="2"/>
      <x:c r="G214" s="2"/>
      <x:c r="H214" s="2"/>
    </x:row>
    <x:row r="215" ht="22" customHeight="1">
      <x:c r="A215" s="2" t="n">
        <x:v>209</x:v>
      </x:c>
      <x:c r="B215" s="79" t="n">
        <x:v>1.1153991616052406</x:v>
      </x:c>
      <x:c r="C215" s="46" t="n">
        <x:f>B215^2</x:f>
        <x:v>1.2441152897096734</x:v>
      </x:c>
      <x:c r="D215" s="47" t="n">
        <x:f>'Datos'!$B$26^3/3</x:f>
        <x:v>0.3333333333333333</x:v>
      </x:c>
      <x:c r="E215" s="46" t="n">
        <x:f>D215*(C215-1)</x:f>
        <x:v>0.08137176323655781</x:v>
      </x:c>
      <x:c r="F215" s="2"/>
      <x:c r="G215" s="2"/>
      <x:c r="H215" s="2"/>
    </x:row>
    <x:row r="216" ht="22" customHeight="1">
      <x:c r="A216" s="2" t="n">
        <x:v>210</x:v>
      </x:c>
      <x:c r="B216" s="79" t="n">
        <x:v>-0.8453533441449166</x:v>
      </x:c>
      <x:c r="C216" s="46" t="n">
        <x:f>B216^2</x:f>
        <x:v>0.7146222764569937</x:v>
      </x:c>
      <x:c r="D216" s="47" t="n">
        <x:f>'Datos'!$B$26^3/3</x:f>
        <x:v>0.3333333333333333</x:v>
      </x:c>
      <x:c r="E216" s="46" t="n">
        <x:f>D216*(C216-1)</x:f>
        <x:v>-0.09512590784766875</x:v>
      </x:c>
      <x:c r="F216" s="2"/>
      <x:c r="G216" s="2"/>
      <x:c r="H216" s="2"/>
    </x:row>
    <x:row r="217" ht="22" customHeight="1">
      <x:c r="A217" s="2" t="n">
        <x:v>211</x:v>
      </x:c>
      <x:c r="B217" s="79" t="n">
        <x:v>0.25793001397627713</x:v>
      </x:c>
      <x:c r="C217" s="46" t="n">
        <x:f>B217^2</x:f>
        <x:v>0.06652789210980252</x:v>
      </x:c>
      <x:c r="D217" s="47" t="n">
        <x:f>'Datos'!$B$26^3/3</x:f>
        <x:v>0.3333333333333333</x:v>
      </x:c>
      <x:c r="E217" s="46" t="n">
        <x:f>D217*(C217-1)</x:f>
        <x:v>-0.3111573692967325</x:v>
      </x:c>
      <x:c r="F217" s="2"/>
      <x:c r="G217" s="2"/>
      <x:c r="H217" s="2"/>
    </x:row>
    <x:row r="218" ht="22" customHeight="1">
      <x:c r="A218" s="2" t="n">
        <x:v>212</x:v>
      </x:c>
      <x:c r="B218" s="79" t="n">
        <x:v>1.2505944733226502</x:v>
      </x:c>
      <x:c r="C218" s="46" t="n">
        <x:f>B218^2</x:f>
        <x:v>1.5639865367051569</x:v>
      </x:c>
      <x:c r="D218" s="47" t="n">
        <x:f>'Datos'!$B$26^3/3</x:f>
        <x:v>0.3333333333333333</x:v>
      </x:c>
      <x:c r="E218" s="46" t="n">
        <x:f>D218*(C218-1)</x:f>
        <x:v>0.1879955122350523</x:v>
      </x:c>
      <x:c r="F218" s="2"/>
      <x:c r="G218" s="2"/>
      <x:c r="H218" s="2"/>
    </x:row>
    <x:row r="219" ht="22" customHeight="1">
      <x:c r="A219" s="2" t="n">
        <x:v>213</x:v>
      </x:c>
      <x:c r="B219" s="79" t="n">
        <x:v>-1.518732010543479</x:v>
      </x:c>
      <x:c r="C219" s="46" t="n">
        <x:f>B219^2</x:f>
        <x:v>2.306546919849438</x:v>
      </x:c>
      <x:c r="D219" s="47" t="n">
        <x:f>'Datos'!$B$26^3/3</x:f>
        <x:v>0.3333333333333333</x:v>
      </x:c>
      <x:c r="E219" s="46" t="n">
        <x:f>D219*(C219-1)</x:f>
        <x:v>0.4355156399498126</x:v>
      </x:c>
      <x:c r="F219" s="2"/>
      <x:c r="G219" s="2"/>
      <x:c r="H219" s="2"/>
    </x:row>
    <x:row r="220" ht="22" customHeight="1">
      <x:c r="A220" s="2" t="n">
        <x:v>214</x:v>
      </x:c>
      <x:c r="B220" s="79" t="n">
        <x:v>-0.25169206990445064</x:v>
      </x:c>
      <x:c r="C220" s="46" t="n">
        <x:f>B220^2</x:f>
        <x:v>0.06334889805278687</x:v>
      </x:c>
      <x:c r="D220" s="47" t="n">
        <x:f>'Datos'!$B$26^3/3</x:f>
        <x:v>0.3333333333333333</x:v>
      </x:c>
      <x:c r="E220" s="46" t="n">
        <x:f>D220*(C220-1)</x:f>
        <x:v>-0.31221703398240436</x:v>
      </x:c>
      <x:c r="F220" s="2"/>
      <x:c r="G220" s="2"/>
      <x:c r="H220" s="2"/>
    </x:row>
    <x:row r="221" ht="22" customHeight="1">
      <x:c r="A221" s="2" t="n">
        <x:v>215</x:v>
      </x:c>
      <x:c r="B221" s="79" t="n">
        <x:v>-1.3748433037023267</x:v>
      </x:c>
      <x:c r="C221" s="46" t="n">
        <x:f>B221^2</x:f>
        <x:v>1.890194109735128</x:v>
      </x:c>
      <x:c r="D221" s="47" t="n">
        <x:f>'Datos'!$B$26^3/3</x:f>
        <x:v>0.3333333333333333</x:v>
      </x:c>
      <x:c r="E221" s="46" t="n">
        <x:f>D221*(C221-1)</x:f>
        <x:v>0.29673136991170934</x:v>
      </x:c>
      <x:c r="F221" s="2"/>
      <x:c r="G221" s="2"/>
      <x:c r="H221" s="2"/>
    </x:row>
    <x:row r="222" ht="22" customHeight="1">
      <x:c r="A222" s="2" t="n">
        <x:v>216</x:v>
      </x:c>
      <x:c r="B222" s="79" t="n">
        <x:v>-0.8857433239000458</x:v>
      </x:c>
      <x:c r="C222" s="46" t="n">
        <x:f>B222^2</x:f>
        <x:v>0.7845412358335015</x:v>
      </x:c>
      <x:c r="D222" s="47" t="n">
        <x:f>'Datos'!$B$26^3/3</x:f>
        <x:v>0.3333333333333333</x:v>
      </x:c>
      <x:c r="E222" s="46" t="n">
        <x:f>D222*(C222-1)</x:f>
        <x:v>-0.07181958805549948</x:v>
      </x:c>
      <x:c r="F222" s="2"/>
      <x:c r="G222" s="2"/>
      <x:c r="H222" s="2"/>
    </x:row>
    <x:row r="223" ht="22" customHeight="1">
      <x:c r="A223" s="2" t="n">
        <x:v>217</x:v>
      </x:c>
      <x:c r="B223" s="79" t="n">
        <x:v>-0.9430342881869954</x:v>
      </x:c>
      <x:c r="C223" s="46" t="n">
        <x:f>B223^2</x:f>
        <x:v>0.8893136686963531</x:v>
      </x:c>
      <x:c r="D223" s="47" t="n">
        <x:f>'Datos'!$B$26^3/3</x:f>
        <x:v>0.3333333333333333</x:v>
      </x:c>
      <x:c r="E223" s="46" t="n">
        <x:f>D223*(C223-1)</x:f>
        <x:v>-0.0368954437678823</x:v>
      </x:c>
      <x:c r="F223" s="2"/>
      <x:c r="G223" s="2"/>
      <x:c r="H223" s="2"/>
    </x:row>
    <x:row r="224" ht="22" customHeight="1">
      <x:c r="A224" s="2" t="n">
        <x:v>218</x:v>
      </x:c>
      <x:c r="B224" s="79" t="n">
        <x:v>0.45738647695379964</x:v>
      </x:c>
      <x:c r="C224" s="46" t="n">
        <x:f>B224^2</x:f>
        <x:v>0.20920238930020868</x:v>
      </x:c>
      <x:c r="D224" s="47" t="n">
        <x:f>'Datos'!$B$26^3/3</x:f>
        <x:v>0.3333333333333333</x:v>
      </x:c>
      <x:c r="E224" s="46" t="n">
        <x:f>D224*(C224-1)</x:f>
        <x:v>-0.2635992035665971</x:v>
      </x:c>
      <x:c r="F224" s="2"/>
      <x:c r="G224" s="2"/>
      <x:c r="H224" s="2"/>
    </x:row>
    <x:row r="225" ht="22" customHeight="1">
      <x:c r="A225" s="2" t="n">
        <x:v>219</x:v>
      </x:c>
      <x:c r="B225" s="79" t="n">
        <x:v>1.155262800486856</x:v>
      </x:c>
      <x:c r="C225" s="46" t="n">
        <x:f>B225^2</x:f>
        <x:v>1.3346321381887332</x:v>
      </x:c>
      <x:c r="D225" s="47" t="n">
        <x:f>'Datos'!$B$26^3/3</x:f>
        <x:v>0.3333333333333333</x:v>
      </x:c>
      <x:c r="E225" s="46" t="n">
        <x:f>D225*(C225-1)</x:f>
        <x:v>0.11154404606291105</x:v>
      </x:c>
      <x:c r="F225" s="2"/>
      <x:c r="G225" s="2"/>
      <x:c r="H225" s="2"/>
    </x:row>
    <x:row r="226" ht="22" customHeight="1">
      <x:c r="A226" s="2" t="n">
        <x:v>220</x:v>
      </x:c>
      <x:c r="B226" s="79" t="n">
        <x:v>-1.3619782775169367</x:v>
      </x:c>
      <x:c r="C226" s="46" t="n">
        <x:f>B226^2</x:f>
        <x:v>1.8549848284280017</x:v>
      </x:c>
      <x:c r="D226" s="47" t="n">
        <x:f>'Datos'!$B$26^3/3</x:f>
        <x:v>0.3333333333333333</x:v>
      </x:c>
      <x:c r="E226" s="46" t="n">
        <x:f>D226*(C226-1)</x:f>
        <x:v>0.2849949428093339</x:v>
      </x:c>
      <x:c r="F226" s="2"/>
      <x:c r="G226" s="2"/>
      <x:c r="H226" s="2"/>
    </x:row>
    <x:row r="227" ht="22" customHeight="1">
      <x:c r="A227" s="2" t="n">
        <x:v>221</x:v>
      </x:c>
      <x:c r="B227" s="79" t="n">
        <x:v>0.9988862255445555</x:v>
      </x:c>
      <x:c r="C227" s="46" t="n">
        <x:f>B227^2</x:f>
        <x:v>0.9977736915826486</x:v>
      </x:c>
      <x:c r="D227" s="47" t="n">
        <x:f>'Datos'!$B$26^3/3</x:f>
        <x:v>0.3333333333333333</x:v>
      </x:c>
      <x:c r="E227" s="46" t="n">
        <x:f>D227*(C227-1)</x:f>
        <x:v>-0.0007421028057837953</x:v>
      </x:c>
      <x:c r="F227" s="2"/>
      <x:c r="G227" s="2"/>
      <x:c r="H227" s="2"/>
    </x:row>
    <x:row r="228" ht="22" customHeight="1">
      <x:c r="A228" s="2" t="n">
        <x:v>222</x:v>
      </x:c>
      <x:c r="B228" s="79" t="n">
        <x:v>1.3694381313847688</x:v>
      </x:c>
      <x:c r="C228" s="46" t="n">
        <x:f>B228^2</x:f>
        <x:v>1.8753607956906073</x:v>
      </x:c>
      <x:c r="D228" s="47" t="n">
        <x:f>'Datos'!$B$26^3/3</x:f>
        <x:v>0.3333333333333333</x:v>
      </x:c>
      <x:c r="E228" s="46" t="n">
        <x:f>D228*(C228-1)</x:f>
        <x:v>0.2917869318968691</x:v>
      </x:c>
      <x:c r="F228" s="2"/>
      <x:c r="G228" s="2"/>
      <x:c r="H228" s="2"/>
    </x:row>
    <x:row r="229" ht="22" customHeight="1">
      <x:c r="A229" s="2" t="n">
        <x:v>223</x:v>
      </x:c>
      <x:c r="B229" s="79" t="n">
        <x:v>-1.3407539422708257</x:v>
      </x:c>
      <x:c r="C229" s="46" t="n">
        <x:f>B229^2</x:f>
        <x:v>1.7976211337147605</x:v>
      </x:c>
      <x:c r="D229" s="47" t="n">
        <x:f>'Datos'!$B$26^3/3</x:f>
        <x:v>0.3333333333333333</x:v>
      </x:c>
      <x:c r="E229" s="46" t="n">
        <x:f>D229*(C229-1)</x:f>
        <x:v>0.2658737112382535</x:v>
      </x:c>
      <x:c r="F229" s="2"/>
      <x:c r="G229" s="2"/>
      <x:c r="H229" s="2"/>
    </x:row>
    <x:row r="230" ht="22" customHeight="1">
      <x:c r="A230" s="2" t="n">
        <x:v>224</x:v>
      </x:c>
      <x:c r="B230" s="79" t="n">
        <x:v>0.09724591584299806</x:v>
      </x:c>
      <x:c r="C230" s="46" t="n">
        <x:f>B230^2</x:f>
        <x:v>0.009456768148143462</x:v>
      </x:c>
      <x:c r="D230" s="47" t="n">
        <x:f>'Datos'!$B$26^3/3</x:f>
        <x:v>0.3333333333333333</x:v>
      </x:c>
      <x:c r="E230" s="46" t="n">
        <x:f>D230*(C230-1)</x:f>
        <x:v>-0.3301810772839522</x:v>
      </x:c>
      <x:c r="F230" s="2"/>
      <x:c r="G230" s="2"/>
      <x:c r="H230" s="2"/>
    </x:row>
    <x:row r="231" ht="22" customHeight="1">
      <x:c r="A231" s="2" t="n">
        <x:v>225</x:v>
      </x:c>
      <x:c r="B231" s="79" t="n">
        <x:v>-0.18650948117146826</x:v>
      </x:c>
      <x:c r="C231" s="46" t="n">
        <x:f>B231^2</x:f>
        <x:v>0.034785786566850274</x:v>
      </x:c>
      <x:c r="D231" s="47" t="n">
        <x:f>'Datos'!$B$26^3/3</x:f>
        <x:v>0.3333333333333333</x:v>
      </x:c>
      <x:c r="E231" s="46" t="n">
        <x:f>D231*(C231-1)</x:f>
        <x:v>-0.32173807114438324</x:v>
      </x:c>
      <x:c r="F231" s="2"/>
      <x:c r="G231" s="2"/>
      <x:c r="H231" s="2"/>
    </x:row>
    <x:row r="232" ht="22" customHeight="1">
      <x:c r="A232" s="2" t="n">
        <x:v>226</x:v>
      </x:c>
      <x:c r="B232" s="79" t="n">
        <x:v>0.5839102310094697</x:v>
      </x:c>
      <x:c r="C232" s="46" t="n">
        <x:f>B232^2</x:f>
        <x:v>0.3409511578775323</x:v>
      </x:c>
      <x:c r="D232" s="47" t="n">
        <x:f>'Datos'!$B$26^3/3</x:f>
        <x:v>0.3333333333333333</x:v>
      </x:c>
      <x:c r="E232" s="46" t="n">
        <x:f>D232*(C232-1)</x:f>
        <x:v>-0.2196829473741559</x:v>
      </x:c>
      <x:c r="F232" s="2"/>
      <x:c r="G232" s="2"/>
      <x:c r="H232" s="2"/>
    </x:row>
    <x:row r="233" ht="22" customHeight="1">
      <x:c r="A233" s="2" t="n">
        <x:v>227</x:v>
      </x:c>
      <x:c r="B233" s="79" t="n">
        <x:v>-0.08755934234848917</x:v>
      </x:c>
      <x:c r="C233" s="46" t="n">
        <x:f>B233^2</x:f>
        <x:v>0.007666638432499928</x:v>
      </x:c>
      <x:c r="D233" s="47" t="n">
        <x:f>'Datos'!$B$26^3/3</x:f>
        <x:v>0.3333333333333333</x:v>
      </x:c>
      <x:c r="E233" s="46" t="n">
        <x:f>D233*(C233-1)</x:f>
        <x:v>-0.33077778718916667</x:v>
      </x:c>
      <x:c r="F233" s="2"/>
      <x:c r="G233" s="2"/>
      <x:c r="H233" s="2"/>
    </x:row>
    <x:row r="234" ht="22" customHeight="1">
      <x:c r="A234" s="2" t="n">
        <x:v>228</x:v>
      </x:c>
      <x:c r="B234" s="79" t="n">
        <x:v>0.3452161934924739</x:v>
      </x:c>
      <x:c r="C234" s="46" t="n">
        <x:f>B234^2</x:f>
        <x:v>0.11917422024943318</x:v>
      </x:c>
      <x:c r="D234" s="47" t="n">
        <x:f>'Datos'!$B$26^3/3</x:f>
        <x:v>0.3333333333333333</x:v>
      </x:c>
      <x:c r="E234" s="46" t="n">
        <x:f>D234*(C234-1)</x:f>
        <x:v>-0.29360859325018895</x:v>
      </x:c>
      <x:c r="F234" s="2"/>
      <x:c r="G234" s="2"/>
      <x:c r="H234" s="2"/>
    </x:row>
    <x:row r="235" ht="22" customHeight="1">
      <x:c r="A235" s="2" t="n">
        <x:v>229</x:v>
      </x:c>
      <x:c r="B235" s="79" t="n">
        <x:v>0.12661028105104732</x:v>
      </x:c>
      <x:c r="C235" s="46" t="n">
        <x:f>B235^2</x:f>
        <x:v>0.016030163267825193</x:v>
      </x:c>
      <x:c r="D235" s="47" t="n">
        <x:f>'Datos'!$B$26^3/3</x:f>
        <x:v>0.3333333333333333</x:v>
      </x:c>
      <x:c r="E235" s="46" t="n">
        <x:f>D235*(C235-1)</x:f>
        <x:v>-0.3279899455773916</x:v>
      </x:c>
      <x:c r="F235" s="2"/>
      <x:c r="G235" s="2"/>
      <x:c r="H235" s="2"/>
    </x:row>
    <x:row r="236" ht="22" customHeight="1">
      <x:c r="A236" s="2" t="n">
        <x:v>230</x:v>
      </x:c>
      <x:c r="B236" s="79" t="n">
        <x:v>1.3541596432891152</x:v>
      </x:c>
      <x:c r="C236" s="46" t="n">
        <x:f>B236^2</x:f>
        <x:v>1.8337483395129037</x:v>
      </x:c>
      <x:c r="D236" s="47" t="n">
        <x:f>'Datos'!$B$26^3/3</x:f>
        <x:v>0.3333333333333333</x:v>
      </x:c>
      <x:c r="E236" s="46" t="n">
        <x:f>D236*(C236-1)</x:f>
        <x:v>0.27791611317096787</x:v>
      </x:c>
      <x:c r="F236" s="2"/>
      <x:c r="G236" s="2"/>
      <x:c r="H236" s="2"/>
    </x:row>
    <x:row r="237" ht="22" customHeight="1">
      <x:c r="A237" s="2" t="n">
        <x:v>231</x:v>
      </x:c>
      <x:c r="B237" s="79" t="n">
        <x:v>-1.0967570052152844</x:v>
      </x:c>
      <x:c r="C237" s="46" t="n">
        <x:f>B237^2</x:f>
        <x:v>1.2028759284887993</x:v>
      </x:c>
      <x:c r="D237" s="47" t="n">
        <x:f>'Datos'!$B$26^3/3</x:f>
        <x:v>0.3333333333333333</x:v>
      </x:c>
      <x:c r="E237" s="46" t="n">
        <x:f>D237*(C237-1)</x:f>
        <x:v>0.06762530949626644</x:v>
      </x:c>
      <x:c r="F237" s="2"/>
      <x:c r="G237" s="2"/>
      <x:c r="H237" s="2"/>
    </x:row>
    <x:row r="238" ht="22" customHeight="1">
      <x:c r="A238" s="2" t="n">
        <x:v>232</x:v>
      </x:c>
      <x:c r="B238" s="79" t="n">
        <x:v>1.7753280589945601</x:v>
      </x:c>
      <x:c r="C238" s="46" t="n">
        <x:f>B238^2</x:f>
        <x:v>3.1517897170533926</x:v>
      </x:c>
      <x:c r="D238" s="47" t="n">
        <x:f>'Datos'!$B$26^3/3</x:f>
        <x:v>0.3333333333333333</x:v>
      </x:c>
      <x:c r="E238" s="46" t="n">
        <x:f>D238*(C238-1)</x:f>
        <x:v>0.7172632390177975</x:v>
      </x:c>
      <x:c r="F238" s="2"/>
      <x:c r="G238" s="2"/>
      <x:c r="H238" s="2"/>
    </x:row>
    <x:row r="239" ht="22" customHeight="1">
      <x:c r="A239" s="2" t="n">
        <x:v>233</x:v>
      </x:c>
      <x:c r="B239" s="79" t="n">
        <x:v>0.8691974004778678</x:v>
      </x:c>
      <x:c r="C239" s="46" t="n">
        <x:f>B239^2</x:f>
        <x:v>0.7555041209974828</x:v>
      </x:c>
      <x:c r="D239" s="47" t="n">
        <x:f>'Datos'!$B$26^3/3</x:f>
        <x:v>0.3333333333333333</x:v>
      </x:c>
      <x:c r="E239" s="46" t="n">
        <x:f>D239*(C239-1)</x:f>
        <x:v>-0.0814986263341724</x:v>
      </x:c>
      <x:c r="F239" s="2"/>
      <x:c r="G239" s="2"/>
      <x:c r="H239" s="2"/>
    </x:row>
    <x:row r="240" ht="22" customHeight="1">
      <x:c r="A240" s="2" t="n">
        <x:v>234</x:v>
      </x:c>
      <x:c r="B240" s="79" t="n">
        <x:v>-1.1203719722127758</x:v>
      </x:c>
      <x:c r="C240" s="46" t="n">
        <x:f>B240^2</x:f>
        <x:v>1.255233356119945</x:v>
      </x:c>
      <x:c r="D240" s="47" t="n">
        <x:f>'Datos'!$B$26^3/3</x:f>
        <x:v>0.3333333333333333</x:v>
      </x:c>
      <x:c r="E240" s="46" t="n">
        <x:f>D240*(C240-1)</x:f>
        <x:v>0.08507778537331497</x:v>
      </x:c>
      <x:c r="F240" s="2"/>
      <x:c r="G240" s="2"/>
      <x:c r="H240" s="2"/>
    </x:row>
    <x:row r="241" ht="22" customHeight="1">
      <x:c r="A241" s="2" t="n">
        <x:v>235</x:v>
      </x:c>
      <x:c r="B241" s="79" t="n">
        <x:v>0.7655930667816038</x:v>
      </x:c>
      <x:c r="C241" s="46" t="n">
        <x:f>B241^2</x:f>
        <x:v>0.5861327439040612</x:v>
      </x:c>
      <x:c r="D241" s="47" t="n">
        <x:f>'Datos'!$B$26^3/3</x:f>
        <x:v>0.3333333333333333</x:v>
      </x:c>
      <x:c r="E241" s="46" t="n">
        <x:f>D241*(C241-1)</x:f>
        <x:v>-0.13795575203197957</x:v>
      </x:c>
      <x:c r="F241" s="2"/>
      <x:c r="G241" s="2"/>
      <x:c r="H241" s="2"/>
    </x:row>
    <x:row r="242" ht="22" customHeight="1">
      <x:c r="A242" s="2" t="n">
        <x:v>236</x:v>
      </x:c>
      <x:c r="B242" s="79" t="n">
        <x:v>1.0278538931852068</x:v>
      </x:c>
      <x:c r="C242" s="46" t="n">
        <x:f>B242^2</x:f>
        <x:v>1.0564836257359866</x:v>
      </x:c>
      <x:c r="D242" s="47" t="n">
        <x:f>'Datos'!$B$26^3/3</x:f>
        <x:v>0.3333333333333333</x:v>
      </x:c>
      <x:c r="E242" s="46" t="n">
        <x:f>D242*(C242-1)</x:f>
        <x:v>0.01882787524532888</x:v>
      </x:c>
      <x:c r="F242" s="2"/>
      <x:c r="G242" s="2"/>
      <x:c r="H242" s="2"/>
    </x:row>
    <x:row r="243" ht="22" customHeight="1">
      <x:c r="A243" s="2" t="n">
        <x:v>237</x:v>
      </x:c>
      <x:c r="B243" s="79" t="n">
        <x:v>-0.0727285593590428</x:v>
      </x:c>
      <x:c r="C243" s="46" t="n">
        <x:f>B243^2</x:f>
        <x:v>0.0052894433464418114</x:v>
      </x:c>
      <x:c r="D243" s="47" t="n">
        <x:f>'Datos'!$B$26^3/3</x:f>
        <x:v>0.3333333333333333</x:v>
      </x:c>
      <x:c r="E243" s="46" t="n">
        <x:f>D243*(C243-1)</x:f>
        <x:v>-0.33157018555118606</x:v>
      </x:c>
      <x:c r="F243" s="2"/>
      <x:c r="G243" s="2"/>
      <x:c r="H243" s="2"/>
    </x:row>
    <x:row r="244" ht="22" customHeight="1">
      <x:c r="A244" s="2" t="n">
        <x:v>238</x:v>
      </x:c>
      <x:c r="B244" s="79" t="n">
        <x:v>-2.343164021842378</x:v>
      </x:c>
      <x:c r="C244" s="46" t="n">
        <x:f>B244^2</x:f>
        <x:v>5.4904176332565475</x:v>
      </x:c>
      <x:c r="D244" s="47" t="n">
        <x:f>'Datos'!$B$26^3/3</x:f>
        <x:v>0.3333333333333333</x:v>
      </x:c>
      <x:c r="E244" s="46" t="n">
        <x:f>D244*(C244-1)</x:f>
        <x:v>1.4968058777521824</x:v>
      </x:c>
      <x:c r="F244" s="2"/>
      <x:c r="G244" s="2"/>
      <x:c r="H244" s="2"/>
    </x:row>
    <x:row r="245" ht="22" customHeight="1">
      <x:c r="A245" s="2" t="n">
        <x:v>239</x:v>
      </x:c>
      <x:c r="B245" s="79" t="n">
        <x:v>-0.7556040755008999</x:v>
      </x:c>
      <x:c r="C245" s="46" t="n">
        <x:f>B245^2</x:f>
        <x:v>0.5709375189135697</x:v>
      </x:c>
      <x:c r="D245" s="47" t="n">
        <x:f>'Datos'!$B$26^3/3</x:f>
        <x:v>0.3333333333333333</x:v>
      </x:c>
      <x:c r="E245" s="46" t="n">
        <x:f>D245*(C245-1)</x:f>
        <x:v>-0.14302082702881008</x:v>
      </x:c>
      <x:c r="F245" s="2"/>
      <x:c r="G245" s="2"/>
      <x:c r="H245" s="2"/>
    </x:row>
    <x:row r="246" ht="22" customHeight="1">
      <x:c r="A246" s="2" t="n">
        <x:v>240</x:v>
      </x:c>
      <x:c r="B246" s="79" t="n">
        <x:v>2.0954109349548053</x:v>
      </x:c>
      <x:c r="C246" s="46" t="n">
        <x:f>B246^2</x:f>
        <x:v>4.390746986328171</x:v>
      </x:c>
      <x:c r="D246" s="47" t="n">
        <x:f>'Datos'!$B$26^3/3</x:f>
        <x:v>0.3333333333333333</x:v>
      </x:c>
      <x:c r="E246" s="46" t="n">
        <x:f>D246*(C246-1)</x:f>
        <x:v>1.1302489954427237</x:v>
      </x:c>
      <x:c r="F246" s="2"/>
      <x:c r="G246" s="2"/>
      <x:c r="H246" s="2"/>
    </x:row>
    <x:row r="247" ht="22" customHeight="1">
      <x:c r="A247" s="2" t="n">
        <x:v>241</x:v>
      </x:c>
      <x:c r="B247" s="79" t="n">
        <x:v>-0.2461873983982465</x:v>
      </x:c>
      <x:c r="C247" s="46" t="n">
        <x:f>B247^2</x:f>
        <x:v>0.06060823513009694</x:v>
      </x:c>
      <x:c r="D247" s="47" t="n">
        <x:f>'Datos'!$B$26^3/3</x:f>
        <x:v>0.3333333333333333</x:v>
      </x:c>
      <x:c r="E247" s="46" t="n">
        <x:f>D247*(C247-1)</x:f>
        <x:v>-0.31313058828996765</x:v>
      </x:c>
      <x:c r="F247" s="2"/>
      <x:c r="G247" s="2"/>
      <x:c r="H247" s="2"/>
    </x:row>
    <x:row r="248" ht="22" customHeight="1">
      <x:c r="A248" s="2" t="n">
        <x:v>242</x:v>
      </x:c>
      <x:c r="B248" s="79" t="n">
        <x:v>0.06452102082266989</x:v>
      </x:c>
      <x:c r="C248" s="46" t="n">
        <x:f>B248^2</x:f>
        <x:v>0.004162962127999401</x:v>
      </x:c>
      <x:c r="D248" s="47" t="n">
        <x:f>'Datos'!$B$26^3/3</x:f>
        <x:v>0.3333333333333333</x:v>
      </x:c>
      <x:c r="E248" s="46" t="n">
        <x:f>D248*(C248-1)</x:f>
        <x:v>-0.3319456792906669</x:v>
      </x:c>
      <x:c r="F248" s="2"/>
      <x:c r="G248" s="2"/>
      <x:c r="H248" s="2"/>
    </x:row>
    <x:row r="249" ht="22" customHeight="1">
      <x:c r="A249" s="2" t="n">
        <x:v>243</x:v>
      </x:c>
      <x:c r="B249" s="79" t="n">
        <x:v>0.5861571230971931</x:v>
      </x:c>
      <x:c r="C249" s="46" t="n">
        <x:f>B249^2</x:f>
        <x:v>0.34358017295757803</x:v>
      </x:c>
      <x:c r="D249" s="47" t="n">
        <x:f>'Datos'!$B$26^3/3</x:f>
        <x:v>0.3333333333333333</x:v>
      </x:c>
      <x:c r="E249" s="46" t="n">
        <x:f>D249*(C249-1)</x:f>
        <x:v>-0.21880660901414065</x:v>
      </x:c>
      <x:c r="F249" s="2"/>
      <x:c r="G249" s="2"/>
      <x:c r="H249" s="2"/>
    </x:row>
    <x:row r="250" ht="22" customHeight="1">
      <x:c r="A250" s="2" t="n">
        <x:v>244</x:v>
      </x:c>
      <x:c r="B250" s="79" t="n">
        <x:v>0.49613767411761506</x:v>
      </x:c>
      <x:c r="C250" s="46" t="n">
        <x:f>B250^2</x:f>
        <x:v>0.2461525916788368</x:v>
      </x:c>
      <x:c r="D250" s="47" t="n">
        <x:f>'Datos'!$B$26^3/3</x:f>
        <x:v>0.3333333333333333</x:v>
      </x:c>
      <x:c r="E250" s="46" t="n">
        <x:f>D250*(C250-1)</x:f>
        <x:v>-0.25128246944038773</x:v>
      </x:c>
      <x:c r="F250" s="2"/>
      <x:c r="G250" s="2"/>
      <x:c r="H250" s="2"/>
    </x:row>
    <x:row r="251" ht="22" customHeight="1">
      <x:c r="A251" s="2" t="n">
        <x:v>245</x:v>
      </x:c>
      <x:c r="B251" s="79" t="n">
        <x:v>1.935292194848219</x:v>
      </x:c>
      <x:c r="C251" s="46" t="n">
        <x:f>B251^2</x:f>
        <x:v>3.7453558794404365</x:v>
      </x:c>
      <x:c r="D251" s="47" t="n">
        <x:f>'Datos'!$B$26^3/3</x:f>
        <x:v>0.3333333333333333</x:v>
      </x:c>
      <x:c r="E251" s="46" t="n">
        <x:f>D251*(C251-1)</x:f>
        <x:v>0.9151186264801454</x:v>
      </x:c>
      <x:c r="F251" s="2"/>
      <x:c r="G251" s="2"/>
      <x:c r="H251" s="2"/>
    </x:row>
    <x:row r="252" ht="22" customHeight="1">
      <x:c r="A252" s="2" t="n">
        <x:v>246</x:v>
      </x:c>
      <x:c r="B252" s="79" t="n">
        <x:v>0.3470733101181549</x:v>
      </x:c>
      <x:c r="C252" s="46" t="n">
        <x:f>B252^2</x:f>
        <x:v>0.12045988259637293</x:v>
      </x:c>
      <x:c r="D252" s="47" t="n">
        <x:f>'Datos'!$B$26^3/3</x:f>
        <x:v>0.3333333333333333</x:v>
      </x:c>
      <x:c r="E252" s="46" t="n">
        <x:f>D252*(C252-1)</x:f>
        <x:v>-0.2931800391345423</x:v>
      </x:c>
      <x:c r="F252" s="2"/>
      <x:c r="G252" s="2"/>
      <x:c r="H252" s="2"/>
    </x:row>
    <x:row r="253" ht="22" customHeight="1">
      <x:c r="A253" s="2" t="n">
        <x:v>247</x:v>
      </x:c>
      <x:c r="B253" s="79" t="n">
        <x:v>-1.4458995527464757</x:v>
      </x:c>
      <x:c r="C253" s="46" t="n">
        <x:f>B253^2</x:f>
        <x:v>2.0906255166324588</x:v>
      </x:c>
      <x:c r="D253" s="47" t="n">
        <x:f>'Datos'!$B$26^3/3</x:f>
        <x:v>0.3333333333333333</x:v>
      </x:c>
      <x:c r="E253" s="46" t="n">
        <x:f>D253*(C253-1)</x:f>
        <x:v>0.36354183887748626</x:v>
      </x:c>
      <x:c r="F253" s="2"/>
      <x:c r="G253" s="2"/>
      <x:c r="H253" s="2"/>
    </x:row>
    <x:row r="254" ht="22" customHeight="1">
      <x:c r="A254" s="2" t="n">
        <x:v>248</x:v>
      </x:c>
      <x:c r="B254" s="79" t="n">
        <x:v>-0.5125602238599385</x:v>
      </x:c>
      <x:c r="C254" s="46" t="n">
        <x:f>B254^2</x:f>
        <x:v>0.26271798308335026</x:v>
      </x:c>
      <x:c r="D254" s="47" t="n">
        <x:f>'Datos'!$B$26^3/3</x:f>
        <x:v>0.3333333333333333</x:v>
      </x:c>
      <x:c r="E254" s="46" t="n">
        <x:f>D254*(C254-1)</x:f>
        <x:v>-0.2457606723055499</x:v>
      </x:c>
      <x:c r="F254" s="2"/>
      <x:c r="G254" s="2"/>
      <x:c r="H254" s="2"/>
    </x:row>
    <x:row r="255" ht="22" customHeight="1">
      <x:c r="A255" s="2" t="n">
        <x:v>249</x:v>
      </x:c>
      <x:c r="B255" s="79" t="n">
        <x:v>-2.078519018771397</x:v>
      </x:c>
      <x:c r="C255" s="46" t="n">
        <x:f>B255^2</x:f>
        <x:v>4.320241311394411</x:v>
      </x:c>
      <x:c r="D255" s="47" t="n">
        <x:f>'Datos'!$B$26^3/3</x:f>
        <x:v>0.3333333333333333</x:v>
      </x:c>
      <x:c r="E255" s="46" t="n">
        <x:f>D255*(C255-1)</x:f>
        <x:v>1.106747103798137</x:v>
      </x:c>
      <x:c r="F255" s="2"/>
      <x:c r="G255" s="2"/>
      <x:c r="H255" s="2"/>
    </x:row>
    <x:row r="256" ht="22" customHeight="1">
      <x:c r="A256" s="2" t="n">
        <x:v>250</x:v>
      </x:c>
      <x:c r="B256" s="79" t="n">
        <x:v>-0.07959361787817357</x:v>
      </x:c>
      <x:c r="C256" s="46" t="n">
        <x:f>B256^2</x:f>
        <x:v>0.006335144006936711</x:v>
      </x:c>
      <x:c r="D256" s="47" t="n">
        <x:f>'Datos'!$B$26^3/3</x:f>
        <x:v>0.3333333333333333</x:v>
      </x:c>
      <x:c r="E256" s="46" t="n">
        <x:f>D256*(C256-1)</x:f>
        <x:v>-0.3312216186643544</x:v>
      </x:c>
      <x:c r="F256" s="2"/>
      <x:c r="G256" s="2"/>
      <x:c r="H256" s="2"/>
    </x:row>
    <x:row r="257" ht="22" customHeight="1">
      <x:c r="A257" s="2" t="n">
        <x:v>251</x:v>
      </x:c>
      <x:c r="B257" s="79" t="n">
        <x:v>-0.31456387636569794</x:v>
      </x:c>
      <x:c r="C257" s="46" t="n">
        <x:f>B257^2</x:f>
        <x:v>0.09895043231421409</x:v>
      </x:c>
      <x:c r="D257" s="47" t="n">
        <x:f>'Datos'!$B$26^3/3</x:f>
        <x:v>0.3333333333333333</x:v>
      </x:c>
      <x:c r="E257" s="46" t="n">
        <x:f>D257*(C257-1)</x:f>
        <x:v>-0.300349855895262</x:v>
      </x:c>
      <x:c r="F257" s="2"/>
      <x:c r="G257" s="2"/>
      <x:c r="H257" s="2"/>
    </x:row>
    <x:row r="258" ht="22" customHeight="1">
      <x:c r="A258" s="2" t="n">
        <x:v>252</x:v>
      </x:c>
      <x:c r="B258" s="79" t="n">
        <x:v>1.1485743573878022</x:v>
      </x:c>
      <x:c r="C258" s="46" t="n">
        <x:f>B258^2</x:f>
        <x:v>1.3192230544488028</x:v>
      </x:c>
      <x:c r="D258" s="47" t="n">
        <x:f>'Datos'!$B$26^3/3</x:f>
        <x:v>0.3333333333333333</x:v>
      </x:c>
      <x:c r="E258" s="46" t="n">
        <x:f>D258*(C258-1)</x:f>
        <x:v>0.10640768481626761</x:v>
      </x:c>
      <x:c r="F258" s="2"/>
      <x:c r="G258" s="2"/>
      <x:c r="H258" s="2"/>
    </x:row>
    <x:row r="259" ht="22" customHeight="1">
      <x:c r="A259" s="2" t="n">
        <x:v>253</x:v>
      </x:c>
      <x:c r="B259" s="79" t="n">
        <x:v>0.7610757928733077</x:v>
      </x:c>
      <x:c r="C259" s="46" t="n">
        <x:f>B259^2</x:f>
        <x:v>0.579236362497734</x:v>
      </x:c>
      <x:c r="D259" s="47" t="n">
        <x:f>'Datos'!$B$26^3/3</x:f>
        <x:v>0.3333333333333333</x:v>
      </x:c>
      <x:c r="E259" s="46" t="n">
        <x:f>D259*(C259-1)</x:f>
        <x:v>-0.14025454583408864</x:v>
      </x:c>
      <x:c r="F259" s="2"/>
      <x:c r="G259" s="2"/>
      <x:c r="H259" s="2"/>
    </x:row>
    <x:row r="260" ht="22" customHeight="1">
      <x:c r="A260" s="2" t="n">
        <x:v>254</x:v>
      </x:c>
      <x:c r="B260" s="79" t="n">
        <x:v>0.2090647019226618</x:v>
      </x:c>
      <x:c r="C260" s="46" t="n">
        <x:f>B260^2</x:f>
        <x:v>0.04370804959001143</x:v>
      </x:c>
      <x:c r="D260" s="47" t="n">
        <x:f>'Datos'!$B$26^3/3</x:f>
        <x:v>0.3333333333333333</x:v>
      </x:c>
      <x:c r="E260" s="46" t="n">
        <x:f>D260*(C260-1)</x:f>
        <x:v>-0.3187639834699962</x:v>
      </x:c>
      <x:c r="F260" s="2"/>
      <x:c r="G260" s="2"/>
      <x:c r="H260" s="2"/>
    </x:row>
    <x:row r="261" ht="22" customHeight="1">
      <x:c r="A261" s="2" t="n">
        <x:v>255</x:v>
      </x:c>
      <x:c r="B261" s="79" t="n">
        <x:v>-0.560740206839718</x:v>
      </x:c>
      <x:c r="C261" s="46" t="n">
        <x:f>B261^2</x:f>
        <x:v>0.31442957956664974</x:v>
      </x:c>
      <x:c r="D261" s="47" t="n">
        <x:f>'Datos'!$B$26^3/3</x:f>
        <x:v>0.3333333333333333</x:v>
      </x:c>
      <x:c r="E261" s="46" t="n">
        <x:f>D261*(C261-1)</x:f>
        <x:v>-0.2285234734777834</x:v>
      </x:c>
      <x:c r="F261" s="2"/>
      <x:c r="G261" s="2"/>
      <x:c r="H261" s="2"/>
    </x:row>
    <x:row r="262" ht="22" customHeight="1">
      <x:c r="A262" s="2" t="n">
        <x:v>256</x:v>
      </x:c>
      <x:c r="B262" s="79" t="n">
        <x:v>0.6980144750734026</x:v>
      </x:c>
      <x:c r="C262" s="46" t="n">
        <x:f>B262^2</x:f>
        <x:v>0.48722420741199784</x:v>
      </x:c>
      <x:c r="D262" s="47" t="n">
        <x:f>'Datos'!$B$26^3/3</x:f>
        <x:v>0.3333333333333333</x:v>
      </x:c>
      <x:c r="E262" s="46" t="n">
        <x:f>D262*(C262-1)</x:f>
        <x:v>-0.17092526419600068</x:v>
      </x:c>
      <x:c r="F262" s="2"/>
      <x:c r="G262" s="2"/>
      <x:c r="H262" s="2"/>
    </x:row>
    <x:row r="263" ht="22" customHeight="1">
      <x:c r="A263" s="2" t="n">
        <x:v>257</x:v>
      </x:c>
      <x:c r="B263" s="79" t="n">
        <x:v>-0.5809406904565119</x:v>
      </x:c>
      <x:c r="C263" s="46" t="n">
        <x:f>B263^2</x:f>
        <x:v>0.33749208582808876</x:v>
      </x:c>
      <x:c r="D263" s="47" t="n">
        <x:f>'Datos'!$B$26^3/3</x:f>
        <x:v>0.3333333333333333</x:v>
      </x:c>
      <x:c r="E263" s="46" t="n">
        <x:f>D263*(C263-1)</x:f>
        <x:v>-0.22083597139063707</x:v>
      </x:c>
      <x:c r="F263" s="2"/>
      <x:c r="G263" s="2"/>
      <x:c r="H263" s="2"/>
    </x:row>
    <x:row r="264" ht="22" customHeight="1">
      <x:c r="A264" s="2" t="n">
        <x:v>258</x:v>
      </x:c>
      <x:c r="B264" s="79" t="n">
        <x:v>0.36438056977523514</x:v>
      </x:c>
      <x:c r="C264" s="46" t="n">
        <x:f>B264^2</x:f>
        <x:v>0.132773199629725</x:v>
      </x:c>
      <x:c r="D264" s="47" t="n">
        <x:f>'Datos'!$B$26^3/3</x:f>
        <x:v>0.3333333333333333</x:v>
      </x:c>
      <x:c r="E264" s="46" t="n">
        <x:f>D264*(C264-1)</x:f>
        <x:v>-0.289075600123425</x:v>
      </x:c>
      <x:c r="F264" s="2"/>
      <x:c r="G264" s="2"/>
      <x:c r="H264" s="2"/>
    </x:row>
    <x:row r="265" ht="22" customHeight="1">
      <x:c r="A265" s="2" t="n">
        <x:v>259</x:v>
      </x:c>
      <x:c r="B265" s="79" t="n">
        <x:v>-0.636524967771216</x:v>
      </x:c>
      <x:c r="C265" s="46" t="n">
        <x:f>B265^2</x:f>
        <x:v>0.4051640345961476</x:v>
      </x:c>
      <x:c r="D265" s="47" t="n">
        <x:f>'Datos'!$B$26^3/3</x:f>
        <x:v>0.3333333333333333</x:v>
      </x:c>
      <x:c r="E265" s="46" t="n">
        <x:f>D265*(C265-1)</x:f>
        <x:v>-0.19827865513461745</x:v>
      </x:c>
      <x:c r="F265" s="2"/>
      <x:c r="G265" s="2"/>
      <x:c r="H265" s="2"/>
    </x:row>
    <x:row r="266" ht="22" customHeight="1">
      <x:c r="A266" s="2" t="n">
        <x:v>260</x:v>
      </x:c>
      <x:c r="B266" s="79" t="n">
        <x:v>0.7409203492788897</x:v>
      </x:c>
      <x:c r="C266" s="46" t="n">
        <x:f>B266^2</x:f>
        <x:v>0.5489629639755519</x:v>
      </x:c>
      <x:c r="D266" s="47" t="n">
        <x:f>'Datos'!$B$26^3/3</x:f>
        <x:v>0.3333333333333333</x:v>
      </x:c>
      <x:c r="E266" s="46" t="n">
        <x:f>D266*(C266-1)</x:f>
        <x:v>-0.15034567867481602</x:v>
      </x:c>
      <x:c r="F266" s="2"/>
      <x:c r="G266" s="2"/>
      <x:c r="H266" s="2"/>
    </x:row>
    <x:row r="267" ht="22" customHeight="1">
      <x:c r="A267" s="2" t="n">
        <x:v>261</x:v>
      </x:c>
      <x:c r="B267" s="79" t="n">
        <x:v>0.47269871548454634</x:v>
      </x:c>
      <x:c r="C267" s="46" t="n">
        <x:f>B267^2</x:f>
        <x:v>0.2234440756207401</x:v>
      </x:c>
      <x:c r="D267" s="47" t="n">
        <x:f>'Datos'!$B$26^3/3</x:f>
        <x:v>0.3333333333333333</x:v>
      </x:c>
      <x:c r="E267" s="46" t="n">
        <x:f>D267*(C267-1)</x:f>
        <x:v>-0.25885197479308664</x:v>
      </x:c>
      <x:c r="F267" s="2"/>
      <x:c r="G267" s="2"/>
      <x:c r="H267" s="2"/>
    </x:row>
    <x:row r="268" ht="22" customHeight="1">
      <x:c r="A268" s="2" t="n">
        <x:v>262</x:v>
      </x:c>
      <x:c r="B268" s="79" t="n">
        <x:v>-1.2617497427516668</x:v>
      </x:c>
      <x:c r="C268" s="46" t="n">
        <x:f>B268^2</x:f>
        <x:v>1.5920124133338975</x:v>
      </x:c>
      <x:c r="D268" s="47" t="n">
        <x:f>'Datos'!$B$26^3/3</x:f>
        <x:v>0.3333333333333333</x:v>
      </x:c>
      <x:c r="E268" s="46" t="n">
        <x:f>D268*(C268-1)</x:f>
        <x:v>0.19733747111129918</x:v>
      </x:c>
      <x:c r="F268" s="2"/>
      <x:c r="G268" s="2"/>
      <x:c r="H268" s="2"/>
    </x:row>
    <x:row r="269" ht="22" customHeight="1">
      <x:c r="A269" s="2" t="n">
        <x:v>263</x:v>
      </x:c>
      <x:c r="B269" s="79" t="n">
        <x:v>-0.3814279799840968</x:v>
      </x:c>
      <x:c r="C269" s="46" t="n">
        <x:f>B269^2</x:f>
        <x:v>0.14548730391474854</x:v>
      </x:c>
      <x:c r="D269" s="47" t="n">
        <x:f>'Datos'!$B$26^3/3</x:f>
        <x:v>0.3333333333333333</x:v>
      </x:c>
      <x:c r="E269" s="46" t="n">
        <x:f>D269*(C269-1)</x:f>
        <x:v>-0.2848375653617505</x:v>
      </x:c>
      <x:c r="F269" s="2"/>
      <x:c r="G269" s="2"/>
      <x:c r="H269" s="2"/>
    </x:row>
    <x:row r="270" ht="22" customHeight="1">
      <x:c r="A270" s="2" t="n">
        <x:v>264</x:v>
      </x:c>
      <x:c r="B270" s="79" t="n">
        <x:v>-1.0271239088527633</x:v>
      </x:c>
      <x:c r="C270" s="46" t="n">
        <x:f>B270^2</x:f>
        <x:v>1.0549835241369796</x:v>
      </x:c>
      <x:c r="D270" s="47" t="n">
        <x:f>'Datos'!$B$26^3/3</x:f>
        <x:v>0.3333333333333333</x:v>
      </x:c>
      <x:c r="E270" s="46" t="n">
        <x:f>D270*(C270-1)</x:f>
        <x:v>0.0183278413789932</x:v>
      </x:c>
      <x:c r="F270" s="2"/>
      <x:c r="G270" s="2"/>
      <x:c r="H270" s="2"/>
    </x:row>
    <x:row r="271" ht="22" customHeight="1">
      <x:c r="A271" s="2" t="n">
        <x:v>265</x:v>
      </x:c>
      <x:c r="B271" s="79" t="n">
        <x:v>0.5908329632100308</x:v>
      </x:c>
      <x:c r="C271" s="46" t="n">
        <x:f>B271^2</x:f>
        <x:v>0.34908359041554554</x:v>
      </x:c>
      <x:c r="D271" s="47" t="n">
        <x:f>'Datos'!$B$26^3/3</x:f>
        <x:v>0.3333333333333333</x:v>
      </x:c>
      <x:c r="E271" s="46" t="n">
        <x:f>D271*(C271-1)</x:f>
        <x:v>-0.21697213652815145</x:v>
      </x:c>
      <x:c r="F271" s="2"/>
      <x:c r="G271" s="2"/>
      <x:c r="H271" s="2"/>
    </x:row>
    <x:row r="272" ht="22" customHeight="1">
      <x:c r="A272" s="2" t="n">
        <x:v>266</x:v>
      </x:c>
      <x:c r="B272" s="79" t="n">
        <x:v>0.5640825704494492</x:v>
      </x:c>
      <x:c r="C272" s="46" t="n">
        <x:f>B272^2</x:f>
        <x:v>0.31818914628485784</x:v>
      </x:c>
      <x:c r="D272" s="47" t="n">
        <x:f>'Datos'!$B$26^3/3</x:f>
        <x:v>0.3333333333333333</x:v>
      </x:c>
      <x:c r="E272" s="46" t="n">
        <x:f>D272*(C272-1)</x:f>
        <x:v>-0.22727028457171405</x:v>
      </x:c>
      <x:c r="F272" s="2"/>
      <x:c r="G272" s="2"/>
      <x:c r="H272" s="2"/>
    </x:row>
    <x:row r="273" ht="22" customHeight="1">
      <x:c r="A273" s="2" t="n">
        <x:v>267</x:v>
      </x:c>
      <x:c r="B273" s="79" t="n">
        <x:v>-0.7163885562104553</x:v>
      </x:c>
      <x:c r="C273" s="46" t="n">
        <x:f>B273^2</x:f>
        <x:v>0.5132125634693007</x:v>
      </x:c>
      <x:c r="D273" s="47" t="n">
        <x:f>'Datos'!$B$26^3/3</x:f>
        <x:v>0.3333333333333333</x:v>
      </x:c>
      <x:c r="E273" s="46" t="n">
        <x:f>D273*(C273-1)</x:f>
        <x:v>-0.16226247884356643</x:v>
      </x:c>
      <x:c r="F273" s="2"/>
      <x:c r="G273" s="2"/>
      <x:c r="H273" s="2"/>
    </x:row>
    <x:row r="274" ht="22" customHeight="1">
      <x:c r="A274" s="2" t="n">
        <x:v>268</x:v>
      </x:c>
      <x:c r="B274" s="79" t="n">
        <x:v>-0.05236473234820314</x:v>
      </x:c>
      <x:c r="C274" s="46" t="n">
        <x:f>B274^2</x:f>
        <x:v>0.002742065193898952</x:v>
      </x:c>
      <x:c r="D274" s="47" t="n">
        <x:f>'Datos'!$B$26^3/3</x:f>
        <x:v>0.3333333333333333</x:v>
      </x:c>
      <x:c r="E274" s="46" t="n">
        <x:f>D274*(C274-1)</x:f>
        <x:v>-0.33241931160203364</x:v>
      </x:c>
      <x:c r="F274" s="2"/>
      <x:c r="G274" s="2"/>
      <x:c r="H274" s="2"/>
    </x:row>
    <x:row r="275" ht="22" customHeight="1">
      <x:c r="A275" s="2" t="n">
        <x:v>269</x:v>
      </x:c>
      <x:c r="B275" s="79" t="n">
        <x:v>-0.2611941905287071</x:v>
      </x:c>
      <x:c r="C275" s="46" t="n">
        <x:f>B275^2</x:f>
        <x:v>0.06822240516594656</x:v>
      </x:c>
      <x:c r="D275" s="47" t="n">
        <x:f>'Datos'!$B$26^3/3</x:f>
        <x:v>0.3333333333333333</x:v>
      </x:c>
      <x:c r="E275" s="46" t="n">
        <x:f>D275*(C275-1)</x:f>
        <x:v>-0.31059253161135114</x:v>
      </x:c>
      <x:c r="F275" s="2"/>
      <x:c r="G275" s="2"/>
      <x:c r="H275" s="2"/>
    </x:row>
    <x:row r="276" ht="22" customHeight="1">
      <x:c r="A276" s="2" t="n">
        <x:v>270</x:v>
      </x:c>
      <x:c r="B276" s="79" t="n">
        <x:v>-0.0868499750205033</x:v>
      </x:c>
      <x:c r="C276" s="46" t="n">
        <x:f>B276^2</x:f>
        <x:v>0.007542918161062047</x:v>
      </x:c>
      <x:c r="D276" s="47" t="n">
        <x:f>'Datos'!$B$26^3/3</x:f>
        <x:v>0.3333333333333333</x:v>
      </x:c>
      <x:c r="E276" s="46" t="n">
        <x:f>D276*(C276-1)</x:f>
        <x:v>-0.33081902727964596</x:v>
      </x:c>
      <x:c r="F276" s="2"/>
      <x:c r="G276" s="2"/>
      <x:c r="H276" s="2"/>
    </x:row>
    <x:row r="277" ht="22" customHeight="1">
      <x:c r="A277" s="2" t="n">
        <x:v>271</x:v>
      </x:c>
      <x:c r="B277" s="79" t="n">
        <x:v>1.4338920962283708</x:v>
      </x:c>
      <x:c r="C277" s="46" t="n">
        <x:f>B277^2</x:f>
        <x:v>2.0560465436261914</x:v>
      </x:c>
      <x:c r="D277" s="47" t="n">
        <x:f>'Datos'!$B$26^3/3</x:f>
        <x:v>0.3333333333333333</x:v>
      </x:c>
      <x:c r="E277" s="46" t="n">
        <x:f>D277*(C277-1)</x:f>
        <x:v>0.3520155145420638</x:v>
      </x:c>
      <x:c r="F277" s="2"/>
      <x:c r="G277" s="2"/>
      <x:c r="H277" s="2"/>
    </x:row>
    <x:row r="278" ht="22" customHeight="1">
      <x:c r="A278" s="2" t="n">
        <x:v>272</x:v>
      </x:c>
      <x:c r="B278" s="79" t="n">
        <x:v>1.4903304597765972</x:v>
      </x:c>
      <x:c r="C278" s="46" t="n">
        <x:f>B278^2</x:f>
        <x:v>2.2210848793379236</x:v>
      </x:c>
      <x:c r="D278" s="47" t="n">
        <x:f>'Datos'!$B$26^3/3</x:f>
        <x:v>0.3333333333333333</x:v>
      </x:c>
      <x:c r="E278" s="46" t="n">
        <x:f>D278*(C278-1)</x:f>
        <x:v>0.4070282931126412</x:v>
      </x:c>
      <x:c r="F278" s="2"/>
      <x:c r="G278" s="2"/>
      <x:c r="H278" s="2"/>
    </x:row>
    <x:row r="279" ht="22" customHeight="1">
      <x:c r="A279" s="2" t="n">
        <x:v>273</x:v>
      </x:c>
      <x:c r="B279" s="79" t="n">
        <x:v>0.26058270190135785</x:v>
      </x:c>
      <x:c r="C279" s="46" t="n">
        <x:f>B279^2</x:f>
        <x:v>0.06790334453021193</x:v>
      </x:c>
      <x:c r="D279" s="47" t="n">
        <x:f>'Datos'!$B$26^3/3</x:f>
        <x:v>0.3333333333333333</x:v>
      </x:c>
      <x:c r="E279" s="46" t="n">
        <x:f>D279*(C279-1)</x:f>
        <x:v>-0.310698885156596</x:v>
      </x:c>
      <x:c r="F279" s="2"/>
      <x:c r="G279" s="2"/>
      <x:c r="H279" s="2"/>
    </x:row>
    <x:row r="280" ht="22" customHeight="1">
      <x:c r="A280" s="2" t="n">
        <x:v>274</x:v>
      </x:c>
      <x:c r="B280" s="79" t="n">
        <x:v>-0.9145859892107838</x:v>
      </x:c>
      <x:c r="C280" s="46" t="n">
        <x:f>B280^2</x:f>
        <x:v>0.836467531660668</x:v>
      </x:c>
      <x:c r="D280" s="47" t="n">
        <x:f>'Datos'!$B$26^3/3</x:f>
        <x:v>0.3333333333333333</x:v>
      </x:c>
      <x:c r="E280" s="46" t="n">
        <x:f>D280*(C280-1)</x:f>
        <x:v>-0.054510822779777326</x:v>
      </x:c>
      <x:c r="F280" s="2"/>
      <x:c r="G280" s="2"/>
      <x:c r="H280" s="2"/>
    </x:row>
    <x:row r="281" ht="22" customHeight="1">
      <x:c r="A281" s="2" t="n">
        <x:v>275</x:v>
      </x:c>
      <x:c r="B281" s="79" t="n">
        <x:v>0.9312703677501845</x:v>
      </x:c>
      <x:c r="C281" s="46" t="n">
        <x:f>B281^2</x:f>
        <x:v>0.8672644978495638</x:v>
      </x:c>
      <x:c r="D281" s="47" t="n">
        <x:f>'Datos'!$B$26^3/3</x:f>
        <x:v>0.3333333333333333</x:v>
      </x:c>
      <x:c r="E281" s="46" t="n">
        <x:f>D281*(C281-1)</x:f>
        <x:v>-0.04424516738347872</x:v>
      </x:c>
      <x:c r="F281" s="2"/>
      <x:c r="G281" s="2"/>
      <x:c r="H281" s="2"/>
    </x:row>
    <x:row r="282" ht="22" customHeight="1">
      <x:c r="A282" s="2" t="n">
        <x:v>276</x:v>
      </x:c>
      <x:c r="B282" s="79" t="n">
        <x:v>-0.5117525951590297</x:v>
      </x:c>
      <x:c r="C282" s="46" t="n">
        <x:f>B282^2</x:f>
        <x:v>0.26189071865200175</x:v>
      </x:c>
      <x:c r="D282" s="47" t="n">
        <x:f>'Datos'!$B$26^3/3</x:f>
        <x:v>0.3333333333333333</x:v>
      </x:c>
      <x:c r="E282" s="46" t="n">
        <x:f>D282*(C282-1)</x:f>
        <x:v>-0.2460364271159994</x:v>
      </x:c>
      <x:c r="F282" s="2"/>
      <x:c r="G282" s="2"/>
      <x:c r="H282" s="2"/>
    </x:row>
    <x:row r="283" ht="22" customHeight="1">
      <x:c r="A283" s="2" t="n">
        <x:v>277</x:v>
      </x:c>
      <x:c r="B283" s="79" t="n">
        <x:v>1.2773829238393843</x:v>
      </x:c>
      <x:c r="C283" s="46" t="n">
        <x:f>B283^2</x:f>
        <x:v>1.6317071341164544</x:v>
      </x:c>
      <x:c r="D283" s="47" t="n">
        <x:f>'Datos'!$B$26^3/3</x:f>
        <x:v>0.3333333333333333</x:v>
      </x:c>
      <x:c r="E283" s="46" t="n">
        <x:f>D283*(C283-1)</x:f>
        <x:v>0.2105690447054848</x:v>
      </x:c>
      <x:c r="F283" s="2"/>
      <x:c r="G283" s="2"/>
      <x:c r="H283" s="2"/>
    </x:row>
    <x:row r="284" ht="22" customHeight="1">
      <x:c r="A284" s="2" t="n">
        <x:v>278</x:v>
      </x:c>
      <x:c r="B284" s="79" t="n">
        <x:v>0.935253725997967</x:v>
      </x:c>
      <x:c r="C284" s="46" t="n">
        <x:f>B284^2</x:f>
        <x:v>0.8746995319930803</x:v>
      </x:c>
      <x:c r="D284" s="47" t="n">
        <x:f>'Datos'!$B$26^3/3</x:f>
        <x:v>0.3333333333333333</x:v>
      </x:c>
      <x:c r="E284" s="46" t="n">
        <x:f>D284*(C284-1)</x:f>
        <x:v>-0.04176682266897325</x:v>
      </x:c>
      <x:c r="F284" s="2"/>
      <x:c r="G284" s="2"/>
      <x:c r="H284" s="2"/>
    </x:row>
    <x:row r="285" ht="22" customHeight="1">
      <x:c r="A285" s="2" t="n">
        <x:v>279</x:v>
      </x:c>
      <x:c r="B285" s="79" t="n">
        <x:v>0.7647401533698842</x:v>
      </x:c>
      <x:c r="C285" s="46" t="n">
        <x:f>B285^2</x:f>
        <x:v>0.5848275021761941</x:v>
      </x:c>
      <x:c r="D285" s="47" t="n">
        <x:f>'Datos'!$B$26^3/3</x:f>
        <x:v>0.3333333333333333</x:v>
      </x:c>
      <x:c r="E285" s="46" t="n">
        <x:f>D285*(C285-1)</x:f>
        <x:v>-0.1383908326079353</x:v>
      </x:c>
      <x:c r="F285" s="2"/>
      <x:c r="G285" s="2"/>
      <x:c r="H285" s="2"/>
    </x:row>
    <x:row r="286" ht="22" customHeight="1">
      <x:c r="A286" s="2" t="n">
        <x:v>280</x:v>
      </x:c>
      <x:c r="B286" s="79" t="n">
        <x:v>1.4097559407245859</x:v>
      </x:c>
      <x:c r="C286" s="46" t="n">
        <x:f>B286^2</x:f>
        <x:v>1.987411812408262</x:v>
      </x:c>
      <x:c r="D286" s="47" t="n">
        <x:f>'Datos'!$B$26^3/3</x:f>
        <x:v>0.3333333333333333</x:v>
      </x:c>
      <x:c r="E286" s="46" t="n">
        <x:f>D286*(C286-1)</x:f>
        <x:v>0.329137270802754</x:v>
      </x:c>
      <x:c r="F286" s="2"/>
      <x:c r="G286" s="2"/>
      <x:c r="H286" s="2"/>
    </x:row>
    <x:row r="287" ht="22" customHeight="1">
      <x:c r="A287" s="2" t="n">
        <x:v>281</x:v>
      </x:c>
      <x:c r="B287" s="79" t="n">
        <x:v>0.8245891970894943</x:v>
      </x:c>
      <x:c r="C287" s="46" t="n">
        <x:f>B287^2</x:f>
        <x:v>0.6799473439566969</x:v>
      </x:c>
      <x:c r="D287" s="47" t="n">
        <x:f>'Datos'!$B$26^3/3</x:f>
        <x:v>0.3333333333333333</x:v>
      </x:c>
      <x:c r="E287" s="46" t="n">
        <x:f>D287*(C287-1)</x:f>
        <x:v>-0.10668421868110103</x:v>
      </x:c>
      <x:c r="F287" s="2"/>
      <x:c r="G287" s="2"/>
      <x:c r="H287" s="2"/>
    </x:row>
    <x:row r="288" ht="22" customHeight="1">
      <x:c r="A288" s="2" t="n">
        <x:v>282</x:v>
      </x:c>
      <x:c r="B288" s="79" t="n">
        <x:v>0.8291748509640253</x:v>
      </x:c>
      <x:c r="C288" s="46" t="n">
        <x:f>B288^2</x:f>
        <x:v>0.6875309334712136</x:v>
      </x:c>
      <x:c r="D288" s="47" t="n">
        <x:f>'Datos'!$B$26^3/3</x:f>
        <x:v>0.3333333333333333</x:v>
      </x:c>
      <x:c r="E288" s="46" t="n">
        <x:f>D288*(C288-1)</x:f>
        <x:v>-0.10415635550959546</x:v>
      </x:c>
      <x:c r="F288" s="2"/>
      <x:c r="G288" s="2"/>
      <x:c r="H288" s="2"/>
    </x:row>
    <x:row r="289" ht="22" customHeight="1">
      <x:c r="A289" s="2" t="n">
        <x:v>283</x:v>
      </x:c>
      <x:c r="B289" s="79" t="n">
        <x:v>-0.5868961166499116</x:v>
      </x:c>
      <x:c r="C289" s="46" t="n">
        <x:f>B289^2</x:f>
        <x:v>0.3444470517387466</x:v>
      </x:c>
      <x:c r="D289" s="47" t="n">
        <x:f>'Datos'!$B$26^3/3</x:f>
        <x:v>0.3333333333333333</x:v>
      </x:c>
      <x:c r="E289" s="46" t="n">
        <x:f>D289*(C289-1)</x:f>
        <x:v>-0.2185176494204178</x:v>
      </x:c>
      <x:c r="F289" s="2"/>
      <x:c r="G289" s="2"/>
      <x:c r="H289" s="2"/>
    </x:row>
    <x:row r="290" ht="22" customHeight="1">
      <x:c r="A290" s="2" t="n">
        <x:v>284</x:v>
      </x:c>
      <x:c r="B290" s="79" t="n">
        <x:v>0.051212946730036846</x:v>
      </x:c>
      <x:c r="C290" s="46" t="n">
        <x:f>B290^2</x:f>
        <x:v>0.0026227659127735915</x:v>
      </x:c>
      <x:c r="D290" s="47" t="n">
        <x:f>'Datos'!$B$26^3/3</x:f>
        <x:v>0.3333333333333333</x:v>
      </x:c>
      <x:c r="E290" s="46" t="n">
        <x:f>D290*(C290-1)</x:f>
        <x:v>-0.3324590780290755</x:v>
      </x:c>
      <x:c r="F290" s="2"/>
      <x:c r="G290" s="2"/>
      <x:c r="H290" s="2"/>
    </x:row>
    <x:row r="291" ht="22" customHeight="1">
      <x:c r="A291" s="2" t="n">
        <x:v>285</x:v>
      </x:c>
      <x:c r="B291" s="79" t="n">
        <x:v>1.4480421870240587</x:v>
      </x:c>
      <x:c r="C291" s="46" t="n">
        <x:f>B291^2</x:f>
        <x:v>2.0968261754014192</x:v>
      </x:c>
      <x:c r="D291" s="47" t="n">
        <x:f>'Datos'!$B$26^3/3</x:f>
        <x:v>0.3333333333333333</x:v>
      </x:c>
      <x:c r="E291" s="46" t="n">
        <x:f>D291*(C291-1)</x:f>
        <x:v>0.3656087251338064</x:v>
      </x:c>
      <x:c r="F291" s="2"/>
      <x:c r="G291" s="2"/>
      <x:c r="H291" s="2"/>
    </x:row>
    <x:row r="292" ht="22" customHeight="1">
      <x:c r="A292" s="2" t="n">
        <x:v>286</x:v>
      </x:c>
      <x:c r="B292" s="79" t="n">
        <x:v>0.2986988539901022</x:v>
      </x:c>
      <x:c r="C292" s="46" t="n">
        <x:f>B292^2</x:f>
        <x:v>0.0892210053750004</x:v>
      </x:c>
      <x:c r="D292" s="47" t="n">
        <x:f>'Datos'!$B$26^3/3</x:f>
        <x:v>0.3333333333333333</x:v>
      </x:c>
      <x:c r="E292" s="46" t="n">
        <x:f>D292*(C292-1)</x:f>
        <x:v>-0.3035929982083332</x:v>
      </x:c>
      <x:c r="F292" s="2"/>
      <x:c r="G292" s="2"/>
      <x:c r="H292" s="2"/>
    </x:row>
    <x:row r="293" ht="22" customHeight="1">
      <x:c r="A293" s="2" t="n">
        <x:v>287</x:v>
      </x:c>
      <x:c r="B293" s="79" t="n">
        <x:v>-1.6158885858590268</x:v>
      </x:c>
      <x:c r="C293" s="46" t="n">
        <x:f>B293^2</x:f>
        <x:v>2.6110959219094854</x:v>
      </x:c>
      <x:c r="D293" s="47" t="n">
        <x:f>'Datos'!$B$26^3/3</x:f>
        <x:v>0.3333333333333333</x:v>
      </x:c>
      <x:c r="E293" s="46" t="n">
        <x:f>D293*(C293-1)</x:f>
        <x:v>0.5370319739698284</x:v>
      </x:c>
      <x:c r="F293" s="2"/>
      <x:c r="G293" s="2"/>
      <x:c r="H293" s="2"/>
    </x:row>
    <x:row r="294" ht="22" customHeight="1">
      <x:c r="A294" s="2" t="n">
        <x:v>288</x:v>
      </x:c>
      <x:c r="B294" s="79" t="n">
        <x:v>-0.3102030214139528</x:v>
      </x:c>
      <x:c r="C294" s="46" t="n">
        <x:f>B294^2</x:f>
        <x:v>0.09622591449434525</x:v>
      </x:c>
      <x:c r="D294" s="47" t="n">
        <x:f>'Datos'!$B$26^3/3</x:f>
        <x:v>0.3333333333333333</x:v>
      </x:c>
      <x:c r="E294" s="46" t="n">
        <x:f>D294*(C294-1)</x:f>
        <x:v>-0.3012580285018849</x:v>
      </x:c>
      <x:c r="F294" s="2"/>
      <x:c r="G294" s="2"/>
      <x:c r="H294" s="2"/>
    </x:row>
    <x:row r="295" ht="22" customHeight="1">
      <x:c r="A295" s="2" t="n">
        <x:v>289</x:v>
      </x:c>
      <x:c r="B295" s="79" t="n">
        <x:v>1.0791167261202264</x:v>
      </x:c>
      <x:c r="C295" s="46" t="n">
        <x:f>B295^2</x:f>
        <x:v>1.1644929085924356</x:v>
      </x:c>
      <x:c r="D295" s="47" t="n">
        <x:f>'Datos'!$B$26^3/3</x:f>
        <x:v>0.3333333333333333</x:v>
      </x:c>
      <x:c r="E295" s="46" t="n">
        <x:f>D295*(C295-1)</x:f>
        <x:v>0.05483096953081186</x:v>
      </x:c>
      <x:c r="F295" s="2"/>
      <x:c r="G295" s="2"/>
      <x:c r="H295" s="2"/>
    </x:row>
    <x:row r="296" ht="22" customHeight="1">
      <x:c r="A296" s="2" t="n">
        <x:v>290</x:v>
      </x:c>
      <x:c r="B296" s="79" t="n">
        <x:v>-0.3271807264743909</x:v>
      </x:c>
      <x:c r="C296" s="46" t="n">
        <x:f>B296^2</x:f>
        <x:v>0.10704722777631019</x:v>
      </x:c>
      <x:c r="D296" s="47" t="n">
        <x:f>'Datos'!$B$26^3/3</x:f>
        <x:v>0.3333333333333333</x:v>
      </x:c>
      <x:c r="E296" s="46" t="n">
        <x:f>D296*(C296-1)</x:f>
        <x:v>-0.2976509240745633</x:v>
      </x:c>
      <x:c r="F296" s="2"/>
      <x:c r="G296" s="2"/>
      <x:c r="H296" s="2"/>
    </x:row>
    <x:row r="297" ht="22" customHeight="1">
      <x:c r="A297" s="2" t="n">
        <x:v>291</x:v>
      </x:c>
      <x:c r="B297" s="79" t="n">
        <x:v>0.3370621536445221</x:v>
      </x:c>
      <x:c r="C297" s="46" t="n">
        <x:f>B297^2</x:f>
        <x:v>0.11361089541948341</x:v>
      </x:c>
      <x:c r="D297" s="47" t="n">
        <x:f>'Datos'!$B$26^3/3</x:f>
        <x:v>0.3333333333333333</x:v>
      </x:c>
      <x:c r="E297" s="46" t="n">
        <x:f>D297*(C297-1)</x:f>
        <x:v>-0.29546303486017217</x:v>
      </x:c>
      <x:c r="F297" s="2"/>
      <x:c r="G297" s="2"/>
      <x:c r="H297" s="2"/>
    </x:row>
    <x:row r="298" ht="22" customHeight="1">
      <x:c r="A298" s="2" t="n">
        <x:v>292</x:v>
      </x:c>
      <x:c r="B298" s="79" t="n">
        <x:v>-0.24828720594669065</x:v>
      </x:c>
      <x:c r="C298" s="46" t="n">
        <x:f>B298^2</x:f>
        <x:v>0.06164653663681438</x:v>
      </x:c>
      <x:c r="D298" s="47" t="n">
        <x:f>'Datos'!$B$26^3/3</x:f>
        <x:v>0.3333333333333333</x:v>
      </x:c>
      <x:c r="E298" s="46" t="n">
        <x:f>D298*(C298-1)</x:f>
        <x:v>-0.3127844877877285</x:v>
      </x:c>
      <x:c r="F298" s="2"/>
      <x:c r="G298" s="2"/>
      <x:c r="H298" s="2"/>
    </x:row>
    <x:row r="299" ht="22" customHeight="1">
      <x:c r="A299" s="2" t="n">
        <x:v>293</x:v>
      </x:c>
      <x:c r="B299" s="79" t="n">
        <x:v>1.2759982465569857</x:v>
      </x:c>
      <x:c r="C299" s="46" t="n">
        <x:f>B299^2</x:f>
        <x:v>1.628171525216502</x:v>
      </x:c>
      <x:c r="D299" s="47" t="n">
        <x:f>'Datos'!$B$26^3/3</x:f>
        <x:v>0.3333333333333333</x:v>
      </x:c>
      <x:c r="E299" s="46" t="n">
        <x:f>D299*(C299-1)</x:f>
        <x:v>0.2093905084055007</x:v>
      </x:c>
      <x:c r="F299" s="2"/>
      <x:c r="G299" s="2"/>
      <x:c r="H299" s="2"/>
    </x:row>
    <x:row r="300" ht="22" customHeight="1">
      <x:c r="A300" s="2" t="n">
        <x:v>294</x:v>
      </x:c>
      <x:c r="B300" s="79" t="n">
        <x:v>-0.9070373955798802</x:v>
      </x:c>
      <x:c r="C300" s="46" t="n">
        <x:f>B300^2</x:f>
        <x:v>0.822716836980332</x:v>
      </x:c>
      <x:c r="D300" s="47" t="n">
        <x:f>'Datos'!$B$26^3/3</x:f>
        <x:v>0.3333333333333333</x:v>
      </x:c>
      <x:c r="E300" s="46" t="n">
        <x:f>D300*(C300-1)</x:f>
        <x:v>-0.05909438767322265</x:v>
      </x:c>
      <x:c r="F300" s="2"/>
      <x:c r="G300" s="2"/>
      <x:c r="H300" s="2"/>
    </x:row>
    <x:row r="301" ht="22" customHeight="1">
      <x:c r="A301" s="2" t="n">
        <x:v>295</x:v>
      </x:c>
      <x:c r="B301" s="79" t="n">
        <x:v>-0.2419287812708118</x:v>
      </x:c>
      <x:c r="C301" s="46" t="n">
        <x:f>B301^2</x:f>
        <x:v>0.0585295352071803</x:v>
      </x:c>
      <x:c r="D301" s="47" t="n">
        <x:f>'Datos'!$B$26^3/3</x:f>
        <x:v>0.3333333333333333</x:v>
      </x:c>
      <x:c r="E301" s="46" t="n">
        <x:f>D301*(C301-1)</x:f>
        <x:v>-0.3138234882642732</x:v>
      </x:c>
      <x:c r="F301" s="2"/>
      <x:c r="G301" s="2"/>
      <x:c r="H301" s="2"/>
    </x:row>
    <x:row r="302" ht="22" customHeight="1">
      <x:c r="A302" s="2" t="n">
        <x:v>296</x:v>
      </x:c>
      <x:c r="B302" s="79" t="n">
        <x:v>-0.2864258574396263</x:v>
      </x:c>
      <x:c r="C302" s="46" t="n">
        <x:f>B302^2</x:f>
        <x:v>0.08203977181002511</x:v>
      </x:c>
      <x:c r="D302" s="47" t="n">
        <x:f>'Datos'!$B$26^3/3</x:f>
        <x:v>0.3333333333333333</x:v>
      </x:c>
      <x:c r="E302" s="46" t="n">
        <x:f>D302*(C302-1)</x:f>
        <x:v>-0.3059867427299916</x:v>
      </x:c>
      <x:c r="F302" s="2"/>
      <x:c r="G302" s="2"/>
      <x:c r="H302" s="2"/>
    </x:row>
    <x:row r="303" ht="22" customHeight="1">
      <x:c r="A303" s="2" t="n">
        <x:v>297</x:v>
      </x:c>
      <x:c r="B303" s="79" t="n">
        <x:v>0.4594877200032917</x:v>
      </x:c>
      <x:c r="C303" s="46" t="n">
        <x:f>B303^2</x:f>
        <x:v>0.21112896483382337</x:v>
      </x:c>
      <x:c r="D303" s="47" t="n">
        <x:f>'Datos'!$B$26^3/3</x:f>
        <x:v>0.3333333333333333</x:v>
      </x:c>
      <x:c r="E303" s="46" t="n">
        <x:f>D303*(C303-1)</x:f>
        <x:v>-0.2629570117220589</x:v>
      </x:c>
      <x:c r="F303" s="2"/>
      <x:c r="G303" s="2"/>
      <x:c r="H303" s="2"/>
    </x:row>
    <x:row r="304" ht="22" customHeight="1">
      <x:c r="A304" s="2" t="n">
        <x:v>298</x:v>
      </x:c>
      <x:c r="B304" s="79" t="n">
        <x:v>-2.27753707970801</x:v>
      </x:c>
      <x:c r="C304" s="46" t="n">
        <x:f>B304^2</x:f>
        <x:v>5.187175149444891</x:v>
      </x:c>
      <x:c r="D304" s="47" t="n">
        <x:f>'Datos'!$B$26^3/3</x:f>
        <x:v>0.3333333333333333</x:v>
      </x:c>
      <x:c r="E304" s="46" t="n">
        <x:f>D304*(C304-1)</x:f>
        <x:v>1.3957250498149636</x:v>
      </x:c>
      <x:c r="F304" s="2"/>
      <x:c r="G304" s="2"/>
      <x:c r="H304" s="2"/>
    </x:row>
    <x:row r="305" ht="22" customHeight="1">
      <x:c r="A305" s="2" t="n">
        <x:v>299</x:v>
      </x:c>
      <x:c r="B305" s="79" t="n">
        <x:v>-0.4219552499603364</x:v>
      </x:c>
      <x:c r="C305" s="46" t="n">
        <x:f>B305^2</x:f>
        <x:v>0.17804623296908997</x:v>
      </x:c>
      <x:c r="D305" s="47" t="n">
        <x:f>'Datos'!$B$26^3/3</x:f>
        <x:v>0.3333333333333333</x:v>
      </x:c>
      <x:c r="E305" s="46" t="n">
        <x:f>D305*(C305-1)</x:f>
        <x:v>-0.2739845890103033</x:v>
      </x:c>
      <x:c r="F305" s="2"/>
      <x:c r="G305" s="2"/>
      <x:c r="H305" s="2"/>
    </x:row>
    <x:row r="306" ht="22" customHeight="1">
      <x:c r="A306" s="2" t="n">
        <x:v>300</x:v>
      </x:c>
      <x:c r="B306" s="79" t="n">
        <x:v>1.1182447589866569</x:v>
      </x:c>
      <x:c r="C306" s="46" t="n">
        <x:f>B306^2</x:f>
        <x:v>1.2504713410011263</x:v>
      </x:c>
      <x:c r="D306" s="47" t="n">
        <x:f>'Datos'!$B$26^3/3</x:f>
        <x:v>0.3333333333333333</x:v>
      </x:c>
      <x:c r="E306" s="46" t="n">
        <x:f>D306*(C306-1)</x:f>
        <x:v>0.08349044700037545</x:v>
      </x:c>
      <x:c r="F306" s="2"/>
      <x:c r="G306" s="2"/>
      <x:c r="H306" s="2"/>
    </x:row>
    <x:row r="307" ht="22" customHeight="1">
      <x:c r="A307" s="2" t="n">
        <x:v>301</x:v>
      </x:c>
      <x:c r="B307" s="79" t="n">
        <x:v>-2.355467952241025</x:v>
      </x:c>
      <x:c r="C307" s="46" t="n">
        <x:f>B307^2</x:f>
        <x:v>5.5482292740345285</x:v>
      </x:c>
      <x:c r="D307" s="47" t="n">
        <x:f>'Datos'!$B$26^3/3</x:f>
        <x:v>0.3333333333333333</x:v>
      </x:c>
      <x:c r="E307" s="46" t="n">
        <x:f>D307*(C307-1)</x:f>
        <x:v>1.5160764246781762</x:v>
      </x:c>
      <x:c r="F307" s="2"/>
      <x:c r="G307" s="2"/>
      <x:c r="H307" s="2"/>
    </x:row>
    <x:row r="308" ht="22" customHeight="1">
      <x:c r="A308" s="2" t="n">
        <x:v>302</x:v>
      </x:c>
      <x:c r="B308" s="79" t="n">
        <x:v>-1.3425394805455089</x:v>
      </x:c>
      <x:c r="C308" s="46" t="n">
        <x:f>B308^2</x:f>
        <x:v>1.802412256823405</x:v>
      </x:c>
      <x:c r="D308" s="47" t="n">
        <x:f>'Datos'!$B$26^3/3</x:f>
        <x:v>0.3333333333333333</x:v>
      </x:c>
      <x:c r="E308" s="46" t="n">
        <x:f>D308*(C308-1)</x:f>
        <x:v>0.26747075227446826</x:v>
      </x:c>
      <x:c r="F308" s="2"/>
      <x:c r="G308" s="2"/>
      <x:c r="H308" s="2"/>
    </x:row>
    <x:row r="309" ht="22" customHeight="1">
      <x:c r="A309" s="2" t="n">
        <x:v>303</x:v>
      </x:c>
      <x:c r="B309" s="79" t="n">
        <x:v>0.23953767868512219</x:v>
      </x:c>
      <x:c r="C309" s="46" t="n">
        <x:f>B309^2</x:f>
        <x:v>0.05737829950985684</x:v>
      </x:c>
      <x:c r="D309" s="47" t="n">
        <x:f>'Datos'!$B$26^3/3</x:f>
        <x:v>0.3333333333333333</x:v>
      </x:c>
      <x:c r="E309" s="46" t="n">
        <x:f>D309*(C309-1)</x:f>
        <x:v>-0.31420723349671437</x:v>
      </x:c>
      <x:c r="F309" s="2"/>
      <x:c r="G309" s="2"/>
      <x:c r="H309" s="2"/>
    </x:row>
    <x:row r="310" ht="22" customHeight="1">
      <x:c r="A310" s="2" t="n">
        <x:v>304</x:v>
      </x:c>
      <x:c r="B310" s="79" t="n">
        <x:v>-0.8182522644352145</x:v>
      </x:c>
      <x:c r="C310" s="46" t="n">
        <x:f>B310^2</x:f>
        <x:v>0.6695367682533562</x:v>
      </x:c>
      <x:c r="D310" s="47" t="n">
        <x:f>'Datos'!$B$26^3/3</x:f>
        <x:v>0.3333333333333333</x:v>
      </x:c>
      <x:c r="E310" s="46" t="n">
        <x:f>D310*(C310-1)</x:f>
        <x:v>-0.1101544105822146</x:v>
      </x:c>
      <x:c r="F310" s="2"/>
      <x:c r="G310" s="2"/>
      <x:c r="H310" s="2"/>
    </x:row>
    <x:row r="311" ht="22" customHeight="1">
      <x:c r="A311" s="2" t="n">
        <x:v>305</x:v>
      </x:c>
      <x:c r="B311" s="79" t="n">
        <x:v>0.8451075247171825</x:v>
      </x:c>
      <x:c r="C311" s="46" t="n">
        <x:f>B311^2</x:f>
        <x:v>0.7142067283336033</x:v>
      </x:c>
      <x:c r="D311" s="47" t="n">
        <x:f>'Datos'!$B$26^3/3</x:f>
        <x:v>0.3333333333333333</x:v>
      </x:c>
      <x:c r="E311" s="46" t="n">
        <x:f>D311*(C311-1)</x:f>
        <x:v>-0.09526442388879888</x:v>
      </x:c>
      <x:c r="F311" s="2"/>
      <x:c r="G311" s="2"/>
      <x:c r="H311" s="2"/>
    </x:row>
    <x:row r="312" ht="22" customHeight="1">
      <x:c r="A312" s="2" t="n">
        <x:v>306</x:v>
      </x:c>
      <x:c r="B312" s="79" t="n">
        <x:v>-0.4729934981643848</x:v>
      </x:c>
      <x:c r="C312" s="46" t="n">
        <x:f>B312^2</x:f>
        <x:v>0.22372284930578187</x:v>
      </x:c>
      <x:c r="D312" s="47" t="n">
        <x:f>'Datos'!$B$26^3/3</x:f>
        <x:v>0.3333333333333333</x:v>
      </x:c>
      <x:c r="E312" s="46" t="n">
        <x:f>D312*(C312-1)</x:f>
        <x:v>-0.258759050231406</x:v>
      </x:c>
      <x:c r="F312" s="2"/>
      <x:c r="G312" s="2"/>
      <x:c r="H312" s="2"/>
    </x:row>
    <x:row r="313" ht="22" customHeight="1">
      <x:c r="A313" s="2" t="n">
        <x:v>307</x:v>
      </x:c>
      <x:c r="B313" s="79" t="n">
        <x:v>0.24593473334200114</x:v>
      </x:c>
      <x:c r="C313" s="46" t="n">
        <x:f>B313^2</x:f>
        <x:v>0.060483893064001204</x:v>
      </x:c>
      <x:c r="D313" s="47" t="n">
        <x:f>'Datos'!$B$26^3/3</x:f>
        <x:v>0.3333333333333333</x:v>
      </x:c>
      <x:c r="E313" s="46" t="n">
        <x:f>D313*(C313-1)</x:f>
        <x:v>-0.3131720356453329</x:v>
      </x:c>
      <x:c r="F313" s="2"/>
      <x:c r="G313" s="2"/>
      <x:c r="H313" s="2"/>
    </x:row>
    <x:row r="314" ht="22" customHeight="1">
      <x:c r="A314" s="2" t="n">
        <x:v>308</x:v>
      </x:c>
      <x:c r="B314" s="79" t="n">
        <x:v>1.40307996111896</x:v>
      </x:c>
      <x:c r="C314" s="46" t="n">
        <x:f>B314^2</x:f>
        <x:v>1.9686333772935822</x:v>
      </x:c>
      <x:c r="D314" s="47" t="n">
        <x:f>'Datos'!$B$26^3/3</x:f>
        <x:v>0.3333333333333333</x:v>
      </x:c>
      <x:c r="E314" s="46" t="n">
        <x:f>D314*(C314-1)</x:f>
        <x:v>0.3228777924311941</x:v>
      </x:c>
      <x:c r="F314" s="2"/>
      <x:c r="G314" s="2"/>
      <x:c r="H314" s="2"/>
    </x:row>
    <x:row r="315" ht="22" customHeight="1">
      <x:c r="A315" s="2" t="n">
        <x:v>309</x:v>
      </x:c>
      <x:c r="B315" s="79" t="n">
        <x:v>-1.2121541162600944</x:v>
      </x:c>
      <x:c r="C315" s="46" t="n">
        <x:f>B315^2</x:f>
        <x:v>1.4693176015662905</x:v>
      </x:c>
      <x:c r="D315" s="47" t="n">
        <x:f>'Datos'!$B$26^3/3</x:f>
        <x:v>0.3333333333333333</x:v>
      </x:c>
      <x:c r="E315" s="46" t="n">
        <x:f>D315*(C315-1)</x:f>
        <x:v>0.15643920052209684</x:v>
      </x:c>
      <x:c r="F315" s="2"/>
      <x:c r="G315" s="2"/>
      <x:c r="H315" s="2"/>
    </x:row>
    <x:row r="316" ht="22" customHeight="1">
      <x:c r="A316" s="2" t="n">
        <x:v>310</x:v>
      </x:c>
      <x:c r="B316" s="79" t="n">
        <x:v>-1.0615198322292616</x:v>
      </x:c>
      <x:c r="C316" s="46" t="n">
        <x:f>B316^2</x:f>
        <x:v>1.1268243542160397</x:v>
      </x:c>
      <x:c r="D316" s="47" t="n">
        <x:f>'Datos'!$B$26^3/3</x:f>
        <x:v>0.3333333333333333</x:v>
      </x:c>
      <x:c r="E316" s="46" t="n">
        <x:f>D316*(C316-1)</x:f>
        <x:v>0.042274784738679884</x:v>
      </x:c>
      <x:c r="F316" s="2"/>
      <x:c r="G316" s="2"/>
      <x:c r="H316" s="2"/>
    </x:row>
    <x:row r="317" ht="22" customHeight="1">
      <x:c r="A317" s="2" t="n">
        <x:v>311</x:v>
      </x:c>
      <x:c r="B317" s="79" t="n">
        <x:v>-0.7811573002307624</x:v>
      </x:c>
      <x:c r="C317" s="46" t="n">
        <x:f>B317^2</x:f>
        <x:v>0.6102067277038133</x:v>
      </x:c>
      <x:c r="D317" s="47" t="n">
        <x:f>'Datos'!$B$26^3/3</x:f>
        <x:v>0.3333333333333333</x:v>
      </x:c>
      <x:c r="E317" s="46" t="n">
        <x:f>D317*(C317-1)</x:f>
        <x:v>-0.12993109076539555</x:v>
      </x:c>
      <x:c r="F317" s="2"/>
      <x:c r="G317" s="2"/>
      <x:c r="H317" s="2"/>
    </x:row>
    <x:row r="318" ht="22" customHeight="1">
      <x:c r="A318" s="2" t="n">
        <x:v>312</x:v>
      </x:c>
      <x:c r="B318" s="79" t="n">
        <x:v>-0.07335476457743227</x:v>
      </x:c>
      <x:c r="C318" s="46" t="n">
        <x:f>B318^2</x:f>
        <x:v>0.005380921486210512</x:v>
      </x:c>
      <x:c r="D318" s="47" t="n">
        <x:f>'Datos'!$B$26^3/3</x:f>
        <x:v>0.3333333333333333</x:v>
      </x:c>
      <x:c r="E318" s="46" t="n">
        <x:f>D318*(C318-1)</x:f>
        <x:v>-0.33153969283792983</x:v>
      </x:c>
      <x:c r="F318" s="2"/>
      <x:c r="G318" s="2"/>
      <x:c r="H318" s="2"/>
    </x:row>
    <x:row r="319" ht="22" customHeight="1">
      <x:c r="A319" s="2" t="n">
        <x:v>313</x:v>
      </x:c>
      <x:c r="B319" s="79" t="n">
        <x:v>2.0752038238429726</x:v>
      </x:c>
      <x:c r="C319" s="46" t="n">
        <x:f>B319^2</x:f>
        <x:v>4.306470910492496</x:v>
      </x:c>
      <x:c r="D319" s="47" t="n">
        <x:f>'Datos'!$B$26^3/3</x:f>
        <x:v>0.3333333333333333</x:v>
      </x:c>
      <x:c r="E319" s="46" t="n">
        <x:f>D319*(C319-1)</x:f>
        <x:v>1.1021569701641651</x:v>
      </x:c>
      <x:c r="F319" s="2"/>
      <x:c r="G319" s="2"/>
      <x:c r="H319" s="2"/>
    </x:row>
    <x:row r="320" ht="22" customHeight="1">
      <x:c r="A320" s="2" t="n">
        <x:v>314</x:v>
      </x:c>
      <x:c r="B320" s="79" t="n">
        <x:v>0.19843847945866616</x:v>
      </x:c>
      <x:c r="C320" s="46" t="n">
        <x:f>B320^2</x:f>
        <x:v>0.039377830129867473</x:v>
      </x:c>
      <x:c r="D320" s="47" t="n">
        <x:f>'Datos'!$B$26^3/3</x:f>
        <x:v>0.3333333333333333</x:v>
      </x:c>
      <x:c r="E320" s="46" t="n">
        <x:f>D320*(C320-1)</x:f>
        <x:v>-0.32020738995671083</x:v>
      </x:c>
      <x:c r="F320" s="2"/>
      <x:c r="G320" s="2"/>
      <x:c r="H320" s="2"/>
    </x:row>
    <x:row r="321" ht="22" customHeight="1">
      <x:c r="A321" s="2" t="n">
        <x:v>315</x:v>
      </x:c>
      <x:c r="B321" s="79" t="n">
        <x:v>1.673069333364791</x:v>
      </x:c>
      <x:c r="C321" s="46" t="n">
        <x:f>B321^2</x:f>
        <x:v>2.7991609942457063</x:v>
      </x:c>
      <x:c r="D321" s="47" t="n">
        <x:f>'Datos'!$B$26^3/3</x:f>
        <x:v>0.3333333333333333</x:v>
      </x:c>
      <x:c r="E321" s="46" t="n">
        <x:f>D321*(C321-1)</x:f>
        <x:v>0.5997203314152354</x:v>
      </x:c>
      <x:c r="F321" s="2"/>
      <x:c r="G321" s="2"/>
      <x:c r="H321" s="2"/>
    </x:row>
    <x:row r="322" ht="22" customHeight="1">
      <x:c r="A322" s="2" t="n">
        <x:v>316</x:v>
      </x:c>
      <x:c r="B322" s="79" t="n">
        <x:v>-0.6882513494270459</x:v>
      </x:c>
      <x:c r="C322" s="46" t="n">
        <x:f>B322^2</x:f>
        <x:v>0.47368991998814963</x:v>
      </x:c>
      <x:c r="D322" s="47" t="n">
        <x:f>'Datos'!$B$26^3/3</x:f>
        <x:v>0.3333333333333333</x:v>
      </x:c>
      <x:c r="E322" s="46" t="n">
        <x:f>D322*(C322-1)</x:f>
        <x:v>-0.17543669333728343</x:v>
      </x:c>
      <x:c r="F322" s="2"/>
      <x:c r="G322" s="2"/>
      <x:c r="H322" s="2"/>
    </x:row>
    <x:row r="323" ht="22" customHeight="1">
      <x:c r="A323" s="2" t="n">
        <x:v>317</x:v>
      </x:c>
      <x:c r="B323" s="79" t="n">
        <x:v>-0.17032367471708484</x:v>
      </x:c>
      <x:c r="C323" s="46" t="n">
        <x:f>B323^2</x:f>
        <x:v>0.029010154169131327</x:v>
      </x:c>
      <x:c r="D323" s="47" t="n">
        <x:f>'Datos'!$B$26^3/3</x:f>
        <x:v>0.3333333333333333</x:v>
      </x:c>
      <x:c r="E323" s="46" t="n">
        <x:f>D323*(C323-1)</x:f>
        <x:v>-0.32366328194362287</x:v>
      </x:c>
      <x:c r="F323" s="2"/>
      <x:c r="G323" s="2"/>
      <x:c r="H323" s="2"/>
    </x:row>
    <x:row r="324" ht="22" customHeight="1">
      <x:c r="A324" s="2" t="n">
        <x:v>318</x:v>
      </x:c>
      <x:c r="B324" s="79" t="n">
        <x:v>0.44191807445786085</x:v>
      </x:c>
      <x:c r="C324" s="46" t="n">
        <x:f>B324^2</x:f>
        <x:v>0.19529158453254344</x:v>
      </x:c>
      <x:c r="D324" s="47" t="n">
        <x:f>'Datos'!$B$26^3/3</x:f>
        <x:v>0.3333333333333333</x:v>
      </x:c>
      <x:c r="E324" s="46" t="n">
        <x:f>D324*(C324-1)</x:f>
        <x:v>-0.2682361384891522</x:v>
      </x:c>
      <x:c r="F324" s="2"/>
      <x:c r="G324" s="2"/>
      <x:c r="H324" s="2"/>
    </x:row>
    <x:row r="325" ht="22" customHeight="1">
      <x:c r="A325" s="2" t="n">
        <x:v>319</x:v>
      </x:c>
      <x:c r="B325" s="79" t="n">
        <x:v>1.058972025133622</x:v>
      </x:c>
      <x:c r="C325" s="46" t="n">
        <x:f>B325^2</x:f>
        <x:v>1.1214217500156047</x:v>
      </x:c>
      <x:c r="D325" s="47" t="n">
        <x:f>'Datos'!$B$26^3/3</x:f>
        <x:v>0.3333333333333333</x:v>
      </x:c>
      <x:c r="E325" s="46" t="n">
        <x:f>D325*(C325-1)</x:f>
        <x:v>0.04047391667186824</x:v>
      </x:c>
      <x:c r="F325" s="2"/>
      <x:c r="G325" s="2"/>
      <x:c r="H325" s="2"/>
    </x:row>
    <x:row r="326" ht="22" customHeight="1">
      <x:c r="A326" s="2" t="n">
        <x:v>320</x:v>
      </x:c>
      <x:c r="B326" s="79" t="n">
        <x:v>-0.07933163046647271</x:v>
      </x:c>
      <x:c r="C326" s="46" t="n">
        <x:f>B326^2</x:f>
        <x:v>0.00629350759246898</x:v>
      </x:c>
      <x:c r="D326" s="47" t="n">
        <x:f>'Datos'!$B$26^3/3</x:f>
        <x:v>0.3333333333333333</x:v>
      </x:c>
      <x:c r="E326" s="46" t="n">
        <x:f>D326*(C326-1)</x:f>
        <x:v>-0.331235497469177</x:v>
      </x:c>
      <x:c r="F326" s="2"/>
      <x:c r="G326" s="2"/>
      <x:c r="H326" s="2"/>
    </x:row>
    <x:row r="327" ht="22" customHeight="1">
      <x:c r="A327" s="2" t="n">
        <x:v>321</x:v>
      </x:c>
      <x:c r="B327" s="79" t="n">
        <x:v>-1.6447901377371243</x:v>
      </x:c>
      <x:c r="C327" s="46" t="n">
        <x:f>B327^2</x:f>
        <x:v>2.7053345971973086</x:v>
      </x:c>
      <x:c r="D327" s="47" t="n">
        <x:f>'Datos'!$B$26^3/3</x:f>
        <x:v>0.3333333333333333</x:v>
      </x:c>
      <x:c r="E327" s="46" t="n">
        <x:f>D327*(C327-1)</x:f>
        <x:v>0.5684448657324361</x:v>
      </x:c>
      <x:c r="F327" s="2"/>
      <x:c r="G327" s="2"/>
      <x:c r="H327" s="2"/>
    </x:row>
    <x:row r="328" ht="22" customHeight="1">
      <x:c r="A328" s="2" t="n">
        <x:v>322</x:v>
      </x:c>
      <x:c r="B328" s="79" t="n">
        <x:v>0.5426982638201303</x:v>
      </x:c>
      <x:c r="C328" s="46" t="n">
        <x:f>B328^2</x:f>
        <x:v>0.29452140555338374</x:v>
      </x:c>
      <x:c r="D328" s="47" t="n">
        <x:f>'Datos'!$B$26^3/3</x:f>
        <x:v>0.3333333333333333</x:v>
      </x:c>
      <x:c r="E328" s="46" t="n">
        <x:f>D328*(C328-1)</x:f>
        <x:v>-0.2351595314822054</x:v>
      </x:c>
      <x:c r="F328" s="2"/>
      <x:c r="G328" s="2"/>
      <x:c r="H328" s="2"/>
    </x:row>
    <x:row r="329" ht="22" customHeight="1">
      <x:c r="A329" s="2" t="n">
        <x:v>323</x:v>
      </x:c>
      <x:c r="B329" s="79" t="n">
        <x:v>0.6202748060446038</x:v>
      </x:c>
      <x:c r="C329" s="46" t="n">
        <x:f>B329^2</x:f>
        <x:v>0.3847408350136709</x:v>
      </x:c>
      <x:c r="D329" s="47" t="n">
        <x:f>'Datos'!$B$26^3/3</x:f>
        <x:v>0.3333333333333333</x:v>
      </x:c>
      <x:c r="E329" s="46" t="n">
        <x:f>D329*(C329-1)</x:f>
        <x:v>-0.20508638832877635</x:v>
      </x:c>
      <x:c r="F329" s="2"/>
      <x:c r="G329" s="2"/>
      <x:c r="H329" s="2"/>
    </x:row>
    <x:row r="330" ht="22" customHeight="1">
      <x:c r="A330" s="2" t="n">
        <x:v>324</x:v>
      </x:c>
      <x:c r="B330" s="79" t="n">
        <x:v>-1.3942836061995847</x:v>
      </x:c>
      <x:c r="C330" s="46" t="n">
        <x:f>B330^2</x:f>
        <x:v>1.9440267745169186</x:v>
      </x:c>
      <x:c r="D330" s="47" t="n">
        <x:f>'Datos'!$B$26^3/3</x:f>
        <x:v>0.3333333333333333</x:v>
      </x:c>
      <x:c r="E330" s="46" t="n">
        <x:f>D330*(C330-1)</x:f>
        <x:v>0.3146755915056395</x:v>
      </x:c>
      <x:c r="F330" s="2"/>
      <x:c r="G330" s="2"/>
      <x:c r="H330" s="2"/>
    </x:row>
    <x:row r="331" ht="22" customHeight="1">
      <x:c r="A331" s="2" t="n">
        <x:v>325</x:v>
      </x:c>
      <x:c r="B331" s="79" t="n">
        <x:v>1.7541801220101174</x:v>
      </x:c>
      <x:c r="C331" s="46" t="n">
        <x:f>B331^2</x:f>
        <x:v>3.0771479004554303</x:v>
      </x:c>
      <x:c r="D331" s="47" t="n">
        <x:f>'Datos'!$B$26^3/3</x:f>
        <x:v>0.3333333333333333</x:v>
      </x:c>
      <x:c r="E331" s="46" t="n">
        <x:f>D331*(C331-1)</x:f>
        <x:v>0.6923826334851434</x:v>
      </x:c>
      <x:c r="F331" s="2"/>
      <x:c r="G331" s="2"/>
      <x:c r="H331" s="2"/>
    </x:row>
    <x:row r="332" ht="22" customHeight="1">
      <x:c r="A332" s="2" t="n">
        <x:v>326</x:v>
      </x:c>
      <x:c r="B332" s="79" t="n">
        <x:v>0.8517043099316032</x:v>
      </x:c>
      <x:c r="C332" s="46" t="n">
        <x:f>B332^2</x:f>
        <x:v>0.7254002315560684</x:v>
      </x:c>
      <x:c r="D332" s="47" t="n">
        <x:f>'Datos'!$B$26^3/3</x:f>
        <x:v>0.3333333333333333</x:v>
      </x:c>
      <x:c r="E332" s="46" t="n">
        <x:f>D332*(C332-1)</x:f>
        <x:v>-0.09153325614797721</x:v>
      </x:c>
      <x:c r="F332" s="2"/>
      <x:c r="G332" s="2"/>
      <x:c r="H332" s="2"/>
    </x:row>
    <x:row r="333" ht="22" customHeight="1">
      <x:c r="A333" s="2" t="n">
        <x:v>327</x:v>
      </x:c>
      <x:c r="B333" s="79" t="n">
        <x:v>0.6978740032194931</x:v>
      </x:c>
      <x:c r="C333" s="46" t="n">
        <x:f>B333^2</x:f>
        <x:v>0.4870281243696011</x:v>
      </x:c>
      <x:c r="D333" s="47" t="n">
        <x:f>'Datos'!$B$26^3/3</x:f>
        <x:v>0.3333333333333333</x:v>
      </x:c>
      <x:c r="E333" s="46" t="n">
        <x:f>D333*(C333-1)</x:f>
        <x:v>-0.17099062521013297</x:v>
      </x:c>
      <x:c r="F333" s="2"/>
      <x:c r="G333" s="2"/>
      <x:c r="H333" s="2"/>
    </x:row>
    <x:row r="334" ht="22" customHeight="1">
      <x:c r="A334" s="2" t="n">
        <x:v>328</x:v>
      </x:c>
      <x:c r="B334" s="79" t="n">
        <x:v>1.255380071351529</x:v>
      </x:c>
      <x:c r="C334" s="46" t="n">
        <x:f>B334^2</x:f>
        <x:v>1.5759791235465703</x:v>
      </x:c>
      <x:c r="D334" s="47" t="n">
        <x:f>'Datos'!$B$26^3/3</x:f>
        <x:v>0.3333333333333333</x:v>
      </x:c>
      <x:c r="E334" s="46" t="n">
        <x:f>D334*(C334-1)</x:f>
        <x:v>0.1919930411821901</x:v>
      </x:c>
      <x:c r="F334" s="2"/>
      <x:c r="G334" s="2"/>
      <x:c r="H334" s="2"/>
    </x:row>
    <x:row r="335" ht="22" customHeight="1">
      <x:c r="A335" s="2" t="n">
        <x:v>329</x:v>
      </x:c>
      <x:c r="B335" s="79" t="n">
        <x:v>-0.8168820046085226</x:v>
      </x:c>
      <x:c r="C335" s="46" t="n">
        <x:f>B335^2</x:f>
        <x:v>0.6672962094532383</x:v>
      </x:c>
      <x:c r="D335" s="47" t="n">
        <x:f>'Datos'!$B$26^3/3</x:f>
        <x:v>0.3333333333333333</x:v>
      </x:c>
      <x:c r="E335" s="46" t="n">
        <x:f>D335*(C335-1)</x:f>
        <x:v>-0.11090126351558723</x:v>
      </x:c>
      <x:c r="F335" s="2"/>
      <x:c r="G335" s="2"/>
      <x:c r="H335" s="2"/>
    </x:row>
    <x:row r="336" ht="22" customHeight="1">
      <x:c r="A336" s="2" t="n">
        <x:v>330</x:v>
      </x:c>
      <x:c r="B336" s="79" t="n">
        <x:v>0.07410329181136001</x:v>
      </x:c>
      <x:c r="C336" s="46" t="n">
        <x:f>B336^2</x:f>
        <x:v>0.0054912978572795755</x:v>
      </x:c>
      <x:c r="D336" s="47" t="n">
        <x:f>'Datos'!$B$26^3/3</x:f>
        <x:v>0.3333333333333333</x:v>
      </x:c>
      <x:c r="E336" s="46" t="n">
        <x:f>D336*(C336-1)</x:f>
        <x:v>-0.33150290071424016</x:v>
      </x:c>
      <x:c r="F336" s="2"/>
      <x:c r="G336" s="2"/>
      <x:c r="H336" s="2"/>
    </x:row>
    <x:row r="337" ht="22" customHeight="1">
      <x:c r="A337" s="2" t="n">
        <x:v>331</x:v>
      </x:c>
      <x:c r="B337" s="79" t="n">
        <x:v>-0.9387678128519018</x:v>
      </x:c>
      <x:c r="C337" s="46" t="n">
        <x:f>B337^2</x:f>
        <x:v>0.8812850064467433</x:v>
      </x:c>
      <x:c r="D337" s="47" t="n">
        <x:f>'Datos'!$B$26^3/3</x:f>
        <x:v>0.3333333333333333</x:v>
      </x:c>
      <x:c r="E337" s="46" t="n">
        <x:f>D337*(C337-1)</x:f>
        <x:v>-0.039571664517752216</x:v>
      </x:c>
      <x:c r="F337" s="2"/>
      <x:c r="G337" s="2"/>
      <x:c r="H337" s="2"/>
    </x:row>
    <x:row r="338" ht="22" customHeight="1">
      <x:c r="A338" s="2" t="n">
        <x:v>332</x:v>
      </x:c>
      <x:c r="B338" s="79" t="n">
        <x:v>-0.7114555877413279</x:v>
      </x:c>
      <x:c r="C338" s="46" t="n">
        <x:f>B338^2</x:f>
        <x:v>0.5061690533283583</x:v>
      </x:c>
      <x:c r="D338" s="47" t="n">
        <x:f>'Datos'!$B$26^3/3</x:f>
        <x:v>0.3333333333333333</x:v>
      </x:c>
      <x:c r="E338" s="46" t="n">
        <x:f>D338*(C338-1)</x:f>
        <x:v>-0.1646103155572139</x:v>
      </x:c>
      <x:c r="F338" s="2"/>
      <x:c r="G338" s="2"/>
      <x:c r="H338" s="2"/>
    </x:row>
    <x:row r="339" ht="22" customHeight="1">
      <x:c r="A339" s="2" t="n">
        <x:v>333</x:v>
      </x:c>
      <x:c r="B339" s="79" t="n">
        <x:v>0.9380850689122006</x:v>
      </x:c>
      <x:c r="C339" s="46" t="n">
        <x:f>B339^2</x:f>
        <x:v>0.8800035965160081</x:v>
      </x:c>
      <x:c r="D339" s="47" t="n">
        <x:f>'Datos'!$B$26^3/3</x:f>
        <x:v>0.3333333333333333</x:v>
      </x:c>
      <x:c r="E339" s="46" t="n">
        <x:f>D339*(C339-1)</x:f>
        <x:v>-0.03999880116133062</x:v>
      </x:c>
      <x:c r="F339" s="2"/>
      <x:c r="G339" s="2"/>
      <x:c r="H339" s="2"/>
    </x:row>
    <x:row r="340" ht="22" customHeight="1">
      <x:c r="A340" s="2" t="n">
        <x:v>334</x:v>
      </x:c>
      <x:c r="B340" s="79" t="n">
        <x:v>-0.9530890715297166</x:v>
      </x:c>
      <x:c r="C340" s="46" t="n">
        <x:f>B340^2</x:f>
        <x:v>0.9083787782693772</x:v>
      </x:c>
      <x:c r="D340" s="47" t="n">
        <x:f>'Datos'!$B$26^3/3</x:f>
        <x:v>0.3333333333333333</x:v>
      </x:c>
      <x:c r="E340" s="46" t="n">
        <x:f>D340*(C340-1)</x:f>
        <x:v>-0.030540407243540936</x:v>
      </x:c>
      <x:c r="F340" s="2"/>
      <x:c r="G340" s="2"/>
      <x:c r="H340" s="2"/>
    </x:row>
    <x:row r="341" ht="22" customHeight="1">
      <x:c r="A341" s="2" t="n">
        <x:v>335</x:v>
      </x:c>
      <x:c r="B341" s="79" t="n">
        <x:v>-0.43237676804926695</x:v>
      </x:c>
      <x:c r="C341" s="46" t="n">
        <x:f>B341^2</x:f>
        <x:v>0.1869496695487296</x:v>
      </x:c>
      <x:c r="D341" s="47" t="n">
        <x:f>'Datos'!$B$26^3/3</x:f>
        <x:v>0.3333333333333333</x:v>
      </x:c>
      <x:c r="E341" s="46" t="n">
        <x:f>D341*(C341-1)</x:f>
        <x:v>-0.27101677681709013</x:v>
      </x:c>
      <x:c r="F341" s="2"/>
      <x:c r="G341" s="2"/>
      <x:c r="H341" s="2"/>
    </x:row>
    <x:row r="342" ht="22" customHeight="1">
      <x:c r="A342" s="2" t="n">
        <x:v>336</x:v>
      </x:c>
      <x:c r="B342" s="79" t="n">
        <x:v>-2.68160329762232</x:v>
      </x:c>
      <x:c r="C342" s="46" t="n">
        <x:f>B342^2</x:f>
        <x:v>7.190996245818901</x:v>
      </x:c>
      <x:c r="D342" s="47" t="n">
        <x:f>'Datos'!$B$26^3/3</x:f>
        <x:v>0.3333333333333333</x:v>
      </x:c>
      <x:c r="E342" s="46" t="n">
        <x:f>D342*(C342-1)</x:f>
        <x:v>2.063665415272967</x:v>
      </x:c>
      <x:c r="F342" s="2"/>
      <x:c r="G342" s="2"/>
      <x:c r="H342" s="2"/>
    </x:row>
    <x:row r="343" ht="22" customHeight="1">
      <x:c r="A343" s="2" t="n">
        <x:v>337</x:v>
      </x:c>
      <x:c r="B343" s="79" t="n">
        <x:v>-2.623327726075691</x:v>
      </x:c>
      <x:c r="C343" s="46" t="n">
        <x:f>B343^2</x:f>
        <x:v>6.881848358397455</x:v>
      </x:c>
      <x:c r="D343" s="47" t="n">
        <x:f>'Datos'!$B$26^3/3</x:f>
        <x:v>0.3333333333333333</x:v>
      </x:c>
      <x:c r="E343" s="46" t="n">
        <x:f>D343*(C343-1)</x:f>
        <x:v>1.960616119465818</x:v>
      </x:c>
      <x:c r="F343" s="2"/>
      <x:c r="G343" s="2"/>
      <x:c r="H343" s="2"/>
    </x:row>
    <x:row r="344" ht="22" customHeight="1">
      <x:c r="A344" s="2" t="n">
        <x:v>338</x:v>
      </x:c>
      <x:c r="B344" s="79" t="n">
        <x:v>0.8206451060648089</x:v>
      </x:c>
      <x:c r="C344" s="46" t="n">
        <x:f>B344^2</x:f>
        <x:v>0.6734583901081215</x:v>
      </x:c>
      <x:c r="D344" s="47" t="n">
        <x:f>'Datos'!$B$26^3/3</x:f>
        <x:v>0.3333333333333333</x:v>
      </x:c>
      <x:c r="E344" s="46" t="n">
        <x:f>D344*(C344-1)</x:f>
        <x:v>-0.10884720329729283</x:v>
      </x:c>
      <x:c r="F344" s="2"/>
      <x:c r="G344" s="2"/>
      <x:c r="H344" s="2"/>
    </x:row>
    <x:row r="345" ht="22" customHeight="1">
      <x:c r="A345" s="2" t="n">
        <x:v>339</x:v>
      </x:c>
      <x:c r="B345" s="79" t="n">
        <x:v>1.7358283877845415</x:v>
      </x:c>
      <x:c r="C345" s="46" t="n">
        <x:f>B345^2</x:f>
        <x:v>3.0131001918386806</x:v>
      </x:c>
      <x:c r="D345" s="47" t="n">
        <x:f>'Datos'!$B$26^3/3</x:f>
        <x:v>0.3333333333333333</x:v>
      </x:c>
      <x:c r="E345" s="46" t="n">
        <x:f>D345*(C345-1)</x:f>
        <x:v>0.6710333972795601</x:v>
      </x:c>
      <x:c r="F345" s="2"/>
      <x:c r="G345" s="2"/>
      <x:c r="H345" s="2"/>
    </x:row>
    <x:row r="346" ht="22" customHeight="1">
      <x:c r="A346" s="2" t="n">
        <x:v>340</x:v>
      </x:c>
      <x:c r="B346" s="79" t="n">
        <x:v>1.8686053536647609</x:v>
      </x:c>
      <x:c r="C346" s="46" t="n">
        <x:f>B346^2</x:f>
        <x:v>3.491685967744606</x:v>
      </x:c>
      <x:c r="D346" s="47" t="n">
        <x:f>'Datos'!$B$26^3/3</x:f>
        <x:v>0.3333333333333333</x:v>
      </x:c>
      <x:c r="E346" s="46" t="n">
        <x:f>D346*(C346-1)</x:f>
        <x:v>0.830561989248202</x:v>
      </x:c>
      <x:c r="F346" s="2"/>
      <x:c r="G346" s="2"/>
      <x:c r="H346" s="2"/>
    </x:row>
    <x:row r="347" ht="22" customHeight="1">
      <x:c r="A347" s="2" t="n">
        <x:v>341</x:v>
      </x:c>
      <x:c r="B347" s="79" t="n">
        <x:v>1.3845623816890285</x:v>
      </x:c>
      <x:c r="C347" s="46" t="n">
        <x:f>B347^2</x:f>
        <x:v>1.9170129887883949</x:v>
      </x:c>
      <x:c r="D347" s="47" t="n">
        <x:f>'Datos'!$B$26^3/3</x:f>
        <x:v>0.3333333333333333</x:v>
      </x:c>
      <x:c r="E347" s="46" t="n">
        <x:f>D347*(C347-1)</x:f>
        <x:v>0.30567099626279826</x:v>
      </x:c>
      <x:c r="F347" s="2"/>
      <x:c r="G347" s="2"/>
      <x:c r="H347" s="2"/>
    </x:row>
    <x:row r="348" ht="22" customHeight="1">
      <x:c r="A348" s="2" t="n">
        <x:v>342</x:v>
      </x:c>
      <x:c r="B348" s="79" t="n">
        <x:v>-1.6701083572708912</x:v>
      </x:c>
      <x:c r="C348" s="46" t="n">
        <x:f>B348^2</x:f>
        <x:v>2.789261925026075</x:v>
      </x:c>
      <x:c r="D348" s="47" t="n">
        <x:f>'Datos'!$B$26^3/3</x:f>
        <x:v>0.3333333333333333</x:v>
      </x:c>
      <x:c r="E348" s="46" t="n">
        <x:f>D348*(C348-1)</x:f>
        <x:v>0.5964206416753584</x:v>
      </x:c>
      <x:c r="F348" s="2"/>
      <x:c r="G348" s="2"/>
      <x:c r="H348" s="2"/>
    </x:row>
    <x:row r="349" ht="22" customHeight="1">
      <x:c r="A349" s="2" t="n">
        <x:v>343</x:v>
      </x:c>
      <x:c r="B349" s="79" t="n">
        <x:v>0.05789488516179121</x:v>
      </x:c>
      <x:c r="C349" s="46" t="n">
        <x:f>B349^2</x:f>
        <x:v>0.0033518177278969922</x:v>
      </x:c>
      <x:c r="D349" s="47" t="n">
        <x:f>'Datos'!$B$26^3/3</x:f>
        <x:v>0.3333333333333333</x:v>
      </x:c>
      <x:c r="E349" s="46" t="n">
        <x:f>D349*(C349-1)</x:f>
        <x:v>-0.33221606075736765</x:v>
      </x:c>
      <x:c r="F349" s="2"/>
      <x:c r="G349" s="2"/>
      <x:c r="H349" s="2"/>
    </x:row>
    <x:row r="350" ht="22" customHeight="1">
      <x:c r="A350" s="2" t="n">
        <x:v>344</x:v>
      </x:c>
      <x:c r="B350" s="79" t="n">
        <x:v>-0.5887213628828183</x:v>
      </x:c>
      <x:c r="C350" s="46" t="n">
        <x:f>B350^2</x:f>
        <x:v>0.34659284311460303</x:v>
      </x:c>
      <x:c r="D350" s="47" t="n">
        <x:f>'Datos'!$B$26^3/3</x:f>
        <x:v>0.3333333333333333</x:v>
      </x:c>
      <x:c r="E350" s="46" t="n">
        <x:f>D350*(C350-1)</x:f>
        <x:v>-0.21780238562846566</x:v>
      </x:c>
      <x:c r="F350" s="2"/>
      <x:c r="G350" s="2"/>
      <x:c r="H350" s="2"/>
    </x:row>
    <x:row r="351" ht="22" customHeight="1">
      <x:c r="A351" s="2" t="n">
        <x:v>345</x:v>
      </x:c>
      <x:c r="B351" s="79" t="n">
        <x:v>2.8847384560400666</x:v>
      </x:c>
      <x:c r="C351" s="46" t="n">
        <x:f>B351^2</x:f>
        <x:v>8.321715959756427</x:v>
      </x:c>
      <x:c r="D351" s="47" t="n">
        <x:f>'Datos'!$B$26^3/3</x:f>
        <x:v>0.3333333333333333</x:v>
      </x:c>
      <x:c r="E351" s="46" t="n">
        <x:f>D351*(C351-1)</x:f>
        <x:v>2.4405719865854754</x:v>
      </x:c>
      <x:c r="F351" s="2"/>
      <x:c r="G351" s="2"/>
      <x:c r="H351" s="2"/>
    </x:row>
    <x:row r="352" ht="22" customHeight="1">
      <x:c r="A352" s="2" t="n">
        <x:v>346</x:v>
      </x:c>
      <x:c r="B352" s="79" t="n">
        <x:v>0.5173126811940061</x:v>
      </x:c>
      <x:c r="C352" s="46" t="n">
        <x:f>B352^2</x:f>
        <x:v>0.2676124101241314</x:v>
      </x:c>
      <x:c r="D352" s="47" t="n">
        <x:f>'Datos'!$B$26^3/3</x:f>
        <x:v>0.3333333333333333</x:v>
      </x:c>
      <x:c r="E352" s="46" t="n">
        <x:f>D352*(C352-1)</x:f>
        <x:v>-0.24412919662528954</x:v>
      </x:c>
      <x:c r="F352" s="2"/>
      <x:c r="G352" s="2"/>
      <x:c r="H352" s="2"/>
    </x:row>
    <x:row r="353" ht="22" customHeight="1">
      <x:c r="A353" s="2" t="n">
        <x:v>347</x:v>
      </x:c>
      <x:c r="B353" s="79" t="n">
        <x:v>-0.12796333001260923</x:v>
      </x:c>
      <x:c r="C353" s="46" t="n">
        <x:f>B353^2</x:f>
        <x:v>0.01637461382791594</x:v>
      </x:c>
      <x:c r="D353" s="47" t="n">
        <x:f>'Datos'!$B$26^3/3</x:f>
        <x:v>0.3333333333333333</x:v>
      </x:c>
      <x:c r="E353" s="46" t="n">
        <x:f>D353*(C353-1)</x:f>
        <x:v>-0.327875128724028</x:v>
      </x:c>
      <x:c r="F353" s="2"/>
      <x:c r="G353" s="2"/>
      <x:c r="H353" s="2"/>
    </x:row>
    <x:row r="354" ht="22" customHeight="1">
      <x:c r="A354" s="2" t="n">
        <x:v>348</x:v>
      </x:c>
      <x:c r="B354" s="79" t="n">
        <x:v>0.3154434319317504</x:v>
      </x:c>
      <x:c r="C354" s="46" t="n">
        <x:f>B354^2</x:f>
        <x:v>0.09950455874888084</x:v>
      </x:c>
      <x:c r="D354" s="47" t="n">
        <x:f>'Datos'!$B$26^3/3</x:f>
        <x:v>0.3333333333333333</x:v>
      </x:c>
      <x:c r="E354" s="46" t="n">
        <x:f>D354*(C354-1)</x:f>
        <x:v>-0.30016514708370634</x:v>
      </x:c>
      <x:c r="F354" s="2"/>
      <x:c r="G354" s="2"/>
      <x:c r="H354" s="2"/>
    </x:row>
    <x:row r="355" ht="22" customHeight="1">
      <x:c r="A355" s="2" t="n">
        <x:v>349</x:v>
      </x:c>
      <x:c r="B355" s="79" t="n">
        <x:v>-0.8042164051244423</x:v>
      </x:c>
      <x:c r="C355" s="46" t="n">
        <x:f>B355^2</x:f>
        <x:v>0.646764026271281</x:v>
      </x:c>
      <x:c r="D355" s="47" t="n">
        <x:f>'Datos'!$B$26^3/3</x:f>
        <x:v>0.3333333333333333</x:v>
      </x:c>
      <x:c r="E355" s="46" t="n">
        <x:f>D355*(C355-1)</x:f>
        <x:v>-0.11774532457623965</x:v>
      </x:c>
      <x:c r="F355" s="2"/>
      <x:c r="G355" s="2"/>
      <x:c r="H355" s="2"/>
    </x:row>
    <x:row r="356" ht="22" customHeight="1">
      <x:c r="A356" s="2" t="n">
        <x:v>350</x:v>
      </x:c>
      <x:c r="B356" s="79" t="n">
        <x:v>-0.14187426016743718</x:v>
      </x:c>
      <x:c r="C356" s="46" t="n">
        <x:f>B356^2</x:f>
        <x:v>0.020128305698057652</x:v>
      </x:c>
      <x:c r="D356" s="47" t="n">
        <x:f>'Datos'!$B$26^3/3</x:f>
        <x:v>0.3333333333333333</x:v>
      </x:c>
      <x:c r="E356" s="46" t="n">
        <x:f>D356*(C356-1)</x:f>
        <x:v>-0.3266238981006474</x:v>
      </x:c>
      <x:c r="F356" s="2"/>
      <x:c r="G356" s="2"/>
      <x:c r="H356" s="2"/>
    </x:row>
    <x:row r="357" ht="22" customHeight="1">
      <x:c r="A357" s="2" t="n">
        <x:v>351</x:v>
      </x:c>
      <x:c r="B357" s="79" t="n">
        <x:v>0.9206621568275266</x:v>
      </x:c>
      <x:c r="C357" s="46" t="n">
        <x:f>B357^2</x:f>
        <x:v>0.8476188070143132</x:v>
      </x:c>
      <x:c r="D357" s="47" t="n">
        <x:f>'Datos'!$B$26^3/3</x:f>
        <x:v>0.3333333333333333</x:v>
      </x:c>
      <x:c r="E357" s="46" t="n">
        <x:f>D357*(C357-1)</x:f>
        <x:v>-0.050793730995228915</x:v>
      </x:c>
      <x:c r="F357" s="2"/>
      <x:c r="G357" s="2"/>
      <x:c r="H357" s="2"/>
    </x:row>
    <x:row r="358" ht="22" customHeight="1">
      <x:c r="A358" s="2" t="n">
        <x:v>352</x:v>
      </x:c>
      <x:c r="B358" s="79" t="n">
        <x:v>-0.8926978587561522</x:v>
      </x:c>
      <x:c r="C358" s="46" t="n">
        <x:f>B358^2</x:f>
        <x:v>0.796909467027819</x:v>
      </x:c>
      <x:c r="D358" s="47" t="n">
        <x:f>'Datos'!$B$26^3/3</x:f>
        <x:v>0.3333333333333333</x:v>
      </x:c>
      <x:c r="E358" s="46" t="n">
        <x:f>D358*(C358-1)</x:f>
        <x:v>-0.06769684432406034</x:v>
      </x:c>
      <x:c r="F358" s="2"/>
      <x:c r="G358" s="2"/>
      <x:c r="H358" s="2"/>
    </x:row>
    <x:row r="359" ht="22" customHeight="1">
      <x:c r="A359" s="2" t="n">
        <x:v>353</x:v>
      </x:c>
      <x:c r="B359" s="79" t="n">
        <x:v>-0.7710731095840758</x:v>
      </x:c>
      <x:c r="C359" s="46" t="n">
        <x:f>B359^2</x:f>
        <x:v>0.5945537403236562</x:v>
      </x:c>
      <x:c r="D359" s="47" t="n">
        <x:f>'Datos'!$B$26^3/3</x:f>
        <x:v>0.3333333333333333</x:v>
      </x:c>
      <x:c r="E359" s="46" t="n">
        <x:f>D359*(C359-1)</x:f>
        <x:v>-0.13514875322544795</x:v>
      </x:c>
      <x:c r="F359" s="2"/>
      <x:c r="G359" s="2"/>
      <x:c r="H359" s="2"/>
    </x:row>
    <x:row r="360" ht="22" customHeight="1">
      <x:c r="A360" s="2" t="n">
        <x:v>354</x:v>
      </x:c>
      <x:c r="B360" s="79" t="n">
        <x:v>-1.0406909761383802</x:v>
      </x:c>
      <x:c r="C360" s="46" t="n">
        <x:f>B360^2</x:f>
        <x:v>1.0830377078158546</x:v>
      </x:c>
      <x:c r="D360" s="47" t="n">
        <x:f>'Datos'!$B$26^3/3</x:f>
        <x:v>0.3333333333333333</x:v>
      </x:c>
      <x:c r="E360" s="46" t="n">
        <x:f>D360*(C360-1)</x:f>
        <x:v>0.027679235938618207</x:v>
      </x:c>
      <x:c r="F360" s="2"/>
      <x:c r="G360" s="2"/>
      <x:c r="H360" s="2"/>
    </x:row>
    <x:row r="361" ht="22" customHeight="1">
      <x:c r="A361" s="2" t="n">
        <x:v>355</x:v>
      </x:c>
      <x:c r="B361" s="79" t="n">
        <x:v>0.3398923758604688</x:v>
      </x:c>
      <x:c r="C361" s="46" t="n">
        <x:f>B361^2</x:f>
        <x:v>0.11552682716807418</x:v>
      </x:c>
      <x:c r="D361" s="47" t="n">
        <x:f>'Datos'!$B$26^3/3</x:f>
        <x:v>0.3333333333333333</x:v>
      </x:c>
      <x:c r="E361" s="46" t="n">
        <x:f>D361*(C361-1)</x:f>
        <x:v>-0.2948243909439753</x:v>
      </x:c>
      <x:c r="F361" s="2"/>
      <x:c r="G361" s="2"/>
      <x:c r="H361" s="2"/>
    </x:row>
    <x:row r="362" ht="22" customHeight="1">
      <x:c r="A362" s="2" t="n">
        <x:v>356</x:v>
      </x:c>
      <x:c r="B362" s="79" t="n">
        <x:v>0.3956470110916431</x:v>
      </x:c>
      <x:c r="C362" s="46" t="n">
        <x:f>B362^2</x:f>
        <x:v>0.15653655738575073</x:v>
      </x:c>
      <x:c r="D362" s="47" t="n">
        <x:f>'Datos'!$B$26^3/3</x:f>
        <x:v>0.3333333333333333</x:v>
      </x:c>
      <x:c r="E362" s="46" t="n">
        <x:f>D362*(C362-1)</x:f>
        <x:v>-0.2811544808714164</x:v>
      </x:c>
      <x:c r="F362" s="2"/>
      <x:c r="G362" s="2"/>
      <x:c r="H362" s="2"/>
    </x:row>
    <x:row r="363" ht="22" customHeight="1">
      <x:c r="A363" s="2" t="n">
        <x:v>357</x:v>
      </x:c>
      <x:c r="B363" s="79" t="n">
        <x:v>-0.1186245933567693</x:v>
      </x:c>
      <x:c r="C363" s="46" t="n">
        <x:f>B363^2</x:f>
        <x:v>0.014071794149058873</x:v>
      </x:c>
      <x:c r="D363" s="47" t="n">
        <x:f>'Datos'!$B$26^3/3</x:f>
        <x:v>0.3333333333333333</x:v>
      </x:c>
      <x:c r="E363" s="46" t="n">
        <x:f>D363*(C363-1)</x:f>
        <x:v>-0.328642735283647</x:v>
      </x:c>
      <x:c r="F363" s="2"/>
      <x:c r="G363" s="2"/>
      <x:c r="H363" s="2"/>
    </x:row>
    <x:row r="364" ht="22" customHeight="1">
      <x:c r="A364" s="2" t="n">
        <x:v>358</x:v>
      </x:c>
      <x:c r="B364" s="79" t="n">
        <x:v>1.8723351609210834</x:v>
      </x:c>
      <x:c r="C364" s="46" t="n">
        <x:f>B364^2</x:f>
        <x:v>3.5056389548213795</x:v>
      </x:c>
      <x:c r="D364" s="47" t="n">
        <x:f>'Datos'!$B$26^3/3</x:f>
        <x:v>0.3333333333333333</x:v>
      </x:c>
      <x:c r="E364" s="46" t="n">
        <x:f>D364*(C364-1)</x:f>
        <x:v>0.8352129849404598</x:v>
      </x:c>
      <x:c r="F364" s="2"/>
      <x:c r="G364" s="2"/>
      <x:c r="H364" s="2"/>
    </x:row>
    <x:row r="365" ht="22" customHeight="1">
      <x:c r="A365" s="2" t="n">
        <x:v>359</x:v>
      </x:c>
      <x:c r="B365" s="79" t="n">
        <x:v>0.4728142752091653</x:v>
      </x:c>
      <x:c r="C365" s="46" t="n">
        <x:f>B365^2</x:f>
        <x:v>0.2235533388415683</x:v>
      </x:c>
      <x:c r="D365" s="47" t="n">
        <x:f>'Datos'!$B$26^3/3</x:f>
        <x:v>0.3333333333333333</x:v>
      </x:c>
      <x:c r="E365" s="46" t="n">
        <x:f>D365*(C365-1)</x:f>
        <x:v>-0.25881555371947723</x:v>
      </x:c>
      <x:c r="F365" s="2"/>
      <x:c r="G365" s="2"/>
      <x:c r="H365" s="2"/>
    </x:row>
    <x:row r="366" ht="22" customHeight="1">
      <x:c r="A366" s="2" t="n">
        <x:v>360</x:v>
      </x:c>
      <x:c r="B366" s="79" t="n">
        <x:v>-0.7878769553894924</x:v>
      </x:c>
      <x:c r="C366" s="46" t="n">
        <x:f>B366^2</x:f>
        <x:v>0.6207500968338162</x:v>
      </x:c>
      <x:c r="D366" s="47" t="n">
        <x:f>'Datos'!$B$26^3/3</x:f>
        <x:v>0.3333333333333333</x:v>
      </x:c>
      <x:c r="E366" s="46" t="n">
        <x:f>D366*(C366-1)</x:f>
        <x:v>-0.1264166343887279</x:v>
      </x:c>
      <x:c r="F366" s="2"/>
      <x:c r="G366" s="2"/>
      <x:c r="H366" s="2"/>
    </x:row>
    <x:row r="367" ht="22" customHeight="1">
      <x:c r="A367" s="2" t="n">
        <x:v>361</x:v>
      </x:c>
      <x:c r="B367" s="79" t="n">
        <x:v>-1.3457912998733048</x:v>
      </x:c>
      <x:c r="C367" s="46" t="n">
        <x:f>B367^2</x:f>
        <x:v>1.8111542228146795</x:v>
      </x:c>
      <x:c r="D367" s="47" t="n">
        <x:f>'Datos'!$B$26^3/3</x:f>
        <x:v>0.3333333333333333</x:v>
      </x:c>
      <x:c r="E367" s="46" t="n">
        <x:f>D367*(C367-1)</x:f>
        <x:v>0.2703847409382265</x:v>
      </x:c>
      <x:c r="F367" s="2"/>
      <x:c r="G367" s="2"/>
      <x:c r="H367" s="2"/>
    </x:row>
    <x:row r="368" ht="22" customHeight="1">
      <x:c r="A368" s="2" t="n">
        <x:v>362</x:v>
      </x:c>
      <x:c r="B368" s="79" t="n">
        <x:v>0.547271070117539</x:v>
      </x:c>
      <x:c r="C368" s="46" t="n">
        <x:f>B368^2</x:f>
        <x:v>0.29950562418759624</x:v>
      </x:c>
      <x:c r="D368" s="47" t="n">
        <x:f>'Datos'!$B$26^3/3</x:f>
        <x:v>0.3333333333333333</x:v>
      </x:c>
      <x:c r="E368" s="46" t="n">
        <x:f>D368*(C368-1)</x:f>
        <x:v>-0.23349812527080127</x:v>
      </x:c>
      <x:c r="F368" s="2"/>
      <x:c r="G368" s="2"/>
      <x:c r="H368" s="2"/>
    </x:row>
    <x:row r="369" ht="22" customHeight="1">
      <x:c r="A369" s="2" t="n">
        <x:v>363</x:v>
      </x:c>
      <x:c r="B369" s="79" t="n">
        <x:v>0.14431969462672473</x:v>
      </x:c>
      <x:c r="C369" s="46" t="n">
        <x:f>B369^2</x:f>
        <x:v>0.020828174257151076</x:v>
      </x:c>
      <x:c r="D369" s="47" t="n">
        <x:f>'Datos'!$B$26^3/3</x:f>
        <x:v>0.3333333333333333</x:v>
      </x:c>
      <x:c r="E369" s="46" t="n">
        <x:f>D369*(C369-1)</x:f>
        <x:v>-0.3263906085809496</x:v>
      </x:c>
      <x:c r="F369" s="2"/>
      <x:c r="G369" s="2"/>
      <x:c r="H369" s="2"/>
    </x:row>
    <x:row r="370" ht="22" customHeight="1">
      <x:c r="A370" s="2" t="n">
        <x:v>364</x:v>
      </x:c>
      <x:c r="B370" s="79" t="n">
        <x:v>2.4537199851969915</x:v>
      </x:c>
      <x:c r="C370" s="46" t="n">
        <x:f>B370^2</x:f>
        <x:v>6.020741765755124</x:v>
      </x:c>
      <x:c r="D370" s="47" t="n">
        <x:f>'Datos'!$B$26^3/3</x:f>
        <x:v>0.3333333333333333</x:v>
      </x:c>
      <x:c r="E370" s="46" t="n">
        <x:f>D370*(C370-1)</x:f>
        <x:v>1.6735805885850414</x:v>
      </x:c>
      <x:c r="F370" s="2"/>
      <x:c r="G370" s="2"/>
      <x:c r="H370" s="2"/>
    </x:row>
    <x:row r="371" ht="22" customHeight="1">
      <x:c r="A371" s="2" t="n">
        <x:v>365</x:v>
      </x:c>
      <x:c r="B371" s="79" t="n">
        <x:v>0.5213092080836489</x:v>
      </x:c>
      <x:c r="C371" s="46" t="n">
        <x:f>B371^2</x:f>
        <x:v>0.2717632904328011</x:v>
      </x:c>
      <x:c r="D371" s="47" t="n">
        <x:f>'Datos'!$B$26^3/3</x:f>
        <x:v>0.3333333333333333</x:v>
      </x:c>
      <x:c r="E371" s="46" t="n">
        <x:f>D371*(C371-1)</x:f>
        <x:v>-0.24274556985573295</x:v>
      </x:c>
      <x:c r="F371" s="2"/>
      <x:c r="G371" s="2"/>
      <x:c r="H371" s="2"/>
    </x:row>
    <x:row r="372" ht="22" customHeight="1">
      <x:c r="A372" s="2" t="n">
        <x:v>366</x:v>
      </x:c>
      <x:c r="B372" s="79" t="n">
        <x:v>-2.0141104562501737</x:v>
      </x:c>
      <x:c r="C372" s="46" t="n">
        <x:f>B372^2</x:f>
        <x:v>4.056640929976283</x:v>
      </x:c>
      <x:c r="D372" s="47" t="n">
        <x:f>'Datos'!$B$26^3/3</x:f>
        <x:v>0.3333333333333333</x:v>
      </x:c>
      <x:c r="E372" s="46" t="n">
        <x:f>D372*(C372-1)</x:f>
        <x:v>1.0188803099920944</x:v>
      </x:c>
      <x:c r="F372" s="2"/>
      <x:c r="G372" s="2"/>
      <x:c r="H372" s="2"/>
    </x:row>
    <x:row r="373" ht="22" customHeight="1">
      <x:c r="A373" s="2" t="n">
        <x:v>367</x:v>
      </x:c>
      <x:c r="B373" s="79" t="n">
        <x:v>0.6267233188454863</x:v>
      </x:c>
      <x:c r="C373" s="46" t="n">
        <x:f>B373^2</x:f>
        <x:v>0.39278211838470106</x:v>
      </x:c>
      <x:c r="D373" s="47" t="n">
        <x:f>'Datos'!$B$26^3/3</x:f>
        <x:v>0.3333333333333333</x:v>
      </x:c>
      <x:c r="E373" s="46" t="n">
        <x:f>D373*(C373-1)</x:f>
        <x:v>-0.20240596053843296</x:v>
      </x:c>
      <x:c r="F373" s="2"/>
      <x:c r="G373" s="2"/>
      <x:c r="H373" s="2"/>
    </x:row>
    <x:row r="374" ht="22" customHeight="1">
      <x:c r="A374" s="2" t="n">
        <x:v>368</x:v>
      </x:c>
      <x:c r="B374" s="79" t="n">
        <x:v>-0.2165639860098609</x:v>
      </x:c>
      <x:c r="C374" s="46" t="n">
        <x:f>B374^2</x:f>
        <x:v>0.04689996003647923</x:v>
      </x:c>
      <x:c r="D374" s="47" t="n">
        <x:f>'Datos'!$B$26^3/3</x:f>
        <x:v>0.3333333333333333</x:v>
      </x:c>
      <x:c r="E374" s="46" t="n">
        <x:f>D374*(C374-1)</x:f>
        <x:v>-0.3177000133211736</x:v>
      </x:c>
      <x:c r="F374" s="2"/>
      <x:c r="G374" s="2"/>
      <x:c r="H374" s="2"/>
    </x:row>
    <x:row r="375" ht="22" customHeight="1">
      <x:c r="A375" s="2" t="n">
        <x:v>369</x:v>
      </x:c>
      <x:c r="B375" s="79" t="n">
        <x:v>0.3013803910998692</x:v>
      </x:c>
      <x:c r="C375" s="46" t="n">
        <x:f>B375^2</x:f>
        <x:v>0.09083014013951012</x:v>
      </x:c>
      <x:c r="D375" s="47" t="n">
        <x:f>'Datos'!$B$26^3/3</x:f>
        <x:v>0.3333333333333333</x:v>
      </x:c>
      <x:c r="E375" s="46" t="n">
        <x:f>D375*(C375-1)</x:f>
        <x:v>-0.30305661995349664</x:v>
      </x:c>
      <x:c r="F375" s="2"/>
      <x:c r="G375" s="2"/>
      <x:c r="H375" s="2"/>
    </x:row>
    <x:row r="376" ht="22" customHeight="1">
      <x:c r="A376" s="2" t="n">
        <x:v>370</x:v>
      </x:c>
      <x:c r="B376" s="79" t="n">
        <x:v>0.14500851850144392</x:v>
      </x:c>
      <x:c r="C376" s="46" t="n">
        <x:f>B376^2</x:f>
        <x:v>0.021027470437983604</x:v>
      </x:c>
      <x:c r="D376" s="47" t="n">
        <x:f>'Datos'!$B$26^3/3</x:f>
        <x:v>0.3333333333333333</x:v>
      </x:c>
      <x:c r="E376" s="46" t="n">
        <x:f>D376*(C376-1)</x:f>
        <x:v>-0.32632417652067214</x:v>
      </x:c>
      <x:c r="F376" s="2"/>
      <x:c r="G376" s="2"/>
      <x:c r="H376" s="2"/>
    </x:row>
    <x:row r="377" ht="22" customHeight="1">
      <x:c r="A377" s="2" t="n">
        <x:v>371</x:v>
      </x:c>
      <x:c r="B377" s="79" t="n">
        <x:v>-0.42376614436665333</x:v>
      </x:c>
      <x:c r="C377" s="46" t="n">
        <x:f>B377^2</x:f>
        <x:v>0.17957774511137928</x:v>
      </x:c>
      <x:c r="D377" s="47" t="n">
        <x:f>'Datos'!$B$26^3/3</x:f>
        <x:v>0.3333333333333333</x:v>
      </x:c>
      <x:c r="E377" s="46" t="n">
        <x:f>D377*(C377-1)</x:f>
        <x:v>-0.27347408496287356</x:v>
      </x:c>
      <x:c r="F377" s="2"/>
      <x:c r="G377" s="2"/>
      <x:c r="H377" s="2"/>
    </x:row>
    <x:row r="378" ht="22" customHeight="1">
      <x:c r="A378" s="2" t="n">
        <x:v>372</x:v>
      </x:c>
      <x:c r="B378" s="79" t="n">
        <x:v>0.22415098453992624</x:v>
      </x:c>
      <x:c r="C378" s="46" t="n">
        <x:f>B378^2</x:f>
        <x:v>0.05024366387021825</x:v>
      </x:c>
      <x:c r="D378" s="47" t="n">
        <x:f>'Datos'!$B$26^3/3</x:f>
        <x:v>0.3333333333333333</x:v>
      </x:c>
      <x:c r="E378" s="46" t="n">
        <x:f>D378*(C378-1)</x:f>
        <x:v>-0.3165854453765939</x:v>
      </x:c>
      <x:c r="F378" s="2"/>
      <x:c r="G378" s="2"/>
      <x:c r="H378" s="2"/>
    </x:row>
    <x:row r="379" ht="22" customHeight="1">
      <x:c r="A379" s="2" t="n">
        <x:v>373</x:v>
      </x:c>
      <x:c r="B379" s="79" t="n">
        <x:v>0.3842233447584341</x:v>
      </x:c>
      <x:c r="C379" s="46" t="n">
        <x:f>B379^2</x:f>
        <x:v>0.1476275786573585</x:v>
      </x:c>
      <x:c r="D379" s="47" t="n">
        <x:f>'Datos'!$B$26^3/3</x:f>
        <x:v>0.3333333333333333</x:v>
      </x:c>
      <x:c r="E379" s="46" t="n">
        <x:f>D379*(C379-1)</x:f>
        <x:v>-0.28412414044754714</x:v>
      </x:c>
      <x:c r="F379" s="2"/>
      <x:c r="G379" s="2"/>
      <x:c r="H379" s="2"/>
    </x:row>
    <x:row r="380" ht="22" customHeight="1">
      <x:c r="A380" s="2" t="n">
        <x:v>374</x:v>
      </x:c>
      <x:c r="B380" s="79" t="n">
        <x:v>1.7575134209040173</x:v>
      </x:c>
      <x:c r="C380" s="46" t="n">
        <x:f>B380^2</x:f>
        <x:v>3.0888534246577413</x:v>
      </x:c>
      <x:c r="D380" s="47" t="n">
        <x:f>'Datos'!$B$26^3/3</x:f>
        <x:v>0.3333333333333333</x:v>
      </x:c>
      <x:c r="E380" s="46" t="n">
        <x:f>D380*(C380-1)</x:f>
        <x:v>0.6962844748859137</x:v>
      </x:c>
      <x:c r="F380" s="2"/>
      <x:c r="G380" s="2"/>
      <x:c r="H380" s="2"/>
    </x:row>
    <x:row r="381" ht="22" customHeight="1">
      <x:c r="A381" s="2" t="n">
        <x:v>375</x:v>
      </x:c>
      <x:c r="B381" s="79" t="n">
        <x:v>1.3697026441607978</x:v>
      </x:c>
      <x:c r="C381" s="46" t="n">
        <x:f>B381^2</x:f>
        <x:v>1.876085333421081</x:v>
      </x:c>
      <x:c r="D381" s="47" t="n">
        <x:f>'Datos'!$B$26^3/3</x:f>
        <x:v>0.3333333333333333</x:v>
      </x:c>
      <x:c r="E381" s="46" t="n">
        <x:f>D381*(C381-1)</x:f>
        <x:v>0.29202844447369364</x:v>
      </x:c>
      <x:c r="F381" s="2"/>
      <x:c r="G381" s="2"/>
      <x:c r="H381" s="2"/>
    </x:row>
    <x:row r="382" ht="22" customHeight="1">
      <x:c r="A382" s="2" t="n">
        <x:v>376</x:v>
      </x:c>
      <x:c r="B382" s="79" t="n">
        <x:v>-0.5458007812056394</x:v>
      </x:c>
      <x:c r="C382" s="46" t="n">
        <x:f>B382^2</x:f>
        <x:v>0.2978984927646862</x:v>
      </x:c>
      <x:c r="D382" s="47" t="n">
        <x:f>'Datos'!$B$26^3/3</x:f>
        <x:v>0.3333333333333333</x:v>
      </x:c>
      <x:c r="E382" s="46" t="n">
        <x:f>D382*(C382-1)</x:f>
        <x:v>-0.2340338357451046</x:v>
      </x:c>
      <x:c r="F382" s="2"/>
      <x:c r="G382" s="2"/>
      <x:c r="H382" s="2"/>
    </x:row>
    <x:row r="383" ht="22" customHeight="1">
      <x:c r="A383" s="2" t="n">
        <x:v>377</x:v>
      </x:c>
      <x:c r="B383" s="79" t="n">
        <x:v>0.9552576732338411</x:v>
      </x:c>
      <x:c r="C383" s="46" t="n">
        <x:f>B383^2</x:f>
        <x:v>0.9125172222721321</x:v>
      </x:c>
      <x:c r="D383" s="47" t="n">
        <x:f>'Datos'!$B$26^3/3</x:f>
        <x:v>0.3333333333333333</x:v>
      </x:c>
      <x:c r="E383" s="46" t="n">
        <x:f>D383*(C383-1)</x:f>
        <x:v>-0.029160925909289315</x:v>
      </x:c>
      <x:c r="F383" s="2"/>
      <x:c r="G383" s="2"/>
      <x:c r="H383" s="2"/>
    </x:row>
    <x:row r="384" ht="22" customHeight="1">
      <x:c r="A384" s="2" t="n">
        <x:v>378</x:v>
      </x:c>
      <x:c r="B384" s="79" t="n">
        <x:v>1.686951121880107</x:v>
      </x:c>
      <x:c r="C384" s="46" t="n">
        <x:f>B384^2</x:f>
        <x:v>2.8458040876125517</x:v>
      </x:c>
      <x:c r="D384" s="47" t="n">
        <x:f>'Datos'!$B$26^3/3</x:f>
        <x:v>0.3333333333333333</x:v>
      </x:c>
      <x:c r="E384" s="46" t="n">
        <x:f>D384*(C384-1)</x:f>
        <x:v>0.6152680292041839</x:v>
      </x:c>
      <x:c r="F384" s="2"/>
      <x:c r="G384" s="2"/>
      <x:c r="H384" s="2"/>
    </x:row>
    <x:row r="385" ht="22" customHeight="1">
      <x:c r="A385" s="2" t="n">
        <x:v>379</x:v>
      </x:c>
      <x:c r="B385" s="79" t="n">
        <x:v>0.7188963865182253</x:v>
      </x:c>
      <x:c r="C385" s="46" t="n">
        <x:f>B385^2</x:f>
        <x:v>0.5168120145489615</x:v>
      </x:c>
      <x:c r="D385" s="47" t="n">
        <x:f>'Datos'!$B$26^3/3</x:f>
        <x:v>0.3333333333333333</x:v>
      </x:c>
      <x:c r="E385" s="46" t="n">
        <x:f>D385*(C385-1)</x:f>
        <x:v>-0.16106266181701281</x:v>
      </x:c>
      <x:c r="F385" s="2"/>
      <x:c r="G385" s="2"/>
      <x:c r="H385" s="2"/>
    </x:row>
    <x:row r="386" ht="22" customHeight="1">
      <x:c r="A386" s="2" t="n">
        <x:v>380</x:v>
      </x:c>
      <x:c r="B386" s="79" t="n">
        <x:v>-1.0256851729449143</x:v>
      </x:c>
      <x:c r="C386" s="46" t="n">
        <x:f>B386^2</x:f>
        <x:v>1.052030073999039</x:v>
      </x:c>
      <x:c r="D386" s="47" t="n">
        <x:f>'Datos'!$B$26^3/3</x:f>
        <x:v>0.3333333333333333</x:v>
      </x:c>
      <x:c r="E386" s="46" t="n">
        <x:f>D386*(C386-1)</x:f>
        <x:v>0.017343357999679638</x:v>
      </x:c>
      <x:c r="F386" s="2"/>
      <x:c r="G386" s="2"/>
      <x:c r="H386" s="2"/>
    </x:row>
    <x:row r="387" ht="22" customHeight="1">
      <x:c r="A387" s="2" t="n">
        <x:v>381</x:v>
      </x:c>
      <x:c r="B387" s="79" t="n">
        <x:v>-2.136446918305151</x:v>
      </x:c>
      <x:c r="C387" s="46" t="n">
        <x:f>B387^2</x:f>
        <x:v>4.564405434735576</x:v>
      </x:c>
      <x:c r="D387" s="47" t="n">
        <x:f>'Datos'!$B$26^3/3</x:f>
        <x:v>0.3333333333333333</x:v>
      </x:c>
      <x:c r="E387" s="46" t="n">
        <x:f>D387*(C387-1)</x:f>
        <x:v>1.1881351449118587</x:v>
      </x:c>
      <x:c r="F387" s="2"/>
      <x:c r="G387" s="2"/>
      <x:c r="H387" s="2"/>
    </x:row>
    <x:row r="388" ht="22" customHeight="1">
      <x:c r="A388" s="2" t="n">
        <x:v>382</x:v>
      </x:c>
      <x:c r="B388" s="79" t="n">
        <x:v>-0.7321863566216675</x:v>
      </x:c>
      <x:c r="C388" s="46" t="n">
        <x:f>B388^2</x:f>
        <x:v>0.5360968608229117</x:v>
      </x:c>
      <x:c r="D388" s="47" t="n">
        <x:f>'Datos'!$B$26^3/3</x:f>
        <x:v>0.3333333333333333</x:v>
      </x:c>
      <x:c r="E388" s="46" t="n">
        <x:f>D388*(C388-1)</x:f>
        <x:v>-0.15463437972569608</x:v>
      </x:c>
      <x:c r="F388" s="2"/>
      <x:c r="G388" s="2"/>
      <x:c r="H388" s="2"/>
    </x:row>
    <x:row r="389" ht="22" customHeight="1">
      <x:c r="A389" s="2" t="n">
        <x:v>383</x:v>
      </x:c>
      <x:c r="B389" s="79" t="n">
        <x:v>1.7019771116811964</x:v>
      </x:c>
      <x:c r="C389" s="46" t="n">
        <x:f>B389^2</x:f>
        <x:v>2.8967260886866675</x:v>
      </x:c>
      <x:c r="D389" s="47" t="n">
        <x:f>'Datos'!$B$26^3/3</x:f>
        <x:v>0.3333333333333333</x:v>
      </x:c>
      <x:c r="E389" s="46" t="n">
        <x:f>D389*(C389-1)</x:f>
        <x:v>0.6322420295622224</x:v>
      </x:c>
      <x:c r="F389" s="2"/>
      <x:c r="G389" s="2"/>
      <x:c r="H389" s="2"/>
    </x:row>
    <x:row r="390" ht="22" customHeight="1">
      <x:c r="A390" s="2" t="n">
        <x:v>384</x:v>
      </x:c>
      <x:c r="B390" s="79" t="n">
        <x:v>-1.131983924274743</x:v>
      </x:c>
      <x:c r="C390" s="46" t="n">
        <x:f>B390^2</x:f>
        <x:v>1.281387604816447</x:v>
      </x:c>
      <x:c r="D390" s="47" t="n">
        <x:f>'Datos'!$B$26^3/3</x:f>
        <x:v>0.3333333333333333</x:v>
      </x:c>
      <x:c r="E390" s="46" t="n">
        <x:f>D390*(C390-1)</x:f>
        <x:v>0.09379586827214899</x:v>
      </x:c>
      <x:c r="F390" s="2"/>
      <x:c r="G390" s="2"/>
      <x:c r="H390" s="2"/>
    </x:row>
    <x:row r="391" ht="22" customHeight="1">
      <x:c r="A391" s="2" t="n">
        <x:v>385</x:v>
      </x:c>
      <x:c r="B391" s="79" t="n">
        <x:v>-0.9005267292483551</x:v>
      </x:c>
      <x:c r="C391" s="46" t="n">
        <x:f>B391^2</x:f>
        <x:v>0.8109483900907403</x:v>
      </x:c>
      <x:c r="D391" s="47" t="n">
        <x:f>'Datos'!$B$26^3/3</x:f>
        <x:v>0.3333333333333333</x:v>
      </x:c>
      <x:c r="E391" s="46" t="n">
        <x:f>D391*(C391-1)</x:f>
        <x:v>-0.06301720330308658</x:v>
      </x:c>
      <x:c r="F391" s="2"/>
      <x:c r="G391" s="2"/>
      <x:c r="H391" s="2"/>
    </x:row>
    <x:row r="392" ht="22" customHeight="1">
      <x:c r="A392" s="2" t="n">
        <x:v>386</x:v>
      </x:c>
      <x:c r="B392" s="79" t="n">
        <x:v>0.024131990739703214</x:v>
      </x:c>
      <x:c r="C392" s="46" t="n">
        <x:f>B392^2</x:f>
        <x:v>0.0005823529770611216</x:v>
      </x:c>
      <x:c r="D392" s="47" t="n">
        <x:f>'Datos'!$B$26^3/3</x:f>
        <x:v>0.3333333333333333</x:v>
      </x:c>
      <x:c r="E392" s="46" t="n">
        <x:f>D392*(C392-1)</x:f>
        <x:v>-0.3331392156743129</x:v>
      </x:c>
      <x:c r="F392" s="2"/>
      <x:c r="G392" s="2"/>
      <x:c r="H392" s="2"/>
    </x:row>
    <x:row r="393" ht="22" customHeight="1">
      <x:c r="A393" s="2" t="n">
        <x:v>387</x:v>
      </x:c>
      <x:c r="B393" s="79" t="n">
        <x:v>0.2789075936143204</x:v>
      </x:c>
      <x:c r="C393" s="46" t="n">
        <x:f>B393^2</x:f>
        <x:v>0.07778944577573088</x:v>
      </x:c>
      <x:c r="D393" s="47" t="n">
        <x:f>'Datos'!$B$26^3/3</x:f>
        <x:v>0.3333333333333333</x:v>
      </x:c>
      <x:c r="E393" s="46" t="n">
        <x:f>D393*(C393-1)</x:f>
        <x:v>-0.30740351807475635</x:v>
      </x:c>
      <x:c r="F393" s="2"/>
      <x:c r="G393" s="2"/>
      <x:c r="H393" s="2"/>
    </x:row>
    <x:row r="394" ht="22" customHeight="1">
      <x:c r="A394" s="2" t="n">
        <x:v>388</x:v>
      </x:c>
      <x:c r="B394" s="79" t="n">
        <x:v>0.8459850826923562</x:v>
      </x:c>
      <x:c r="C394" s="46" t="n">
        <x:f>B394^2</x:f>
        <x:v>0.7156907601379927</x:v>
      </x:c>
      <x:c r="D394" s="47" t="n">
        <x:f>'Datos'!$B$26^3/3</x:f>
        <x:v>0.3333333333333333</x:v>
      </x:c>
      <x:c r="E394" s="46" t="n">
        <x:f>D394*(C394-1)</x:f>
        <x:v>-0.09476974662066909</x:v>
      </x:c>
      <x:c r="F394" s="2"/>
      <x:c r="G394" s="2"/>
      <x:c r="H394" s="2"/>
    </x:row>
    <x:row r="395" ht="22" customHeight="1">
      <x:c r="A395" s="2" t="n">
        <x:v>389</x:v>
      </x:c>
      <x:c r="B395" s="79" t="n">
        <x:v>1.8714950407249749</x:v>
      </x:c>
      <x:c r="C395" s="46" t="n">
        <x:f>B395^2</x:f>
        <x:v>3.502493687458175</x:v>
      </x:c>
      <x:c r="D395" s="47" t="n">
        <x:f>'Datos'!$B$26^3/3</x:f>
        <x:v>0.3333333333333333</x:v>
      </x:c>
      <x:c r="E395" s="46" t="n">
        <x:f>D395*(C395-1)</x:f>
        <x:v>0.8341645624860583</x:v>
      </x:c>
      <x:c r="F395" s="2"/>
      <x:c r="G395" s="2"/>
      <x:c r="H395" s="2"/>
    </x:row>
    <x:row r="396" ht="22" customHeight="1">
      <x:c r="A396" s="2" t="n">
        <x:v>390</x:v>
      </x:c>
      <x:c r="B396" s="79" t="n">
        <x:v>0.9053104096893737</x:v>
      </x:c>
      <x:c r="C396" s="46" t="n">
        <x:f>B396^2</x:f>
        <x:v>0.8195869378919417</x:v>
      </x:c>
      <x:c r="D396" s="47" t="n">
        <x:f>'Datos'!$B$26^3/3</x:f>
        <x:v>0.3333333333333333</x:v>
      </x:c>
      <x:c r="E396" s="46" t="n">
        <x:f>D396*(C396-1)</x:f>
        <x:v>-0.060137687369352766</x:v>
      </x:c>
      <x:c r="F396" s="2"/>
      <x:c r="G396" s="2"/>
      <x:c r="H396" s="2"/>
    </x:row>
    <x:row r="397" ht="22" customHeight="1">
      <x:c r="A397" s="2" t="n">
        <x:v>391</x:v>
      </x:c>
      <x:c r="B397" s="79" t="n">
        <x:v>-0.2119556927750192</x:v>
      </x:c>
      <x:c r="C397" s="46" t="n">
        <x:f>B397^2</x:f>
        <x:v>0.04492521569973832</x:v>
      </x:c>
      <x:c r="D397" s="47" t="n">
        <x:f>'Datos'!$B$26^3/3</x:f>
        <x:v>0.3333333333333333</x:v>
      </x:c>
      <x:c r="E397" s="46" t="n">
        <x:f>D397*(C397-1)</x:f>
        <x:v>-0.31835826143342055</x:v>
      </x:c>
      <x:c r="F397" s="2"/>
      <x:c r="G397" s="2"/>
      <x:c r="H397" s="2"/>
    </x:row>
    <x:row r="398" ht="22" customHeight="1">
      <x:c r="A398" s="2" t="n">
        <x:v>392</x:v>
      </x:c>
      <x:c r="B398" s="79" t="n">
        <x:v>0.07821094399006147</x:v>
      </x:c>
      <x:c r="C398" s="46" t="n">
        <x:f>B398^2</x:f>
        <x:v>0.006116951759816532</x:v>
      </x:c>
      <x:c r="D398" s="47" t="n">
        <x:f>'Datos'!$B$26^3/3</x:f>
        <x:v>0.3333333333333333</x:v>
      </x:c>
      <x:c r="E398" s="46" t="n">
        <x:f>D398*(C398-1)</x:f>
        <x:v>-0.3312943494133945</x:v>
      </x:c>
      <x:c r="F398" s="2"/>
      <x:c r="G398" s="2"/>
      <x:c r="H398" s="2"/>
    </x:row>
    <x:row r="399" ht="22" customHeight="1">
      <x:c r="A399" s="2" t="n">
        <x:v>393</x:v>
      </x:c>
      <x:c r="B399" s="79" t="n">
        <x:v>-0.4908661124361626</x:v>
      </x:c>
      <x:c r="C399" s="46" t="n">
        <x:f>B399^2</x:f>
        <x:v>0.24094954033819144</x:v>
      </x:c>
      <x:c r="D399" s="47" t="n">
        <x:f>'Datos'!$B$26^3/3</x:f>
        <x:v>0.3333333333333333</x:v>
      </x:c>
      <x:c r="E399" s="46" t="n">
        <x:f>D399*(C399-1)</x:f>
        <x:v>-0.25301681988726954</x:v>
      </x:c>
      <x:c r="F399" s="2"/>
      <x:c r="G399" s="2"/>
      <x:c r="H399" s="2"/>
    </x:row>
    <x:row r="400" ht="22" customHeight="1">
      <x:c r="A400" s="2" t="n">
        <x:v>394</x:v>
      </x:c>
      <x:c r="B400" s="79" t="n">
        <x:v>-0.9571622182880299</x:v>
      </x:c>
      <x:c r="C400" s="46" t="n">
        <x:f>B400^2</x:f>
        <x:v>0.9161595121180622</x:v>
      </x:c>
      <x:c r="D400" s="47" t="n">
        <x:f>'Datos'!$B$26^3/3</x:f>
        <x:v>0.3333333333333333</x:v>
      </x:c>
      <x:c r="E400" s="46" t="n">
        <x:f>D400*(C400-1)</x:f>
        <x:v>-0.027946829293979254</x:v>
      </x:c>
      <x:c r="F400" s="2"/>
      <x:c r="G400" s="2"/>
      <x:c r="H400" s="2"/>
    </x:row>
    <x:row r="401" ht="22" customHeight="1">
      <x:c r="A401" s="2" t="n">
        <x:v>395</x:v>
      </x:c>
      <x:c r="B401" s="79" t="n">
        <x:v>1.3979583097363046</x:v>
      </x:c>
      <x:c r="C401" s="46" t="n">
        <x:f>B401^2</x:f>
        <x:v>1.9542874357607858</x:v>
      </x:c>
      <x:c r="D401" s="47" t="n">
        <x:f>'Datos'!$B$26^3/3</x:f>
        <x:v>0.3333333333333333</x:v>
      </x:c>
      <x:c r="E401" s="46" t="n">
        <x:f>D401*(C401-1)</x:f>
        <x:v>0.31809581192026193</x:v>
      </x:c>
      <x:c r="F401" s="2"/>
      <x:c r="G401" s="2"/>
      <x:c r="H401" s="2"/>
    </x:row>
    <x:row r="402" ht="22" customHeight="1">
      <x:c r="A402" s="2" t="n">
        <x:v>396</x:v>
      </x:c>
      <x:c r="B402" s="79" t="n">
        <x:v>0.5934207207853798</x:v>
      </x:c>
      <x:c r="C402" s="46" t="n">
        <x:f>B402^2</x:f>
        <x:v>0.35214815185743964</x:v>
      </x:c>
      <x:c r="D402" s="47" t="n">
        <x:f>'Datos'!$B$26^3/3</x:f>
        <x:v>0.3333333333333333</x:v>
      </x:c>
      <x:c r="E402" s="46" t="n">
        <x:f>D402*(C402-1)</x:f>
        <x:v>-0.2159506160475201</x:v>
      </x:c>
      <x:c r="F402" s="2"/>
      <x:c r="G402" s="2"/>
      <x:c r="H402" s="2"/>
    </x:row>
    <x:row r="403" ht="22" customHeight="1">
      <x:c r="A403" s="2" t="n">
        <x:v>397</x:v>
      </x:c>
      <x:c r="B403" s="79" t="n">
        <x:v>0.34148710276877314</x:v>
      </x:c>
      <x:c r="C403" s="46" t="n">
        <x:f>B403^2</x:f>
        <x:v>0.11661344135741063</x:v>
      </x:c>
      <x:c r="D403" s="47" t="n">
        <x:f>'Datos'!$B$26^3/3</x:f>
        <x:v>0.3333333333333333</x:v>
      </x:c>
      <x:c r="E403" s="46" t="n">
        <x:f>D403*(C403-1)</x:f>
        <x:v>-0.29446218621419645</x:v>
      </x:c>
      <x:c r="F403" s="2"/>
      <x:c r="G403" s="2"/>
      <x:c r="H403" s="2"/>
    </x:row>
    <x:row r="404" ht="22" customHeight="1">
      <x:c r="A404" s="2" t="n">
        <x:v>398</x:v>
      </x:c>
      <x:c r="B404" s="79" t="n">
        <x:v>-0.06669979384679373</x:v>
      </x:c>
      <x:c r="C404" s="46" t="n">
        <x:f>B404^2</x:f>
        <x:v>0.004448862499204782</x:v>
      </x:c>
      <x:c r="D404" s="47" t="n">
        <x:f>'Datos'!$B$26^3/3</x:f>
        <x:v>0.3333333333333333</x:v>
      </x:c>
      <x:c r="E404" s="46" t="n">
        <x:f>D404*(C404-1)</x:f>
        <x:v>-0.3318503791669317</x:v>
      </x:c>
      <x:c r="F404" s="2"/>
      <x:c r="G404" s="2"/>
      <x:c r="H404" s="2"/>
    </x:row>
    <x:row r="405" ht="22" customHeight="1">
      <x:c r="A405" s="2" t="n">
        <x:v>399</x:v>
      </x:c>
      <x:c r="B405" s="79" t="n">
        <x:v>-0.3496104289854833</x:v>
      </x:c>
      <x:c r="C405" s="46" t="n">
        <x:f>B405^2</x:f>
        <x:v>0.12222745205541365</x:v>
      </x:c>
      <x:c r="D405" s="47" t="n">
        <x:f>'Datos'!$B$26^3/3</x:f>
        <x:v>0.3333333333333333</x:v>
      </x:c>
      <x:c r="E405" s="46" t="n">
        <x:f>D405*(C405-1)</x:f>
        <x:v>-0.2925908493148621</x:v>
      </x:c>
      <x:c r="F405" s="2"/>
      <x:c r="G405" s="2"/>
      <x:c r="H405" s="2"/>
    </x:row>
    <x:row r="406" ht="22" customHeight="1">
      <x:c r="A406" s="2" t="n">
        <x:v>400</x:v>
      </x:c>
      <x:c r="B406" s="79" t="n">
        <x:v>0.2150801466784853</x:v>
      </x:c>
      <x:c r="C406" s="46" t="n">
        <x:f>B406^2</x:f>
        <x:v>0.04625946949523875</x:v>
      </x:c>
      <x:c r="D406" s="47" t="n">
        <x:f>'Datos'!$B$26^3/3</x:f>
        <x:v>0.3333333333333333</x:v>
      </x:c>
      <x:c r="E406" s="46" t="n">
        <x:f>D406*(C406-1)</x:f>
        <x:v>-0.31791351016825375</x:v>
      </x:c>
      <x:c r="F406" s="2"/>
      <x:c r="G406" s="2"/>
      <x:c r="H406" s="2"/>
    </x:row>
    <x:row r="407" ht="22" customHeight="1">
      <x:c r="A407" s="2" t="n">
        <x:v>401</x:v>
      </x:c>
      <x:c r="B407" s="79" t="n">
        <x:v>-0.8949395277938801</x:v>
      </x:c>
      <x:c r="C407" s="46" t="n">
        <x:f>B407^2</x:f>
        <x:v>0.8009167584079331</x:v>
      </x:c>
      <x:c r="D407" s="47" t="n">
        <x:f>'Datos'!$B$26^3/3</x:f>
        <x:v>0.3333333333333333</x:v>
      </x:c>
      <x:c r="E407" s="46" t="n">
        <x:f>D407*(C407-1)</x:f>
        <x:v>-0.06636108053068897</x:v>
      </x:c>
      <x:c r="F407" s="2"/>
      <x:c r="G407" s="2"/>
      <x:c r="H407" s="2"/>
    </x:row>
    <x:row r="408" ht="22" customHeight="1">
      <x:c r="A408" s="2" t="n">
        <x:v>402</x:v>
      </x:c>
      <x:c r="B408" s="79" t="n">
        <x:v>0.750542598697148</x:v>
      </x:c>
      <x:c r="C408" s="46" t="n">
        <x:f>B408^2</x:f>
        <x:v>0.5633141924590681</x:v>
      </x:c>
      <x:c r="D408" s="47" t="n">
        <x:f>'Datos'!$B$26^3/3</x:f>
        <x:v>0.3333333333333333</x:v>
      </x:c>
      <x:c r="E408" s="46" t="n">
        <x:f>D408*(C408-1)</x:f>
        <x:v>-0.1455619358469773</x:v>
      </x:c>
      <x:c r="F408" s="2"/>
      <x:c r="G408" s="2"/>
      <x:c r="H408" s="2"/>
    </x:row>
    <x:row r="409" ht="22" customHeight="1">
      <x:c r="A409" s="2" t="n">
        <x:v>403</x:v>
      </x:c>
      <x:c r="B409" s="79" t="n">
        <x:v>0.30630413459006406</x:v>
      </x:c>
      <x:c r="C409" s="46" t="n">
        <x:f>B409^2</x:f>
        <x:v>0.09382222286696808</x:v>
      </x:c>
      <x:c r="D409" s="47" t="n">
        <x:f>'Datos'!$B$26^3/3</x:f>
        <x:v>0.3333333333333333</x:v>
      </x:c>
      <x:c r="E409" s="46" t="n">
        <x:f>D409*(C409-1)</x:f>
        <x:v>-0.30205925904434394</x:v>
      </x:c>
      <x:c r="F409" s="2"/>
      <x:c r="G409" s="2"/>
      <x:c r="H409" s="2"/>
    </x:row>
    <x:row r="410" ht="22" customHeight="1">
      <x:c r="A410" s="2" t="n">
        <x:v>404</x:v>
      </x:c>
      <x:c r="B410" s="79" t="n">
        <x:v>-1.031432022198042</x:v>
      </x:c>
      <x:c r="C410" s="46" t="n">
        <x:f>B410^2</x:f>
        <x:v>1.063852016415542</x:v>
      </x:c>
      <x:c r="D410" s="47" t="n">
        <x:f>'Datos'!$B$26^3/3</x:f>
        <x:v>0.3333333333333333</x:v>
      </x:c>
      <x:c r="E410" s="46" t="n">
        <x:f>D410*(C410-1)</x:f>
        <x:v>0.02128400547184735</x:v>
      </x:c>
      <x:c r="F410" s="2"/>
      <x:c r="G410" s="2"/>
      <x:c r="H410" s="2"/>
    </x:row>
    <x:row r="411" ht="22" customHeight="1">
      <x:c r="A411" s="2" t="n">
        <x:v>405</x:v>
      </x:c>
      <x:c r="B411" s="79" t="n">
        <x:v>-0.28037371927243254</x:v>
      </x:c>
      <x:c r="C411" s="46" t="n">
        <x:f>B411^2</x:f>
        <x:v>0.0786094224586568</x:v>
      </x:c>
      <x:c r="D411" s="47" t="n">
        <x:f>'Datos'!$B$26^3/3</x:f>
        <x:v>0.3333333333333333</x:v>
      </x:c>
      <x:c r="E411" s="46" t="n">
        <x:f>D411*(C411-1)</x:f>
        <x:v>-0.30713019251378104</x:v>
      </x:c>
      <x:c r="F411" s="2"/>
      <x:c r="G411" s="2"/>
      <x:c r="H411" s="2"/>
    </x:row>
    <x:row r="412" ht="22" customHeight="1">
      <x:c r="A412" s="2" t="n">
        <x:v>406</x:v>
      </x:c>
      <x:c r="B412" s="79" t="n">
        <x:v>-0.3726949788785417</x:v>
      </x:c>
      <x:c r="C412" s="46" t="n">
        <x:f>B412^2</x:f>
        <x:v>0.13890154728127663</x:v>
      </x:c>
      <x:c r="D412" s="47" t="n">
        <x:f>'Datos'!$B$26^3/3</x:f>
        <x:v>0.3333333333333333</x:v>
      </x:c>
      <x:c r="E412" s="46" t="n">
        <x:f>D412*(C412-1)</x:f>
        <x:v>-0.2870328175729078</x:v>
      </x:c>
      <x:c r="F412" s="2"/>
      <x:c r="G412" s="2"/>
      <x:c r="H412" s="2"/>
    </x:row>
    <x:row r="413" ht="22" customHeight="1">
      <x:c r="A413" s="2" t="n">
        <x:v>407</x:v>
      </x:c>
      <x:c r="B413" s="79" t="n">
        <x:v>-1.1806606318714283</x:v>
      </x:c>
      <x:c r="C413" s="46" t="n">
        <x:f>B413^2</x:f>
        <x:v>1.3939595276510404</x:v>
      </x:c>
      <x:c r="D413" s="47" t="n">
        <x:f>'Datos'!$B$26^3/3</x:f>
        <x:v>0.3333333333333333</x:v>
      </x:c>
      <x:c r="E413" s="46" t="n">
        <x:f>D413*(C413-1)</x:f>
        <x:v>0.1313198425503468</x:v>
      </x:c>
      <x:c r="F413" s="2"/>
      <x:c r="G413" s="2"/>
      <x:c r="H413" s="2"/>
    </x:row>
    <x:row r="414" ht="22" customHeight="1">
      <x:c r="A414" s="2" t="n">
        <x:v>408</x:v>
      </x:c>
      <x:c r="B414" s="79" t="n">
        <x:v>0.811849017547125</x:v>
      </x:c>
      <x:c r="C414" s="46" t="n">
        <x:f>B414^2</x:f>
        <x:v>0.6590988272922321</x:v>
      </x:c>
      <x:c r="D414" s="47" t="n">
        <x:f>'Datos'!$B$26^3/3</x:f>
        <x:v>0.3333333333333333</x:v>
      </x:c>
      <x:c r="E414" s="46" t="n">
        <x:f>D414*(C414-1)</x:f>
        <x:v>-0.11363372423592262</x:v>
      </x:c>
      <x:c r="F414" s="2"/>
      <x:c r="G414" s="2"/>
      <x:c r="H414" s="2"/>
    </x:row>
    <x:row r="415" ht="22" customHeight="1">
      <x:c r="A415" s="2" t="n">
        <x:v>409</x:v>
      </x:c>
      <x:c r="B415" s="79" t="n">
        <x:v>0.05608075067179218</x:v>
      </x:c>
      <x:c r="C415" s="46" t="n">
        <x:f>B415^2</x:f>
        <x:v>0.003145050595911719</x:v>
      </x:c>
      <x:c r="D415" s="47" t="n">
        <x:f>'Datos'!$B$26^3/3</x:f>
        <x:v>0.3333333333333333</x:v>
      </x:c>
      <x:c r="E415" s="46" t="n">
        <x:f>D415*(C415-1)</x:f>
        <x:v>-0.33228498313469607</x:v>
      </x:c>
      <x:c r="F415" s="2"/>
      <x:c r="G415" s="2"/>
      <x:c r="H415" s="2"/>
    </x:row>
    <x:row r="416" ht="22" customHeight="1">
      <x:c r="A416" s="2" t="n">
        <x:v>410</x:v>
      </x:c>
      <x:c r="B416" s="79" t="n">
        <x:v>-1.0716202375347286</x:v>
      </x:c>
      <x:c r="C416" s="46" t="n">
        <x:f>B416^2</x:f>
        <x:v>1.148369933493988</x:v>
      </x:c>
      <x:c r="D416" s="47" t="n">
        <x:f>'Datos'!$B$26^3/3</x:f>
        <x:v>0.3333333333333333</x:v>
      </x:c>
      <x:c r="E416" s="46" t="n">
        <x:f>D416*(C416-1)</x:f>
        <x:v>0.04945664449799603</x:v>
      </x:c>
      <x:c r="F416" s="2"/>
      <x:c r="G416" s="2"/>
      <x:c r="H416" s="2"/>
    </x:row>
    <x:row r="417" ht="22" customHeight="1">
      <x:c r="A417" s="2" t="n">
        <x:v>411</x:v>
      </x:c>
      <x:c r="B417" s="79" t="n">
        <x:v>-0.4835466455801014</x:v>
      </x:c>
      <x:c r="C417" s="46" t="n">
        <x:f>B417^2</x:f>
        <x:v>0.2338173584517682</x:v>
      </x:c>
      <x:c r="D417" s="47" t="n">
        <x:f>'Datos'!$B$26^3/3</x:f>
        <x:v>0.3333333333333333</x:v>
      </x:c>
      <x:c r="E417" s="46" t="n">
        <x:f>D417*(C417-1)</x:f>
        <x:v>-0.2553942138494106</x:v>
      </x:c>
      <x:c r="F417" s="2"/>
      <x:c r="G417" s="2"/>
      <x:c r="H417" s="2"/>
    </x:row>
    <x:row r="418" ht="22" customHeight="1">
      <x:c r="A418" s="2" t="n">
        <x:v>412</x:v>
      </x:c>
      <x:c r="B418" s="79" t="n">
        <x:v>-0.7310421302195365</x:v>
      </x:c>
      <x:c r="C418" s="46" t="n">
        <x:f>B418^2</x:f>
        <x:v>0.5344225961559177</x:v>
      </x:c>
      <x:c r="D418" s="47" t="n">
        <x:f>'Datos'!$B$26^3/3</x:f>
        <x:v>0.3333333333333333</x:v>
      </x:c>
      <x:c r="E418" s="46" t="n">
        <x:f>D418*(C418-1)</x:f>
        <x:v>-0.15519246794802743</x:v>
      </x:c>
      <x:c r="F418" s="2"/>
      <x:c r="G418" s="2"/>
      <x:c r="H418" s="2"/>
    </x:row>
    <x:row r="419" ht="22" customHeight="1">
      <x:c r="A419" s="2" t="n">
        <x:v>413</x:v>
      </x:c>
      <x:c r="B419" s="79" t="n">
        <x:v>0.29134576861827827</x:v>
      </x:c>
      <x:c r="C419" s="46" t="n">
        <x:f>B419^2</x:f>
        <x:v>0.08488235689177534</x:v>
      </x:c>
      <x:c r="D419" s="47" t="n">
        <x:f>'Datos'!$B$26^3/3</x:f>
        <x:v>0.3333333333333333</x:v>
      </x:c>
      <x:c r="E419" s="46" t="n">
        <x:f>D419*(C419-1)</x:f>
        <x:v>-0.3050392143694082</x:v>
      </x:c>
      <x:c r="F419" s="2"/>
      <x:c r="G419" s="2"/>
      <x:c r="H419" s="2"/>
    </x:row>
    <x:row r="420" ht="22" customHeight="1">
      <x:c r="A420" s="2" t="n">
        <x:v>414</x:v>
      </x:c>
      <x:c r="B420" s="79" t="n">
        <x:v>0.7303531649696762</x:v>
      </x:c>
      <x:c r="C420" s="46" t="n">
        <x:f>B420^2</x:f>
        <x:v>0.5334157455812231</x:v>
      </x:c>
      <x:c r="D420" s="47" t="n">
        <x:f>'Datos'!$B$26^3/3</x:f>
        <x:v>0.3333333333333333</x:v>
      </x:c>
      <x:c r="E420" s="46" t="n">
        <x:f>D420*(C420-1)</x:f>
        <x:v>-0.15552808480625896</x:v>
      </x:c>
      <x:c r="F420" s="2"/>
      <x:c r="G420" s="2"/>
      <x:c r="H420" s="2"/>
    </x:row>
    <x:row r="421" ht="22" customHeight="1">
      <x:c r="A421" s="2" t="n">
        <x:v>415</x:v>
      </x:c>
      <x:c r="B421" s="79" t="n">
        <x:v>0.11535925312262531</x:v>
      </x:c>
      <x:c r="C421" s="46" t="n">
        <x:f>B421^2</x:f>
        <x:v>0.013307757281009937</x:v>
      </x:c>
      <x:c r="D421" s="47" t="n">
        <x:f>'Datos'!$B$26^3/3</x:f>
        <x:v>0.3333333333333333</x:v>
      </x:c>
      <x:c r="E421" s="46" t="n">
        <x:f>D421*(C421-1)</x:f>
        <x:v>-0.32889741423966334</x:v>
      </x:c>
      <x:c r="F421" s="2"/>
      <x:c r="G421" s="2"/>
      <x:c r="H421" s="2"/>
    </x:row>
    <x:row r="422" ht="22" customHeight="1">
      <x:c r="A422" s="2" t="n">
        <x:v>416</x:v>
      </x:c>
      <x:c r="B422" s="79" t="n">
        <x:v>-1.250687633294266</x:v>
      </x:c>
      <x:c r="C422" s="46" t="n">
        <x:f>B422^2</x:f>
        <x:v>1.5642195560752123</x:v>
      </x:c>
      <x:c r="D422" s="47" t="n">
        <x:f>'Datos'!$B$26^3/3</x:f>
        <x:v>0.3333333333333333</x:v>
      </x:c>
      <x:c r="E422" s="46" t="n">
        <x:f>D422*(C422-1)</x:f>
        <x:v>0.18807318535840412</x:v>
      </x:c>
      <x:c r="F422" s="2"/>
      <x:c r="G422" s="2"/>
      <x:c r="H422" s="2"/>
    </x:row>
    <x:row r="423" ht="22" customHeight="1">
      <x:c r="A423" s="2" t="n">
        <x:v>417</x:v>
      </x:c>
      <x:c r="B423" s="79" t="n">
        <x:v>-1.2650993869992753</x:v>
      </x:c>
      <x:c r="C423" s="46" t="n">
        <x:f>B423^2</x:f>
        <x:v>1.6004764589859422</x:v>
      </x:c>
      <x:c r="D423" s="47" t="n">
        <x:f>'Datos'!$B$26^3/3</x:f>
        <x:v>0.3333333333333333</x:v>
      </x:c>
      <x:c r="E423" s="46" t="n">
        <x:f>D423*(C423-1)</x:f>
        <x:v>0.2001588196619807</x:v>
      </x:c>
      <x:c r="F423" s="2"/>
      <x:c r="G423" s="2"/>
      <x:c r="H423" s="2"/>
    </x:row>
    <x:row r="424" ht="22" customHeight="1">
      <x:c r="A424" s="2" t="n">
        <x:v>418</x:v>
      </x:c>
      <x:c r="B424" s="79" t="n">
        <x:v>-0.23211583250986695</x:v>
      </x:c>
      <x:c r="C424" s="46" t="n">
        <x:f>B424^2</x:f>
        <x:v>0.05387775970174861</x:v>
      </x:c>
      <x:c r="D424" s="47" t="n">
        <x:f>'Datos'!$B$26^3/3</x:f>
        <x:v>0.3333333333333333</x:v>
      </x:c>
      <x:c r="E424" s="46" t="n">
        <x:f>D424*(C424-1)</x:f>
        <x:v>-0.31537408009941714</x:v>
      </x:c>
      <x:c r="F424" s="2"/>
      <x:c r="G424" s="2"/>
      <x:c r="H424" s="2"/>
    </x:row>
    <x:row r="425" ht="22" customHeight="1">
      <x:c r="A425" s="2" t="n">
        <x:v>419</x:v>
      </x:c>
      <x:c r="B425" s="79" t="n">
        <x:v>0.9447996959366416</x:v>
      </x:c>
      <x:c r="C425" s="46" t="n">
        <x:f>B425^2</x:f>
        <x:v>0.8926464654419705</x:v>
      </x:c>
      <x:c r="D425" s="47" t="n">
        <x:f>'Datos'!$B$26^3/3</x:f>
        <x:v>0.3333333333333333</x:v>
      </x:c>
      <x:c r="E425" s="46" t="n">
        <x:f>D425*(C425-1)</x:f>
        <x:v>-0.03578451151934318</x:v>
      </x:c>
      <x:c r="F425" s="2"/>
      <x:c r="G425" s="2"/>
      <x:c r="H425" s="2"/>
    </x:row>
    <x:row r="426" ht="22" customHeight="1">
      <x:c r="A426" s="2" t="n">
        <x:v>420</x:v>
      </x:c>
      <x:c r="B426" s="79" t="n">
        <x:v>0.5279683364727961</x:v>
      </x:c>
      <x:c r="C426" s="46" t="n">
        <x:f>B426^2</x:f>
        <x:v>0.2787505643178516</x:v>
      </x:c>
      <x:c r="D426" s="47" t="n">
        <x:f>'Datos'!$B$26^3/3</x:f>
        <x:v>0.3333333333333333</x:v>
      </x:c>
      <x:c r="E426" s="46" t="n">
        <x:f>D426*(C426-1)</x:f>
        <x:v>-0.24041647856071613</x:v>
      </x:c>
      <x:c r="F426" s="2"/>
      <x:c r="G426" s="2"/>
      <x:c r="H426" s="2"/>
    </x:row>
    <x:row r="427" ht="22" customHeight="1">
      <x:c r="A427" s="2" t="n">
        <x:v>421</x:v>
      </x:c>
      <x:c r="B427" s="79" t="n">
        <x:v>0.8770259504384423</x:v>
      </x:c>
      <x:c r="C427" s="46" t="n">
        <x:f>B427^2</x:f>
        <x:v>0.7691745177424532</x:v>
      </x:c>
      <x:c r="D427" s="47" t="n">
        <x:f>'Datos'!$B$26^3/3</x:f>
        <x:v>0.3333333333333333</x:v>
      </x:c>
      <x:c r="E427" s="46" t="n">
        <x:f>D427*(C427-1)</x:f>
        <x:v>-0.07694182741918228</x:v>
      </x:c>
      <x:c r="F427" s="2"/>
      <x:c r="G427" s="2"/>
      <x:c r="H427" s="2"/>
    </x:row>
    <x:row r="428" ht="22" customHeight="1">
      <x:c r="A428" s="2" t="n">
        <x:v>422</x:v>
      </x:c>
      <x:c r="B428" s="79" t="n">
        <x:v>1.367634993426279</x:v>
      </x:c>
      <x:c r="C428" s="46" t="n">
        <x:f>B428^2</x:f>
        <x:v>1.8704254752440983</x:v>
      </x:c>
      <x:c r="D428" s="47" t="n">
        <x:f>'Datos'!$B$26^3/3</x:f>
        <x:v>0.3333333333333333</x:v>
      </x:c>
      <x:c r="E428" s="46" t="n">
        <x:f>D428*(C428-1)</x:f>
        <x:v>0.2901418250813661</x:v>
      </x:c>
      <x:c r="F428" s="2"/>
      <x:c r="G428" s="2"/>
      <x:c r="H428" s="2"/>
    </x:row>
    <x:row r="429" ht="22" customHeight="1">
      <x:c r="A429" s="2" t="n">
        <x:v>423</x:v>
      </x:c>
      <x:c r="B429" s="79" t="n">
        <x:v>-2.1398107873796492</x:v>
      </x:c>
      <x:c r="C429" s="46" t="n">
        <x:f>B429^2</x:f>
        <x:v>4.578790205786315</x:v>
      </x:c>
      <x:c r="D429" s="47" t="n">
        <x:f>'Datos'!$B$26^3/3</x:f>
        <x:v>0.3333333333333333</x:v>
      </x:c>
      <x:c r="E429" s="46" t="n">
        <x:f>D429*(C429-1)</x:f>
        <x:v>1.1929300685954383</x:v>
      </x:c>
      <x:c r="F429" s="2"/>
      <x:c r="G429" s="2"/>
      <x:c r="H429" s="2"/>
    </x:row>
    <x:row r="430" ht="22" customHeight="1">
      <x:c r="A430" s="2" t="n">
        <x:v>424</x:v>
      </x:c>
      <x:c r="B430" s="79" t="n">
        <x:v>-0.1558469877539145</x:v>
      </x:c>
      <x:c r="C430" s="46" t="n">
        <x:f>B430^2</x:f>
        <x:v>0.024288283591968777</x:v>
      </x:c>
      <x:c r="D430" s="47" t="n">
        <x:f>'Datos'!$B$26^3/3</x:f>
        <x:v>0.3333333333333333</x:v>
      </x:c>
      <x:c r="E430" s="46" t="n">
        <x:f>D430*(C430-1)</x:f>
        <x:v>-0.3252372388026771</x:v>
      </x:c>
      <x:c r="F430" s="2"/>
      <x:c r="G430" s="2"/>
      <x:c r="H430" s="2"/>
    </x:row>
    <x:row r="431" ht="22" customHeight="1">
      <x:c r="A431" s="2" t="n">
        <x:v>425</x:v>
      </x:c>
      <x:c r="B431" s="79" t="n">
        <x:v>0.6485168225764779</x:v>
      </x:c>
      <x:c r="C431" s="46" t="n">
        <x:f>B431^2</x:f>
        <x:v>0.4205740691646909</x:v>
      </x:c>
      <x:c r="D431" s="47" t="n">
        <x:f>'Datos'!$B$26^3/3</x:f>
        <x:v>0.3333333333333333</x:v>
      </x:c>
      <x:c r="E431" s="46" t="n">
        <x:f>D431*(C431-1)</x:f>
        <x:v>-0.19314197694510304</x:v>
      </x:c>
      <x:c r="F431" s="2"/>
      <x:c r="G431" s="2"/>
      <x:c r="H431" s="2"/>
    </x:row>
    <x:row r="432" ht="22" customHeight="1">
      <x:c r="A432" s="2" t="n">
        <x:v>426</x:v>
      </x:c>
      <x:c r="B432" s="79" t="n">
        <x:v>-0.13822421442770988</x:v>
      </x:c>
      <x:c r="C432" s="46" t="n">
        <x:f>B432^2</x:f>
        <x:v>0.01910593345415752</x:v>
      </x:c>
      <x:c r="D432" s="47" t="n">
        <x:f>'Datos'!$B$26^3/3</x:f>
        <x:v>0.3333333333333333</x:v>
      </x:c>
      <x:c r="E432" s="46" t="n">
        <x:f>D432*(C432-1)</x:f>
        <x:v>-0.3269646888486141</x:v>
      </x:c>
      <x:c r="F432" s="2"/>
      <x:c r="G432" s="2"/>
      <x:c r="H432" s="2"/>
    </x:row>
    <x:row r="433" ht="22" customHeight="1">
      <x:c r="A433" s="2" t="n">
        <x:v>427</x:v>
      </x:c>
      <x:c r="B433" s="79" t="n">
        <x:v>-1.5069651507940436</x:v>
      </x:c>
      <x:c r="C433" s="46" t="n">
        <x:f>B433^2</x:f>
        <x:v>2.2709439657077146</x:v>
      </x:c>
      <x:c r="D433" s="47" t="n">
        <x:f>'Datos'!$B$26^3/3</x:f>
        <x:v>0.3333333333333333</x:v>
      </x:c>
      <x:c r="E433" s="46" t="n">
        <x:f>D433*(C433-1)</x:f>
        <x:v>0.4236479885692382</x:v>
      </x:c>
      <x:c r="F433" s="2"/>
      <x:c r="G433" s="2"/>
      <x:c r="H433" s="2"/>
    </x:row>
    <x:row r="434" ht="22" customHeight="1">
      <x:c r="A434" s="2" t="n">
        <x:v>428</x:v>
      </x:c>
      <x:c r="B434" s="79" t="n">
        <x:v>-2.1718216854077843</x:v>
      </x:c>
      <x:c r="C434" s="46" t="n">
        <x:f>B434^2</x:f>
        <x:v>4.716809433207509</x:v>
      </x:c>
      <x:c r="D434" s="47" t="n">
        <x:f>'Datos'!$B$26^3/3</x:f>
        <x:v>0.3333333333333333</x:v>
      </x:c>
      <x:c r="E434" s="46" t="n">
        <x:f>D434*(C434-1)</x:f>
        <x:v>1.238936477735836</x:v>
      </x:c>
      <x:c r="F434" s="2"/>
      <x:c r="G434" s="2"/>
      <x:c r="H434" s="2"/>
    </x:row>
    <x:row r="435" ht="22" customHeight="1">
      <x:c r="A435" s="2" t="n">
        <x:v>429</x:v>
      </x:c>
      <x:c r="B435" s="79" t="n">
        <x:v>-1.1959064918542546</x:v>
      </x:c>
      <x:c r="C435" s="46" t="n">
        <x:f>B435^2</x:f>
        <x:v>1.4301923372591503</x:v>
      </x:c>
      <x:c r="D435" s="47" t="n">
        <x:f>'Datos'!$B$26^3/3</x:f>
        <x:v>0.3333333333333333</x:v>
      </x:c>
      <x:c r="E435" s="46" t="n">
        <x:f>D435*(C435-1)</x:f>
        <x:v>0.14339744575305008</x:v>
      </x:c>
      <x:c r="F435" s="2"/>
      <x:c r="G435" s="2"/>
      <x:c r="H435" s="2"/>
    </x:row>
    <x:row r="436" ht="22" customHeight="1">
      <x:c r="A436" s="2" t="n">
        <x:v>430</x:v>
      </x:c>
      <x:c r="B436" s="79" t="n">
        <x:v>0.4242187296715783</x:v>
      </x:c>
      <x:c r="C436" s="46" t="n">
        <x:f>B436^2</x:f>
        <x:v>0.17996153060416764</x:v>
      </x:c>
      <x:c r="D436" s="47" t="n">
        <x:f>'Datos'!$B$26^3/3</x:f>
        <x:v>0.3333333333333333</x:v>
      </x:c>
      <x:c r="E436" s="46" t="n">
        <x:f>D436*(C436-1)</x:f>
        <x:v>-0.27334615646527743</x:v>
      </x:c>
      <x:c r="F436" s="2"/>
      <x:c r="G436" s="2"/>
      <x:c r="H436" s="2"/>
    </x:row>
    <x:row r="437" ht="22" customHeight="1">
      <x:c r="A437" s="2" t="n">
        <x:v>431</x:v>
      </x:c>
      <x:c r="B437" s="79" t="n">
        <x:v>-0.862431818645154</x:v>
      </x:c>
      <x:c r="C437" s="46" t="n">
        <x:f>B437^2</x:f>
        <x:v>0.7437886418115877</x:v>
      </x:c>
      <x:c r="D437" s="47" t="n">
        <x:f>'Datos'!$B$26^3/3</x:f>
        <x:v>0.3333333333333333</x:v>
      </x:c>
      <x:c r="E437" s="46" t="n">
        <x:f>D437*(C437-1)</x:f>
        <x:v>-0.0854037860628041</x:v>
      </x:c>
      <x:c r="F437" s="2"/>
      <x:c r="G437" s="2"/>
      <x:c r="H437" s="2"/>
    </x:row>
    <x:row r="438" ht="22" customHeight="1">
      <x:c r="A438" s="2" t="n">
        <x:v>432</x:v>
      </x:c>
      <x:c r="B438" s="79" t="n">
        <x:v>2.1508655627999076</x:v>
      </x:c>
      <x:c r="C438" s="46" t="n">
        <x:f>B438^2</x:f>
        <x:v>4.6262226692385635</x:v>
      </x:c>
      <x:c r="D438" s="47" t="n">
        <x:f>'Datos'!$B$26^3/3</x:f>
        <x:v>0.3333333333333333</x:v>
      </x:c>
      <x:c r="E438" s="46" t="n">
        <x:f>D438*(C438-1)</x:f>
        <x:v>1.2087408897461878</x:v>
      </x:c>
      <x:c r="F438" s="2"/>
      <x:c r="G438" s="2"/>
      <x:c r="H438" s="2"/>
    </x:row>
    <x:row r="439" ht="22" customHeight="1">
      <x:c r="A439" s="2" t="n">
        <x:v>433</x:v>
      </x:c>
      <x:c r="B439" s="79" t="n">
        <x:v>-2.87505138621088</x:v>
      </x:c>
      <x:c r="C439" s="46" t="n">
        <x:f>B439^2</x:f>
        <x:v>8.265920473353104</x:v>
      </x:c>
      <x:c r="D439" s="47" t="n">
        <x:f>'Datos'!$B$26^3/3</x:f>
        <x:v>0.3333333333333333</x:v>
      </x:c>
      <x:c r="E439" s="46" t="n">
        <x:f>D439*(C439-1)</x:f>
        <x:v>2.421973491117701</x:v>
      </x:c>
      <x:c r="F439" s="2"/>
      <x:c r="G439" s="2"/>
      <x:c r="H439" s="2"/>
    </x:row>
    <x:row r="440" ht="22" customHeight="1">
      <x:c r="A440" s="2" t="n">
        <x:v>434</x:v>
      </x:c>
      <x:c r="B440" s="79" t="n">
        <x:v>-0.6958596593609822</x:v>
      </x:c>
      <x:c r="C440" s="46" t="n">
        <x:f>B440^2</x:f>
        <x:v>0.48422066552598214</x:v>
      </x:c>
      <x:c r="D440" s="47" t="n">
        <x:f>'Datos'!$B$26^3/3</x:f>
        <x:v>0.3333333333333333</x:v>
      </x:c>
      <x:c r="E440" s="46" t="n">
        <x:f>D440*(C440-1)</x:f>
        <x:v>-0.1719264448246726</x:v>
      </x:c>
      <x:c r="F440" s="2"/>
      <x:c r="G440" s="2"/>
      <x:c r="H440" s="2"/>
    </x:row>
    <x:row r="441" ht="22" customHeight="1">
      <x:c r="A441" s="2" t="n">
        <x:v>435</x:v>
      </x:c>
      <x:c r="B441" s="79" t="n">
        <x:v>-1.2229116059950635</x:v>
      </x:c>
      <x:c r="C441" s="46" t="n">
        <x:f>B441^2</x:f>
        <x:v>1.4955127960774255</x:v>
      </x:c>
      <x:c r="D441" s="47" t="n">
        <x:f>'Datos'!$B$26^3/3</x:f>
        <x:v>0.3333333333333333</x:v>
      </x:c>
      <x:c r="E441" s="46" t="n">
        <x:f>D441*(C441-1)</x:f>
        <x:v>0.1651709320258085</x:v>
      </x:c>
      <x:c r="F441" s="2"/>
      <x:c r="G441" s="2"/>
      <x:c r="H441" s="2"/>
    </x:row>
    <x:row r="442" ht="22" customHeight="1">
      <x:c r="A442" s="2" t="n">
        <x:v>436</x:v>
      </x:c>
      <x:c r="B442" s="79" t="n">
        <x:v>-1.8862384781928994</x:v>
      </x:c>
      <x:c r="C442" s="46" t="n">
        <x:f>B442^2</x:f>
        <x:v>3.557895596615465</x:v>
      </x:c>
      <x:c r="D442" s="47" t="n">
        <x:f>'Datos'!$B$26^3/3</x:f>
        <x:v>0.3333333333333333</x:v>
      </x:c>
      <x:c r="E442" s="46" t="n">
        <x:f>D442*(C442-1)</x:f>
        <x:v>0.8526318655384882</x:v>
      </x:c>
      <x:c r="F442" s="2"/>
      <x:c r="G442" s="2"/>
      <x:c r="H442" s="2"/>
    </x:row>
    <x:row r="443" ht="22" customHeight="1">
      <x:c r="A443" s="2" t="n">
        <x:v>437</x:v>
      </x:c>
      <x:c r="B443" s="79" t="n">
        <x:v>0.9340700535399706</x:v>
      </x:c>
      <x:c r="C443" s="46" t="n">
        <x:f>B443^2</x:f>
        <x:v>0.8724868649201636</x:v>
      </x:c>
      <x:c r="D443" s="47" t="n">
        <x:f>'Datos'!$B$26^3/3</x:f>
        <x:v>0.3333333333333333</x:v>
      </x:c>
      <x:c r="E443" s="46" t="n">
        <x:f>D443*(C443-1)</x:f>
        <x:v>-0.04250437835994547</x:v>
      </x:c>
      <x:c r="F443" s="2"/>
      <x:c r="G443" s="2"/>
      <x:c r="H443" s="2"/>
    </x:row>
    <x:row r="444" ht="22" customHeight="1">
      <x:c r="A444" s="2" t="n">
        <x:v>438</x:v>
      </x:c>
      <x:c r="B444" s="79" t="n">
        <x:v>1.1834165159129866</x:v>
      </x:c>
      <x:c r="C444" s="46" t="n">
        <x:f>B444^2</x:f>
        <x:v>1.400474650135632</x:v>
      </x:c>
      <x:c r="D444" s="47" t="n">
        <x:f>'Datos'!$B$26^3/3</x:f>
        <x:v>0.3333333333333333</x:v>
      </x:c>
      <x:c r="E444" s="46" t="n">
        <x:f>D444*(C444-1)</x:f>
        <x:v>0.13349155004521066</x:v>
      </x:c>
      <x:c r="F444" s="2"/>
      <x:c r="G444" s="2"/>
      <x:c r="H444" s="2"/>
    </x:row>
    <x:row r="445" ht="22" customHeight="1">
      <x:c r="A445" s="2" t="n">
        <x:v>439</x:v>
      </x:c>
      <x:c r="B445" s="79" t="n">
        <x:v>-0.20136601122469844</x:v>
      </x:c>
      <x:c r="C445" s="46" t="n">
        <x:f>B445^2</x:f>
        <x:v>0.04054827047654538</x:v>
      </x:c>
      <x:c r="D445" s="47" t="n">
        <x:f>'Datos'!$B$26^3/3</x:f>
        <x:v>0.3333333333333333</x:v>
      </x:c>
      <x:c r="E445" s="46" t="n">
        <x:f>D445*(C445-1)</x:f>
        <x:v>-0.31981724317448484</x:v>
      </x:c>
      <x:c r="F445" s="2"/>
      <x:c r="G445" s="2"/>
      <x:c r="H445" s="2"/>
    </x:row>
    <x:row r="446" ht="22" customHeight="1">
      <x:c r="A446" s="2" t="n">
        <x:v>440</x:v>
      </x:c>
      <x:c r="B446" s="79" t="n">
        <x:v>-0.682708435276917</x:v>
      </x:c>
      <x:c r="C446" s="46" t="n">
        <x:f>B446^2</x:f>
        <x:v>0.46609080759825644</x:v>
      </x:c>
      <x:c r="D446" s="47" t="n">
        <x:f>'Datos'!$B$26^3/3</x:f>
        <x:v>0.3333333333333333</x:v>
      </x:c>
      <x:c r="E446" s="46" t="n">
        <x:f>D446*(C446-1)</x:f>
        <x:v>-0.1779697308005812</x:v>
      </x:c>
      <x:c r="F446" s="2"/>
      <x:c r="G446" s="2"/>
      <x:c r="H446" s="2"/>
    </x:row>
    <x:row r="447" ht="22" customHeight="1">
      <x:c r="A447" s="2" t="n">
        <x:v>441</x:v>
      </x:c>
      <x:c r="B447" s="79" t="n">
        <x:v>1.0637455913647833</x:v>
      </x:c>
      <x:c r="C447" s="46" t="n">
        <x:f>B447^2</x:f>
        <x:v>1.1315546831480126</x:v>
      </x:c>
      <x:c r="D447" s="47" t="n">
        <x:f>'Datos'!$B$26^3/3</x:f>
        <x:v>0.3333333333333333</x:v>
      </x:c>
      <x:c r="E447" s="46" t="n">
        <x:f>D447*(C447-1)</x:f>
        <x:v>0.04385156104933752</x:v>
      </x:c>
      <x:c r="F447" s="2"/>
      <x:c r="G447" s="2"/>
      <x:c r="H447" s="2"/>
    </x:row>
    <x:row r="448" ht="22" customHeight="1">
      <x:c r="A448" s="2" t="n">
        <x:v>442</x:v>
      </x:c>
      <x:c r="B448" s="79" t="n">
        <x:v>-0.6274492406948871</x:v>
      </x:c>
      <x:c r="C448" s="46" t="n">
        <x:f>B448^2</x:f>
        <x:v>0.3936925496485903</x:v>
      </x:c>
      <x:c r="D448" s="47" t="n">
        <x:f>'Datos'!$B$26^3/3</x:f>
        <x:v>0.3333333333333333</x:v>
      </x:c>
      <x:c r="E448" s="46" t="n">
        <x:f>D448*(C448-1)</x:f>
        <x:v>-0.20210248345046988</x:v>
      </x:c>
      <x:c r="F448" s="2"/>
      <x:c r="G448" s="2"/>
      <x:c r="H448" s="2"/>
    </x:row>
    <x:row r="449" ht="22" customHeight="1">
      <x:c r="A449" s="2" t="n">
        <x:v>443</x:v>
      </x:c>
      <x:c r="B449" s="79" t="n">
        <x:v>1.066558914504809</x:v>
      </x:c>
      <x:c r="C449" s="46" t="n">
        <x:f>B449^2</x:f>
        <x:v>1.1375479181096768</x:v>
      </x:c>
      <x:c r="D449" s="47" t="n">
        <x:f>'Datos'!$B$26^3/3</x:f>
        <x:v>0.3333333333333333</x:v>
      </x:c>
      <x:c r="E449" s="46" t="n">
        <x:f>D449*(C449-1)</x:f>
        <x:v>0.045849306036558936</x:v>
      </x:c>
      <x:c r="F449" s="2"/>
      <x:c r="G449" s="2"/>
      <x:c r="H449" s="2"/>
    </x:row>
    <x:row r="450" ht="22" customHeight="1">
      <x:c r="A450" s="2" t="n">
        <x:v>444</x:v>
      </x:c>
      <x:c r="B450" s="79" t="n">
        <x:v>0.40836042057624045</x:v>
      </x:c>
      <x:c r="C450" s="46" t="n">
        <x:f>B450^2</x:f>
        <x:v>0.16675823309320398</x:v>
      </x:c>
      <x:c r="D450" s="47" t="n">
        <x:f>'Datos'!$B$26^3/3</x:f>
        <x:v>0.3333333333333333</x:v>
      </x:c>
      <x:c r="E450" s="46" t="n">
        <x:f>D450*(C450-1)</x:f>
        <x:v>-0.27774725563559866</x:v>
      </x:c>
      <x:c r="F450" s="2"/>
      <x:c r="G450" s="2"/>
      <x:c r="H450" s="2"/>
    </x:row>
    <x:row r="451" ht="22" customHeight="1">
      <x:c r="A451" s="2" t="n">
        <x:v>445</x:v>
      </x:c>
      <x:c r="B451" s="79" t="n">
        <x:v>0.17059502113224143</x:v>
      </x:c>
      <x:c r="C451" s="46" t="n">
        <x:f>B451^2</x:f>
        <x:v>0.0291026612351099</x:v>
      </x:c>
      <x:c r="D451" s="47" t="n">
        <x:f>'Datos'!$B$26^3/3</x:f>
        <x:v>0.3333333333333333</x:v>
      </x:c>
      <x:c r="E451" s="46" t="n">
        <x:f>D451*(C451-1)</x:f>
        <x:v>-0.32363244625496335</x:v>
      </x:c>
      <x:c r="F451" s="2"/>
      <x:c r="G451" s="2"/>
      <x:c r="H451" s="2"/>
    </x:row>
    <x:row r="452" ht="22" customHeight="1">
      <x:c r="A452" s="2" t="n">
        <x:v>446</x:v>
      </x:c>
      <x:c r="B452" s="79" t="n">
        <x:v>-0.042328660309993785</x:v>
      </x:c>
      <x:c r="C452" s="46" t="n">
        <x:f>B452^2</x:f>
        <x:v>0.001791715483638843</x:v>
      </x:c>
      <x:c r="D452" s="47" t="n">
        <x:f>'Datos'!$B$26^3/3</x:f>
        <x:v>0.3333333333333333</x:v>
      </x:c>
      <x:c r="E452" s="46" t="n">
        <x:f>D452*(C452-1)</x:f>
        <x:v>-0.332736094838787</x:v>
      </x:c>
      <x:c r="F452" s="2"/>
      <x:c r="G452" s="2"/>
      <x:c r="H452" s="2"/>
    </x:row>
    <x:row r="453" ht="22" customHeight="1">
      <x:c r="A453" s="2" t="n">
        <x:v>447</x:v>
      </x:c>
      <x:c r="B453" s="79" t="n">
        <x:v>1.4950191080787418</x:v>
      </x:c>
      <x:c r="C453" s="46" t="n">
        <x:f>B453^2</x:f>
        <x:v>2.2350821335205566</x:v>
      </x:c>
      <x:c r="D453" s="47" t="n">
        <x:f>'Datos'!$B$26^3/3</x:f>
        <x:v>0.3333333333333333</x:v>
      </x:c>
      <x:c r="E453" s="46" t="n">
        <x:f>D453*(C453-1)</x:f>
        <x:v>0.4116940445068522</x:v>
      </x:c>
      <x:c r="F453" s="2"/>
      <x:c r="G453" s="2"/>
      <x:c r="H453" s="2"/>
    </x:row>
    <x:row r="454" ht="22" customHeight="1">
      <x:c r="A454" s="2" t="n">
        <x:v>448</x:v>
      </x:c>
      <x:c r="B454" s="79" t="n">
        <x:v>-0.5436955693760024</x:v>
      </x:c>
      <x:c r="C454" s="46" t="n">
        <x:f>B454^2</x:f>
        <x:v>0.2956048721590954</x:v>
      </x:c>
      <x:c r="D454" s="47" t="n">
        <x:f>'Datos'!$B$26^3/3</x:f>
        <x:v>0.3333333333333333</x:v>
      </x:c>
      <x:c r="E454" s="46" t="n">
        <x:f>D454*(C454-1)</x:f>
        <x:v>-0.2347983759469682</x:v>
      </x:c>
      <x:c r="F454" s="2"/>
      <x:c r="G454" s="2"/>
      <x:c r="H454" s="2"/>
    </x:row>
    <x:row r="455" ht="22" customHeight="1">
      <x:c r="A455" s="2" t="n">
        <x:v>449</x:v>
      </x:c>
      <x:c r="B455" s="79" t="n">
        <x:v>0.8476957016531381</x:v>
      </x:c>
      <x:c r="C455" s="46" t="n">
        <x:f>B455^2</x:f>
        <x:v>0.7185880026012061</x:v>
      </x:c>
      <x:c r="D455" s="47" t="n">
        <x:f>'Datos'!$B$26^3/3</x:f>
        <x:v>0.3333333333333333</x:v>
      </x:c>
      <x:c r="E455" s="46" t="n">
        <x:f>D455*(C455-1)</x:f>
        <x:v>-0.09380399913293128</x:v>
      </x:c>
      <x:c r="F455" s="2"/>
      <x:c r="G455" s="2"/>
      <x:c r="H455" s="2"/>
    </x:row>
    <x:row r="456" ht="22" customHeight="1">
      <x:c r="A456" s="2" t="n">
        <x:v>450</x:v>
      </x:c>
      <x:c r="B456" s="79" t="n">
        <x:v>0.7148897090204259</x:v>
      </x:c>
      <x:c r="C456" s="46" t="n">
        <x:f>B456^2</x:f>
        <x:v>0.5110672960633093</x:v>
      </x:c>
      <x:c r="D456" s="47" t="n">
        <x:f>'Datos'!$B$26^3/3</x:f>
        <x:v>0.3333333333333333</x:v>
      </x:c>
      <x:c r="E456" s="46" t="n">
        <x:f>D456*(C456-1)</x:f>
        <x:v>-0.1629775679788969</x:v>
      </x:c>
      <x:c r="F456" s="2"/>
      <x:c r="G456" s="2"/>
      <x:c r="H456" s="2"/>
    </x:row>
    <x:row r="457" ht="22" customHeight="1">
      <x:c r="A457" s="2" t="n">
        <x:v>451</x:v>
      </x:c>
      <x:c r="B457" s="79" t="n">
        <x:v>0.9474868223867547</x:v>
      </x:c>
      <x:c r="C457" s="46" t="n">
        <x:f>B457^2</x:f>
        <x:v>0.8977312785965498</x:v>
      </x:c>
      <x:c r="D457" s="47" t="n">
        <x:f>'Datos'!$B$26^3/3</x:f>
        <x:v>0.3333333333333333</x:v>
      </x:c>
      <x:c r="E457" s="46" t="n">
        <x:f>D457*(C457-1)</x:f>
        <x:v>-0.034089573801150075</x:v>
      </x:c>
      <x:c r="F457" s="2"/>
      <x:c r="G457" s="2"/>
      <x:c r="H457" s="2"/>
    </x:row>
    <x:row r="458" ht="22" customHeight="1">
      <x:c r="A458" s="2" t="n">
        <x:v>452</x:v>
      </x:c>
      <x:c r="B458" s="79" t="n">
        <x:v>-0.03321233594058932</x:v>
      </x:c>
      <x:c r="C458" s="46" t="n">
        <x:f>B458^2</x:f>
        <x:v>0.001103059258630561</x:v>
      </x:c>
      <x:c r="D458" s="47" t="n">
        <x:f>'Datos'!$B$26^3/3</x:f>
        <x:v>0.3333333333333333</x:v>
      </x:c>
      <x:c r="E458" s="46" t="n">
        <x:f>D458*(C458-1)</x:f>
        <x:v>-0.3329656469137898</x:v>
      </x:c>
      <x:c r="F458" s="2"/>
      <x:c r="G458" s="2"/>
      <x:c r="H458" s="2"/>
    </x:row>
    <x:row r="459" ht="22" customHeight="1">
      <x:c r="A459" s="2" t="n">
        <x:v>453</x:v>
      </x:c>
      <x:c r="B459" s="79" t="n">
        <x:v>-0.15145092402123975</x:v>
      </x:c>
      <x:c r="C459" s="46" t="n">
        <x:f>B459^2</x:f>
        <x:v>0.022937382386887334</x:v>
      </x:c>
      <x:c r="D459" s="47" t="n">
        <x:f>'Datos'!$B$26^3/3</x:f>
        <x:v>0.3333333333333333</x:v>
      </x:c>
      <x:c r="E459" s="46" t="n">
        <x:f>D459*(C459-1)</x:f>
        <x:v>-0.3256875392043709</x:v>
      </x:c>
      <x:c r="F459" s="2"/>
      <x:c r="G459" s="2"/>
      <x:c r="H459" s="2"/>
    </x:row>
    <x:row r="460" ht="22" customHeight="1">
      <x:c r="A460" s="2" t="n">
        <x:v>454</x:v>
      </x:c>
      <x:c r="B460" s="79" t="n">
        <x:v>1.2819404563548276</x:v>
      </x:c>
      <x:c r="C460" s="46" t="n">
        <x:f>B460^2</x:f>
        <x:v>1.6433713336392235</x:v>
      </x:c>
      <x:c r="D460" s="47" t="n">
        <x:f>'Datos'!$B$26^3/3</x:f>
        <x:v>0.3333333333333333</x:v>
      </x:c>
      <x:c r="E460" s="46" t="n">
        <x:f>D460*(C460-1)</x:f>
        <x:v>0.21445711121307448</x:v>
      </x:c>
      <x:c r="F460" s="2"/>
      <x:c r="G460" s="2"/>
      <x:c r="H460" s="2"/>
    </x:row>
    <x:row r="461" ht="22" customHeight="1">
      <x:c r="A461" s="2" t="n">
        <x:v>455</x:v>
      </x:c>
      <x:c r="B461" s="79" t="n">
        <x:v>1.2957375556419868</x:v>
      </x:c>
      <x:c r="C461" s="46" t="n">
        <x:f>B461^2</x:f>
        <x:v>1.6789358131010708</x:v>
      </x:c>
      <x:c r="D461" s="47" t="n">
        <x:f>'Datos'!$B$26^3/3</x:f>
        <x:v>0.3333333333333333</x:v>
      </x:c>
      <x:c r="E461" s="46" t="n">
        <x:f>D461*(C461-1)</x:f>
        <x:v>0.2263119377003569</x:v>
      </x:c>
      <x:c r="F461" s="2"/>
      <x:c r="G461" s="2"/>
      <x:c r="H461" s="2"/>
    </x:row>
    <x:row r="462" ht="22" customHeight="1">
      <x:c r="A462" s="2" t="n">
        <x:v>456</x:v>
      </x:c>
      <x:c r="B462" s="79" t="n">
        <x:v>0.764061973755902</x:v>
      </x:c>
      <x:c r="C462" s="46" t="n">
        <x:f>B462^2</x:f>
        <x:v>0.5837906997397647</x:v>
      </x:c>
      <x:c r="D462" s="47" t="n">
        <x:f>'Datos'!$B$26^3/3</x:f>
        <x:v>0.3333333333333333</x:v>
      </x:c>
      <x:c r="E462" s="46" t="n">
        <x:f>D462*(C462-1)</x:f>
        <x:v>-0.1387364334200784</x:v>
      </x:c>
      <x:c r="F462" s="2"/>
      <x:c r="G462" s="2"/>
      <x:c r="H462" s="2"/>
    </x:row>
    <x:row r="463" ht="22" customHeight="1">
      <x:c r="A463" s="2" t="n">
        <x:v>457</x:v>
      </x:c>
      <x:c r="B463" s="79" t="n">
        <x:v>0.026618662964816457</x:v>
      </x:c>
      <x:c r="C463" s="46" t="n">
        <x:f>B463^2</x:f>
        <x:v>0.0007085532180344913</x:v>
      </x:c>
      <x:c r="D463" s="47" t="n">
        <x:f>'Datos'!$B$26^3/3</x:f>
        <x:v>0.3333333333333333</x:v>
      </x:c>
      <x:c r="E463" s="46" t="n">
        <x:f>D463*(C463-1)</x:f>
        <x:v>-0.3330971489273218</x:v>
      </x:c>
      <x:c r="F463" s="2"/>
      <x:c r="G463" s="2"/>
      <x:c r="H463" s="2"/>
    </x:row>
    <x:row r="464" ht="22" customHeight="1">
      <x:c r="A464" s="2" t="n">
        <x:v>458</x:v>
      </x:c>
      <x:c r="B464" s="79" t="n">
        <x:v>-0.5625604687563008</x:v>
      </x:c>
      <x:c r="C464" s="46" t="n">
        <x:f>B464^2</x:f>
        <x:v>0.31647428100730896</x:v>
      </x:c>
      <x:c r="D464" s="47" t="n">
        <x:f>'Datos'!$B$26^3/3</x:f>
        <x:v>0.3333333333333333</x:v>
      </x:c>
      <x:c r="E464" s="46" t="n">
        <x:f>D464*(C464-1)</x:f>
        <x:v>-0.22784190633089701</x:v>
      </x:c>
      <x:c r="F464" s="2"/>
      <x:c r="G464" s="2"/>
      <x:c r="H464" s="2"/>
    </x:row>
    <x:row r="465" ht="22" customHeight="1">
      <x:c r="A465" s="2" t="n">
        <x:v>459</x:v>
      </x:c>
      <x:c r="B465" s="79" t="n">
        <x:v>0.11500061804528236</x:v>
      </x:c>
      <x:c r="C465" s="46" t="n">
        <x:f>B465^2</x:f>
        <x:v>0.013225142150796922</x:v>
      </x:c>
      <x:c r="D465" s="47" t="n">
        <x:f>'Datos'!$B$26^3/3</x:f>
        <x:v>0.3333333333333333</x:v>
      </x:c>
      <x:c r="E465" s="46" t="n">
        <x:f>D465*(C465-1)</x:f>
        <x:v>-0.328924952616401</x:v>
      </x:c>
      <x:c r="F465" s="2"/>
      <x:c r="G465" s="2"/>
      <x:c r="H465" s="2"/>
    </x:row>
    <x:row r="466" ht="22" customHeight="1">
      <x:c r="A466" s="2" t="n">
        <x:v>460</x:v>
      </x:c>
      <x:c r="B466" s="79" t="n">
        <x:v>0.04816182111842214</x:v>
      </x:c>
      <x:c r="C466" s="46" t="n">
        <x:f>B466^2</x:f>
        <x:v>0.002319561013442893</x:v>
      </x:c>
      <x:c r="D466" s="47" t="n">
        <x:f>'Datos'!$B$26^3/3</x:f>
        <x:v>0.3333333333333333</x:v>
      </x:c>
      <x:c r="E466" s="46" t="n">
        <x:f>D466*(C466-1)</x:f>
        <x:v>-0.33256014632885234</x:v>
      </x:c>
      <x:c r="F466" s="2"/>
      <x:c r="G466" s="2"/>
      <x:c r="H466" s="2"/>
    </x:row>
    <x:row r="467" ht="22" customHeight="1">
      <x:c r="A467" s="2" t="n">
        <x:v>461</x:v>
      </x:c>
      <x:c r="B467" s="79" t="n">
        <x:v>1.1137315956630465</x:v>
      </x:c>
      <x:c r="C467" s="46" t="n">
        <x:f>B467^2</x:f>
        <x:v>1.2403980671781556</x:v>
      </x:c>
      <x:c r="D467" s="47" t="n">
        <x:f>'Datos'!$B$26^3/3</x:f>
        <x:v>0.3333333333333333</x:v>
      </x:c>
      <x:c r="E467" s="46" t="n">
        <x:f>D467*(C467-1)</x:f>
        <x:v>0.0801326890593852</x:v>
      </x:c>
      <x:c r="F467" s="2"/>
      <x:c r="G467" s="2"/>
      <x:c r="H467" s="2"/>
    </x:row>
    <x:row r="468" ht="22" customHeight="1">
      <x:c r="A468" s="2" t="n">
        <x:v>462</x:v>
      </x:c>
      <x:c r="B468" s="79" t="n">
        <x:v>-1.109232388846152</x:v>
      </x:c>
      <x:c r="C468" s="46" t="n">
        <x:f>B468^2</x:f>
        <x:v>1.2303964924653408</x:v>
      </x:c>
      <x:c r="D468" s="47" t="n">
        <x:f>'Datos'!$B$26^3/3</x:f>
        <x:v>0.3333333333333333</x:v>
      </x:c>
      <x:c r="E468" s="46" t="n">
        <x:f>D468*(C468-1)</x:f>
        <x:v>0.07679883082178025</x:v>
      </x:c>
      <x:c r="F468" s="2"/>
      <x:c r="G468" s="2"/>
      <x:c r="H468" s="2"/>
    </x:row>
    <x:row r="469" ht="22" customHeight="1">
      <x:c r="A469" s="2" t="n">
        <x:v>463</x:v>
      </x:c>
      <x:c r="B469" s="79" t="n">
        <x:v>-0.8085664668107541</x:v>
      </x:c>
      <x:c r="C469" s="46" t="n">
        <x:f>B469^2</x:f>
        <x:v>0.6537797312508262</x:v>
      </x:c>
      <x:c r="D469" s="47" t="n">
        <x:f>'Datos'!$B$26^3/3</x:f>
        <x:v>0.3333333333333333</x:v>
      </x:c>
      <x:c r="E469" s="46" t="n">
        <x:f>D469*(C469-1)</x:f>
        <x:v>-0.11540675624972459</x:v>
      </x:c>
      <x:c r="F469" s="2"/>
      <x:c r="G469" s="2"/>
      <x:c r="H469" s="2"/>
    </x:row>
    <x:row r="470" ht="22" customHeight="1">
      <x:c r="A470" s="2" t="n">
        <x:v>464</x:v>
      </x:c>
      <x:c r="B470" s="79" t="n">
        <x:v>1.6909848346320349</x:v>
      </x:c>
      <x:c r="C470" s="46" t="n">
        <x:f>B470^2</x:f>
        <x:v>2.8594297109555304</x:v>
      </x:c>
      <x:c r="D470" s="47" t="n">
        <x:f>'Datos'!$B$26^3/3</x:f>
        <x:v>0.3333333333333333</x:v>
      </x:c>
      <x:c r="E470" s="46" t="n">
        <x:f>D470*(C470-1)</x:f>
        <x:v>0.6198099036518434</x:v>
      </x:c>
      <x:c r="F470" s="2"/>
      <x:c r="G470" s="2"/>
      <x:c r="H470" s="2"/>
    </x:row>
    <x:row r="471" ht="22" customHeight="1">
      <x:c r="A471" s="2" t="n">
        <x:v>465</x:v>
      </x:c>
      <x:c r="B471" s="79" t="n">
        <x:v>0.5577788623806369</x:v>
      </x:c>
      <x:c r="C471" s="46" t="n">
        <x:f>B471^2</x:f>
        <x:v>0.3111172593186375</x:v>
      </x:c>
      <x:c r="D471" s="47" t="n">
        <x:f>'Datos'!$B$26^3/3</x:f>
        <x:v>0.3333333333333333</x:v>
      </x:c>
      <x:c r="E471" s="46" t="n">
        <x:f>D471*(C471-1)</x:f>
        <x:v>-0.22962758022712082</x:v>
      </x:c>
      <x:c r="F471" s="2"/>
      <x:c r="G471" s="2"/>
      <x:c r="H471" s="2"/>
    </x:row>
    <x:row r="472" ht="22" customHeight="1">
      <x:c r="A472" s="2" t="n">
        <x:v>466</x:v>
      </x:c>
      <x:c r="B472" s="79" t="n">
        <x:v>-1.3863246097023434</x:v>
      </x:c>
      <x:c r="C472" s="46" t="n">
        <x:f>B472^2</x:f>
        <x:v>1.9218959234663546</x:v>
      </x:c>
      <x:c r="D472" s="47" t="n">
        <x:f>'Datos'!$B$26^3/3</x:f>
        <x:v>0.3333333333333333</x:v>
      </x:c>
      <x:c r="E472" s="46" t="n">
        <x:f>D472*(C472-1)</x:f>
        <x:v>0.3072986411554515</x:v>
      </x:c>
      <x:c r="F472" s="2"/>
      <x:c r="G472" s="2"/>
      <x:c r="H472" s="2"/>
    </x:row>
    <x:row r="473" ht="22" customHeight="1">
      <x:c r="A473" s="2" t="n">
        <x:v>467</x:v>
      </x:c>
      <x:c r="B473" s="79" t="n">
        <x:v>1.6425928641091618</x:v>
      </x:c>
      <x:c r="C473" s="46" t="n">
        <x:f>B473^2</x:f>
        <x:v>2.6981113172223394</x:v>
      </x:c>
      <x:c r="D473" s="47" t="n">
        <x:f>'Datos'!$B$26^3/3</x:f>
        <x:v>0.3333333333333333</x:v>
      </x:c>
      <x:c r="E473" s="46" t="n">
        <x:f>D473*(C473-1)</x:f>
        <x:v>0.5660371057407798</x:v>
      </x:c>
      <x:c r="F473" s="2"/>
      <x:c r="G473" s="2"/>
      <x:c r="H473" s="2"/>
    </x:row>
    <x:row r="474" ht="22" customHeight="1">
      <x:c r="A474" s="2" t="n">
        <x:v>468</x:v>
      </x:c>
      <x:c r="B474" s="79" t="n">
        <x:v>0.9493636565413258</x:v>
      </x:c>
      <x:c r="C474" s="46" t="n">
        <x:f>B474^2</x:f>
        <x:v>0.9012913523615165</x:v>
      </x:c>
      <x:c r="D474" s="47" t="n">
        <x:f>'Datos'!$B$26^3/3</x:f>
        <x:v>0.3333333333333333</x:v>
      </x:c>
      <x:c r="E474" s="46" t="n">
        <x:f>D474*(C474-1)</x:f>
        <x:v>-0.03290288254616117</x:v>
      </x:c>
      <x:c r="F474" s="2"/>
      <x:c r="G474" s="2"/>
      <x:c r="H474" s="2"/>
    </x:row>
    <x:row r="475" ht="22" customHeight="1">
      <x:c r="A475" s="2" t="n">
        <x:v>469</x:v>
      </x:c>
      <x:c r="B475" s="79" t="n">
        <x:v>-1.167563336036434</x:v>
      </x:c>
      <x:c r="C475" s="46" t="n">
        <x:f>B475^2</x:f>
        <x:v>1.3632041436565268</x:v>
      </x:c>
      <x:c r="D475" s="47" t="n">
        <x:f>'Datos'!$B$26^3/3</x:f>
        <x:v>0.3333333333333333</x:v>
      </x:c>
      <x:c r="E475" s="46" t="n">
        <x:f>D475*(C475-1)</x:f>
        <x:v>0.12106804788550891</x:v>
      </x:c>
      <x:c r="F475" s="2"/>
      <x:c r="G475" s="2"/>
      <x:c r="H475" s="2"/>
    </x:row>
    <x:row r="476" ht="22" customHeight="1">
      <x:c r="A476" s="2" t="n">
        <x:v>470</x:v>
      </x:c>
      <x:c r="B476" s="79" t="n">
        <x:v>-0.8911913390851799</x:v>
      </x:c>
      <x:c r="C476" s="46" t="n">
        <x:f>B476^2</x:f>
        <x:v>0.7942220028604361</x:v>
      </x:c>
      <x:c r="D476" s="47" t="n">
        <x:f>'Datos'!$B$26^3/3</x:f>
        <x:v>0.3333333333333333</x:v>
      </x:c>
      <x:c r="E476" s="46" t="n">
        <x:f>D476*(C476-1)</x:f>
        <x:v>-0.06859266571318796</x:v>
      </x:c>
      <x:c r="F476" s="2"/>
      <x:c r="G476" s="2"/>
      <x:c r="H476" s="2"/>
    </x:row>
    <x:row r="477" ht="22" customHeight="1">
      <x:c r="A477" s="2" t="n">
        <x:v>471</x:v>
      </x:c>
      <x:c r="B477" s="79" t="n">
        <x:v>0.2962969516295822</x:v>
      </x:c>
      <x:c r="C477" s="46" t="n">
        <x:f>B477^2</x:f>
        <x:v>0.08779188354498298</x:v>
      </x:c>
      <x:c r="D477" s="47" t="n">
        <x:f>'Datos'!$B$26^3/3</x:f>
        <x:v>0.3333333333333333</x:v>
      </x:c>
      <x:c r="E477" s="46" t="n">
        <x:f>D477*(C477-1)</x:f>
        <x:v>-0.3040693721516723</x:v>
      </x:c>
      <x:c r="F477" s="2"/>
      <x:c r="G477" s="2"/>
      <x:c r="H477" s="2"/>
    </x:row>
    <x:row r="478" ht="22" customHeight="1">
      <x:c r="A478" s="2" t="n">
        <x:v>472</x:v>
      </x:c>
      <x:c r="B478" s="79" t="n">
        <x:v>0.8587424456651515</x:v>
      </x:c>
      <x:c r="C478" s="46" t="n">
        <x:f>B478^2</x:f>
        <x:v>0.7374385879869656</x:v>
      </x:c>
      <x:c r="D478" s="47" t="n">
        <x:f>'Datos'!$B$26^3/3</x:f>
        <x:v>0.3333333333333333</x:v>
      </x:c>
      <x:c r="E478" s="46" t="n">
        <x:f>D478*(C478-1)</x:f>
        <x:v>-0.08752047067101146</x:v>
      </x:c>
      <x:c r="F478" s="2"/>
      <x:c r="G478" s="2"/>
      <x:c r="H478" s="2"/>
    </x:row>
    <x:row r="479" ht="22" customHeight="1">
      <x:c r="A479" s="2" t="n">
        <x:v>473</x:v>
      </x:c>
      <x:c r="B479" s="79" t="n">
        <x:v>-0.22172229729933074</x:v>
      </x:c>
      <x:c r="C479" s="46" t="n">
        <x:f>B479^2</x:f>
        <x:v>0.04916077711969281</x:v>
      </x:c>
      <x:c r="D479" s="47" t="n">
        <x:f>'Datos'!$B$26^3/3</x:f>
        <x:v>0.3333333333333333</x:v>
      </x:c>
      <x:c r="E479" s="46" t="n">
        <x:f>D479*(C479-1)</x:f>
        <x:v>-0.31694640762676907</x:v>
      </x:c>
      <x:c r="F479" s="2"/>
      <x:c r="G479" s="2"/>
      <x:c r="H479" s="2"/>
    </x:row>
    <x:row r="480" ht="22" customHeight="1">
      <x:c r="A480" s="2" t="n">
        <x:v>474</x:v>
      </x:c>
      <x:c r="B480" s="79" t="n">
        <x:v>1.3107406320276744</x:v>
      </x:c>
      <x:c r="C480" s="46" t="n">
        <x:f>B480^2</x:f>
        <x:v>1.7180410044483074</x:v>
      </x:c>
      <x:c r="D480" s="47" t="n">
        <x:f>'Datos'!$B$26^3/3</x:f>
        <x:v>0.3333333333333333</x:v>
      </x:c>
      <x:c r="E480" s="46" t="n">
        <x:f>D480*(C480-1)</x:f>
        <x:v>0.23934700148276913</x:v>
      </x:c>
      <x:c r="F480" s="2"/>
      <x:c r="G480" s="2"/>
      <x:c r="H480" s="2"/>
    </x:row>
    <x:row r="481" ht="22" customHeight="1">
      <x:c r="A481" s="2" t="n">
        <x:v>475</x:v>
      </x:c>
      <x:c r="B481" s="79" t="n">
        <x:v>1.3894282620591014</x:v>
      </x:c>
      <x:c r="C481" s="46" t="n">
        <x:f>B481^2</x:f>
        <x:v>1.930510895408575</x:v>
      </x:c>
      <x:c r="D481" s="47" t="n">
        <x:f>'Datos'!$B$26^3/3</x:f>
        <x:v>0.3333333333333333</x:v>
      </x:c>
      <x:c r="E481" s="46" t="n">
        <x:f>D481*(C481-1)</x:f>
        <x:v>0.310170298469525</x:v>
      </x:c>
      <x:c r="F481" s="2"/>
      <x:c r="G481" s="2"/>
      <x:c r="H481" s="2"/>
    </x:row>
    <x:row r="482" ht="22" customHeight="1">
      <x:c r="A482" s="2" t="n">
        <x:v>476</x:v>
      </x:c>
      <x:c r="B482" s="79" t="n">
        <x:v>1.3841009384464882</x:v>
      </x:c>
      <x:c r="C482" s="46" t="n">
        <x:f>B482^2</x:f>
        <x:v>1.9157354078084492</x:v>
      </x:c>
      <x:c r="D482" s="47" t="n">
        <x:f>'Datos'!$B$26^3/3</x:f>
        <x:v>0.3333333333333333</x:v>
      </x:c>
      <x:c r="E482" s="46" t="n">
        <x:f>D482*(C482-1)</x:f>
        <x:v>0.3052451359361497</x:v>
      </x:c>
      <x:c r="F482" s="2"/>
      <x:c r="G482" s="2"/>
      <x:c r="H482" s="2"/>
    </x:row>
    <x:row r="483" ht="22" customHeight="1">
      <x:c r="A483" s="2" t="n">
        <x:v>477</x:v>
      </x:c>
      <x:c r="B483" s="79" t="n">
        <x:v>-0.9597991281718152</x:v>
      </x:c>
      <x:c r="C483" s="46" t="n">
        <x:f>B483^2</x:f>
        <x:v>0.9212143664393766</x:v>
      </x:c>
      <x:c r="D483" s="47" t="n">
        <x:f>'Datos'!$B$26^3/3</x:f>
        <x:v>0.3333333333333333</x:v>
      </x:c>
      <x:c r="E483" s="46" t="n">
        <x:f>D483*(C483-1)</x:f>
        <x:v>-0.026261877853541133</x:v>
      </x:c>
      <x:c r="F483" s="2"/>
      <x:c r="G483" s="2"/>
      <x:c r="H483" s="2"/>
    </x:row>
    <x:row r="484" ht="22" customHeight="1">
      <x:c r="A484" s="2" t="n">
        <x:v>478</x:v>
      </x:c>
      <x:c r="B484" s="79" t="n">
        <x:v>0.8614173838539152</x:v>
      </x:c>
      <x:c r="C484" s="46" t="n">
        <x:f>B484^2</x:f>
        <x:v>0.7420399092057235</x:v>
      </x:c>
      <x:c r="D484" s="47" t="n">
        <x:f>'Datos'!$B$26^3/3</x:f>
        <x:v>0.3333333333333333</x:v>
      </x:c>
      <x:c r="E484" s="46" t="n">
        <x:f>D484*(C484-1)</x:f>
        <x:v>-0.0859866969314255</x:v>
      </x:c>
      <x:c r="F484" s="2"/>
      <x:c r="G484" s="2"/>
      <x:c r="H484" s="2"/>
    </x:row>
    <x:row r="485" ht="22" customHeight="1">
      <x:c r="A485" s="2" t="n">
        <x:v>479</x:v>
      </x:c>
      <x:c r="B485" s="79" t="n">
        <x:v>1.068480011857351</x:v>
      </x:c>
      <x:c r="C485" s="46" t="n">
        <x:f>B485^2</x:f>
        <x:v>1.1416495357386849</x:v>
      </x:c>
      <x:c r="D485" s="47" t="n">
        <x:f>'Datos'!$B$26^3/3</x:f>
        <x:v>0.3333333333333333</x:v>
      </x:c>
      <x:c r="E485" s="46" t="n">
        <x:f>D485*(C485-1)</x:f>
        <x:v>0.04721651191289496</x:v>
      </x:c>
      <x:c r="F485" s="2"/>
      <x:c r="G485" s="2"/>
      <x:c r="H485" s="2"/>
    </x:row>
    <x:row r="486" ht="22" customHeight="1">
      <x:c r="A486" s="2" t="n">
        <x:v>480</x:v>
      </x:c>
      <x:c r="B486" s="79" t="n">
        <x:v>0.41187961712592036</x:v>
      </x:c>
      <x:c r="C486" s="46" t="n">
        <x:f>B486^2</x:f>
        <x:v>0.16964481900379474</x:v>
      </x:c>
      <x:c r="D486" s="47" t="n">
        <x:f>'Datos'!$B$26^3/3</x:f>
        <x:v>0.3333333333333333</x:v>
      </x:c>
      <x:c r="E486" s="46" t="n">
        <x:f>D486*(C486-1)</x:f>
        <x:v>-0.2767850603320684</x:v>
      </x:c>
      <x:c r="F486" s="2"/>
      <x:c r="G486" s="2"/>
      <x:c r="H486" s="2"/>
    </x:row>
    <x:row r="487" ht="22" customHeight="1">
      <x:c r="A487" s="2" t="n">
        <x:v>481</x:v>
      </x:c>
      <x:c r="B487" s="79" t="n">
        <x:v>-0.9717134220038384</x:v>
      </x:c>
      <x:c r="C487" s="46" t="n">
        <x:f>B487^2</x:f>
        <x:v>0.9442269745024097</x:v>
      </x:c>
      <x:c r="D487" s="47" t="n">
        <x:f>'Datos'!$B$26^3/3</x:f>
        <x:v>0.3333333333333333</x:v>
      </x:c>
      <x:c r="E487" s="46" t="n">
        <x:f>D487*(C487-1)</x:f>
        <x:v>-0.018591008499196777</x:v>
      </x:c>
      <x:c r="F487" s="2"/>
      <x:c r="G487" s="2"/>
      <x:c r="H487" s="2"/>
    </x:row>
    <x:row r="488" ht="22" customHeight="1">
      <x:c r="A488" s="2" t="n">
        <x:v>482</x:v>
      </x:c>
      <x:c r="B488" s="79" t="n">
        <x:v>-1.2121869526779598</x:v>
      </x:c>
      <x:c r="C488" s="46" t="n">
        <x:f>B488^2</x:f>
        <x:v>1.4693972082426785</x:v>
      </x:c>
      <x:c r="D488" s="47" t="n">
        <x:f>'Datos'!$B$26^3/3</x:f>
        <x:v>0.3333333333333333</x:v>
      </x:c>
      <x:c r="E488" s="46" t="n">
        <x:f>D488*(C488-1)</x:f>
        <x:v>0.15646573608089281</x:v>
      </x:c>
      <x:c r="F488" s="2"/>
      <x:c r="G488" s="2"/>
      <x:c r="H488" s="2"/>
    </x:row>
    <x:row r="489" ht="22" customHeight="1">
      <x:c r="A489" s="2" t="n">
        <x:v>483</x:v>
      </x:c>
      <x:c r="B489" s="79" t="n">
        <x:v>-0.16527580271308082</x:v>
      </x:c>
      <x:c r="C489" s="46" t="n">
        <x:f>B489^2</x:f>
        <x:v>0.027316090962453212</x:v>
      </x:c>
      <x:c r="D489" s="47" t="n">
        <x:f>'Datos'!$B$26^3/3</x:f>
        <x:v>0.3333333333333333</x:v>
      </x:c>
      <x:c r="E489" s="46" t="n">
        <x:f>D489*(C489-1)</x:f>
        <x:v>-0.3242279696791822</x:v>
      </x:c>
      <x:c r="F489" s="2"/>
      <x:c r="G489" s="2"/>
      <x:c r="H489" s="2"/>
    </x:row>
    <x:row r="490" ht="22" customHeight="1">
      <x:c r="A490" s="2" t="n">
        <x:v>484</x:v>
      </x:c>
      <x:c r="B490" s="79" t="n">
        <x:v>0.9373614034807273</x:v>
      </x:c>
      <x:c r="C490" s="46" t="n">
        <x:f>B490^2</x:f>
        <x:v>0.8786464007353588</x:v>
      </x:c>
      <x:c r="D490" s="47" t="n">
        <x:f>'Datos'!$B$26^3/3</x:f>
        <x:v>0.3333333333333333</x:v>
      </x:c>
      <x:c r="E490" s="46" t="n">
        <x:f>D490*(C490-1)</x:f>
        <x:v>-0.04045119975488039</x:v>
      </x:c>
      <x:c r="F490" s="2"/>
      <x:c r="G490" s="2"/>
      <x:c r="H490" s="2"/>
    </x:row>
    <x:row r="491" ht="22" customHeight="1">
      <x:c r="A491" s="2" t="n">
        <x:v>485</x:v>
      </x:c>
      <x:c r="B491" s="79" t="n">
        <x:v>-0.3929777644903425</x:v>
      </x:c>
      <x:c r="C491" s="46" t="n">
        <x:f>B491^2</x:f>
        <x:v>0.1544315233838271</x:v>
      </x:c>
      <x:c r="D491" s="47" t="n">
        <x:f>'Datos'!$B$26^3/3</x:f>
        <x:v>0.3333333333333333</x:v>
      </x:c>
      <x:c r="E491" s="46" t="n">
        <x:f>D491*(C491-1)</x:f>
        <x:v>-0.2818561588720576</x:v>
      </x:c>
      <x:c r="F491" s="2"/>
      <x:c r="G491" s="2"/>
      <x:c r="H491" s="2"/>
    </x:row>
    <x:row r="492" ht="22" customHeight="1">
      <x:c r="A492" s="2" t="n">
        <x:v>486</x:v>
      </x:c>
      <x:c r="B492" s="79" t="n">
        <x:v>-1.1159146064688208</x:v>
      </x:c>
      <x:c r="C492" s="46" t="n">
        <x:f>B492^2</x:f>
        <x:v>1.2452654089304631</x:v>
      </x:c>
      <x:c r="D492" s="47" t="n">
        <x:f>'Datos'!$B$26^3/3</x:f>
        <x:v>0.3333333333333333</x:v>
      </x:c>
      <x:c r="E492" s="46" t="n">
        <x:f>D492*(C492-1)</x:f>
        <x:v>0.08175513631015437</x:v>
      </x:c>
      <x:c r="F492" s="2"/>
      <x:c r="G492" s="2"/>
      <x:c r="H492" s="2"/>
    </x:row>
    <x:row r="493" ht="22" customHeight="1">
      <x:c r="A493" s="2" t="n">
        <x:v>487</x:v>
      </x:c>
      <x:c r="B493" s="79" t="n">
        <x:v>-0.6175656890041352</x:v>
      </x:c>
      <x:c r="C493" s="46" t="n">
        <x:f>B493^2</x:f>
        <x:v>0.3813873802351523</x:v>
      </x:c>
      <x:c r="D493" s="47" t="n">
        <x:f>'Datos'!$B$26^3/3</x:f>
        <x:v>0.3333333333333333</x:v>
      </x:c>
      <x:c r="E493" s="46" t="n">
        <x:f>D493*(C493-1)</x:f>
        <x:v>-0.20620420658828256</x:v>
      </x:c>
      <x:c r="F493" s="2"/>
      <x:c r="G493" s="2"/>
      <x:c r="H493" s="2"/>
    </x:row>
    <x:row r="494" ht="22" customHeight="1">
      <x:c r="A494" s="2" t="n">
        <x:v>488</x:v>
      </x:c>
      <x:c r="B494" s="79" t="n">
        <x:v>-1.9016747594391212</x:v>
      </x:c>
      <x:c r="C494" s="46" t="n">
        <x:f>B494^2</x:f>
        <x:v>3.6163668906878397</x:v>
      </x:c>
      <x:c r="D494" s="47" t="n">
        <x:f>'Datos'!$B$26^3/3</x:f>
        <x:v>0.3333333333333333</x:v>
      </x:c>
      <x:c r="E494" s="46" t="n">
        <x:f>D494*(C494-1)</x:f>
        <x:v>0.8721222968959466</x:v>
      </x:c>
      <x:c r="F494" s="2"/>
      <x:c r="G494" s="2"/>
      <x:c r="H494" s="2"/>
    </x:row>
    <x:row r="495" ht="22" customHeight="1">
      <x:c r="A495" s="2" t="n">
        <x:v>489</x:v>
      </x:c>
      <x:c r="B495" s="79" t="n">
        <x:v>-1.5812707286119072</x:v>
      </x:c>
      <x:c r="C495" s="46" t="n">
        <x:f>B495^2</x:f>
        <x:v>2.5004171171648317</x:v>
      </x:c>
      <x:c r="D495" s="47" t="n">
        <x:f>'Datos'!$B$26^3/3</x:f>
        <x:v>0.3333333333333333</x:v>
      </x:c>
      <x:c r="E495" s="46" t="n">
        <x:f>D495*(C495-1)</x:f>
        <x:v>0.5001390390549438</x:v>
      </x:c>
      <x:c r="F495" s="2"/>
      <x:c r="G495" s="2"/>
      <x:c r="H495" s="2"/>
    </x:row>
    <x:row r="496" ht="22" customHeight="1">
      <x:c r="A496" s="2" t="n">
        <x:v>490</x:v>
      </x:c>
      <x:c r="B496" s="79" t="n">
        <x:v>-0.20524504683705672</x:v>
      </x:c>
      <x:c r="C496" s="46" t="n">
        <x:f>B496^2</x:f>
        <x:v>0.042125529251145606</x:v>
      </x:c>
      <x:c r="D496" s="47" t="n">
        <x:f>'Datos'!$B$26^3/3</x:f>
        <x:v>0.3333333333333333</x:v>
      </x:c>
      <x:c r="E496" s="46" t="n">
        <x:f>D496*(C496-1)</x:f>
        <x:v>-0.3192914902496181</x:v>
      </x:c>
      <x:c r="F496" s="2"/>
      <x:c r="G496" s="2"/>
      <x:c r="H496" s="2"/>
    </x:row>
    <x:row r="497" ht="22" customHeight="1">
      <x:c r="A497" s="2" t="n">
        <x:v>491</x:v>
      </x:c>
      <x:c r="B497" s="79" t="n">
        <x:v>-2.147864441185127</x:v>
      </x:c>
      <x:c r="C497" s="46" t="n">
        <x:f>B497^2</x:f>
        <x:v>4.613321657707497</x:v>
      </x:c>
      <x:c r="D497" s="47" t="n">
        <x:f>'Datos'!$B$26^3/3</x:f>
        <x:v>0.3333333333333333</x:v>
      </x:c>
      <x:c r="E497" s="46" t="n">
        <x:f>D497*(C497-1)</x:f>
        <x:v>1.2044405525691657</x:v>
      </x:c>
      <x:c r="F497" s="2"/>
      <x:c r="G497" s="2"/>
      <x:c r="H497" s="2"/>
    </x:row>
    <x:row r="498" ht="22" customHeight="1">
      <x:c r="A498" s="2" t="n">
        <x:v>492</x:v>
      </x:c>
      <x:c r="B498" s="79" t="n">
        <x:v>1.2316871646971401</x:v>
      </x:c>
      <x:c r="C498" s="46" t="n">
        <x:f>B498^2</x:f>
        <x:v>1.51705327167968</x:v>
      </x:c>
      <x:c r="D498" s="47" t="n">
        <x:f>'Datos'!$B$26^3/3</x:f>
        <x:v>0.3333333333333333</x:v>
      </x:c>
      <x:c r="E498" s="46" t="n">
        <x:f>D498*(C498-1)</x:f>
        <x:v>0.17235109055989334</x:v>
      </x:c>
      <x:c r="F498" s="2"/>
      <x:c r="G498" s="2"/>
      <x:c r="H498" s="2"/>
    </x:row>
    <x:row r="499" ht="22" customHeight="1">
      <x:c r="A499" s="2" t="n">
        <x:v>493</x:v>
      </x:c>
      <x:c r="B499" s="79" t="n">
        <x:v>-0.1287160347256787</x:v>
      </x:c>
      <x:c r="C499" s="46" t="n">
        <x:f>B499^2</x:f>
        <x:v>0.016567817595502122</x:v>
      </x:c>
      <x:c r="D499" s="47" t="n">
        <x:f>'Datos'!$B$26^3/3</x:f>
        <x:v>0.3333333333333333</x:v>
      </x:c>
      <x:c r="E499" s="46" t="n">
        <x:f>D499*(C499-1)</x:f>
        <x:v>-0.327810727468166</x:v>
      </x:c>
      <x:c r="F499" s="2"/>
      <x:c r="G499" s="2"/>
      <x:c r="H499" s="2"/>
    </x:row>
    <x:row r="500" ht="22" customHeight="1">
      <x:c r="A500" s="2" t="n">
        <x:v>494</x:v>
      </x:c>
      <x:c r="B500" s="79" t="n">
        <x:v>-0.07738619938600248</x:v>
      </x:c>
      <x:c r="C500" s="46" t="n">
        <x:f>B500^2</x:f>
        <x:v>0.005988623855410131</x:v>
      </x:c>
      <x:c r="D500" s="47" t="n">
        <x:f>'Datos'!$B$26^3/3</x:f>
        <x:v>0.3333333333333333</x:v>
      </x:c>
      <x:c r="E500" s="46" t="n">
        <x:f>D500*(C500-1)</x:f>
        <x:v>-0.33133712538152993</x:v>
      </x:c>
      <x:c r="F500" s="2"/>
      <x:c r="G500" s="2"/>
      <x:c r="H500" s="2"/>
    </x:row>
    <x:row r="501" ht="22" customHeight="1">
      <x:c r="A501" s="2" t="n">
        <x:v>495</x:v>
      </x:c>
      <x:c r="B501" s="79" t="n">
        <x:v>1.0491905009756524</x:v>
      </x:c>
      <x:c r="C501" s="46" t="n">
        <x:f>B501^2</x:f>
        <x:v>1.1008007073375403</x:v>
      </x:c>
      <x:c r="D501" s="47" t="n">
        <x:f>'Datos'!$B$26^3/3</x:f>
        <x:v>0.3333333333333333</x:v>
      </x:c>
      <x:c r="E501" s="46" t="n">
        <x:f>D501*(C501-1)</x:f>
        <x:v>0.0336002357791801</x:v>
      </x:c>
      <x:c r="F501" s="2"/>
      <x:c r="G501" s="2"/>
      <x:c r="H501" s="2"/>
    </x:row>
    <x:row r="502" ht="22" customHeight="1">
      <x:c r="A502" s="2" t="n">
        <x:v>496</x:v>
      </x:c>
      <x:c r="B502" s="79" t="n">
        <x:v>-0.42249352652039174</x:v>
      </x:c>
      <x:c r="C502" s="46" t="n">
        <x:f>B502^2</x:f>
        <x:v>0.17850077995163696</x:v>
      </x:c>
      <x:c r="D502" s="47" t="n">
        <x:f>'Datos'!$B$26^3/3</x:f>
        <x:v>0.3333333333333333</x:v>
      </x:c>
      <x:c r="E502" s="46" t="n">
        <x:f>D502*(C502-1)</x:f>
        <x:v>-0.27383307334945434</x:v>
      </x:c>
      <x:c r="F502" s="2"/>
      <x:c r="G502" s="2"/>
      <x:c r="H502" s="2"/>
    </x:row>
    <x:row r="503" ht="22" customHeight="1">
      <x:c r="A503" s="2" t="n">
        <x:v>497</x:v>
      </x:c>
      <x:c r="B503" s="79" t="n">
        <x:v>0.5004880714405846</x:v>
      </x:c>
      <x:c r="C503" s="46" t="n">
        <x:f>B503^2</x:f>
        <x:v>0.25048830965431573</x:v>
      </x:c>
      <x:c r="D503" s="47" t="n">
        <x:f>'Datos'!$B$26^3/3</x:f>
        <x:v>0.3333333333333333</x:v>
      </x:c>
      <x:c r="E503" s="46" t="n">
        <x:f>D503*(C503-1)</x:f>
        <x:v>-0.24983723011522807</x:v>
      </x:c>
      <x:c r="F503" s="2"/>
      <x:c r="G503" s="2"/>
      <x:c r="H503" s="2"/>
    </x:row>
    <x:row r="504" ht="22" customHeight="1">
      <x:c r="A504" s="2" t="n">
        <x:v>498</x:v>
      </x:c>
      <x:c r="B504" s="79" t="n">
        <x:v>-1.316754812464937</x:v>
      </x:c>
      <x:c r="C504" s="46" t="n">
        <x:f>B504^2</x:f>
        <x:v>1.7338432361495717</x:v>
      </x:c>
      <x:c r="D504" s="47" t="n">
        <x:f>'Datos'!$B$26^3/3</x:f>
        <x:v>0.3333333333333333</x:v>
      </x:c>
      <x:c r="E504" s="46" t="n">
        <x:f>D504*(C504-1)</x:f>
        <x:v>0.24461441204985723</x:v>
      </x:c>
      <x:c r="F504" s="2"/>
      <x:c r="G504" s="2"/>
      <x:c r="H504" s="2"/>
    </x:row>
    <x:row r="505" ht="22" customHeight="1">
      <x:c r="A505" s="2" t="n">
        <x:v>499</x:v>
      </x:c>
      <x:c r="B505" s="79" t="n">
        <x:v>0.001731617886759566</x:v>
      </x:c>
      <x:c r="C505" s="46" t="n">
        <x:f>B505^2</x:f>
        <x:v>0.000002998500505745665</x:v>
      </x:c>
      <x:c r="D505" s="47" t="n">
        <x:f>'Datos'!$B$26^3/3</x:f>
        <x:v>0.3333333333333333</x:v>
      </x:c>
      <x:c r="E505" s="46" t="n">
        <x:f>D505*(C505-1)</x:f>
        <x:v>-0.33333233383316474</x:v>
      </x:c>
      <x:c r="F505" s="2"/>
      <x:c r="G505" s="2"/>
      <x:c r="H505" s="2"/>
    </x:row>
    <x:row r="506" ht="22" customHeight="1">
      <x:c r="A506" s="2" t="n">
        <x:v>500</x:v>
      </x:c>
      <x:c r="B506" s="79" t="n">
        <x:v>0.4302149010704279</x:v>
      </x:c>
      <x:c r="C506" s="46" t="n">
        <x:f>B506^2</x:f>
        <x:v>0.1850848611030381</x:v>
      </x:c>
      <x:c r="D506" s="47" t="n">
        <x:f>'Datos'!$B$26^3/3</x:f>
        <x:v>0.3333333333333333</x:v>
      </x:c>
      <x:c r="E506" s="46" t="n">
        <x:f>D506*(C506-1)</x:f>
        <x:v>-0.2716383796323206</x:v>
      </x:c>
      <x:c r="F506" s="2"/>
      <x:c r="G506" s="2"/>
      <x:c r="H506" s="2"/>
    </x:row>
    <x:row r="507" ht="22" customHeight="1">
      <x:c r="A507" s="2" t="n">
        <x:v>501</x:v>
      </x:c>
      <x:c r="B507" s="79" t="n">
        <x:v>1.6823906759651217</x:v>
      </x:c>
      <x:c r="C507" s="46" t="n">
        <x:f>B507^2</x:f>
        <x:v>2.830438386574379</x:v>
      </x:c>
      <x:c r="D507" s="47" t="n">
        <x:f>'Datos'!$B$26^3/3</x:f>
        <x:v>0.3333333333333333</x:v>
      </x:c>
      <x:c r="E507" s="46" t="n">
        <x:f>D507*(C507-1)</x:f>
        <x:v>0.6101461288581264</x:v>
      </x:c>
      <x:c r="F507" s="2"/>
      <x:c r="G507" s="2"/>
      <x:c r="H507" s="2"/>
    </x:row>
    <x:row r="508" ht="22" customHeight="1">
      <x:c r="A508" s="2" t="n">
        <x:v>502</x:v>
      </x:c>
      <x:c r="B508" s="79" t="n">
        <x:v>-0.5789568820940942</x:v>
      </x:c>
      <x:c r="C508" s="46" t="n">
        <x:f>B508^2</x:f>
        <x:v>0.33519107132411496</x:v>
      </x:c>
      <x:c r="D508" s="47" t="n">
        <x:f>'Datos'!$B$26^3/3</x:f>
        <x:v>0.3333333333333333</x:v>
      </x:c>
      <x:c r="E508" s="46" t="n">
        <x:f>D508*(C508-1)</x:f>
        <x:v>-0.221602976225295</x:v>
      </x:c>
      <x:c r="F508" s="2"/>
      <x:c r="G508" s="2"/>
      <x:c r="H508" s="2"/>
    </x:row>
    <x:row r="509" ht="22" customHeight="1">
      <x:c r="A509" s="2" t="n">
        <x:v>503</x:v>
      </x:c>
      <x:c r="B509" s="79" t="n">
        <x:v>0.8914564025981276</x:v>
      </x:c>
      <x:c r="C509" s="46" t="n">
        <x:f>B509^2</x:f>
        <x:v>0.794694517733195</x:v>
      </x:c>
      <x:c r="D509" s="47" t="n">
        <x:f>'Datos'!$B$26^3/3</x:f>
        <x:v>0.3333333333333333</x:v>
      </x:c>
      <x:c r="E509" s="46" t="n">
        <x:f>D509*(C509-1)</x:f>
        <x:v>-0.06843516075560166</x:v>
      </x:c>
      <x:c r="F509" s="2"/>
      <x:c r="G509" s="2"/>
      <x:c r="H509" s="2"/>
    </x:row>
    <x:row r="510" ht="22" customHeight="1">
      <x:c r="A510" s="2" t="n">
        <x:v>504</x:v>
      </x:c>
      <x:c r="B510" s="79" t="n">
        <x:v>0.49626001459960595</x:v>
      </x:c>
      <x:c r="C510" s="46" t="n">
        <x:f>B510^2</x:f>
        <x:v>0.2462740020904011</x:v>
      </x:c>
      <x:c r="D510" s="47" t="n">
        <x:f>'Datos'!$B$26^3/3</x:f>
        <x:v>0.3333333333333333</x:v>
      </x:c>
      <x:c r="E510" s="46" t="n">
        <x:f>D510*(C510-1)</x:f>
        <x:v>-0.2512419993031996</x:v>
      </x:c>
      <x:c r="F510" s="2"/>
      <x:c r="G510" s="2"/>
      <x:c r="H510" s="2"/>
    </x:row>
    <x:row r="511" ht="22" customHeight="1">
      <x:c r="A511" s="2" t="n">
        <x:v>505</x:v>
      </x:c>
      <x:c r="B511" s="79" t="n">
        <x:v>-1.4997157697789212</x:v>
      </x:c>
      <x:c r="C511" s="46" t="n">
        <x:f>B511^2</x:f>
        <x:v>2.249147390123582</x:v>
      </x:c>
      <x:c r="D511" s="47" t="n">
        <x:f>'Datos'!$B$26^3/3</x:f>
        <x:v>0.3333333333333333</x:v>
      </x:c>
      <x:c r="E511" s="46" t="n">
        <x:f>D511*(C511-1)</x:f>
        <x:v>0.41638246337452733</x:v>
      </x:c>
      <x:c r="F511" s="2"/>
      <x:c r="G511" s="2"/>
      <x:c r="H511" s="2"/>
    </x:row>
    <x:row r="512" ht="22" customHeight="1">
      <x:c r="A512" s="2" t="n">
        <x:v>506</x:v>
      </x:c>
      <x:c r="B512" s="79" t="n">
        <x:v>-0.7202968958731502</x:v>
      </x:c>
      <x:c r="C512" s="46" t="n">
        <x:f>B512^2</x:f>
        <x:v>0.5188276182044957</x:v>
      </x:c>
      <x:c r="D512" s="47" t="n">
        <x:f>'Datos'!$B$26^3/3</x:f>
        <x:v>0.3333333333333333</x:v>
      </x:c>
      <x:c r="E512" s="46" t="n">
        <x:f>D512*(C512-1)</x:f>
        <x:v>-0.16039079393183475</x:v>
      </x:c>
      <x:c r="F512" s="2"/>
      <x:c r="G512" s="2"/>
      <x:c r="H512" s="2"/>
    </x:row>
    <x:row r="513" ht="22" customHeight="1">
      <x:c r="A513" s="2" t="n">
        <x:v>507</x:v>
      </x:c>
      <x:c r="B513" s="79" t="n">
        <x:v>1.9016807049232578</x:v>
      </x:c>
      <x:c r="C513" s="46" t="n">
        <x:f>B513^2</x:f>
        <x:v>3.6163895034774187</x:v>
      </x:c>
      <x:c r="D513" s="47" t="n">
        <x:f>'Datos'!$B$26^3/3</x:f>
        <x:v>0.3333333333333333</x:v>
      </x:c>
      <x:c r="E513" s="46" t="n">
        <x:f>D513*(C513-1)</x:f>
        <x:v>0.8721298344924728</x:v>
      </x:c>
      <x:c r="F513" s="2"/>
      <x:c r="G513" s="2"/>
      <x:c r="H513" s="2"/>
    </x:row>
    <x:row r="514" ht="22" customHeight="1">
      <x:c r="A514" s="2" t="n">
        <x:v>508</x:v>
      </x:c>
      <x:c r="B514" s="79" t="n">
        <x:v>0.7431715155696269</x:v>
      </x:c>
      <x:c r="C514" s="46" t="n">
        <x:f>B514^2</x:f>
        <x:v>0.5523039015540562</x:v>
      </x:c>
      <x:c r="D514" s="47" t="n">
        <x:f>'Datos'!$B$26^3/3</x:f>
        <x:v>0.3333333333333333</x:v>
      </x:c>
      <x:c r="E514" s="46" t="n">
        <x:f>D514*(C514-1)</x:f>
        <x:v>-0.1492320328153146</x:v>
      </x:c>
      <x:c r="F514" s="2"/>
      <x:c r="G514" s="2"/>
      <x:c r="H514" s="2"/>
    </x:row>
    <x:row r="515" ht="22" customHeight="1">
      <x:c r="A515" s="2" t="n">
        <x:v>509</x:v>
      </x:c>
      <x:c r="B515" s="79" t="n">
        <x:v>-0.08443454920296306</x:v>
      </x:c>
      <x:c r="C515" s="46" t="n">
        <x:f>B515^2</x:f>
        <x:v>0.00712919309910759</x:v>
      </x:c>
      <x:c r="D515" s="47" t="n">
        <x:f>'Datos'!$B$26^3/3</x:f>
        <x:v>0.3333333333333333</x:v>
      </x:c>
      <x:c r="E515" s="46" t="n">
        <x:f>D515*(C515-1)</x:f>
        <x:v>-0.33095693563363077</x:v>
      </x:c>
      <x:c r="F515" s="2"/>
      <x:c r="G515" s="2"/>
      <x:c r="H515" s="2"/>
    </x:row>
    <x:row r="516" ht="22" customHeight="1">
      <x:c r="A516" s="2" t="n">
        <x:v>510</x:v>
      </x:c>
      <x:c r="B516" s="79" t="n">
        <x:v>-0.1924244520506705</x:v>
      </x:c>
      <x:c r="C516" s="46" t="n">
        <x:f>B516^2</x:f>
        <x:v>0.037027169747000786</x:v>
      </x:c>
      <x:c r="D516" s="47" t="n">
        <x:f>'Datos'!$B$26^3/3</x:f>
        <x:v>0.3333333333333333</x:v>
      </x:c>
      <x:c r="E516" s="46" t="n">
        <x:f>D516*(C516-1)</x:f>
        <x:v>-0.3209909434176664</x:v>
      </x:c>
      <x:c r="F516" s="2"/>
      <x:c r="G516" s="2"/>
      <x:c r="H516" s="2"/>
    </x:row>
    <x:row r="517" ht="22" customHeight="1">
      <x:c r="A517" s="2" t="n">
        <x:v>511</x:v>
      </x:c>
      <x:c r="B517" s="79" t="n">
        <x:v>0.23280543478094082</x:v>
      </x:c>
      <x:c r="C517" s="46" t="n">
        <x:f>B517^2</x:f>
        <x:v>0.05419837046354289</x:v>
      </x:c>
      <x:c r="D517" s="47" t="n">
        <x:f>'Datos'!$B$26^3/3</x:f>
        <x:v>0.3333333333333333</x:v>
      </x:c>
      <x:c r="E517" s="46" t="n">
        <x:f>D517*(C517-1)</x:f>
        <x:v>-0.3152672098454857</x:v>
      </x:c>
      <x:c r="F517" s="2"/>
      <x:c r="G517" s="2"/>
      <x:c r="H517" s="2"/>
    </x:row>
    <x:row r="518" ht="22" customHeight="1">
      <x:c r="A518" s="2" t="n">
        <x:v>512</x:v>
      </x:c>
      <x:c r="B518" s="79" t="n">
        <x:v>-1.173273727935845</x:v>
      </x:c>
      <x:c r="C518" s="46" t="n">
        <x:f>B518^2</x:f>
        <x:v>1.376571240664475</x:v>
      </x:c>
      <x:c r="D518" s="47" t="n">
        <x:f>'Datos'!$B$26^3/3</x:f>
        <x:v>0.3333333333333333</x:v>
      </x:c>
      <x:c r="E518" s="46" t="n">
        <x:f>D518*(C518-1)</x:f>
        <x:v>0.12552374688815832</x:v>
      </x:c>
      <x:c r="F518" s="2"/>
      <x:c r="G518" s="2"/>
      <x:c r="H518" s="2"/>
    </x:row>
    <x:row r="519" ht="22" customHeight="1">
      <x:c r="A519" s="2" t="n">
        <x:v>513</x:v>
      </x:c>
      <x:c r="B519" s="79" t="n">
        <x:v>0.5493119307985231</x:v>
      </x:c>
      <x:c r="C519" s="46" t="n">
        <x:f>B519^2</x:f>
        <x:v>0.3017435973176015</x:v>
      </x:c>
      <x:c r="D519" s="47" t="n">
        <x:f>'Datos'!$B$26^3/3</x:f>
        <x:v>0.3333333333333333</x:v>
      </x:c>
      <x:c r="E519" s="46" t="n">
        <x:f>D519*(C519-1)</x:f>
        <x:v>-0.23275213422746616</x:v>
      </x:c>
      <x:c r="F519" s="2"/>
      <x:c r="G519" s="2"/>
      <x:c r="H519" s="2"/>
    </x:row>
    <x:row r="520" ht="22" customHeight="1">
      <x:c r="A520" s="2" t="n">
        <x:v>514</x:v>
      </x:c>
      <x:c r="B520" s="79" t="n">
        <x:v>-1.3976375347381476</x:v>
      </x:c>
      <x:c r="C520" s="46" t="n">
        <x:f>B520^2</x:f>
        <x:v>1.9533906785089266</x:v>
      </x:c>
      <x:c r="D520" s="47" t="n">
        <x:f>'Datos'!$B$26^3/3</x:f>
        <x:v>0.3333333333333333</x:v>
      </x:c>
      <x:c r="E520" s="46" t="n">
        <x:f>D520*(C520-1)</x:f>
        <x:v>0.31779689283630885</x:v>
      </x:c>
      <x:c r="F520" s="2"/>
      <x:c r="G520" s="2"/>
      <x:c r="H520" s="2"/>
    </x:row>
    <x:row r="521" ht="22" customHeight="1">
      <x:c r="A521" s="2" t="n">
        <x:v>515</x:v>
      </x:c>
      <x:c r="B521" s="79" t="n">
        <x:v>0.7243988073107963</x:v>
      </x:c>
      <x:c r="C521" s="46" t="n">
        <x:f>B521^2</x:f>
        <x:v>0.5247536320333042</x:v>
      </x:c>
      <x:c r="D521" s="47" t="n">
        <x:f>'Datos'!$B$26^3/3</x:f>
        <x:v>0.3333333333333333</x:v>
      </x:c>
      <x:c r="E521" s="46" t="n">
        <x:f>D521*(C521-1)</x:f>
        <x:v>-0.1584154559888986</x:v>
      </x:c>
      <x:c r="F521" s="2"/>
      <x:c r="G521" s="2"/>
      <x:c r="H521" s="2"/>
    </x:row>
    <x:row r="522" ht="22" customHeight="1">
      <x:c r="A522" s="2" t="n">
        <x:v>516</x:v>
      </x:c>
      <x:c r="B522" s="79" t="n">
        <x:v>0.5686216444996608</x:v>
      </x:c>
      <x:c r="C522" s="46" t="n">
        <x:f>B522^2</x:f>
        <x:v>0.3233305745934986</x:v>
      </x:c>
      <x:c r="D522" s="47" t="n">
        <x:f>'Datos'!$B$26^3/3</x:f>
        <x:v>0.3333333333333333</x:v>
      </x:c>
      <x:c r="E522" s="46" t="n">
        <x:f>D522*(C522-1)</x:f>
        <x:v>-0.22555647513550042</x:v>
      </x:c>
      <x:c r="F522" s="2"/>
      <x:c r="G522" s="2"/>
      <x:c r="H522" s="2"/>
    </x:row>
    <x:row r="523" ht="22" customHeight="1">
      <x:c r="A523" s="2" t="n">
        <x:v>517</x:v>
      </x:c>
      <x:c r="B523" s="79" t="n">
        <x:v>0.9222498128446532</x:v>
      </x:c>
      <x:c r="C523" s="46" t="n">
        <x:f>B523^2</x:f>
        <x:v>0.8505447172919979</x:v>
      </x:c>
      <x:c r="D523" s="47" t="n">
        <x:f>'Datos'!$B$26^3/3</x:f>
        <x:v>0.3333333333333333</x:v>
      </x:c>
      <x:c r="E523" s="46" t="n">
        <x:f>D523*(C523-1)</x:f>
        <x:v>-0.04981842756933404</x:v>
      </x:c>
      <x:c r="F523" s="2"/>
      <x:c r="G523" s="2"/>
      <x:c r="H523" s="2"/>
    </x:row>
    <x:row r="524" ht="22" customHeight="1">
      <x:c r="A524" s="2" t="n">
        <x:v>518</x:v>
      </x:c>
      <x:c r="B524" s="79" t="n">
        <x:v>0.5744905169918822</x:v>
      </x:c>
      <x:c r="C524" s="46" t="n">
        <x:f>B524^2</x:f>
        <x:v>0.33003935411360014</x:v>
      </x:c>
      <x:c r="D524" s="47" t="n">
        <x:f>'Datos'!$B$26^3/3</x:f>
        <x:v>0.3333333333333333</x:v>
      </x:c>
      <x:c r="E524" s="46" t="n">
        <x:f>D524*(C524-1)</x:f>
        <x:v>-0.22332021529546658</x:v>
      </x:c>
      <x:c r="F524" s="2"/>
      <x:c r="G524" s="2"/>
      <x:c r="H524" s="2"/>
    </x:row>
    <x:row r="525" ht="22" customHeight="1">
      <x:c r="A525" s="2" t="n">
        <x:v>519</x:v>
      </x:c>
      <x:c r="B525" s="79" t="n">
        <x:v>0.29183752051062806</x:v>
      </x:c>
      <x:c r="C525" s="46" t="n">
        <x:f>B525^2</x:f>
        <x:v>0.08516913837779125</x:v>
      </x:c>
      <x:c r="D525" s="47" t="n">
        <x:f>'Datos'!$B$26^3/3</x:f>
        <x:v>0.3333333333333333</x:v>
      </x:c>
      <x:c r="E525" s="46" t="n">
        <x:f>D525*(C525-1)</x:f>
        <x:v>-0.3049436205407362</x:v>
      </x:c>
      <x:c r="F525" s="2"/>
      <x:c r="G525" s="2"/>
      <x:c r="H525" s="2"/>
    </x:row>
    <x:row r="526" ht="22" customHeight="1">
      <x:c r="A526" s="2" t="n">
        <x:v>520</x:v>
      </x:c>
      <x:c r="B526" s="79" t="n">
        <x:v>-0.5602656352239638</x:v>
      </x:c>
      <x:c r="C526" s="46" t="n">
        <x:f>B526^2</x:f>
        <x:v>0.3138975820129116</x:v>
      </x:c>
      <x:c r="D526" s="47" t="n">
        <x:f>'Datos'!$B$26^3/3</x:f>
        <x:v>0.3333333333333333</x:v>
      </x:c>
      <x:c r="E526" s="46" t="n">
        <x:f>D526*(C526-1)</x:f>
        <x:v>-0.22870080599569612</x:v>
      </x:c>
      <x:c r="F526" s="2"/>
      <x:c r="G526" s="2"/>
      <x:c r="H526" s="2"/>
    </x:row>
    <x:row r="527" ht="22" customHeight="1">
      <x:c r="A527" s="2" t="n">
        <x:v>521</x:v>
      </x:c>
      <x:c r="B527" s="79" t="n">
        <x:v>-0.12468499038222305</x:v>
      </x:c>
      <x:c r="C527" s="46" t="n">
        <x:f>B527^2</x:f>
        <x:v>0.015546346826615055</x:v>
      </x:c>
      <x:c r="D527" s="47" t="n">
        <x:f>'Datos'!$B$26^3/3</x:f>
        <x:v>0.3333333333333333</x:v>
      </x:c>
      <x:c r="E527" s="46" t="n">
        <x:f>D527*(C527-1)</x:f>
        <x:v>-0.32815121772446165</x:v>
      </x:c>
      <x:c r="F527" s="2"/>
      <x:c r="G527" s="2"/>
      <x:c r="H527" s="2"/>
    </x:row>
    <x:row r="528" ht="22" customHeight="1">
      <x:c r="A528" s="2" t="n">
        <x:v>522</x:v>
      </x:c>
      <x:c r="B528" s="79" t="n">
        <x:v>-0.22347487453203338</x:v>
      </x:c>
      <x:c r="C528" s="46" t="n">
        <x:f>B528^2</x:f>
        <x:v>0.04994101954710806</x:v>
      </x:c>
      <x:c r="D528" s="47" t="n">
        <x:f>'Datos'!$B$26^3/3</x:f>
        <x:v>0.3333333333333333</x:v>
      </x:c>
      <x:c r="E528" s="46" t="n">
        <x:f>D528*(C528-1)</x:f>
        <x:v>-0.31668632681763065</x:v>
      </x:c>
      <x:c r="F528" s="2"/>
      <x:c r="G528" s="2"/>
      <x:c r="H528" s="2"/>
    </x:row>
    <x:row r="529" ht="22" customHeight="1">
      <x:c r="A529" s="2" t="n">
        <x:v>523</x:v>
      </x:c>
      <x:c r="B529" s="79" t="n">
        <x:v>-1.2877800755891524</x:v>
      </x:c>
      <x:c r="C529" s="46" t="n">
        <x:f>B529^2</x:f>
        <x:v>1.6583775230844031</x:v>
      </x:c>
      <x:c r="D529" s="47" t="n">
        <x:f>'Datos'!$B$26^3/3</x:f>
        <x:v>0.3333333333333333</x:v>
      </x:c>
      <x:c r="E529" s="46" t="n">
        <x:f>D529*(C529-1)</x:f>
        <x:v>0.2194591743614677</x:v>
      </x:c>
      <x:c r="F529" s="2"/>
      <x:c r="G529" s="2"/>
      <x:c r="H529" s="2"/>
    </x:row>
    <x:row r="530" ht="22" customHeight="1">
      <x:c r="A530" s="2" t="n">
        <x:v>524</x:v>
      </x:c>
      <x:c r="B530" s="79" t="n">
        <x:v>0.07007158819812469</x:v>
      </x:c>
      <x:c r="C530" s="46" t="n">
        <x:f>B530^2</x:f>
        <x:v>0.004910027472607567</x:v>
      </x:c>
      <x:c r="D530" s="47" t="n">
        <x:f>'Datos'!$B$26^3/3</x:f>
        <x:v>0.3333333333333333</x:v>
      </x:c>
      <x:c r="E530" s="46" t="n">
        <x:f>D530*(C530-1)</x:f>
        <x:v>-0.3316966575091308</x:v>
      </x:c>
      <x:c r="F530" s="2"/>
      <x:c r="G530" s="2"/>
      <x:c r="H530" s="2"/>
    </x:row>
    <x:row r="531" ht="22" customHeight="1">
      <x:c r="A531" s="2" t="n">
        <x:v>525</x:v>
      </x:c>
      <x:c r="B531" s="79" t="n">
        <x:v>1.6130925546923314</x:v>
      </x:c>
      <x:c r="C531" s="46" t="n">
        <x:f>B531^2</x:f>
        <x:v>2.602067590003832</x:v>
      </x:c>
      <x:c r="D531" s="47" t="n">
        <x:f>'Datos'!$B$26^3/3</x:f>
        <x:v>0.3333333333333333</x:v>
      </x:c>
      <x:c r="E531" s="46" t="n">
        <x:f>D531*(C531-1)</x:f>
        <x:v>0.5340225300012773</x:v>
      </x:c>
      <x:c r="F531" s="2"/>
      <x:c r="G531" s="2"/>
      <x:c r="H531" s="2"/>
    </x:row>
    <x:row r="532" ht="22" customHeight="1">
      <x:c r="A532" s="2" t="n">
        <x:v>526</x:v>
      </x:c>
      <x:c r="B532" s="79" t="n">
        <x:v>-1.6217501374914471</x:v>
      </x:c>
      <x:c r="C532" s="46" t="n">
        <x:f>B532^2</x:f>
        <x:v>2.6300735084535276</x:v>
      </x:c>
      <x:c r="D532" s="47" t="n">
        <x:f>'Datos'!$B$26^3/3</x:f>
        <x:v>0.3333333333333333</x:v>
      </x:c>
      <x:c r="E532" s="46" t="n">
        <x:f>D532*(C532-1)</x:f>
        <x:v>0.5433578361511758</x:v>
      </x:c>
      <x:c r="F532" s="2"/>
      <x:c r="G532" s="2"/>
      <x:c r="H532" s="2"/>
    </x:row>
    <x:row r="533" ht="22" customHeight="1">
      <x:c r="A533" s="2" t="n">
        <x:v>527</x:v>
      </x:c>
      <x:c r="B533" s="79" t="n">
        <x:v>0.25619831873501125</x:v>
      </x:c>
      <x:c r="C533" s="46" t="n">
        <x:f>B533^2</x:f>
        <x:v>0.06563757852264641</x:v>
      </x:c>
      <x:c r="D533" s="47" t="n">
        <x:f>'Datos'!$B$26^3/3</x:f>
        <x:v>0.3333333333333333</x:v>
      </x:c>
      <x:c r="E533" s="46" t="n">
        <x:f>D533*(C533-1)</x:f>
        <x:v>-0.3114541404924512</x:v>
      </x:c>
      <x:c r="F533" s="2"/>
      <x:c r="G533" s="2"/>
      <x:c r="H533" s="2"/>
    </x:row>
    <x:row r="534" ht="22" customHeight="1">
      <x:c r="A534" s="2" t="n">
        <x:v>528</x:v>
      </x:c>
      <x:c r="B534" s="79" t="n">
        <x:v>0.31494206253421675</x:v>
      </x:c>
      <x:c r="C534" s="46" t="n">
        <x:f>B534^2</x:f>
        <x:v>0.0991885027533065</x:v>
      </x:c>
      <x:c r="D534" s="47" t="n">
        <x:f>'Datos'!$B$26^3/3</x:f>
        <x:v>0.3333333333333333</x:v>
      </x:c>
      <x:c r="E534" s="46" t="n">
        <x:f>D534*(C534-1)</x:f>
        <x:v>-0.30027049908223113</x:v>
      </x:c>
      <x:c r="F534" s="2"/>
      <x:c r="G534" s="2"/>
      <x:c r="H534" s="2"/>
    </x:row>
    <x:row r="535" ht="22" customHeight="1">
      <x:c r="A535" s="2" t="n">
        <x:v>529</x:v>
      </x:c>
      <x:c r="B535" s="79" t="n">
        <x:v>0.34832591414547576</x:v>
      </x:c>
      <x:c r="C535" s="46" t="n">
        <x:f>B535^2</x:f>
        <x:v>0.12133094246528135</x:v>
      </x:c>
      <x:c r="D535" s="47" t="n">
        <x:f>'Datos'!$B$26^3/3</x:f>
        <x:v>0.3333333333333333</x:v>
      </x:c>
      <x:c r="E535" s="46" t="n">
        <x:f>D535*(C535-1)</x:f>
        <x:v>-0.2928896858449062</x:v>
      </x:c>
      <x:c r="F535" s="2"/>
      <x:c r="G535" s="2"/>
      <x:c r="H535" s="2"/>
    </x:row>
    <x:row r="536" ht="22" customHeight="1">
      <x:c r="A536" s="2" t="n">
        <x:v>530</x:v>
      </x:c>
      <x:c r="B536" s="79" t="n">
        <x:v>0.8143583098223639</x:v>
      </x:c>
      <x:c r="C536" s="46" t="n">
        <x:f>B536^2</x:f>
        <x:v>0.6631794567767373</x:v>
      </x:c>
      <x:c r="D536" s="47" t="n">
        <x:f>'Datos'!$B$26^3/3</x:f>
        <x:v>0.3333333333333333</x:v>
      </x:c>
      <x:c r="E536" s="46" t="n">
        <x:f>D536*(C536-1)</x:f>
        <x:v>-0.11227351440775424</x:v>
      </x:c>
      <x:c r="F536" s="2"/>
      <x:c r="G536" s="2"/>
      <x:c r="H536" s="2"/>
    </x:row>
    <x:row r="537" ht="22" customHeight="1">
      <x:c r="A537" s="2" t="n">
        <x:v>531</x:v>
      </x:c>
      <x:c r="B537" s="79" t="n">
        <x:v>-0.8718219005254538</x:v>
      </x:c>
      <x:c r="C537" s="46" t="n">
        <x:f>B537^2</x:f>
        <x:v>0.7600734262358143</x:v>
      </x:c>
      <x:c r="D537" s="47" t="n">
        <x:f>'Datos'!$B$26^3/3</x:f>
        <x:v>0.3333333333333333</x:v>
      </x:c>
      <x:c r="E537" s="46" t="n">
        <x:f>D537*(C537-1)</x:f>
        <x:v>-0.0799755245880619</x:v>
      </x:c>
      <x:c r="F537" s="2"/>
      <x:c r="G537" s="2"/>
      <x:c r="H537" s="2"/>
    </x:row>
    <x:row r="538" ht="22" customHeight="1">
      <x:c r="A538" s="2" t="n">
        <x:v>532</x:v>
      </x:c>
      <x:c r="B538" s="79" t="n">
        <x:v>-0.3034462861578848</x:v>
      </x:c>
      <x:c r="C538" s="46" t="n">
        <x:f>B538^2</x:f>
        <x:v>0.09207964858301293</x:v>
      </x:c>
      <x:c r="D538" s="47" t="n">
        <x:f>'Datos'!$B$26^3/3</x:f>
        <x:v>0.3333333333333333</x:v>
      </x:c>
      <x:c r="E538" s="46" t="n">
        <x:f>D538*(C538-1)</x:f>
        <x:v>-0.3026401171389957</x:v>
      </x:c>
      <x:c r="F538" s="2"/>
      <x:c r="G538" s="2"/>
      <x:c r="H538" s="2"/>
    </x:row>
    <x:row r="539" ht="22" customHeight="1">
      <x:c r="A539" s="2" t="n">
        <x:v>533</x:v>
      </x:c>
      <x:c r="B539" s="79" t="n">
        <x:v>0.17513596514460014</x:v>
      </x:c>
      <x:c r="C539" s="46" t="n">
        <x:f>B539^2</x:f>
        <x:v>0.030672606287130595</x:v>
      </x:c>
      <x:c r="D539" s="47" t="n">
        <x:f>'Datos'!$B$26^3/3</x:f>
        <x:v>0.3333333333333333</x:v>
      </x:c>
      <x:c r="E539" s="46" t="n">
        <x:f>D539*(C539-1)</x:f>
        <x:v>-0.3231091312376231</x:v>
      </x:c>
      <x:c r="F539" s="2"/>
      <x:c r="G539" s="2"/>
      <x:c r="H539" s="2"/>
    </x:row>
    <x:row r="540" ht="22" customHeight="1">
      <x:c r="A540" s="2" t="n">
        <x:v>534</x:v>
      </x:c>
      <x:c r="B540" s="79" t="n">
        <x:v>-0.4937329035091009</x:v>
      </x:c>
      <x:c r="C540" s="46" t="n">
        <x:f>B540^2</x:f>
        <x:v>0.24377218000752712</x:v>
      </x:c>
      <x:c r="D540" s="47" t="n">
        <x:f>'Datos'!$B$26^3/3</x:f>
        <x:v>0.3333333333333333</x:v>
      </x:c>
      <x:c r="E540" s="46" t="n">
        <x:f>D540*(C540-1)</x:f>
        <x:v>-0.25207593999749095</x:v>
      </x:c>
      <x:c r="F540" s="2"/>
      <x:c r="G540" s="2"/>
      <x:c r="H540" s="2"/>
    </x:row>
    <x:row r="541" ht="22" customHeight="1">
      <x:c r="A541" s="2" t="n">
        <x:v>535</x:v>
      </x:c>
      <x:c r="B541" s="79" t="n">
        <x:v>-0.8492085888937884</x:v>
      </x:c>
      <x:c r="C541" s="46" t="n">
        <x:f>B541^2</x:f>
        <x:v>0.7211552274509793</x:v>
      </x:c>
      <x:c r="D541" s="47" t="n">
        <x:f>'Datos'!$B$26^3/3</x:f>
        <x:v>0.3333333333333333</x:v>
      </x:c>
      <x:c r="E541" s="46" t="n">
        <x:f>D541*(C541-1)</x:f>
        <x:v>-0.09294825751634024</x:v>
      </x:c>
      <x:c r="F541" s="2"/>
      <x:c r="G541" s="2"/>
      <x:c r="H541" s="2"/>
    </x:row>
    <x:row r="542" ht="22" customHeight="1">
      <x:c r="A542" s="2" t="n">
        <x:v>536</x:v>
      </x:c>
      <x:c r="B542" s="79" t="n">
        <x:v>0.24470012578438335</x:v>
      </x:c>
      <x:c r="C542" s="46" t="n">
        <x:f>B542^2</x:f>
        <x:v>0.059878151558893034</x:v>
      </x:c>
      <x:c r="D542" s="47" t="n">
        <x:f>'Datos'!$B$26^3/3</x:f>
        <x:v>0.3333333333333333</x:v>
      </x:c>
      <x:c r="E542" s="46" t="n">
        <x:f>D542*(C542-1)</x:f>
        <x:v>-0.31337394948036895</x:v>
      </x:c>
      <x:c r="F542" s="2"/>
      <x:c r="G542" s="2"/>
      <x:c r="H542" s="2"/>
    </x:row>
    <x:row r="543" ht="22" customHeight="1">
      <x:c r="A543" s="2" t="n">
        <x:v>537</x:v>
      </x:c>
      <x:c r="B543" s="79" t="n">
        <x:v>-0.37103264198019226</x:v>
      </x:c>
      <x:c r="C543" s="46" t="n">
        <x:f>B543^2</x:f>
        <x:v>0.13766522141480153</x:v>
      </x:c>
      <x:c r="D543" s="47" t="n">
        <x:f>'Datos'!$B$26^3/3</x:f>
        <x:v>0.3333333333333333</x:v>
      </x:c>
      <x:c r="E543" s="46" t="n">
        <x:f>D543*(C543-1)</x:f>
        <x:v>-0.2874449261950661</x:v>
      </x:c>
      <x:c r="F543" s="2"/>
      <x:c r="G543" s="2"/>
      <x:c r="H543" s="2"/>
    </x:row>
    <x:row r="544" ht="22" customHeight="1">
      <x:c r="A544" s="2" t="n">
        <x:v>538</x:v>
      </x:c>
      <x:c r="B544" s="79" t="n">
        <x:v>0.21685521404722832</x:v>
      </x:c>
      <x:c r="C544" s="46" t="n">
        <x:f>B544^2</x:f>
        <x:v>0.04702618385946921</x:v>
      </x:c>
      <x:c r="D544" s="47" t="n">
        <x:f>'Datos'!$B$26^3/3</x:f>
        <x:v>0.3333333333333333</x:v>
      </x:c>
      <x:c r="E544" s="46" t="n">
        <x:f>D544*(C544-1)</x:f>
        <x:v>-0.3176579387135102</x:v>
      </x:c>
      <x:c r="F544" s="2"/>
      <x:c r="G544" s="2"/>
      <x:c r="H544" s="2"/>
    </x:row>
    <x:row r="545" ht="22" customHeight="1">
      <x:c r="A545" s="2" t="n">
        <x:v>539</x:v>
      </x:c>
      <x:c r="B545" s="79" t="n">
        <x:v>-0.03366922618381706</x:v>
      </x:c>
      <x:c r="C545" s="46" t="n">
        <x:f>B545^2</x:f>
        <x:v>0.0011336167918170326</x:v>
      </x:c>
      <x:c r="D545" s="47" t="n">
        <x:f>'Datos'!$B$26^3/3</x:f>
        <x:v>0.3333333333333333</x:v>
      </x:c>
      <x:c r="E545" s="46" t="n">
        <x:f>D545*(C545-1)</x:f>
        <x:v>-0.33295546106939433</x:v>
      </x:c>
      <x:c r="F545" s="2"/>
      <x:c r="G545" s="2"/>
      <x:c r="H545" s="2"/>
    </x:row>
    <x:row r="546" ht="22" customHeight="1">
      <x:c r="A546" s="2" t="n">
        <x:v>540</x:v>
      </x:c>
      <x:c r="B546" s="79" t="n">
        <x:v>0.6557688688756781</x:v>
      </x:c>
      <x:c r="C546" s="46" t="n">
        <x:f>B546^2</x:f>
        <x:v>0.4300328093864863</x:v>
      </x:c>
      <x:c r="D546" s="47" t="n">
        <x:f>'Datos'!$B$26^3/3</x:f>
        <x:v>0.3333333333333333</x:v>
      </x:c>
      <x:c r="E546" s="46" t="n">
        <x:f>D546*(C546-1)</x:f>
        <x:v>-0.1899890635378379</x:v>
      </x:c>
      <x:c r="F546" s="2"/>
      <x:c r="G546" s="2"/>
      <x:c r="H546" s="2"/>
    </x:row>
    <x:row r="547" ht="22" customHeight="1">
      <x:c r="A547" s="2" t="n">
        <x:v>541</x:v>
      </x:c>
      <x:c r="B547" s="79" t="n">
        <x:v>-0.10570050974899406</x:v>
      </x:c>
      <x:c r="C547" s="46" t="n">
        <x:f>B547^2</x:f>
        <x:v>0.011172597761197188</x:v>
      </x:c>
      <x:c r="D547" s="47" t="n">
        <x:f>'Datos'!$B$26^3/3</x:f>
        <x:v>0.3333333333333333</x:v>
      </x:c>
      <x:c r="E547" s="46" t="n">
        <x:f>D547*(C547-1)</x:f>
        <x:v>-0.3296091340796009</x:v>
      </x:c>
      <x:c r="F547" s="2"/>
      <x:c r="G547" s="2"/>
      <x:c r="H547" s="2"/>
    </x:row>
    <x:row r="548" ht="22" customHeight="1">
      <x:c r="A548" s="2" t="n">
        <x:v>542</x:v>
      </x:c>
      <x:c r="B548" s="79" t="n">
        <x:v>-1.5525843072262733</x:v>
      </x:c>
      <x:c r="C548" s="46" t="n">
        <x:f>B548^2</x:f>
        <x:v>2.410518031045287</x:v>
      </x:c>
      <x:c r="D548" s="47" t="n">
        <x:f>'Datos'!$B$26^3/3</x:f>
        <x:v>0.3333333333333333</x:v>
      </x:c>
      <x:c r="E548" s="46" t="n">
        <x:f>D548*(C548-1)</x:f>
        <x:v>0.47017267701509563</x:v>
      </x:c>
      <x:c r="F548" s="2"/>
      <x:c r="G548" s="2"/>
      <x:c r="H548" s="2"/>
    </x:row>
    <x:row r="549" ht="22" customHeight="1">
      <x:c r="A549" s="2" t="n">
        <x:v>543</x:v>
      </x:c>
      <x:c r="B549" s="79" t="n">
        <x:v>0.8697245731422907</x:v>
      </x:c>
      <x:c r="C549" s="46" t="n">
        <x:f>B549^2</x:f>
        <x:v>0.7564208331275397</x:v>
      </x:c>
      <x:c r="D549" s="47" t="n">
        <x:f>'Datos'!$B$26^3/3</x:f>
        <x:v>0.3333333333333333</x:v>
      </x:c>
      <x:c r="E549" s="46" t="n">
        <x:f>D549*(C549-1)</x:f>
        <x:v>-0.08119305562415342</x:v>
      </x:c>
      <x:c r="F549" s="2"/>
      <x:c r="G549" s="2"/>
      <x:c r="H549" s="2"/>
    </x:row>
    <x:row r="550" ht="22" customHeight="1">
      <x:c r="A550" s="2" t="n">
        <x:v>544</x:v>
      </x:c>
      <x:c r="B550" s="79" t="n">
        <x:v>-0.745847769349852</x:v>
      </x:c>
      <x:c r="C550" s="46" t="n">
        <x:f>B550^2</x:f>
        <x:v>0.55628889504415</x:v>
      </x:c>
      <x:c r="D550" s="47" t="n">
        <x:f>'Datos'!$B$26^3/3</x:f>
        <x:v>0.3333333333333333</x:v>
      </x:c>
      <x:c r="E550" s="46" t="n">
        <x:f>D550*(C550-1)</x:f>
        <x:v>-0.14790370165195</x:v>
      </x:c>
      <x:c r="F550" s="2"/>
      <x:c r="G550" s="2"/>
      <x:c r="H550" s="2"/>
    </x:row>
    <x:row r="551" ht="22" customHeight="1">
      <x:c r="A551" s="2" t="n">
        <x:v>545</x:v>
      </x:c>
      <x:c r="B551" s="79" t="n">
        <x:v>0.08736568289223326</x:v>
      </x:c>
      <x:c r="C551" s="46" t="n">
        <x:f>B551^2</x:f>
        <x:v>0.0076327625472262595</x:v>
      </x:c>
      <x:c r="D551" s="47" t="n">
        <x:f>'Datos'!$B$26^3/3</x:f>
        <x:v>0.3333333333333333</x:v>
      </x:c>
      <x:c r="E551" s="46" t="n">
        <x:f>D551*(C551-1)</x:f>
        <x:v>-0.3307890791509246</x:v>
      </x:c>
      <x:c r="F551" s="2"/>
      <x:c r="G551" s="2"/>
      <x:c r="H551" s="2"/>
    </x:row>
    <x:row r="552" ht="22" customHeight="1">
      <x:c r="A552" s="2" t="n">
        <x:v>546</x:v>
      </x:c>
      <x:c r="B552" s="79" t="n">
        <x:v>2.0364356598133484</x:v>
      </x:c>
      <x:c r="C552" s="46" t="n">
        <x:f>B552^2</x:f>
        <x:v>4.147070196559428</x:v>
      </x:c>
      <x:c r="D552" s="47" t="n">
        <x:f>'Datos'!$B$26^3/3</x:f>
        <x:v>0.3333333333333333</x:v>
      </x:c>
      <x:c r="E552" s="46" t="n">
        <x:f>D552*(C552-1)</x:f>
        <x:v>1.0490233988531426</x:v>
      </x:c>
      <x:c r="F552" s="2"/>
      <x:c r="G552" s="2"/>
      <x:c r="H552" s="2"/>
    </x:row>
    <x:row r="553" ht="22" customHeight="1">
      <x:c r="A553" s="2" t="n">
        <x:v>547</x:v>
      </x:c>
      <x:c r="B553" s="79" t="n">
        <x:v>0.3548840838387879</x:v>
      </x:c>
      <x:c r="C553" s="46" t="n">
        <x:f>B553^2</x:f>
        <x:v>0.12594271296209583</x:v>
      </x:c>
      <x:c r="D553" s="47" t="n">
        <x:f>'Datos'!$B$26^3/3</x:f>
        <x:v>0.3333333333333333</x:v>
      </x:c>
      <x:c r="E553" s="46" t="n">
        <x:f>D553*(C553-1)</x:f>
        <x:v>-0.2913524290126347</x:v>
      </x:c>
      <x:c r="F553" s="2"/>
      <x:c r="G553" s="2"/>
      <x:c r="H553" s="2"/>
    </x:row>
    <x:row r="554" ht="22" customHeight="1">
      <x:c r="A554" s="2" t="n">
        <x:v>548</x:v>
      </x:c>
      <x:c r="B554" s="79" t="n">
        <x:v>-0.04071588121824043</x:v>
      </x:c>
      <x:c r="C554" s="46" t="n">
        <x:f>B554^2</x:f>
        <x:v>0.0016577829833778637</x:v>
      </x:c>
      <x:c r="D554" s="47" t="n">
        <x:f>'Datos'!$B$26^3/3</x:f>
        <x:v>0.3333333333333333</x:v>
      </x:c>
      <x:c r="E554" s="46" t="n">
        <x:f>D554*(C554-1)</x:f>
        <x:v>-0.3327807390055407</x:v>
      </x:c>
      <x:c r="F554" s="2"/>
      <x:c r="G554" s="2"/>
      <x:c r="H554" s="2"/>
    </x:row>
    <x:row r="555" ht="22" customHeight="1">
      <x:c r="A555" s="2" t="n">
        <x:v>549</x:v>
      </x:c>
      <x:c r="B555" s="79" t="n">
        <x:v>1.5807447355768558</x:v>
      </x:c>
      <x:c r="C555" s="46" t="n">
        <x:f>B555^2</x:f>
        <x:v>2.498753919053944</x:v>
      </x:c>
      <x:c r="D555" s="47" t="n">
        <x:f>'Datos'!$B$26^3/3</x:f>
        <x:v>0.3333333333333333</x:v>
      </x:c>
      <x:c r="E555" s="46" t="n">
        <x:f>D555*(C555-1)</x:f>
        <x:v>0.49958463968464795</x:v>
      </x:c>
      <x:c r="F555" s="2"/>
      <x:c r="G555" s="2"/>
      <x:c r="H555" s="2"/>
    </x:row>
    <x:row r="556" ht="22" customHeight="1">
      <x:c r="A556" s="2" t="n">
        <x:v>550</x:v>
      </x:c>
      <x:c r="B556" s="79" t="n">
        <x:v>0.03210570684259026</x:v>
      </x:c>
      <x:c r="C556" s="46" t="n">
        <x:f>B556^2</x:f>
        <x:v>0.001030776411862347</x:v>
      </x:c>
      <x:c r="D556" s="47" t="n">
        <x:f>'Datos'!$B$26^3/3</x:f>
        <x:v>0.3333333333333333</x:v>
      </x:c>
      <x:c r="E556" s="46" t="n">
        <x:f>D556*(C556-1)</x:f>
        <x:v>-0.33298974119604585</x:v>
      </x:c>
      <x:c r="F556" s="2"/>
      <x:c r="G556" s="2"/>
      <x:c r="H556" s="2"/>
    </x:row>
    <x:row r="557" ht="22" customHeight="1">
      <x:c r="A557" s="2" t="n">
        <x:v>551</x:v>
      </x:c>
      <x:c r="B557" s="79" t="n">
        <x:v>-0.2230360208854063</x:v>
      </x:c>
      <x:c r="C557" s="46" t="n">
        <x:f>B557^2</x:f>
        <x:v>0.049745066612395396</x:v>
      </x:c>
      <x:c r="D557" s="47" t="n">
        <x:f>'Datos'!$B$26^3/3</x:f>
        <x:v>0.3333333333333333</x:v>
      </x:c>
      <x:c r="E557" s="46" t="n">
        <x:f>D557*(C557-1)</x:f>
        <x:v>-0.31675164446253484</x:v>
      </x:c>
      <x:c r="F557" s="2"/>
      <x:c r="G557" s="2"/>
      <x:c r="H557" s="2"/>
    </x:row>
    <x:row r="558" ht="22" customHeight="1">
      <x:c r="A558" s="2" t="n">
        <x:v>552</x:v>
      </x:c>
      <x:c r="B558" s="79" t="n">
        <x:v>-1.2900929989216985</x:v>
      </x:c>
      <x:c r="C558" s="46" t="n">
        <x:f>B558^2</x:f>
        <x:v>1.6643399458667816</x:v>
      </x:c>
      <x:c r="D558" s="47" t="n">
        <x:f>'Datos'!$B$26^3/3</x:f>
        <x:v>0.3333333333333333</x:v>
      </x:c>
      <x:c r="E558" s="46" t="n">
        <x:f>D558*(C558-1)</x:f>
        <x:v>0.22144664862226052</x:v>
      </x:c>
      <x:c r="F558" s="2"/>
      <x:c r="G558" s="2"/>
      <x:c r="H558" s="2"/>
    </x:row>
    <x:row r="559" ht="22" customHeight="1">
      <x:c r="A559" s="2" t="n">
        <x:v>553</x:v>
      </x:c>
      <x:c r="B559" s="79" t="n">
        <x:v>-0.500038141451792</x:v>
      </x:c>
      <x:c r="C559" s="46" t="n">
        <x:f>B559^2</x:f>
        <x:v>0.2500381429065624</x:v>
      </x:c>
      <x:c r="D559" s="47" t="n">
        <x:f>'Datos'!$B$26^3/3</x:f>
        <x:v>0.3333333333333333</x:v>
      </x:c>
      <x:c r="E559" s="46" t="n">
        <x:f>D559*(C559-1)</x:f>
        <x:v>-0.24998728569781253</x:v>
      </x:c>
      <x:c r="F559" s="2"/>
      <x:c r="G559" s="2"/>
      <x:c r="H559" s="2"/>
    </x:row>
    <x:row r="560" ht="22" customHeight="1">
      <x:c r="A560" s="2" t="n">
        <x:v>554</x:v>
      </x:c>
      <x:c r="B560" s="79" t="n">
        <x:v>1.1441876185243578</x:v>
      </x:c>
      <x:c r="C560" s="46" t="n">
        <x:f>B560^2</x:f>
        <x:v>1.3091653063844413</x:v>
      </x:c>
      <x:c r="D560" s="47" t="n">
        <x:f>'Datos'!$B$26^3/3</x:f>
        <x:v>0.3333333333333333</x:v>
      </x:c>
      <x:c r="E560" s="46" t="n">
        <x:f>D560*(C560-1)</x:f>
        <x:v>0.10305510212814709</x:v>
      </x:c>
      <x:c r="F560" s="2"/>
      <x:c r="G560" s="2"/>
      <x:c r="H560" s="2"/>
    </x:row>
    <x:row r="561" ht="22" customHeight="1">
      <x:c r="A561" s="2" t="n">
        <x:v>555</x:v>
      </x:c>
      <x:c r="B561" s="79" t="n">
        <x:v>-1.7828489282709816</x:v>
      </x:c>
      <x:c r="C561" s="46" t="n">
        <x:f>B561^2</x:f>
        <x:v>3.1785503010369878</x:v>
      </x:c>
      <x:c r="D561" s="47" t="n">
        <x:f>'Datos'!$B$26^3/3</x:f>
        <x:v>0.3333333333333333</x:v>
      </x:c>
      <x:c r="E561" s="46" t="n">
        <x:f>D561*(C561-1)</x:f>
        <x:v>0.7261834336789958</x:v>
      </x:c>
      <x:c r="F561" s="2"/>
      <x:c r="G561" s="2"/>
      <x:c r="H561" s="2"/>
    </x:row>
    <x:row r="562" ht="22" customHeight="1">
      <x:c r="A562" s="2" t="n">
        <x:v>556</x:v>
      </x:c>
      <x:c r="B562" s="79" t="n">
        <x:v>-1.3961915070220958</x:v>
      </x:c>
      <x:c r="C562" s="46" t="n">
        <x:f>B562^2</x:f>
        <x:v>1.949350724280631</x:v>
      </x:c>
      <x:c r="D562" s="47" t="n">
        <x:f>'Datos'!$B$26^3/3</x:f>
        <x:v>0.3333333333333333</x:v>
      </x:c>
      <x:c r="E562" s="46" t="n">
        <x:f>D562*(C562-1)</x:f>
        <x:v>0.31645024142687694</x:v>
      </x:c>
      <x:c r="F562" s="2"/>
      <x:c r="G562" s="2"/>
      <x:c r="H562" s="2"/>
    </x:row>
    <x:row r="563" ht="22" customHeight="1">
      <x:c r="A563" s="2" t="n">
        <x:v>557</x:v>
      </x:c>
      <x:c r="B563" s="79" t="n">
        <x:v>1.519724549660045</x:v>
      </x:c>
      <x:c r="C563" s="46" t="n">
        <x:f>B563^2</x:f>
        <x:v>2.309562706839427</x:v>
      </x:c>
      <x:c r="D563" s="47" t="n">
        <x:f>'Datos'!$B$26^3/3</x:f>
        <x:v>0.3333333333333333</x:v>
      </x:c>
      <x:c r="E563" s="46" t="n">
        <x:f>D563*(C563-1)</x:f>
        <x:v>0.436520902279809</x:v>
      </x:c>
      <x:c r="F563" s="2"/>
      <x:c r="G563" s="2"/>
      <x:c r="H563" s="2"/>
    </x:row>
    <x:row r="564" ht="22" customHeight="1">
      <x:c r="A564" s="2" t="n">
        <x:v>558</x:v>
      </x:c>
      <x:c r="B564" s="79" t="n">
        <x:v>-0.8723520732078748</x:v>
      </x:c>
      <x:c r="C564" s="46" t="n">
        <x:f>B564^2</x:f>
        <x:v>0.7609981396300773</x:v>
      </x:c>
      <x:c r="D564" s="47" t="n">
        <x:f>'Datos'!$B$26^3/3</x:f>
        <x:v>0.3333333333333333</x:v>
      </x:c>
      <x:c r="E564" s="46" t="n">
        <x:f>D564*(C564-1)</x:f>
        <x:v>-0.07966728678997421</x:v>
      </x:c>
      <x:c r="F564" s="2"/>
      <x:c r="G564" s="2"/>
      <x:c r="H564" s="2"/>
    </x:row>
    <x:row r="565" ht="22" customHeight="1">
      <x:c r="A565" s="2" t="n">
        <x:v>559</x:v>
      </x:c>
      <x:c r="B565" s="79" t="n">
        <x:v>0.2988688301863589</x:v>
      </x:c>
      <x:c r="C565" s="46" t="n">
        <x:f>B565^2</x:f>
        <x:v>0.08932257765696264</x:v>
      </x:c>
      <x:c r="D565" s="47" t="n">
        <x:f>'Datos'!$B$26^3/3</x:f>
        <x:v>0.3333333333333333</x:v>
      </x:c>
      <x:c r="E565" s="46" t="n">
        <x:f>D565*(C565-1)</x:f>
        <x:v>-0.3035591407810124</x:v>
      </x:c>
      <x:c r="F565" s="2"/>
      <x:c r="G565" s="2"/>
      <x:c r="H565" s="2"/>
    </x:row>
    <x:row r="566" ht="22" customHeight="1">
      <x:c r="A566" s="2" t="n">
        <x:v>560</x:v>
      </x:c>
      <x:c r="B566" s="79" t="n">
        <x:v>1.097331915929549</x:v>
      </x:c>
      <x:c r="C566" s="46" t="n">
        <x:f>B566^2</x:f>
        <x:v>1.2041373337176147</x:v>
      </x:c>
      <x:c r="D566" s="47" t="n">
        <x:f>'Datos'!$B$26^3/3</x:f>
        <x:v>0.3333333333333333</x:v>
      </x:c>
      <x:c r="E566" s="46" t="n">
        <x:f>D566*(C566-1)</x:f>
        <x:v>0.06804577790587155</x:v>
      </x:c>
      <x:c r="F566" s="2"/>
      <x:c r="G566" s="2"/>
      <x:c r="H566" s="2"/>
    </x:row>
    <x:row r="567" ht="22" customHeight="1">
      <x:c r="A567" s="2" t="n">
        <x:v>561</x:v>
      </x:c>
      <x:c r="B567" s="79" t="n">
        <x:v>1.7950408516727945</x:v>
      </x:c>
      <x:c r="C567" s="46" t="n">
        <x:f>B567^2</x:f>
        <x:v>3.2221716591741916</x:v>
      </x:c>
      <x:c r="D567" s="47" t="n">
        <x:f>'Datos'!$B$26^3/3</x:f>
        <x:v>0.3333333333333333</x:v>
      </x:c>
      <x:c r="E567" s="46" t="n">
        <x:f>D567*(C567-1)</x:f>
        <x:v>0.7407238863913972</x:v>
      </x:c>
      <x:c r="F567" s="2"/>
      <x:c r="G567" s="2"/>
      <x:c r="H567" s="2"/>
    </x:row>
    <x:row r="568" ht="22" customHeight="1">
      <x:c r="A568" s="2" t="n">
        <x:v>562</x:v>
      </x:c>
      <x:c r="B568" s="79" t="n">
        <x:v>0.62896227692289</x:v>
      </x:c>
      <x:c r="C568" s="46" t="n">
        <x:f>B568^2</x:f>
        <x:v>0.39559354579202616</x:v>
      </x:c>
      <x:c r="D568" s="47" t="n">
        <x:f>'Datos'!$B$26^3/3</x:f>
        <x:v>0.3333333333333333</x:v>
      </x:c>
      <x:c r="E568" s="46" t="n">
        <x:f>D568*(C568-1)</x:f>
        <x:v>-0.20146881806932462</x:v>
      </x:c>
      <x:c r="F568" s="2"/>
      <x:c r="G568" s="2"/>
      <x:c r="H568" s="2"/>
    </x:row>
    <x:row r="569" ht="22" customHeight="1">
      <x:c r="A569" s="2" t="n">
        <x:v>563</x:v>
      </x:c>
      <x:c r="B569" s="79" t="n">
        <x:v>1.3684149544377484</x:v>
      </x:c>
      <x:c r="C569" s="46" t="n">
        <x:f>B569^2</x:f>
        <x:v>1.8725594875288651</x:v>
      </x:c>
      <x:c r="D569" s="47" t="n">
        <x:f>'Datos'!$B$26^3/3</x:f>
        <x:v>0.3333333333333333</x:v>
      </x:c>
      <x:c r="E569" s="46" t="n">
        <x:f>D569*(C569-1)</x:f>
        <x:v>0.2908531625096217</x:v>
      </x:c>
      <x:c r="F569" s="2"/>
      <x:c r="G569" s="2"/>
      <x:c r="H569" s="2"/>
    </x:row>
    <x:row r="570" ht="22" customHeight="1">
      <x:c r="A570" s="2" t="n">
        <x:v>564</x:v>
      </x:c>
      <x:c r="B570" s="79" t="n">
        <x:v>-0.5547807510747985</x:v>
      </x:c>
      <x:c r="C570" s="46" t="n">
        <x:f>B570^2</x:f>
        <x:v>0.30778168176311754</x:v>
      </x:c>
      <x:c r="D570" s="47" t="n">
        <x:f>'Datos'!$B$26^3/3</x:f>
        <x:v>0.3333333333333333</x:v>
      </x:c>
      <x:c r="E570" s="46" t="n">
        <x:f>D570*(C570-1)</x:f>
        <x:v>-0.23073943941229413</x:v>
      </x:c>
      <x:c r="F570" s="2"/>
      <x:c r="G570" s="2"/>
      <x:c r="H570" s="2"/>
    </x:row>
    <x:row r="571" ht="22" customHeight="1">
      <x:c r="A571" s="2" t="n">
        <x:v>565</x:v>
      </x:c>
      <x:c r="B571" s="79" t="n">
        <x:v>-0.43746869438862357</x:v>
      </x:c>
      <x:c r="C571" s="46" t="n">
        <x:f>B571^2</x:f>
        <x:v>0.19137885857008693</x:v>
      </x:c>
      <x:c r="D571" s="47" t="n">
        <x:f>'Datos'!$B$26^3/3</x:f>
        <x:v>0.3333333333333333</x:v>
      </x:c>
      <x:c r="E571" s="46" t="n">
        <x:f>D571*(C571-1)</x:f>
        <x:v>-0.26954038047663764</x:v>
      </x:c>
      <x:c r="F571" s="2"/>
      <x:c r="G571" s="2"/>
      <x:c r="H571" s="2"/>
    </x:row>
    <x:row r="572" ht="22" customHeight="1">
      <x:c r="A572" s="2" t="n">
        <x:v>566</x:v>
      </x:c>
      <x:c r="B572" s="79" t="n">
        <x:v>-0.2507183012329197</x:v>
      </x:c>
      <x:c r="C572" s="46" t="n">
        <x:f>B572^2</x:f>
        <x:v>0.06285966657312107</x:v>
      </x:c>
      <x:c r="D572" s="47" t="n">
        <x:f>'Datos'!$B$26^3/3</x:f>
        <x:v>0.3333333333333333</x:v>
      </x:c>
      <x:c r="E572" s="46" t="n">
        <x:f>D572*(C572-1)</x:f>
        <x:v>-0.31238011114229297</x:v>
      </x:c>
      <x:c r="F572" s="2"/>
      <x:c r="G572" s="2"/>
      <x:c r="H572" s="2"/>
    </x:row>
    <x:row r="573" ht="22" customHeight="1">
      <x:c r="A573" s="2" t="n">
        <x:v>567</x:v>
      </x:c>
      <x:c r="B573" s="79" t="n">
        <x:v>0.5122766536429674</x:v>
      </x:c>
      <x:c r="C573" s="46" t="n">
        <x:f>B573^2</x:f>
        <x:v>0.26242736986763676</x:v>
      </x:c>
      <x:c r="D573" s="47" t="n">
        <x:f>'Datos'!$B$26^3/3</x:f>
        <x:v>0.3333333333333333</x:v>
      </x:c>
      <x:c r="E573" s="46" t="n">
        <x:f>D573*(C573-1)</x:f>
        <x:v>-0.2458575433774544</x:v>
      </x:c>
      <x:c r="F573" s="2"/>
      <x:c r="G573" s="2"/>
      <x:c r="H573" s="2"/>
    </x:row>
    <x:row r="574" ht="22" customHeight="1">
      <x:c r="A574" s="2" t="n">
        <x:v>568</x:v>
      </x:c>
      <x:c r="B574" s="79" t="n">
        <x:v>-1.653820749313623</x:v>
      </x:c>
      <x:c r="C574" s="46" t="n">
        <x:f>B574^2</x:f>
        <x:v>2.7351230708602734</x:v>
      </x:c>
      <x:c r="D574" s="47" t="n">
        <x:f>'Datos'!$B$26^3/3</x:f>
        <x:v>0.3333333333333333</x:v>
      </x:c>
      <x:c r="E574" s="46" t="n">
        <x:f>D574*(C574-1)</x:f>
        <x:v>0.5783743569534244</x:v>
      </x:c>
      <x:c r="F574" s="2"/>
      <x:c r="G574" s="2"/>
      <x:c r="H574" s="2"/>
    </x:row>
    <x:row r="575" ht="22" customHeight="1">
      <x:c r="A575" s="2" t="n">
        <x:v>569</x:v>
      </x:c>
      <x:c r="B575" s="79" t="n">
        <x:v>0.4270123542836703</x:v>
      </x:c>
      <x:c r="C575" s="46" t="n">
        <x:f>B575^2</x:f>
        <x:v>0.18233955071088276</x:v>
      </x:c>
      <x:c r="D575" s="47" t="n">
        <x:f>'Datos'!$B$26^3/3</x:f>
        <x:v>0.3333333333333333</x:v>
      </x:c>
      <x:c r="E575" s="46" t="n">
        <x:f>D575*(C575-1)</x:f>
        <x:v>-0.2725534830963724</x:v>
      </x:c>
      <x:c r="F575" s="2"/>
      <x:c r="G575" s="2"/>
      <x:c r="H575" s="2"/>
    </x:row>
    <x:row r="576" ht="22" customHeight="1">
      <x:c r="A576" s="2" t="n">
        <x:v>570</x:v>
      </x:c>
      <x:c r="B576" s="79" t="n">
        <x:v>0.3672244055783787</x:v>
      </x:c>
      <x:c r="C576" s="46" t="n">
        <x:f>B576^2</x:f>
        <x:v>0.13485376405239358</x:v>
      </x:c>
      <x:c r="D576" s="47" t="n">
        <x:f>'Datos'!$B$26^3/3</x:f>
        <x:v>0.3333333333333333</x:v>
      </x:c>
      <x:c r="E576" s="46" t="n">
        <x:f>D576*(C576-1)</x:f>
        <x:v>-0.2883820786492021</x:v>
      </x:c>
      <x:c r="F576" s="2"/>
      <x:c r="G576" s="2"/>
      <x:c r="H576" s="2"/>
    </x:row>
    <x:row r="577" ht="22" customHeight="1">
      <x:c r="A577" s="2" t="n">
        <x:v>571</x:v>
      </x:c>
      <x:c r="B577" s="79" t="n">
        <x:v>-0.9768602282903046</x:v>
      </x:c>
      <x:c r="C577" s="46" t="n">
        <x:f>B577^2</x:f>
        <x:v>0.9542559056153861</x:v>
      </x:c>
      <x:c r="D577" s="47" t="n">
        <x:f>'Datos'!$B$26^3/3</x:f>
        <x:v>0.3333333333333333</x:v>
      </x:c>
      <x:c r="E577" s="46" t="n">
        <x:f>D577*(C577-1)</x:f>
        <x:v>-0.01524803146153797</x:v>
      </x:c>
      <x:c r="F577" s="2"/>
      <x:c r="G577" s="2"/>
      <x:c r="H577" s="2"/>
    </x:row>
    <x:row r="578" ht="22" customHeight="1">
      <x:c r="A578" s="2" t="n">
        <x:v>572</x:v>
      </x:c>
      <x:c r="B578" s="79" t="n">
        <x:v>-1.4805293912652207</x:v>
      </x:c>
      <x:c r="C578" s="46" t="n">
        <x:f>B578^2</x:f>
        <x:v>2.1919672784001647</x:v>
      </x:c>
      <x:c r="D578" s="47" t="n">
        <x:f>'Datos'!$B$26^3/3</x:f>
        <x:v>0.3333333333333333</x:v>
      </x:c>
      <x:c r="E578" s="46" t="n">
        <x:f>D578*(C578-1)</x:f>
        <x:v>0.3973224261333882</x:v>
      </x:c>
      <x:c r="F578" s="2"/>
      <x:c r="G578" s="2"/>
      <x:c r="H578" s="2"/>
    </x:row>
    <x:row r="579" ht="22" customHeight="1">
      <x:c r="A579" s="2" t="n">
        <x:v>573</x:v>
      </x:c>
      <x:c r="B579" s="79" t="n">
        <x:v>-2.5808036787676905</x:v>
      </x:c>
      <x:c r="C579" s="46" t="n">
        <x:f>B579^2</x:f>
        <x:v>6.6605476283408445</x:v>
      </x:c>
      <x:c r="D579" s="47" t="n">
        <x:f>'Datos'!$B$26^3/3</x:f>
        <x:v>0.3333333333333333</x:v>
      </x:c>
      <x:c r="E579" s="46" t="n">
        <x:f>D579*(C579-1)</x:f>
        <x:v>1.886849209446948</x:v>
      </x:c>
      <x:c r="F579" s="2"/>
      <x:c r="G579" s="2"/>
      <x:c r="H579" s="2"/>
    </x:row>
    <x:row r="580" ht="22" customHeight="1">
      <x:c r="A580" s="2" t="n">
        <x:v>574</x:v>
      </x:c>
      <x:c r="B580" s="79" t="n">
        <x:v>-1.7583516096807246</x:v>
      </x:c>
      <x:c r="C580" s="46" t="n">
        <x:f>B580^2</x:f>
        <x:v>3.0918003832667953</x:v>
      </x:c>
      <x:c r="D580" s="47" t="n">
        <x:f>'Datos'!$B$26^3/3</x:f>
        <x:v>0.3333333333333333</x:v>
      </x:c>
      <x:c r="E580" s="46" t="n">
        <x:f>D580*(C580-1)</x:f>
        <x:v>0.697266794422265</x:v>
      </x:c>
      <x:c r="F580" s="2"/>
      <x:c r="G580" s="2"/>
      <x:c r="H580" s="2"/>
    </x:row>
    <x:row r="581" ht="22" customHeight="1">
      <x:c r="A581" s="2" t="n">
        <x:v>575</x:v>
      </x:c>
      <x:c r="B581" s="79" t="n">
        <x:v>-0.5782875640222405</x:v>
      </x:c>
      <x:c r="C581" s="46" t="n">
        <x:f>B581^2</x:f>
        <x:v>0.33441650670277684</x:v>
      </x:c>
      <x:c r="D581" s="47" t="n">
        <x:f>'Datos'!$B$26^3/3</x:f>
        <x:v>0.3333333333333333</x:v>
      </x:c>
      <x:c r="E581" s="46" t="n">
        <x:f>D581*(C581-1)</x:f>
        <x:v>-0.2218611644324077</x:v>
      </x:c>
      <x:c r="F581" s="2"/>
      <x:c r="G581" s="2"/>
      <x:c r="H581" s="2"/>
    </x:row>
    <x:row r="582" ht="22" customHeight="1">
      <x:c r="A582" s="2" t="n">
        <x:v>576</x:v>
      </x:c>
      <x:c r="B582" s="79" t="n">
        <x:v>-1.91748662361843</x:v>
      </x:c>
      <x:c r="C582" s="46" t="n">
        <x:f>B582^2</x:f>
        <x:v>3.6767549517556066</x:v>
      </x:c>
      <x:c r="D582" s="47" t="n">
        <x:f>'Datos'!$B$26^3/3</x:f>
        <x:v>0.3333333333333333</x:v>
      </x:c>
      <x:c r="E582" s="46" t="n">
        <x:f>D582*(C582-1)</x:f>
        <x:v>0.8922516505852022</x:v>
      </x:c>
      <x:c r="F582" s="2"/>
      <x:c r="G582" s="2"/>
      <x:c r="H582" s="2"/>
    </x:row>
    <x:row r="583" ht="22" customHeight="1">
      <x:c r="A583" s="2" t="n">
        <x:v>577</x:v>
      </x:c>
      <x:c r="B583" s="79" t="n">
        <x:v>-0.31323685213455127</x:v>
      </x:c>
      <x:c r="C583" s="46" t="n">
        <x:f>B583^2</x:f>
        <x:v>0.09811732553516274</x:v>
      </x:c>
      <x:c r="D583" s="47" t="n">
        <x:f>'Datos'!$B$26^3/3</x:f>
        <x:v>0.3333333333333333</x:v>
      </x:c>
      <x:c r="E583" s="46" t="n">
        <x:f>D583*(C583-1)</x:f>
        <x:v>-0.30062755815494574</x:v>
      </x:c>
      <x:c r="F583" s="2"/>
      <x:c r="G583" s="2"/>
      <x:c r="H583" s="2"/>
    </x:row>
    <x:row r="584" ht="22" customHeight="1">
      <x:c r="A584" s="2" t="n">
        <x:v>578</x:v>
      </x:c>
      <x:c r="B584" s="79" t="n">
        <x:v>1.6207425360200307</x:v>
      </x:c>
      <x:c r="C584" s="46" t="n">
        <x:f>B584^2</x:f>
        <x:v>2.6268063680646407</x:v>
      </x:c>
      <x:c r="D584" s="47" t="n">
        <x:f>'Datos'!$B$26^3/3</x:f>
        <x:v>0.3333333333333333</x:v>
      </x:c>
      <x:c r="E584" s="46" t="n">
        <x:f>D584*(C584-1)</x:f>
        <x:v>0.5422687893548802</x:v>
      </x:c>
      <x:c r="F584" s="2"/>
      <x:c r="G584" s="2"/>
      <x:c r="H584" s="2"/>
    </x:row>
    <x:row r="585" ht="22" customHeight="1">
      <x:c r="A585" s="2" t="n">
        <x:v>579</x:v>
      </x:c>
      <x:c r="B585" s="79" t="n">
        <x:v>0.3128324634712557</x:v>
      </x:c>
      <x:c r="C585" s="46" t="n">
        <x:f>B585^2</x:f>
        <x:v>0.09786415020149454</x:v>
      </x:c>
      <x:c r="D585" s="47" t="n">
        <x:f>'Datos'!$B$26^3/3</x:f>
        <x:v>0.3333333333333333</x:v>
      </x:c>
      <x:c r="E585" s="46" t="n">
        <x:f>D585*(C585-1)</x:f>
        <x:v>-0.3007119499328351</x:v>
      </x:c>
      <x:c r="F585" s="2"/>
      <x:c r="G585" s="2"/>
      <x:c r="H585" s="2"/>
    </x:row>
    <x:row r="586" ht="22" customHeight="1">
      <x:c r="A586" s="2" t="n">
        <x:v>580</x:v>
      </x:c>
      <x:c r="B586" s="79" t="n">
        <x:v>0.33248032722306353</x:v>
      </x:c>
      <x:c r="C586" s="46" t="n">
        <x:f>B586^2</x:f>
        <x:v>0.1105431679903554</x:v>
      </x:c>
      <x:c r="D586" s="47" t="n">
        <x:f>'Datos'!$B$26^3/3</x:f>
        <x:v>0.3333333333333333</x:v>
      </x:c>
      <x:c r="E586" s="46" t="n">
        <x:f>D586*(C586-1)</x:f>
        <x:v>-0.2964856106698815</x:v>
      </x:c>
      <x:c r="F586" s="2"/>
      <x:c r="G586" s="2"/>
      <x:c r="H586" s="2"/>
    </x:row>
    <x:row r="587" ht="22" customHeight="1">
      <x:c r="A587" s="2" t="n">
        <x:v>581</x:v>
      </x:c>
      <x:c r="B587" s="79" t="n">
        <x:v>-0.44217233194119965</x:v>
      </x:c>
      <x:c r="C587" s="46" t="n">
        <x:f>B587^2</x:f>
        <x:v>0.19551637113431844</x:v>
      </x:c>
      <x:c r="D587" s="47" t="n">
        <x:f>'Datos'!$B$26^3/3</x:f>
        <x:v>0.3333333333333333</x:v>
      </x:c>
      <x:c r="E587" s="46" t="n">
        <x:f>D587*(C587-1)</x:f>
        <x:v>-0.2681612096218938</x:v>
      </x:c>
      <x:c r="F587" s="2"/>
      <x:c r="G587" s="2"/>
      <x:c r="H587" s="2"/>
    </x:row>
    <x:row r="588" ht="22" customHeight="1">
      <x:c r="A588" s="2" t="n">
        <x:v>582</x:v>
      </x:c>
      <x:c r="B588" s="79" t="n">
        <x:v>0.3483861205784912</x:v>
      </x:c>
      <x:c r="C588" s="46" t="n">
        <x:f>B588^2</x:f>
        <x:v>0.12137288901173103</x:v>
      </x:c>
      <x:c r="D588" s="47" t="n">
        <x:f>'Datos'!$B$26^3/3</x:f>
        <x:v>0.3333333333333333</x:v>
      </x:c>
      <x:c r="E588" s="46" t="n">
        <x:f>D588*(C588-1)</x:f>
        <x:v>-0.2928757036627563</x:v>
      </x:c>
      <x:c r="F588" s="2"/>
      <x:c r="G588" s="2"/>
      <x:c r="H588" s="2"/>
    </x:row>
    <x:row r="589" ht="22" customHeight="1">
      <x:c r="A589" s="2" t="n">
        <x:v>583</x:v>
      </x:c>
      <x:c r="B589" s="79" t="n">
        <x:v>1.1916834157519582</x:v>
      </x:c>
      <x:c r="C589" s="46" t="n">
        <x:f>B589^2</x:f>
        <x:v>1.4201093633782547</x:v>
      </x:c>
      <x:c r="D589" s="47" t="n">
        <x:f>'Datos'!$B$26^3/3</x:f>
        <x:v>0.3333333333333333</x:v>
      </x:c>
      <x:c r="E589" s="46" t="n">
        <x:f>D589*(C589-1)</x:f>
        <x:v>0.1400364544594182</x:v>
      </x:c>
      <x:c r="F589" s="2"/>
      <x:c r="G589" s="2"/>
      <x:c r="H589" s="2"/>
    </x:row>
    <x:row r="590" ht="22" customHeight="1">
      <x:c r="A590" s="2" t="n">
        <x:v>584</x:v>
      </x:c>
      <x:c r="B590" s="79" t="n">
        <x:v>-1.4987796117728462</x:v>
      </x:c>
      <x:c r="C590" s="46" t="n">
        <x:f>B590^2</x:f>
        <x:v>2.246340324665964</x:v>
      </x:c>
      <x:c r="D590" s="47" t="n">
        <x:f>'Datos'!$B$26^3/3</x:f>
        <x:v>0.3333333333333333</x:v>
      </x:c>
      <x:c r="E590" s="46" t="n">
        <x:f>D590*(C590-1)</x:f>
        <x:v>0.4154467748886546</x:v>
      </x:c>
      <x:c r="F590" s="2"/>
      <x:c r="G590" s="2"/>
      <x:c r="H590" s="2"/>
    </x:row>
    <x:row r="591" ht="22" customHeight="1">
      <x:c r="A591" s="2" t="n">
        <x:v>585</x:v>
      </x:c>
      <x:c r="B591" s="79" t="n">
        <x:v>2.390969738238066</x:v>
      </x:c>
      <x:c r="C591" s="46" t="n">
        <x:f>B591^2</x:f>
        <x:v>5.716736289170205</x:v>
      </x:c>
      <x:c r="D591" s="47" t="n">
        <x:f>'Datos'!$B$26^3/3</x:f>
        <x:v>0.3333333333333333</x:v>
      </x:c>
      <x:c r="E591" s="46" t="n">
        <x:f>D591*(C591-1)</x:f>
        <x:v>1.5722454297234016</x:v>
      </x:c>
      <x:c r="F591" s="2"/>
      <x:c r="G591" s="2"/>
      <x:c r="H591" s="2"/>
    </x:row>
    <x:row r="592" ht="22" customHeight="1">
      <x:c r="A592" s="2" t="n">
        <x:v>586</x:v>
      </x:c>
      <x:c r="B592" s="79" t="n">
        <x:v>0.5079472458215591</x:v>
      </x:c>
      <x:c r="C592" s="46" t="n">
        <x:f>B592^2</x:f>
        <x:v>0.25801040453770746</x:v>
      </x:c>
      <x:c r="D592" s="47" t="n">
        <x:f>'Datos'!$B$26^3/3</x:f>
        <x:v>0.3333333333333333</x:v>
      </x:c>
      <x:c r="E592" s="46" t="n">
        <x:f>D592*(C592-1)</x:f>
        <x:v>-0.24732986515409752</x:v>
      </x:c>
      <x:c r="F592" s="2"/>
      <x:c r="G592" s="2"/>
      <x:c r="H592" s="2"/>
    </x:row>
    <x:row r="593" ht="22" customHeight="1">
      <x:c r="A593" s="2" t="n">
        <x:v>587</x:v>
      </x:c>
      <x:c r="B593" s="79" t="n">
        <x:v>0.5770034983938722</x:v>
      </x:c>
      <x:c r="C593" s="46" t="n">
        <x:f>B593^2</x:f>
        <x:v>0.3329330371587673</x:v>
      </x:c>
      <x:c r="D593" s="47" t="n">
        <x:f>'Datos'!$B$26^3/3</x:f>
        <x:v>0.3333333333333333</x:v>
      </x:c>
      <x:c r="E593" s="46" t="n">
        <x:f>D593*(C593-1)</x:f>
        <x:v>-0.22235565428041087</x:v>
      </x:c>
      <x:c r="F593" s="2"/>
      <x:c r="G593" s="2"/>
      <x:c r="H593" s="2"/>
    </x:row>
    <x:row r="594" ht="22" customHeight="1">
      <x:c r="A594" s="2" t="n">
        <x:v>588</x:v>
      </x:c>
      <x:c r="B594" s="79" t="n">
        <x:v>-0.9527241822901773</x:v>
      </x:c>
      <x:c r="C594" s="46" t="n">
        <x:f>B594^2</x:f>
        <x:v>0.907683367520487</x:v>
      </x:c>
      <x:c r="D594" s="47" t="n">
        <x:f>'Datos'!$B$26^3/3</x:f>
        <x:v>0.3333333333333333</x:v>
      </x:c>
      <x:c r="E594" s="46" t="n">
        <x:f>D594*(C594-1)</x:f>
        <x:v>-0.03077221082650435</x:v>
      </x:c>
      <x:c r="F594" s="2"/>
      <x:c r="G594" s="2"/>
      <x:c r="H594" s="2"/>
    </x:row>
    <x:row r="595" ht="22" customHeight="1">
      <x:c r="A595" s="2" t="n">
        <x:v>589</x:v>
      </x:c>
      <x:c r="B595" s="79" t="n">
        <x:v>-1.5899964677709926</x:v>
      </x:c>
      <x:c r="C595" s="46" t="n">
        <x:f>B595^2</x:f>
        <x:v>2.528088767524233</x:v>
      </x:c>
      <x:c r="D595" s="47" t="n">
        <x:f>'Datos'!$B$26^3/3</x:f>
        <x:v>0.3333333333333333</x:v>
      </x:c>
      <x:c r="E595" s="46" t="n">
        <x:f>D595*(C595-1)</x:f>
        <x:v>0.5093629225080776</x:v>
      </x:c>
      <x:c r="F595" s="2"/>
      <x:c r="G595" s="2"/>
      <x:c r="H595" s="2"/>
    </x:row>
    <x:row r="596" ht="22" customHeight="1">
      <x:c r="A596" s="2" t="n">
        <x:v>590</x:v>
      </x:c>
      <x:c r="B596" s="79" t="n">
        <x:v>2.0694775076265746</x:v>
      </x:c>
      <x:c r="C596" s="46" t="n">
        <x:f>B596^2</x:f>
        <x:v>4.282737154572299</x:v>
      </x:c>
      <x:c r="D596" s="47" t="n">
        <x:f>'Datos'!$B$26^3/3</x:f>
        <x:v>0.3333333333333333</x:v>
      </x:c>
      <x:c r="E596" s="46" t="n">
        <x:f>D596*(C596-1)</x:f>
        <x:v>1.0942457181907663</x:v>
      </x:c>
      <x:c r="F596" s="2"/>
      <x:c r="G596" s="2"/>
      <x:c r="H596" s="2"/>
    </x:row>
    <x:row r="597" ht="22" customHeight="1">
      <x:c r="A597" s="2" t="n">
        <x:v>591</x:v>
      </x:c>
      <x:c r="B597" s="79" t="n">
        <x:v>-0.22961602884041468</x:v>
      </x:c>
      <x:c r="C597" s="46" t="n">
        <x:f>B597^2</x:f>
        <x:v>0.052723520700442145</x:v>
      </x:c>
      <x:c r="D597" s="47" t="n">
        <x:f>'Datos'!$B$26^3/3</x:f>
        <x:v>0.3333333333333333</x:v>
      </x:c>
      <x:c r="E597" s="46" t="n">
        <x:f>D597*(C597-1)</x:f>
        <x:v>-0.3157588264331859</x:v>
      </x:c>
      <x:c r="F597" s="2"/>
      <x:c r="G597" s="2"/>
      <x:c r="H597" s="2"/>
    </x:row>
    <x:row r="598" ht="22" customHeight="1">
      <x:c r="A598" s="2" t="n">
        <x:v>592</x:v>
      </x:c>
      <x:c r="B598" s="79" t="n">
        <x:v>-0.17371399594619544</x:v>
      </x:c>
      <x:c r="C598" s="46" t="n">
        <x:f>B598^2</x:f>
        <x:v>0.030176552387594806</x:v>
      </x:c>
      <x:c r="D598" s="47" t="n">
        <x:f>'Datos'!$B$26^3/3</x:f>
        <x:v>0.3333333333333333</x:v>
      </x:c>
      <x:c r="E598" s="46" t="n">
        <x:f>D598*(C598-1)</x:f>
        <x:v>-0.3232744825374684</x:v>
      </x:c>
      <x:c r="F598" s="2"/>
      <x:c r="G598" s="2"/>
      <x:c r="H598" s="2"/>
    </x:row>
    <x:row r="599" ht="22" customHeight="1">
      <x:c r="A599" s="2" t="n">
        <x:v>593</x:v>
      </x:c>
      <x:c r="B599" s="79" t="n">
        <x:v>1.3010763010294644</x:v>
      </x:c>
      <x:c r="C599" s="46" t="n">
        <x:f>B599^2</x:f>
        <x:v>1.6927995411005134</x:v>
      </x:c>
      <x:c r="D599" s="47" t="n">
        <x:f>'Datos'!$B$26^3/3</x:f>
        <x:v>0.3333333333333333</x:v>
      </x:c>
      <x:c r="E599" s="46" t="n">
        <x:f>D599*(C599-1)</x:f>
        <x:v>0.2309331803668378</x:v>
      </x:c>
      <x:c r="F599" s="2"/>
      <x:c r="G599" s="2"/>
      <x:c r="H599" s="2"/>
    </x:row>
    <x:row r="600" ht="22" customHeight="1">
      <x:c r="A600" s="2" t="n">
        <x:v>594</x:v>
      </x:c>
      <x:c r="B600" s="79" t="n">
        <x:v>-1.8236169679766134</x:v>
      </x:c>
      <x:c r="C600" s="46" t="n">
        <x:f>B600^2</x:f>
        <x:v>3.325578845892217</x:v>
      </x:c>
      <x:c r="D600" s="47" t="n">
        <x:f>'Datos'!$B$26^3/3</x:f>
        <x:v>0.3333333333333333</x:v>
      </x:c>
      <x:c r="E600" s="46" t="n">
        <x:f>D600*(C600-1)</x:f>
        <x:v>0.775192948630739</x:v>
      </x:c>
      <x:c r="F600" s="2"/>
      <x:c r="G600" s="2"/>
      <x:c r="H600" s="2"/>
    </x:row>
    <x:row r="601" ht="22" customHeight="1">
      <x:c r="A601" s="2" t="n">
        <x:v>595</x:v>
      </x:c>
      <x:c r="B601" s="79" t="n">
        <x:v>-1.493128733604853</x:v>
      </x:c>
      <x:c r="C601" s="46" t="n">
        <x:f>B601^2</x:f>
        <x:v>2.2294334151164326</x:v>
      </x:c>
      <x:c r="D601" s="47" t="n">
        <x:f>'Datos'!$B$26^3/3</x:f>
        <x:v>0.3333333333333333</x:v>
      </x:c>
      <x:c r="E601" s="46" t="n">
        <x:f>D601*(C601-1)</x:f>
        <x:v>0.40981113837214417</x:v>
      </x:c>
      <x:c r="F601" s="2"/>
      <x:c r="G601" s="2"/>
      <x:c r="H601" s="2"/>
    </x:row>
    <x:row r="602" ht="22" customHeight="1">
      <x:c r="A602" s="2" t="n">
        <x:v>596</x:v>
      </x:c>
      <x:c r="B602" s="79" t="n">
        <x:v>0.5671775057463768</x:v>
      </x:c>
      <x:c r="C602" s="46" t="n">
        <x:f>B602^2</x:f>
        <x:v>0.3216903230246813</x:v>
      </x:c>
      <x:c r="D602" s="47" t="n">
        <x:f>'Datos'!$B$26^3/3</x:f>
        <x:v>0.3333333333333333</x:v>
      </x:c>
      <x:c r="E602" s="46" t="n">
        <x:f>D602*(C602-1)</x:f>
        <x:v>-0.22610322565843957</x:v>
      </x:c>
      <x:c r="F602" s="2"/>
      <x:c r="G602" s="2"/>
      <x:c r="H602" s="2"/>
    </x:row>
    <x:row r="603" ht="22" customHeight="1">
      <x:c r="A603" s="2" t="n">
        <x:v>597</x:v>
      </x:c>
      <x:c r="B603" s="79" t="n">
        <x:v>1.1548064763037909</x:v>
      </x:c>
      <x:c r="C603" s="46" t="n">
        <x:f>B603^2</x:f>
        <x:v>1.3335779977131779</x:v>
      </x:c>
      <x:c r="D603" s="47" t="n">
        <x:f>'Datos'!$B$26^3/3</x:f>
        <x:v>0.3333333333333333</x:v>
      </x:c>
      <x:c r="E603" s="46" t="n">
        <x:f>D603*(C603-1)</x:f>
        <x:v>0.11119266590439261</x:v>
      </x:c>
      <x:c r="F603" s="2"/>
      <x:c r="G603" s="2"/>
      <x:c r="H603" s="2"/>
    </x:row>
    <x:row r="604" ht="22" customHeight="1">
      <x:c r="A604" s="2" t="n">
        <x:v>598</x:v>
      </x:c>
      <x:c r="B604" s="79" t="n">
        <x:v>0.48868594624214295</x:v>
      </x:c>
      <x:c r="C604" s="46" t="n">
        <x:f>B604^2</x:f>
        <x:v>0.23881395405457864</x:v>
      </x:c>
      <x:c r="D604" s="47" t="n">
        <x:f>'Datos'!$B$26^3/3</x:f>
        <x:v>0.3333333333333333</x:v>
      </x:c>
      <x:c r="E604" s="46" t="n">
        <x:f>D604*(C604-1)</x:f>
        <x:v>-0.2537286819818071</x:v>
      </x:c>
      <x:c r="F604" s="2"/>
      <x:c r="G604" s="2"/>
      <x:c r="H604" s="2"/>
    </x:row>
    <x:row r="605" ht="22" customHeight="1">
      <x:c r="A605" s="2" t="n">
        <x:v>599</x:v>
      </x:c>
      <x:c r="B605" s="79" t="n">
        <x:v>-0.7059270572611828</x:v>
      </x:c>
      <x:c r="C605" s="46" t="n">
        <x:f>B605^2</x:f>
        <x:v>0.49833301017343323</x:v>
      </x:c>
      <x:c r="D605" s="47" t="n">
        <x:f>'Datos'!$B$26^3/3</x:f>
        <x:v>0.3333333333333333</x:v>
      </x:c>
      <x:c r="E605" s="46" t="n">
        <x:f>D605*(C605-1)</x:f>
        <x:v>-0.1672223299421889</x:v>
      </x:c>
      <x:c r="F605" s="2"/>
      <x:c r="G605" s="2"/>
      <x:c r="H605" s="2"/>
    </x:row>
    <x:row r="606" ht="22" customHeight="1">
      <x:c r="A606" s="2" t="n">
        <x:v>600</x:v>
      </x:c>
      <x:c r="B606" s="79" t="n">
        <x:v>0.9517139913466587</x:v>
      </x:c>
      <x:c r="C606" s="46" t="n">
        <x:f>B606^2</x:f>
        <x:v>0.9057595213249879</x:v>
      </x:c>
      <x:c r="D606" s="47" t="n">
        <x:f>'Datos'!$B$26^3/3</x:f>
        <x:v>0.3333333333333333</x:v>
      </x:c>
      <x:c r="E606" s="46" t="n">
        <x:f>D606*(C606-1)</x:f>
        <x:v>-0.03141349289167068</x:v>
      </x:c>
      <x:c r="F606" s="2"/>
      <x:c r="G606" s="2"/>
      <x:c r="H606" s="2"/>
    </x:row>
    <x:row r="607" ht="22" customHeight="1">
      <x:c r="A607" s="2" t="n">
        <x:v>601</x:v>
      </x:c>
      <x:c r="B607" s="79" t="n">
        <x:v>0.6217119060536175</x:v>
      </x:c>
      <x:c r="C607" s="46" t="n">
        <x:f>B607^2</x:f>
        <x:v>0.3865256941288221</x:v>
      </x:c>
      <x:c r="D607" s="47" t="n">
        <x:f>'Datos'!$B$26^3/3</x:f>
        <x:v>0.3333333333333333</x:v>
      </x:c>
      <x:c r="E607" s="46" t="n">
        <x:f>D607*(C607-1)</x:f>
        <x:v>-0.20449143529039263</x:v>
      </x:c>
      <x:c r="F607" s="2"/>
      <x:c r="G607" s="2"/>
      <x:c r="H607" s="2"/>
    </x:row>
    <x:row r="608" ht="22" customHeight="1">
      <x:c r="A608" s="2" t="n">
        <x:v>602</x:v>
      </x:c>
      <x:c r="B608" s="79" t="n">
        <x:v>-2.536016353991665</x:v>
      </x:c>
      <x:c r="C608" s="46" t="n">
        <x:f>B608^2</x:f>
        <x:v>6.431378947713178</x:v>
      </x:c>
      <x:c r="D608" s="47" t="n">
        <x:f>'Datos'!$B$26^3/3</x:f>
        <x:v>0.3333333333333333</x:v>
      </x:c>
      <x:c r="E608" s="46" t="n">
        <x:f>D608*(C608-1)</x:f>
        <x:v>1.8104596492377258</x:v>
      </x:c>
      <x:c r="F608" s="2"/>
      <x:c r="G608" s="2"/>
      <x:c r="H608" s="2"/>
    </x:row>
    <x:row r="609" ht="22" customHeight="1">
      <x:c r="A609" s="2" t="n">
        <x:v>603</x:v>
      </x:c>
      <x:c r="B609" s="79" t="n">
        <x:v>-0.416627456535813</x:v>
      </x:c>
      <x:c r="C609" s="46" t="n">
        <x:f>B609^2</x:f>
        <x:v>0.17357843753950075</x:v>
      </x:c>
      <x:c r="D609" s="47" t="n">
        <x:f>'Datos'!$B$26^3/3</x:f>
        <x:v>0.3333333333333333</x:v>
      </x:c>
      <x:c r="E609" s="46" t="n">
        <x:f>D609*(C609-1)</x:f>
        <x:v>-0.27547385415349973</x:v>
      </x:c>
      <x:c r="F609" s="2"/>
      <x:c r="G609" s="2"/>
      <x:c r="H609" s="2"/>
    </x:row>
    <x:row r="610" ht="22" customHeight="1">
      <x:c r="A610" s="2" t="n">
        <x:v>604</x:v>
      </x:c>
      <x:c r="B610" s="79" t="n">
        <x:v>0.0612355659967945</x:v>
      </x:c>
      <x:c r="C610" s="46" t="n">
        <x:f>B610^2</x:f>
        <x:v>0.0037497945429477747</x:v>
      </x:c>
      <x:c r="D610" s="47" t="n">
        <x:f>'Datos'!$B$26^3/3</x:f>
        <x:v>0.3333333333333333</x:v>
      </x:c>
      <x:c r="E610" s="46" t="n">
        <x:f>D610*(C610-1)</x:f>
        <x:v>-0.3320834018190174</x:v>
      </x:c>
      <x:c r="F610" s="2"/>
      <x:c r="G610" s="2"/>
      <x:c r="H610" s="2"/>
    </x:row>
    <x:row r="611" ht="22" customHeight="1">
      <x:c r="A611" s="2" t="n">
        <x:v>605</x:v>
      </x:c>
      <x:c r="B611" s="79" t="n">
        <x:v>0.09284378316178954</x:v>
      </x:c>
      <x:c r="C611" s="46" t="n">
        <x:f>B611^2</x:f>
        <x:v>0.008619968071793395</x:v>
      </x:c>
      <x:c r="D611" s="47" t="n">
        <x:f>'Datos'!$B$26^3/3</x:f>
        <x:v>0.3333333333333333</x:v>
      </x:c>
      <x:c r="E611" s="46" t="n">
        <x:f>D611*(C611-1)</x:f>
        <x:v>-0.3304600106427355</x:v>
      </x:c>
      <x:c r="F611" s="2"/>
      <x:c r="G611" s="2"/>
      <x:c r="H611" s="2"/>
    </x:row>
    <x:row r="612" ht="22" customHeight="1">
      <x:c r="A612" s="2" t="n">
        <x:v>606</x:v>
      </x:c>
      <x:c r="B612" s="79" t="n">
        <x:v>-0.30035503449501333</x:v>
      </x:c>
      <x:c r="C612" s="46" t="n">
        <x:f>B612^2</x:f>
        <x:v>0.09021314674650065</x:v>
      </x:c>
      <x:c r="D612" s="47" t="n">
        <x:f>'Datos'!$B$26^3/3</x:f>
        <x:v>0.3333333333333333</x:v>
      </x:c>
      <x:c r="E612" s="46" t="n">
        <x:f>D612*(C612-1)</x:f>
        <x:v>-0.3032622844178331</x:v>
      </x:c>
      <x:c r="F612" s="2"/>
      <x:c r="G612" s="2"/>
      <x:c r="H612" s="2"/>
    </x:row>
    <x:row r="613" ht="22" customHeight="1">
      <x:c r="A613" s="2" t="n">
        <x:v>607</x:v>
      </x:c>
      <x:c r="B613" s="79" t="n">
        <x:v>-0.11397488755952168</x:v>
      </x:c>
      <x:c r="C613" s="46" t="n">
        <x:f>B613^2</x:f>
        <x:v>0.012990274994205608</x:v>
      </x:c>
      <x:c r="D613" s="47" t="n">
        <x:f>'Datos'!$B$26^3/3</x:f>
        <x:v>0.3333333333333333</x:v>
      </x:c>
      <x:c r="E613" s="46" t="n">
        <x:f>D613*(C613-1)</x:f>
        <x:v>-0.3290032416685981</x:v>
      </x:c>
      <x:c r="F613" s="2"/>
      <x:c r="G613" s="2"/>
      <x:c r="H613" s="2"/>
    </x:row>
    <x:row r="614" ht="22" customHeight="1">
      <x:c r="A614" s="2" t="n">
        <x:v>608</x:v>
      </x:c>
      <x:c r="B614" s="79" t="n">
        <x:v>1.3679457347651989</x:v>
      </x:c>
      <x:c r="C614" s="46" t="n">
        <x:f>B614^2</x:f>
        <x:v>1.8712755332623</x:v>
      </x:c>
      <x:c r="D614" s="47" t="n">
        <x:f>'Datos'!$B$26^3/3</x:f>
        <x:v>0.3333333333333333</x:v>
      </x:c>
      <x:c r="E614" s="46" t="n">
        <x:f>D614*(C614-1)</x:f>
        <x:v>0.29042517775409993</x:v>
      </x:c>
      <x:c r="F614" s="2"/>
      <x:c r="G614" s="2"/>
      <x:c r="H614" s="2"/>
    </x:row>
    <x:row r="615" ht="22" customHeight="1">
      <x:c r="A615" s="2" t="n">
        <x:v>609</x:v>
      </x:c>
      <x:c r="B615" s="79" t="n">
        <x:v>-0.9549168703264421</x:v>
      </x:c>
      <x:c r="C615" s="46" t="n">
        <x:f>B615^2</x:f>
        <x:v>0.911866229234047</x:v>
      </x:c>
      <x:c r="D615" s="47" t="n">
        <x:f>'Datos'!$B$26^3/3</x:f>
        <x:v>0.3333333333333333</x:v>
      </x:c>
      <x:c r="E615" s="46" t="n">
        <x:f>D615*(C615-1)</x:f>
        <x:v>-0.02937792358865099</x:v>
      </x:c>
      <x:c r="F615" s="2"/>
      <x:c r="G615" s="2"/>
      <x:c r="H615" s="2"/>
    </x:row>
    <x:row r="616" ht="22" customHeight="1">
      <x:c r="A616" s="2" t="n">
        <x:v>610</x:v>
      </x:c>
      <x:c r="B616" s="79" t="n">
        <x:v>-0.9978773234670463</x:v>
      </x:c>
      <x:c r="C616" s="46" t="n">
        <x:f>B616^2</x:f>
        <x:v>0.9957591526897561</x:v>
      </x:c>
      <x:c r="D616" s="47" t="n">
        <x:f>'Datos'!$B$26^3/3</x:f>
        <x:v>0.3333333333333333</x:v>
      </x:c>
      <x:c r="E616" s="46" t="n">
        <x:f>D616*(C616-1)</x:f>
        <x:v>-0.0014136157700812926</x:v>
      </x:c>
      <x:c r="F616" s="2"/>
      <x:c r="G616" s="2"/>
      <x:c r="H616" s="2"/>
    </x:row>
    <x:row r="617" ht="22" customHeight="1">
      <x:c r="A617" s="2" t="n">
        <x:v>611</x:v>
      </x:c>
      <x:c r="B617" s="79" t="n">
        <x:v>0.9493766102525987</x:v>
      </x:c>
      <x:c r="C617" s="46" t="n">
        <x:f>B617^2</x:f>
        <x:v>0.9013159480947146</x:v>
      </x:c>
      <x:c r="D617" s="47" t="n">
        <x:f>'Datos'!$B$26^3/3</x:f>
        <x:v>0.3333333333333333</x:v>
      </x:c>
      <x:c r="E617" s="46" t="n">
        <x:f>D617*(C617-1)</x:f>
        <x:v>-0.03289468396842846</x:v>
      </x:c>
      <x:c r="F617" s="2"/>
      <x:c r="G617" s="2"/>
      <x:c r="H617" s="2"/>
    </x:row>
    <x:row r="618" ht="22" customHeight="1">
      <x:c r="A618" s="2" t="n">
        <x:v>612</x:v>
      </x:c>
      <x:c r="B618" s="79" t="n">
        <x:v>1.361483297840813</x:v>
      </x:c>
      <x:c r="C618" s="46" t="n">
        <x:f>B618^2</x:f>
        <x:v>1.8536367702994956</x:v>
      </x:c>
      <x:c r="D618" s="47" t="n">
        <x:f>'Datos'!$B$26^3/3</x:f>
        <x:v>0.3333333333333333</x:v>
      </x:c>
      <x:c r="E618" s="46" t="n">
        <x:f>D618*(C618-1)</x:f>
        <x:v>0.2845455900998318</x:v>
      </x:c>
      <x:c r="F618" s="2"/>
      <x:c r="G618" s="2"/>
      <x:c r="H618" s="2"/>
    </x:row>
    <x:row r="619" ht="22" customHeight="1">
      <x:c r="A619" s="2" t="n">
        <x:v>613</x:v>
      </x:c>
      <x:c r="B619" s="79" t="n">
        <x:v>1.7476351559732723</x:v>
      </x:c>
      <x:c r="C619" s="46" t="n">
        <x:f>B619^2</x:f>
        <x:v>3.054228638393724</x:v>
      </x:c>
      <x:c r="D619" s="47" t="n">
        <x:f>'Datos'!$B$26^3/3</x:f>
        <x:v>0.3333333333333333</x:v>
      </x:c>
      <x:c r="E619" s="46" t="n">
        <x:f>D619*(C619-1)</x:f>
        <x:v>0.6847428794645746</x:v>
      </x:c>
      <x:c r="F619" s="2"/>
      <x:c r="G619" s="2"/>
      <x:c r="H619" s="2"/>
    </x:row>
    <x:row r="620" ht="22" customHeight="1">
      <x:c r="A620" s="2" t="n">
        <x:v>614</x:v>
      </x:c>
      <x:c r="B620" s="79" t="n">
        <x:v>-0.8452812007563948</x:v>
      </x:c>
      <x:c r="C620" s="46" t="n">
        <x:f>B620^2</x:f>
        <x:v>0.7145003083521726</x:v>
      </x:c>
      <x:c r="D620" s="47" t="n">
        <x:f>'Datos'!$B$26^3/3</x:f>
        <x:v>0.3333333333333333</x:v>
      </x:c>
      <x:c r="E620" s="46" t="n">
        <x:f>D620*(C620-1)</x:f>
        <x:v>-0.09516656388260913</x:v>
      </x:c>
      <x:c r="F620" s="2"/>
      <x:c r="G620" s="2"/>
      <x:c r="H620" s="2"/>
    </x:row>
    <x:row r="621" ht="22" customHeight="1">
      <x:c r="A621" s="2" t="n">
        <x:v>615</x:v>
      </x:c>
      <x:c r="B621" s="79" t="n">
        <x:v>-1.3914383292560673</x:v>
      </x:c>
      <x:c r="C621" s="46" t="n">
        <x:f>B621^2</x:f>
        <x:v>1.9361006241229157</x:v>
      </x:c>
      <x:c r="D621" s="47" t="n">
        <x:f>'Datos'!$B$26^3/3</x:f>
        <x:v>0.3333333333333333</x:v>
      </x:c>
      <x:c r="E621" s="46" t="n">
        <x:f>D621*(C621-1)</x:f>
        <x:v>0.3120335413743052</x:v>
      </x:c>
      <x:c r="F621" s="2"/>
      <x:c r="G621" s="2"/>
      <x:c r="H621" s="2"/>
    </x:row>
    <x:row r="622" ht="22" customHeight="1">
      <x:c r="A622" s="2" t="n">
        <x:v>616</x:v>
      </x:c>
      <x:c r="B622" s="79" t="n">
        <x:v>0.6238879402566225</x:v>
      </x:c>
      <x:c r="C622" s="46" t="n">
        <x:f>B622^2</x:f>
        <x:v>0.389236161997651</x:v>
      </x:c>
      <x:c r="D622" s="47" t="n">
        <x:f>'Datos'!$B$26^3/3</x:f>
        <x:v>0.3333333333333333</x:v>
      </x:c>
      <x:c r="E622" s="46" t="n">
        <x:f>D622*(C622-1)</x:f>
        <x:v>-0.203587946000783</x:v>
      </x:c>
      <x:c r="F622" s="2"/>
      <x:c r="G622" s="2"/>
      <x:c r="H622" s="2"/>
    </x:row>
    <x:row r="623" ht="22" customHeight="1">
      <x:c r="A623" s="2" t="n">
        <x:v>617</x:v>
      </x:c>
      <x:c r="B623" s="79" t="n">
        <x:v>0.4031295492432473</x:v>
      </x:c>
      <x:c r="C623" s="46" t="n">
        <x:f>B623^2</x:f>
        <x:v>0.16251343347306374</x:v>
      </x:c>
      <x:c r="D623" s="47" t="n">
        <x:f>'Datos'!$B$26^3/3</x:f>
        <x:v>0.3333333333333333</x:v>
      </x:c>
      <x:c r="E623" s="46" t="n">
        <x:f>D623*(C623-1)</x:f>
        <x:v>-0.27916218884231203</x:v>
      </x:c>
      <x:c r="F623" s="2"/>
      <x:c r="G623" s="2"/>
      <x:c r="H623" s="2"/>
    </x:row>
    <x:row r="624" ht="22" customHeight="1">
      <x:c r="A624" s="2" t="n">
        <x:v>618</x:v>
      </x:c>
      <x:c r="B624" s="79" t="n">
        <x:v>-1.2235494095146204</x:v>
      </x:c>
      <x:c r="C624" s="46" t="n">
        <x:f>B624^2</x:f>
        <x:v>1.4970731575235763</x:v>
      </x:c>
      <x:c r="D624" s="47" t="n">
        <x:f>'Datos'!$B$26^3/3</x:f>
        <x:v>0.3333333333333333</x:v>
      </x:c>
      <x:c r="E624" s="46" t="n">
        <x:f>D624*(C624-1)</x:f>
        <x:v>0.16569105250785876</x:v>
      </x:c>
      <x:c r="F624" s="2"/>
      <x:c r="G624" s="2"/>
      <x:c r="H624" s="2"/>
    </x:row>
    <x:row r="625" ht="22" customHeight="1">
      <x:c r="A625" s="2" t="n">
        <x:v>619</x:v>
      </x:c>
      <x:c r="B625" s="79" t="n">
        <x:v>-1.1414429227579646</x:v>
      </x:c>
      <x:c r="C625" s="46" t="n">
        <x:f>B625^2</x:f>
        <x:v>1.3028919459142447</x:v>
      </x:c>
      <x:c r="D625" s="47" t="n">
        <x:f>'Datos'!$B$26^3/3</x:f>
        <x:v>0.3333333333333333</x:v>
      </x:c>
      <x:c r="E625" s="46" t="n">
        <x:f>D625*(C625-1)</x:f>
        <x:v>0.1009639819714149</x:v>
      </x:c>
      <x:c r="F625" s="2"/>
      <x:c r="G625" s="2"/>
      <x:c r="H625" s="2"/>
    </x:row>
    <x:row r="626" ht="22" customHeight="1">
      <x:c r="A626" s="2" t="n">
        <x:v>620</x:v>
      </x:c>
      <x:c r="B626" s="79" t="n">
        <x:v>0.06394621867324621</x:v>
      </x:c>
      <x:c r="C626" s="46" t="n">
        <x:f>B626^2</x:f>
        <x:v>0.004089118882606622</x:v>
      </x:c>
      <x:c r="D626" s="47" t="n">
        <x:f>'Datos'!$B$26^3/3</x:f>
        <x:v>0.3333333333333333</x:v>
      </x:c>
      <x:c r="E626" s="46" t="n">
        <x:f>D626*(C626-1)</x:f>
        <x:v>-0.3319702937057978</x:v>
      </x:c>
      <x:c r="F626" s="2"/>
      <x:c r="G626" s="2"/>
      <x:c r="H626" s="2"/>
    </x:row>
    <x:row r="627" ht="22" customHeight="1">
      <x:c r="A627" s="2" t="n">
        <x:v>621</x:v>
      </x:c>
      <x:c r="B627" s="79" t="n">
        <x:v>0.4919570328365248</x:v>
      </x:c>
      <x:c r="C627" s="46" t="n">
        <x:f>B627^2</x:f>
        <x:v>0.24202172215731754</x:v>
      </x:c>
      <x:c r="D627" s="47" t="n">
        <x:f>'Datos'!$B$26^3/3</x:f>
        <x:v>0.3333333333333333</x:v>
      </x:c>
      <x:c r="E627" s="46" t="n">
        <x:f>D627*(C627-1)</x:f>
        <x:v>-0.2526594259475608</x:v>
      </x:c>
      <x:c r="F627" s="2"/>
      <x:c r="G627" s="2"/>
      <x:c r="H627" s="2"/>
    </x:row>
    <x:row r="628" ht="22" customHeight="1">
      <x:c r="A628" s="2" t="n">
        <x:v>622</x:v>
      </x:c>
      <x:c r="B628" s="79" t="n">
        <x:v>0.439340305250704</x:v>
      </x:c>
      <x:c r="C628" s="46" t="n">
        <x:f>B628^2</x:f>
        <x:v>0.19301990381778178</x:v>
      </x:c>
      <x:c r="D628" s="47" t="n">
        <x:f>'Datos'!$B$26^3/3</x:f>
        <x:v>0.3333333333333333</x:v>
      </x:c>
      <x:c r="E628" s="46" t="n">
        <x:f>D628*(C628-1)</x:f>
        <x:v>-0.2689933653940727</x:v>
      </x:c>
      <x:c r="F628" s="2"/>
      <x:c r="G628" s="2"/>
      <x:c r="H628" s="2"/>
    </x:row>
    <x:row r="629" ht="22" customHeight="1">
      <x:c r="A629" s="2" t="n">
        <x:v>623</x:v>
      </x:c>
      <x:c r="B629" s="79" t="n">
        <x:v>0.9176632018377977</x:v>
      </x:c>
      <x:c r="C629" s="46" t="n">
        <x:f>B629^2</x:f>
        <x:v>0.8421057520071986</x:v>
      </x:c>
      <x:c r="D629" s="47" t="n">
        <x:f>'Datos'!$B$26^3/3</x:f>
        <x:v>0.3333333333333333</x:v>
      </x:c>
      <x:c r="E629" s="46" t="n">
        <x:f>D629*(C629-1)</x:f>
        <x:v>-0.05263141599760046</x:v>
      </x:c>
      <x:c r="F629" s="2"/>
      <x:c r="G629" s="2"/>
      <x:c r="H629" s="2"/>
    </x:row>
    <x:row r="630" ht="22" customHeight="1">
      <x:c r="A630" s="2" t="n">
        <x:v>624</x:v>
      </x:c>
      <x:c r="B630" s="79" t="n">
        <x:v>-1.2387946478501324</x:v>
      </x:c>
      <x:c r="C630" s="46" t="n">
        <x:f>B630^2</x:f>
        <x:v>1.5346121795421335</x:v>
      </x:c>
      <x:c r="D630" s="47" t="n">
        <x:f>'Datos'!$B$26^3/3</x:f>
        <x:v>0.3333333333333333</x:v>
      </x:c>
      <x:c r="E630" s="46" t="n">
        <x:f>D630*(C630-1)</x:f>
        <x:v>0.1782040598473778</x:v>
      </x:c>
      <x:c r="F630" s="2"/>
      <x:c r="G630" s="2"/>
      <x:c r="H630" s="2"/>
    </x:row>
    <x:row r="631" ht="22" customHeight="1">
      <x:c r="A631" s="2" t="n">
        <x:v>625</x:v>
      </x:c>
      <x:c r="B631" s="79" t="n">
        <x:v>2.363872490053474</x:v>
      </x:c>
      <x:c r="C631" s="46" t="n">
        <x:f>B631^2</x:f>
        <x:v>5.587893149231611</x:v>
      </x:c>
      <x:c r="D631" s="47" t="n">
        <x:f>'Datos'!$B$26^3/3</x:f>
        <x:v>0.3333333333333333</x:v>
      </x:c>
      <x:c r="E631" s="46" t="n">
        <x:f>D631*(C631-1)</x:f>
        <x:v>1.529297716410537</x:v>
      </x:c>
      <x:c r="F631" s="2"/>
      <x:c r="G631" s="2"/>
      <x:c r="H631" s="2"/>
    </x:row>
    <x:row r="632" ht="22" customHeight="1">
      <x:c r="A632" s="2" t="n">
        <x:v>626</x:v>
      </x:c>
      <x:c r="B632" s="79" t="n">
        <x:v>0.33904482802597646</x:v>
      </x:c>
      <x:c r="C632" s="46" t="n">
        <x:f>B632^2</x:f>
        <x:v>0.11495139541116396</x:v>
      </x:c>
      <x:c r="D632" s="47" t="n">
        <x:f>'Datos'!$B$26^3/3</x:f>
        <x:v>0.3333333333333333</x:v>
      </x:c>
      <x:c r="E632" s="46" t="n">
        <x:f>D632*(C632-1)</x:f>
        <x:v>-0.295016201529612</x:v>
      </x:c>
      <x:c r="F632" s="2"/>
      <x:c r="G632" s="2"/>
      <x:c r="H632" s="2"/>
    </x:row>
    <x:row r="633" ht="22" customHeight="1">
      <x:c r="A633" s="2" t="n">
        <x:v>627</x:v>
      </x:c>
      <x:c r="B633" s="79" t="n">
        <x:v>-0.5673293035919605</x:v>
      </x:c>
      <x:c r="C633" s="46" t="n">
        <x:f>B633^2</x:f>
        <x:v>0.32186253871413895</x:v>
      </x:c>
      <x:c r="D633" s="47" t="n">
        <x:f>'Datos'!$B$26^3/3</x:f>
        <x:v>0.3333333333333333</x:v>
      </x:c>
      <x:c r="E633" s="46" t="n">
        <x:f>D633*(C633-1)</x:f>
        <x:v>-0.22604582042862034</x:v>
      </x:c>
      <x:c r="F633" s="2"/>
      <x:c r="G633" s="2"/>
      <x:c r="H633" s="2"/>
    </x:row>
    <x:row r="634" ht="22" customHeight="1">
      <x:c r="A634" s="2" t="n">
        <x:v>628</x:v>
      </x:c>
      <x:c r="B634" s="79" t="n">
        <x:v>0.9464246848446338</x:v>
      </x:c>
      <x:c r="C634" s="46" t="n">
        <x:f>B634^2</x:f>
        <x:v>0.8957196840832644</x:v>
      </x:c>
      <x:c r="D634" s="47" t="n">
        <x:f>'Datos'!$B$26^3/3</x:f>
        <x:v>0.3333333333333333</x:v>
      </x:c>
      <x:c r="E634" s="46" t="n">
        <x:f>D634*(C634-1)</x:f>
        <x:v>-0.03476010530557853</x:v>
      </x:c>
      <x:c r="F634" s="2"/>
      <x:c r="G634" s="2"/>
      <x:c r="H634" s="2"/>
    </x:row>
    <x:row r="635" ht="22" customHeight="1">
      <x:c r="A635" s="2" t="n">
        <x:v>629</x:v>
      </x:c>
      <x:c r="B635" s="79" t="n">
        <x:v>-1.0417839677356788</x:v>
      </x:c>
      <x:c r="C635" s="46" t="n">
        <x:f>B635^2</x:f>
        <x:v>1.0853138354310938</x:v>
      </x:c>
      <x:c r="D635" s="47" t="n">
        <x:f>'Datos'!$B$26^3/3</x:f>
        <x:v>0.3333333333333333</x:v>
      </x:c>
      <x:c r="E635" s="46" t="n">
        <x:f>D635*(C635-1)</x:f>
        <x:v>0.02843794514369794</x:v>
      </x:c>
      <x:c r="F635" s="2"/>
      <x:c r="G635" s="2"/>
      <x:c r="H635" s="2"/>
    </x:row>
    <x:row r="636" ht="22" customHeight="1">
      <x:c r="A636" s="2" t="n">
        <x:v>630</x:v>
      </x:c>
      <x:c r="B636" s="79" t="n">
        <x:v>0.6380193775650406</x:v>
      </x:c>
      <x:c r="C636" s="46" t="n">
        <x:f>B636^2</x:f>
        <x:v>0.4070687261484818</x:v>
      </x:c>
      <x:c r="D636" s="47" t="n">
        <x:f>'Datos'!$B$26^3/3</x:f>
        <x:v>0.3333333333333333</x:v>
      </x:c>
      <x:c r="E636" s="46" t="n">
        <x:f>D636*(C636-1)</x:f>
        <x:v>-0.19764375795050607</x:v>
      </x:c>
      <x:c r="F636" s="2"/>
      <x:c r="G636" s="2"/>
      <x:c r="H636" s="2"/>
    </x:row>
    <x:row r="637" ht="22" customHeight="1">
      <x:c r="A637" s="2" t="n">
        <x:v>631</x:v>
      </x:c>
      <x:c r="B637" s="79" t="n">
        <x:v>-0.859654106824267</x:v>
      </x:c>
      <x:c r="C637" s="46" t="n">
        <x:f>B637^2</x:f>
        <x:v>0.7390051833798282</x:v>
      </x:c>
      <x:c r="D637" s="47" t="n">
        <x:f>'Datos'!$B$26^3/3</x:f>
        <x:v>0.3333333333333333</x:v>
      </x:c>
      <x:c r="E637" s="46" t="n">
        <x:f>D637*(C637-1)</x:f>
        <x:v>-0.08699827220672392</x:v>
      </x:c>
      <x:c r="F637" s="2"/>
      <x:c r="G637" s="2"/>
      <x:c r="H637" s="2"/>
    </x:row>
    <x:row r="638" ht="22" customHeight="1">
      <x:c r="A638" s="2" t="n">
        <x:v>632</x:v>
      </x:c>
      <x:c r="B638" s="79" t="n">
        <x:v>-0.17112125095096067</x:v>
      </x:c>
      <x:c r="C638" s="46" t="n">
        <x:f>B638^2</x:f>
        <x:v>0.02928248252702166</x:v>
      </x:c>
      <x:c r="D638" s="47" t="n">
        <x:f>'Datos'!$B$26^3/3</x:f>
        <x:v>0.3333333333333333</x:v>
      </x:c>
      <x:c r="E638" s="46" t="n">
        <x:f>D638*(C638-1)</x:f>
        <x:v>-0.32357250582432606</x:v>
      </x:c>
      <x:c r="F638" s="2"/>
      <x:c r="G638" s="2"/>
      <x:c r="H638" s="2"/>
    </x:row>
    <x:row r="639" ht="22" customHeight="1">
      <x:c r="A639" s="2" t="n">
        <x:v>633</x:v>
      </x:c>
      <x:c r="B639" s="79" t="n">
        <x:v>0.07767090726323635</x:v>
      </x:c>
      <x:c r="C639" s="46" t="n">
        <x:f>B639^2</x:f>
        <x:v>0.0060327698350942606</x:v>
      </x:c>
      <x:c r="D639" s="47" t="n">
        <x:f>'Datos'!$B$26^3/3</x:f>
        <x:v>0.3333333333333333</x:v>
      </x:c>
      <x:c r="E639" s="46" t="n">
        <x:f>D639*(C639-1)</x:f>
        <x:v>-0.33132241005496854</x:v>
      </x:c>
      <x:c r="F639" s="2"/>
      <x:c r="G639" s="2"/>
      <x:c r="H639" s="2"/>
    </x:row>
    <x:row r="640" ht="22" customHeight="1">
      <x:c r="A640" s="2" t="n">
        <x:v>634</x:v>
      </x:c>
      <x:c r="B640" s="79" t="n">
        <x:v>-1.894523089328194</x:v>
      </x:c>
      <x:c r="C640" s="46" t="n">
        <x:f>B640^2</x:f>
        <x:v>3.589217735997644</x:v>
      </x:c>
      <x:c r="D640" s="47" t="n">
        <x:f>'Datos'!$B$26^3/3</x:f>
        <x:v>0.3333333333333333</x:v>
      </x:c>
      <x:c r="E640" s="46" t="n">
        <x:f>D640*(C640-1)</x:f>
        <x:v>0.8630725786658813</x:v>
      </x:c>
      <x:c r="F640" s="2"/>
      <x:c r="G640" s="2"/>
      <x:c r="H640" s="2"/>
    </x:row>
    <x:row r="641" ht="22" customHeight="1">
      <x:c r="A641" s="2" t="n">
        <x:v>635</x:v>
      </x:c>
      <x:c r="B641" s="79" t="n">
        <x:v>0.37321826094253796</x:v>
      </x:c>
      <x:c r="C641" s="46" t="n">
        <x:f>B641^2</x:f>
        <x:v>0.13929187030097234</x:v>
      </x:c>
      <x:c r="D641" s="47" t="n">
        <x:f>'Datos'!$B$26^3/3</x:f>
        <x:v>0.3333333333333333</x:v>
      </x:c>
      <x:c r="E641" s="46" t="n">
        <x:f>D641*(C641-1)</x:f>
        <x:v>-0.28690270989967587</x:v>
      </x:c>
      <x:c r="F641" s="2"/>
      <x:c r="G641" s="2"/>
      <x:c r="H641" s="2"/>
    </x:row>
    <x:row r="642" ht="22" customHeight="1">
      <x:c r="A642" s="2" t="n">
        <x:v>636</x:v>
      </x:c>
      <x:c r="B642" s="79" t="n">
        <x:v>-0.6623285522385411</x:v>
      </x:c>
      <x:c r="C642" s="46" t="n">
        <x:f>B642^2</x:f>
        <x:v>0.4386791111104019</x:v>
      </x:c>
      <x:c r="D642" s="47" t="n">
        <x:f>'Datos'!$B$26^3/3</x:f>
        <x:v>0.3333333333333333</x:v>
      </x:c>
      <x:c r="E642" s="46" t="n">
        <x:f>D642*(C642-1)</x:f>
        <x:v>-0.18710696296319934</x:v>
      </x:c>
      <x:c r="F642" s="2"/>
      <x:c r="G642" s="2"/>
      <x:c r="H642" s="2"/>
    </x:row>
    <x:row r="643" ht="22" customHeight="1">
      <x:c r="A643" s="2" t="n">
        <x:v>637</x:v>
      </x:c>
      <x:c r="B643" s="79" t="n">
        <x:v>-1.7929869326389298</x:v>
      </x:c>
      <x:c r="C643" s="46" t="n">
        <x:f>B643^2</x:f>
        <x:v>3.2148021406139584</x:v>
      </x:c>
      <x:c r="D643" s="47" t="n">
        <x:f>'Datos'!$B$26^3/3</x:f>
        <x:v>0.3333333333333333</x:v>
      </x:c>
      <x:c r="E643" s="46" t="n">
        <x:f>D643*(C643-1)</x:f>
        <x:v>0.7382673802046528</x:v>
      </x:c>
      <x:c r="F643" s="2"/>
      <x:c r="G643" s="2"/>
      <x:c r="H643" s="2"/>
    </x:row>
    <x:row r="644" ht="22" customHeight="1">
      <x:c r="A644" s="2" t="n">
        <x:v>638</x:v>
      </x:c>
      <x:c r="B644" s="79" t="n">
        <x:v>0.6973418414252525</x:v>
      </x:c>
      <x:c r="C644" s="46" t="n">
        <x:f>B644^2</x:f>
        <x:v>0.48628564380236194</x:v>
      </x:c>
      <x:c r="D644" s="47" t="n">
        <x:f>'Datos'!$B$26^3/3</x:f>
        <x:v>0.3333333333333333</x:v>
      </x:c>
      <x:c r="E644" s="46" t="n">
        <x:f>D644*(C644-1)</x:f>
        <x:v>-0.17123811873254602</x:v>
      </x:c>
      <x:c r="F644" s="2"/>
      <x:c r="G644" s="2"/>
      <x:c r="H644" s="2"/>
    </x:row>
    <x:row r="645" ht="22" customHeight="1">
      <x:c r="A645" s="2" t="n">
        <x:v>639</x:v>
      </x:c>
      <x:c r="B645" s="79" t="n">
        <x:v>0.3917598091489355</x:v>
      </x:c>
      <x:c r="C645" s="46" t="n">
        <x:f>B645^2</x:f>
        <x:v>0.15347574806441036</x:v>
      </x:c>
      <x:c r="D645" s="47" t="n">
        <x:f>'Datos'!$B$26^3/3</x:f>
        <x:v>0.3333333333333333</x:v>
      </x:c>
      <x:c r="E645" s="46" t="n">
        <x:f>D645*(C645-1)</x:f>
        <x:v>-0.28217475064519654</x:v>
      </x:c>
      <x:c r="F645" s="2"/>
      <x:c r="G645" s="2"/>
      <x:c r="H645" s="2"/>
    </x:row>
    <x:row r="646" ht="22" customHeight="1">
      <x:c r="A646" s="2" t="n">
        <x:v>640</x:v>
      </x:c>
      <x:c r="B646" s="79" t="n">
        <x:v>1.3114982910778001</x:v>
      </x:c>
      <x:c r="C646" s="46" t="n">
        <x:f>B646^2</x:f>
        <x:v>1.7200277674999902</x:v>
      </x:c>
      <x:c r="D646" s="47" t="n">
        <x:f>'Datos'!$B$26^3/3</x:f>
        <x:v>0.3333333333333333</x:v>
      </x:c>
      <x:c r="E646" s="46" t="n">
        <x:f>D646*(C646-1)</x:f>
        <x:v>0.24000925583333005</x:v>
      </x:c>
      <x:c r="F646" s="2"/>
      <x:c r="G646" s="2"/>
      <x:c r="H646" s="2"/>
    </x:row>
    <x:row r="647" ht="22" customHeight="1">
      <x:c r="A647" s="2" t="n">
        <x:v>641</x:v>
      </x:c>
      <x:c r="B647" s="79" t="n">
        <x:v>0.7551127990441361</x:v>
      </x:c>
      <x:c r="C647" s="46" t="n">
        <x:f>B647^2</x:f>
        <x:v>0.5701953392802699</x:v>
      </x:c>
      <x:c r="D647" s="47" t="n">
        <x:f>'Datos'!$B$26^3/3</x:f>
        <x:v>0.3333333333333333</x:v>
      </x:c>
      <x:c r="E647" s="46" t="n">
        <x:f>D647*(C647-1)</x:f>
        <x:v>-0.14326822023991004</x:v>
      </x:c>
      <x:c r="F647" s="2"/>
      <x:c r="G647" s="2"/>
      <x:c r="H647" s="2"/>
    </x:row>
    <x:row r="648" ht="22" customHeight="1">
      <x:c r="A648" s="2" t="n">
        <x:v>642</x:v>
      </x:c>
      <x:c r="B648" s="79" t="n">
        <x:v>0.7828111702635385</x:v>
      </x:c>
      <x:c r="C648" s="46" t="n">
        <x:f>B648^2</x:f>
        <x:v>0.6127933282893707</x:v>
      </x:c>
      <x:c r="D648" s="47" t="n">
        <x:f>'Datos'!$B$26^3/3</x:f>
        <x:v>0.3333333333333333</x:v>
      </x:c>
      <x:c r="E648" s="46" t="n">
        <x:f>D648*(C648-1)</x:f>
        <x:v>-0.12906889057020976</x:v>
      </x:c>
      <x:c r="F648" s="2"/>
      <x:c r="G648" s="2"/>
      <x:c r="H648" s="2"/>
    </x:row>
    <x:row r="649" ht="22" customHeight="1">
      <x:c r="A649" s="2" t="n">
        <x:v>643</x:v>
      </x:c>
      <x:c r="B649" s="79" t="n">
        <x:v>1.3180905634970264</x:v>
      </x:c>
      <x:c r="C649" s="46" t="n">
        <x:f>B649^2</x:f>
        <x:v>1.7373627335799084</x:v>
      </x:c>
      <x:c r="D649" s="47" t="n">
        <x:f>'Datos'!$B$26^3/3</x:f>
        <x:v>0.3333333333333333</x:v>
      </x:c>
      <x:c r="E649" s="46" t="n">
        <x:f>D649*(C649-1)</x:f>
        <x:v>0.24578757785996946</x:v>
      </x:c>
      <x:c r="F649" s="2"/>
      <x:c r="G649" s="2"/>
      <x:c r="H649" s="2"/>
    </x:row>
    <x:row r="650" ht="22" customHeight="1">
      <x:c r="A650" s="2" t="n">
        <x:v>644</x:v>
      </x:c>
      <x:c r="B650" s="79" t="n">
        <x:v>-0.1353381265729153</x:v>
      </x:c>
      <x:c r="C650" s="46" t="n">
        <x:f>B650^2</x:f>
        <x:v>0.018316408504266444</x:v>
      </x:c>
      <x:c r="D650" s="47" t="n">
        <x:f>'Datos'!$B$26^3/3</x:f>
        <x:v>0.3333333333333333</x:v>
      </x:c>
      <x:c r="E650" s="46" t="n">
        <x:f>D650*(C650-1)</x:f>
        <x:v>-0.32722786383191116</x:v>
      </x:c>
      <x:c r="F650" s="2"/>
      <x:c r="G650" s="2"/>
      <x:c r="H650" s="2"/>
    </x:row>
    <x:row r="651" ht="22" customHeight="1">
      <x:c r="A651" s="2" t="n">
        <x:v>645</x:v>
      </x:c>
      <x:c r="B651" s="79" t="n">
        <x:v>1.978103675100107</x:v>
      </x:c>
      <x:c r="C651" s="46" t="n">
        <x:f>B651^2</x:f>
        <x:v>3.91289414944455</x:v>
      </x:c>
      <x:c r="D651" s="47" t="n">
        <x:f>'Datos'!$B$26^3/3</x:f>
        <x:v>0.3333333333333333</x:v>
      </x:c>
      <x:c r="E651" s="46" t="n">
        <x:f>D651*(C651-1)</x:f>
        <x:v>0.9709647164815167</x:v>
      </x:c>
      <x:c r="F651" s="2"/>
      <x:c r="G651" s="2"/>
      <x:c r="H651" s="2"/>
    </x:row>
    <x:row r="652" ht="22" customHeight="1">
      <x:c r="A652" s="2" t="n">
        <x:v>646</x:v>
      </x:c>
      <x:c r="B652" s="79" t="n">
        <x:v>-0.3015448139444688</x:v>
      </x:c>
      <x:c r="C652" s="46" t="n">
        <x:f>B652^2</x:f>
        <x:v>0.09092927481680431</x:v>
      </x:c>
      <x:c r="D652" s="47" t="n">
        <x:f>'Datos'!$B$26^3/3</x:f>
        <x:v>0.3333333333333333</x:v>
      </x:c>
      <x:c r="E652" s="46" t="n">
        <x:f>D652*(C652-1)</x:f>
        <x:v>-0.3030235750610652</x:v>
      </x:c>
      <x:c r="F652" s="2"/>
      <x:c r="G652" s="2"/>
      <x:c r="H652" s="2"/>
    </x:row>
    <x:row r="653" ht="22" customHeight="1">
      <x:c r="A653" s="2" t="n">
        <x:v>647</x:v>
      </x:c>
      <x:c r="B653" s="79" t="n">
        <x:v>0.2225023454490199</x:v>
      </x:c>
      <x:c r="C653" s="46" t="n">
        <x:f>B653^2</x:f>
        <x:v>0.04950729373031498</x:v>
      </x:c>
      <x:c r="D653" s="47" t="n">
        <x:f>'Datos'!$B$26^3/3</x:f>
        <x:v>0.3333333333333333</x:v>
      </x:c>
      <x:c r="E653" s="46" t="n">
        <x:f>D653*(C653-1)</x:f>
        <x:v>-0.316830902089895</x:v>
      </x:c>
      <x:c r="F653" s="2"/>
      <x:c r="G653" s="2"/>
      <x:c r="H653" s="2"/>
    </x:row>
    <x:row r="654" ht="22" customHeight="1">
      <x:c r="A654" s="2" t="n">
        <x:v>648</x:v>
      </x:c>
      <x:c r="B654" s="79" t="n">
        <x:v>-0.3945193904376879</x:v>
      </x:c>
      <x:c r="C654" s="46" t="n">
        <x:f>B654^2</x:f>
        <x:v>0.15564554943132483</x:v>
      </x:c>
      <x:c r="D654" s="47" t="n">
        <x:f>'Datos'!$B$26^3/3</x:f>
        <x:v>0.3333333333333333</x:v>
      </x:c>
      <x:c r="E654" s="46" t="n">
        <x:f>D654*(C654-1)</x:f>
        <x:v>-0.28145148352289173</x:v>
      </x:c>
      <x:c r="F654" s="2"/>
      <x:c r="G654" s="2"/>
      <x:c r="H654" s="2"/>
    </x:row>
    <x:row r="655" ht="22" customHeight="1">
      <x:c r="A655" s="2" t="n">
        <x:v>649</x:v>
      </x:c>
      <x:c r="B655" s="79" t="n">
        <x:v>-0.019514326044339912</x:v>
      </x:c>
      <x:c r="C655" s="46" t="n">
        <x:f>B655^2</x:f>
        <x:v>0.000380808920964803</x:v>
      </x:c>
      <x:c r="D655" s="47" t="n">
        <x:f>'Datos'!$B$26^3/3</x:f>
        <x:v>0.3333333333333333</x:v>
      </x:c>
      <x:c r="E655" s="46" t="n">
        <x:f>D655*(C655-1)</x:f>
        <x:v>-0.333206397026345</x:v>
      </x:c>
      <x:c r="F655" s="2"/>
      <x:c r="G655" s="2"/>
      <x:c r="H655" s="2"/>
    </x:row>
    <x:row r="656" ht="22" customHeight="1">
      <x:c r="A656" s="2" t="n">
        <x:v>650</x:v>
      </x:c>
      <x:c r="B656" s="79" t="n">
        <x:v>0.7611846146737664</x:v>
      </x:c>
      <x:c r="C656" s="46" t="n">
        <x:f>B656^2</x:f>
        <x:v>0.5794020176160503</x:v>
      </x:c>
      <x:c r="D656" s="47" t="n">
        <x:f>'Datos'!$B$26^3/3</x:f>
        <x:v>0.3333333333333333</x:v>
      </x:c>
      <x:c r="E656" s="46" t="n">
        <x:f>D656*(C656-1)</x:f>
        <x:v>-0.14019932746131658</x:v>
      </x:c>
      <x:c r="F656" s="2"/>
      <x:c r="G656" s="2"/>
      <x:c r="H656" s="2"/>
    </x:row>
    <x:row r="657" ht="22" customHeight="1">
      <x:c r="A657" s="2" t="n">
        <x:v>651</x:v>
      </x:c>
      <x:c r="B657" s="79" t="n">
        <x:v>-1.5303047039357023</x:v>
      </x:c>
      <x:c r="C657" s="46" t="n">
        <x:f>B657^2</x:f>
        <x:v>2.3418324868877374</x:v>
      </x:c>
      <x:c r="D657" s="47" t="n">
        <x:f>'Datos'!$B$26^3/3</x:f>
        <x:v>0.3333333333333333</x:v>
      </x:c>
      <x:c r="E657" s="46" t="n">
        <x:f>D657*(C657-1)</x:f>
        <x:v>0.4472774956292458</x:v>
      </x:c>
      <x:c r="F657" s="2"/>
      <x:c r="G657" s="2"/>
      <x:c r="H657" s="2"/>
    </x:row>
    <x:row r="658" ht="22" customHeight="1">
      <x:c r="A658" s="2" t="n">
        <x:v>652</x:v>
      </x:c>
      <x:c r="B658" s="79" t="n">
        <x:v>-0.20807036790073058</x:v>
      </x:c>
      <x:c r="C658" s="46" t="n">
        <x:f>B658^2</x:f>
        <x:v>0.04329327799834538</x:v>
      </x:c>
      <x:c r="D658" s="47" t="n">
        <x:f>'Datos'!$B$26^3/3</x:f>
        <x:v>0.3333333333333333</x:v>
      </x:c>
      <x:c r="E658" s="46" t="n">
        <x:f>D658*(C658-1)</x:f>
        <x:v>-0.3189022406672182</x:v>
      </x:c>
      <x:c r="F658" s="2"/>
      <x:c r="G658" s="2"/>
      <x:c r="H658" s="2"/>
    </x:row>
    <x:row r="659" ht="22" customHeight="1">
      <x:c r="A659" s="2" t="n">
        <x:v>653</x:v>
      </x:c>
      <x:c r="B659" s="79" t="n">
        <x:v>-2.9200428908018594</x:v>
      </x:c>
      <x:c r="C659" s="46" t="n">
        <x:f>B659^2</x:f>
        <x:v>8.526650484122479</x:v>
      </x:c>
      <x:c r="D659" s="47" t="n">
        <x:f>'Datos'!$B$26^3/3</x:f>
        <x:v>0.3333333333333333</x:v>
      </x:c>
      <x:c r="E659" s="46" t="n">
        <x:f>D659*(C659-1)</x:f>
        <x:v>2.5088834947074927</x:v>
      </x:c>
      <x:c r="F659" s="2"/>
      <x:c r="G659" s="2"/>
      <x:c r="H659" s="2"/>
    </x:row>
    <x:row r="660" ht="22" customHeight="1">
      <x:c r="A660" s="2" t="n">
        <x:v>654</x:v>
      </x:c>
      <x:c r="B660" s="79" t="n">
        <x:v>-0.16219888225516904</x:v>
      </x:c>
      <x:c r="C660" s="46" t="n">
        <x:f>B660^2</x:f>
        <x:v>0.02630847740482619</x:v>
      </x:c>
      <x:c r="D660" s="47" t="n">
        <x:f>'Datos'!$B$26^3/3</x:f>
        <x:v>0.3333333333333333</x:v>
      </x:c>
      <x:c r="E660" s="46" t="n">
        <x:f>D660*(C660-1)</x:f>
        <x:v>-0.3245638408650579</x:v>
      </x:c>
      <x:c r="F660" s="2"/>
      <x:c r="G660" s="2"/>
      <x:c r="H660" s="2"/>
    </x:row>
    <x:row r="661" ht="22" customHeight="1">
      <x:c r="A661" s="2" t="n">
        <x:v>655</x:v>
      </x:c>
      <x:c r="B661" s="79" t="n">
        <x:v>-0.24877990056624627</x:v>
      </x:c>
      <x:c r="C661" s="46" t="n">
        <x:f>B661^2</x:f>
        <x:v>0.06189143892575138</x:v>
      </x:c>
      <x:c r="D661" s="47" t="n">
        <x:f>'Datos'!$B$26^3/3</x:f>
        <x:v>0.3333333333333333</x:v>
      </x:c>
      <x:c r="E661" s="46" t="n">
        <x:f>D661*(C661-1)</x:f>
        <x:v>-0.3127028536914162</x:v>
      </x:c>
      <x:c r="F661" s="2"/>
      <x:c r="G661" s="2"/>
      <x:c r="H661" s="2"/>
    </x:row>
    <x:row r="662" ht="22" customHeight="1">
      <x:c r="A662" s="2" t="n">
        <x:v>656</x:v>
      </x:c>
      <x:c r="B662" s="79" t="n">
        <x:v>0.05575665337454578</x:v>
      </x:c>
      <x:c r="C662" s="46" t="n">
        <x:f>B662^2</x:f>
        <x:v>0.003108804395529247</x:v>
      </x:c>
      <x:c r="D662" s="47" t="n">
        <x:f>'Datos'!$B$26^3/3</x:f>
        <x:v>0.3333333333333333</x:v>
      </x:c>
      <x:c r="E662" s="46" t="n">
        <x:f>D662*(C662-1)</x:f>
        <x:v>-0.3322970652014902</x:v>
      </x:c>
      <x:c r="F662" s="2"/>
      <x:c r="G662" s="2"/>
      <x:c r="H662" s="2"/>
    </x:row>
    <x:row r="663" ht="22" customHeight="1">
      <x:c r="A663" s="2" t="n">
        <x:v>657</x:v>
      </x:c>
      <x:c r="B663" s="79" t="n">
        <x:v>-0.5527591635884718</x:v>
      </x:c>
      <x:c r="C663" s="46" t="n">
        <x:f>B663^2</x:f>
        <x:v>0.30554269293102687</x:v>
      </x:c>
      <x:c r="D663" s="47" t="n">
        <x:f>'Datos'!$B$26^3/3</x:f>
        <x:v>0.3333333333333333</x:v>
      </x:c>
      <x:c r="E663" s="46" t="n">
        <x:f>D663*(C663-1)</x:f>
        <x:v>-0.23148576902299103</x:v>
      </x:c>
      <x:c r="F663" s="2"/>
      <x:c r="G663" s="2"/>
      <x:c r="H663" s="2"/>
    </x:row>
    <x:row r="664" ht="22" customHeight="1">
      <x:c r="A664" s="2" t="n">
        <x:v>658</x:v>
      </x:c>
      <x:c r="B664" s="79" t="n">
        <x:v>1.3584351914085842</x:v>
      </x:c>
      <x:c r="C664" s="46" t="n">
        <x:f>B664^2</x:f>
        <x:v>1.8453461692572766</x:v>
      </x:c>
      <x:c r="D664" s="47" t="n">
        <x:f>'Datos'!$B$26^3/3</x:f>
        <x:v>0.3333333333333333</x:v>
      </x:c>
      <x:c r="E664" s="46" t="n">
        <x:f>D664*(C664-1)</x:f>
        <x:v>0.28178205641909215</x:v>
      </x:c>
      <x:c r="F664" s="2"/>
      <x:c r="G664" s="2"/>
      <x:c r="H664" s="2"/>
    </x:row>
    <x:row r="665" ht="22" customHeight="1">
      <x:c r="A665" s="2" t="n">
        <x:v>659</x:v>
      </x:c>
      <x:c r="B665" s="79" t="n">
        <x:v>-0.7517546741214164</x:v>
      </x:c>
      <x:c r="C665" s="46" t="n">
        <x:f>B665^2</x:f>
        <x:v>0.5651350900633969</x:v>
      </x:c>
      <x:c r="D665" s="47" t="n">
        <x:f>'Datos'!$B$26^3/3</x:f>
        <x:v>0.3333333333333333</x:v>
      </x:c>
      <x:c r="E665" s="46" t="n">
        <x:f>D665*(C665-1)</x:f>
        <x:v>-0.1449549699788677</x:v>
      </x:c>
      <x:c r="F665" s="2"/>
      <x:c r="G665" s="2"/>
      <x:c r="H665" s="2"/>
    </x:row>
    <x:row r="666" ht="22" customHeight="1">
      <x:c r="A666" s="2" t="n">
        <x:v>660</x:v>
      </x:c>
      <x:c r="B666" s="79" t="n">
        <x:v>0.02520209744508158</x:v>
      </x:c>
      <x:c r="C666" s="46" t="n">
        <x:f>B666^2</x:f>
        <x:v>0.0006351457156313874</x:v>
      </x:c>
      <x:c r="D666" s="47" t="n">
        <x:f>'Datos'!$B$26^3/3</x:f>
        <x:v>0.3333333333333333</x:v>
      </x:c>
      <x:c r="E666" s="46" t="n">
        <x:f>D666*(C666-1)</x:f>
        <x:v>-0.3331216180947895</x:v>
      </x:c>
      <x:c r="F666" s="2"/>
      <x:c r="G666" s="2"/>
      <x:c r="H666" s="2"/>
    </x:row>
    <x:row r="667" ht="22" customHeight="1">
      <x:c r="A667" s="2" t="n">
        <x:v>661</x:v>
      </x:c>
      <x:c r="B667" s="79" t="n">
        <x:v>-0.11930151742560456</x:v>
      </x:c>
      <x:c r="C667" s="46" t="n">
        <x:f>B667^2</x:f>
        <x:v>0.014232852060051829</x:v>
      </x:c>
      <x:c r="D667" s="47" t="n">
        <x:f>'Datos'!$B$26^3/3</x:f>
        <x:v>0.3333333333333333</x:v>
      </x:c>
      <x:c r="E667" s="46" t="n">
        <x:f>D667*(C667-1)</x:f>
        <x:v>-0.328589049313316</x:v>
      </x:c>
      <x:c r="F667" s="2"/>
      <x:c r="G667" s="2"/>
      <x:c r="H667" s="2"/>
    </x:row>
    <x:row r="668" ht="22" customHeight="1">
      <x:c r="A668" s="2" t="n">
        <x:v>662</x:v>
      </x:c>
      <x:c r="B668" s="79" t="n">
        <x:v>0.46029602835833794</x:v>
      </x:c>
      <x:c r="C668" s="46" t="n">
        <x:f>B668^2</x:f>
        <x:v>0.21187243372245984</x:v>
      </x:c>
      <x:c r="D668" s="47" t="n">
        <x:f>'Datos'!$B$26^3/3</x:f>
        <x:v>0.3333333333333333</x:v>
      </x:c>
      <x:c r="E668" s="46" t="n">
        <x:f>D668*(C668-1)</x:f>
        <x:v>-0.26270918875918003</x:v>
      </x:c>
      <x:c r="F668" s="2"/>
      <x:c r="G668" s="2"/>
      <x:c r="H668" s="2"/>
    </x:row>
    <x:row r="669" ht="22" customHeight="1">
      <x:c r="A669" s="2" t="n">
        <x:v>663</x:v>
      </x:c>
      <x:c r="B669" s="79" t="n">
        <x:v>-0.8921369527594922</x:v>
      </x:c>
      <x:c r="C669" s="46" t="n">
        <x:f>B669^2</x:f>
        <x:v>0.7959083424789924</x:v>
      </x:c>
      <x:c r="D669" s="47" t="n">
        <x:f>'Datos'!$B$26^3/3</x:f>
        <x:v>0.3333333333333333</x:v>
      </x:c>
      <x:c r="E669" s="46" t="n">
        <x:f>D669*(C669-1)</x:f>
        <x:v>-0.06803055250700252</x:v>
      </x:c>
      <x:c r="F669" s="2"/>
      <x:c r="G669" s="2"/>
      <x:c r="H669" s="2"/>
    </x:row>
    <x:row r="670" ht="22" customHeight="1">
      <x:c r="A670" s="2" t="n">
        <x:v>664</x:v>
      </x:c>
      <x:c r="B670" s="79" t="n">
        <x:v>0.08640499700928143</x:v>
      </x:c>
      <x:c r="C670" s="46" t="n">
        <x:f>B670^2</x:f>
        <x:v>0.007465823508173933</x:v>
      </x:c>
      <x:c r="D670" s="47" t="n">
        <x:f>'Datos'!$B$26^3/3</x:f>
        <x:v>0.3333333333333333</x:v>
      </x:c>
      <x:c r="E670" s="46" t="n">
        <x:f>D670*(C670-1)</x:f>
        <x:v>-0.33084472549727534</x:v>
      </x:c>
      <x:c r="F670" s="2"/>
      <x:c r="G670" s="2"/>
      <x:c r="H670" s="2"/>
    </x:row>
    <x:row r="671" ht="22" customHeight="1">
      <x:c r="A671" s="2" t="n">
        <x:v>665</x:v>
      </x:c>
      <x:c r="B671" s="79" t="n">
        <x:v>-0.05912155324309166</x:v>
      </x:c>
      <x:c r="C671" s="46" t="n">
        <x:f>B671^2</x:f>
        <x:v>0.0034953580578757216</x:v>
      </x:c>
      <x:c r="D671" s="47" t="n">
        <x:f>'Datos'!$B$26^3/3</x:f>
        <x:v>0.3333333333333333</x:v>
      </x:c>
      <x:c r="E671" s="46" t="n">
        <x:f>D671*(C671-1)</x:f>
        <x:v>-0.33216821398070806</x:v>
      </x:c>
      <x:c r="F671" s="2"/>
      <x:c r="G671" s="2"/>
      <x:c r="H671" s="2"/>
    </x:row>
    <x:row r="672" ht="22" customHeight="1">
      <x:c r="A672" s="2" t="n">
        <x:v>666</x:v>
      </x:c>
      <x:c r="B672" s="79" t="n">
        <x:v>0.9660907168223395</x:v>
      </x:c>
      <x:c r="C672" s="46" t="n">
        <x:f>B672^2</x:f>
        <x:v>0.9333312731303017</x:v>
      </x:c>
      <x:c r="D672" s="47" t="n">
        <x:f>'Datos'!$B$26^3/3</x:f>
        <x:v>0.3333333333333333</x:v>
      </x:c>
      <x:c r="E672" s="46" t="n">
        <x:f>D672*(C672-1)</x:f>
        <x:v>-0.02222290895656609</x:v>
      </x:c>
      <x:c r="F672" s="2"/>
      <x:c r="G672" s="2"/>
      <x:c r="H672" s="2"/>
    </x:row>
    <x:row r="673" ht="22" customHeight="1">
      <x:c r="A673" s="2" t="n">
        <x:v>667</x:v>
      </x:c>
      <x:c r="B673" s="79" t="n">
        <x:v>-1.5659338907440639</x:v>
      </x:c>
      <x:c r="C673" s="46" t="n">
        <x:f>B673^2</x:f>
        <x:v>2.452148950180842</x:v>
      </x:c>
      <x:c r="D673" s="47" t="n">
        <x:f>'Datos'!$B$26^3/3</x:f>
        <x:v>0.3333333333333333</x:v>
      </x:c>
      <x:c r="E673" s="46" t="n">
        <x:f>D673*(C673-1)</x:f>
        <x:v>0.48404965006028056</x:v>
      </x:c>
      <x:c r="F673" s="2"/>
      <x:c r="G673" s="2"/>
      <x:c r="H673" s="2"/>
    </x:row>
    <x:row r="674" ht="22" customHeight="1">
      <x:c r="A674" s="2" t="n">
        <x:v>668</x:v>
      </x:c>
      <x:c r="B674" s="79" t="n">
        <x:v>1.4540308011782377</x:v>
      </x:c>
      <x:c r="C674" s="46" t="n">
        <x:f>B674^2</x:f>
        <x:v>2.114205570775028</x:v>
      </x:c>
      <x:c r="D674" s="47" t="n">
        <x:f>'Datos'!$B$26^3/3</x:f>
        <x:v>0.3333333333333333</x:v>
      </x:c>
      <x:c r="E674" s="46" t="n">
        <x:f>D674*(C674-1)</x:f>
        <x:v>0.37140185692500927</x:v>
      </x:c>
      <x:c r="F674" s="2"/>
      <x:c r="G674" s="2"/>
      <x:c r="H674" s="2"/>
    </x:row>
    <x:row r="675" ht="22" customHeight="1">
      <x:c r="A675" s="2" t="n">
        <x:v>669</x:v>
      </x:c>
      <x:c r="B675" s="79" t="n">
        <x:v>-0.33283218199617337</x:v>
      </x:c>
      <x:c r="C675" s="46" t="n">
        <x:f>B675^2</x:f>
        <x:v>0.11077726137233387</x:v>
      </x:c>
      <x:c r="D675" s="47" t="n">
        <x:f>'Datos'!$B$26^3/3</x:f>
        <x:v>0.3333333333333333</x:v>
      </x:c>
      <x:c r="E675" s="46" t="n">
        <x:f>D675*(C675-1)</x:f>
        <x:v>-0.29640757954255537</x:v>
      </x:c>
      <x:c r="F675" s="2"/>
      <x:c r="G675" s="2"/>
      <x:c r="H675" s="2"/>
    </x:row>
    <x:row r="676" ht="22" customHeight="1">
      <x:c r="A676" s="2" t="n">
        <x:v>670</x:v>
      </x:c>
      <x:c r="B676" s="79" t="n">
        <x:v>-1.990164797491407</x:v>
      </x:c>
      <x:c r="C676" s="46" t="n">
        <x:f>B676^2</x:f>
        <x:v>3.960755921174013</x:v>
      </x:c>
      <x:c r="D676" s="47" t="n">
        <x:f>'Datos'!$B$26^3/3</x:f>
        <x:v>0.3333333333333333</x:v>
      </x:c>
      <x:c r="E676" s="46" t="n">
        <x:f>D676*(C676-1)</x:f>
        <x:v>0.9869186403913376</x:v>
      </x:c>
      <x:c r="F676" s="2"/>
      <x:c r="G676" s="2"/>
      <x:c r="H676" s="2"/>
    </x:row>
    <x:row r="677" ht="22" customHeight="1">
      <x:c r="A677" s="2" t="n">
        <x:v>671</x:v>
      </x:c>
      <x:c r="B677" s="79" t="n">
        <x:v>0.804653503511246</x:v>
      </x:c>
      <x:c r="C677" s="46" t="n">
        <x:f>B677^2</x:f>
        <x:v>0.6474672607129227</x:v>
      </x:c>
      <x:c r="D677" s="47" t="n">
        <x:f>'Datos'!$B$26^3/3</x:f>
        <x:v>0.3333333333333333</x:v>
      </x:c>
      <x:c r="E677" s="46" t="n">
        <x:f>D677*(C677-1)</x:f>
        <x:v>-0.11751091309569242</x:v>
      </x:c>
      <x:c r="F677" s="2"/>
      <x:c r="G677" s="2"/>
      <x:c r="H677" s="2"/>
    </x:row>
    <x:row r="678" ht="22" customHeight="1">
      <x:c r="A678" s="2" t="n">
        <x:v>672</x:v>
      </x:c>
      <x:c r="B678" s="79" t="n">
        <x:v>1.0739120502384505</x:v>
      </x:c>
      <x:c r="C678" s="46" t="n">
        <x:f>B678^2</x:f>
        <x:v>1.153287091647352</x:v>
      </x:c>
      <x:c r="D678" s="47" t="n">
        <x:f>'Datos'!$B$26^3/3</x:f>
        <x:v>0.3333333333333333</x:v>
      </x:c>
      <x:c r="E678" s="46" t="n">
        <x:f>D678*(C678-1)</x:f>
        <x:v>0.05109569721578403</x:v>
      </x:c>
      <x:c r="F678" s="2"/>
      <x:c r="G678" s="2"/>
      <x:c r="H678" s="2"/>
    </x:row>
    <x:row r="679" ht="22" customHeight="1">
      <x:c r="A679" s="2" t="n">
        <x:v>673</x:v>
      </x:c>
      <x:c r="B679" s="79" t="n">
        <x:v>-1.0392046046192962</x:v>
      </x:c>
      <x:c r="C679" s="46" t="n">
        <x:f>B679^2</x:f>
        <x:v>1.0799462102619477</x:v>
      </x:c>
      <x:c r="D679" s="47" t="n">
        <x:f>'Datos'!$B$26^3/3</x:f>
        <x:v>0.3333333333333333</x:v>
      </x:c>
      <x:c r="E679" s="46" t="n">
        <x:f>D679*(C679-1)</x:f>
        <x:v>0.026648736753982567</x:v>
      </x:c>
      <x:c r="F679" s="2"/>
      <x:c r="G679" s="2"/>
      <x:c r="H679" s="2"/>
    </x:row>
    <x:row r="680" ht="22" customHeight="1">
      <x:c r="A680" s="2" t="n">
        <x:v>674</x:v>
      </x:c>
      <x:c r="B680" s="79" t="n">
        <x:v>1.5347581265699695</x:v>
      </x:c>
      <x:c r="C680" s="46" t="n">
        <x:f>B680^2</x:f>
        <x:v>2.3554825070725625</x:v>
      </x:c>
      <x:c r="D680" s="47" t="n">
        <x:f>'Datos'!$B$26^3/3</x:f>
        <x:v>0.3333333333333333</x:v>
      </x:c>
      <x:c r="E680" s="46" t="n">
        <x:f>D680*(C680-1)</x:f>
        <x:v>0.4518275023575208</x:v>
      </x:c>
      <x:c r="F680" s="2"/>
      <x:c r="G680" s="2"/>
      <x:c r="H680" s="2"/>
    </x:row>
    <x:row r="681" ht="22" customHeight="1">
      <x:c r="A681" s="2" t="n">
        <x:v>675</x:v>
      </x:c>
      <x:c r="B681" s="79" t="n">
        <x:v>-1.0895957607801925</x:v>
      </x:c>
      <x:c r="C681" s="46" t="n">
        <x:f>B681^2</x:f>
        <x:v>1.1872189219101665</x:v>
      </x:c>
      <x:c r="D681" s="47" t="n">
        <x:f>'Datos'!$B$26^3/3</x:f>
        <x:v>0.3333333333333333</x:v>
      </x:c>
      <x:c r="E681" s="46" t="n">
        <x:f>D681*(C681-1)</x:f>
        <x:v>0.06240630730338884</x:v>
      </x:c>
      <x:c r="F681" s="2"/>
      <x:c r="G681" s="2"/>
      <x:c r="H681" s="2"/>
    </x:row>
    <x:row r="682" ht="22" customHeight="1">
      <x:c r="A682" s="2" t="n">
        <x:v>676</x:v>
      </x:c>
      <x:c r="B682" s="79" t="n">
        <x:v>0.0874540531303427</x:v>
      </x:c>
      <x:c r="C682" s="46" t="n">
        <x:f>B682^2</x:f>
        <x:v>0.007648211408924804</x:v>
      </x:c>
      <x:c r="D682" s="47" t="n">
        <x:f>'Datos'!$B$26^3/3</x:f>
        <x:v>0.3333333333333333</x:v>
      </x:c>
      <x:c r="E682" s="46" t="n">
        <x:f>D682*(C682-1)</x:f>
        <x:v>-0.3307839295303584</x:v>
      </x:c>
      <x:c r="F682" s="2"/>
      <x:c r="G682" s="2"/>
      <x:c r="H682" s="2"/>
    </x:row>
    <x:row r="683" ht="22" customHeight="1">
      <x:c r="A683" s="2" t="n">
        <x:v>677</x:v>
      </x:c>
      <x:c r="B683" s="79" t="n">
        <x:v>-0.2957913281004811</x:v>
      </x:c>
      <x:c r="C683" s="46" t="n">
        <x:f>B683^2</x:f>
        <x:v>0.08749250977944645</x:v>
      </x:c>
      <x:c r="D683" s="47" t="n">
        <x:f>'Datos'!$B$26^3/3</x:f>
        <x:v>0.3333333333333333</x:v>
      </x:c>
      <x:c r="E683" s="46" t="n">
        <x:f>D683*(C683-1)</x:f>
        <x:v>-0.3041691634068512</x:v>
      </x:c>
      <x:c r="F683" s="2"/>
      <x:c r="G683" s="2"/>
      <x:c r="H683" s="2"/>
    </x:row>
    <x:row r="684" ht="22" customHeight="1">
      <x:c r="A684" s="2" t="n">
        <x:v>678</x:v>
      </x:c>
      <x:c r="B684" s="79" t="n">
        <x:v>-0.4543445226242776</x:v>
      </x:c>
      <x:c r="C684" s="46" t="n">
        <x:f>B684^2</x:f>
        <x:v>0.20642894523868272</x:v>
      </x:c>
      <x:c r="D684" s="47" t="n">
        <x:f>'Datos'!$B$26^3/3</x:f>
        <x:v>0.3333333333333333</x:v>
      </x:c>
      <x:c r="E684" s="46" t="n">
        <x:f>D684*(C684-1)</x:f>
        <x:v>-0.2645236849204391</x:v>
      </x:c>
      <x:c r="F684" s="2"/>
      <x:c r="G684" s="2"/>
      <x:c r="H684" s="2"/>
    </x:row>
    <x:row r="685" ht="22" customHeight="1">
      <x:c r="A685" s="2" t="n">
        <x:v>679</x:v>
      </x:c>
      <x:c r="B685" s="79" t="n">
        <x:v>-0.1694127773877371</x:v>
      </x:c>
      <x:c r="C685" s="46" t="n">
        <x:f>B685^2</x:f>
        <x:v>0.028700689142226968</x:v>
      </x:c>
      <x:c r="D685" s="47" t="n">
        <x:f>'Datos'!$B$26^3/3</x:f>
        <x:v>0.3333333333333333</x:v>
      </x:c>
      <x:c r="E685" s="46" t="n">
        <x:f>D685*(C685-1)</x:f>
        <x:v>-0.323766436952591</x:v>
      </x:c>
      <x:c r="F685" s="2"/>
      <x:c r="G685" s="2"/>
      <x:c r="H685" s="2"/>
    </x:row>
    <x:row r="686" ht="22" customHeight="1">
      <x:c r="A686" s="2" t="n">
        <x:v>680</x:v>
      </x:c>
      <x:c r="B686" s="79" t="n">
        <x:v>0.7865251349980896</x:v>
      </x:c>
      <x:c r="C686" s="46" t="n">
        <x:f>B686^2</x:f>
        <x:v>0.6186217879837631</x:v>
      </x:c>
      <x:c r="D686" s="47" t="n">
        <x:f>'Datos'!$B$26^3/3</x:f>
        <x:v>0.3333333333333333</x:v>
      </x:c>
      <x:c r="E686" s="46" t="n">
        <x:f>D686*(C686-1)</x:f>
        <x:v>-0.12712607067207896</x:v>
      </x:c>
      <x:c r="F686" s="2"/>
      <x:c r="G686" s="2"/>
      <x:c r="H686" s="2"/>
    </x:row>
    <x:row r="687" ht="22" customHeight="1">
      <x:c r="A687" s="2" t="n">
        <x:v>681</x:v>
      </x:c>
      <x:c r="B687" s="79" t="n">
        <x:v>0.41172116491362676</x:v>
      </x:c>
      <x:c r="C687" s="46" t="n">
        <x:f>B687^2</x:f>
        <x:v>0.16951431763783384</x:v>
      </x:c>
      <x:c r="D687" s="47" t="n">
        <x:f>'Datos'!$B$26^3/3</x:f>
        <x:v>0.3333333333333333</x:v>
      </x:c>
      <x:c r="E687" s="46" t="n">
        <x:f>D687*(C687-1)</x:f>
        <x:v>-0.2768285607873887</x:v>
      </x:c>
      <x:c r="F687" s="2"/>
      <x:c r="G687" s="2"/>
      <x:c r="H687" s="2"/>
    </x:row>
    <x:row r="688" ht="22" customHeight="1">
      <x:c r="A688" s="2" t="n">
        <x:v>682</x:v>
      </x:c>
      <x:c r="B688" s="79" t="n">
        <x:v>1.7648023505714288</x:v>
      </x:c>
      <x:c r="C688" s="46" t="n">
        <x:f>B688^2</x:f>
        <x:v>3.11452733658244</x:v>
      </x:c>
      <x:c r="D688" s="47" t="n">
        <x:f>'Datos'!$B$26^3/3</x:f>
        <x:v>0.3333333333333333</x:v>
      </x:c>
      <x:c r="E688" s="46" t="n">
        <x:f>D688*(C688-1)</x:f>
        <x:v>0.70484244552748</x:v>
      </x:c>
      <x:c r="F688" s="2"/>
      <x:c r="G688" s="2"/>
      <x:c r="H688" s="2"/>
    </x:row>
    <x:row r="689" ht="22" customHeight="1">
      <x:c r="A689" s="2" t="n">
        <x:v>683</x:v>
      </x:c>
      <x:c r="B689" s="79" t="n">
        <x:v>1.0241395987049278</x:v>
      </x:c>
      <x:c r="C689" s="46" t="n">
        <x:f>B689^2</x:f>
        <x:v>1.0488619176354905</x:v>
      </x:c>
      <x:c r="D689" s="47" t="n">
        <x:f>'Datos'!$B$26^3/3</x:f>
        <x:v>0.3333333333333333</x:v>
      </x:c>
      <x:c r="E689" s="46" t="n">
        <x:f>D689*(C689-1)</x:f>
        <x:v>0.01628730587849684</x:v>
      </x:c>
      <x:c r="F689" s="2"/>
      <x:c r="G689" s="2"/>
      <x:c r="H689" s="2"/>
    </x:row>
    <x:row r="690" ht="22" customHeight="1">
      <x:c r="A690" s="2" t="n">
        <x:v>684</x:v>
      </x:c>
      <x:c r="B690" s="79" t="n">
        <x:v>-0.007432621383618902</x:v>
      </x:c>
      <x:c r="C690" s="46" t="n">
        <x:f>B690^2</x:f>
        <x:v>0.000055243860632228955</x:v>
      </x:c>
      <x:c r="D690" s="47" t="n">
        <x:f>'Datos'!$B$26^3/3</x:f>
        <x:v>0.3333333333333333</x:v>
      </x:c>
      <x:c r="E690" s="46" t="n">
        <x:f>D690*(C690-1)</x:f>
        <x:v>-0.3333149187131226</x:v>
      </x:c>
      <x:c r="F690" s="2"/>
      <x:c r="G690" s="2"/>
      <x:c r="H690" s="2"/>
    </x:row>
    <x:row r="691" ht="22" customHeight="1">
      <x:c r="A691" s="2" t="n">
        <x:v>685</x:v>
      </x:c>
      <x:c r="B691" s="79" t="n">
        <x:v>-0.8704341880583227</x:v>
      </x:c>
      <x:c r="C691" s="46" t="n">
        <x:f>B691^2</x:f>
        <x:v>0.7576556757407515</x:v>
      </x:c>
      <x:c r="D691" s="47" t="n">
        <x:f>'Datos'!$B$26^3/3</x:f>
        <x:v>0.3333333333333333</x:v>
      </x:c>
      <x:c r="E691" s="46" t="n">
        <x:f>D691*(C691-1)</x:f>
        <x:v>-0.08078144141974948</x:v>
      </x:c>
      <x:c r="F691" s="2"/>
      <x:c r="G691" s="2"/>
      <x:c r="H691" s="2"/>
    </x:row>
    <x:row r="692" ht="22" customHeight="1">
      <x:c r="A692" s="2" t="n">
        <x:v>686</x:v>
      </x:c>
      <x:c r="B692" s="79" t="n">
        <x:v>0.4603030915656726</x:v>
      </x:c>
      <x:c r="C692" s="46" t="n">
        <x:f>B692^2</x:f>
        <x:v>0.21187893610491598</x:v>
      </x:c>
      <x:c r="D692" s="47" t="n">
        <x:f>'Datos'!$B$26^3/3</x:f>
        <x:v>0.3333333333333333</x:v>
      </x:c>
      <x:c r="E692" s="46" t="n">
        <x:f>D692*(C692-1)</x:f>
        <x:v>-0.2627070212983613</x:v>
      </x:c>
      <x:c r="F692" s="2"/>
      <x:c r="G692" s="2"/>
      <x:c r="H692" s="2"/>
    </x:row>
    <x:row r="693" ht="22" customHeight="1">
      <x:c r="A693" s="2" t="n">
        <x:v>687</x:v>
      </x:c>
      <x:c r="B693" s="79" t="n">
        <x:v>1.9793377868687365</x:v>
      </x:c>
      <x:c r="C693" s="46" t="n">
        <x:f>B693^2</x:f>
        <x:v>3.917778074526428</x:v>
      </x:c>
      <x:c r="D693" s="47" t="n">
        <x:f>'Datos'!$B$26^3/3</x:f>
        <x:v>0.3333333333333333</x:v>
      </x:c>
      <x:c r="E693" s="46" t="n">
        <x:f>D693*(C693-1)</x:f>
        <x:v>0.9725926915088092</x:v>
      </x:c>
      <x:c r="F693" s="2"/>
      <x:c r="G693" s="2"/>
      <x:c r="H693" s="2"/>
    </x:row>
    <x:row r="694" ht="22" customHeight="1">
      <x:c r="A694" s="2" t="n">
        <x:v>688</x:v>
      </x:c>
      <x:c r="B694" s="79" t="n">
        <x:v>-1.8078232112795707</x:v>
      </x:c>
      <x:c r="C694" s="46" t="n">
        <x:f>B694^2</x:f>
        <x:v>3.268224763241179</x:v>
      </x:c>
      <x:c r="D694" s="47" t="n">
        <x:f>'Datos'!$B$26^3/3</x:f>
        <x:v>0.3333333333333333</x:v>
      </x:c>
      <x:c r="E694" s="46" t="n">
        <x:f>D694*(C694-1)</x:f>
        <x:v>0.756074921080393</x:v>
      </x:c>
      <x:c r="F694" s="2"/>
      <x:c r="G694" s="2"/>
      <x:c r="H694" s="2"/>
    </x:row>
    <x:row r="695" ht="22" customHeight="1">
      <x:c r="A695" s="2" t="n">
        <x:v>689</x:v>
      </x:c>
      <x:c r="B695" s="79" t="n">
        <x:v>0.44277387338692625</x:v>
      </x:c>
      <x:c r="C695" s="46" t="n">
        <x:f>B695^2</x:f>
        <x:v>0.1960487029540618</x:v>
      </x:c>
      <x:c r="D695" s="47" t="n">
        <x:f>'Datos'!$B$26^3/3</x:f>
        <x:v>0.3333333333333333</x:v>
      </x:c>
      <x:c r="E695" s="46" t="n">
        <x:f>D695*(C695-1)</x:f>
        <x:v>-0.26798376568197935</x:v>
      </x:c>
      <x:c r="F695" s="2"/>
      <x:c r="G695" s="2"/>
      <x:c r="H695" s="2"/>
    </x:row>
    <x:row r="696" ht="22" customHeight="1">
      <x:c r="A696" s="2" t="n">
        <x:v>690</x:v>
      </x:c>
      <x:c r="B696" s="79" t="n">
        <x:v>0.5376845774195713</x:v>
      </x:c>
      <x:c r="C696" s="46" t="n">
        <x:f>B696^2</x:f>
        <x:v>0.289104704794863</x:v>
      </x:c>
      <x:c r="D696" s="47" t="n">
        <x:f>'Datos'!$B$26^3/3</x:f>
        <x:v>0.3333333333333333</x:v>
      </x:c>
      <x:c r="E696" s="46" t="n">
        <x:f>D696*(C696-1)</x:f>
        <x:v>-0.23696509840171234</x:v>
      </x:c>
      <x:c r="F696" s="2"/>
      <x:c r="G696" s="2"/>
      <x:c r="H696" s="2"/>
    </x:row>
    <x:row r="697" ht="22" customHeight="1">
      <x:c r="A697" s="2" t="n">
        <x:v>691</x:v>
      </x:c>
      <x:c r="B697" s="79" t="n">
        <x:v>-1.2134213525966926</x:v>
      </x:c>
      <x:c r="C697" s="46" t="n">
        <x:f>B697^2</x:f>
        <x:v>1.4723913789375869</x:v>
      </x:c>
      <x:c r="D697" s="47" t="n">
        <x:f>'Datos'!$B$26^3/3</x:f>
        <x:v>0.3333333333333333</x:v>
      </x:c>
      <x:c r="E697" s="46" t="n">
        <x:f>D697*(C697-1)</x:f>
        <x:v>0.1574637929791956</x:v>
      </x:c>
      <x:c r="F697" s="2"/>
      <x:c r="G697" s="2"/>
      <x:c r="H697" s="2"/>
    </x:row>
    <x:row r="698" ht="22" customHeight="1">
      <x:c r="A698" s="2" t="n">
        <x:v>692</x:v>
      </x:c>
      <x:c r="B698" s="79" t="n">
        <x:v>0.0725541658561086</x:v>
      </x:c>
      <x:c r="C698" s="46" t="n">
        <x:f>B698^2</x:f>
        <x:v>0.005264106983075716</x:v>
      </x:c>
      <x:c r="D698" s="47" t="n">
        <x:f>'Datos'!$B$26^3/3</x:f>
        <x:v>0.3333333333333333</x:v>
      </x:c>
      <x:c r="E698" s="46" t="n">
        <x:f>D698*(C698-1)</x:f>
        <x:v>-0.33157863100564144</x:v>
      </x:c>
      <x:c r="F698" s="2"/>
      <x:c r="G698" s="2"/>
      <x:c r="H698" s="2"/>
    </x:row>
    <x:row r="699" ht="22" customHeight="1">
      <x:c r="A699" s="2" t="n">
        <x:v>693</x:v>
      </x:c>
      <x:c r="B699" s="79" t="n">
        <x:v>0.047301656403388924</x:v>
      </x:c>
      <x:c r="C699" s="46" t="n">
        <x:f>B699^2</x:f>
        <x:v>0.0022374466985042646</x:v>
      </x:c>
      <x:c r="D699" s="47" t="n">
        <x:f>'Datos'!$B$26^3/3</x:f>
        <x:v>0.3333333333333333</x:v>
      </x:c>
      <x:c r="E699" s="46" t="n">
        <x:f>D699*(C699-1)</x:f>
        <x:v>-0.3325875177671652</x:v>
      </x:c>
      <x:c r="F699" s="2"/>
      <x:c r="G699" s="2"/>
      <x:c r="H699" s="2"/>
    </x:row>
    <x:row r="700" ht="22" customHeight="1">
      <x:c r="A700" s="2" t="n">
        <x:v>694</x:v>
      </x:c>
      <x:c r="B700" s="79" t="n">
        <x:v>2.690312127345687</x:v>
      </x:c>
      <x:c r="C700" s="46" t="n">
        <x:f>B700^2</x:f>
        <x:v>7.237779342543275</x:v>
      </x:c>
      <x:c r="D700" s="47" t="n">
        <x:f>'Datos'!$B$26^3/3</x:f>
        <x:v>0.3333333333333333</x:v>
      </x:c>
      <x:c r="E700" s="46" t="n">
        <x:f>D700*(C700-1)</x:f>
        <x:v>2.0792597808477584</x:v>
      </x:c>
      <x:c r="F700" s="2"/>
      <x:c r="G700" s="2"/>
      <x:c r="H700" s="2"/>
    </x:row>
    <x:row r="701" ht="22" customHeight="1">
      <x:c r="A701" s="2" t="n">
        <x:v>695</x:v>
      </x:c>
      <x:c r="B701" s="79" t="n">
        <x:v>0.2407113102148898</x:v>
      </x:c>
      <x:c r="C701" s="46" t="n">
        <x:f>B701^2</x:f>
        <x:v>0.057941934865368916</x:v>
      </x:c>
      <x:c r="D701" s="47" t="n">
        <x:f>'Datos'!$B$26^3/3</x:f>
        <x:v>0.3333333333333333</x:v>
      </x:c>
      <x:c r="E701" s="46" t="n">
        <x:f>D701*(C701-1)</x:f>
        <x:v>-0.314019355044877</x:v>
      </x:c>
      <x:c r="F701" s="2"/>
      <x:c r="G701" s="2"/>
      <x:c r="H701" s="2"/>
    </x:row>
    <x:row r="702" ht="22" customHeight="1">
      <x:c r="A702" s="2" t="n">
        <x:v>696</x:v>
      </x:c>
      <x:c r="B702" s="79" t="n">
        <x:v>-0.3995317601101747</x:v>
      </x:c>
      <x:c r="C702" s="46" t="n">
        <x:f>B702^2</x:f>
        <x:v>0.1596256273367342</x:v>
      </x:c>
      <x:c r="D702" s="47" t="n">
        <x:f>'Datos'!$B$26^3/3</x:f>
        <x:v>0.3333333333333333</x:v>
      </x:c>
      <x:c r="E702" s="46" t="n">
        <x:f>D702*(C702-1)</x:f>
        <x:v>-0.2801247908877552</x:v>
      </x:c>
      <x:c r="F702" s="2"/>
      <x:c r="G702" s="2"/>
      <x:c r="H702" s="2"/>
    </x:row>
    <x:row r="703" ht="22" customHeight="1">
      <x:c r="A703" s="2" t="n">
        <x:v>697</x:v>
      </x:c>
      <x:c r="B703" s="79" t="n">
        <x:v>0.7434296213854835</x:v>
      </x:c>
      <x:c r="C703" s="46" t="n">
        <x:f>B703^2</x:f>
        <x:v>0.5526876019533634</x:v>
      </x:c>
      <x:c r="D703" s="47" t="n">
        <x:f>'Datos'!$B$26^3/3</x:f>
        <x:v>0.3333333333333333</x:v>
      </x:c>
      <x:c r="E703" s="46" t="n">
        <x:f>D703*(C703-1)</x:f>
        <x:v>-0.14910413268221218</x:v>
      </x:c>
      <x:c r="F703" s="2"/>
      <x:c r="G703" s="2"/>
      <x:c r="H703" s="2"/>
    </x:row>
    <x:row r="704" ht="22" customHeight="1">
      <x:c r="A704" s="2" t="n">
        <x:v>698</x:v>
      </x:c>
      <x:c r="B704" s="79" t="n">
        <x:v>1.8290019218971483</x:v>
      </x:c>
      <x:c r="C704" s="46" t="n">
        <x:f>B704^2</x:f>
        <x:v>3.345248030303462</x:v>
      </x:c>
      <x:c r="D704" s="47" t="n">
        <x:f>'Datos'!$B$26^3/3</x:f>
        <x:v>0.3333333333333333</x:v>
      </x:c>
      <x:c r="E704" s="46" t="n">
        <x:f>D704*(C704-1)</x:f>
        <x:v>0.7817493434344873</x:v>
      </x:c>
      <x:c r="F704" s="2"/>
      <x:c r="G704" s="2"/>
      <x:c r="H704" s="2"/>
    </x:row>
    <x:row r="705" ht="22" customHeight="1">
      <x:c r="A705" s="2" t="n">
        <x:v>699</x:v>
      </x:c>
      <x:c r="B705" s="79" t="n">
        <x:v>-1.646910138542841</x:v>
      </x:c>
      <x:c r="C705" s="46" t="n">
        <x:f>B705^2</x:f>
        <x:v>2.7123130044352</x:v>
      </x:c>
      <x:c r="D705" s="47" t="n">
        <x:f>'Datos'!$B$26^3/3</x:f>
        <x:v>0.3333333333333333</x:v>
      </x:c>
      <x:c r="E705" s="46" t="n">
        <x:f>D705*(C705-1)</x:f>
        <x:v>0.5707710014784</x:v>
      </x:c>
      <x:c r="F705" s="2"/>
      <x:c r="G705" s="2"/>
      <x:c r="H705" s="2"/>
    </x:row>
    <x:row r="706" ht="22" customHeight="1">
      <x:c r="A706" s="2" t="n">
        <x:v>700</x:v>
      </x:c>
      <x:c r="B706" s="79" t="n">
        <x:v>-0.4773683192393393</x:v>
      </x:c>
      <x:c r="C706" s="46" t="n">
        <x:f>B706^2</x:f>
        <x:v>0.22788051221339178</x:v>
      </x:c>
      <x:c r="D706" s="47" t="n">
        <x:f>'Datos'!$B$26^3/3</x:f>
        <x:v>0.3333333333333333</x:v>
      </x:c>
      <x:c r="E706" s="46" t="n">
        <x:f>D706*(C706-1)</x:f>
        <x:v>-0.25737316259553605</x:v>
      </x:c>
      <x:c r="F706" s="2"/>
      <x:c r="G706" s="2"/>
      <x:c r="H706" s="2"/>
    </x:row>
    <x:row r="707" ht="22" customHeight="1">
      <x:c r="A707" s="2" t="n">
        <x:v>701</x:v>
      </x:c>
      <x:c r="B707" s="79" t="n">
        <x:v>-1.1197430006990148</x:v>
      </x:c>
      <x:c r="C707" s="46" t="n">
        <x:f>B707^2</x:f>
        <x:v>1.2538243876144337</x:v>
      </x:c>
      <x:c r="D707" s="47" t="n">
        <x:f>'Datos'!$B$26^3/3</x:f>
        <x:v>0.3333333333333333</x:v>
      </x:c>
      <x:c r="E707" s="46" t="n">
        <x:f>D707*(C707-1)</x:f>
        <x:v>0.08460812920481123</x:v>
      </x:c>
      <x:c r="F707" s="2"/>
      <x:c r="G707" s="2"/>
      <x:c r="H707" s="2"/>
    </x:row>
    <x:row r="708" ht="22" customHeight="1">
      <x:c r="A708" s="2" t="n">
        <x:v>702</x:v>
      </x:c>
      <x:c r="B708" s="79" t="n">
        <x:v>-0.2770114983715949</x:v>
      </x:c>
      <x:c r="C708" s="46" t="n">
        <x:f>B708^2</x:f>
        <x:v>0.07673537023007612</x:v>
      </x:c>
      <x:c r="D708" s="47" t="n">
        <x:f>'Datos'!$B$26^3/3</x:f>
        <x:v>0.3333333333333333</x:v>
      </x:c>
      <x:c r="E708" s="46" t="n">
        <x:f>D708*(C708-1)</x:f>
        <x:v>-0.3077548765899746</x:v>
      </x:c>
      <x:c r="F708" s="2"/>
      <x:c r="G708" s="2"/>
      <x:c r="H708" s="2"/>
    </x:row>
    <x:row r="709" ht="22" customHeight="1">
      <x:c r="A709" s="2" t="n">
        <x:v>703</x:v>
      </x:c>
      <x:c r="B709" s="79" t="n">
        <x:v>-0.10068469043382627</x:v>
      </x:c>
      <x:c r="C709" s="46" t="n">
        <x:f>B709^2</x:f>
        <x:v>0.010137406887755428</x:v>
      </x:c>
      <x:c r="D709" s="47" t="n">
        <x:f>'Datos'!$B$26^3/3</x:f>
        <x:v>0.3333333333333333</x:v>
      </x:c>
      <x:c r="E709" s="46" t="n">
        <x:f>D709*(C709-1)</x:f>
        <x:v>-0.3299541977040815</x:v>
      </x:c>
      <x:c r="F709" s="2"/>
      <x:c r="G709" s="2"/>
      <x:c r="H709" s="2"/>
    </x:row>
    <x:row r="710" ht="22" customHeight="1">
      <x:c r="A710" s="2" t="n">
        <x:v>704</x:v>
      </x:c>
      <x:c r="B710" s="79" t="n">
        <x:v>-1.4958795332060213</x:v>
      </x:c>
      <x:c r="C710" s="46" t="n">
        <x:f>B710^2</x:f>
        <x:v>2.2376555778646643</x:v>
      </x:c>
      <x:c r="D710" s="47" t="n">
        <x:f>'Datos'!$B$26^3/3</x:f>
        <x:v>0.3333333333333333</x:v>
      </x:c>
      <x:c r="E710" s="46" t="n">
        <x:f>D710*(C710-1)</x:f>
        <x:v>0.4125518592882214</x:v>
      </x:c>
      <x:c r="F710" s="2"/>
      <x:c r="G710" s="2"/>
      <x:c r="H710" s="2"/>
    </x:row>
    <x:row r="711" ht="22" customHeight="1">
      <x:c r="A711" s="2" t="n">
        <x:v>705</x:v>
      </x:c>
      <x:c r="B711" s="79" t="n">
        <x:v>-0.2710660980434184</x:v>
      </x:c>
      <x:c r="C711" s="46" t="n">
        <x:f>B711^2</x:f>
        <x:v>0.07347682950848412</x:v>
      </x:c>
      <x:c r="D711" s="47" t="n">
        <x:f>'Datos'!$B$26^3/3</x:f>
        <x:v>0.3333333333333333</x:v>
      </x:c>
      <x:c r="E711" s="46" t="n">
        <x:f>D711*(C711-1)</x:f>
        <x:v>-0.3088410568305053</x:v>
      </x:c>
      <x:c r="F711" s="2"/>
      <x:c r="G711" s="2"/>
      <x:c r="H711" s="2"/>
    </x:row>
    <x:row r="712" ht="22" customHeight="1">
      <x:c r="A712" s="2" t="n">
        <x:v>706</x:v>
      </x:c>
      <x:c r="B712" s="79" t="n">
        <x:v>-0.5508044365873866</x:v>
      </x:c>
      <x:c r="C712" s="46" t="n">
        <x:f>B712^2</x:f>
        <x:v>0.30338552736434843</x:v>
      </x:c>
      <x:c r="D712" s="47" t="n">
        <x:f>'Datos'!$B$26^3/3</x:f>
        <x:v>0.3333333333333333</x:v>
      </x:c>
      <x:c r="E712" s="46" t="n">
        <x:f>D712*(C712-1)</x:f>
        <x:v>-0.23220482421188385</x:v>
      </x:c>
      <x:c r="F712" s="2"/>
      <x:c r="G712" s="2"/>
      <x:c r="H712" s="2"/>
    </x:row>
    <x:row r="713" ht="22" customHeight="1">
      <x:c r="A713" s="2" t="n">
        <x:v>707</x:v>
      </x:c>
      <x:c r="B713" s="79" t="n">
        <x:v>-0.5858308012857221</x:v>
      </x:c>
      <x:c r="C713" s="46" t="n">
        <x:f>B713^2</x:f>
        <x:v>0.3431977277350712</x:v>
      </x:c>
      <x:c r="D713" s="47" t="n">
        <x:f>'Datos'!$B$26^3/3</x:f>
        <x:v>0.3333333333333333</x:v>
      </x:c>
      <x:c r="E713" s="46" t="n">
        <x:f>D713*(C713-1)</x:f>
        <x:v>-0.21893409075497627</x:v>
      </x:c>
      <x:c r="F713" s="2"/>
      <x:c r="G713" s="2"/>
      <x:c r="H713" s="2"/>
    </x:row>
    <x:row r="714" ht="22" customHeight="1">
      <x:c r="A714" s="2" t="n">
        <x:v>708</x:v>
      </x:c>
      <x:c r="B714" s="79" t="n">
        <x:v>-0.7861267077928272</x:v>
      </x:c>
      <x:c r="C714" s="46" t="n">
        <x:f>B714^2</x:f>
        <x:v>0.6179952007051892</x:v>
      </x:c>
      <x:c r="D714" s="47" t="n">
        <x:f>'Datos'!$B$26^3/3</x:f>
        <x:v>0.3333333333333333</x:v>
      </x:c>
      <x:c r="E714" s="46" t="n">
        <x:f>D714*(C714-1)</x:f>
        <x:v>-0.12733493309827026</x:v>
      </x:c>
      <x:c r="F714" s="2"/>
      <x:c r="G714" s="2"/>
      <x:c r="H714" s="2"/>
    </x:row>
    <x:row r="715" ht="22" customHeight="1">
      <x:c r="A715" s="2" t="n">
        <x:v>709</x:v>
      </x:c>
      <x:c r="B715" s="79" t="n">
        <x:v>0.010359672895991524</x:v>
      </x:c>
      <x:c r="C715" s="46" t="n">
        <x:f>B715^2</x:f>
        <x:v>0.00010732282251194142</x:v>
      </x:c>
      <x:c r="D715" s="47" t="n">
        <x:f>'Datos'!$B$26^3/3</x:f>
        <x:v>0.3333333333333333</x:v>
      </x:c>
      <x:c r="E715" s="46" t="n">
        <x:f>D715*(C715-1)</x:f>
        <x:v>-0.3332975590591627</x:v>
      </x:c>
      <x:c r="F715" s="2"/>
      <x:c r="G715" s="2"/>
      <x:c r="H715" s="2"/>
    </x:row>
    <x:row r="716" ht="22" customHeight="1">
      <x:c r="A716" s="2" t="n">
        <x:v>710</x:v>
      </x:c>
      <x:c r="B716" s="79" t="n">
        <x:v>0.6675817000390751</x:v>
      </x:c>
      <x:c r="C716" s="46" t="n">
        <x:f>B716^2</x:f>
        <x:v>0.4456653262270617</x:v>
      </x:c>
      <x:c r="D716" s="47" t="n">
        <x:f>'Datos'!$B$26^3/3</x:f>
        <x:v>0.3333333333333333</x:v>
      </x:c>
      <x:c r="E716" s="46" t="n">
        <x:f>D716*(C716-1)</x:f>
        <x:v>-0.18477822459097942</x:v>
      </x:c>
      <x:c r="F716" s="2"/>
      <x:c r="G716" s="2"/>
      <x:c r="H716" s="2"/>
    </x:row>
    <x:row r="717" ht="22" customHeight="1">
      <x:c r="A717" s="2" t="n">
        <x:v>711</x:v>
      </x:c>
      <x:c r="B717" s="79" t="n">
        <x:v>1.0649102634074572</x:v>
      </x:c>
      <x:c r="C717" s="46" t="n">
        <x:f>B717^2</x:f>
        <x:v>1.1340338691105398</x:v>
      </x:c>
      <x:c r="D717" s="47" t="n">
        <x:f>'Datos'!$B$26^3/3</x:f>
        <x:v>0.3333333333333333</x:v>
      </x:c>
      <x:c r="E717" s="46" t="n">
        <x:f>D717*(C717-1)</x:f>
        <x:v>0.04467795637017994</x:v>
      </x:c>
      <x:c r="F717" s="2"/>
      <x:c r="G717" s="2"/>
      <x:c r="H717" s="2"/>
    </x:row>
    <x:row r="718" ht="22" customHeight="1">
      <x:c r="A718" s="2" t="n">
        <x:v>712</x:v>
      </x:c>
      <x:c r="B718" s="79" t="n">
        <x:v>1.5075453789544933</x:v>
      </x:c>
      <x:c r="C718" s="46" t="n">
        <x:f>B718^2</x:f>
        <x:v>2.2726930696070466</x:v>
      </x:c>
      <x:c r="D718" s="47" t="n">
        <x:f>'Datos'!$B$26^3/3</x:f>
        <x:v>0.3333333333333333</x:v>
      </x:c>
      <x:c r="E718" s="46" t="n">
        <x:f>D718*(C718-1)</x:f>
        <x:v>0.42423102320234884</x:v>
      </x:c>
      <x:c r="F718" s="2"/>
      <x:c r="G718" s="2"/>
      <x:c r="H718" s="2"/>
    </x:row>
    <x:row r="719" ht="22" customHeight="1">
      <x:c r="A719" s="2" t="n">
        <x:v>713</x:v>
      </x:c>
      <x:c r="B719" s="79" t="n">
        <x:v>0.7688330874909047</x:v>
      </x:c>
      <x:c r="C719" s="46" t="n">
        <x:f>B719^2</x:f>
        <x:v>0.5911043164207972</x:v>
      </x:c>
      <x:c r="D719" s="47" t="n">
        <x:f>'Datos'!$B$26^3/3</x:f>
        <x:v>0.3333333333333333</x:v>
      </x:c>
      <x:c r="E719" s="46" t="n">
        <x:f>D719*(C719-1)</x:f>
        <x:v>-0.1362985611930676</x:v>
      </x:c>
      <x:c r="F719" s="2"/>
      <x:c r="G719" s="2"/>
      <x:c r="H719" s="2"/>
    </x:row>
    <x:row r="720" ht="22" customHeight="1">
      <x:c r="A720" s="2" t="n">
        <x:v>714</x:v>
      </x:c>
      <x:c r="B720" s="79" t="n">
        <x:v>1.080006434888905</x:v>
      </x:c>
      <x:c r="C720" s="46" t="n">
        <x:f>B720^2</x:f>
        <x:v>1.1664138994014424</x:v>
      </x:c>
      <x:c r="D720" s="47" t="n">
        <x:f>'Datos'!$B$26^3/3</x:f>
        <x:v>0.3333333333333333</x:v>
      </x:c>
      <x:c r="E720" s="46" t="n">
        <x:f>D720*(C720-1)</x:f>
        <x:v>0.05547129980048078</x:v>
      </x:c>
      <x:c r="F720" s="2"/>
      <x:c r="G720" s="2"/>
      <x:c r="H720" s="2"/>
    </x:row>
    <x:row r="721" ht="22" customHeight="1">
      <x:c r="A721" s="2" t="n">
        <x:v>715</x:v>
      </x:c>
      <x:c r="B721" s="79" t="n">
        <x:v>0.16785410995063707</x:v>
      </x:c>
      <x:c r="C721" s="46" t="n">
        <x:f>B721^2</x:f>
        <x:v>0.02817500222732056</x:v>
      </x:c>
      <x:c r="D721" s="47" t="n">
        <x:f>'Datos'!$B$26^3/3</x:f>
        <x:v>0.3333333333333333</x:v>
      </x:c>
      <x:c r="E721" s="46" t="n">
        <x:f>D721*(C721-1)</x:f>
        <x:v>-0.32394166592422646</x:v>
      </x:c>
      <x:c r="F721" s="2"/>
      <x:c r="G721" s="2"/>
      <x:c r="H721" s="2"/>
    </x:row>
    <x:row r="722" ht="22" customHeight="1">
      <x:c r="A722" s="2" t="n">
        <x:v>716</x:v>
      </x:c>
      <x:c r="B722" s="79" t="n">
        <x:v>-1.6056454022952522</x:v>
      </x:c>
      <x:c r="C722" s="46" t="n">
        <x:f>B722^2</x:f>
        <x:v>2.5780971579118823</x:v>
      </x:c>
      <x:c r="D722" s="47" t="n">
        <x:f>'Datos'!$B$26^3/3</x:f>
        <x:v>0.3333333333333333</x:v>
      </x:c>
      <x:c r="E722" s="46" t="n">
        <x:f>D722*(C722-1)</x:f>
        <x:v>0.5260323859706274</x:v>
      </x:c>
      <x:c r="F722" s="2"/>
      <x:c r="G722" s="2"/>
      <x:c r="H722" s="2"/>
    </x:row>
    <x:row r="723" ht="22" customHeight="1">
      <x:c r="A723" s="2" t="n">
        <x:v>717</x:v>
      </x:c>
      <x:c r="B723" s="79" t="n">
        <x:v>-0.34059923728929675</x:v>
      </x:c>
      <x:c r="C723" s="46" t="n">
        <x:f>B723^2</x:f>
        <x:v>0.11600784044205067</x:v>
      </x:c>
      <x:c r="D723" s="47" t="n">
        <x:f>'Datos'!$B$26^3/3</x:f>
        <x:v>0.3333333333333333</x:v>
      </x:c>
      <x:c r="E723" s="46" t="n">
        <x:f>D723*(C723-1)</x:f>
        <x:v>-0.2946640531859831</x:v>
      </x:c>
      <x:c r="F723" s="2"/>
      <x:c r="G723" s="2"/>
      <x:c r="H723" s="2"/>
    </x:row>
    <x:row r="724" ht="22" customHeight="1">
      <x:c r="A724" s="2" t="n">
        <x:v>718</x:v>
      </x:c>
      <x:c r="B724" s="79" t="n">
        <x:v>-1.2494258937762137</x:v>
      </x:c>
      <x:c r="C724" s="46" t="n">
        <x:f>B724^2</x:f>
        <x:v>1.5610650640384904</x:v>
      </x:c>
      <x:c r="D724" s="47" t="n">
        <x:f>'Datos'!$B$26^3/3</x:f>
        <x:v>0.3333333333333333</x:v>
      </x:c>
      <x:c r="E724" s="46" t="n">
        <x:f>D724*(C724-1)</x:f>
        <x:v>0.18702168801283015</x:v>
      </x:c>
      <x:c r="F724" s="2"/>
      <x:c r="G724" s="2"/>
      <x:c r="H724" s="2"/>
    </x:row>
    <x:row r="725" ht="22" customHeight="1">
      <x:c r="A725" s="2" t="n">
        <x:v>719</x:v>
      </x:c>
      <x:c r="B725" s="79" t="n">
        <x:v>-0.24977201986072886</x:v>
      </x:c>
      <x:c r="C725" s="46" t="n">
        <x:f>B725^2</x:f>
        <x:v>0.062386061905308335</x:v>
      </x:c>
      <x:c r="D725" s="47" t="n">
        <x:f>'Datos'!$B$26^3/3</x:f>
        <x:v>0.3333333333333333</x:v>
      </x:c>
      <x:c r="E725" s="46" t="n">
        <x:f>D725*(C725-1)</x:f>
        <x:v>-0.3125379793648972</x:v>
      </x:c>
      <x:c r="F725" s="2"/>
      <x:c r="G725" s="2"/>
      <x:c r="H725" s="2"/>
    </x:row>
    <x:row r="726" ht="22" customHeight="1">
      <x:c r="A726" s="2" t="n">
        <x:v>720</x:v>
      </x:c>
      <x:c r="B726" s="79" t="n">
        <x:v>2.2882356068420093</x:v>
      </x:c>
      <x:c r="C726" s="46" t="n">
        <x:f>B726^2</x:f>
        <x:v>5.236022192419619</x:v>
      </x:c>
      <x:c r="D726" s="47" t="n">
        <x:f>'Datos'!$B$26^3/3</x:f>
        <x:v>0.3333333333333333</x:v>
      </x:c>
      <x:c r="E726" s="46" t="n">
        <x:f>D726*(C726-1)</x:f>
        <x:v>1.4120073974732064</x:v>
      </x:c>
      <x:c r="F726" s="2"/>
      <x:c r="G726" s="2"/>
      <x:c r="H726" s="2"/>
    </x:row>
    <x:row r="727" ht="22" customHeight="1">
      <x:c r="A727" s="2" t="n">
        <x:v>721</x:v>
      </x:c>
      <x:c r="B727" s="79" t="n">
        <x:v>1.032049750279989</x:v>
      </x:c>
      <x:c r="C727" s="46" t="n">
        <x:f>B727^2</x:f>
        <x:v>1.0651266870529876</x:v>
      </x:c>
      <x:c r="D727" s="47" t="n">
        <x:f>'Datos'!$B$26^3/3</x:f>
        <x:v>0.3333333333333333</x:v>
      </x:c>
      <x:c r="E727" s="46" t="n">
        <x:f>D727*(C727-1)</x:f>
        <x:v>0.02170889568432921</x:v>
      </x:c>
      <x:c r="F727" s="2"/>
      <x:c r="G727" s="2"/>
      <x:c r="H727" s="2"/>
    </x:row>
    <x:row r="728" ht="22" customHeight="1">
      <x:c r="A728" s="2" t="n">
        <x:v>722</x:v>
      </x:c>
      <x:c r="B728" s="79" t="n">
        <x:v>-0.35556376761260455</x:v>
      </x:c>
      <x:c r="C728" s="46" t="n">
        <x:f>B728^2</x:f>
        <x:v>0.12642559283887025</x:v>
      </x:c>
      <x:c r="D728" s="47" t="n">
        <x:f>'Datos'!$B$26^3/3</x:f>
        <x:v>0.3333333333333333</x:v>
      </x:c>
      <x:c r="E728" s="46" t="n">
        <x:f>D728*(C728-1)</x:f>
        <x:v>-0.2911914690537099</x:v>
      </x:c>
      <x:c r="F728" s="2"/>
      <x:c r="G728" s="2"/>
      <x:c r="H728" s="2"/>
    </x:row>
    <x:row r="729" ht="22" customHeight="1">
      <x:c r="A729" s="2" t="n">
        <x:v>723</x:v>
      </x:c>
      <x:c r="B729" s="79" t="n">
        <x:v>2.0170209574082096</x:v>
      </x:c>
      <x:c r="C729" s="46" t="n">
        <x:f>B729^2</x:f>
        <x:v>4.068373542623931</x:v>
      </x:c>
      <x:c r="D729" s="47" t="n">
        <x:f>'Datos'!$B$26^3/3</x:f>
        <x:v>0.3333333333333333</x:v>
      </x:c>
      <x:c r="E729" s="46" t="n">
        <x:f>D729*(C729-1)</x:f>
        <x:v>1.0227911808746435</x:v>
      </x:c>
      <x:c r="F729" s="2"/>
      <x:c r="G729" s="2"/>
      <x:c r="H729" s="2"/>
    </x:row>
    <x:row r="730" ht="22" customHeight="1">
      <x:c r="A730" s="2" t="n">
        <x:v>724</x:v>
      </x:c>
      <x:c r="B730" s="79" t="n">
        <x:v>1.1195021928239803</x:v>
      </x:c>
      <x:c r="C730" s="46" t="n">
        <x:f>B730^2</x:f>
        <x:v>1.2532851597377004</x:v>
      </x:c>
      <x:c r="D730" s="47" t="n">
        <x:f>'Datos'!$B$26^3/3</x:f>
        <x:v>0.3333333333333333</x:v>
      </x:c>
      <x:c r="E730" s="46" t="n">
        <x:f>D730*(C730-1)</x:f>
        <x:v>0.08442838657923346</x:v>
      </x:c>
      <x:c r="F730" s="2"/>
      <x:c r="G730" s="2"/>
      <x:c r="H730" s="2"/>
    </x:row>
    <x:row r="731" ht="22" customHeight="1">
      <x:c r="A731" s="2" t="n">
        <x:v>725</x:v>
      </x:c>
      <x:c r="B731" s="79" t="n">
        <x:v>0.5524810250091342</x:v>
      </x:c>
      <x:c r="C731" s="46" t="n">
        <x:f>B731^2</x:f>
        <x:v>0.3052352829951436</x:v>
      </x:c>
      <x:c r="D731" s="47" t="n">
        <x:f>'Datos'!$B$26^3/3</x:f>
        <x:v>0.3333333333333333</x:v>
      </x:c>
      <x:c r="E731" s="46" t="n">
        <x:f>D731*(C731-1)</x:f>
        <x:v>-0.2315882390016188</x:v>
      </x:c>
      <x:c r="F731" s="2"/>
      <x:c r="G731" s="2"/>
      <x:c r="H731" s="2"/>
    </x:row>
    <x:row r="732" ht="22" customHeight="1">
      <x:c r="A732" s="2" t="n">
        <x:v>726</x:v>
      </x:c>
      <x:c r="B732" s="79" t="n">
        <x:v>-0.26104015085996596</x:v>
      </x:c>
      <x:c r="C732" s="46" t="n">
        <x:f>B732^2</x:f>
        <x:v>0.06814196036099379</x:v>
      </x:c>
      <x:c r="D732" s="47" t="n">
        <x:f>'Datos'!$B$26^3/3</x:f>
        <x:v>0.3333333333333333</x:v>
      </x:c>
      <x:c r="E732" s="46" t="n">
        <x:f>D732*(C732-1)</x:f>
        <x:v>-0.3106193465463354</x:v>
      </x:c>
      <x:c r="F732" s="2"/>
      <x:c r="G732" s="2"/>
      <x:c r="H732" s="2"/>
    </x:row>
    <x:row r="733" ht="22" customHeight="1">
      <x:c r="A733" s="2" t="n">
        <x:v>727</x:v>
      </x:c>
      <x:c r="B733" s="79" t="n">
        <x:v>-2.173615947347151</x:v>
      </x:c>
      <x:c r="C733" s="46" t="n">
        <x:f>B733^2</x:f>
        <x:v>4.724606286561852</x:v>
      </x:c>
      <x:c r="D733" s="47" t="n">
        <x:f>'Datos'!$B$26^3/3</x:f>
        <x:v>0.3333333333333333</x:v>
      </x:c>
      <x:c r="E733" s="46" t="n">
        <x:f>D733*(C733-1)</x:f>
        <x:v>1.2415354288539506</x:v>
      </x:c>
      <x:c r="F733" s="2"/>
      <x:c r="G733" s="2"/>
      <x:c r="H733" s="2"/>
    </x:row>
    <x:row r="734" ht="22" customHeight="1">
      <x:c r="A734" s="2" t="n">
        <x:v>728</x:v>
      </x:c>
      <x:c r="B734" s="79" t="n">
        <x:v>0.030510975037823913</x:v>
      </x:c>
      <x:c r="C734" s="46" t="n">
        <x:f>B734^2</x:f>
        <x:v>0.0009309195977587139</x:v>
      </x:c>
      <x:c r="D734" s="47" t="n">
        <x:f>'Datos'!$B$26^3/3</x:f>
        <x:v>0.3333333333333333</x:v>
      </x:c>
      <x:c r="E734" s="46" t="n">
        <x:f>D734*(C734-1)</x:f>
        <x:v>-0.3330230268007471</x:v>
      </x:c>
      <x:c r="F734" s="2"/>
      <x:c r="G734" s="2"/>
      <x:c r="H734" s="2"/>
    </x:row>
    <x:row r="735" ht="22" customHeight="1">
      <x:c r="A735" s="2" t="n">
        <x:v>729</x:v>
      </x:c>
      <x:c r="B735" s="79" t="n">
        <x:v>-0.22627047708234174</x:v>
      </x:c>
      <x:c r="C735" s="46" t="n">
        <x:f>B735^2</x:f>
        <x:v>0.05119832879907054</x:v>
      </x:c>
      <x:c r="D735" s="47" t="n">
        <x:f>'Datos'!$B$26^3/3</x:f>
        <x:v>0.3333333333333333</x:v>
      </x:c>
      <x:c r="E735" s="46" t="n">
        <x:f>D735*(C735-1)</x:f>
        <x:v>-0.31626722373364313</x:v>
      </x:c>
      <x:c r="F735" s="2"/>
      <x:c r="G735" s="2"/>
      <x:c r="H735" s="2"/>
    </x:row>
    <x:row r="736" ht="22" customHeight="1">
      <x:c r="A736" s="2" t="n">
        <x:v>730</x:v>
      </x:c>
      <x:c r="B736" s="79" t="n">
        <x:v>0.6563080965507379</x:v>
      </x:c>
      <x:c r="C736" s="46" t="n">
        <x:f>B736^2</x:f>
        <x:v>0.43074031759805265</x:v>
      </x:c>
      <x:c r="D736" s="47" t="n">
        <x:f>'Datos'!$B$26^3/3</x:f>
        <x:v>0.3333333333333333</x:v>
      </x:c>
      <x:c r="E736" s="46" t="n">
        <x:f>D736*(C736-1)</x:f>
        <x:v>-0.18975322746731577</x:v>
      </x:c>
      <x:c r="F736" s="2"/>
      <x:c r="G736" s="2"/>
      <x:c r="H736" s="2"/>
    </x:row>
    <x:row r="737" ht="22" customHeight="1">
      <x:c r="A737" s="2" t="n">
        <x:v>731</x:v>
      </x:c>
      <x:c r="B737" s="79" t="n">
        <x:v>-0.23672058221238435</x:v>
      </x:c>
      <x:c r="C737" s="46" t="n">
        <x:f>B737^2</x:f>
        <x:v>0.05603663404297021</x:v>
      </x:c>
      <x:c r="D737" s="47" t="n">
        <x:f>'Datos'!$B$26^3/3</x:f>
        <x:v>0.3333333333333333</x:v>
      </x:c>
      <x:c r="E737" s="46" t="n">
        <x:f>D737*(C737-1)</x:f>
        <x:v>-0.31465445531900993</x:v>
      </x:c>
      <x:c r="F737" s="2"/>
      <x:c r="G737" s="2"/>
      <x:c r="H737" s="2"/>
    </x:row>
    <x:row r="738" ht="22" customHeight="1">
      <x:c r="A738" s="2" t="n">
        <x:v>732</x:v>
      </x:c>
      <x:c r="B738" s="79" t="n">
        <x:v>-1.104775223722689</x:v>
      </x:c>
      <x:c r="C738" s="46" t="n">
        <x:f>B738^2</x:f>
        <x:v>1.2205282949515177</x:v>
      </x:c>
      <x:c r="D738" s="47" t="n">
        <x:f>'Datos'!$B$26^3/3</x:f>
        <x:v>0.3333333333333333</x:v>
      </x:c>
      <x:c r="E738" s="46" t="n">
        <x:f>D738*(C738-1)</x:f>
        <x:v>0.0735094316505059</x:v>
      </x:c>
      <x:c r="F738" s="2"/>
      <x:c r="G738" s="2"/>
      <x:c r="H738" s="2"/>
    </x:row>
    <x:row r="739" ht="22" customHeight="1">
      <x:c r="A739" s="2" t="n">
        <x:v>733</x:v>
      </x:c>
      <x:c r="B739" s="79" t="n">
        <x:v>0.13130447446359675</x:v>
      </x:c>
      <x:c r="C739" s="46" t="n">
        <x:f>B739^2</x:f>
        <x:v>0.01724086501416133</x:v>
      </x:c>
      <x:c r="D739" s="47" t="n">
        <x:f>'Datos'!$B$26^3/3</x:f>
        <x:v>0.3333333333333333</x:v>
      </x:c>
      <x:c r="E739" s="46" t="n">
        <x:f>D739*(C739-1)</x:f>
        <x:v>-0.32758637832861287</x:v>
      </x:c>
      <x:c r="F739" s="2"/>
      <x:c r="G739" s="2"/>
      <x:c r="H739" s="2"/>
    </x:row>
    <x:row r="740" ht="22" customHeight="1">
      <x:c r="A740" s="2" t="n">
        <x:v>734</x:v>
      </x:c>
      <x:c r="B740" s="79" t="n">
        <x:v>-0.3234759625648606</x:v>
      </x:c>
      <x:c r="C740" s="46" t="n">
        <x:f>B740^2</x:f>
        <x:v>0.10463669835726311</x:v>
      </x:c>
      <x:c r="D740" s="47" t="n">
        <x:f>'Datos'!$B$26^3/3</x:f>
        <x:v>0.3333333333333333</x:v>
      </x:c>
      <x:c r="E740" s="46" t="n">
        <x:f>D740*(C740-1)</x:f>
        <x:v>-0.2984544338809123</x:v>
      </x:c>
      <x:c r="F740" s="2"/>
      <x:c r="G740" s="2"/>
      <x:c r="H740" s="2"/>
    </x:row>
    <x:row r="741" ht="22" customHeight="1">
      <x:c r="A741" s="2" t="n">
        <x:v>735</x:v>
      </x:c>
      <x:c r="B741" s="79" t="n">
        <x:v>0.087963350489408</x:v>
      </x:c>
      <x:c r="C741" s="46" t="n">
        <x:f>B741^2</x:f>
        <x:v>0.007737551029322434</x:v>
      </x:c>
      <x:c r="D741" s="47" t="n">
        <x:f>'Datos'!$B$26^3/3</x:f>
        <x:v>0.3333333333333333</x:v>
      </x:c>
      <x:c r="E741" s="46" t="n">
        <x:f>D741*(C741-1)</x:f>
        <x:v>-0.33075414965689254</x:v>
      </x:c>
      <x:c r="F741" s="2"/>
      <x:c r="G741" s="2"/>
      <x:c r="H741" s="2"/>
    </x:row>
    <x:row r="742" ht="22" customHeight="1">
      <x:c r="A742" s="2" t="n">
        <x:v>736</x:v>
      </x:c>
      <x:c r="B742" s="79" t="n">
        <x:v>-0.10053578204269228</x:v>
      </x:c>
      <x:c r="C742" s="46" t="n">
        <x:f>B742^2</x:f>
        <x:v>0.010107443470935729</x:v>
      </x:c>
      <x:c r="D742" s="47" t="n">
        <x:f>'Datos'!$B$26^3/3</x:f>
        <x:v>0.3333333333333333</x:v>
      </x:c>
      <x:c r="E742" s="46" t="n">
        <x:f>D742*(C742-1)</x:f>
        <x:v>-0.3299641855096881</x:v>
      </x:c>
      <x:c r="F742" s="2"/>
      <x:c r="G742" s="2"/>
      <x:c r="H742" s="2"/>
    </x:row>
    <x:row r="743" ht="22" customHeight="1">
      <x:c r="A743" s="2" t="n">
        <x:v>737</x:v>
      </x:c>
      <x:c r="B743" s="79" t="n">
        <x:v>0.8521701428978107</x:v>
      </x:c>
      <x:c r="C743" s="46" t="n">
        <x:f>B743^2</x:f>
        <x:v>0.7261939524464751</x:v>
      </x:c>
      <x:c r="D743" s="47" t="n">
        <x:f>'Datos'!$B$26^3/3</x:f>
        <x:v>0.3333333333333333</x:v>
      </x:c>
      <x:c r="E743" s="46" t="n">
        <x:f>D743*(C743-1)</x:f>
        <x:v>-0.09126868251784162</x:v>
      </x:c>
      <x:c r="F743" s="2"/>
      <x:c r="G743" s="2"/>
      <x:c r="H743" s="2"/>
    </x:row>
    <x:row r="744" ht="22" customHeight="1">
      <x:c r="A744" s="2" t="n">
        <x:v>738</x:v>
      </x:c>
      <x:c r="B744" s="79" t="n">
        <x:v>0.6307004240818707</x:v>
      </x:c>
      <x:c r="C744" s="46" t="n">
        <x:f>B744^2</x:f>
        <x:v>0.3977830249370515</x:v>
      </x:c>
      <x:c r="D744" s="47" t="n">
        <x:f>'Datos'!$B$26^3/3</x:f>
        <x:v>0.3333333333333333</x:v>
      </x:c>
      <x:c r="E744" s="46" t="n">
        <x:f>D744*(C744-1)</x:f>
        <x:v>-0.20073899168764947</x:v>
      </x:c>
      <x:c r="F744" s="2"/>
      <x:c r="G744" s="2"/>
      <x:c r="H744" s="2"/>
    </x:row>
    <x:row r="745" ht="22" customHeight="1">
      <x:c r="A745" s="2" t="n">
        <x:v>739</x:v>
      </x:c>
      <x:c r="B745" s="79" t="n">
        <x:v>-1.3712543031509403</x:v>
      </x:c>
      <x:c r="C745" s="46" t="n">
        <x:f>B745^2</x:f>
        <x:v>1.880338363909971</x:v>
      </x:c>
      <x:c r="D745" s="47" t="n">
        <x:f>'Datos'!$B$26^3/3</x:f>
        <x:v>0.3333333333333333</x:v>
      </x:c>
      <x:c r="E745" s="46" t="n">
        <x:f>D745*(C745-1)</x:f>
        <x:v>0.2934461213033236</x:v>
      </x:c>
      <x:c r="F745" s="2"/>
      <x:c r="G745" s="2"/>
      <x:c r="H745" s="2"/>
    </x:row>
    <x:row r="746" ht="22" customHeight="1">
      <x:c r="A746" s="2" t="n">
        <x:v>740</x:v>
      </x:c>
      <x:c r="B746" s="79" t="n">
        <x:v>0.4112505746849093</x:v>
      </x:c>
      <x:c r="C746" s="46" t="n">
        <x:f>B746^2</x:f>
        <x:v>0.16912703517866814</x:v>
      </x:c>
      <x:c r="D746" s="47" t="n">
        <x:f>'Datos'!$B$26^3/3</x:f>
        <x:v>0.3333333333333333</x:v>
      </x:c>
      <x:c r="E746" s="46" t="n">
        <x:f>D746*(C746-1)</x:f>
        <x:v>-0.27695765494044394</x:v>
      </x:c>
      <x:c r="F746" s="2"/>
      <x:c r="G746" s="2"/>
      <x:c r="H746" s="2"/>
    </x:row>
    <x:row r="747" ht="22" customHeight="1">
      <x:c r="A747" s="2" t="n">
        <x:v>741</x:v>
      </x:c>
      <x:c r="B747" s="79" t="n">
        <x:v>-0.3841769420526427</x:v>
      </x:c>
      <x:c r="C747" s="46" t="n">
        <x:f>B747^2</x:f>
        <x:v>0.1475919228049196</x:v>
      </x:c>
      <x:c r="D747" s="47" t="n">
        <x:f>'Datos'!$B$26^3/3</x:f>
        <x:v>0.3333333333333333</x:v>
      </x:c>
      <x:c r="E747" s="46" t="n">
        <x:f>D747*(C747-1)</x:f>
        <x:v>-0.28413602573169344</x:v>
      </x:c>
      <x:c r="F747" s="2"/>
      <x:c r="G747" s="2"/>
      <x:c r="H747" s="2"/>
    </x:row>
    <x:row r="748" ht="22" customHeight="1">
      <x:c r="A748" s="2" t="n">
        <x:v>742</x:v>
      </x:c>
      <x:c r="B748" s="79" t="n">
        <x:v>0.3943156550849834</x:v>
      </x:c>
      <x:c r="C748" s="46" t="n">
        <x:f>B748^2</x:f>
        <x:v>0.1554848358450996</x:v>
      </x:c>
      <x:c r="D748" s="47" t="n">
        <x:f>'Datos'!$B$26^3/3</x:f>
        <x:v>0.3333333333333333</x:v>
      </x:c>
      <x:c r="E748" s="46" t="n">
        <x:f>D748*(C748-1)</x:f>
        <x:v>-0.2815050547183001</x:v>
      </x:c>
      <x:c r="F748" s="2"/>
      <x:c r="G748" s="2"/>
      <x:c r="H748" s="2"/>
    </x:row>
    <x:row r="749" ht="22" customHeight="1">
      <x:c r="A749" s="2" t="n">
        <x:v>743</x:v>
      </x:c>
      <x:c r="B749" s="79" t="n">
        <x:v>0.1722370470740099</x:v>
      </x:c>
      <x:c r="C749" s="46" t="n">
        <x:f>B749^2</x:f>
        <x:v>0.029665600384774705</x:v>
      </x:c>
      <x:c r="D749" s="47" t="n">
        <x:f>'Datos'!$B$26^3/3</x:f>
        <x:v>0.3333333333333333</x:v>
      </x:c>
      <x:c r="E749" s="46" t="n">
        <x:f>D749*(C749-1)</x:f>
        <x:v>-0.32344479987174174</x:v>
      </x:c>
      <x:c r="F749" s="2"/>
      <x:c r="G749" s="2"/>
      <x:c r="H749" s="2"/>
    </x:row>
    <x:row r="750" ht="22" customHeight="1">
      <x:c r="A750" s="2" t="n">
        <x:v>744</x:v>
      </x:c>
      <x:c r="B750" s="79" t="n">
        <x:v>-0.7619496298348786</x:v>
      </x:c>
      <x:c r="C750" s="46" t="n">
        <x:f>B750^2</x:f>
        <x:v>0.5805672384055085</x:v>
      </x:c>
      <x:c r="D750" s="47" t="n">
        <x:f>'Datos'!$B$26^3/3</x:f>
        <x:v>0.3333333333333333</x:v>
      </x:c>
      <x:c r="E750" s="46" t="n">
        <x:f>D750*(C750-1)</x:f>
        <x:v>-0.13981092053149716</x:v>
      </x:c>
      <x:c r="F750" s="2"/>
      <x:c r="G750" s="2"/>
      <x:c r="H750" s="2"/>
    </x:row>
    <x:row r="751" ht="22" customHeight="1">
      <x:c r="A751" s="2" t="n">
        <x:v>745</x:v>
      </x:c>
      <x:c r="B751" s="79" t="n">
        <x:v>0.9225515374727297</x:v>
      </x:c>
      <x:c r="C751" s="46" t="n">
        <x:f>B751^2</x:f>
        <x:v>0.8511013392932973</x:v>
      </x:c>
      <x:c r="D751" s="47" t="n">
        <x:f>'Datos'!$B$26^3/3</x:f>
        <x:v>0.3333333333333333</x:v>
      </x:c>
      <x:c r="E751" s="46" t="n">
        <x:f>D751*(C751-1)</x:f>
        <x:v>-0.04963288690223422</x:v>
      </x:c>
      <x:c r="F751" s="2"/>
      <x:c r="G751" s="2"/>
      <x:c r="H751" s="2"/>
    </x:row>
    <x:row r="752" ht="22" customHeight="1">
      <x:c r="A752" s="2" t="n">
        <x:v>746</x:v>
      </x:c>
      <x:c r="B752" s="79" t="n">
        <x:v>1.0855060381965949</x:v>
      </x:c>
      <x:c r="C752" s="46" t="n">
        <x:f>B752^2</x:f>
        <x:v>1.1783233589612672</x:v>
      </x:c>
      <x:c r="D752" s="47" t="n">
        <x:f>'Datos'!$B$26^3/3</x:f>
        <x:v>0.3333333333333333</x:v>
      </x:c>
      <x:c r="E752" s="46" t="n">
        <x:f>D752*(C752-1)</x:f>
        <x:v>0.05944111965375572</x:v>
      </x:c>
      <x:c r="F752" s="2"/>
      <x:c r="G752" s="2"/>
      <x:c r="H752" s="2"/>
    </x:row>
    <x:row r="753" ht="22" customHeight="1">
      <x:c r="A753" s="2" t="n">
        <x:v>747</x:v>
      </x:c>
      <x:c r="B753" s="79" t="n">
        <x:v>0.18319438629065166</x:v>
      </x:c>
      <x:c r="C753" s="46" t="n">
        <x:f>B753^2</x:f>
        <x:v>0.0335601831684085</x:v>
      </x:c>
      <x:c r="D753" s="47" t="n">
        <x:f>'Datos'!$B$26^3/3</x:f>
        <x:v>0.3333333333333333</x:v>
      </x:c>
      <x:c r="E753" s="46" t="n">
        <x:f>D753*(C753-1)</x:f>
        <x:v>-0.3221466056105305</x:v>
      </x:c>
      <x:c r="F753" s="2"/>
      <x:c r="G753" s="2"/>
      <x:c r="H753" s="2"/>
    </x:row>
    <x:row r="754" ht="22" customHeight="1">
      <x:c r="A754" s="2" t="n">
        <x:v>748</x:v>
      </x:c>
      <x:c r="B754" s="79" t="n">
        <x:v>-0.7296813133585827</x:v>
      </x:c>
      <x:c r="C754" s="46" t="n">
        <x:f>B754^2</x:f>
        <x:v>0.5324348190647061</x:v>
      </x:c>
      <x:c r="D754" s="47" t="n">
        <x:f>'Datos'!$B$26^3/3</x:f>
        <x:v>0.3333333333333333</x:v>
      </x:c>
      <x:c r="E754" s="46" t="n">
        <x:f>D754*(C754-1)</x:f>
        <x:v>-0.1558550603117646</x:v>
      </x:c>
      <x:c r="F754" s="2"/>
      <x:c r="G754" s="2"/>
      <x:c r="H754" s="2"/>
    </x:row>
    <x:row r="755" ht="22" customHeight="1">
      <x:c r="A755" s="2" t="n">
        <x:v>749</x:v>
      </x:c>
      <x:c r="B755" s="79" t="n">
        <x:v>0.9776333302051434</x:v>
      </x:c>
      <x:c r="C755" s="46" t="n">
        <x:f>B755^2</x:f>
        <x:v>0.955766928327999</x:v>
      </x:c>
      <x:c r="D755" s="47" t="n">
        <x:f>'Datos'!$B$26^3/3</x:f>
        <x:v>0.3333333333333333</x:v>
      </x:c>
      <x:c r="E755" s="46" t="n">
        <x:f>D755*(C755-1)</x:f>
        <x:v>-0.014744357224000321</x:v>
      </x:c>
      <x:c r="F755" s="2"/>
      <x:c r="G755" s="2"/>
      <x:c r="H755" s="2"/>
    </x:row>
    <x:row r="756" ht="22" customHeight="1">
      <x:c r="A756" s="2" t="n">
        <x:v>750</x:v>
      </x:c>
      <x:c r="B756" s="79" t="n">
        <x:v>-1.3579863550837759</x:v>
      </x:c>
      <x:c r="C756" s="46" t="n">
        <x:f>B756^2</x:f>
        <x:v>1.844126940593719</x:v>
      </x:c>
      <x:c r="D756" s="47" t="n">
        <x:f>'Datos'!$B$26^3/3</x:f>
        <x:v>0.3333333333333333</x:v>
      </x:c>
      <x:c r="E756" s="46" t="n">
        <x:f>D756*(C756-1)</x:f>
        <x:v>0.281375646864573</x:v>
      </x:c>
      <x:c r="F756" s="2"/>
      <x:c r="G756" s="2"/>
      <x:c r="H756" s="2"/>
    </x:row>
    <x:row r="757" ht="22" customHeight="1">
      <x:c r="A757" s="2" t="n">
        <x:v>751</x:v>
      </x:c>
      <x:c r="B757" s="79" t="n">
        <x:v>0.10960865680865417</x:v>
      </x:c>
      <x:c r="C757" s="46" t="n">
        <x:f>B757^2</x:f>
        <x:v>0.01201405764739733</x:v>
      </x:c>
      <x:c r="D757" s="47" t="n">
        <x:f>'Datos'!$B$26^3/3</x:f>
        <x:v>0.3333333333333333</x:v>
      </x:c>
      <x:c r="E757" s="46" t="n">
        <x:f>D757*(C757-1)</x:f>
        <x:v>-0.32932864745086754</x:v>
      </x:c>
      <x:c r="F757" s="2"/>
      <x:c r="G757" s="2"/>
      <x:c r="H757" s="2"/>
    </x:row>
    <x:row r="758" ht="22" customHeight="1">
      <x:c r="A758" s="2" t="n">
        <x:v>752</x:v>
      </x:c>
      <x:c r="B758" s="79" t="n">
        <x:v>-0.8584668314972755</x:v>
      </x:c>
      <x:c r="C758" s="46" t="n">
        <x:f>B758^2</x:f>
        <x:v>0.7369653007809717</x:v>
      </x:c>
      <x:c r="D758" s="47" t="n">
        <x:f>'Datos'!$B$26^3/3</x:f>
        <x:v>0.3333333333333333</x:v>
      </x:c>
      <x:c r="E758" s="46" t="n">
        <x:f>D758*(C758-1)</x:f>
        <x:v>-0.08767823307300944</x:v>
      </x:c>
      <x:c r="F758" s="2"/>
      <x:c r="G758" s="2"/>
      <x:c r="H758" s="2"/>
    </x:row>
    <x:row r="759" ht="22" customHeight="1">
      <x:c r="A759" s="2" t="n">
        <x:v>753</x:v>
      </x:c>
      <x:c r="B759" s="79" t="n">
        <x:v>0.6057795302902449</x:v>
      </x:c>
      <x:c r="C759" s="46" t="n">
        <x:f>B759^2</x:f>
        <x:v>0.36696883931866975</x:v>
      </x:c>
      <x:c r="D759" s="47" t="n">
        <x:f>'Datos'!$B$26^3/3</x:f>
        <x:v>0.3333333333333333</x:v>
      </x:c>
      <x:c r="E759" s="46" t="n">
        <x:f>D759*(C759-1)</x:f>
        <x:v>-0.21101038689377674</x:v>
      </x:c>
      <x:c r="F759" s="2"/>
      <x:c r="G759" s="2"/>
      <x:c r="H759" s="2"/>
    </x:row>
    <x:row r="760" ht="22" customHeight="1">
      <x:c r="A760" s="2" t="n">
        <x:v>754</x:v>
      </x:c>
      <x:c r="B760" s="79" t="n">
        <x:v>1.333658516085483</x:v>
      </x:c>
      <x:c r="C760" s="46" t="n">
        <x:f>B760^2</x:f>
        <x:v>1.7786450375273326</x:v>
      </x:c>
      <x:c r="D760" s="47" t="n">
        <x:f>'Datos'!$B$26^3/3</x:f>
        <x:v>0.3333333333333333</x:v>
      </x:c>
      <x:c r="E760" s="46" t="n">
        <x:f>D760*(C760-1)</x:f>
        <x:v>0.2595483458424442</x:v>
      </x:c>
      <x:c r="F760" s="2"/>
      <x:c r="G760" s="2"/>
      <x:c r="H760" s="2"/>
    </x:row>
    <x:row r="761" ht="22" customHeight="1">
      <x:c r="A761" s="2" t="n">
        <x:v>755</x:v>
      </x:c>
      <x:c r="B761" s="79" t="n">
        <x:v>0.1999110367962491</x:v>
      </x:c>
      <x:c r="C761" s="46" t="n">
        <x:f>B761^2</x:f>
        <x:v>0.03996442263295127</x:v>
      </x:c>
      <x:c r="D761" s="47" t="n">
        <x:f>'Datos'!$B$26^3/3</x:f>
        <x:v>0.3333333333333333</x:v>
      </x:c>
      <x:c r="E761" s="46" t="n">
        <x:f>D761*(C761-1)</x:f>
        <x:v>-0.32001185912234953</x:v>
      </x:c>
      <x:c r="F761" s="2"/>
      <x:c r="G761" s="2"/>
      <x:c r="H761" s="2"/>
    </x:row>
    <x:row r="762" ht="22" customHeight="1">
      <x:c r="A762" s="2" t="n">
        <x:v>756</x:v>
      </x:c>
      <x:c r="B762" s="79" t="n">
        <x:v>0.3557543780570768</x:v>
      </x:c>
      <x:c r="C762" s="46" t="n">
        <x:f>B762^2</x:f>
        <x:v>0.12656117750677753</x:v>
      </x:c>
      <x:c r="D762" s="47" t="n">
        <x:f>'Datos'!$B$26^3/3</x:f>
        <x:v>0.3333333333333333</x:v>
      </x:c>
      <x:c r="E762" s="46" t="n">
        <x:f>D762*(C762-1)</x:f>
        <x:v>-0.29114627416440747</x:v>
      </x:c>
      <x:c r="F762" s="2"/>
      <x:c r="G762" s="2"/>
      <x:c r="H762" s="2"/>
    </x:row>
    <x:row r="763" ht="22" customHeight="1">
      <x:c r="A763" s="2" t="n">
        <x:v>757</x:v>
      </x:c>
      <x:c r="B763" s="79" t="n">
        <x:v>0.412467238276526</x:v>
      </x:c>
      <x:c r="C763" s="46" t="n">
        <x:f>B763^2</x:f>
        <x:v>0.17012922265146446</x:v>
      </x:c>
      <x:c r="D763" s="47" t="n">
        <x:f>'Datos'!$B$26^3/3</x:f>
        <x:v>0.3333333333333333</x:v>
      </x:c>
      <x:c r="E763" s="46" t="n">
        <x:f>D763*(C763-1)</x:f>
        <x:v>-0.27662359244951185</x:v>
      </x:c>
      <x:c r="F763" s="2"/>
      <x:c r="G763" s="2"/>
      <x:c r="H763" s="2"/>
    </x:row>
    <x:row r="764" ht="22" customHeight="1">
      <x:c r="A764" s="2" t="n">
        <x:v>758</x:v>
      </x:c>
      <x:c r="B764" s="79" t="n">
        <x:v>-1.8102314327353295</x:v>
      </x:c>
      <x:c r="C764" s="46" t="n">
        <x:f>B764^2</x:f>
        <x:v>3.276937840063004</x:v>
      </x:c>
      <x:c r="D764" s="47" t="n">
        <x:f>'Datos'!$B$26^3/3</x:f>
        <x:v>0.3333333333333333</x:v>
      </x:c>
      <x:c r="E764" s="46" t="n">
        <x:f>D764*(C764-1)</x:f>
        <x:v>0.7589792800210012</x:v>
      </x:c>
      <x:c r="F764" s="2"/>
      <x:c r="G764" s="2"/>
      <x:c r="H764" s="2"/>
    </x:row>
    <x:row r="765" ht="22" customHeight="1">
      <x:c r="A765" s="2" t="n">
        <x:v>759</x:v>
      </x:c>
      <x:c r="B765" s="79" t="n">
        <x:v>0.04055349308787766</x:v>
      </x:c>
      <x:c r="C765" s="46" t="n">
        <x:f>B765^2</x:f>
        <x:v>0.0016445858016285412</x:v>
      </x:c>
      <x:c r="D765" s="47" t="n">
        <x:f>'Datos'!$B$26^3/3</x:f>
        <x:v>0.3333333333333333</x:v>
      </x:c>
      <x:c r="E765" s="46" t="n">
        <x:f>D765*(C765-1)</x:f>
        <x:v>-0.3327851380661238</x:v>
      </x:c>
      <x:c r="F765" s="2"/>
      <x:c r="G765" s="2"/>
      <x:c r="H765" s="2"/>
    </x:row>
    <x:row r="766" ht="22" customHeight="1">
      <x:c r="A766" s="2" t="n">
        <x:v>760</x:v>
      </x:c>
      <x:c r="B766" s="79" t="n">
        <x:v>0.23049167539866883</x:v>
      </x:c>
      <x:c r="C766" s="46" t="n">
        <x:f>B766^2</x:f>
        <x:v>0.053126412428085315</x:v>
      </x:c>
      <x:c r="D766" s="47" t="n">
        <x:f>'Datos'!$B$26^3/3</x:f>
        <x:v>0.3333333333333333</x:v>
      </x:c>
      <x:c r="E766" s="46" t="n">
        <x:f>D766*(C766-1)</x:f>
        <x:v>-0.3156245291906382</x:v>
      </x:c>
      <x:c r="F766" s="2"/>
      <x:c r="G766" s="2"/>
      <x:c r="H766" s="2"/>
    </x:row>
    <x:row r="767" ht="22" customHeight="1">
      <x:c r="A767" s="2" t="n">
        <x:v>761</x:v>
      </x:c>
      <x:c r="B767" s="79" t="n">
        <x:v>-0.25870744670112444</x:v>
      </x:c>
      <x:c r="C767" s="46" t="n">
        <x:f>B767^2</x:f>
        <x:v>0.06692954297861514</x:v>
      </x:c>
      <x:c r="D767" s="47" t="n">
        <x:f>'Datos'!$B$26^3/3</x:f>
        <x:v>0.3333333333333333</x:v>
      </x:c>
      <x:c r="E767" s="46" t="n">
        <x:f>D767*(C767-1)</x:f>
        <x:v>-0.3110234856737949</x:v>
      </x:c>
      <x:c r="F767" s="2"/>
      <x:c r="G767" s="2"/>
      <x:c r="H767" s="2"/>
    </x:row>
    <x:row r="768" ht="22" customHeight="1">
      <x:c r="A768" s="2" t="n">
        <x:v>762</x:v>
      </x:c>
      <x:c r="B768" s="79" t="n">
        <x:v>0.2747113859386983</x:v>
      </x:c>
      <x:c r="C768" s="46" t="n">
        <x:f>B768^2</x:f>
        <x:v>0.07546634556436045</x:v>
      </x:c>
      <x:c r="D768" s="47" t="n">
        <x:f>'Datos'!$B$26^3/3</x:f>
        <x:v>0.3333333333333333</x:v>
      </x:c>
      <x:c r="E768" s="46" t="n">
        <x:f>D768*(C768-1)</x:f>
        <x:v>-0.3081778848118798</x:v>
      </x:c>
      <x:c r="F768" s="2"/>
      <x:c r="G768" s="2"/>
      <x:c r="H768" s="2"/>
    </x:row>
    <x:row r="769" ht="22" customHeight="1">
      <x:c r="A769" s="2" t="n">
        <x:v>763</x:v>
      </x:c>
      <x:c r="B769" s="79" t="n">
        <x:v>-0.6193095985174139</x:v>
      </x:c>
      <x:c r="C769" s="46" t="n">
        <x:f>B769^2</x:f>
        <x:v>0.38354437881580034</x:v>
      </x:c>
      <x:c r="D769" s="47" t="n">
        <x:f>'Datos'!$B$26^3/3</x:f>
        <x:v>0.3333333333333333</x:v>
      </x:c>
      <x:c r="E769" s="46" t="n">
        <x:f>D769*(C769-1)</x:f>
        <x:v>-0.20548520706139986</x:v>
      </x:c>
      <x:c r="F769" s="2"/>
      <x:c r="G769" s="2"/>
      <x:c r="H769" s="2"/>
    </x:row>
    <x:row r="770" ht="22" customHeight="1">
      <x:c r="A770" s="2" t="n">
        <x:v>764</x:v>
      </x:c>
      <x:c r="B770" s="79" t="n">
        <x:v>0.25536842580540997</x:v>
      </x:c>
      <x:c r="C770" s="46" t="n">
        <x:f>B770^2</x:f>
        <x:v>0.06521303289833318</x:v>
      </x:c>
      <x:c r="D770" s="47" t="n">
        <x:f>'Datos'!$B$26^3/3</x:f>
        <x:v>0.3333333333333333</x:v>
      </x:c>
      <x:c r="E770" s="46" t="n">
        <x:f>D770*(C770-1)</x:f>
        <x:v>-0.3115956557005556</x:v>
      </x:c>
      <x:c r="F770" s="2"/>
      <x:c r="G770" s="2"/>
      <x:c r="H770" s="2"/>
    </x:row>
    <x:row r="771" ht="22" customHeight="1">
      <x:c r="A771" s="2" t="n">
        <x:v>765</x:v>
      </x:c>
      <x:c r="B771" s="79" t="n">
        <x:v>0.14903270934210258</x:v>
      </x:c>
      <x:c r="C771" s="46" t="n">
        <x:f>B771^2</x:f>
        <x:v>0.02221074845384763</x:v>
      </x:c>
      <x:c r="D771" s="47" t="n">
        <x:f>'Datos'!$B$26^3/3</x:f>
        <x:v>0.3333333333333333</x:v>
      </x:c>
      <x:c r="E771" s="46" t="n">
        <x:f>D771*(C771-1)</x:f>
        <x:v>-0.3259297505153841</x:v>
      </x:c>
      <x:c r="F771" s="2"/>
      <x:c r="G771" s="2"/>
      <x:c r="H771" s="2"/>
    </x:row>
    <x:row r="772" ht="22" customHeight="1">
      <x:c r="A772" s="2" t="n">
        <x:v>766</x:v>
      </x:c>
      <x:c r="B772" s="79" t="n">
        <x:v>0.11669650623065574</x:v>
      </x:c>
      <x:c r="C772" s="46" t="n">
        <x:f>B772^2</x:f>
        <x:v>0.013618074566441473</x:v>
      </x:c>
      <x:c r="D772" s="47" t="n">
        <x:f>'Datos'!$B$26^3/3</x:f>
        <x:v>0.3333333333333333</x:v>
      </x:c>
      <x:c r="E772" s="46" t="n">
        <x:f>D772*(C772-1)</x:f>
        <x:v>-0.32879397514451947</x:v>
      </x:c>
      <x:c r="F772" s="2"/>
      <x:c r="G772" s="2"/>
      <x:c r="H772" s="2"/>
    </x:row>
    <x:row r="773" ht="22" customHeight="1">
      <x:c r="A773" s="2" t="n">
        <x:v>767</x:v>
      </x:c>
      <x:c r="B773" s="79" t="n">
        <x:v>-0.5833182789217627</x:v>
      </x:c>
      <x:c r="C773" s="46" t="n">
        <x:f>B773^2</x:f>
        <x:v>0.3402602145242473</x:v>
      </x:c>
      <x:c r="D773" s="47" t="n">
        <x:f>'Datos'!$B$26^3/3</x:f>
        <x:v>0.3333333333333333</x:v>
      </x:c>
      <x:c r="E773" s="46" t="n">
        <x:f>D773*(C773-1)</x:f>
        <x:v>-0.2199132618252509</x:v>
      </x:c>
      <x:c r="F773" s="2"/>
      <x:c r="G773" s="2"/>
      <x:c r="H773" s="2"/>
    </x:row>
    <x:row r="774" ht="22" customHeight="1">
      <x:c r="A774" s="2" t="n">
        <x:v>768</x:v>
      </x:c>
      <x:c r="B774" s="79" t="n">
        <x:v>-1.053756175666454</x:v>
      </x:c>
      <x:c r="C774" s="46" t="n">
        <x:f>B774^2</x:f>
        <x:v>1.1104020777551906</x:v>
      </x:c>
      <x:c r="D774" s="47" t="n">
        <x:f>'Datos'!$B$26^3/3</x:f>
        <x:v>0.3333333333333333</x:v>
      </x:c>
      <x:c r="E774" s="46" t="n">
        <x:f>D774*(C774-1)</x:f>
        <x:v>0.036800692585063535</x:v>
      </x:c>
      <x:c r="F774" s="2"/>
      <x:c r="G774" s="2"/>
      <x:c r="H774" s="2"/>
    </x:row>
    <x:row r="775" ht="22" customHeight="1">
      <x:c r="A775" s="2" t="n">
        <x:v>769</x:v>
      </x:c>
      <x:c r="B775" s="79" t="n">
        <x:v>-0.2965709852105448</x:v>
      </x:c>
      <x:c r="C775" s="46" t="n">
        <x:f>B775^2</x:f>
        <x:v>0.08795434926875319</x:v>
      </x:c>
      <x:c r="D775" s="47" t="n">
        <x:f>'Datos'!$B$26^3/3</x:f>
        <x:v>0.3333333333333333</x:v>
      </x:c>
      <x:c r="E775" s="46" t="n">
        <x:f>D775*(C775-1)</x:f>
        <x:v>-0.30401521691041555</x:v>
      </x:c>
      <x:c r="F775" s="2"/>
      <x:c r="G775" s="2"/>
      <x:c r="H775" s="2"/>
    </x:row>
    <x:row r="776" ht="22" customHeight="1">
      <x:c r="A776" s="2" t="n">
        <x:v>770</x:v>
      </x:c>
      <x:c r="B776" s="79" t="n">
        <x:v>0.6829135392066639</x:v>
      </x:c>
      <x:c r="C776" s="46" t="n">
        <x:f>B776^2</x:f>
        <x:v>0.4663709020317716</x:v>
      </x:c>
      <x:c r="D776" s="47" t="n">
        <x:f>'Datos'!$B$26^3/3</x:f>
        <x:v>0.3333333333333333</x:v>
      </x:c>
      <x:c r="E776" s="46" t="n">
        <x:f>D776*(C776-1)</x:f>
        <x:v>-0.17787636598940942</x:v>
      </x:c>
      <x:c r="F776" s="2"/>
      <x:c r="G776" s="2"/>
      <x:c r="H776" s="2"/>
    </x:row>
    <x:row r="777" ht="22" customHeight="1">
      <x:c r="A777" s="2" t="n">
        <x:v>771</x:v>
      </x:c>
      <x:c r="B777" s="79" t="n">
        <x:v>1.4810810538837427</x:v>
      </x:c>
      <x:c r="C777" s="46" t="n">
        <x:f>B777^2</x:f>
        <x:v>2.193601088173378</x:v>
      </x:c>
      <x:c r="D777" s="47" t="n">
        <x:f>'Datos'!$B$26^3/3</x:f>
        <x:v>0.3333333333333333</x:v>
      </x:c>
      <x:c r="E777" s="46" t="n">
        <x:f>D777*(C777-1)</x:f>
        <x:v>0.397867029391126</x:v>
      </x:c>
      <x:c r="F777" s="2"/>
      <x:c r="G777" s="2"/>
      <x:c r="H777" s="2"/>
    </x:row>
    <x:row r="778" ht="22" customHeight="1">
      <x:c r="A778" s="2" t="n">
        <x:v>772</x:v>
      </x:c>
      <x:c r="B778" s="79" t="n">
        <x:v>2.078330365249125</x:v>
      </x:c>
      <x:c r="C778" s="46" t="n">
        <x:f>B778^2</x:f>
        <x:v>4.319457107116561</x:v>
      </x:c>
      <x:c r="D778" s="47" t="n">
        <x:f>'Datos'!$B$26^3/3</x:f>
        <x:v>0.3333333333333333</x:v>
      </x:c>
      <x:c r="E778" s="46" t="n">
        <x:f>D778*(C778-1)</x:f>
        <x:v>1.1064857023721868</x:v>
      </x:c>
      <x:c r="F778" s="2"/>
      <x:c r="G778" s="2"/>
      <x:c r="H778" s="2"/>
    </x:row>
    <x:row r="779" ht="22" customHeight="1">
      <x:c r="A779" s="2" t="n">
        <x:v>773</x:v>
      </x:c>
      <x:c r="B779" s="79" t="n">
        <x:v>-1.6102441688001232</x:v>
      </x:c>
      <x:c r="C779" s="46" t="n">
        <x:f>B779^2</x:f>
        <x:v>2.5928862831547996</x:v>
      </x:c>
      <x:c r="D779" s="47" t="n">
        <x:f>'Datos'!$B$26^3/3</x:f>
        <x:v>0.3333333333333333</x:v>
      </x:c>
      <x:c r="E779" s="46" t="n">
        <x:f>D779*(C779-1)</x:f>
        <x:v>0.5309620943849331</x:v>
      </x:c>
      <x:c r="F779" s="2"/>
      <x:c r="G779" s="2"/>
      <x:c r="H779" s="2"/>
    </x:row>
    <x:row r="780" ht="22" customHeight="1">
      <x:c r="A780" s="2" t="n">
        <x:v>774</x:v>
      </x:c>
      <x:c r="B780" s="79" t="n">
        <x:v>-0.4891865557343479</x:v>
      </x:c>
      <x:c r="C780" s="46" t="n">
        <x:f>B780^2</x:f>
        <x:v>0.23930348631123424</x:v>
      </x:c>
      <x:c r="D780" s="47" t="n">
        <x:f>'Datos'!$B$26^3/3</x:f>
        <x:v>0.3333333333333333</x:v>
      </x:c>
      <x:c r="E780" s="46" t="n">
        <x:f>D780*(C780-1)</x:f>
        <x:v>-0.25356550456292193</x:v>
      </x:c>
      <x:c r="F780" s="2"/>
      <x:c r="G780" s="2"/>
      <x:c r="H780" s="2"/>
    </x:row>
    <x:row r="781" ht="22" customHeight="1">
      <x:c r="A781" s="2" t="n">
        <x:v>775</x:v>
      </x:c>
      <x:c r="B781" s="79" t="n">
        <x:v>0.1579648640366376</x:v>
      </x:c>
      <x:c r="C781" s="46" t="n">
        <x:f>B781^2</x:f>
        <x:v>0.0249528982701134</x:v>
      </x:c>
      <x:c r="D781" s="47" t="n">
        <x:f>'Datos'!$B$26^3/3</x:f>
        <x:v>0.3333333333333333</x:v>
      </x:c>
      <x:c r="E781" s="46" t="n">
        <x:f>D781*(C781-1)</x:f>
        <x:v>-0.3250157005766289</x:v>
      </x:c>
      <x:c r="F781" s="2"/>
      <x:c r="G781" s="2"/>
      <x:c r="H781" s="2"/>
    </x:row>
    <x:row r="782" ht="22" customHeight="1">
      <x:c r="A782" s="2" t="n">
        <x:v>776</x:v>
      </x:c>
      <x:c r="B782" s="79" t="n">
        <x:v>-1.0402576721274641</x:v>
      </x:c>
      <x:c r="C782" s="46" t="n">
        <x:f>B782^2</x:f>
        <x:v>1.0821360244200506</x:v>
      </x:c>
      <x:c r="D782" s="47" t="n">
        <x:f>'Datos'!$B$26^3/3</x:f>
        <x:v>0.3333333333333333</x:v>
      </x:c>
      <x:c r="E782" s="46" t="n">
        <x:f>D782*(C782-1)</x:f>
        <x:v>0.027378674806683545</x:v>
      </x:c>
      <x:c r="F782" s="2"/>
      <x:c r="G782" s="2"/>
      <x:c r="H782" s="2"/>
    </x:row>
    <x:row r="783" ht="22" customHeight="1">
      <x:c r="A783" s="2" t="n">
        <x:v>777</x:v>
      </x:c>
      <x:c r="B783" s="79" t="n">
        <x:v>1.083989405616155</x:v>
      </x:c>
      <x:c r="C783" s="46" t="n">
        <x:f>B783^2</x:f>
        <x:v>1.175033031488065</x:v>
      </x:c>
      <x:c r="D783" s="47" t="n">
        <x:f>'Datos'!$B$26^3/3</x:f>
        <x:v>0.3333333333333333</x:v>
      </x:c>
      <x:c r="E783" s="46" t="n">
        <x:f>D783*(C783-1)</x:f>
        <x:v>0.05834434382935501</x:v>
      </x:c>
      <x:c r="F783" s="2"/>
      <x:c r="G783" s="2"/>
      <x:c r="H783" s="2"/>
    </x:row>
    <x:row r="784" ht="22" customHeight="1">
      <x:c r="A784" s="2" t="n">
        <x:v>778</x:v>
      </x:c>
      <x:c r="B784" s="79" t="n">
        <x:v>0.34076629330329933</x:v>
      </x:c>
      <x:c r="C784" s="46" t="n">
        <x:f>B784^2</x:f>
        <x:v>0.11612166665167023</x:v>
      </x:c>
      <x:c r="D784" s="47" t="n">
        <x:f>'Datos'!$B$26^3/3</x:f>
        <x:v>0.3333333333333333</x:v>
      </x:c>
      <x:c r="E784" s="46" t="n">
        <x:f>D784*(C784-1)</x:f>
        <x:v>-0.2946261111161099</x:v>
      </x:c>
      <x:c r="F784" s="2"/>
      <x:c r="G784" s="2"/>
      <x:c r="H784" s="2"/>
    </x:row>
    <x:row r="785" ht="22" customHeight="1">
      <x:c r="A785" s="2" t="n">
        <x:v>779</x:v>
      </x:c>
      <x:c r="B785" s="79" t="n">
        <x:v>-0.08834548211698325</x:v>
      </x:c>
      <x:c r="C785" s="46" t="n">
        <x:f>B785^2</x:f>
        <x:v>0.007804924210482207</x:v>
      </x:c>
      <x:c r="D785" s="47" t="n">
        <x:f>'Datos'!$B$26^3/3</x:f>
        <x:v>0.3333333333333333</x:v>
      </x:c>
      <x:c r="E785" s="46" t="n">
        <x:f>D785*(C785-1)</x:f>
        <x:v>-0.33073169192983926</x:v>
      </x:c>
      <x:c r="F785" s="2"/>
      <x:c r="G785" s="2"/>
      <x:c r="H785" s="2"/>
    </x:row>
    <x:row r="786" ht="22" customHeight="1">
      <x:c r="A786" s="2" t="n">
        <x:v>780</x:v>
      </x:c>
      <x:c r="B786" s="79" t="n">
        <x:v>0.3979207232846691</x:v>
      </x:c>
      <x:c r="C786" s="46" t="n">
        <x:f>B786^2</x:f>
        <x:v>0.1583409020193942</x:v>
      </x:c>
      <x:c r="D786" s="47" t="n">
        <x:f>'Datos'!$B$26^3/3</x:f>
        <x:v>0.3333333333333333</x:v>
      </x:c>
      <x:c r="E786" s="46" t="n">
        <x:f>D786*(C786-1)</x:f>
        <x:v>-0.28055303266020193</x:v>
      </x:c>
      <x:c r="F786" s="2"/>
      <x:c r="G786" s="2"/>
      <x:c r="H786" s="2"/>
    </x:row>
    <x:row r="787" ht="22" customHeight="1">
      <x:c r="A787" s="2" t="n">
        <x:v>781</x:v>
      </x:c>
      <x:c r="B787" s="79" t="n">
        <x:v>-1.2125832030964274</x:v>
      </x:c>
      <x:c r="C787" s="46" t="n">
        <x:f>B787^2</x:f>
        <x:v>1.4703580244315917</x:v>
      </x:c>
      <x:c r="D787" s="47" t="n">
        <x:f>'Datos'!$B$26^3/3</x:f>
        <x:v>0.3333333333333333</x:v>
      </x:c>
      <x:c r="E787" s="46" t="n">
        <x:f>D787*(C787-1)</x:f>
        <x:v>0.1567860081438639</x:v>
      </x:c>
      <x:c r="F787" s="2"/>
      <x:c r="G787" s="2"/>
      <x:c r="H787" s="2"/>
    </x:row>
    <x:row r="788" ht="22" customHeight="1">
      <x:c r="A788" s="2" t="n">
        <x:v>782</x:v>
      </x:c>
      <x:c r="B788" s="79" t="n">
        <x:v>0.6593445984486659</x:v>
      </x:c>
      <x:c r="C788" s="46" t="n">
        <x:f>B788^2</x:f>
        <x:v>0.4347352995034325</x:v>
      </x:c>
      <x:c r="D788" s="47" t="n">
        <x:f>'Datos'!$B$26^3/3</x:f>
        <x:v>0.3333333333333333</x:v>
      </x:c>
      <x:c r="E788" s="46" t="n">
        <x:f>D788*(C788-1)</x:f>
        <x:v>-0.18842156683218916</x:v>
      </x:c>
      <x:c r="F788" s="2"/>
      <x:c r="G788" s="2"/>
      <x:c r="H788" s="2"/>
    </x:row>
    <x:row r="789" ht="22" customHeight="1">
      <x:c r="A789" s="2" t="n">
        <x:v>783</x:v>
      </x:c>
      <x:c r="B789" s="79" t="n">
        <x:v>0.13894464806724072</x:v>
      </x:c>
      <x:c r="C789" s="46" t="n">
        <x:f>B789^2</x:f>
        <x:v>0.01930561522652938</x:v>
      </x:c>
      <x:c r="D789" s="47" t="n">
        <x:f>'Datos'!$B$26^3/3</x:f>
        <x:v>0.3333333333333333</x:v>
      </x:c>
      <x:c r="E789" s="46" t="n">
        <x:f>D789*(C789-1)</x:f>
        <x:v>-0.3268981282578235</x:v>
      </x:c>
      <x:c r="F789" s="2"/>
      <x:c r="G789" s="2"/>
      <x:c r="H789" s="2"/>
    </x:row>
    <x:row r="790" ht="22" customHeight="1">
      <x:c r="A790" s="2" t="n">
        <x:v>784</x:v>
      </x:c>
      <x:c r="B790" s="79" t="n">
        <x:v>0.7472786343162814</x:v>
      </x:c>
      <x:c r="C790" s="46" t="n">
        <x:f>B790^2</x:f>
        <x:v>0.5584253573056066</x:v>
      </x:c>
      <x:c r="D790" s="47" t="n">
        <x:f>'Datos'!$B$26^3/3</x:f>
        <x:v>0.3333333333333333</x:v>
      </x:c>
      <x:c r="E790" s="46" t="n">
        <x:f>D790*(C790-1)</x:f>
        <x:v>-0.1471915475647978</x:v>
      </x:c>
      <x:c r="F790" s="2"/>
      <x:c r="G790" s="2"/>
      <x:c r="H790" s="2"/>
    </x:row>
    <x:row r="791" ht="22" customHeight="1">
      <x:c r="A791" s="2" t="n">
        <x:v>785</x:v>
      </x:c>
      <x:c r="B791" s="79" t="n">
        <x:v>-1.1988811765753158</x:v>
      </x:c>
      <x:c r="C791" s="46" t="n">
        <x:f>B791^2</x:f>
        <x:v>1.4373160755466134</x:v>
      </x:c>
      <x:c r="D791" s="47" t="n">
        <x:f>'Datos'!$B$26^3/3</x:f>
        <x:v>0.3333333333333333</x:v>
      </x:c>
      <x:c r="E791" s="46" t="n">
        <x:f>D791*(C791-1)</x:f>
        <x:v>0.14577202518220447</x:v>
      </x:c>
      <x:c r="F791" s="2"/>
      <x:c r="G791" s="2"/>
      <x:c r="H791" s="2"/>
    </x:row>
    <x:row r="792" ht="22" customHeight="1">
      <x:c r="A792" s="2" t="n">
        <x:v>786</x:v>
      </x:c>
      <x:c r="B792" s="79" t="n">
        <x:v>1.7430550412497512</x:v>
      </x:c>
      <x:c r="C792" s="46" t="n">
        <x:f>B792^2</x:f>
        <x:v>3.0382408768261717</x:v>
      </x:c>
      <x:c r="D792" s="47" t="n">
        <x:f>'Datos'!$B$26^3/3</x:f>
        <x:v>0.3333333333333333</x:v>
      </x:c>
      <x:c r="E792" s="46" t="n">
        <x:f>D792*(C792-1)</x:f>
        <x:v>0.6794136256087239</x:v>
      </x:c>
      <x:c r="F792" s="2"/>
      <x:c r="G792" s="2"/>
      <x:c r="H792" s="2"/>
    </x:row>
    <x:row r="793" ht="22" customHeight="1">
      <x:c r="A793" s="2" t="n">
        <x:v>787</x:v>
      </x:c>
      <x:c r="B793" s="79" t="n">
        <x:v>0.15493791327531245</x:v>
      </x:c>
      <x:c r="C793" s="46" t="n">
        <x:f>B793^2</x:f>
        <x:v>0.024005756970108243</x:v>
      </x:c>
      <x:c r="D793" s="47" t="n">
        <x:f>'Datos'!$B$26^3/3</x:f>
        <x:v>0.3333333333333333</x:v>
      </x:c>
      <x:c r="E793" s="46" t="n">
        <x:f>D793*(C793-1)</x:f>
        <x:v>-0.32533141434329726</x:v>
      </x:c>
      <x:c r="F793" s="2"/>
      <x:c r="G793" s="2"/>
      <x:c r="H793" s="2"/>
    </x:row>
    <x:row r="794" ht="22" customHeight="1">
      <x:c r="A794" s="2" t="n">
        <x:v>788</x:v>
      </x:c>
      <x:c r="B794" s="79" t="n">
        <x:v>0.7348982770417063</x:v>
      </x:c>
      <x:c r="C794" s="46" t="n">
        <x:f>B794^2</x:f>
        <x:v>0.5400754775988685</x:v>
      </x:c>
      <x:c r="D794" s="47" t="n">
        <x:f>'Datos'!$B$26^3/3</x:f>
        <x:v>0.3333333333333333</x:v>
      </x:c>
      <x:c r="E794" s="46" t="n">
        <x:f>D794*(C794-1)</x:f>
        <x:v>-0.15330817413371048</x:v>
      </x:c>
      <x:c r="F794" s="2"/>
      <x:c r="G794" s="2"/>
      <x:c r="H794" s="2"/>
    </x:row>
    <x:row r="795" ht="22" customHeight="1">
      <x:c r="A795" s="2" t="n">
        <x:v>789</x:v>
      </x:c>
      <x:c r="B795" s="79" t="n">
        <x:v>0.4023228228411594</x:v>
      </x:c>
      <x:c r="C795" s="46" t="n">
        <x:f>B795^2</x:f>
        <x:v>0.16186365377887893</x:v>
      </x:c>
      <x:c r="D795" s="47" t="n">
        <x:f>'Datos'!$B$26^3/3</x:f>
        <x:v>0.3333333333333333</x:v>
      </x:c>
      <x:c r="E795" s="46" t="n">
        <x:f>D795*(C795-1)</x:f>
        <x:v>-0.27937878207370703</x:v>
      </x:c>
      <x:c r="F795" s="2"/>
      <x:c r="G795" s="2"/>
      <x:c r="H795" s="2"/>
    </x:row>
    <x:row r="796" ht="22" customHeight="1">
      <x:c r="A796" s="2" t="n">
        <x:v>790</x:v>
      </x:c>
      <x:c r="B796" s="79" t="n">
        <x:v>0.5140726333170882</x:v>
      </x:c>
      <x:c r="C796" s="46" t="n">
        <x:f>B796^2</x:f>
        <x:v>0.2642706723255654</x:v>
      </x:c>
      <x:c r="D796" s="47" t="n">
        <x:f>'Datos'!$B$26^3/3</x:f>
        <x:v>0.3333333333333333</x:v>
      </x:c>
      <x:c r="E796" s="46" t="n">
        <x:f>D796*(C796-1)</x:f>
        <x:v>-0.24524310922481152</x:v>
      </x:c>
      <x:c r="F796" s="2"/>
      <x:c r="G796" s="2"/>
      <x:c r="H796" s="2"/>
    </x:row>
    <x:row r="797" ht="22" customHeight="1">
      <x:c r="A797" s="2" t="n">
        <x:v>791</x:v>
      </x:c>
      <x:c r="B797" s="79" t="n">
        <x:v>-0.020726897634919736</x:v>
      </x:c>
      <x:c r="C797" s="46" t="n">
        <x:f>B797^2</x:f>
        <x:v>0.00042960428556844133</x:v>
      </x:c>
      <x:c r="D797" s="47" t="n">
        <x:f>'Datos'!$B$26^3/3</x:f>
        <x:v>0.3333333333333333</x:v>
      </x:c>
      <x:c r="E797" s="46" t="n">
        <x:f>D797*(C797-1)</x:f>
        <x:v>-0.3331901319048105</x:v>
      </x:c>
      <x:c r="F797" s="2"/>
      <x:c r="G797" s="2"/>
      <x:c r="H797" s="2"/>
    </x:row>
    <x:row r="798" ht="22" customHeight="1">
      <x:c r="A798" s="2" t="n">
        <x:v>792</x:v>
      </x:c>
      <x:c r="B798" s="79" t="n">
        <x:v>2.552001626910961</x:v>
      </x:c>
      <x:c r="C798" s="46" t="n">
        <x:f>B798^2</x:f>
        <x:v>6.512712303756192</x:v>
      </x:c>
      <x:c r="D798" s="47" t="n">
        <x:f>'Datos'!$B$26^3/3</x:f>
        <x:v>0.3333333333333333</x:v>
      </x:c>
      <x:c r="E798" s="46" t="n">
        <x:f>D798*(C798-1)</x:f>
        <x:v>1.8375707679187308</x:v>
      </x:c>
      <x:c r="F798" s="2"/>
      <x:c r="G798" s="2"/>
      <x:c r="H798" s="2"/>
    </x:row>
    <x:row r="799" ht="22" customHeight="1">
      <x:c r="A799" s="2" t="n">
        <x:v>793</x:v>
      </x:c>
      <x:c r="B799" s="79" t="n">
        <x:v>-0.6958413256176327</x:v>
      </x:c>
      <x:c r="C799" s="46" t="n">
        <x:f>B799^2</x:f>
        <x:v>0.4841951504373043</x:v>
      </x:c>
      <x:c r="D799" s="47" t="n">
        <x:f>'Datos'!$B$26^3/3</x:f>
        <x:v>0.3333333333333333</x:v>
      </x:c>
      <x:c r="E799" s="46" t="n">
        <x:f>D799*(C799-1)</x:f>
        <x:v>-0.17193494985423188</x:v>
      </x:c>
      <x:c r="F799" s="2"/>
      <x:c r="G799" s="2"/>
      <x:c r="H799" s="2"/>
    </x:row>
    <x:row r="800" ht="22" customHeight="1">
      <x:c r="A800" s="2" t="n">
        <x:v>794</x:v>
      </x:c>
      <x:c r="B800" s="79" t="n">
        <x:v>-0.11593164124226432</x:v>
      </x:c>
      <x:c r="C800" s="46" t="n">
        <x:f>B800^2</x:f>
        <x:v>0.013440145441125081</x:v>
      </x:c>
      <x:c r="D800" s="47" t="n">
        <x:f>'Datos'!$B$26^3/3</x:f>
        <x:v>0.3333333333333333</x:v>
      </x:c>
      <x:c r="E800" s="46" t="n">
        <x:f>D800*(C800-1)</x:f>
        <x:v>-0.3288532848529583</x:v>
      </x:c>
      <x:c r="F800" s="2"/>
      <x:c r="G800" s="2"/>
      <x:c r="H800" s="2"/>
    </x:row>
    <x:row r="801" ht="22" customHeight="1">
      <x:c r="A801" s="2" t="n">
        <x:v>795</x:v>
      </x:c>
      <x:c r="B801" s="79" t="n">
        <x:v>-1.8216059316822166</x:v>
      </x:c>
      <x:c r="C801" s="46" t="n">
        <x:f>B801^2</x:f>
        <x:v>3.3182481703398365</x:v>
      </x:c>
      <x:c r="D801" s="47" t="n">
        <x:f>'Datos'!$B$26^3/3</x:f>
        <x:v>0.3333333333333333</x:v>
      </x:c>
      <x:c r="E801" s="46" t="n">
        <x:f>D801*(C801-1)</x:f>
        <x:v>0.7727493901132788</x:v>
      </x:c>
      <x:c r="F801" s="2"/>
      <x:c r="G801" s="2"/>
      <x:c r="H801" s="2"/>
    </x:row>
    <x:row r="802" ht="22" customHeight="1">
      <x:c r="A802" s="2" t="n">
        <x:v>796</x:v>
      </x:c>
      <x:c r="B802" s="79" t="n">
        <x:v>-0.44629701386129794</x:v>
      </x:c>
      <x:c r="C802" s="46" t="n">
        <x:f>B802^2</x:f>
        <x:v>0.19918102458151157</x:v>
      </x:c>
      <x:c r="D802" s="47" t="n">
        <x:f>'Datos'!$B$26^3/3</x:f>
        <x:v>0.3333333333333333</x:v>
      </x:c>
      <x:c r="E802" s="46" t="n">
        <x:f>D802*(C802-1)</x:f>
        <x:v>-0.26693965847282947</x:v>
      </x:c>
      <x:c r="F802" s="2"/>
      <x:c r="G802" s="2"/>
      <x:c r="H802" s="2"/>
    </x:row>
    <x:row r="803" ht="22" customHeight="1">
      <x:c r="A803" s="2" t="n">
        <x:v>797</x:v>
      </x:c>
      <x:c r="B803" s="79" t="n">
        <x:v>1.0920440660434285</x:v>
      </x:c>
      <x:c r="C803" s="46" t="n">
        <x:f>B803^2</x:f>
        <x:v>1.192560242180664</x:v>
      </x:c>
      <x:c r="D803" s="47" t="n">
        <x:f>'Datos'!$B$26^3/3</x:f>
        <x:v>0.3333333333333333</x:v>
      </x:c>
      <x:c r="E803" s="46" t="n">
        <x:f>D803*(C803-1)</x:f>
        <x:v>0.06418674739355468</x:v>
      </x:c>
      <x:c r="F803" s="2"/>
      <x:c r="G803" s="2"/>
      <x:c r="H803" s="2"/>
    </x:row>
    <x:row r="804" ht="22" customHeight="1">
      <x:c r="A804" s="2" t="n">
        <x:v>798</x:v>
      </x:c>
      <x:c r="B804" s="79" t="n">
        <x:v>-1.4987725956465001</x:v>
      </x:c>
      <x:c r="C804" s="46" t="n">
        <x:f>B804^2</x:f>
        <x:v>2.2463192934609473</x:v>
      </x:c>
      <x:c r="D804" s="47" t="n">
        <x:f>'Datos'!$B$26^3/3</x:f>
        <x:v>0.3333333333333333</x:v>
      </x:c>
      <x:c r="E804" s="46" t="n">
        <x:f>D804*(C804-1)</x:f>
        <x:v>0.4154397644869824</x:v>
      </x:c>
      <x:c r="F804" s="2"/>
      <x:c r="G804" s="2"/>
      <x:c r="H804" s="2"/>
    </x:row>
    <x:row r="805" ht="22" customHeight="1">
      <x:c r="A805" s="2" t="n">
        <x:v>799</x:v>
      </x:c>
      <x:c r="B805" s="79" t="n">
        <x:v>0.9081867614594268</x:v>
      </x:c>
      <x:c r="C805" s="46" t="n">
        <x:f>B805^2</x:f>
        <x:v>0.8248031936901618</x:v>
      </x:c>
      <x:c r="D805" s="47" t="n">
        <x:f>'Datos'!$B$26^3/3</x:f>
        <x:v>0.3333333333333333</x:v>
      </x:c>
      <x:c r="E805" s="46" t="n">
        <x:f>D805*(C805-1)</x:f>
        <x:v>-0.058398935436612745</x:v>
      </x:c>
      <x:c r="F805" s="2"/>
      <x:c r="G805" s="2"/>
      <x:c r="H805" s="2"/>
    </x:row>
    <x:row r="806" ht="22" customHeight="1">
      <x:c r="A806" s="2" t="n">
        <x:v>800</x:v>
      </x:c>
      <x:c r="B806" s="79" t="n">
        <x:v>-0.1952969864478625</x:v>
      </x:c>
      <x:c r="C806" s="46" t="n">
        <x:f>B806^2</x:f>
        <x:v>0.03814091291561659</x:v>
      </x:c>
      <x:c r="D806" s="47" t="n">
        <x:f>'Datos'!$B$26^3/3</x:f>
        <x:v>0.3333333333333333</x:v>
      </x:c>
      <x:c r="E806" s="46" t="n">
        <x:f>D806*(C806-1)</x:f>
        <x:v>-0.3206196956947944</x:v>
      </x:c>
      <x:c r="F806" s="2"/>
      <x:c r="G806" s="2"/>
      <x:c r="H806" s="2"/>
    </x:row>
    <x:row r="807" ht="22" customHeight="1">
      <x:c r="A807" s="2" t="n">
        <x:v>801</x:v>
      </x:c>
      <x:c r="B807" s="79" t="n">
        <x:v>-1.8642453883924142</x:v>
      </x:c>
      <x:c r="C807" s="46" t="n">
        <x:f>B807^2</x:f>
        <x:v>3.475410868142383</x:v>
      </x:c>
      <x:c r="D807" s="47" t="n">
        <x:f>'Datos'!$B$26^3/3</x:f>
        <x:v>0.3333333333333333</x:v>
      </x:c>
      <x:c r="E807" s="46" t="n">
        <x:f>D807*(C807-1)</x:f>
        <x:v>0.825136956047461</x:v>
      </x:c>
      <x:c r="F807" s="2"/>
      <x:c r="G807" s="2"/>
      <x:c r="H807" s="2"/>
    </x:row>
    <x:row r="808" ht="22" customHeight="1">
      <x:c r="A808" s="2" t="n">
        <x:v>802</x:v>
      </x:c>
      <x:c r="B808" s="79" t="n">
        <x:v>-1.4329967923816225</x:v>
      </x:c>
      <x:c r="C808" s="46" t="n">
        <x:f>B808^2</x:f>
        <x:v>2.0534798069760187</x:v>
      </x:c>
      <x:c r="D808" s="47" t="n">
        <x:f>'Datos'!$B$26^3/3</x:f>
        <x:v>0.3333333333333333</x:v>
      </x:c>
      <x:c r="E808" s="46" t="n">
        <x:f>D808*(C808-1)</x:f>
        <x:v>0.3511599356586729</x:v>
      </x:c>
      <x:c r="F808" s="2"/>
      <x:c r="G808" s="2"/>
      <x:c r="H808" s="2"/>
    </x:row>
    <x:row r="809" ht="22" customHeight="1">
      <x:c r="A809" s="2" t="n">
        <x:v>803</x:v>
      </x:c>
      <x:c r="B809" s="79" t="n">
        <x:v>-0.11829582345911635</x:v>
      </x:c>
      <x:c r="C809" s="46" t="n">
        <x:f>B809^2</x:f>
        <x:v>0.013993901847870423</x:v>
      </x:c>
      <x:c r="D809" s="47" t="n">
        <x:f>'Datos'!$B$26^3/3</x:f>
        <x:v>0.3333333333333333</x:v>
      </x:c>
      <x:c r="E809" s="46" t="n">
        <x:f>D809*(C809-1)</x:f>
        <x:v>-0.3286686993840432</x:v>
      </x:c>
      <x:c r="F809" s="2"/>
      <x:c r="G809" s="2"/>
      <x:c r="H809" s="2"/>
    </x:row>
    <x:row r="810" ht="22" customHeight="1">
      <x:c r="A810" s="2" t="n">
        <x:v>804</x:v>
      </x:c>
      <x:c r="B810" s="79" t="n">
        <x:v>-0.27796190814260846</x:v>
      </x:c>
      <x:c r="C810" s="46" t="n">
        <x:f>B810^2</x:f>
        <x:v>0.0772628223782799</x:v>
      </x:c>
      <x:c r="D810" s="47" t="n">
        <x:f>'Datos'!$B$26^3/3</x:f>
        <x:v>0.3333333333333333</x:v>
      </x:c>
      <x:c r="E810" s="46" t="n">
        <x:f>D810*(C810-1)</x:f>
        <x:v>-0.30757905920724005</x:v>
      </x:c>
      <x:c r="F810" s="2"/>
      <x:c r="G810" s="2"/>
      <x:c r="H810" s="2"/>
    </x:row>
    <x:row r="811" ht="22" customHeight="1">
      <x:c r="A811" s="2" t="n">
        <x:v>805</x:v>
      </x:c>
      <x:c r="B811" s="79" t="n">
        <x:v>0.5563866804192522</x:v>
      </x:c>
      <x:c r="C811" s="46" t="n">
        <x:f>B811^2</x:f>
        <x:v>0.3095661381479551</x:v>
      </x:c>
      <x:c r="D811" s="47" t="n">
        <x:f>'Datos'!$B$26^3/3</x:f>
        <x:v>0.3333333333333333</x:v>
      </x:c>
      <x:c r="E811" s="46" t="n">
        <x:f>D811*(C811-1)</x:f>
        <x:v>-0.2301446206173483</x:v>
      </x:c>
      <x:c r="F811" s="2"/>
      <x:c r="G811" s="2"/>
      <x:c r="H811" s="2"/>
    </x:row>
    <x:row r="812" ht="22" customHeight="1">
      <x:c r="A812" s="2" t="n">
        <x:v>806</x:v>
      </x:c>
      <x:c r="B812" s="79" t="n">
        <x:v>-0.9119014234780563</x:v>
      </x:c>
      <x:c r="C812" s="46" t="n">
        <x:f>B812^2</x:f>
        <x:v>0.8315642061413053</x:v>
      </x:c>
      <x:c r="D812" s="47" t="n">
        <x:f>'Datos'!$B$26^3/3</x:f>
        <x:v>0.3333333333333333</x:v>
      </x:c>
      <x:c r="E812" s="46" t="n">
        <x:f>D812*(C812-1)</x:f>
        <x:v>-0.056145264619564886</x:v>
      </x:c>
      <x:c r="F812" s="2"/>
      <x:c r="G812" s="2"/>
      <x:c r="H812" s="2"/>
    </x:row>
    <x:row r="813" ht="22" customHeight="1">
      <x:c r="A813" s="2" t="n">
        <x:v>807</x:v>
      </x:c>
      <x:c r="B813" s="79" t="n">
        <x:v>-1.306238300747079</x:v>
      </x:c>
      <x:c r="C813" s="46" t="n">
        <x:f>B813^2</x:f>
        <x:v>1.7062584983386164</x:v>
      </x:c>
      <x:c r="D813" s="47" t="n">
        <x:f>'Datos'!$B$26^3/3</x:f>
        <x:v>0.3333333333333333</x:v>
      </x:c>
      <x:c r="E813" s="46" t="n">
        <x:f>D813*(C813-1)</x:f>
        <x:v>0.23541949944620547</x:v>
      </x:c>
      <x:c r="F813" s="2"/>
      <x:c r="G813" s="2"/>
      <x:c r="H813" s="2"/>
    </x:row>
    <x:row r="814" ht="22" customHeight="1">
      <x:c r="A814" s="2" t="n">
        <x:v>808</x:v>
      </x:c>
      <x:c r="B814" s="79" t="n">
        <x:v>0.6323581499793751</x:v>
      </x:c>
      <x:c r="C814" s="46" t="n">
        <x:f>B814^2</x:f>
        <x:v>0.3998768298453379</x:v>
      </x:c>
      <x:c r="D814" s="47" t="n">
        <x:f>'Datos'!$B$26^3/3</x:f>
        <x:v>0.3333333333333333</x:v>
      </x:c>
      <x:c r="E814" s="46" t="n">
        <x:f>D814*(C814-1)</x:f>
        <x:v>-0.2000410567182207</x:v>
      </x:c>
      <x:c r="F814" s="2"/>
      <x:c r="G814" s="2"/>
      <x:c r="H814" s="2"/>
    </x:row>
    <x:row r="815" ht="22" customHeight="1">
      <x:c r="A815" s="2" t="n">
        <x:v>809</x:v>
      </x:c>
      <x:c r="B815" s="79" t="n">
        <x:v>-0.38520139407900394</x:v>
      </x:c>
      <x:c r="C815" s="46" t="n">
        <x:f>B815^2</x:f>
        <x:v>0.1483801140004081</x:v>
      </x:c>
      <x:c r="D815" s="47" t="n">
        <x:f>'Datos'!$B$26^3/3</x:f>
        <x:v>0.3333333333333333</x:v>
      </x:c>
      <x:c r="E815" s="46" t="n">
        <x:f>D815*(C815-1)</x:f>
        <x:v>-0.2838732953331973</x:v>
      </x:c>
      <x:c r="F815" s="2"/>
      <x:c r="G815" s="2"/>
      <x:c r="H815" s="2"/>
    </x:row>
    <x:row r="816" ht="22" customHeight="1">
      <x:c r="A816" s="2" t="n">
        <x:v>810</x:v>
      </x:c>
      <x:c r="B816" s="79" t="n">
        <x:v>-0.8028743130985357</x:v>
      </x:c>
      <x:c r="C816" s="46" t="n">
        <x:f>B816^2</x:f>
        <x:v>0.6446071626334456</x:v>
      </x:c>
      <x:c r="D816" s="47" t="n">
        <x:f>'Datos'!$B$26^3/3</x:f>
        <x:v>0.3333333333333333</x:v>
      </x:c>
      <x:c r="E816" s="46" t="n">
        <x:f>D816*(C816-1)</x:f>
        <x:v>-0.11846427912218478</x:v>
      </x:c>
      <x:c r="F816" s="2"/>
      <x:c r="G816" s="2"/>
      <x:c r="H816" s="2"/>
    </x:row>
    <x:row r="817" ht="22" customHeight="1">
      <x:c r="A817" s="2" t="n">
        <x:v>811</x:v>
      </x:c>
      <x:c r="B817" s="79" t="n">
        <x:v>-0.3185518616323165</x:v>
      </x:c>
      <x:c r="C817" s="46" t="n">
        <x:f>B817^2</x:f>
        <x:v>0.10147528854941454</x:v>
      </x:c>
      <x:c r="D817" s="47" t="n">
        <x:f>'Datos'!$B$26^3/3</x:f>
        <x:v>0.3333333333333333</x:v>
      </x:c>
      <x:c r="E817" s="46" t="n">
        <x:f>D817*(C817-1)</x:f>
        <x:v>-0.29950823715019514</x:v>
      </x:c>
      <x:c r="F817" s="2"/>
      <x:c r="G817" s="2"/>
      <x:c r="H817" s="2"/>
    </x:row>
    <x:row r="818" ht="22" customHeight="1">
      <x:c r="A818" s="2" t="n">
        <x:v>812</x:v>
      </x:c>
      <x:c r="B818" s="79" t="n">
        <x:v>0.4060575169813548</x:v>
      </x:c>
      <x:c r="C818" s="46" t="n">
        <x:f>B818^2</x:f>
        <x:v>0.16488270709706324</x:v>
      </x:c>
      <x:c r="D818" s="47" t="n">
        <x:f>'Datos'!$B$26^3/3</x:f>
        <x:v>0.3333333333333333</x:v>
      </x:c>
      <x:c r="E818" s="46" t="n">
        <x:f>D818*(C818-1)</x:f>
        <x:v>-0.2783724309676456</x:v>
      </x:c>
      <x:c r="F818" s="2"/>
      <x:c r="G818" s="2"/>
      <x:c r="H818" s="2"/>
    </x:row>
    <x:row r="819" ht="22" customHeight="1">
      <x:c r="A819" s="2" t="n">
        <x:v>813</x:v>
      </x:c>
      <x:c r="B819" s="79" t="n">
        <x:v>-0.40214623916446374</x:v>
      </x:c>
      <x:c r="C819" s="46" t="n">
        <x:f>B819^2</x:f>
        <x:v>0.16172159767412206</x:v>
      </x:c>
      <x:c r="D819" s="47" t="n">
        <x:f>'Datos'!$B$26^3/3</x:f>
        <x:v>0.3333333333333333</x:v>
      </x:c>
      <x:c r="E819" s="46" t="n">
        <x:f>D819*(C819-1)</x:f>
        <x:v>-0.27942613410862593</x:v>
      </x:c>
      <x:c r="F819" s="2"/>
      <x:c r="G819" s="2"/>
      <x:c r="H819" s="2"/>
    </x:row>
    <x:row r="820" ht="22" customHeight="1">
      <x:c r="A820" s="2" t="n">
        <x:v>814</x:v>
      </x:c>
      <x:c r="B820" s="79" t="n">
        <x:v>1.6459477848836</x:v>
      </x:c>
      <x:c r="C820" s="46" t="n">
        <x:f>B820^2</x:f>
        <x:v>2.7091441105632295</x:v>
      </x:c>
      <x:c r="D820" s="47" t="n">
        <x:f>'Datos'!$B$26^3/3</x:f>
        <x:v>0.3333333333333333</x:v>
      </x:c>
      <x:c r="E820" s="46" t="n">
        <x:f>D820*(C820-1)</x:f>
        <x:v>0.5697147035210764</x:v>
      </x:c>
      <x:c r="F820" s="2"/>
      <x:c r="G820" s="2"/>
      <x:c r="H820" s="2"/>
    </x:row>
    <x:row r="821" ht="22" customHeight="1">
      <x:c r="A821" s="2" t="n">
        <x:v>815</x:v>
      </x:c>
      <x:c r="B821" s="79" t="n">
        <x:v>-1.3516938098465563</x:v>
      </x:c>
      <x:c r="C821" s="46" t="n">
        <x:f>B821^2</x:f>
        <x:v>1.8270761555774984</x:v>
      </x:c>
      <x:c r="D821" s="47" t="n">
        <x:f>'Datos'!$B$26^3/3</x:f>
        <x:v>0.3333333333333333</x:v>
      </x:c>
      <x:c r="E821" s="46" t="n">
        <x:f>D821*(C821-1)</x:f>
        <x:v>0.2756920518591661</x:v>
      </x:c>
      <x:c r="F821" s="2"/>
      <x:c r="G821" s="2"/>
      <x:c r="H821" s="2"/>
    </x:row>
    <x:row r="822" ht="22" customHeight="1">
      <x:c r="A822" s="2" t="n">
        <x:v>816</x:v>
      </x:c>
      <x:c r="B822" s="79" t="n">
        <x:v>0.3584394085612933</x:v>
      </x:c>
      <x:c r="C822" s="46" t="n">
        <x:f>B822^2</x:f>
        <x:v>0.12847880960976973</x:v>
      </x:c>
      <x:c r="D822" s="47" t="n">
        <x:f>'Datos'!$B$26^3/3</x:f>
        <x:v>0.3333333333333333</x:v>
      </x:c>
      <x:c r="E822" s="46" t="n">
        <x:f>D822*(C822-1)</x:f>
        <x:v>-0.29050706346341004</x:v>
      </x:c>
      <x:c r="F822" s="2"/>
      <x:c r="G822" s="2"/>
      <x:c r="H822" s="2"/>
    </x:row>
    <x:row r="823" ht="22" customHeight="1">
      <x:c r="A823" s="2" t="n">
        <x:v>817</x:v>
      </x:c>
      <x:c r="B823" s="79" t="n">
        <x:v>2.6159760692270546</x:v>
      </x:c>
      <x:c r="C823" s="46" t="n">
        <x:f>B823^2</x:f>
        <x:v>6.843330794768631</x:v>
      </x:c>
      <x:c r="D823" s="47" t="n">
        <x:f>'Datos'!$B$26^3/3</x:f>
        <x:v>0.3333333333333333</x:v>
      </x:c>
      <x:c r="E823" s="46" t="n">
        <x:f>D823*(C823-1)</x:f>
        <x:v>1.9477769315895437</x:v>
      </x:c>
      <x:c r="F823" s="2"/>
      <x:c r="G823" s="2"/>
      <x:c r="H823" s="2"/>
    </x:row>
    <x:row r="824" ht="22" customHeight="1">
      <x:c r="A824" s="2" t="n">
        <x:v>818</x:v>
      </x:c>
      <x:c r="B824" s="79" t="n">
        <x:v>-1.8865994489332445</x:v>
      </x:c>
      <x:c r="C824" s="46" t="n">
        <x:f>B824^2</x:f>
        <x:v>3.559257480715222</x:v>
      </x:c>
      <x:c r="D824" s="47" t="n">
        <x:f>'Datos'!$B$26^3/3</x:f>
        <x:v>0.3333333333333333</x:v>
      </x:c>
      <x:c r="E824" s="46" t="n">
        <x:f>D824*(C824-1)</x:f>
        <x:v>0.853085826905074</x:v>
      </x:c>
      <x:c r="F824" s="2"/>
      <x:c r="G824" s="2"/>
      <x:c r="H824" s="2"/>
    </x:row>
    <x:row r="825" ht="22" customHeight="1">
      <x:c r="A825" s="2" t="n">
        <x:v>819</x:v>
      </x:c>
      <x:c r="B825" s="79" t="n">
        <x:v>-1.3265900424860682</x:v>
      </x:c>
      <x:c r="C825" s="46" t="n">
        <x:f>B825^2</x:f>
        <x:v>1.7598411408231882</x:v>
      </x:c>
      <x:c r="D825" s="47" t="n">
        <x:f>'Datos'!$B$26^3/3</x:f>
        <x:v>0.3333333333333333</x:v>
      </x:c>
      <x:c r="E825" s="46" t="n">
        <x:f>D825*(C825-1)</x:f>
        <x:v>0.25328038027439603</x:v>
      </x:c>
      <x:c r="F825" s="2"/>
      <x:c r="G825" s="2"/>
      <x:c r="H825" s="2"/>
    </x:row>
    <x:row r="826" ht="22" customHeight="1">
      <x:c r="A826" s="2" t="n">
        <x:v>820</x:v>
      </x:c>
      <x:c r="B826" s="79" t="n">
        <x:v>-0.4982051686117196</x:v>
      </x:c>
      <x:c r="C826" s="46" t="n">
        <x:f>B826^2</x:f>
        <x:v>0.24820839003143194</x:v>
      </x:c>
      <x:c r="D826" s="47" t="n">
        <x:f>'Datos'!$B$26^3/3</x:f>
        <x:v>0.3333333333333333</x:v>
      </x:c>
      <x:c r="E826" s="46" t="n">
        <x:f>D826*(C826-1)</x:f>
        <x:v>-0.250597203322856</x:v>
      </x:c>
      <x:c r="F826" s="2"/>
      <x:c r="G826" s="2"/>
      <x:c r="H826" s="2"/>
    </x:row>
    <x:row r="827" ht="22" customHeight="1">
      <x:c r="A827" s="2" t="n">
        <x:v>821</x:v>
      </x:c>
      <x:c r="B827" s="79" t="n">
        <x:v>0.07217917802742504</x:v>
      </x:c>
      <x:c r="C827" s="46" t="n">
        <x:f>B827^2</x:f>
        <x:v>0.005209833740714718</x:v>
      </x:c>
      <x:c r="D827" s="47" t="n">
        <x:f>'Datos'!$B$26^3/3</x:f>
        <x:v>0.3333333333333333</x:v>
      </x:c>
      <x:c r="E827" s="46" t="n">
        <x:f>D827*(C827-1)</x:f>
        <x:v>-0.33159672208642843</x:v>
      </x:c>
      <x:c r="F827" s="2"/>
      <x:c r="G827" s="2"/>
      <x:c r="H827" s="2"/>
    </x:row>
    <x:row r="828" ht="22" customHeight="1">
      <x:c r="A828" s="2" t="n">
        <x:v>822</x:v>
      </x:c>
      <x:c r="B828" s="79" t="n">
        <x:v>-2.944024686899276</x:v>
      </x:c>
      <x:c r="C828" s="46" t="n">
        <x:f>B828^2</x:f>
        <x:v>8.66728135707238</x:v>
      </x:c>
      <x:c r="D828" s="47" t="n">
        <x:f>'Datos'!$B$26^3/3</x:f>
        <x:v>0.3333333333333333</x:v>
      </x:c>
      <x:c r="E828" s="46" t="n">
        <x:f>D828*(C828-1)</x:f>
        <x:v>2.5557604523574597</x:v>
      </x:c>
      <x:c r="F828" s="2"/>
      <x:c r="G828" s="2"/>
      <x:c r="H828" s="2"/>
    </x:row>
    <x:row r="829" ht="22" customHeight="1">
      <x:c r="A829" s="2" t="n">
        <x:v>823</x:v>
      </x:c>
      <x:c r="B829" s="79" t="n">
        <x:v>-0.24334282285307912</x:v>
      </x:c>
      <x:c r="C829" s="46" t="n">
        <x:f>B829^2</x:f>
        <x:v>0.059215729434105045</x:v>
      </x:c>
      <x:c r="D829" s="47" t="n">
        <x:f>'Datos'!$B$26^3/3</x:f>
        <x:v>0.3333333333333333</x:v>
      </x:c>
      <x:c r="E829" s="46" t="n">
        <x:f>D829*(C829-1)</x:f>
        <x:v>-0.3135947568552983</x:v>
      </x:c>
      <x:c r="F829" s="2"/>
      <x:c r="G829" s="2"/>
      <x:c r="H829" s="2"/>
    </x:row>
    <x:row r="830" ht="22" customHeight="1">
      <x:c r="A830" s="2" t="n">
        <x:v>824</x:v>
      </x:c>
      <x:c r="B830" s="79" t="n">
        <x:v>-0.08773484202783381</x:v>
      </x:c>
      <x:c r="C830" s="46" t="n">
        <x:f>B830^2</x:f>
        <x:v>0.007697402505648954</x:v>
      </x:c>
      <x:c r="D830" s="47" t="n">
        <x:f>'Datos'!$B$26^3/3</x:f>
        <x:v>0.3333333333333333</x:v>
      </x:c>
      <x:c r="E830" s="46" t="n">
        <x:f>D830*(C830-1)</x:f>
        <x:v>-0.33076753249811697</x:v>
      </x:c>
      <x:c r="F830" s="2"/>
      <x:c r="G830" s="2"/>
      <x:c r="H830" s="2"/>
    </x:row>
    <x:row r="831" ht="22" customHeight="1">
      <x:c r="A831" s="2" t="n">
        <x:v>825</x:v>
      </x:c>
      <x:c r="B831" s="79" t="n">
        <x:v>-1.0984235044669077</x:v>
      </x:c>
      <x:c r="C831" s="46" t="n">
        <x:f>B831^2</x:f>
        <x:v>1.2065341951653628</x:v>
      </x:c>
      <x:c r="D831" s="47" t="n">
        <x:f>'Datos'!$B$26^3/3</x:f>
        <x:v>0.3333333333333333</x:v>
      </x:c>
      <x:c r="E831" s="46" t="n">
        <x:f>D831*(C831-1)</x:f>
        <x:v>0.06884473172178758</x:v>
      </x:c>
      <x:c r="F831" s="2"/>
      <x:c r="G831" s="2"/>
      <x:c r="H831" s="2"/>
    </x:row>
    <x:row r="832" ht="22" customHeight="1">
      <x:c r="A832" s="2" t="n">
        <x:v>826</x:v>
      </x:c>
      <x:c r="B832" s="79" t="n">
        <x:v>-0.20975062964995644</x:v>
      </x:c>
      <x:c r="C832" s="46" t="n">
        <x:f>B832^2</x:f>
        <x:v>0.043995326638553184</x:v>
      </x:c>
      <x:c r="D832" s="47" t="n">
        <x:f>'Datos'!$B$26^3/3</x:f>
        <x:v>0.3333333333333333</x:v>
      </x:c>
      <x:c r="E832" s="46" t="n">
        <x:f>D832*(C832-1)</x:f>
        <x:v>-0.3186682244538156</x:v>
      </x:c>
      <x:c r="F832" s="2"/>
      <x:c r="G832" s="2"/>
      <x:c r="H832" s="2"/>
    </x:row>
    <x:row r="833" ht="22" customHeight="1">
      <x:c r="A833" s="2" t="n">
        <x:v>827</x:v>
      </x:c>
      <x:c r="B833" s="79" t="n">
        <x:v>0.41867249770305237</x:v>
      </x:c>
      <x:c r="C833" s="46" t="n">
        <x:f>B833^2</x:f>
        <x:v>0.1752866603329124</x:v>
      </x:c>
      <x:c r="D833" s="47" t="n">
        <x:f>'Datos'!$B$26^3/3</x:f>
        <x:v>0.3333333333333333</x:v>
      </x:c>
      <x:c r="E833" s="46" t="n">
        <x:f>D833*(C833-1)</x:f>
        <x:v>-0.27490444655569585</x:v>
      </x:c>
      <x:c r="F833" s="2"/>
      <x:c r="G833" s="2"/>
      <x:c r="H833" s="2"/>
    </x:row>
    <x:row r="834" ht="22" customHeight="1">
      <x:c r="A834" s="2" t="n">
        <x:v>828</x:v>
      </x:c>
      <x:c r="B834" s="79" t="n">
        <x:v>0.3496904808979155</x:v>
      </x:c>
      <x:c r="C834" s="46" t="n">
        <x:f>B834^2</x:f>
        <x:v>0.1222834324306154</x:v>
      </x:c>
      <x:c r="D834" s="47" t="n">
        <x:f>'Datos'!$B$26^3/3</x:f>
        <x:v>0.3333333333333333</x:v>
      </x:c>
      <x:c r="E834" s="46" t="n">
        <x:f>D834*(C834-1)</x:f>
        <x:v>-0.29257218918979483</x:v>
      </x:c>
      <x:c r="F834" s="2"/>
      <x:c r="G834" s="2"/>
      <x:c r="H834" s="2"/>
    </x:row>
    <x:row r="835" ht="22" customHeight="1">
      <x:c r="A835" s="2" t="n">
        <x:v>829</x:v>
      </x:c>
      <x:c r="B835" s="79" t="n">
        <x:v>0.5224569116655617</x:v>
      </x:c>
      <x:c r="C835" s="46" t="n">
        <x:f>B835^2</x:f>
        <x:v>0.2729612245471166</x:v>
      </x:c>
      <x:c r="D835" s="47" t="n">
        <x:f>'Datos'!$B$26^3/3</x:f>
        <x:v>0.3333333333333333</x:v>
      </x:c>
      <x:c r="E835" s="46" t="n">
        <x:f>D835*(C835-1)</x:f>
        <x:v>-0.24234625848429447</x:v>
      </x:c>
      <x:c r="F835" s="2"/>
      <x:c r="G835" s="2"/>
      <x:c r="H835" s="2"/>
    </x:row>
    <x:row r="836" ht="22" customHeight="1">
      <x:c r="A836" s="2" t="n">
        <x:v>830</x:v>
      </x:c>
      <x:c r="B836" s="79" t="n">
        <x:v>-0.2838068489562441</x:v>
      </x:c>
      <x:c r="C836" s="46" t="n">
        <x:f>B836^2</x:f>
        <x:v>0.08054632751447234</x:v>
      </x:c>
      <x:c r="D836" s="47" t="n">
        <x:f>'Datos'!$B$26^3/3</x:f>
        <x:v>0.3333333333333333</x:v>
      </x:c>
      <x:c r="E836" s="46" t="n">
        <x:f>D836*(C836-1)</x:f>
        <x:v>-0.3064845574951759</x:v>
      </x:c>
      <x:c r="F836" s="2"/>
      <x:c r="G836" s="2"/>
      <x:c r="H836" s="2"/>
    </x:row>
    <x:row r="837" ht="22" customHeight="1">
      <x:c r="A837" s="2" t="n">
        <x:v>831</x:v>
      </x:c>
      <x:c r="B837" s="79" t="n">
        <x:v>0.5960212093155581</x:v>
      </x:c>
      <x:c r="C837" s="46" t="n">
        <x:f>B837^2</x:f>
        <x:v>0.35524128195398036</x:v>
      </x:c>
      <x:c r="D837" s="47" t="n">
        <x:f>'Datos'!$B$26^3/3</x:f>
        <x:v>0.3333333333333333</x:v>
      </x:c>
      <x:c r="E837" s="46" t="n">
        <x:f>D837*(C837-1)</x:f>
        <x:v>-0.21491957268200657</x:v>
      </x:c>
      <x:c r="F837" s="2"/>
      <x:c r="G837" s="2"/>
      <x:c r="H837" s="2"/>
    </x:row>
    <x:row r="838" ht="22" customHeight="1">
      <x:c r="A838" s="2" t="n">
        <x:v>832</x:v>
      </x:c>
      <x:c r="B838" s="79" t="n">
        <x:v>-0.7288441122083629</x:v>
      </x:c>
      <x:c r="C838" s="46" t="n">
        <x:f>B838^2</x:f>
        <x:v>0.5312137399007967</x:v>
      </x:c>
      <x:c r="D838" s="47" t="n">
        <x:f>'Datos'!$B$26^3/3</x:f>
        <x:v>0.3333333333333333</x:v>
      </x:c>
      <x:c r="E838" s="46" t="n">
        <x:f>D838*(C838-1)</x:f>
        <x:v>-0.15626208669973443</x:v>
      </x:c>
      <x:c r="F838" s="2"/>
      <x:c r="G838" s="2"/>
      <x:c r="H838" s="2"/>
    </x:row>
    <x:row r="839" ht="22" customHeight="1">
      <x:c r="A839" s="2" t="n">
        <x:v>833</x:v>
      </x:c>
      <x:c r="B839" s="79" t="n">
        <x:v>2.0646261717868004</x:v>
      </x:c>
      <x:c r="C839" s="46" t="n">
        <x:f>B839^2</x:f>
        <x:v>4.262681229227018</x:v>
      </x:c>
      <x:c r="D839" s="47" t="n">
        <x:f>'Datos'!$B$26^3/3</x:f>
        <x:v>0.3333333333333333</x:v>
      </x:c>
      <x:c r="E839" s="46" t="n">
        <x:f>D839*(C839-1)</x:f>
        <x:v>1.0875604097423395</x:v>
      </x:c>
      <x:c r="F839" s="2"/>
      <x:c r="G839" s="2"/>
      <x:c r="H839" s="2"/>
    </x:row>
    <x:row r="840" ht="22" customHeight="1">
      <x:c r="A840" s="2" t="n">
        <x:v>834</x:v>
      </x:c>
      <x:c r="B840" s="79" t="n">
        <x:v>0.5591266649819412</x:v>
      </x:c>
      <x:c r="C840" s="46" t="n">
        <x:f>B840^2</x:f>
        <x:v>0.3126226274938279</x:v>
      </x:c>
      <x:c r="D840" s="47" t="n">
        <x:f>'Datos'!$B$26^3/3</x:f>
        <x:v>0.3333333333333333</x:v>
      </x:c>
      <x:c r="E840" s="46" t="n">
        <x:f>D840*(C840-1)</x:f>
        <x:v>-0.22912579083539067</x:v>
      </x:c>
      <x:c r="F840" s="2"/>
      <x:c r="G840" s="2"/>
      <x:c r="H840" s="2"/>
    </x:row>
    <x:row r="841" ht="22" customHeight="1">
      <x:c r="A841" s="2" t="n">
        <x:v>835</x:v>
      </x:c>
      <x:c r="B841" s="79" t="n">
        <x:v>-0.895560936295278</x:v>
      </x:c>
      <x:c r="C841" s="46" t="n">
        <x:f>B841^2</x:f>
        <x:v>0.802029390618075</x:v>
      </x:c>
      <x:c r="D841" s="47" t="n">
        <x:f>'Datos'!$B$26^3/3</x:f>
        <x:v>0.3333333333333333</x:v>
      </x:c>
      <x:c r="E841" s="46" t="n">
        <x:f>D841*(C841-1)</x:f>
        <x:v>-0.06599020312730833</x:v>
      </x:c>
      <x:c r="F841" s="2"/>
      <x:c r="G841" s="2"/>
      <x:c r="H841" s="2"/>
    </x:row>
    <x:row r="842" ht="22" customHeight="1">
      <x:c r="A842" s="2" t="n">
        <x:v>836</x:v>
      </x:c>
      <x:c r="B842" s="79" t="n">
        <x:v>0.9193678093243168</x:v>
      </x:c>
      <x:c r="C842" s="46" t="n">
        <x:f>B842^2</x:f>
        <x:v>0.8452371688217933</x:v>
      </x:c>
      <x:c r="D842" s="47" t="n">
        <x:f>'Datos'!$B$26^3/3</x:f>
        <x:v>0.3333333333333333</x:v>
      </x:c>
      <x:c r="E842" s="46" t="n">
        <x:f>D842*(C842-1)</x:f>
        <x:v>-0.05158761039273555</x:v>
      </x:c>
      <x:c r="F842" s="2"/>
      <x:c r="G842" s="2"/>
      <x:c r="H842" s="2"/>
    </x:row>
    <x:row r="843" ht="22" customHeight="1">
      <x:c r="A843" s="2" t="n">
        <x:v>837</x:v>
      </x:c>
      <x:c r="B843" s="79" t="n">
        <x:v>-0.9459660079701918</x:v>
      </x:c>
      <x:c r="C843" s="46" t="n">
        <x:f>B843^2</x:f>
        <x:v>0.894851688235061</x:v>
      </x:c>
      <x:c r="D843" s="47" t="n">
        <x:f>'Datos'!$B$26^3/3</x:f>
        <x:v>0.3333333333333333</x:v>
      </x:c>
      <x:c r="E843" s="46" t="n">
        <x:f>D843*(C843-1)</x:f>
        <x:v>-0.035049437254979665</x:v>
      </x:c>
      <x:c r="F843" s="2"/>
      <x:c r="G843" s="2"/>
      <x:c r="H843" s="2"/>
    </x:row>
    <x:row r="844" ht="22" customHeight="1">
      <x:c r="A844" s="2" t="n">
        <x:v>838</x:v>
      </x:c>
      <x:c r="B844" s="79" t="n">
        <x:v>-0.38753292716953885</x:v>
      </x:c>
      <x:c r="C844" s="46" t="n">
        <x:f>B844^2</x:f>
        <x:v>0.1501817696405911</x:v>
      </x:c>
      <x:c r="D844" s="47" t="n">
        <x:f>'Datos'!$B$26^3/3</x:f>
        <x:v>0.3333333333333333</x:v>
      </x:c>
      <x:c r="E844" s="46" t="n">
        <x:f>D844*(C844-1)</x:f>
        <x:v>-0.28327274345313624</x:v>
      </x:c>
      <x:c r="F844" s="2"/>
      <x:c r="G844" s="2"/>
      <x:c r="H844" s="2"/>
    </x:row>
    <x:row r="845" ht="22" customHeight="1">
      <x:c r="A845" s="2" t="n">
        <x:v>839</x:v>
      </x:c>
      <x:c r="B845" s="79" t="n">
        <x:v>-2.0248778317994063</x:v>
      </x:c>
      <x:c r="C845" s="46" t="n">
        <x:f>B845^2</x:f>
        <x:v>4.100130233712664</x:v>
      </x:c>
      <x:c r="D845" s="47" t="n">
        <x:f>'Datos'!$B$26^3/3</x:f>
        <x:v>0.3333333333333333</x:v>
      </x:c>
      <x:c r="E845" s="46" t="n">
        <x:f>D845*(C845-1)</x:f>
        <x:v>1.0333767445708881</x:v>
      </x:c>
      <x:c r="F845" s="2"/>
      <x:c r="G845" s="2"/>
      <x:c r="H845" s="2"/>
    </x:row>
    <x:row r="846" ht="22" customHeight="1">
      <x:c r="A846" s="2" t="n">
        <x:v>840</x:v>
      </x:c>
      <x:c r="B846" s="79" t="n">
        <x:v>1.4545745569275044</x:v>
      </x:c>
      <x:c r="C846" s="46" t="n">
        <x:f>B846^2</x:f>
        <x:v>2.115787141660846</x:v>
      </x:c>
      <x:c r="D846" s="47" t="n">
        <x:f>'Datos'!$B$26^3/3</x:f>
        <x:v>0.3333333333333333</x:v>
      </x:c>
      <x:c r="E846" s="46" t="n">
        <x:f>D846*(C846-1)</x:f>
        <x:v>0.3719290472202819</x:v>
      </x:c>
      <x:c r="F846" s="2"/>
      <x:c r="G846" s="2"/>
      <x:c r="H846" s="2"/>
    </x:row>
    <x:row r="847" ht="22" customHeight="1">
      <x:c r="A847" s="2" t="n">
        <x:v>841</x:v>
      </x:c>
      <x:c r="B847" s="79" t="n">
        <x:v>-0.36132852153039396</x:v>
      </x:c>
      <x:c r="C847" s="46" t="n">
        <x:f>B847^2</x:f>
        <x:v>0.13055830047134037</x:v>
      </x:c>
      <x:c r="D847" s="47" t="n">
        <x:f>'Datos'!$B$26^3/3</x:f>
        <x:v>0.3333333333333333</x:v>
      </x:c>
      <x:c r="E847" s="46" t="n">
        <x:f>D847*(C847-1)</x:f>
        <x:v>-0.2898138998428865</x:v>
      </x:c>
      <x:c r="F847" s="2"/>
      <x:c r="G847" s="2"/>
      <x:c r="H847" s="2"/>
    </x:row>
    <x:row r="848" ht="22" customHeight="1">
      <x:c r="A848" s="2" t="n">
        <x:v>842</x:v>
      </x:c>
      <x:c r="B848" s="79" t="n">
        <x:v>-0.8632111074648011</x:v>
      </x:c>
      <x:c r="C848" s="46" t="n">
        <x:f>B848^2</x:f>
        <x:v>0.7451334160506085</x:v>
      </x:c>
      <x:c r="D848" s="47" t="n">
        <x:f>'Datos'!$B$26^3/3</x:f>
        <x:v>0.3333333333333333</x:v>
      </x:c>
      <x:c r="E848" s="46" t="n">
        <x:f>D848*(C848-1)</x:f>
        <x:v>-0.08495552798313051</x:v>
      </x:c>
      <x:c r="F848" s="2"/>
      <x:c r="G848" s="2"/>
      <x:c r="H848" s="2"/>
    </x:row>
    <x:row r="849" ht="22" customHeight="1">
      <x:c r="A849" s="2" t="n">
        <x:v>843</x:v>
      </x:c>
      <x:c r="B849" s="79" t="n">
        <x:v>-0.38972609692462407</x:v>
      </x:c>
      <x:c r="C849" s="46" t="n">
        <x:f>B849^2</x:f>
        <x:v>0.15188643062410148</x:v>
      </x:c>
      <x:c r="D849" s="47" t="n">
        <x:f>'Datos'!$B$26^3/3</x:f>
        <x:v>0.3333333333333333</x:v>
      </x:c>
      <x:c r="E849" s="46" t="n">
        <x:f>D849*(C849-1)</x:f>
        <x:v>-0.2827045231252995</x:v>
      </x:c>
      <x:c r="F849" s="2"/>
      <x:c r="G849" s="2"/>
      <x:c r="H849" s="2"/>
    </x:row>
    <x:row r="850" ht="22" customHeight="1">
      <x:c r="A850" s="2" t="n">
        <x:v>844</x:v>
      </x:c>
      <x:c r="B850" s="79" t="n">
        <x:v>-0.3034138099626302</x:v>
      </x:c>
      <x:c r="C850" s="46" t="n">
        <x:f>B850^2</x:f>
        <x:v>0.09205994007603906</x:v>
      </x:c>
      <x:c r="D850" s="47" t="n">
        <x:f>'Datos'!$B$26^3/3</x:f>
        <x:v>0.3333333333333333</x:v>
      </x:c>
      <x:c r="E850" s="46" t="n">
        <x:f>D850*(C850-1)</x:f>
        <x:v>-0.30264668664132033</x:v>
      </x:c>
      <x:c r="F850" s="2"/>
      <x:c r="G850" s="2"/>
      <x:c r="H850" s="2"/>
    </x:row>
    <x:row r="851" ht="22" customHeight="1">
      <x:c r="A851" s="2" t="n">
        <x:v>845</x:v>
      </x:c>
      <x:c r="B851" s="79" t="n">
        <x:v>0.909170145706066</x:v>
      </x:c>
      <x:c r="C851" s="46" t="n">
        <x:f>B851^2</x:f>
        <x:v>0.8265903538431894</x:v>
      </x:c>
      <x:c r="D851" s="47" t="n">
        <x:f>'Datos'!$B$26^3/3</x:f>
        <x:v>0.3333333333333333</x:v>
      </x:c>
      <x:c r="E851" s="46" t="n">
        <x:f>D851*(C851-1)</x:f>
        <x:v>-0.05780321538560355</x:v>
      </x:c>
      <x:c r="F851" s="2"/>
      <x:c r="G851" s="2"/>
      <x:c r="H851" s="2"/>
    </x:row>
    <x:row r="852" ht="22" customHeight="1">
      <x:c r="A852" s="2" t="n">
        <x:v>846</x:v>
      </x:c>
      <x:c r="B852" s="79" t="n">
        <x:v>0.8496534715517079</x:v>
      </x:c>
      <x:c r="C852" s="46" t="n">
        <x:f>B852^2</x:f>
        <x:v>0.7219110217198689</x:v>
      </x:c>
      <x:c r="D852" s="47" t="n">
        <x:f>'Datos'!$B$26^3/3</x:f>
        <x:v>0.3333333333333333</x:v>
      </x:c>
      <x:c r="E852" s="46" t="n">
        <x:f>D852*(C852-1)</x:f>
        <x:v>-0.09269632609337704</x:v>
      </x:c>
      <x:c r="F852" s="2"/>
      <x:c r="G852" s="2"/>
      <x:c r="H852" s="2"/>
    </x:row>
    <x:row r="853" ht="22" customHeight="1">
      <x:c r="A853" s="2" t="n">
        <x:v>847</x:v>
      </x:c>
      <x:c r="B853" s="79" t="n">
        <x:v>-1.1701197382635633</x:v>
      </x:c>
      <x:c r="C853" s="46" t="n">
        <x:f>B853^2</x:f>
        <x:v>1.3691802018739898</x:v>
      </x:c>
      <x:c r="D853" s="47" t="n">
        <x:f>'Datos'!$B$26^3/3</x:f>
        <x:v>0.3333333333333333</x:v>
      </x:c>
      <x:c r="E853" s="46" t="n">
        <x:f>D853*(C853-1)</x:f>
        <x:v>0.12306006729132993</x:v>
      </x:c>
      <x:c r="F853" s="2"/>
      <x:c r="G853" s="2"/>
      <x:c r="H853" s="2"/>
    </x:row>
    <x:row r="854" ht="22" customHeight="1">
      <x:c r="A854" s="2" t="n">
        <x:v>848</x:v>
      </x:c>
      <x:c r="B854" s="79" t="n">
        <x:v>0.826837253134848</x:v>
      </x:c>
      <x:c r="C854" s="46" t="n">
        <x:f>B854^2</x:f>
        <x:v>0.6836598431715807</x:v>
      </x:c>
      <x:c r="D854" s="47" t="n">
        <x:f>'Datos'!$B$26^3/3</x:f>
        <x:v>0.3333333333333333</x:v>
      </x:c>
      <x:c r="E854" s="46" t="n">
        <x:f>D854*(C854-1)</x:f>
        <x:v>-0.10544671894280644</x:v>
      </x:c>
      <x:c r="F854" s="2"/>
      <x:c r="G854" s="2"/>
      <x:c r="H854" s="2"/>
    </x:row>
    <x:row r="855" ht="22" customHeight="1">
      <x:c r="A855" s="2" t="n">
        <x:v>849</x:v>
      </x:c>
      <x:c r="B855" s="79" t="n">
        <x:v>0.38992944320357237</x:v>
      </x:c>
      <x:c r="C855" s="46" t="n">
        <x:f>B855^2</x:f>
        <x:v>0.15204497067704797</x:v>
      </x:c>
      <x:c r="D855" s="47" t="n">
        <x:f>'Datos'!$B$26^3/3</x:f>
        <x:v>0.3333333333333333</x:v>
      </x:c>
      <x:c r="E855" s="46" t="n">
        <x:f>D855*(C855-1)</x:f>
        <x:v>-0.282651676440984</x:v>
      </x:c>
      <x:c r="F855" s="2"/>
      <x:c r="G855" s="2"/>
      <x:c r="H855" s="2"/>
    </x:row>
    <x:row r="856" ht="22" customHeight="1">
      <x:c r="A856" s="2" t="n">
        <x:v>850</x:v>
      </x:c>
      <x:c r="B856" s="79" t="n">
        <x:v>0.3077649525548793</x:v>
      </x:c>
      <x:c r="C856" s="46" t="n">
        <x:f>B856^2</x:f>
        <x:v>0.0947192660211071</x:v>
      </x:c>
      <x:c r="D856" s="47" t="n">
        <x:f>'Datos'!$B$26^3/3</x:f>
        <x:v>0.3333333333333333</x:v>
      </x:c>
      <x:c r="E856" s="46" t="n">
        <x:f>D856*(C856-1)</x:f>
        <x:v>-0.3017602446596309</x:v>
      </x:c>
      <x:c r="F856" s="2"/>
      <x:c r="G856" s="2"/>
      <x:c r="H856" s="2"/>
    </x:row>
    <x:row r="857" ht="22" customHeight="1">
      <x:c r="A857" s="2" t="n">
        <x:v>851</x:v>
      </x:c>
      <x:c r="B857" s="79" t="n">
        <x:v>0.45791285222333916</x:v>
      </x:c>
      <x:c r="C857" s="46" t="n">
        <x:f>B857^2</x:f>
        <x:v>0.20968418023131366</x:v>
      </x:c>
      <x:c r="D857" s="47" t="n">
        <x:f>'Datos'!$B$26^3/3</x:f>
        <x:v>0.3333333333333333</x:v>
      </x:c>
      <x:c r="E857" s="46" t="n">
        <x:f>D857*(C857-1)</x:f>
        <x:v>-0.2634386065895621</x:v>
      </x:c>
      <x:c r="F857" s="2"/>
      <x:c r="G857" s="2"/>
      <x:c r="H857" s="2"/>
    </x:row>
    <x:row r="858" ht="22" customHeight="1">
      <x:c r="A858" s="2" t="n">
        <x:v>852</x:v>
      </x:c>
      <x:c r="B858" s="79" t="n">
        <x:v>0.7996064928714102</x:v>
      </x:c>
      <x:c r="C858" s="46" t="n">
        <x:f>B858^2</x:f>
        <x:v>0.6393705434421165</x:v>
      </x:c>
      <x:c r="D858" s="47" t="n">
        <x:f>'Datos'!$B$26^3/3</x:f>
        <x:v>0.3333333333333333</x:v>
      </x:c>
      <x:c r="E858" s="46" t="n">
        <x:f>D858*(C858-1)</x:f>
        <x:v>-0.12020981885262783</x:v>
      </x:c>
      <x:c r="F858" s="2"/>
      <x:c r="G858" s="2"/>
      <x:c r="H858" s="2"/>
    </x:row>
    <x:row r="859" ht="22" customHeight="1">
      <x:c r="A859" s="2" t="n">
        <x:v>853</x:v>
      </x:c>
      <x:c r="B859" s="79" t="n">
        <x:v>-0.21411757032091372</x:v>
      </x:c>
      <x:c r="C859" s="46" t="n">
        <x:f>B859^2</x:f>
        <x:v>0.04584633392013143</x:v>
      </x:c>
      <x:c r="D859" s="47" t="n">
        <x:f>'Datos'!$B$26^3/3</x:f>
        <x:v>0.3333333333333333</x:v>
      </x:c>
      <x:c r="E859" s="46" t="n">
        <x:f>D859*(C859-1)</x:f>
        <x:v>-0.31805122202662284</x:v>
      </x:c>
      <x:c r="F859" s="2"/>
      <x:c r="G859" s="2"/>
      <x:c r="H859" s="2"/>
    </x:row>
    <x:row r="860" ht="22" customHeight="1">
      <x:c r="A860" s="2" t="n">
        <x:v>854</x:v>
      </x:c>
      <x:c r="B860" s="79" t="n">
        <x:v>-1.1415541323910783</x:v>
      </x:c>
      <x:c r="C860" s="46" t="n">
        <x:f>B860^2</x:f>
        <x:v>1.3031458371791476</x:v>
      </x:c>
      <x:c r="D860" s="47" t="n">
        <x:f>'Datos'!$B$26^3/3</x:f>
        <x:v>0.3333333333333333</x:v>
      </x:c>
      <x:c r="E860" s="46" t="n">
        <x:f>D860*(C860-1)</x:f>
        <x:v>0.10104861239304919</x:v>
      </x:c>
      <x:c r="F860" s="2"/>
      <x:c r="G860" s="2"/>
      <x:c r="H860" s="2"/>
    </x:row>
    <x:row r="861" ht="22" customHeight="1">
      <x:c r="A861" s="2" t="n">
        <x:v>855</x:v>
      </x:c>
      <x:c r="B861" s="79" t="n">
        <x:v>0.19356264752141367</x:v>
      </x:c>
      <x:c r="C861" s="46" t="n">
        <x:f>B861^2</x:f>
        <x:v>0.037466498515499026</x:v>
      </x:c>
      <x:c r="D861" s="47" t="n">
        <x:f>'Datos'!$B$26^3/3</x:f>
        <x:v>0.3333333333333333</x:v>
      </x:c>
      <x:c r="E861" s="46" t="n">
        <x:f>D861*(C861-1)</x:f>
        <x:v>-0.32084450049483365</x:v>
      </x:c>
      <x:c r="F861" s="2"/>
      <x:c r="G861" s="2"/>
      <x:c r="H861" s="2"/>
    </x:row>
    <x:row r="862" ht="22" customHeight="1">
      <x:c r="A862" s="2" t="n">
        <x:v>856</x:v>
      </x:c>
      <x:c r="B862" s="79" t="n">
        <x:v>1.2358866131517812</x:v>
      </x:c>
      <x:c r="C862" s="46" t="n">
        <x:f>B862^2</x:f>
        <x:v>1.5274157205677803</x:v>
      </x:c>
      <x:c r="D862" s="47" t="n">
        <x:f>'Datos'!$B$26^3/3</x:f>
        <x:v>0.3333333333333333</x:v>
      </x:c>
      <x:c r="E862" s="46" t="n">
        <x:f>D862*(C862-1)</x:f>
        <x:v>0.17580524018926008</x:v>
      </x:c>
      <x:c r="F862" s="2"/>
      <x:c r="G862" s="2"/>
      <x:c r="H862" s="2"/>
    </x:row>
    <x:row r="863" ht="22" customHeight="1">
      <x:c r="A863" s="2" t="n">
        <x:v>857</x:v>
      </x:c>
      <x:c r="B863" s="79" t="n">
        <x:v>0.6528485123791017</x:v>
      </x:c>
      <x:c r="C863" s="46" t="n">
        <x:f>B863^2</x:f>
        <x:v>0.4262111801156061</x:v>
      </x:c>
      <x:c r="D863" s="47" t="n">
        <x:f>'Datos'!$B$26^3/3</x:f>
        <x:v>0.3333333333333333</x:v>
      </x:c>
      <x:c r="E863" s="46" t="n">
        <x:f>D863*(C863-1)</x:f>
        <x:v>-0.19126293996146462</x:v>
      </x:c>
      <x:c r="F863" s="2"/>
      <x:c r="G863" s="2"/>
      <x:c r="H863" s="2"/>
    </x:row>
    <x:row r="864" ht="22" customHeight="1">
      <x:c r="A864" s="2" t="n">
        <x:v>858</x:v>
      </x:c>
      <x:c r="B864" s="79" t="n">
        <x:v>-0.5262375296692888</x:v>
      </x:c>
      <x:c r="C864" s="46" t="n">
        <x:f>B864^2</x:f>
        <x:v>0.2769259376324356</x:v>
      </x:c>
      <x:c r="D864" s="47" t="n">
        <x:f>'Datos'!$B$26^3/3</x:f>
        <x:v>0.3333333333333333</x:v>
      </x:c>
      <x:c r="E864" s="46" t="n">
        <x:f>D864*(C864-1)</x:f>
        <x:v>-0.2410246874558548</x:v>
      </x:c>
      <x:c r="F864" s="2"/>
      <x:c r="G864" s="2"/>
      <x:c r="H864" s="2"/>
    </x:row>
    <x:row r="865" ht="22" customHeight="1">
      <x:c r="A865" s="2" t="n">
        <x:v>859</x:v>
      </x:c>
      <x:c r="B865" s="79" t="n">
        <x:v>-0.7853542947049543</x:v>
      </x:c>
      <x:c r="C865" s="46" t="n">
        <x:f>B865^2</x:f>
        <x:v>0.6167813682115163</x:v>
      </x:c>
      <x:c r="D865" s="47" t="n">
        <x:f>'Datos'!$B$26^3/3</x:f>
        <x:v>0.3333333333333333</x:v>
      </x:c>
      <x:c r="E865" s="46" t="n">
        <x:f>D865*(C865-1)</x:f>
        <x:v>-0.12773954392949455</x:v>
      </x:c>
      <x:c r="F865" s="2"/>
      <x:c r="G865" s="2"/>
      <x:c r="H865" s="2"/>
    </x:row>
    <x:row r="866" ht="22" customHeight="1">
      <x:c r="A866" s="2" t="n">
        <x:v>860</x:v>
      </x:c>
      <x:c r="B866" s="79" t="n">
        <x:v>-1.5337584092089434</x:v>
      </x:c>
      <x:c r="C866" s="46" t="n">
        <x:f>B866^2</x:f>
        <x:v>2.3524148578191486</x:v>
      </x:c>
      <x:c r="D866" s="47" t="n">
        <x:f>'Datos'!$B$26^3/3</x:f>
        <x:v>0.3333333333333333</x:v>
      </x:c>
      <x:c r="E866" s="46" t="n">
        <x:f>D866*(C866-1)</x:f>
        <x:v>0.45080495260638287</x:v>
      </x:c>
      <x:c r="F866" s="2"/>
      <x:c r="G866" s="2"/>
      <x:c r="H866" s="2"/>
    </x:row>
    <x:row r="867" ht="22" customHeight="1">
      <x:c r="A867" s="2" t="n">
        <x:v>861</x:v>
      </x:c>
      <x:c r="B867" s="79" t="n">
        <x:v>-0.1790534308152182</x:v>
      </x:c>
      <x:c r="C867" s="46" t="n">
        <x:f>B867^2</x:f>
        <x:v>0.03206013108670013</x:v>
      </x:c>
      <x:c r="D867" s="47" t="n">
        <x:f>'Datos'!$B$26^3/3</x:f>
        <x:v>0.3333333333333333</x:v>
      </x:c>
      <x:c r="E867" s="46" t="n">
        <x:f>D867*(C867-1)</x:f>
        <x:v>-0.3226466229710999</x:v>
      </x:c>
      <x:c r="F867" s="2"/>
      <x:c r="G867" s="2"/>
      <x:c r="H867" s="2"/>
    </x:row>
    <x:row r="868" ht="22" customHeight="1">
      <x:c r="A868" s="2" t="n">
        <x:v>862</x:v>
      </x:c>
      <x:c r="B868" s="79" t="n">
        <x:v>-1.6083464678554051</x:v>
      </x:c>
      <x:c r="C868" s="46" t="n">
        <x:f>B868^2</x:f>
        <x:v>2.586778360662958</x:v>
      </x:c>
      <x:c r="D868" s="47" t="n">
        <x:f>'Datos'!$B$26^3/3</x:f>
        <x:v>0.3333333333333333</x:v>
      </x:c>
      <x:c r="E868" s="46" t="n">
        <x:f>D868*(C868-1)</x:f>
        <x:v>0.528926120220986</x:v>
      </x:c>
      <x:c r="F868" s="2"/>
      <x:c r="G868" s="2"/>
      <x:c r="H868" s="2"/>
    </x:row>
    <x:row r="869" ht="22" customHeight="1">
      <x:c r="A869" s="2" t="n">
        <x:v>863</x:v>
      </x:c>
      <x:c r="B869" s="79" t="n">
        <x:v>1.5355876744948842</x:v>
      </x:c>
      <x:c r="C869" s="46" t="n">
        <x:f>B869^2</x:f>
        <x:v>2.3580295060606065</x:v>
      </x:c>
      <x:c r="D869" s="47" t="n">
        <x:f>'Datos'!$B$26^3/3</x:f>
        <x:v>0.3333333333333333</x:v>
      </x:c>
      <x:c r="E869" s="46" t="n">
        <x:f>D869*(C869-1)</x:f>
        <x:v>0.45267650202020215</x:v>
      </x:c>
      <x:c r="F869" s="2"/>
      <x:c r="G869" s="2"/>
      <x:c r="H869" s="2"/>
    </x:row>
    <x:row r="870" ht="22" customHeight="1">
      <x:c r="A870" s="2" t="n">
        <x:v>864</x:v>
      </x:c>
      <x:c r="B870" s="79" t="n">
        <x:v>-1.2485081069607207</x:v>
      </x:c>
      <x:c r="C870" s="46" t="n">
        <x:f>B870^2</x:f>
        <x:v>1.5587724931466422</x:v>
      </x:c>
      <x:c r="D870" s="47" t="n">
        <x:f>'Datos'!$B$26^3/3</x:f>
        <x:v>0.3333333333333333</x:v>
      </x:c>
      <x:c r="E870" s="46" t="n">
        <x:f>D870*(C870-1)</x:f>
        <x:v>0.1862574977155474</x:v>
      </x:c>
      <x:c r="F870" s="2"/>
      <x:c r="G870" s="2"/>
      <x:c r="H870" s="2"/>
    </x:row>
    <x:row r="871" ht="22" customHeight="1">
      <x:c r="A871" s="2" t="n">
        <x:v>865</x:v>
      </x:c>
      <x:c r="B871" s="79" t="n">
        <x:v>-0.005862990172346542</x:v>
      </x:c>
      <x:c r="C871" s="46" t="n">
        <x:f>B871^2</x:f>
        <x:v>0.00003437465376103213</x:v>
      </x:c>
      <x:c r="D871" s="47" t="n">
        <x:f>'Datos'!$B$26^3/3</x:f>
        <x:v>0.3333333333333333</x:v>
      </x:c>
      <x:c r="E871" s="46" t="n">
        <x:f>D871*(C871-1)</x:f>
        <x:v>-0.333321875115413</x:v>
      </x:c>
      <x:c r="F871" s="2"/>
      <x:c r="G871" s="2"/>
      <x:c r="H871" s="2"/>
    </x:row>
    <x:row r="872" ht="22" customHeight="1">
      <x:c r="A872" s="2" t="n">
        <x:v>866</x:v>
      </x:c>
      <x:c r="B872" s="79" t="n">
        <x:v>0.17731243759489745</x:v>
      </x:c>
      <x:c r="C872" s="46" t="n">
        <x:f>B872^2</x:f>
        <x:v>0.031439700525844404</x:v>
      </x:c>
      <x:c r="D872" s="47" t="n">
        <x:f>'Datos'!$B$26^3/3</x:f>
        <x:v>0.3333333333333333</x:v>
      </x:c>
      <x:c r="E872" s="46" t="n">
        <x:f>D872*(C872-1)</x:f>
        <x:v>-0.3228534331580518</x:v>
      </x:c>
      <x:c r="F872" s="2"/>
      <x:c r="G872" s="2"/>
      <x:c r="H872" s="2"/>
    </x:row>
    <x:row r="873" ht="22" customHeight="1">
      <x:c r="A873" s="2" t="n">
        <x:v>867</x:v>
      </x:c>
      <x:c r="B873" s="79" t="n">
        <x:v>0.9813986107613455</x:v>
      </x:c>
      <x:c r="C873" s="46" t="n">
        <x:f>B873^2</x:f>
        <x:v>0.963143233204299</x:v>
      </x:c>
      <x:c r="D873" s="47" t="n">
        <x:f>'Datos'!$B$26^3/3</x:f>
        <x:v>0.3333333333333333</x:v>
      </x:c>
      <x:c r="E873" s="46" t="n">
        <x:f>D873*(C873-1)</x:f>
        <x:v>-0.012285588931900349</x:v>
      </x:c>
      <x:c r="F873" s="2"/>
      <x:c r="G873" s="2"/>
      <x:c r="H873" s="2"/>
    </x:row>
    <x:row r="874" ht="22" customHeight="1">
      <x:c r="A874" s="2" t="n">
        <x:v>868</x:v>
      </x:c>
      <x:c r="B874" s="79" t="n">
        <x:v>0.869037554422149</x:v>
      </x:c>
      <x:c r="C874" s="46" t="n">
        <x:f>B874^2</x:f>
        <x:v>0.7552262709960297</x:v>
      </x:c>
      <x:c r="D874" s="47" t="n">
        <x:f>'Datos'!$B$26^3/3</x:f>
        <x:v>0.3333333333333333</x:v>
      </x:c>
      <x:c r="E874" s="46" t="n">
        <x:f>D874*(C874-1)</x:f>
        <x:v>-0.08159124300132344</x:v>
      </x:c>
      <x:c r="F874" s="2"/>
      <x:c r="G874" s="2"/>
      <x:c r="H874" s="2"/>
    </x:row>
    <x:row r="875" ht="22" customHeight="1">
      <x:c r="A875" s="2" t="n">
        <x:v>869</x:v>
      </x:c>
      <x:c r="B875" s="79" t="n">
        <x:v>0.19965084090849528</x:v>
      </x:c>
      <x:c r="C875" s="46" t="n">
        <x:f>B875^2</x:f>
        <x:v>0.03986045827546929</x:v>
      </x:c>
      <x:c r="D875" s="47" t="n">
        <x:f>'Datos'!$B$26^3/3</x:f>
        <x:v>0.3333333333333333</x:v>
      </x:c>
      <x:c r="E875" s="46" t="n">
        <x:f>D875*(C875-1)</x:f>
        <x:v>-0.3200465139081769</x:v>
      </x:c>
      <x:c r="F875" s="2"/>
      <x:c r="G875" s="2"/>
      <x:c r="H875" s="2"/>
    </x:row>
    <x:row r="876" ht="22" customHeight="1">
      <x:c r="A876" s="2" t="n">
        <x:v>870</x:v>
      </x:c>
      <x:c r="B876" s="79" t="n">
        <x:v>-0.5656670189249626</x:v>
      </x:c>
      <x:c r="C876" s="46" t="n">
        <x:f>B876^2</x:f>
        <x:v>0.31997917629945405</x:v>
      </x:c>
      <x:c r="D876" s="47" t="n">
        <x:f>'Datos'!$B$26^3/3</x:f>
        <x:v>0.3333333333333333</x:v>
      </x:c>
      <x:c r="E876" s="46" t="n">
        <x:f>D876*(C876-1)</x:f>
        <x:v>-0.22667360790018198</x:v>
      </x:c>
      <x:c r="F876" s="2"/>
      <x:c r="G876" s="2"/>
      <x:c r="H876" s="2"/>
    </x:row>
    <x:row r="877" ht="22" customHeight="1">
      <x:c r="A877" s="2" t="n">
        <x:v>871</x:v>
      </x:c>
      <x:c r="B877" s="79" t="n">
        <x:v>-1.051569913281615</x:v>
      </x:c>
      <x:c r="C877" s="46" t="n">
        <x:f>B877^2</x:f>
        <x:v>1.1057992825191032</x:v>
      </x:c>
      <x:c r="D877" s="47" t="n">
        <x:f>'Datos'!$B$26^3/3</x:f>
        <x:v>0.3333333333333333</x:v>
      </x:c>
      <x:c r="E877" s="46" t="n">
        <x:f>D877*(C877-1)</x:f>
        <x:v>0.03526642750636773</x:v>
      </x:c>
      <x:c r="F877" s="2"/>
      <x:c r="G877" s="2"/>
      <x:c r="H877" s="2"/>
    </x:row>
    <x:row r="878" ht="22" customHeight="1">
      <x:c r="A878" s="2" t="n">
        <x:v>872</x:v>
      </x:c>
      <x:c r="B878" s="79" t="n">
        <x:v>-0.9714591327398049</x:v>
      </x:c>
      <x:c r="C878" s="46" t="n">
        <x:f>B878^2</x:f>
        <x:v>0.9437328465835738</x:v>
      </x:c>
      <x:c r="D878" s="47" t="n">
        <x:f>'Datos'!$B$26^3/3</x:f>
        <x:v>0.3333333333333333</x:v>
      </x:c>
      <x:c r="E878" s="46" t="n">
        <x:f>D878*(C878-1)</x:f>
        <x:v>-0.018755717805475393</x:v>
      </x:c>
      <x:c r="F878" s="2"/>
      <x:c r="G878" s="2"/>
      <x:c r="H878" s="2"/>
    </x:row>
    <x:row r="879" ht="22" customHeight="1">
      <x:c r="A879" s="2" t="n">
        <x:v>873</x:v>
      </x:c>
      <x:c r="B879" s="79" t="n">
        <x:v>-0.2210705367975396</x:v>
      </x:c>
      <x:c r="C879" s="46" t="n">
        <x:f>B879^2</x:f>
        <x:v>0.04887218223995231</x:v>
      </x:c>
      <x:c r="D879" s="47" t="n">
        <x:f>'Datos'!$B$26^3/3</x:f>
        <x:v>0.3333333333333333</x:v>
      </x:c>
      <x:c r="E879" s="46" t="n">
        <x:f>D879*(C879-1)</x:f>
        <x:v>-0.3170426059200159</x:v>
      </x:c>
      <x:c r="F879" s="2"/>
      <x:c r="G879" s="2"/>
      <x:c r="H879" s="2"/>
    </x:row>
    <x:row r="880" ht="22" customHeight="1">
      <x:c r="A880" s="2" t="n">
        <x:v>874</x:v>
      </x:c>
      <x:c r="B880" s="79" t="n">
        <x:v>-0.20400799718696674</x:v>
      </x:c>
      <x:c r="C880" s="46" t="n">
        <x:f>B880^2</x:f>
        <x:v>0.04161926291623743</x:v>
      </x:c>
      <x:c r="D880" s="47" t="n">
        <x:f>'Datos'!$B$26^3/3</x:f>
        <x:v>0.3333333333333333</x:v>
      </x:c>
      <x:c r="E880" s="46" t="n">
        <x:f>D880*(C880-1)</x:f>
        <x:v>-0.31946024569458753</x:v>
      </x:c>
      <x:c r="F880" s="2"/>
      <x:c r="G880" s="2"/>
      <x:c r="H880" s="2"/>
    </x:row>
    <x:row r="881" ht="22" customHeight="1">
      <x:c r="A881" s="2" t="n">
        <x:v>875</x:v>
      </x:c>
      <x:c r="B881" s="79" t="n">
        <x:v>0.9114892769400124</x:v>
      </x:c>
      <x:c r="C881" s="46" t="n">
        <x:f>B881^2</x:f>
        <x:v>0.8308127019766266</x:v>
      </x:c>
      <x:c r="D881" s="47" t="n">
        <x:f>'Datos'!$B$26^3/3</x:f>
        <x:v>0.3333333333333333</x:v>
      </x:c>
      <x:c r="E881" s="46" t="n">
        <x:f>D881*(C881-1)</x:f>
        <x:v>-0.05639576600779113</x:v>
      </x:c>
      <x:c r="F881" s="2"/>
      <x:c r="G881" s="2"/>
      <x:c r="H881" s="2"/>
    </x:row>
    <x:row r="882" ht="22" customHeight="1">
      <x:c r="A882" s="2" t="n">
        <x:v>876</x:v>
      </x:c>
      <x:c r="B882" s="79" t="n">
        <x:v>-0.21165744365278005</x:v>
      </x:c>
      <x:c r="C882" s="46" t="n">
        <x:f>B882^2</x:f>
        <x:v>0.04479887345362976</x:v>
      </x:c>
      <x:c r="D882" s="47" t="n">
        <x:f>'Datos'!$B$26^3/3</x:f>
        <x:v>0.3333333333333333</x:v>
      </x:c>
      <x:c r="E882" s="46" t="n">
        <x:f>D882*(C882-1)</x:f>
        <x:v>-0.31840037551545675</x:v>
      </x:c>
      <x:c r="F882" s="2"/>
      <x:c r="G882" s="2"/>
      <x:c r="H882" s="2"/>
    </x:row>
    <x:row r="883" ht="22" customHeight="1">
      <x:c r="A883" s="2" t="n">
        <x:v>877</x:v>
      </x:c>
      <x:c r="B883" s="79" t="n">
        <x:v>-0.4781339965025365</x:v>
      </x:c>
      <x:c r="C883" s="46" t="n">
        <x:f>B883^2</x:f>
        <x:v>0.2286121186114876</x:v>
      </x:c>
      <x:c r="D883" s="47" t="n">
        <x:f>'Datos'!$B$26^3/3</x:f>
        <x:v>0.3333333333333333</x:v>
      </x:c>
      <x:c r="E883" s="46" t="n">
        <x:f>D883*(C883-1)</x:f>
        <x:v>-0.2571292937961708</x:v>
      </x:c>
      <x:c r="F883" s="2"/>
      <x:c r="G883" s="2"/>
      <x:c r="H883" s="2"/>
    </x:row>
    <x:row r="884" ht="22" customHeight="1">
      <x:c r="A884" s="2" t="n">
        <x:v>878</x:v>
      </x:c>
      <x:c r="B884" s="79" t="n">
        <x:v>0.395911877236339</x:v>
      </x:c>
      <x:c r="C884" s="46" t="n">
        <x:f>B884^2</x:f>
        <x:v>0.156746214536802</x:v>
      </x:c>
      <x:c r="D884" s="47" t="n">
        <x:f>'Datos'!$B$26^3/3</x:f>
        <x:v>0.3333333333333333</x:v>
      </x:c>
      <x:c r="E884" s="46" t="n">
        <x:f>D884*(C884-1)</x:f>
        <x:v>-0.2810845951543993</x:v>
      </x:c>
      <x:c r="F884" s="2"/>
      <x:c r="G884" s="2"/>
      <x:c r="H884" s="2"/>
    </x:row>
    <x:row r="885" ht="22" customHeight="1">
      <x:c r="A885" s="2" t="n">
        <x:v>879</x:v>
      </x:c>
      <x:c r="B885" s="79" t="n">
        <x:v>-0.10958015688158539</x:v>
      </x:c>
      <x:c r="C885" s="46" t="n">
        <x:f>B885^2</x:f>
        <x:v>0.012007810782192865</x:v>
      </x:c>
      <x:c r="D885" s="47" t="n">
        <x:f>'Datos'!$B$26^3/3</x:f>
        <x:v>0.3333333333333333</x:v>
      </x:c>
      <x:c r="E885" s="46" t="n">
        <x:f>D885*(C885-1)</x:f>
        <x:v>-0.329330729739269</x:v>
      </x:c>
      <x:c r="F885" s="2"/>
      <x:c r="G885" s="2"/>
      <x:c r="H885" s="2"/>
    </x:row>
    <x:row r="886" ht="22" customHeight="1">
      <x:c r="A886" s="2" t="n">
        <x:v>880</x:v>
      </x:c>
      <x:c r="B886" s="79" t="n">
        <x:v>0.6626704503842158</x:v>
      </x:c>
      <x:c r="C886" s="46" t="n">
        <x:f>B886^2</x:f>
        <x:v>0.4391321258124194</x:v>
      </x:c>
      <x:c r="D886" s="47" t="n">
        <x:f>'Datos'!$B$26^3/3</x:f>
        <x:v>0.3333333333333333</x:v>
      </x:c>
      <x:c r="E886" s="46" t="n">
        <x:f>D886*(C886-1)</x:f>
        <x:v>-0.18695595806252685</x:v>
      </x:c>
      <x:c r="F886" s="2"/>
      <x:c r="G886" s="2"/>
      <x:c r="H886" s="2"/>
    </x:row>
    <x:row r="887" ht="22" customHeight="1">
      <x:c r="A887" s="2" t="n">
        <x:v>881</x:v>
      </x:c>
      <x:c r="B887" s="79" t="n">
        <x:v>0.1981264716067127</x:v>
      </x:c>
      <x:c r="C887" s="46" t="n">
        <x:f>B887^2</x:f>
        <x:v>0.03925409875132554</x:v>
      </x:c>
      <x:c r="D887" s="47" t="n">
        <x:f>'Datos'!$B$26^3/3</x:f>
        <x:v>0.3333333333333333</x:v>
      </x:c>
      <x:c r="E887" s="46" t="n">
        <x:f>D887*(C887-1)</x:f>
        <x:v>-0.32024863374955814</x:v>
      </x:c>
      <x:c r="F887" s="2"/>
      <x:c r="G887" s="2"/>
      <x:c r="H887" s="2"/>
    </x:row>
    <x:row r="888" ht="22" customHeight="1">
      <x:c r="A888" s="2" t="n">
        <x:v>882</x:v>
      </x:c>
      <x:c r="B888" s="79" t="n">
        <x:v>-0.40445974452379657</x:v>
      </x:c>
      <x:c r="C888" s="46" t="n">
        <x:f>B888^2</x:f>
        <x:v>0.1635876849402548</x:v>
      </x:c>
      <x:c r="D888" s="47" t="n">
        <x:f>'Datos'!$B$26^3/3</x:f>
        <x:v>0.3333333333333333</x:v>
      </x:c>
      <x:c r="E888" s="46" t="n">
        <x:f>D888*(C888-1)</x:f>
        <x:v>-0.27880410501991504</x:v>
      </x:c>
      <x:c r="F888" s="2"/>
      <x:c r="G888" s="2"/>
      <x:c r="H888" s="2"/>
    </x:row>
    <x:row r="889" ht="22" customHeight="1">
      <x:c r="A889" s="2" t="n">
        <x:v>883</x:v>
      </x:c>
      <x:c r="B889" s="79" t="n">
        <x:v>1.2626284491201936</x:v>
      </x:c>
      <x:c r="C889" s="46" t="n">
        <x:f>B889^2</x:f>
        <x:v>1.5942306005276652</x:v>
      </x:c>
      <x:c r="D889" s="47" t="n">
        <x:f>'Datos'!$B$26^3/3</x:f>
        <x:v>0.3333333333333333</x:v>
      </x:c>
      <x:c r="E889" s="46" t="n">
        <x:f>D889*(C889-1)</x:f>
        <x:v>0.19807686684255504</x:v>
      </x:c>
      <x:c r="F889" s="2"/>
      <x:c r="G889" s="2"/>
      <x:c r="H889" s="2"/>
    </x:row>
    <x:row r="890" ht="22" customHeight="1">
      <x:c r="A890" s="2" t="n">
        <x:v>884</x:v>
      </x:c>
      <x:c r="B890" s="79" t="n">
        <x:v>-0.2568726847648739</x:v>
      </x:c>
      <x:c r="C890" s="46" t="n">
        <x:f>B890^2</x:f>
        <x:v>0.06598357617831428</x:v>
      </x:c>
      <x:c r="D890" s="47" t="n">
        <x:f>'Datos'!$B$26^3/3</x:f>
        <x:v>0.3333333333333333</x:v>
      </x:c>
      <x:c r="E890" s="46" t="n">
        <x:f>D890*(C890-1)</x:f>
        <x:v>-0.3113388079405619</x:v>
      </x:c>
      <x:c r="F890" s="2"/>
      <x:c r="G890" s="2"/>
      <x:c r="H890" s="2"/>
    </x:row>
    <x:row r="891" ht="22" customHeight="1">
      <x:c r="A891" s="2" t="n">
        <x:v>885</x:v>
      </x:c>
      <x:c r="B891" s="79" t="n">
        <x:v>1.678167318178209</x:v>
      </x:c>
      <x:c r="C891" s="46" t="n">
        <x:f>B891^2</x:f>
        <x:v>2.8162455478014423</x:v>
      </x:c>
      <x:c r="D891" s="47" t="n">
        <x:f>'Datos'!$B$26^3/3</x:f>
        <x:v>0.3333333333333333</x:v>
      </x:c>
      <x:c r="E891" s="46" t="n">
        <x:f>D891*(C891-1)</x:f>
        <x:v>0.6054151826004808</x:v>
      </x:c>
      <x:c r="F891" s="2"/>
      <x:c r="G891" s="2"/>
      <x:c r="H891" s="2"/>
    </x:row>
    <x:row r="892" ht="22" customHeight="1">
      <x:c r="A892" s="2" t="n">
        <x:v>886</x:v>
      </x:c>
      <x:c r="B892" s="79" t="n">
        <x:v>-0.9992869792836621</x:v>
      </x:c>
      <x:c r="C892" s="46" t="n">
        <x:f>B892^2</x:f>
        <x:v>0.998574466965866</x:v>
      </x:c>
      <x:c r="D892" s="47" t="n">
        <x:f>'Datos'!$B$26^3/3</x:f>
        <x:v>0.3333333333333333</x:v>
      </x:c>
      <x:c r="E892" s="46" t="n">
        <x:f>D892*(C892-1)</x:f>
        <x:v>-0.0004751776780446507</x:v>
      </x:c>
      <x:c r="F892" s="2"/>
      <x:c r="G892" s="2"/>
      <x:c r="H892" s="2"/>
    </x:row>
    <x:row r="893" ht="22" customHeight="1">
      <x:c r="A893" s="2" t="n">
        <x:v>887</x:v>
      </x:c>
      <x:c r="B893" s="79" t="n">
        <x:v>-0.9408326878971445</x:v>
      </x:c>
      <x:c r="C893" s="46" t="n">
        <x:f>B893^2</x:f>
        <x:v>0.8851661466157656</x:v>
      </x:c>
      <x:c r="D893" s="47" t="n">
        <x:f>'Datos'!$B$26^3/3</x:f>
        <x:v>0.3333333333333333</x:v>
      </x:c>
      <x:c r="E893" s="46" t="n">
        <x:f>D893*(C893-1)</x:f>
        <x:v>-0.038277951128078115</x:v>
      </x:c>
      <x:c r="F893" s="2"/>
      <x:c r="G893" s="2"/>
      <x:c r="H893" s="2"/>
    </x:row>
    <x:row r="894" ht="22" customHeight="1">
      <x:c r="A894" s="2" t="n">
        <x:v>888</x:v>
      </x:c>
      <x:c r="B894" s="79" t="n">
        <x:v>-1.527745078617896</x:v>
      </x:c>
      <x:c r="C894" s="46" t="n">
        <x:f>B894^2</x:f>
        <x:v>2.3340050252412015</x:v>
      </x:c>
      <x:c r="D894" s="47" t="n">
        <x:f>'Datos'!$B$26^3/3</x:f>
        <x:v>0.3333333333333333</x:v>
      </x:c>
      <x:c r="E894" s="46" t="n">
        <x:f>D894*(C894-1)</x:f>
        <x:v>0.44466834174706715</x:v>
      </x:c>
      <x:c r="F894" s="2"/>
      <x:c r="G894" s="2"/>
      <x:c r="H894" s="2"/>
    </x:row>
    <x:row r="895" ht="22" customHeight="1">
      <x:c r="A895" s="2" t="n">
        <x:v>889</x:v>
      </x:c>
      <x:c r="B895" s="79" t="n">
        <x:v>0.6827128646966966</x:v>
      </x:c>
      <x:c r="C895" s="46" t="n">
        <x:f>B895^2</x:f>
        <x:v>0.4660968556223699</x:v>
      </x:c>
      <x:c r="D895" s="47" t="n">
        <x:f>'Datos'!$B$26^3/3</x:f>
        <x:v>0.3333333333333333</x:v>
      </x:c>
      <x:c r="E895" s="46" t="n">
        <x:f>D895*(C895-1)</x:f>
        <x:v>-0.17796771479254336</x:v>
      </x:c>
      <x:c r="F895" s="2"/>
      <x:c r="G895" s="2"/>
      <x:c r="H895" s="2"/>
    </x:row>
    <x:row r="896" ht="22" customHeight="1">
      <x:c r="A896" s="2" t="n">
        <x:v>890</x:v>
      </x:c>
      <x:c r="B896" s="79" t="n">
        <x:v>-0.09601340496157452</x:v>
      </x:c>
      <x:c r="C896" s="46" t="n">
        <x:f>B896^2</x:f>
        <x:v>0.009218573932315304</x:v>
      </x:c>
      <x:c r="D896" s="47" t="n">
        <x:f>'Datos'!$B$26^3/3</x:f>
        <x:v>0.3333333333333333</x:v>
      </x:c>
      <x:c r="E896" s="46" t="n">
        <x:f>D896*(C896-1)</x:f>
        <x:v>-0.33026047535589487</x:v>
      </x:c>
      <x:c r="F896" s="2"/>
      <x:c r="G896" s="2"/>
      <x:c r="H896" s="2"/>
    </x:row>
    <x:row r="897" ht="22" customHeight="1">
      <x:c r="A897" s="2" t="n">
        <x:v>891</x:v>
      </x:c>
      <x:c r="B897" s="79" t="n">
        <x:v>1.59278731443338</x:v>
      </x:c>
      <x:c r="C897" s="46" t="n">
        <x:f>B897^2</x:f>
        <x:v>2.5369714290198986</x:v>
      </x:c>
      <x:c r="D897" s="47" t="n">
        <x:f>'Datos'!$B$26^3/3</x:f>
        <x:v>0.3333333333333333</x:v>
      </x:c>
      <x:c r="E897" s="46" t="n">
        <x:f>D897*(C897-1)</x:f>
        <x:v>0.5123238096732995</x:v>
      </x:c>
      <x:c r="F897" s="2"/>
      <x:c r="G897" s="2"/>
      <x:c r="H897" s="2"/>
    </x:row>
    <x:row r="898" ht="22" customHeight="1">
      <x:c r="A898" s="2" t="n">
        <x:v>892</x:v>
      </x:c>
      <x:c r="B898" s="79" t="n">
        <x:v>-0.07920608800757256</x:v>
      </x:c>
      <x:c r="C898" s="46" t="n">
        <x:f>B898^2</x:f>
        <x:v>0.00627360437746333</x:v>
      </x:c>
      <x:c r="D898" s="47" t="n">
        <x:f>'Datos'!$B$26^3/3</x:f>
        <x:v>0.3333333333333333</x:v>
      </x:c>
      <x:c r="E898" s="46" t="n">
        <x:f>D898*(C898-1)</x:f>
        <x:v>-0.33124213187417884</x:v>
      </x:c>
      <x:c r="F898" s="2"/>
      <x:c r="G898" s="2"/>
      <x:c r="H898" s="2"/>
    </x:row>
    <x:row r="899" ht="22" customHeight="1">
      <x:c r="A899" s="2" t="n">
        <x:v>893</x:v>
      </x:c>
      <x:c r="B899" s="79" t="n">
        <x:v>0.30535751937199007</x:v>
      </x:c>
      <x:c r="C899" s="46" t="n">
        <x:f>B899^2</x:f>
        <x:v>0.09324321463701529</x:v>
      </x:c>
      <x:c r="D899" s="47" t="n">
        <x:f>'Datos'!$B$26^3/3</x:f>
        <x:v>0.3333333333333333</x:v>
      </x:c>
      <x:c r="E899" s="46" t="n">
        <x:f>D899*(C899-1)</x:f>
        <x:v>-0.30225226178766157</x:v>
      </x:c>
      <x:c r="F899" s="2"/>
      <x:c r="G899" s="2"/>
      <x:c r="H899" s="2"/>
    </x:row>
    <x:row r="900" ht="22" customHeight="1">
      <x:c r="A900" s="2" t="n">
        <x:v>894</x:v>
      </x:c>
      <x:c r="B900" s="79" t="n">
        <x:v>-0.09587396686881852</x:v>
      </x:c>
      <x:c r="C900" s="46" t="n">
        <x:f>B900^2</x:f>
        <x:v>0.009191817523163311</x:v>
      </x:c>
      <x:c r="D900" s="47" t="n">
        <x:f>'Datos'!$B$26^3/3</x:f>
        <x:v>0.3333333333333333</x:v>
      </x:c>
      <x:c r="E900" s="46" t="n">
        <x:f>D900*(C900-1)</x:f>
        <x:v>-0.3302693941589455</x:v>
      </x:c>
      <x:c r="F900" s="2"/>
      <x:c r="G900" s="2"/>
      <x:c r="H900" s="2"/>
    </x:row>
    <x:row r="901" ht="22" customHeight="1">
      <x:c r="A901" s="2" t="n">
        <x:v>895</x:v>
      </x:c>
      <x:c r="B901" s="79" t="n">
        <x:v>1.313109114550299</x:v>
      </x:c>
      <x:c r="C901" s="46" t="n">
        <x:f>B901^2</x:f>
        <x:v>1.7242555467150706</x:v>
      </x:c>
      <x:c r="D901" s="47" t="n">
        <x:f>'Datos'!$B$26^3/3</x:f>
        <x:v>0.3333333333333333</x:v>
      </x:c>
      <x:c r="E901" s="46" t="n">
        <x:f>D901*(C901-1)</x:f>
        <x:v>0.2414185155716902</x:v>
      </x:c>
      <x:c r="F901" s="2"/>
      <x:c r="G901" s="2"/>
      <x:c r="H901" s="2"/>
    </x:row>
    <x:row r="902" ht="22" customHeight="1">
      <x:c r="A902" s="2" t="n">
        <x:v>896</x:v>
      </x:c>
      <x:c r="B902" s="79" t="n">
        <x:v>0.43472277545025056</x:v>
      </x:c>
      <x:c r="C902" s="46" t="n">
        <x:f>B902^2</x:f>
        <x:v>0.18898389149516898</x:v>
      </x:c>
      <x:c r="D902" s="47" t="n">
        <x:f>'Datos'!$B$26^3/3</x:f>
        <x:v>0.3333333333333333</x:v>
      </x:c>
      <x:c r="E902" s="46" t="n">
        <x:f>D902*(C902-1)</x:f>
        <x:v>-0.27033870283494366</x:v>
      </x:c>
      <x:c r="F902" s="2"/>
      <x:c r="G902" s="2"/>
      <x:c r="H902" s="2"/>
    </x:row>
    <x:row r="903" ht="22" customHeight="1">
      <x:c r="A903" s="2" t="n">
        <x:v>897</x:v>
      </x:c>
      <x:c r="B903" s="79" t="n">
        <x:v>0.05179531256009325</x:v>
      </x:c>
      <x:c r="C903" s="46" t="n">
        <x:f>B903^2</x:f>
        <x:v>0.0026827544031977537</x:v>
      </x:c>
      <x:c r="D903" s="47" t="n">
        <x:f>'Datos'!$B$26^3/3</x:f>
        <x:v>0.3333333333333333</x:v>
      </x:c>
      <x:c r="E903" s="46" t="n">
        <x:f>D903*(C903-1)</x:f>
        <x:v>-0.3324390818656007</x:v>
      </x:c>
      <x:c r="F903" s="2"/>
      <x:c r="G903" s="2"/>
      <x:c r="H903" s="2"/>
    </x:row>
    <x:row r="904" ht="22" customHeight="1">
      <x:c r="A904" s="2" t="n">
        <x:v>898</x:v>
      </x:c>
      <x:c r="B904" s="79" t="n">
        <x:v>-0.47947643467395</x:v>
      </x:c>
      <x:c r="C904" s="46" t="n">
        <x:f>B904^2</x:f>
        <x:v>0.22989765140764265</x:v>
      </x:c>
      <x:c r="D904" s="47" t="n">
        <x:f>'Datos'!$B$26^3/3</x:f>
        <x:v>0.3333333333333333</x:v>
      </x:c>
      <x:c r="E904" s="46" t="n">
        <x:f>D904*(C904-1)</x:f>
        <x:v>-0.2567007828641191</x:v>
      </x:c>
      <x:c r="F904" s="2"/>
      <x:c r="G904" s="2"/>
      <x:c r="H904" s="2"/>
    </x:row>
    <x:row r="905" ht="22" customHeight="1">
      <x:c r="A905" s="2" t="n">
        <x:v>899</x:v>
      </x:c>
      <x:c r="B905" s="79" t="n">
        <x:v>1.013814956653912</x:v>
      </x:c>
      <x:c r="C905" s="46" t="n">
        <x:f>B905^2</x:f>
        <x:v>1.0278207663351737</x:v>
      </x:c>
      <x:c r="D905" s="47" t="n">
        <x:f>'Datos'!$B$26^3/3</x:f>
        <x:v>0.3333333333333333</x:v>
      </x:c>
      <x:c r="E905" s="46" t="n">
        <x:f>D905*(C905-1)</x:f>
        <x:v>0.00927358877839124</x:v>
      </x:c>
      <x:c r="F905" s="2"/>
      <x:c r="G905" s="2"/>
      <x:c r="H905" s="2"/>
    </x:row>
    <x:row r="906" ht="22" customHeight="1">
      <x:c r="A906" s="2" t="n">
        <x:v>900</x:v>
      </x:c>
      <x:c r="B906" s="79" t="n">
        <x:v>0.5210208284244884</x:v>
      </x:c>
      <x:c r="C906" s="46" t="n">
        <x:f>B906^2</x:f>
        <x:v>0.27146270365214015</x:v>
      </x:c>
      <x:c r="D906" s="47" t="n">
        <x:f>'Datos'!$B$26^3/3</x:f>
        <x:v>0.3333333333333333</x:v>
      </x:c>
      <x:c r="E906" s="46" t="n">
        <x:f>D906*(C906-1)</x:f>
        <x:v>-0.2428457654492866</x:v>
      </x:c>
      <x:c r="F906" s="2"/>
      <x:c r="G906" s="2"/>
      <x:c r="H906" s="2"/>
    </x:row>
    <x:row r="907" ht="22" customHeight="1">
      <x:c r="A907" s="2" t="n">
        <x:v>901</x:v>
      </x:c>
      <x:c r="B907" s="79" t="n">
        <x:v>0.4717327901630204</x:v>
      </x:c>
      <x:c r="C907" s="46" t="n">
        <x:f>B907^2</x:f>
        <x:v>0.22253182531498822</x:v>
      </x:c>
      <x:c r="D907" s="47" t="n">
        <x:f>'Datos'!$B$26^3/3</x:f>
        <x:v>0.3333333333333333</x:v>
      </x:c>
      <x:c r="E907" s="46" t="n">
        <x:f>D907*(C907-1)</x:f>
        <x:v>-0.25915605822833726</x:v>
      </x:c>
      <x:c r="F907" s="2"/>
      <x:c r="G907" s="2"/>
      <x:c r="H907" s="2"/>
    </x:row>
    <x:row r="908" ht="22" customHeight="1">
      <x:c r="A908" s="2" t="n">
        <x:v>902</x:v>
      </x:c>
      <x:c r="B908" s="79" t="n">
        <x:v>1.4033619230420105</x:v>
      </x:c>
      <x:c r="C908" s="46" t="n">
        <x:f>B908^2</x:f>
        <x:v>1.9694246870441696</x:v>
      </x:c>
      <x:c r="D908" s="47" t="n">
        <x:f>'Datos'!$B$26^3/3</x:f>
        <x:v>0.3333333333333333</x:v>
      </x:c>
      <x:c r="E908" s="46" t="n">
        <x:f>D908*(C908-1)</x:f>
        <x:v>0.3231415623480565</x:v>
      </x:c>
      <x:c r="F908" s="2"/>
      <x:c r="G908" s="2"/>
      <x:c r="H908" s="2"/>
    </x:row>
    <x:row r="909" ht="22" customHeight="1">
      <x:c r="A909" s="2" t="n">
        <x:v>903</x:v>
      </x:c>
      <x:c r="B909" s="79" t="n">
        <x:v>0.8124510357047102</x:v>
      </x:c>
      <x:c r="C909" s="46" t="n">
        <x:f>B909^2</x:f>
        <x:v>0.6600766854176563</x:v>
      </x:c>
      <x:c r="D909" s="47" t="n">
        <x:f>'Datos'!$B$26^3/3</x:f>
        <x:v>0.3333333333333333</x:v>
      </x:c>
      <x:c r="E909" s="46" t="n">
        <x:f>D909*(C909-1)</x:f>
        <x:v>-0.11330777152744789</x:v>
      </x:c>
      <x:c r="F909" s="2"/>
      <x:c r="G909" s="2"/>
      <x:c r="H909" s="2"/>
    </x:row>
    <x:row r="910" ht="22" customHeight="1">
      <x:c r="A910" s="2" t="n">
        <x:v>904</x:v>
      </x:c>
      <x:c r="B910" s="79" t="n">
        <x:v>0.40340688196753877</x:v>
      </x:c>
      <x:c r="C910" s="46" t="n">
        <x:f>B910^2</x:f>
        <x:v>0.16273711241877176</x:v>
      </x:c>
      <x:c r="D910" s="47" t="n">
        <x:f>'Datos'!$B$26^3/3</x:f>
        <x:v>0.3333333333333333</x:v>
      </x:c>
      <x:c r="E910" s="46" t="n">
        <x:f>D910*(C910-1)</x:f>
        <x:v>-0.27908762919374275</x:v>
      </x:c>
      <x:c r="F910" s="2"/>
      <x:c r="G910" s="2"/>
      <x:c r="H910" s="2"/>
    </x:row>
    <x:row r="911" ht="22" customHeight="1">
      <x:c r="A911" s="2" t="n">
        <x:v>905</x:v>
      </x:c>
      <x:c r="B911" s="79" t="n">
        <x:v>-0.5626868534437172</x:v>
      </x:c>
      <x:c r="C911" s="46" t="n">
        <x:f>B911^2</x:f>
        <x:v>0.31661649503839123</x:v>
      </x:c>
      <x:c r="D911" s="47" t="n">
        <x:f>'Datos'!$B$26^3/3</x:f>
        <x:v>0.3333333333333333</x:v>
      </x:c>
      <x:c r="E911" s="46" t="n">
        <x:f>D911*(C911-1)</x:f>
        <x:v>-0.2277945016538696</x:v>
      </x:c>
      <x:c r="F911" s="2"/>
      <x:c r="G911" s="2"/>
      <x:c r="H911" s="2"/>
    </x:row>
    <x:row r="912" ht="22" customHeight="1">
      <x:c r="A912" s="2" t="n">
        <x:v>906</x:v>
      </x:c>
      <x:c r="B912" s="79" t="n">
        <x:v>-0.3751624120700463</x:v>
      </x:c>
      <x:c r="C912" s="46" t="n">
        <x:f>B912^2</x:f>
        <x:v>0.1407468354302152</x:v>
      </x:c>
      <x:c r="D912" s="47" t="n">
        <x:f>'Datos'!$B$26^3/3</x:f>
        <x:v>0.3333333333333333</x:v>
      </x:c>
      <x:c r="E912" s="46" t="n">
        <x:f>D912*(C912-1)</x:f>
        <x:v>-0.28641772152326156</x:v>
      </x:c>
      <x:c r="F912" s="2"/>
      <x:c r="G912" s="2"/>
      <x:c r="H912" s="2"/>
    </x:row>
    <x:row r="913" ht="22" customHeight="1">
      <x:c r="A913" s="2" t="n">
        <x:v>907</x:v>
      </x:c>
      <x:c r="B913" s="79" t="n">
        <x:v>-0.6171448678058526</x:v>
      </x:c>
      <x:c r="C913" s="46" t="n">
        <x:f>B913^2</x:f>
        <x:v>0.38086778785910336</x:v>
      </x:c>
      <x:c r="D913" s="47" t="n">
        <x:f>'Datos'!$B$26^3/3</x:f>
        <x:v>0.3333333333333333</x:v>
      </x:c>
      <x:c r="E913" s="46" t="n">
        <x:f>D913*(C913-1)</x:f>
        <x:v>-0.20637740404696553</x:v>
      </x:c>
      <x:c r="F913" s="2"/>
      <x:c r="G913" s="2"/>
      <x:c r="H913" s="2"/>
    </x:row>
    <x:row r="914" ht="22" customHeight="1">
      <x:c r="A914" s="2" t="n">
        <x:v>908</x:v>
      </x:c>
      <x:c r="B914" s="79" t="n">
        <x:v>0.176438688001673</x:v>
      </x:c>
      <x:c r="C914" s="46" t="n">
        <x:f>B914^2</x:f>
        <x:v>0.03113061062375171</x:v>
      </x:c>
      <x:c r="D914" s="47" t="n">
        <x:f>'Datos'!$B$26^3/3</x:f>
        <x:v>0.3333333333333333</x:v>
      </x:c>
      <x:c r="E914" s="46" t="n">
        <x:f>D914*(C914-1)</x:f>
        <x:v>-0.3229564631254161</x:v>
      </x:c>
      <x:c r="F914" s="2"/>
      <x:c r="G914" s="2"/>
      <x:c r="H914" s="2"/>
    </x:row>
    <x:row r="915" ht="22" customHeight="1">
      <x:c r="A915" s="2" t="n">
        <x:v>909</x:v>
      </x:c>
      <x:c r="B915" s="79" t="n">
        <x:v>-1.2886879369421387</x:v>
      </x:c>
      <x:c r="C915" s="46" t="n">
        <x:f>B915^2</x:f>
        <x:v>1.6607165988201855</x:v>
      </x:c>
      <x:c r="D915" s="47" t="n">
        <x:f>'Datos'!$B$26^3/3</x:f>
        <x:v>0.3333333333333333</x:v>
      </x:c>
      <x:c r="E915" s="46" t="n">
        <x:f>D915*(C915-1)</x:f>
        <x:v>0.22023886627339517</x:v>
      </x:c>
      <x:c r="F915" s="2"/>
      <x:c r="G915" s="2"/>
      <x:c r="H915" s="2"/>
    </x:row>
    <x:row r="916" ht="22" customHeight="1">
      <x:c r="A916" s="2" t="n">
        <x:v>910</x:v>
      </x:c>
      <x:c r="B916" s="79" t="n">
        <x:v>1.092898726836659</x:v>
      </x:c>
      <x:c r="C916" s="46" t="n">
        <x:f>B916^2</x:f>
        <x:v>1.1944276271211902</x:v>
      </x:c>
      <x:c r="D916" s="47" t="n">
        <x:f>'Datos'!$B$26^3/3</x:f>
        <x:v>0.3333333333333333</x:v>
      </x:c>
      <x:c r="E916" s="46" t="n">
        <x:f>D916*(C916-1)</x:f>
        <x:v>0.06480920904039673</x:v>
      </x:c>
      <x:c r="F916" s="2"/>
      <x:c r="G916" s="2"/>
      <x:c r="H916" s="2"/>
    </x:row>
    <x:row r="917" ht="22" customHeight="1">
      <x:c r="A917" s="2" t="n">
        <x:v>911</x:v>
      </x:c>
      <x:c r="B917" s="79" t="n">
        <x:v>-0.6935104925466795</x:v>
      </x:c>
      <x:c r="C917" s="46" t="n">
        <x:f>B917^2</x:f>
        <x:v>0.48095680327233803</x:v>
      </x:c>
      <x:c r="D917" s="47" t="n">
        <x:f>'Datos'!$B$26^3/3</x:f>
        <x:v>0.3333333333333333</x:v>
      </x:c>
      <x:c r="E917" s="46" t="n">
        <x:f>D917*(C917-1)</x:f>
        <x:v>-0.17301439890922066</x:v>
      </x:c>
      <x:c r="F917" s="2"/>
      <x:c r="G917" s="2"/>
      <x:c r="H917" s="2"/>
    </x:row>
    <x:row r="918" ht="22" customHeight="1">
      <x:c r="A918" s="2" t="n">
        <x:v>912</x:v>
      </x:c>
      <x:c r="B918" s="79" t="n">
        <x:v>-1.4878925678759096</x:v>
      </x:c>
      <x:c r="C918" s="46" t="n">
        <x:f>B918^2</x:f>
        <x:v>2.2138242935403682</x:v>
      </x:c>
      <x:c r="D918" s="47" t="n">
        <x:f>'Datos'!$B$26^3/3</x:f>
        <x:v>0.3333333333333333</x:v>
      </x:c>
      <x:c r="E918" s="46" t="n">
        <x:f>D918*(C918-1)</x:f>
        <x:v>0.4046080978467894</x:v>
      </x:c>
      <x:c r="F918" s="2"/>
      <x:c r="G918" s="2"/>
      <x:c r="H918" s="2"/>
    </x:row>
    <x:row r="919" ht="22" customHeight="1">
      <x:c r="A919" s="2" t="n">
        <x:v>913</x:v>
      </x:c>
      <x:c r="B919" s="79" t="n">
        <x:v>-0.7854203150915584</x:v>
      </x:c>
      <x:c r="C919" s="46" t="n">
        <x:f>B919^2</x:f>
        <x:v>0.6168850713585229</x:v>
      </x:c>
      <x:c r="D919" s="47" t="n">
        <x:f>'Datos'!$B$26^3/3</x:f>
        <x:v>0.3333333333333333</x:v>
      </x:c>
      <x:c r="E919" s="46" t="n">
        <x:f>D919*(C919-1)</x:f>
        <x:v>-0.1277049762138257</x:v>
      </x:c>
      <x:c r="F919" s="2"/>
      <x:c r="G919" s="2"/>
      <x:c r="H919" s="2"/>
    </x:row>
    <x:row r="920" ht="22" customHeight="1">
      <x:c r="A920" s="2" t="n">
        <x:v>914</x:v>
      </x:c>
      <x:c r="B920" s="79" t="n">
        <x:v>0.6827446204950124</x:v>
      </x:c>
      <x:c r="C920" s="46" t="n">
        <x:f>B920^2</x:f>
        <x:v>0.4661402168148785</x:v>
      </x:c>
      <x:c r="D920" s="47" t="n">
        <x:f>'Datos'!$B$26^3/3</x:f>
        <x:v>0.3333333333333333</x:v>
      </x:c>
      <x:c r="E920" s="46" t="n">
        <x:f>D920*(C920-1)</x:f>
        <x:v>-0.17795326106170717</x:v>
      </x:c>
      <x:c r="F920" s="2"/>
      <x:c r="G920" s="2"/>
      <x:c r="H920" s="2"/>
    </x:row>
    <x:row r="921" ht="22" customHeight="1">
      <x:c r="A921" s="2" t="n">
        <x:v>915</x:v>
      </x:c>
      <x:c r="B921" s="79" t="n">
        <x:v>0.09965048430345241</x:v>
      </x:c>
      <x:c r="C921" s="46" t="n">
        <x:f>B921^2</x:f>
        <x:v>0.009930219021912616</x:v>
      </x:c>
      <x:c r="D921" s="47" t="n">
        <x:f>'Datos'!$B$26^3/3</x:f>
        <x:v>0.3333333333333333</x:v>
      </x:c>
      <x:c r="E921" s="46" t="n">
        <x:f>D921*(C921-1)</x:f>
        <x:v>-0.33002326032602913</x:v>
      </x:c>
      <x:c r="F921" s="2"/>
      <x:c r="G921" s="2"/>
      <x:c r="H921" s="2"/>
    </x:row>
    <x:row r="922" ht="22" customHeight="1">
      <x:c r="A922" s="2" t="n">
        <x:v>916</x:v>
      </x:c>
      <x:c r="B922" s="79" t="n">
        <x:v>-0.8232549444193078</x:v>
      </x:c>
      <x:c r="C922" s="46" t="n">
        <x:f>B922^2</x:f>
        <x:v>0.6777487035108376</x:v>
      </x:c>
      <x:c r="D922" s="47" t="n">
        <x:f>'Datos'!$B$26^3/3</x:f>
        <x:v>0.3333333333333333</x:v>
      </x:c>
      <x:c r="E922" s="46" t="n">
        <x:f>D922*(C922-1)</x:f>
        <x:v>-0.1074170988297208</x:v>
      </x:c>
      <x:c r="F922" s="2"/>
      <x:c r="G922" s="2"/>
      <x:c r="H922" s="2"/>
    </x:row>
    <x:row r="923" ht="22" customHeight="1">
      <x:c r="A923" s="2" t="n">
        <x:v>917</x:v>
      </x:c>
      <x:c r="B923" s="79" t="n">
        <x:v>0.025193612794375306</x:v>
      </x:c>
      <x:c r="C923" s="46" t="n">
        <x:f>B923^2</x:f>
        <x:v>0.0006347181256329111</x:v>
      </x:c>
      <x:c r="D923" s="47" t="n">
        <x:f>'Datos'!$B$26^3/3</x:f>
        <x:v>0.3333333333333333</x:v>
      </x:c>
      <x:c r="E923" s="46" t="n">
        <x:f>D923*(C923-1)</x:f>
        <x:v>-0.33312176062478904</x:v>
      </x:c>
      <x:c r="F923" s="2"/>
      <x:c r="G923" s="2"/>
      <x:c r="H923" s="2"/>
    </x:row>
    <x:row r="924" ht="22" customHeight="1">
      <x:c r="A924" s="2" t="n">
        <x:v>918</x:v>
      </x:c>
      <x:c r="B924" s="79" t="n">
        <x:v>-0.23782614486252726</x:v>
      </x:c>
      <x:c r="C924" s="46" t="n">
        <x:f>B924^2</x:f>
        <x:v>0.0565612751801718</x:v>
      </x:c>
      <x:c r="D924" s="47" t="n">
        <x:f>'Datos'!$B$26^3/3</x:f>
        <x:v>0.3333333333333333</x:v>
      </x:c>
      <x:c r="E924" s="46" t="n">
        <x:f>D924*(C924-1)</x:f>
        <x:v>-0.3144795749399427</x:v>
      </x:c>
      <x:c r="F924" s="2"/>
      <x:c r="G924" s="2"/>
      <x:c r="H924" s="2"/>
    </x:row>
    <x:row r="925" ht="22" customHeight="1">
      <x:c r="A925" s="2" t="n">
        <x:v>919</x:v>
      </x:c>
      <x:c r="B925" s="79" t="n">
        <x:v>0.4572572774621466</x:v>
      </x:c>
      <x:c r="C925" s="46" t="n">
        <x:f>B925^2</x:f>
        <x:v>0.20908421779209455</x:v>
      </x:c>
      <x:c r="D925" s="47" t="n">
        <x:f>'Datos'!$B$26^3/3</x:f>
        <x:v>0.3333333333333333</x:v>
      </x:c>
      <x:c r="E925" s="46" t="n">
        <x:f>D925*(C925-1)</x:f>
        <x:v>-0.2636385940693018</x:v>
      </x:c>
      <x:c r="F925" s="2"/>
      <x:c r="G925" s="2"/>
      <x:c r="H925" s="2"/>
    </x:row>
    <x:row r="926" ht="22" customHeight="1">
      <x:c r="A926" s="2" t="n">
        <x:v>920</x:v>
      </x:c>
      <x:c r="B926" s="79" t="n">
        <x:v>-0.7923704818708736</x:v>
      </x:c>
      <x:c r="C926" s="46" t="n">
        <x:f>B926^2</x:f>
        <x:v>0.6278509805402803</x:v>
      </x:c>
      <x:c r="D926" s="47" t="n">
        <x:f>'Datos'!$B$26^3/3</x:f>
        <x:v>0.3333333333333333</x:v>
      </x:c>
      <x:c r="E926" s="46" t="n">
        <x:f>D926*(C926-1)</x:f>
        <x:v>-0.12404967315323989</x:v>
      </x:c>
      <x:c r="F926" s="2"/>
      <x:c r="G926" s="2"/>
      <x:c r="H926" s="2"/>
    </x:row>
    <x:row r="927" ht="22" customHeight="1">
      <x:c r="A927" s="2" t="n">
        <x:v>921</x:v>
      </x:c>
      <x:c r="B927" s="79" t="n">
        <x:v>1.0108496862625211</x:v>
      </x:c>
      <x:c r="C927" s="46" t="n">
        <x:f>B927^2</x:f>
        <x:v>1.0218170882170374</x:v>
      </x:c>
      <x:c r="D927" s="47" t="n">
        <x:f>'Datos'!$B$26^3/3</x:f>
        <x:v>0.3333333333333333</x:v>
      </x:c>
      <x:c r="E927" s="46" t="n">
        <x:f>D927*(C927-1)</x:f>
        <x:v>0.0072723627390124754</x:v>
      </x:c>
      <x:c r="F927" s="2"/>
      <x:c r="G927" s="2"/>
      <x:c r="H927" s="2"/>
    </x:row>
    <x:row r="928" ht="22" customHeight="1">
      <x:c r="A928" s="2" t="n">
        <x:v>922</x:v>
      </x:c>
      <x:c r="B928" s="79" t="n">
        <x:v>-1.5905383380658082</x:v>
      </x:c>
      <x:c r="C928" s="46" t="n">
        <x:f>B928^2</x:f>
        <x:v>2.5298122048571434</x:v>
      </x:c>
      <x:c r="D928" s="47" t="n">
        <x:f>'Datos'!$B$26^3/3</x:f>
        <x:v>0.3333333333333333</x:v>
      </x:c>
      <x:c r="E928" s="46" t="n">
        <x:f>D928*(C928-1)</x:f>
        <x:v>0.5099374016190478</x:v>
      </x:c>
      <x:c r="F928" s="2"/>
      <x:c r="G928" s="2"/>
      <x:c r="H928" s="2"/>
    </x:row>
    <x:row r="929" ht="22" customHeight="1">
      <x:c r="A929" s="2" t="n">
        <x:v>923</x:v>
      </x:c>
      <x:c r="B929" s="79" t="n">
        <x:v>0.3086220208437591</x:v>
      </x:c>
      <x:c r="C929" s="46" t="n">
        <x:f>B929^2</x:f>
        <x:v>0.09524755174968569</x:v>
      </x:c>
      <x:c r="D929" s="47" t="n">
        <x:f>'Datos'!$B$26^3/3</x:f>
        <x:v>0.3333333333333333</x:v>
      </x:c>
      <x:c r="E929" s="46" t="n">
        <x:f>D929*(C929-1)</x:f>
        <x:v>-0.3015841494167714</x:v>
      </x:c>
      <x:c r="F929" s="2"/>
      <x:c r="G929" s="2"/>
      <x:c r="H929" s="2"/>
    </x:row>
    <x:row r="930" ht="22" customHeight="1">
      <x:c r="A930" s="2" t="n">
        <x:v>924</x:v>
      </x:c>
      <x:c r="B930" s="79" t="n">
        <x:v>-0.7737371377408231</x:v>
      </x:c>
      <x:c r="C930" s="46" t="n">
        <x:f>B930^2</x:f>
        <x:v>0.5986691583193614</x:v>
      </x:c>
      <x:c r="D930" s="47" t="n">
        <x:f>'Datos'!$B$26^3/3</x:f>
        <x:v>0.3333333333333333</x:v>
      </x:c>
      <x:c r="E930" s="46" t="n">
        <x:f>D930*(C930-1)</x:f>
        <x:v>-0.13377694722687952</x:v>
      </x:c>
      <x:c r="F930" s="2"/>
      <x:c r="G930" s="2"/>
      <x:c r="H930" s="2"/>
    </x:row>
    <x:row r="931" ht="22" customHeight="1">
      <x:c r="A931" s="2" t="n">
        <x:v>925</x:v>
      </x:c>
      <x:c r="B931" s="79" t="n">
        <x:v>0.5057019034992251</x:v>
      </x:c>
      <x:c r="C931" s="46" t="n">
        <x:f>B931^2</x:f>
        <x:v>0.25573441520273954</x:v>
      </x:c>
      <x:c r="D931" s="47" t="n">
        <x:f>'Datos'!$B$26^3/3</x:f>
        <x:v>0.3333333333333333</x:v>
      </x:c>
      <x:c r="E931" s="46" t="n">
        <x:f>D931*(C931-1)</x:f>
        <x:v>-0.24808852826575348</x:v>
      </x:c>
      <x:c r="F931" s="2"/>
      <x:c r="G931" s="2"/>
      <x:c r="H931" s="2"/>
    </x:row>
    <x:row r="932" ht="22" customHeight="1">
      <x:c r="A932" s="2" t="n">
        <x:v>926</x:v>
      </x:c>
      <x:c r="B932" s="79" t="n">
        <x:v>1.9555073800662106</x:v>
      </x:c>
      <x:c r="C932" s="46" t="n">
        <x:f>B932^2</x:f>
        <x:v>3.824009113493415</x:v>
      </x:c>
      <x:c r="D932" s="47" t="n">
        <x:f>'Datos'!$B$26^3/3</x:f>
        <x:v>0.3333333333333333</x:v>
      </x:c>
      <x:c r="E932" s="46" t="n">
        <x:f>D932*(C932-1)</x:f>
        <x:v>0.9413363711644716</x:v>
      </x:c>
      <x:c r="F932" s="2"/>
      <x:c r="G932" s="2"/>
      <x:c r="H932" s="2"/>
    </x:row>
    <x:row r="933" ht="22" customHeight="1">
      <x:c r="A933" s="2" t="n">
        <x:v>927</x:v>
      </x:c>
      <x:c r="B933" s="79" t="n">
        <x:v>0.12415564326074895</x:v>
      </x:c>
      <x:c r="C933" s="46" t="n">
        <x:f>B933^2</x:f>
        <x:v>0.015414623753490356</x:v>
      </x:c>
      <x:c r="D933" s="47" t="n">
        <x:f>'Datos'!$B$26^3/3</x:f>
        <x:v>0.3333333333333333</x:v>
      </x:c>
      <x:c r="E933" s="46" t="n">
        <x:f>D933*(C933-1)</x:f>
        <x:v>-0.3281951254155032</x:v>
      </x:c>
      <x:c r="F933" s="2"/>
      <x:c r="G933" s="2"/>
      <x:c r="H933" s="2"/>
    </x:row>
    <x:row r="934" ht="22" customHeight="1">
      <x:c r="A934" s="2" t="n">
        <x:v>928</x:v>
      </x:c>
      <x:c r="B934" s="79" t="n">
        <x:v>0.9507472369675182</x:v>
      </x:c>
      <x:c r="C934" s="46" t="n">
        <x:f>B934^2</x:f>
        <x:v>0.9039203086013702</x:v>
      </x:c>
      <x:c r="D934" s="47" t="n">
        <x:f>'Datos'!$B$26^3/3</x:f>
        <x:v>0.3333333333333333</x:v>
      </x:c>
      <x:c r="E934" s="46" t="n">
        <x:f>D934*(C934-1)</x:f>
        <x:v>-0.03202656379954327</x:v>
      </x:c>
      <x:c r="F934" s="2"/>
      <x:c r="G934" s="2"/>
      <x:c r="H934" s="2"/>
    </x:row>
    <x:row r="935" ht="22" customHeight="1">
      <x:c r="A935" s="2" t="n">
        <x:v>929</x:v>
      </x:c>
      <x:c r="B935" s="79" t="n">
        <x:v>-0.1765666796349115</x:v>
      </x:c>
      <x:c r="C935" s="46" t="n">
        <x:f>B935^2</x:f>
        <x:v>0.031175792357297467</x:v>
      </x:c>
      <x:c r="D935" s="47" t="n">
        <x:f>'Datos'!$B$26^3/3</x:f>
        <x:v>0.3333333333333333</x:v>
      </x:c>
      <x:c r="E935" s="46" t="n">
        <x:f>D935*(C935-1)</x:f>
        <x:v>-0.3229414025475675</x:v>
      </x:c>
      <x:c r="F935" s="2"/>
      <x:c r="G935" s="2"/>
      <x:c r="H935" s="2"/>
    </x:row>
    <x:row r="936" ht="22" customHeight="1">
      <x:c r="A936" s="2" t="n">
        <x:v>930</x:v>
      </x:c>
      <x:c r="B936" s="79" t="n">
        <x:v>0.2648509804396917</x:v>
      </x:c>
      <x:c r="C936" s="46" t="n">
        <x:f>B936^2</x:f>
        <x:v>0.07014604183986595</x:v>
      </x:c>
      <x:c r="D936" s="47" t="n">
        <x:f>'Datos'!$B$26^3/3</x:f>
        <x:v>0.3333333333333333</x:v>
      </x:c>
      <x:c r="E936" s="46" t="n">
        <x:f>D936*(C936-1)</x:f>
        <x:v>-0.30995131938671133</x:v>
      </x:c>
      <x:c r="F936" s="2"/>
      <x:c r="G936" s="2"/>
      <x:c r="H936" s="2"/>
    </x:row>
    <x:row r="937" ht="22" customHeight="1">
      <x:c r="A937" s="2" t="n">
        <x:v>931</x:v>
      </x:c>
      <x:c r="B937" s="79" t="n">
        <x:v>0.9743950559666377</x:v>
      </x:c>
      <x:c r="C937" s="46" t="n">
        <x:f>B937^2</x:f>
        <x:v>0.9494457250922269</x:v>
      </x:c>
      <x:c r="D937" s="47" t="n">
        <x:f>'Datos'!$B$26^3/3</x:f>
        <x:v>0.3333333333333333</x:v>
      </x:c>
      <x:c r="E937" s="46" t="n">
        <x:f>D937*(C937-1)</x:f>
        <x:v>-0.016851424969257695</x:v>
      </x:c>
      <x:c r="F937" s="2"/>
      <x:c r="G937" s="2"/>
      <x:c r="H937" s="2"/>
    </x:row>
    <x:row r="938" ht="22" customHeight="1">
      <x:c r="A938" s="2" t="n">
        <x:v>932</x:v>
      </x:c>
      <x:c r="B938" s="79" t="n">
        <x:v>1.7746948413956487</x:v>
      </x:c>
      <x:c r="C938" s="46" t="n">
        <x:f>B938^2</x:f>
        <x:v>3.149541780076327</x:v>
      </x:c>
      <x:c r="D938" s="47" t="n">
        <x:f>'Datos'!$B$26^3/3</x:f>
        <x:v>0.3333333333333333</x:v>
      </x:c>
      <x:c r="E938" s="46" t="n">
        <x:f>D938*(C938-1)</x:f>
        <x:v>0.7165139266921089</x:v>
      </x:c>
      <x:c r="F938" s="2"/>
      <x:c r="G938" s="2"/>
      <x:c r="H938" s="2"/>
    </x:row>
    <x:row r="939" ht="22" customHeight="1">
      <x:c r="A939" s="2" t="n">
        <x:v>933</x:v>
      </x:c>
      <x:c r="B939" s="79" t="n">
        <x:v>0.3386211699674276</x:v>
      </x:c>
      <x:c r="C939" s="46" t="n">
        <x:f>B939^2</x:f>
        <x:v>0.11466429675010947</x:v>
      </x:c>
      <x:c r="D939" s="47" t="n">
        <x:f>'Datos'!$B$26^3/3</x:f>
        <x:v>0.3333333333333333</x:v>
      </x:c>
      <x:c r="E939" s="46" t="n">
        <x:f>D939*(C939-1)</x:f>
        <x:v>-0.2951119010832968</x:v>
      </x:c>
      <x:c r="F939" s="2"/>
      <x:c r="G939" s="2"/>
      <x:c r="H939" s="2"/>
    </x:row>
    <x:row r="940" ht="22" customHeight="1">
      <x:c r="A940" s="2" t="n">
        <x:v>934</x:v>
      </x:c>
      <x:c r="B940" s="79" t="n">
        <x:v>-0.6057069791386137</x:v>
      </x:c>
      <x:c r="C940" s="46" t="n">
        <x:f>B940^2</x:f>
        <x:v>0.36688094457722503</x:v>
      </x:c>
      <x:c r="D940" s="47" t="n">
        <x:f>'Datos'!$B$26^3/3</x:f>
        <x:v>0.3333333333333333</x:v>
      </x:c>
      <x:c r="E940" s="46" t="n">
        <x:f>D940*(C940-1)</x:f>
        <x:v>-0.211039685140925</x:v>
      </x:c>
      <x:c r="F940" s="2"/>
      <x:c r="G940" s="2"/>
      <x:c r="H940" s="2"/>
    </x:row>
    <x:row r="941" ht="22" customHeight="1">
      <x:c r="A941" s="2" t="n">
        <x:v>935</x:v>
      </x:c>
      <x:c r="B941" s="79" t="n">
        <x:v>0.45516553025212264</x:v>
      </x:c>
      <x:c r="C941" s="46" t="n">
        <x:f>B941^2</x:f>
        <x:v>0.20717565992969597</x:v>
      </x:c>
      <x:c r="D941" s="47" t="n">
        <x:f>'Datos'!$B$26^3/3</x:f>
        <x:v>0.3333333333333333</x:v>
      </x:c>
      <x:c r="E941" s="46" t="n">
        <x:f>D941*(C941-1)</x:f>
        <x:v>-0.26427478002343463</x:v>
      </x:c>
      <x:c r="F941" s="2"/>
      <x:c r="G941" s="2"/>
      <x:c r="H941" s="2"/>
    </x:row>
    <x:row r="942" ht="22" customHeight="1">
      <x:c r="A942" s="2" t="n">
        <x:v>936</x:v>
      </x:c>
      <x:c r="B942" s="79" t="n">
        <x:v>1.157089588730054</x:v>
      </x:c>
      <x:c r="C942" s="46" t="n">
        <x:f>B942^2</x:f>
        <x:v>1.3388563163474856</x:v>
      </x:c>
      <x:c r="D942" s="47" t="n">
        <x:f>'Datos'!$B$26^3/3</x:f>
        <x:v>0.3333333333333333</x:v>
      </x:c>
      <x:c r="E942" s="46" t="n">
        <x:f>D942*(C942-1)</x:f>
        <x:v>0.11295210544916186</x:v>
      </x:c>
      <x:c r="F942" s="2"/>
      <x:c r="G942" s="2"/>
      <x:c r="H942" s="2"/>
    </x:row>
    <x:row r="943" ht="22" customHeight="1">
      <x:c r="A943" s="2" t="n">
        <x:v>937</x:v>
      </x:c>
      <x:c r="B943" s="79" t="n">
        <x:v>-0.27169804540210074</x:v>
      </x:c>
      <x:c r="C943" s="46" t="n">
        <x:f>B943^2</x:f>
        <x:v>0.073819827875322</x:v>
      </x:c>
      <x:c r="D943" s="47" t="n">
        <x:f>'Datos'!$B$26^3/3</x:f>
        <x:v>0.3333333333333333</x:v>
      </x:c>
      <x:c r="E943" s="46" t="n">
        <x:f>D943*(C943-1)</x:f>
        <x:v>-0.3087267240415593</x:v>
      </x:c>
      <x:c r="F943" s="2"/>
      <x:c r="G943" s="2"/>
      <x:c r="H943" s="2"/>
    </x:row>
    <x:row r="944" ht="22" customHeight="1">
      <x:c r="A944" s="2" t="n">
        <x:v>938</x:v>
      </x:c>
      <x:c r="B944" s="79" t="n">
        <x:v>0.13748548391956916</x:v>
      </x:c>
      <x:c r="C944" s="46" t="n">
        <x:f>B944^2</x:f>
        <x:v>0.018902258288598112</x:v>
      </x:c>
      <x:c r="D944" s="47" t="n">
        <x:f>'Datos'!$B$26^3/3</x:f>
        <x:v>0.3333333333333333</x:v>
      </x:c>
      <x:c r="E944" s="46" t="n">
        <x:f>D944*(C944-1)</x:f>
        <x:v>-0.32703258057046725</x:v>
      </x:c>
      <x:c r="F944" s="2"/>
      <x:c r="G944" s="2"/>
      <x:c r="H944" s="2"/>
    </x:row>
    <x:row r="945" ht="22" customHeight="1">
      <x:c r="A945" s="2" t="n">
        <x:v>939</x:v>
      </x:c>
      <x:c r="B945" s="79" t="n">
        <x:v>-0.3998527309776104</x:v>
      </x:c>
      <x:c r="C945" s="46" t="n">
        <x:f>B945^2</x:f>
        <x:v>0.1598822064702533</x:v>
      </x:c>
      <x:c r="D945" s="47" t="n">
        <x:f>'Datos'!$B$26^3/3</x:f>
        <x:v>0.3333333333333333</x:v>
      </x:c>
      <x:c r="E945" s="46" t="n">
        <x:f>D945*(C945-1)</x:f>
        <x:v>-0.28003926450991556</x:v>
      </x:c>
      <x:c r="F945" s="2"/>
      <x:c r="G945" s="2"/>
      <x:c r="H945" s="2"/>
    </x:row>
    <x:row r="946" ht="22" customHeight="1">
      <x:c r="A946" s="2" t="n">
        <x:v>940</x:v>
      </x:c>
      <x:c r="B946" s="79" t="n">
        <x:v>-2.1754388315027047</x:v>
      </x:c>
      <x:c r="C946" s="46" t="n">
        <x:f>B946^2</x:f>
        <x:v>4.732534109609853</x:v>
      </x:c>
      <x:c r="D946" s="47" t="n">
        <x:f>'Datos'!$B$26^3/3</x:f>
        <x:v>0.3333333333333333</x:v>
      </x:c>
      <x:c r="E946" s="46" t="n">
        <x:f>D946*(C946-1)</x:f>
        <x:v>1.2441780365366175</x:v>
      </x:c>
      <x:c r="F946" s="2"/>
      <x:c r="G946" s="2"/>
      <x:c r="H946" s="2"/>
    </x:row>
    <x:row r="947" ht="22" customHeight="1">
      <x:c r="A947" s="2" t="n">
        <x:v>941</x:v>
      </x:c>
      <x:c r="B947" s="79" t="n">
        <x:v>-0.794801885306775</x:v>
      </x:c>
      <x:c r="C947" s="46" t="n">
        <x:f>B947^2</x:f>
        <x:v>0.6317100368872038</x:v>
      </x:c>
      <x:c r="D947" s="47" t="n">
        <x:f>'Datos'!$B$26^3/3</x:f>
        <x:v>0.3333333333333333</x:v>
      </x:c>
      <x:c r="E947" s="46" t="n">
        <x:f>D947*(C947-1)</x:f>
        <x:v>-0.12276332103759871</x:v>
      </x:c>
      <x:c r="F947" s="2"/>
      <x:c r="G947" s="2"/>
      <x:c r="H947" s="2"/>
    </x:row>
    <x:row r="948" ht="22" customHeight="1">
      <x:c r="A948" s="2" t="n">
        <x:v>942</x:v>
      </x:c>
      <x:c r="B948" s="79" t="n">
        <x:v>0.6630859965353137</x:v>
      </x:c>
      <x:c r="C948" s="46" t="n">
        <x:f>B948^2</x:f>
        <x:v>0.4396830388012301</x:v>
      </x:c>
      <x:c r="D948" s="47" t="n">
        <x:f>'Datos'!$B$26^3/3</x:f>
        <x:v>0.3333333333333333</x:v>
      </x:c>
      <x:c r="E948" s="46" t="n">
        <x:f>D948*(C948-1)</x:f>
        <x:v>-0.18677232039958996</x:v>
      </x:c>
      <x:c r="F948" s="2"/>
      <x:c r="G948" s="2"/>
      <x:c r="H948" s="2"/>
    </x:row>
    <x:row r="949" ht="22" customHeight="1">
      <x:c r="A949" s="2" t="n">
        <x:v>943</x:v>
      </x:c>
      <x:c r="B949" s="79" t="n">
        <x:v>-0.822470853009231</x:v>
      </x:c>
      <x:c r="C949" s="46" t="n">
        <x:f>B949^2</x:f>
        <x:v>0.676458304049732</x:v>
      </x:c>
      <x:c r="D949" s="47" t="n">
        <x:f>'Datos'!$B$26^3/3</x:f>
        <x:v>0.3333333333333333</x:v>
      </x:c>
      <x:c r="E949" s="46" t="n">
        <x:f>D949*(C949-1)</x:f>
        <x:v>-0.10784723198342268</x:v>
      </x:c>
      <x:c r="F949" s="2"/>
      <x:c r="G949" s="2"/>
      <x:c r="H949" s="2"/>
    </x:row>
    <x:row r="950" ht="22" customHeight="1">
      <x:c r="A950" s="2" t="n">
        <x:v>944</x:v>
      </x:c>
      <x:c r="B950" s="79" t="n">
        <x:v>-1.5522458748291925</x:v>
      </x:c>
      <x:c r="C950" s="46" t="n">
        <x:f>B950^2</x:f>
        <x:v>2.409467255924245</x:v>
      </x:c>
      <x:c r="D950" s="47" t="n">
        <x:f>'Datos'!$B$26^3/3</x:f>
        <x:v>0.3333333333333333</x:v>
      </x:c>
      <x:c r="E950" s="46" t="n">
        <x:f>D950*(C950-1)</x:f>
        <x:v>0.46982241864141505</x:v>
      </x:c>
      <x:c r="F950" s="2"/>
      <x:c r="G950" s="2"/>
      <x:c r="H950" s="2"/>
    </x:row>
    <x:row r="951" ht="22" customHeight="1">
      <x:c r="A951" s="2" t="n">
        <x:v>945</x:v>
      </x:c>
      <x:c r="B951" s="79" t="n">
        <x:v>-0.7982833096046266</x:v>
      </x:c>
      <x:c r="C951" s="46" t="n">
        <x:f>B951^2</x:f>
        <x:v>0.6372562423933161</x:v>
      </x:c>
      <x:c r="D951" s="47" t="n">
        <x:f>'Datos'!$B$26^3/3</x:f>
        <x:v>0.3333333333333333</x:v>
      </x:c>
      <x:c r="E951" s="46" t="n">
        <x:f>D951*(C951-1)</x:f>
        <x:v>-0.12091458586889461</x:v>
      </x:c>
      <x:c r="F951" s="2"/>
      <x:c r="G951" s="2"/>
      <x:c r="H951" s="2"/>
    </x:row>
    <x:row r="952" ht="22" customHeight="1">
      <x:c r="A952" s="2" t="n">
        <x:v>946</x:v>
      </x:c>
      <x:c r="B952" s="79" t="n">
        <x:v>0.2890711934658788</x:v>
      </x:c>
      <x:c r="C952" s="46" t="n">
        <x:f>B952^2</x:f>
        <x:v>0.08356215489178752</x:v>
      </x:c>
      <x:c r="D952" s="47" t="n">
        <x:f>'Datos'!$B$26^3/3</x:f>
        <x:v>0.3333333333333333</x:v>
      </x:c>
      <x:c r="E952" s="46" t="n">
        <x:f>D952*(C952-1)</x:f>
        <x:v>-0.30547928170273747</x:v>
      </x:c>
      <x:c r="F952" s="2"/>
      <x:c r="G952" s="2"/>
      <x:c r="H952" s="2"/>
    </x:row>
    <x:row r="953" ht="22" customHeight="1">
      <x:c r="A953" s="2" t="n">
        <x:v>947</x:v>
      </x:c>
      <x:c r="B953" s="79" t="n">
        <x:v>-0.07479400212300098</x:v>
      </x:c>
      <x:c r="C953" s="46" t="n">
        <x:f>B953^2</x:f>
        <x:v>0.005594142753575475</x:v>
      </x:c>
      <x:c r="D953" s="47" t="n">
        <x:f>'Datos'!$B$26^3/3</x:f>
        <x:v>0.3333333333333333</x:v>
      </x:c>
      <x:c r="E953" s="46" t="n">
        <x:f>D953*(C953-1)</x:f>
        <x:v>-0.3314686190821415</x:v>
      </x:c>
      <x:c r="F953" s="2"/>
      <x:c r="G953" s="2"/>
      <x:c r="H953" s="2"/>
    </x:row>
    <x:row r="954" ht="22" customHeight="1">
      <x:c r="A954" s="2" t="n">
        <x:v>948</x:v>
      </x:c>
      <x:c r="B954" s="79" t="n">
        <x:v>-0.5254422261856426</x:v>
      </x:c>
      <x:c r="C954" s="46" t="n">
        <x:f>B954^2</x:f>
        <x:v>0.27608953305892403</x:v>
      </x:c>
      <x:c r="D954" s="47" t="n">
        <x:f>'Datos'!$B$26^3/3</x:f>
        <x:v>0.3333333333333333</x:v>
      </x:c>
      <x:c r="E954" s="46" t="n">
        <x:f>D954*(C954-1)</x:f>
        <x:v>-0.24130348898035864</x:v>
      </x:c>
      <x:c r="F954" s="2"/>
      <x:c r="G954" s="2"/>
      <x:c r="H954" s="2"/>
    </x:row>
    <x:row r="955" ht="22" customHeight="1">
      <x:c r="A955" s="2" t="n">
        <x:v>949</x:v>
      </x:c>
      <x:c r="B955" s="79" t="n">
        <x:v>1.0698470266482158</x:v>
      </x:c>
      <x:c r="C955" s="46" t="n">
        <x:f>B955^2</x:f>
        <x:v>1.1445726604280282</x:v>
      </x:c>
      <x:c r="D955" s="47" t="n">
        <x:f>'Datos'!$B$26^3/3</x:f>
        <x:v>0.3333333333333333</x:v>
      </x:c>
      <x:c r="E955" s="46" t="n">
        <x:f>D955*(C955-1)</x:f>
        <x:v>0.04819088680934273</x:v>
      </x:c>
      <x:c r="F955" s="2"/>
      <x:c r="G955" s="2"/>
      <x:c r="H955" s="2"/>
    </x:row>
    <x:row r="956" ht="22" customHeight="1">
      <x:c r="A956" s="2" t="n">
        <x:v>950</x:v>
      </x:c>
      <x:c r="B956" s="79" t="n">
        <x:v>0.19491042202504347</x:v>
      </x:c>
      <x:c r="C956" s="46" t="n">
        <x:f>B956^2</x:f>
        <x:v>0.03799007261398055</x:v>
      </x:c>
      <x:c r="D956" s="47" t="n">
        <x:f>'Datos'!$B$26^3/3</x:f>
        <x:v>0.3333333333333333</x:v>
      </x:c>
      <x:c r="E956" s="46" t="n">
        <x:f>D956*(C956-1)</x:f>
        <x:v>-0.3206699757953398</x:v>
      </x:c>
      <x:c r="F956" s="2"/>
      <x:c r="G956" s="2"/>
      <x:c r="H956" s="2"/>
    </x:row>
    <x:row r="957" ht="22" customHeight="1">
      <x:c r="A957" s="2" t="n">
        <x:v>951</x:v>
      </x:c>
      <x:c r="B957" s="79" t="n">
        <x:v>-1.7077022099020147</x:v>
      </x:c>
      <x:c r="C957" s="46" t="n">
        <x:f>B957^2</x:f>
        <x:v>2.9162468377042248</x:v>
      </x:c>
      <x:c r="D957" s="47" t="n">
        <x:f>'Datos'!$B$26^3/3</x:f>
        <x:v>0.3333333333333333</x:v>
      </x:c>
      <x:c r="E957" s="46" t="n">
        <x:f>D957*(C957-1)</x:f>
        <x:v>0.6387489459014082</x:v>
      </x:c>
      <x:c r="F957" s="2"/>
      <x:c r="G957" s="2"/>
      <x:c r="H957" s="2"/>
    </x:row>
    <x:row r="958" ht="22" customHeight="1">
      <x:c r="A958" s="2" t="n">
        <x:v>952</x:v>
      </x:c>
      <x:c r="B958" s="79" t="n">
        <x:v>-0.7874580472518451</x:v>
      </x:c>
      <x:c r="C958" s="46" t="n">
        <x:f>B958^2</x:f>
        <x:v>0.6200901761816892</x:v>
      </x:c>
      <x:c r="D958" s="47" t="n">
        <x:f>'Datos'!$B$26^3/3</x:f>
        <x:v>0.3333333333333333</x:v>
      </x:c>
      <x:c r="E958" s="46" t="n">
        <x:f>D958*(C958-1)</x:f>
        <x:v>-0.12663660793943693</x:v>
      </x:c>
      <x:c r="F958" s="2"/>
      <x:c r="G958" s="2"/>
      <x:c r="H958" s="2"/>
    </x:row>
    <x:row r="959" ht="22" customHeight="1">
      <x:c r="A959" s="2" t="n">
        <x:v>953</x:v>
      </x:c>
      <x:c r="B959" s="79" t="n">
        <x:v>0.2998655819288594</x:v>
      </x:c>
      <x:c r="C959" s="46" t="n">
        <x:f>B959^2</x:f>
        <x:v>0.08991936722553351</x:v>
      </x:c>
      <x:c r="D959" s="47" t="n">
        <x:f>'Datos'!$B$26^3/3</x:f>
        <x:v>0.3333333333333333</x:v>
      </x:c>
      <x:c r="E959" s="46" t="n">
        <x:f>D959*(C959-1)</x:f>
        <x:v>-0.3033602109248221</x:v>
      </x:c>
      <x:c r="F959" s="2"/>
      <x:c r="G959" s="2"/>
      <x:c r="H959" s="2"/>
    </x:row>
    <x:row r="960" ht="22" customHeight="1">
      <x:c r="A960" s="2" t="n">
        <x:v>954</x:v>
      </x:c>
      <x:c r="B960" s="79" t="n">
        <x:v>0.5264046937705634</x:v>
      </x:c>
      <x:c r="C960" s="46" t="n">
        <x:f>B960^2</x:f>
        <x:v>0.27710190162368065</x:v>
      </x:c>
      <x:c r="D960" s="47" t="n">
        <x:f>'Datos'!$B$26^3/3</x:f>
        <x:v>0.3333333333333333</x:v>
      </x:c>
      <x:c r="E960" s="46" t="n">
        <x:f>D960*(C960-1)</x:f>
        <x:v>-0.24096603279210643</x:v>
      </x:c>
      <x:c r="F960" s="2"/>
      <x:c r="G960" s="2"/>
      <x:c r="H960" s="2"/>
    </x:row>
    <x:row r="961" ht="22" customHeight="1">
      <x:c r="A961" s="2" t="n">
        <x:v>955</x:v>
      </x:c>
      <x:c r="B961" s="79" t="n">
        <x:v>0.6983456588850337</x:v>
      </x:c>
      <x:c r="C961" s="46" t="n">
        <x:f>B961^2</x:f>
        <x:v>0.4876866592835719</x:v>
      </x:c>
      <x:c r="D961" s="47" t="n">
        <x:f>'Datos'!$B$26^3/3</x:f>
        <x:v>0.3333333333333333</x:v>
      </x:c>
      <x:c r="E961" s="46" t="n">
        <x:f>D961*(C961-1)</x:f>
        <x:v>-0.1707711135721427</x:v>
      </x:c>
      <x:c r="F961" s="2"/>
      <x:c r="G961" s="2"/>
      <x:c r="H961" s="2"/>
    </x:row>
    <x:row r="962" ht="22" customHeight="1">
      <x:c r="A962" s="2" t="n">
        <x:v>956</x:v>
      </x:c>
      <x:c r="B962" s="79" t="n">
        <x:v>-0.45278658801071753</x:v>
      </x:c>
      <x:c r="C962" s="46" t="n">
        <x:f>B962^2</x:f>
        <x:v>0.20501569428238725</x:v>
      </x:c>
      <x:c r="D962" s="47" t="n">
        <x:f>'Datos'!$B$26^3/3</x:f>
        <x:v>0.3333333333333333</x:v>
      </x:c>
      <x:c r="E962" s="46" t="n">
        <x:f>D962*(C962-1)</x:f>
        <x:v>-0.26499476857253756</x:v>
      </x:c>
      <x:c r="F962" s="2"/>
      <x:c r="G962" s="2"/>
      <x:c r="H962" s="2"/>
    </x:row>
    <x:row r="963" ht="22" customHeight="1">
      <x:c r="A963" s="2" t="n">
        <x:v>957</x:v>
      </x:c>
      <x:c r="B963" s="79" t="n">
        <x:v>0.31850161728068954</x:v>
      </x:c>
      <x:c r="C963" s="46" t="n">
        <x:f>B963^2</x:f>
        <x:v>0.10144328021041484</x:v>
      </x:c>
      <x:c r="D963" s="47" t="n">
        <x:f>'Datos'!$B$26^3/3</x:f>
        <x:v>0.3333333333333333</x:v>
      </x:c>
      <x:c r="E963" s="46" t="n">
        <x:f>D963*(C963-1)</x:f>
        <x:v>-0.29951890659652836</x:v>
      </x:c>
      <x:c r="F963" s="2"/>
      <x:c r="G963" s="2"/>
      <x:c r="H963" s="2"/>
    </x:row>
    <x:row r="964" ht="22" customHeight="1">
      <x:c r="A964" s="2" t="n">
        <x:v>958</x:v>
      </x:c>
      <x:c r="B964" s="79" t="n">
        <x:v>-1.0994743941376204</x:v>
      </x:c>
      <x:c r="C964" s="46" t="n">
        <x:f>B964^2</x:f>
        <x:v>1.2088439433642875</x:v>
      </x:c>
      <x:c r="D964" s="47" t="n">
        <x:f>'Datos'!$B$26^3/3</x:f>
        <x:v>0.3333333333333333</x:v>
      </x:c>
      <x:c r="E964" s="46" t="n">
        <x:f>D964*(C964-1)</x:f>
        <x:v>0.06961464778809581</x:v>
      </x:c>
      <x:c r="F964" s="2"/>
      <x:c r="G964" s="2"/>
      <x:c r="H964" s="2"/>
    </x:row>
    <x:row r="965" ht="22" customHeight="1">
      <x:c r="A965" s="2" t="n">
        <x:v>959</x:v>
      </x:c>
      <x:c r="B965" s="79" t="n">
        <x:v>-0.6402078244212779</x:v>
      </x:c>
      <x:c r="C965" s="46" t="n">
        <x:f>B965^2</x:f>
        <x:v>0.4098660584502258</x:v>
      </x:c>
      <x:c r="D965" s="47" t="n">
        <x:f>'Datos'!$B$26^3/3</x:f>
        <x:v>0.3333333333333333</x:v>
      </x:c>
      <x:c r="E965" s="46" t="n">
        <x:f>D965*(C965-1)</x:f>
        <x:v>-0.1967113138499247</x:v>
      </x:c>
      <x:c r="F965" s="2"/>
      <x:c r="G965" s="2"/>
      <x:c r="H965" s="2"/>
    </x:row>
    <x:row r="966" ht="22" customHeight="1">
      <x:c r="A966" s="2" t="n">
        <x:v>960</x:v>
      </x:c>
      <x:c r="B966" s="79" t="n">
        <x:v>0.037085424771856314</x:v>
      </x:c>
      <x:c r="C966" s="46" t="n">
        <x:f>B966^2</x:f>
        <x:v>0.0013753287305090138</x:v>
      </x:c>
      <x:c r="D966" s="47" t="n">
        <x:f>'Datos'!$B$26^3/3</x:f>
        <x:v>0.3333333333333333</x:v>
      </x:c>
      <x:c r="E966" s="46" t="n">
        <x:f>D966*(C966-1)</x:f>
        <x:v>-0.33287489042316365</x:v>
      </x:c>
      <x:c r="F966" s="2"/>
      <x:c r="G966" s="2"/>
      <x:c r="H966" s="2"/>
    </x:row>
    <x:row r="967" ht="22" customHeight="1">
      <x:c r="A967" s="2" t="n">
        <x:v>961</x:v>
      </x:c>
      <x:c r="B967" s="79" t="n">
        <x:v>0.9946522096562789</x:v>
      </x:c>
      <x:c r="C967" s="46" t="n">
        <x:f>B967^2</x:f>
        <x:v>0.9893330181741181</x:v>
      </x:c>
      <x:c r="D967" s="47" t="n">
        <x:f>'Datos'!$B$26^3/3</x:f>
        <x:v>0.3333333333333333</x:v>
      </x:c>
      <x:c r="E967" s="46" t="n">
        <x:f>D967*(C967-1)</x:f>
        <x:v>-0.003555660608627294</x:v>
      </x:c>
      <x:c r="F967" s="2"/>
      <x:c r="G967" s="2"/>
      <x:c r="H967" s="2"/>
    </x:row>
    <x:row r="968" ht="22" customHeight="1">
      <x:c r="A968" s="2" t="n">
        <x:v>962</x:v>
      </x:c>
      <x:c r="B968" s="79" t="n">
        <x:v>0.5174613797800912</x:v>
      </x:c>
      <x:c r="C968" s="46" t="n">
        <x:f>B968^2</x:f>
        <x:v>0.2677662795639158</x:v>
      </x:c>
      <x:c r="D968" s="47" t="n">
        <x:f>'Datos'!$B$26^3/3</x:f>
        <x:v>0.3333333333333333</x:v>
      </x:c>
      <x:c r="E968" s="46" t="n">
        <x:f>D968*(C968-1)</x:f>
        <x:v>-0.24407790681202807</x:v>
      </x:c>
      <x:c r="F968" s="2"/>
      <x:c r="G968" s="2"/>
      <x:c r="H968" s="2"/>
    </x:row>
    <x:row r="969" ht="22" customHeight="1">
      <x:c r="A969" s="2" t="n">
        <x:v>963</x:v>
      </x:c>
      <x:c r="B969" s="79" t="n">
        <x:v>0.14357140760334322</x:v>
      </x:c>
      <x:c r="C969" s="46" t="n">
        <x:f>B969^2</x:f>
        <x:v>0.02061274908120532</x:v>
      </x:c>
      <x:c r="D969" s="47" t="n">
        <x:f>'Datos'!$B$26^3/3</x:f>
        <x:v>0.3333333333333333</x:v>
      </x:c>
      <x:c r="E969" s="46" t="n">
        <x:f>D969*(C969-1)</x:f>
        <x:v>-0.32646241697293155</x:v>
      </x:c>
      <x:c r="F969" s="2"/>
      <x:c r="G969" s="2"/>
      <x:c r="H969" s="2"/>
    </x:row>
    <x:row r="970" ht="22" customHeight="1">
      <x:c r="A970" s="2" t="n">
        <x:v>964</x:v>
      </x:c>
      <x:c r="B970" s="79" t="n">
        <x:v>-0.16834385133877725</x:v>
      </x:c>
      <x:c r="C970" s="46" t="n">
        <x:f>B970^2</x:f>
        <x:v>0.028339652283572332</x:v>
      </x:c>
      <x:c r="D970" s="47" t="n">
        <x:f>'Datos'!$B$26^3/3</x:f>
        <x:v>0.3333333333333333</x:v>
      </x:c>
      <x:c r="E970" s="46" t="n">
        <x:f>D970*(C970-1)</x:f>
        <x:v>-0.32388678257214254</x:v>
      </x:c>
      <x:c r="F970" s="2"/>
      <x:c r="G970" s="2"/>
      <x:c r="H970" s="2"/>
    </x:row>
    <x:row r="971" ht="22" customHeight="1">
      <x:c r="A971" s="2" t="n">
        <x:v>965</x:v>
      </x:c>
      <x:c r="B971" s="79" t="n">
        <x:v>0.000338128028869493</x:v>
      </x:c>
      <x:c r="C971" s="46" t="n">
        <x:f>B971^2</x:f>
        <x:v>1.1433056390716868e-7</x:v>
      </x:c>
      <x:c r="D971" s="47" t="n">
        <x:f>'Datos'!$B$26^3/3</x:f>
        <x:v>0.3333333333333333</x:v>
      </x:c>
      <x:c r="E971" s="46" t="n">
        <x:f>D971*(C971-1)</x:f>
        <x:v>-0.33333329522314536</x:v>
      </x:c>
      <x:c r="F971" s="2"/>
      <x:c r="G971" s="2"/>
      <x:c r="H971" s="2"/>
    </x:row>
    <x:row r="972" ht="22" customHeight="1">
      <x:c r="A972" s="2" t="n">
        <x:v>966</x:v>
      </x:c>
      <x:c r="B972" s="79" t="n">
        <x:v>0.6649459697822655</x:v>
      </x:c>
      <x:c r="C972" s="46" t="n">
        <x:f>B972^2</x:f>
        <x:v>0.44215314272967754</x:v>
      </x:c>
      <x:c r="D972" s="47" t="n">
        <x:f>'Datos'!$B$26^3/3</x:f>
        <x:v>0.3333333333333333</x:v>
      </x:c>
      <x:c r="E972" s="46" t="n">
        <x:f>D972*(C972-1)</x:f>
        <x:v>-0.1859489524234408</x:v>
      </x:c>
      <x:c r="F972" s="2"/>
      <x:c r="G972" s="2"/>
      <x:c r="H972" s="2"/>
    </x:row>
    <x:row r="973" ht="22" customHeight="1">
      <x:c r="A973" s="2" t="n">
        <x:v>967</x:v>
      </x:c>
      <x:c r="B973" s="79" t="n">
        <x:v>0.6400598089724411</x:v>
      </x:c>
      <x:c r="C973" s="46" t="n">
        <x:f>B973^2</x:f>
        <x:v>0.40967655906183775</x:v>
      </x:c>
      <x:c r="D973" s="47" t="n">
        <x:f>'Datos'!$B$26^3/3</x:f>
        <x:v>0.3333333333333333</x:v>
      </x:c>
      <x:c r="E973" s="46" t="n">
        <x:f>D973*(C973-1)</x:f>
        <x:v>-0.19677448031272074</x:v>
      </x:c>
      <x:c r="F973" s="2"/>
      <x:c r="G973" s="2"/>
      <x:c r="H973" s="2"/>
    </x:row>
    <x:row r="974" ht="22" customHeight="1">
      <x:c r="A974" s="2" t="n">
        <x:v>968</x:v>
      </x:c>
      <x:c r="B974" s="79" t="n">
        <x:v>0.4590375976014149</x:v>
      </x:c>
      <x:c r="C974" s="46" t="n">
        <x:f>B974^2</x:f>
        <x:v>0.21071551601167848</x:v>
      </x:c>
      <x:c r="D974" s="47" t="n">
        <x:f>'Datos'!$B$26^3/3</x:f>
        <x:v>0.3333333333333333</x:v>
      </x:c>
      <x:c r="E974" s="46" t="n">
        <x:f>D974*(C974-1)</x:f>
        <x:v>-0.2630948279961072</x:v>
      </x:c>
      <x:c r="F974" s="2"/>
      <x:c r="G974" s="2"/>
      <x:c r="H974" s="2"/>
    </x:row>
    <x:row r="975" ht="22" customHeight="1">
      <x:c r="A975" s="2" t="n">
        <x:v>969</x:v>
      </x:c>
      <x:c r="B975" s="79" t="n">
        <x:v>1.722498827995062</x:v>
      </x:c>
      <x:c r="C975" s="46" t="n">
        <x:f>B975^2</x:f>
        <x:v>2.967002212444362</x:v>
      </x:c>
      <x:c r="D975" s="47" t="n">
        <x:f>'Datos'!$B$26^3/3</x:f>
        <x:v>0.3333333333333333</x:v>
      </x:c>
      <x:c r="E975" s="46" t="n">
        <x:f>D975*(C975-1)</x:f>
        <x:v>0.6556674041481206</x:v>
      </x:c>
      <x:c r="F975" s="2"/>
      <x:c r="G975" s="2"/>
      <x:c r="H975" s="2"/>
    </x:row>
    <x:row r="976" ht="22" customHeight="1">
      <x:c r="A976" s="2" t="n">
        <x:v>970</x:v>
      </x:c>
      <x:c r="B976" s="79" t="n">
        <x:v>1.5975780156863513</x:v>
      </x:c>
      <x:c r="C976" s="46" t="n">
        <x:f>B976^2</x:f>
        <x:v>2.5522555162043394</x:v>
      </x:c>
      <x:c r="D976" s="47" t="n">
        <x:f>'Datos'!$B$26^3/3</x:f>
        <x:v>0.3333333333333333</x:v>
      </x:c>
      <x:c r="E976" s="46" t="n">
        <x:f>D976*(C976-1)</x:f>
        <x:v>0.5174185054014464</x:v>
      </x:c>
      <x:c r="F976" s="2"/>
      <x:c r="G976" s="2"/>
      <x:c r="H976" s="2"/>
    </x:row>
    <x:row r="977" ht="22" customHeight="1">
      <x:c r="A977" s="2" t="n">
        <x:v>971</x:v>
      </x:c>
      <x:c r="B977" s="79" t="n">
        <x:v>1.1166400598309787</x:v>
      </x:c>
      <x:c r="C977" s="46" t="n">
        <x:f>B977^2</x:f>
        <x:v>1.2468850232193316</x:v>
      </x:c>
      <x:c r="D977" s="47" t="n">
        <x:f>'Datos'!$B$26^3/3</x:f>
        <x:v>0.3333333333333333</x:v>
      </x:c>
      <x:c r="E977" s="46" t="n">
        <x:f>D977*(C977-1)</x:f>
        <x:v>0.08229500773977719</x:v>
      </x:c>
      <x:c r="F977" s="2"/>
      <x:c r="G977" s="2"/>
      <x:c r="H977" s="2"/>
    </x:row>
    <x:row r="978" ht="22" customHeight="1">
      <x:c r="A978" s="2" t="n">
        <x:v>972</x:v>
      </x:c>
      <x:c r="B978" s="79" t="n">
        <x:v>1.388028378208527</x:v>
      </x:c>
      <x:c r="C978" s="46" t="n">
        <x:f>B978^2</x:f>
        <x:v>1.9266227787121937</x:v>
      </x:c>
      <x:c r="D978" s="47" t="n">
        <x:f>'Datos'!$B$26^3/3</x:f>
        <x:v>0.3333333333333333</x:v>
      </x:c>
      <x:c r="E978" s="46" t="n">
        <x:f>D978*(C978-1)</x:f>
        <x:v>0.3088742595707312</x:v>
      </x:c>
      <x:c r="F978" s="2"/>
      <x:c r="G978" s="2"/>
      <x:c r="H978" s="2"/>
    </x:row>
    <x:row r="979" ht="22" customHeight="1">
      <x:c r="A979" s="2" t="n">
        <x:v>973</x:v>
      </x:c>
      <x:c r="B979" s="79" t="n">
        <x:v>-0.6633923425197044</x:v>
      </x:c>
      <x:c r="C979" s="46" t="n">
        <x:f>B979^2</x:f>
        <x:v>0.4400894001137807</x:v>
      </x:c>
      <x:c r="D979" s="47" t="n">
        <x:f>'Datos'!$B$26^3/3</x:f>
        <x:v>0.3333333333333333</x:v>
      </x:c>
      <x:c r="E979" s="46" t="n">
        <x:f>D979*(C979-1)</x:f>
        <x:v>-0.18663686662873974</x:v>
      </x:c>
      <x:c r="F979" s="2"/>
      <x:c r="G979" s="2"/>
      <x:c r="H979" s="2"/>
    </x:row>
    <x:row r="980" ht="22" customHeight="1">
      <x:c r="A980" s="2" t="n">
        <x:v>974</x:v>
      </x:c>
      <x:c r="B980" s="79" t="n">
        <x:v>-1.4683570350028083</x:v>
      </x:c>
      <x:c r="C980" s="46" t="n">
        <x:f>B980^2</x:f>
        <x:v>2.1560723822422387</x:v>
      </x:c>
      <x:c r="D980" s="47" t="n">
        <x:f>'Datos'!$B$26^3/3</x:f>
        <x:v>0.3333333333333333</x:v>
      </x:c>
      <x:c r="E980" s="46" t="n">
        <x:f>D980*(C980-1)</x:f>
        <x:v>0.3853574607474129</x:v>
      </x:c>
      <x:c r="F980" s="2"/>
      <x:c r="G980" s="2"/>
      <x:c r="H980" s="2"/>
    </x:row>
    <x:row r="981" ht="22" customHeight="1">
      <x:c r="A981" s="2" t="n">
        <x:v>975</x:v>
      </x:c>
      <x:c r="B981" s="79" t="n">
        <x:v>-1.0164870207918717</x:v>
      </x:c>
      <x:c r="C981" s="46" t="n">
        <x:f>B981^2</x:f>
        <x:v>1.033245863438335</x:v>
      </x:c>
      <x:c r="D981" s="47" t="n">
        <x:f>'Datos'!$B$26^3/3</x:f>
        <x:v>0.3333333333333333</x:v>
      </x:c>
      <x:c r="E981" s="46" t="n">
        <x:f>D981*(C981-1)</x:f>
        <x:v>0.011081954479445006</x:v>
      </x:c>
      <x:c r="F981" s="2"/>
      <x:c r="G981" s="2"/>
      <x:c r="H981" s="2"/>
    </x:row>
    <x:row r="982" ht="22" customHeight="1">
      <x:c r="A982" s="2" t="n">
        <x:v>976</x:v>
      </x:c>
      <x:c r="B982" s="79" t="n">
        <x:v>2.0028064115429407</x:v>
      </x:c>
      <x:c r="C982" s="46" t="n">
        <x:f>B982^2</x:f>
        <x:v>4.011233522117511</x:v>
      </x:c>
      <x:c r="D982" s="47" t="n">
        <x:f>'Datos'!$B$26^3/3</x:f>
        <x:v>0.3333333333333333</x:v>
      </x:c>
      <x:c r="E982" s="46" t="n">
        <x:f>D982*(C982-1)</x:f>
        <x:v>1.0037445073725035</x:v>
      </x:c>
      <x:c r="F982" s="2"/>
      <x:c r="G982" s="2"/>
      <x:c r="H982" s="2"/>
    </x:row>
    <x:row r="983" ht="22" customHeight="1">
      <x:c r="A983" s="2" t="n">
        <x:v>977</x:v>
      </x:c>
      <x:c r="B983" s="79" t="n">
        <x:v>-0.2783772846076748</x:v>
      </x:c>
      <x:c r="C983" s="46" t="n">
        <x:f>B983^2</x:f>
        <x:v>0.07749391258554238</x:v>
      </x:c>
      <x:c r="D983" s="47" t="n">
        <x:f>'Datos'!$B$26^3/3</x:f>
        <x:v>0.3333333333333333</x:v>
      </x:c>
      <x:c r="E983" s="46" t="n">
        <x:f>D983*(C983-1)</x:f>
        <x:v>-0.3075020291381525</x:v>
      </x:c>
      <x:c r="F983" s="2"/>
      <x:c r="G983" s="2"/>
      <x:c r="H983" s="2"/>
    </x:row>
    <x:row r="984" ht="22" customHeight="1">
      <x:c r="A984" s="2" t="n">
        <x:v>978</x:v>
      </x:c>
      <x:c r="B984" s="79" t="n">
        <x:v>-1.3878606219910015</x:v>
      </x:c>
      <x:c r="C984" s="46" t="n">
        <x:f>B984^2</x:f>
        <x:v>1.9261571060732494</x:v>
      </x:c>
      <x:c r="D984" s="47" t="n">
        <x:f>'Datos'!$B$26^3/3</x:f>
        <x:v>0.3333333333333333</x:v>
      </x:c>
      <x:c r="E984" s="46" t="n">
        <x:f>D984*(C984-1)</x:f>
        <x:v>0.3087190353577498</x:v>
      </x:c>
      <x:c r="F984" s="2"/>
      <x:c r="G984" s="2"/>
      <x:c r="H984" s="2"/>
    </x:row>
    <x:row r="985" ht="22" customHeight="1">
      <x:c r="A985" s="2" t="n">
        <x:v>979</x:v>
      </x:c>
      <x:c r="B985" s="79" t="n">
        <x:v>0.3385397536629157</x:v>
      </x:c>
      <x:c r="C985" s="46" t="n">
        <x:f>B985^2</x:f>
        <x:v>0.11460916481014766</x:v>
      </x:c>
      <x:c r="D985" s="47" t="n">
        <x:f>'Datos'!$B$26^3/3</x:f>
        <x:v>0.3333333333333333</x:v>
      </x:c>
      <x:c r="E985" s="46" t="n">
        <x:f>D985*(C985-1)</x:f>
        <x:v>-0.29513027839661743</x:v>
      </x:c>
      <x:c r="F985" s="2"/>
      <x:c r="G985" s="2"/>
      <x:c r="H985" s="2"/>
    </x:row>
    <x:row r="986" ht="22" customHeight="1">
      <x:c r="A986" s="2" t="n">
        <x:v>980</x:v>
      </x:c>
      <x:c r="B986" s="79" t="n">
        <x:v>-0.6516735054825499</x:v>
      </x:c>
      <x:c r="C986" s="46" t="n">
        <x:f>B986^2</x:f>
        <x:v>0.42467835774791496</x:v>
      </x:c>
      <x:c r="D986" s="47" t="n">
        <x:f>'Datos'!$B$26^3/3</x:f>
        <x:v>0.3333333333333333</x:v>
      </x:c>
      <x:c r="E986" s="46" t="n">
        <x:f>D986*(C986-1)</x:f>
        <x:v>-0.191773880750695</x:v>
      </x:c>
      <x:c r="F986" s="2"/>
      <x:c r="G986" s="2"/>
      <x:c r="H986" s="2"/>
    </x:row>
    <x:row r="987" ht="22" customHeight="1">
      <x:c r="A987" s="2" t="n">
        <x:v>981</x:v>
      </x:c>
      <x:c r="B987" s="79" t="n">
        <x:v>0.40240566449659676</x:v>
      </x:c>
      <x:c r="C987" s="46" t="n">
        <x:f>B987^2</x:f>
        <x:v>0.1619303188189476</x:v>
      </x:c>
      <x:c r="D987" s="47" t="n">
        <x:f>'Datos'!$B$26^3/3</x:f>
        <x:v>0.3333333333333333</x:v>
      </x:c>
      <x:c r="E987" s="46" t="n">
        <x:f>D987*(C987-1)</x:f>
        <x:v>-0.2793565603936841</x:v>
      </x:c>
      <x:c r="F987" s="2"/>
      <x:c r="G987" s="2"/>
      <x:c r="H987" s="2"/>
    </x:row>
    <x:row r="988" ht="22" customHeight="1">
      <x:c r="A988" s="2" t="n">
        <x:v>982</x:v>
      </x:c>
      <x:c r="B988" s="79" t="n">
        <x:v>-0.6062584839621794</x:v>
      </x:c>
      <x:c r="C988" s="46" t="n">
        <x:f>B988^2</x:f>
        <x:v>0.36754934937612016</x:v>
      </x:c>
      <x:c r="D988" s="47" t="n">
        <x:f>'Datos'!$B$26^3/3</x:f>
        <x:v>0.3333333333333333</x:v>
      </x:c>
      <x:c r="E988" s="46" t="n">
        <x:f>D988*(C988-1)</x:f>
        <x:v>-0.21081688354129327</x:v>
      </x:c>
      <x:c r="F988" s="2"/>
      <x:c r="G988" s="2"/>
      <x:c r="H988" s="2"/>
    </x:row>
    <x:row r="989" ht="22" customHeight="1">
      <x:c r="A989" s="2" t="n">
        <x:v>983</x:v>
      </x:c>
      <x:c r="B989" s="79" t="n">
        <x:v>2.1692507215836</x:v>
      </x:c>
      <x:c r="C989" s="46" t="n">
        <x:f>B989^2</x:f>
        <x:v>4.705648693090969</x:v>
      </x:c>
      <x:c r="D989" s="47" t="n">
        <x:f>'Datos'!$B$26^3/3</x:f>
        <x:v>0.3333333333333333</x:v>
      </x:c>
      <x:c r="E989" s="46" t="n">
        <x:f>D989*(C989-1)</x:f>
        <x:v>1.2352162310303227</x:v>
      </x:c>
      <x:c r="F989" s="2"/>
      <x:c r="G989" s="2"/>
      <x:c r="H989" s="2"/>
    </x:row>
    <x:row r="990" ht="22" customHeight="1">
      <x:c r="A990" s="2" t="n">
        <x:v>984</x:v>
      </x:c>
      <x:c r="B990" s="79" t="n">
        <x:v>-0.4535617921897875</x:v>
      </x:c>
      <x:c r="C990" s="46" t="n">
        <x:f>B990^2</x:f>
        <x:v>0.20571829933441196</x:v>
      </x:c>
      <x:c r="D990" s="47" t="n">
        <x:f>'Datos'!$B$26^3/3</x:f>
        <x:v>0.3333333333333333</x:v>
      </x:c>
      <x:c r="E990" s="46" t="n">
        <x:f>D990*(C990-1)</x:f>
        <x:v>-0.26476056688852934</x:v>
      </x:c>
      <x:c r="F990" s="2"/>
      <x:c r="G990" s="2"/>
      <x:c r="H990" s="2"/>
    </x:row>
    <x:row r="991" ht="22" customHeight="1">
      <x:c r="A991" s="2" t="n">
        <x:v>985</x:v>
      </x:c>
      <x:c r="B991" s="79" t="n">
        <x:v>0.09892968298580221</x:v>
      </x:c>
      <x:c r="C991" s="46" t="n">
        <x:f>B991^2</x:f>
        <x:v>0.009787082175671324</x:v>
      </x:c>
      <x:c r="D991" s="47" t="n">
        <x:f>'Datos'!$B$26^3/3</x:f>
        <x:v>0.3333333333333333</x:v>
      </x:c>
      <x:c r="E991" s="46" t="n">
        <x:f>D991*(C991-1)</x:f>
        <x:v>-0.3300709726081095</x:v>
      </x:c>
      <x:c r="F991" s="2"/>
      <x:c r="G991" s="2"/>
      <x:c r="H991" s="2"/>
    </x:row>
    <x:row r="992" ht="22" customHeight="1">
      <x:c r="A992" s="2" t="n">
        <x:v>986</x:v>
      </x:c>
      <x:c r="B992" s="79" t="n">
        <x:v>0.6060134210641478</x:v>
      </x:c>
      <x:c r="C992" s="46" t="n">
        <x:f>B992^2</x:f>
        <x:v>0.3672522665098721</x:v>
      </x:c>
      <x:c r="D992" s="47" t="n">
        <x:f>'Datos'!$B$26^3/3</x:f>
        <x:v>0.3333333333333333</x:v>
      </x:c>
      <x:c r="E992" s="46" t="n">
        <x:f>D992*(C992-1)</x:f>
        <x:v>-0.21091591116337596</x:v>
      </x:c>
      <x:c r="F992" s="2"/>
      <x:c r="G992" s="2"/>
      <x:c r="H992" s="2"/>
    </x:row>
    <x:row r="993" ht="22" customHeight="1">
      <x:c r="A993" s="2" t="n">
        <x:v>987</x:v>
      </x:c>
      <x:c r="B993" s="79" t="n">
        <x:v>-0.30160255684414267</x:v>
      </x:c>
      <x:c r="C993" s="46" t="n">
        <x:f>B993^2</x:f>
        <x:v>0.09096410229492431</x:v>
      </x:c>
      <x:c r="D993" s="47" t="n">
        <x:f>'Datos'!$B$26^3/3</x:f>
        <x:v>0.3333333333333333</x:v>
      </x:c>
      <x:c r="E993" s="46" t="n">
        <x:f>D993*(C993-1)</x:f>
        <x:v>-0.3030119659016919</x:v>
      </x:c>
      <x:c r="F993" s="2"/>
      <x:c r="G993" s="2"/>
      <x:c r="H993" s="2"/>
    </x:row>
    <x:row r="994" ht="22" customHeight="1">
      <x:c r="A994" s="2" t="n">
        <x:v>988</x:v>
      </x:c>
      <x:c r="B994" s="79" t="n">
        <x:v>0.2125844981291058</x:v>
      </x:c>
      <x:c r="C994" s="46" t="n">
        <x:f>B994^2</x:f>
        <x:v>0.04519216884480379</x:v>
      </x:c>
      <x:c r="D994" s="47" t="n">
        <x:f>'Datos'!$B$26^3/3</x:f>
        <x:v>0.3333333333333333</x:v>
      </x:c>
      <x:c r="E994" s="46" t="n">
        <x:f>D994*(C994-1)</x:f>
        <x:v>-0.318269277051732</x:v>
      </x:c>
      <x:c r="F994" s="2"/>
      <x:c r="G994" s="2"/>
      <x:c r="H994" s="2"/>
    </x:row>
    <x:row r="995" ht="22" customHeight="1">
      <x:c r="A995" s="2" t="n">
        <x:v>989</x:v>
      </x:c>
      <x:c r="B995" s="79" t="n">
        <x:v>0.8032145637420726</x:v>
      </x:c>
      <x:c r="C995" s="46" t="n">
        <x:f>B995^2</x:f>
        <x:v>0.6451536354073679</x:v>
      </x:c>
      <x:c r="D995" s="47" t="n">
        <x:f>'Datos'!$B$26^3/3</x:f>
        <x:v>0.3333333333333333</x:v>
      </x:c>
      <x:c r="E995" s="46" t="n">
        <x:f>D995*(C995-1)</x:f>
        <x:v>-0.11828212153087736</x:v>
      </x:c>
      <x:c r="F995" s="2"/>
      <x:c r="G995" s="2"/>
      <x:c r="H995" s="2"/>
    </x:row>
    <x:row r="996" ht="22" customHeight="1">
      <x:c r="A996" s="2" t="n">
        <x:v>990</x:v>
      </x:c>
      <x:c r="B996" s="79" t="n">
        <x:v>1.0969557957423248</x:v>
      </x:c>
      <x:c r="C996" s="46" t="n">
        <x:f>B996^2</x:f>
        <x:v>1.203312017812677</x:v>
      </x:c>
      <x:c r="D996" s="47" t="n">
        <x:f>'Datos'!$B$26^3/3</x:f>
        <x:v>0.3333333333333333</x:v>
      </x:c>
      <x:c r="E996" s="46" t="n">
        <x:f>D996*(C996-1)</x:f>
        <x:v>0.06777067260422567</x:v>
      </x:c>
      <x:c r="F996" s="2"/>
      <x:c r="G996" s="2"/>
      <x:c r="H996" s="2"/>
    </x:row>
    <x:row r="997" ht="22" customHeight="1">
      <x:c r="A997" s="2" t="n">
        <x:v>991</x:v>
      </x:c>
      <x:c r="B997" s="79" t="n">
        <x:v>-0.3765518249681026</x:v>
      </x:c>
      <x:c r="C997" s="46" t="n">
        <x:f>B997^2</x:f>
        <x:v>0.14179127688680856</x:v>
      </x:c>
      <x:c r="D997" s="47" t="n">
        <x:f>'Datos'!$B$26^3/3</x:f>
        <x:v>0.3333333333333333</x:v>
      </x:c>
      <x:c r="E997" s="46" t="n">
        <x:f>D997*(C997-1)</x:f>
        <x:v>-0.2860695743710638</x:v>
      </x:c>
      <x:c r="F997" s="2"/>
      <x:c r="G997" s="2"/>
      <x:c r="H997" s="2"/>
    </x:row>
    <x:row r="998" ht="22" customHeight="1">
      <x:c r="A998" s="2" t="n">
        <x:v>992</x:v>
      </x:c>
      <x:c r="B998" s="79" t="n">
        <x:v>0.47503212392342126</x:v>
      </x:c>
      <x:c r="C998" s="46" t="n">
        <x:f>B998^2</x:f>
        <x:v>0.22565551875919665</x:v>
      </x:c>
      <x:c r="D998" s="47" t="n">
        <x:f>'Datos'!$B$26^3/3</x:f>
        <x:v>0.3333333333333333</x:v>
      </x:c>
      <x:c r="E998" s="46" t="n">
        <x:f>D998*(C998-1)</x:f>
        <x:v>-0.2581148270802678</x:v>
      </x:c>
      <x:c r="F998" s="2"/>
      <x:c r="G998" s="2"/>
      <x:c r="H998" s="2"/>
    </x:row>
    <x:row r="999" ht="22" customHeight="1">
      <x:c r="A999" s="2" t="n">
        <x:v>993</x:v>
      </x:c>
      <x:c r="B999" s="79" t="n">
        <x:v>-1.3057963722507655</x:v>
      </x:c>
      <x:c r="C999" s="46" t="n">
        <x:f>B999^2</x:f>
        <x:v>1.7051041657832597</x:v>
      </x:c>
      <x:c r="D999" s="47" t="n">
        <x:f>'Datos'!$B$26^3/3</x:f>
        <x:v>0.3333333333333333</x:v>
      </x:c>
      <x:c r="E999" s="46" t="n">
        <x:f>D999*(C999-1)</x:f>
        <x:v>0.23503472192775324</x:v>
      </x:c>
      <x:c r="F999" s="2"/>
      <x:c r="G999" s="2"/>
      <x:c r="H999" s="2"/>
    </x:row>
    <x:row r="1000" ht="22" customHeight="1">
      <x:c r="A1000" s="2" t="n">
        <x:v>994</x:v>
      </x:c>
      <x:c r="B1000" s="79" t="n">
        <x:v>-1.826230868441597</x:v>
      </x:c>
      <x:c r="C1000" s="46" t="n">
        <x:f>B1000^2</x:f>
        <x:v>3.33511918484895</x:v>
      </x:c>
      <x:c r="D1000" s="47" t="n">
        <x:f>'Datos'!$B$26^3/3</x:f>
        <x:v>0.3333333333333333</x:v>
      </x:c>
      <x:c r="E1000" s="46" t="n">
        <x:f>D1000*(C1000-1)</x:f>
        <x:v>0.7783730616163167</x:v>
      </x:c>
      <x:c r="F1000" s="2"/>
      <x:c r="G1000" s="2"/>
      <x:c r="H1000" s="2"/>
    </x:row>
    <x:row r="1001" ht="22" customHeight="1">
      <x:c r="A1001" s="2" t="n">
        <x:v>995</x:v>
      </x:c>
      <x:c r="B1001" s="79" t="n">
        <x:v>-2.0015973370057956</x:v>
      </x:c>
      <x:c r="C1001" s="46" t="n">
        <x:f>B1001^2</x:f>
        <x:v>4.006391899508692</x:v>
      </x:c>
      <x:c r="D1001" s="47" t="n">
        <x:f>'Datos'!$B$26^3/3</x:f>
        <x:v>0.3333333333333333</x:v>
      </x:c>
      <x:c r="E1001" s="46" t="n">
        <x:f>D1001*(C1001-1)</x:f>
        <x:v>1.002130633169564</x:v>
      </x:c>
      <x:c r="F1001" s="2"/>
      <x:c r="G1001" s="2"/>
      <x:c r="H1001" s="2"/>
    </x:row>
    <x:row r="1002" ht="22" customHeight="1">
      <x:c r="A1002" s="2" t="n">
        <x:v>996</x:v>
      </x:c>
      <x:c r="B1002" s="79" t="n">
        <x:v>1.7908970336401255</x:v>
      </x:c>
      <x:c r="C1002" s="46" t="n">
        <x:f>B1002^2</x:f>
        <x:v>3.207312185101001</x:v>
      </x:c>
      <x:c r="D1002" s="47" t="n">
        <x:f>'Datos'!$B$26^3/3</x:f>
        <x:v>0.3333333333333333</x:v>
      </x:c>
      <x:c r="E1002" s="46" t="n">
        <x:f>D1002*(C1002-1)</x:f>
        <x:v>0.7357707283670003</x:v>
      </x:c>
      <x:c r="F1002" s="2"/>
      <x:c r="G1002" s="2"/>
      <x:c r="H1002" s="2"/>
    </x:row>
    <x:row r="1003" ht="22" customHeight="1">
      <x:c r="A1003" s="2" t="n">
        <x:v>997</x:v>
      </x:c>
      <x:c r="B1003" s="79" t="n">
        <x:v>-1.498724086284015</x:v>
      </x:c>
      <x:c r="C1003" s="46" t="n">
        <x:f>B1003^2</x:f>
        <x:v>2.246173886807856</x:v>
      </x:c>
      <x:c r="D1003" s="47" t="n">
        <x:f>'Datos'!$B$26^3/3</x:f>
        <x:v>0.3333333333333333</x:v>
      </x:c>
      <x:c r="E1003" s="46" t="n">
        <x:f>D1003*(C1003-1)</x:f>
        <x:v>0.41539129560261856</x:v>
      </x:c>
      <x:c r="F1003" s="2"/>
      <x:c r="G1003" s="2"/>
      <x:c r="H1003" s="2"/>
    </x:row>
    <x:row r="1004" ht="22" customHeight="1">
      <x:c r="A1004" s="2" t="n">
        <x:v>998</x:v>
      </x:c>
      <x:c r="B1004" s="79" t="n">
        <x:v>0.05971547700259311</x:v>
      </x:c>
      <x:c r="C1004" s="46" t="n">
        <x:f>B1004^2</x:f>
        <x:v>0.0035659381936472266</x:v>
      </x:c>
      <x:c r="D1004" s="47" t="n">
        <x:f>'Datos'!$B$26^3/3</x:f>
        <x:v>0.3333333333333333</x:v>
      </x:c>
      <x:c r="E1004" s="46" t="n">
        <x:f>D1004*(C1004-1)</x:f>
        <x:v>-0.3321446872687842</x:v>
      </x:c>
      <x:c r="F1004" s="2"/>
      <x:c r="G1004" s="2"/>
      <x:c r="H1004" s="2"/>
    </x:row>
    <x:row r="1005" ht="22" customHeight="1">
      <x:c r="A1005" s="2" t="n">
        <x:v>999</x:v>
      </x:c>
      <x:c r="B1005" s="79" t="n">
        <x:v>-0.3731857329256326</x:v>
      </x:c>
      <x:c r="C1005" s="46" t="n">
        <x:f>B1005^2</x:f>
        <x:v>0.1392675912592416</x:v>
      </x:c>
      <x:c r="D1005" s="47" t="n">
        <x:f>'Datos'!$B$26^3/3</x:f>
        <x:v>0.3333333333333333</x:v>
      </x:c>
      <x:c r="E1005" s="46" t="n">
        <x:f>D1005*(C1005-1)</x:f>
        <x:v>-0.2869108029135861</x:v>
      </x:c>
      <x:c r="F1005" s="2"/>
      <x:c r="G1005" s="2"/>
      <x:c r="H1005" s="2"/>
    </x:row>
    <x:row r="1006" ht="22" customHeight="1">
      <x:c r="A1006" s="2" t="n">
        <x:v>1000</x:v>
      </x:c>
      <x:c r="B1006" s="79" t="n">
        <x:v>-1.1199382363746688</x:v>
      </x:c>
      <x:c r="C1006" s="46" t="n">
        <x:f>B1006^2</x:f>
        <x:v>1.2542616532940036</x:v>
      </x:c>
      <x:c r="D1006" s="47" t="n">
        <x:f>'Datos'!$B$26^3/3</x:f>
        <x:v>0.3333333333333333</x:v>
      </x:c>
      <x:c r="E1006" s="46" t="n">
        <x:f>D1006*(C1006-1)</x:f>
        <x:v>0.08475388443133454</x:v>
      </x:c>
      <x:c r="F1006" s="2"/>
      <x:c r="G1006" s="2"/>
      <x:c r="H1006" s="2"/>
    </x:row>
    <x:row r="1007" ht="22" customHeight="1">
      <x:c r="A1007" s="2" t="n">
        <x:v>1001</x:v>
      </x:c>
      <x:c r="B1007" s="79" t="n">
        <x:v>-0.3064228427062516</x:v>
      </x:c>
      <x:c r="C1007" s="46" t="n">
        <x:f>B1007^2</x:f>
        <x:v>0.0938949585321802</x:v>
      </x:c>
      <x:c r="D1007" s="47" t="n">
        <x:f>'Datos'!$B$26^3/3</x:f>
        <x:v>0.3333333333333333</x:v>
      </x:c>
      <x:c r="E1007" s="46" t="n">
        <x:f>D1007*(C1007-1)</x:f>
        <x:v>-0.30203501382260656</x:v>
      </x:c>
      <x:c r="F1007" s="2"/>
      <x:c r="G1007" s="2"/>
      <x:c r="H1007" s="2"/>
    </x:row>
    <x:row r="1008" ht="22" customHeight="1">
      <x:c r="A1008" s="2" t="n">
        <x:v>1002</x:v>
      </x:c>
      <x:c r="B1008" s="79" t="n">
        <x:v>-0.21017521803901668</x:v>
      </x:c>
      <x:c r="C1008" s="46" t="n">
        <x:f>B1008^2</x:f>
        <x:v>0.0441736222777482</x:v>
      </x:c>
      <x:c r="D1008" s="47" t="n">
        <x:f>'Datos'!$B$26^3/3</x:f>
        <x:v>0.3333333333333333</x:v>
      </x:c>
      <x:c r="E1008" s="46" t="n">
        <x:f>D1008*(C1008-1)</x:f>
        <x:v>-0.3186087925740839</x:v>
      </x:c>
      <x:c r="F1008" s="2"/>
      <x:c r="G1008" s="2"/>
      <x:c r="H1008" s="2"/>
    </x:row>
    <x:row r="1009" ht="22" customHeight="1">
      <x:c r="A1009" s="2" t="n">
        <x:v>1003</x:v>
      </x:c>
      <x:c r="B1009" s="79" t="n">
        <x:v>1.3711168023143232</x:v>
      </x:c>
      <x:c r="C1009" s="46" t="n">
        <x:f>B1009^2</x:f>
        <x:v>1.879961285588655</x:v>
      </x:c>
      <x:c r="D1009" s="47" t="n">
        <x:f>'Datos'!$B$26^3/3</x:f>
        <x:v>0.3333333333333333</x:v>
      </x:c>
      <x:c r="E1009" s="46" t="n">
        <x:f>D1009*(C1009-1)</x:f>
        <x:v>0.29332042852955165</x:v>
      </x:c>
      <x:c r="F1009" s="2"/>
      <x:c r="G1009" s="2"/>
      <x:c r="H1009" s="2"/>
    </x:row>
    <x:row r="1010" ht="22" customHeight="1">
      <x:c r="A1010" s="2" t="n">
        <x:v>1004</x:v>
      </x:c>
      <x:c r="B1010" s="79" t="n">
        <x:v>-1.7316851275778034</x:v>
      </x:c>
      <x:c r="C1010" s="46" t="n">
        <x:f>B1010^2</x:f>
        <x:v>2.998733381074153</x:v>
      </x:c>
      <x:c r="D1010" s="47" t="n">
        <x:f>'Datos'!$B$26^3/3</x:f>
        <x:v>0.3333333333333333</x:v>
      </x:c>
      <x:c r="E1010" s="46" t="n">
        <x:f>D1010*(C1010-1)</x:f>
        <x:v>0.6662444603580511</x:v>
      </x:c>
      <x:c r="F1010" s="2"/>
      <x:c r="G1010" s="2"/>
      <x:c r="H1010" s="2"/>
    </x:row>
    <x:row r="1011" ht="22" customHeight="1">
      <x:c r="A1011" s="2" t="n">
        <x:v>1005</x:v>
      </x:c>
      <x:c r="B1011" s="79" t="n">
        <x:v>-2.642070946249174</x:v>
      </x:c>
      <x:c r="C1011" s="46" t="n">
        <x:f>B1011^2</x:f>
        <x:v>6.980538885014006</x:v>
      </x:c>
      <x:c r="D1011" s="47" t="n">
        <x:f>'Datos'!$B$26^3/3</x:f>
        <x:v>0.3333333333333333</x:v>
      </x:c>
      <x:c r="E1011" s="46" t="n">
        <x:f>D1011*(C1011-1)</x:f>
        <x:v>1.9935129616713354</x:v>
      </x:c>
      <x:c r="F1011" s="2"/>
      <x:c r="G1011" s="2"/>
      <x:c r="H1011" s="2"/>
    </x:row>
    <x:row r="1012" ht="22" customHeight="1">
      <x:c r="A1012" s="2" t="n">
        <x:v>1006</x:v>
      </x:c>
      <x:c r="B1012" s="79" t="n">
        <x:v>-1.4265525406787731</x:v>
      </x:c>
      <x:c r="C1012" s="46" t="n">
        <x:f>B1012^2</x:f>
        <x:v>2.0350521513170627</x:v>
      </x:c>
      <x:c r="D1012" s="47" t="n">
        <x:f>'Datos'!$B$26^3/3</x:f>
        <x:v>0.3333333333333333</x:v>
      </x:c>
      <x:c r="E1012" s="46" t="n">
        <x:f>D1012*(C1012-1)</x:f>
        <x:v>0.34501738377235425</x:v>
      </x:c>
      <x:c r="F1012" s="2"/>
      <x:c r="G1012" s="2"/>
      <x:c r="H1012" s="2"/>
    </x:row>
    <x:row r="1013" ht="22" customHeight="1">
      <x:c r="A1013" s="2" t="n">
        <x:v>1007</x:v>
      </x:c>
      <x:c r="B1013" s="79" t="n">
        <x:v>1.0647285260114305</x:v>
      </x:c>
      <x:c r="C1013" s="46" t="n">
        <x:f>B1013^2</x:f>
        <x:v>1.1336468341024735</x:v>
      </x:c>
      <x:c r="D1013" s="47" t="n">
        <x:f>'Datos'!$B$26^3/3</x:f>
        <x:v>0.3333333333333333</x:v>
      </x:c>
      <x:c r="E1013" s="46" t="n">
        <x:f>D1013*(C1013-1)</x:f>
        <x:v>0.04454894470082449</x:v>
      </x:c>
      <x:c r="F1013" s="2"/>
      <x:c r="G1013" s="2"/>
      <x:c r="H1013" s="2"/>
    </x:row>
    <x:row r="1014" ht="22" customHeight="1">
      <x:c r="A1014" s="2" t="n">
        <x:v>1008</x:v>
      </x:c>
      <x:c r="B1014" s="79" t="n">
        <x:v>-1.005425786535415</x:v>
      </x:c>
      <x:c r="C1014" s="46" t="n">
        <x:f>B1014^2</x:f>
        <x:v>1.010881012230358</x:v>
      </x:c>
      <x:c r="D1014" s="47" t="n">
        <x:f>'Datos'!$B$26^3/3</x:f>
        <x:v>0.3333333333333333</x:v>
      </x:c>
      <x:c r="E1014" s="46" t="n">
        <x:f>D1014*(C1014-1)</x:f>
        <x:v>0.0036270040767859926</x:v>
      </x:c>
      <x:c r="F1014" s="2"/>
      <x:c r="G1014" s="2"/>
      <x:c r="H1014" s="2"/>
    </x:row>
    <x:row r="1015" ht="22" customHeight="1">
      <x:c r="A1015" s="2" t="n">
        <x:v>1009</x:v>
      </x:c>
      <x:c r="B1015" s="79" t="n">
        <x:v>1.134551699351888</x:v>
      </x:c>
      <x:c r="C1015" s="46" t="n">
        <x:f>B1015^2</x:f>
        <x:v>1.2872075585022569</x:v>
      </x:c>
      <x:c r="D1015" s="47" t="n">
        <x:f>'Datos'!$B$26^3/3</x:f>
        <x:v>0.3333333333333333</x:v>
      </x:c>
      <x:c r="E1015" s="46" t="n">
        <x:f>D1015*(C1015-1)</x:f>
        <x:v>0.09573585283408562</x:v>
      </x:c>
      <x:c r="F1015" s="2"/>
      <x:c r="G1015" s="2"/>
      <x:c r="H1015" s="2"/>
    </x:row>
    <x:row r="1016" ht="22" customHeight="1">
      <x:c r="A1016" s="2" t="n">
        <x:v>1010</x:v>
      </x:c>
      <x:c r="B1016" s="79" t="n">
        <x:v>-1.253487669417917</x:v>
      </x:c>
      <x:c r="C1016" s="46" t="n">
        <x:f>B1016^2</x:f>
        <x:v>1.5712313373827609</x:v>
      </x:c>
      <x:c r="D1016" s="47" t="n">
        <x:f>'Datos'!$B$26^3/3</x:f>
        <x:v>0.3333333333333333</x:v>
      </x:c>
      <x:c r="E1016" s="46" t="n">
        <x:f>D1016*(C1016-1)</x:f>
        <x:v>0.19041044579425362</x:v>
      </x:c>
      <x:c r="F1016" s="2"/>
      <x:c r="G1016" s="2"/>
      <x:c r="H1016" s="2"/>
    </x:row>
    <x:row r="1017" ht="22" customHeight="1">
      <x:c r="A1017" s="2" t="n">
        <x:v>1011</x:v>
      </x:c>
      <x:c r="B1017" s="79" t="n">
        <x:v>-0.7256097696902182</x:v>
      </x:c>
      <x:c r="C1017" s="46" t="n">
        <x:f>B1017^2</x:f>
        <x:v>0.5265095378698914</x:v>
      </x:c>
      <x:c r="D1017" s="47" t="n">
        <x:f>'Datos'!$B$26^3/3</x:f>
        <x:v>0.3333333333333333</x:v>
      </x:c>
      <x:c r="E1017" s="46" t="n">
        <x:f>D1017*(C1017-1)</x:f>
        <x:v>-0.15783015404336953</x:v>
      </x:c>
      <x:c r="F1017" s="2"/>
      <x:c r="G1017" s="2"/>
      <x:c r="H1017" s="2"/>
    </x:row>
    <x:row r="1018" ht="22" customHeight="1">
      <x:c r="A1018" s="2" t="n">
        <x:v>1012</x:v>
      </x:c>
      <x:c r="B1018" s="79" t="n">
        <x:v>0.28124056646278595</x:v>
      </x:c>
      <x:c r="C1018" s="46" t="n">
        <x:f>B1018^2</x:f>
        <x:v>0.07909625622430871</x:v>
      </x:c>
      <x:c r="D1018" s="47" t="n">
        <x:f>'Datos'!$B$26^3/3</x:f>
        <x:v>0.3333333333333333</x:v>
      </x:c>
      <x:c r="E1018" s="46" t="n">
        <x:f>D1018*(C1018-1)</x:f>
        <x:v>-0.3069679145918971</x:v>
      </x:c>
      <x:c r="F1018" s="2"/>
      <x:c r="G1018" s="2"/>
      <x:c r="H1018" s="2"/>
    </x:row>
    <x:row r="1019" ht="22" customHeight="1">
      <x:c r="A1019" s="2" t="n">
        <x:v>1013</x:v>
      </x:c>
      <x:c r="B1019" s="79" t="n">
        <x:v>-0.6828405562829525</x:v>
      </x:c>
      <x:c r="C1019" s="46" t="n">
        <x:f>B1019^2</x:f>
        <x:v>0.466271225304812</x:v>
      </x:c>
      <x:c r="D1019" s="47" t="n">
        <x:f>'Datos'!$B$26^3/3</x:f>
        <x:v>0.3333333333333333</x:v>
      </x:c>
      <x:c r="E1019" s="46" t="n">
        <x:f>D1019*(C1019-1)</x:f>
        <x:v>-0.17790959156506264</x:v>
      </x:c>
      <x:c r="F1019" s="2"/>
      <x:c r="G1019" s="2"/>
      <x:c r="H1019" s="2"/>
    </x:row>
    <x:row r="1020" ht="22" customHeight="1">
      <x:c r="A1020" s="2" t="n">
        <x:v>1014</x:v>
      </x:c>
      <x:c r="B1020" s="79" t="n">
        <x:v>-1.0934078070647706</x:v>
      </x:c>
      <x:c r="C1020" s="46" t="n">
        <x:f>B1020^2</x:f>
        <x:v>1.1955406325501905</x:v>
      </x:c>
      <x:c r="D1020" s="47" t="n">
        <x:f>'Datos'!$B$26^3/3</x:f>
        <x:v>0.3333333333333333</x:v>
      </x:c>
      <x:c r="E1020" s="46" t="n">
        <x:f>D1020*(C1020-1)</x:f>
        <x:v>0.0651802108500635</x:v>
      </x:c>
      <x:c r="F1020" s="2"/>
      <x:c r="G1020" s="2"/>
      <x:c r="H1020" s="2"/>
    </x:row>
    <x:row r="1021" ht="22" customHeight="1">
      <x:c r="A1021" s="2" t="n">
        <x:v>1015</x:v>
      </x:c>
      <x:c r="B1021" s="79" t="n">
        <x:v>0.6521175879942013</x:v>
      </x:c>
      <x:c r="C1021" s="46" t="n">
        <x:f>B1021^2</x:f>
        <x:v>0.4252573485713748</x:v>
      </x:c>
      <x:c r="D1021" s="47" t="n">
        <x:f>'Datos'!$B$26^3/3</x:f>
        <x:v>0.3333333333333333</x:v>
      </x:c>
      <x:c r="E1021" s="46" t="n">
        <x:f>D1021*(C1021-1)</x:f>
        <x:v>-0.1915808838095417</x:v>
      </x:c>
      <x:c r="F1021" s="2"/>
      <x:c r="G1021" s="2"/>
      <x:c r="H1021" s="2"/>
    </x:row>
    <x:row r="1022" ht="22" customHeight="1">
      <x:c r="A1022" s="2" t="n">
        <x:v>1016</x:v>
      </x:c>
      <x:c r="B1022" s="79" t="n">
        <x:v>0.30519673375373785</x:v>
      </x:c>
      <x:c r="C1022" s="46" t="n">
        <x:f>B1022^2</x:f>
        <x:v>0.09314504629394994</x:v>
      </x:c>
      <x:c r="D1022" s="47" t="n">
        <x:f>'Datos'!$B$26^3/3</x:f>
        <x:v>0.3333333333333333</x:v>
      </x:c>
      <x:c r="E1022" s="46" t="n">
        <x:f>D1022*(C1022-1)</x:f>
        <x:v>-0.30228498456868336</x:v>
      </x:c>
      <x:c r="F1022" s="2"/>
      <x:c r="G1022" s="2"/>
      <x:c r="H1022" s="2"/>
    </x:row>
    <x:row r="1023" ht="22" customHeight="1">
      <x:c r="A1023" s="2" t="n">
        <x:v>1017</x:v>
      </x:c>
      <x:c r="B1023" s="79" t="n">
        <x:v>-0.6786151562901851</x:v>
      </x:c>
      <x:c r="C1023" s="46" t="n">
        <x:f>B1023^2</x:f>
        <x:v>0.46051853034675233</x:v>
      </x:c>
      <x:c r="D1023" s="47" t="n">
        <x:f>'Datos'!$B$26^3/3</x:f>
        <x:v>0.3333333333333333</x:v>
      </x:c>
      <x:c r="E1023" s="46" t="n">
        <x:f>D1023*(C1023-1)</x:f>
        <x:v>-0.17982715655108256</x:v>
      </x:c>
      <x:c r="F1023" s="2"/>
      <x:c r="G1023" s="2"/>
      <x:c r="H1023" s="2"/>
    </x:row>
    <x:row r="1024" ht="22" customHeight="1">
      <x:c r="A1024" s="2" t="n">
        <x:v>1018</x:v>
      </x:c>
      <x:c r="B1024" s="79" t="n">
        <x:v>0.5491494739498913</x:v>
      </x:c>
      <x:c r="C1024" s="46" t="n">
        <x:f>B1024^2</x:f>
        <x:v>0.3015651447394424</x:v>
      </x:c>
      <x:c r="D1024" s="47" t="n">
        <x:f>'Datos'!$B$26^3/3</x:f>
        <x:v>0.3333333333333333</x:v>
      </x:c>
      <x:c r="E1024" s="46" t="n">
        <x:f>D1024*(C1024-1)</x:f>
        <x:v>-0.23281161842018586</x:v>
      </x:c>
      <x:c r="F1024" s="2"/>
      <x:c r="G1024" s="2"/>
      <x:c r="H1024" s="2"/>
    </x:row>
    <x:row r="1025" ht="22" customHeight="1">
      <x:c r="A1025" s="2" t="n">
        <x:v>1019</x:v>
      </x:c>
      <x:c r="B1025" s="79" t="n">
        <x:v>1.7602565241637034</x:v>
      </x:c>
      <x:c r="C1025" s="46" t="n">
        <x:f>B1025^2</x:f>
        <x:v>3.0985030308608823</x:v>
      </x:c>
      <x:c r="D1025" s="47" t="n">
        <x:f>'Datos'!$B$26^3/3</x:f>
        <x:v>0.3333333333333333</x:v>
      </x:c>
      <x:c r="E1025" s="46" t="n">
        <x:f>D1025*(C1025-1)</x:f>
        <x:v>0.6995010102869608</x:v>
      </x:c>
      <x:c r="F1025" s="2"/>
      <x:c r="G1025" s="2"/>
      <x:c r="H1025" s="2"/>
    </x:row>
    <x:row r="1026" ht="22" customHeight="1">
      <x:c r="A1026" s="2" t="n">
        <x:v>1020</x:v>
      </x:c>
      <x:c r="B1026" s="79" t="n">
        <x:v>-0.011882116442213408</x:v>
      </x:c>
      <x:c r="C1026" s="46" t="n">
        <x:f>B1026^2</x:f>
        <x:v>0.00014118469114631822</x:v>
      </x:c>
      <x:c r="D1026" s="47" t="n">
        <x:f>'Datos'!$B$26^3/3</x:f>
        <x:v>0.3333333333333333</x:v>
      </x:c>
      <x:c r="E1026" s="46" t="n">
        <x:f>D1026*(C1026-1)</x:f>
        <x:v>-0.3332862717696179</x:v>
      </x:c>
      <x:c r="F1026" s="2"/>
      <x:c r="G1026" s="2"/>
      <x:c r="H1026" s="2"/>
    </x:row>
    <x:row r="1027" ht="22" customHeight="1">
      <x:c r="A1027" s="2" t="n">
        <x:v>1021</x:v>
      </x:c>
      <x:c r="B1027" s="79" t="n">
        <x:v>0.550999653648068</x:v>
      </x:c>
      <x:c r="C1027" s="46" t="n">
        <x:f>B1027^2</x:f>
        <x:v>0.3036006183202909</x:v>
      </x:c>
      <x:c r="D1027" s="47" t="n">
        <x:f>'Datos'!$B$26^3/3</x:f>
        <x:v>0.3333333333333333</x:v>
      </x:c>
      <x:c r="E1027" s="46" t="n">
        <x:f>D1027*(C1027-1)</x:f>
        <x:v>-0.2321331272265697</x:v>
      </x:c>
      <x:c r="F1027" s="2"/>
      <x:c r="G1027" s="2"/>
      <x:c r="H1027" s="2"/>
    </x:row>
    <x:row r="1028" ht="22" customHeight="1">
      <x:c r="A1028" s="2" t="n">
        <x:v>1022</x:v>
      </x:c>
      <x:c r="B1028" s="79" t="n">
        <x:v>-0.19339054312850068</x:v>
      </x:c>
      <x:c r="C1028" s="46" t="n">
        <x:f>B1028^2</x:f>
        <x:v>0.037399902171536485</x:v>
      </x:c>
      <x:c r="D1028" s="47" t="n">
        <x:f>'Datos'!$B$26^3/3</x:f>
        <x:v>0.3333333333333333</x:v>
      </x:c>
      <x:c r="E1028" s="46" t="n">
        <x:f>D1028*(C1028-1)</x:f>
        <x:v>-0.3208666992761545</x:v>
      </x:c>
      <x:c r="F1028" s="2"/>
      <x:c r="G1028" s="2"/>
      <x:c r="H1028" s="2"/>
    </x:row>
    <x:row r="1029" ht="22" customHeight="1">
      <x:c r="A1029" s="2" t="n">
        <x:v>1023</x:v>
      </x:c>
      <x:c r="B1029" s="79" t="n">
        <x:v>0.44580441219887723</x:v>
      </x:c>
      <x:c r="C1029" s="46" t="n">
        <x:f>B1029^2</x:f>
        <x:v>0.19874157393598643</x:v>
      </x:c>
      <x:c r="D1029" s="47" t="n">
        <x:f>'Datos'!$B$26^3/3</x:f>
        <x:v>0.3333333333333333</x:v>
      </x:c>
      <x:c r="E1029" s="46" t="n">
        <x:f>D1029*(C1029-1)</x:f>
        <x:v>-0.26708614202133785</x:v>
      </x:c>
      <x:c r="F1029" s="2"/>
      <x:c r="G1029" s="2"/>
      <x:c r="H1029" s="2"/>
    </x:row>
    <x:row r="1030" ht="22" customHeight="1">
      <x:c r="A1030" s="2" t="n">
        <x:v>1024</x:v>
      </x:c>
      <x:c r="B1030" s="79" t="n">
        <x:v>-0.22827582086960155</x:v>
      </x:c>
      <x:c r="C1030" s="46" t="n">
        <x:f>B1030^2</x:f>
        <x:v>0.05210985039369041</x:v>
      </x:c>
      <x:c r="D1030" s="47" t="n">
        <x:f>'Datos'!$B$26^3/3</x:f>
        <x:v>0.3333333333333333</x:v>
      </x:c>
      <x:c r="E1030" s="46" t="n">
        <x:f>D1030*(C1030-1)</x:f>
        <x:v>-0.31596338320210315</x:v>
      </x:c>
      <x:c r="F1030" s="2"/>
      <x:c r="G1030" s="2"/>
      <x:c r="H1030" s="2"/>
    </x:row>
    <x:row r="1031" ht="22" customHeight="1">
      <x:c r="A1031" s="2" t="n">
        <x:v>1025</x:v>
      </x:c>
      <x:c r="B1031" s="79" t="n">
        <x:v>-1.168389653453288</x:v>
      </x:c>
      <x:c r="C1031" s="46" t="n">
        <x:f>B1031^2</x:f>
        <x:v>1.3651343822966946</x:v>
      </x:c>
      <x:c r="D1031" s="47" t="n">
        <x:f>'Datos'!$B$26^3/3</x:f>
        <x:v>0.3333333333333333</x:v>
      </x:c>
      <x:c r="E1031" s="46" t="n">
        <x:f>D1031*(C1031-1)</x:f>
        <x:v>0.12171146076556486</x:v>
      </x:c>
      <x:c r="F1031" s="2"/>
      <x:c r="G1031" s="2"/>
      <x:c r="H1031" s="2"/>
    </x:row>
    <x:row r="1032" ht="22" customHeight="1">
      <x:c r="A1032" s="2" t="n">
        <x:v>1026</x:v>
      </x:c>
      <x:c r="B1032" s="79" t="n">
        <x:v>-0.08931762148494954</x:v>
      </x:c>
      <x:c r="C1032" s="46" t="n">
        <x:f>B1032^2</x:f>
        <x:v>0.00797763750772872</x:v>
      </x:c>
      <x:c r="D1032" s="47" t="n">
        <x:f>'Datos'!$B$26^3/3</x:f>
        <x:v>0.3333333333333333</x:v>
      </x:c>
      <x:c r="E1032" s="46" t="n">
        <x:f>D1032*(C1032-1)</x:f>
        <x:v>-0.3306741208307571</x:v>
      </x:c>
      <x:c r="F1032" s="2"/>
      <x:c r="G1032" s="2"/>
      <x:c r="H1032" s="2"/>
    </x:row>
    <x:row r="1033" ht="22" customHeight="1">
      <x:c r="A1033" s="2" t="n">
        <x:v>1027</x:v>
      </x:c>
      <x:c r="B1033" s="79" t="n">
        <x:v>0.23027895478911442</x:v>
      </x:c>
      <x:c r="C1033" s="46" t="n">
        <x:f>B1033^2</x:f>
        <x:v>0.05302839701876701</x:v>
      </x:c>
      <x:c r="D1033" s="47" t="n">
        <x:f>'Datos'!$B$26^3/3</x:f>
        <x:v>0.3333333333333333</x:v>
      </x:c>
      <x:c r="E1033" s="46" t="n">
        <x:f>D1033*(C1033-1)</x:f>
        <x:v>-0.3156572009937443</x:v>
      </x:c>
      <x:c r="F1033" s="2"/>
      <x:c r="G1033" s="2"/>
      <x:c r="H1033" s="2"/>
    </x:row>
    <x:row r="1034" ht="22" customHeight="1">
      <x:c r="A1034" s="2" t="n">
        <x:v>1028</x:v>
      </x:c>
      <x:c r="B1034" s="79" t="n">
        <x:v>-0.3429185309505343</x:v>
      </x:c>
      <x:c r="C1034" s="46" t="n">
        <x:f>B1034^2</x:f>
        <x:v>0.11759311886927257</x:v>
      </x:c>
      <x:c r="D1034" s="47" t="n">
        <x:f>'Datos'!$B$26^3/3</x:f>
        <x:v>0.3333333333333333</x:v>
      </x:c>
      <x:c r="E1034" s="46" t="n">
        <x:f>D1034*(C1034-1)</x:f>
        <x:v>-0.29413562704357576</x:v>
      </x:c>
      <x:c r="F1034" s="2"/>
      <x:c r="G1034" s="2"/>
      <x:c r="H1034" s="2"/>
    </x:row>
    <x:row r="1035" ht="22" customHeight="1">
      <x:c r="A1035" s="2" t="n">
        <x:v>1029</x:v>
      </x:c>
      <x:c r="B1035" s="79" t="n">
        <x:v>-2.451404438142031</x:v>
      </x:c>
      <x:c r="C1035" s="46" t="n">
        <x:f>B1035^2</x:f>
        <x:v>6.009383719342446</x:v>
      </x:c>
      <x:c r="D1035" s="47" t="n">
        <x:f>'Datos'!$B$26^3/3</x:f>
        <x:v>0.3333333333333333</x:v>
      </x:c>
      <x:c r="E1035" s="46" t="n">
        <x:f>D1035*(C1035-1)</x:f>
        <x:v>1.6697945731141486</x:v>
      </x:c>
      <x:c r="F1035" s="2"/>
      <x:c r="G1035" s="2"/>
      <x:c r="H1035" s="2"/>
    </x:row>
    <x:row r="1036" ht="22" customHeight="1">
      <x:c r="A1036" s="2" t="n">
        <x:v>1030</x:v>
      </x:c>
      <x:c r="B1036" s="79" t="n">
        <x:v>-0.8857514327073552</x:v>
      </x:c>
      <x:c r="C1036" s="46" t="n">
        <x:f>B1036^2</x:f>
        <x:v>0.7845556005431324</x:v>
      </x:c>
      <x:c r="D1036" s="47" t="n">
        <x:f>'Datos'!$B$26^3/3</x:f>
        <x:v>0.3333333333333333</x:v>
      </x:c>
      <x:c r="E1036" s="46" t="n">
        <x:f>D1036*(C1036-1)</x:f>
        <x:v>-0.07181479981895585</x:v>
      </x:c>
      <x:c r="F1036" s="2"/>
      <x:c r="G1036" s="2"/>
      <x:c r="H1036" s="2"/>
    </x:row>
    <x:row r="1037" ht="22" customHeight="1">
      <x:c r="A1037" s="2" t="n">
        <x:v>1031</x:v>
      </x:c>
      <x:c r="B1037" s="79" t="n">
        <x:v>1.9020356505985954</x:v>
      </x:c>
      <x:c r="C1037" s="46" t="n">
        <x:f>B1037^2</x:f>
        <x:v>3.6177396161480218</x:v>
      </x:c>
      <x:c r="D1037" s="47" t="n">
        <x:f>'Datos'!$B$26^3/3</x:f>
        <x:v>0.3333333333333333</x:v>
      </x:c>
      <x:c r="E1037" s="46" t="n">
        <x:f>D1037*(C1037-1)</x:f>
        <x:v>0.8725798720493405</x:v>
      </x:c>
      <x:c r="F1037" s="2"/>
      <x:c r="G1037" s="2"/>
      <x:c r="H1037" s="2"/>
    </x:row>
    <x:row r="1038" ht="22" customHeight="1">
      <x:c r="A1038" s="2" t="n">
        <x:v>1032</x:v>
      </x:c>
      <x:c r="B1038" s="79" t="n">
        <x:v>-0.6765698265734902</x:v>
      </x:c>
      <x:c r="C1038" s="46" t="n">
        <x:f>B1038^2</x:f>
        <x:v>0.4577467302296826</x:v>
      </x:c>
      <x:c r="D1038" s="47" t="n">
        <x:f>'Datos'!$B$26^3/3</x:f>
        <x:v>0.3333333333333333</x:v>
      </x:c>
      <x:c r="E1038" s="46" t="n">
        <x:f>D1038*(C1038-1)</x:f>
        <x:v>-0.18075108992343913</x:v>
      </x:c>
      <x:c r="F1038" s="2"/>
      <x:c r="G1038" s="2"/>
      <x:c r="H1038" s="2"/>
    </x:row>
    <x:row r="1039" ht="22" customHeight="1">
      <x:c r="A1039" s="2" t="n">
        <x:v>1033</x:v>
      </x:c>
      <x:c r="B1039" s="79" t="n">
        <x:v>-0.3433141545105165</x:v>
      </x:c>
      <x:c r="C1039" s="46" t="n">
        <x:f>B1039^2</x:f>
        <x:v>0.11786460868727079</x:v>
      </x:c>
      <x:c r="D1039" s="47" t="n">
        <x:f>'Datos'!$B$26^3/3</x:f>
        <x:v>0.3333333333333333</x:v>
      </x:c>
      <x:c r="E1039" s="46" t="n">
        <x:f>D1039*(C1039-1)</x:f>
        <x:v>-0.2940451304375764</x:v>
      </x:c>
      <x:c r="F1039" s="2"/>
      <x:c r="G1039" s="2"/>
      <x:c r="H1039" s="2"/>
    </x:row>
    <x:row r="1040" ht="22" customHeight="1">
      <x:c r="A1040" s="2" t="n">
        <x:v>1034</x:v>
      </x:c>
      <x:c r="B1040" s="79" t="n">
        <x:v>1.3465836179041963</x:v>
      </x:c>
      <x:c r="C1040" s="46" t="n">
        <x:f>B1040^2</x:f>
        <x:v>1.8132874400079546</x:v>
      </x:c>
      <x:c r="D1040" s="47" t="n">
        <x:f>'Datos'!$B$26^3/3</x:f>
        <x:v>0.3333333333333333</x:v>
      </x:c>
      <x:c r="E1040" s="46" t="n">
        <x:f>D1040*(C1040-1)</x:f>
        <x:v>0.27109581333598487</x:v>
      </x:c>
      <x:c r="F1040" s="2"/>
      <x:c r="G1040" s="2"/>
      <x:c r="H1040" s="2"/>
    </x:row>
    <x:row r="1041" ht="22" customHeight="1">
      <x:c r="A1041" s="2" t="n">
        <x:v>1035</x:v>
      </x:c>
      <x:c r="B1041" s="79" t="n">
        <x:v>-0.8176593860844803</x:v>
      </x:c>
      <x:c r="C1041" s="46" t="n">
        <x:f>B1041^2</x:f>
        <x:v>0.6685668716520492</x:v>
      </x:c>
      <x:c r="D1041" s="47" t="n">
        <x:f>'Datos'!$B$26^3/3</x:f>
        <x:v>0.3333333333333333</x:v>
      </x:c>
      <x:c r="E1041" s="46" t="n">
        <x:f>D1041*(C1041-1)</x:f>
        <x:v>-0.11047770944931692</x:v>
      </x:c>
      <x:c r="F1041" s="2"/>
      <x:c r="G1041" s="2"/>
      <x:c r="H1041" s="2"/>
    </x:row>
    <x:row r="1042" ht="22" customHeight="1">
      <x:c r="A1042" s="2" t="n">
        <x:v>1036</x:v>
      </x:c>
      <x:c r="B1042" s="79" t="n">
        <x:v>-0.4853562972185032</x:v>
      </x:c>
      <x:c r="C1042" s="46" t="n">
        <x:f>B1042^2</x:f>
        <x:v>0.23557073524965602</x:v>
      </x:c>
      <x:c r="D1042" s="47" t="n">
        <x:f>'Datos'!$B$26^3/3</x:f>
        <x:v>0.3333333333333333</x:v>
      </x:c>
      <x:c r="E1042" s="46" t="n">
        <x:f>D1042*(C1042-1)</x:f>
        <x:v>-0.2548097549167813</x:v>
      </x:c>
      <x:c r="F1042" s="2"/>
      <x:c r="G1042" s="2"/>
      <x:c r="H1042" s="2"/>
    </x:row>
    <x:row r="1043" ht="22" customHeight="1">
      <x:c r="A1043" s="2" t="n">
        <x:v>1037</x:v>
      </x:c>
      <x:c r="B1043" s="79" t="n">
        <x:v>1.540328762696306</x:v>
      </x:c>
      <x:c r="C1043" s="46" t="n">
        <x:f>B1043^2</x:f>
        <x:v>2.372612697189533</x:v>
      </x:c>
      <x:c r="D1043" s="47" t="n">
        <x:f>'Datos'!$B$26^3/3</x:f>
        <x:v>0.3333333333333333</x:v>
      </x:c>
      <x:c r="E1043" s="46" t="n">
        <x:f>D1043*(C1043-1)</x:f>
        <x:v>0.4575375657298443</x:v>
      </x:c>
      <x:c r="F1043" s="2"/>
      <x:c r="G1043" s="2"/>
      <x:c r="H1043" s="2"/>
    </x:row>
    <x:row r="1044" ht="22" customHeight="1">
      <x:c r="A1044" s="2" t="n">
        <x:v>1038</x:v>
      </x:c>
      <x:c r="B1044" s="79" t="n">
        <x:v>-0.4030904158870539</x:v>
      </x:c>
      <x:c r="C1044" s="46" t="n">
        <x:f>B1044^2</x:f>
        <x:v>0.16248188337999808</x:v>
      </x:c>
      <x:c r="D1044" s="47" t="n">
        <x:f>'Datos'!$B$26^3/3</x:f>
        <x:v>0.3333333333333333</x:v>
      </x:c>
      <x:c r="E1044" s="46" t="n">
        <x:f>D1044*(C1044-1)</x:f>
        <x:v>-0.2791727055400006</x:v>
      </x:c>
      <x:c r="F1044" s="2"/>
      <x:c r="G1044" s="2"/>
      <x:c r="H1044" s="2"/>
    </x:row>
    <x:row r="1045" ht="22" customHeight="1">
      <x:c r="A1045" s="2" t="n">
        <x:v>1039</x:v>
      </x:c>
      <x:c r="B1045" s="79" t="n">
        <x:v>0.1751877195697396</x:v>
      </x:c>
      <x:c r="C1045" s="46" t="n">
        <x:f>B1045^2</x:f>
        <x:v>0.030690737088045726</x:v>
      </x:c>
      <x:c r="D1045" s="47" t="n">
        <x:f>'Datos'!$B$26^3/3</x:f>
        <x:v>0.3333333333333333</x:v>
      </x:c>
      <x:c r="E1045" s="46" t="n">
        <x:f>D1045*(C1045-1)</x:f>
        <x:v>-0.3231030876373181</x:v>
      </x:c>
      <x:c r="F1045" s="2"/>
      <x:c r="G1045" s="2"/>
      <x:c r="H1045" s="2"/>
    </x:row>
    <x:row r="1046" ht="22" customHeight="1">
      <x:c r="A1046" s="2" t="n">
        <x:v>1040</x:v>
      </x:c>
      <x:c r="B1046" s="79" t="n">
        <x:v>0.4018871780597888</x:v>
      </x:c>
      <x:c r="C1046" s="46" t="n">
        <x:f>B1046^2</x:f>
        <x:v>0.1615133038888604</x:v>
      </x:c>
      <x:c r="D1046" s="47" t="n">
        <x:f>'Datos'!$B$26^3/3</x:f>
        <x:v>0.3333333333333333</x:v>
      </x:c>
      <x:c r="E1046" s="46" t="n">
        <x:f>D1046*(C1046-1)</x:f>
        <x:v>-0.27949556537037984</x:v>
      </x:c>
      <x:c r="F1046" s="2"/>
      <x:c r="G1046" s="2"/>
      <x:c r="H1046" s="2"/>
    </x:row>
    <x:row r="1047" ht="22" customHeight="1">
      <x:c r="A1047" s="2" t="n">
        <x:v>1041</x:v>
      </x:c>
      <x:c r="B1047" s="79" t="n">
        <x:v>-1.3167137666707733</x:v>
      </x:c>
      <x:c r="C1047" s="46" t="n">
        <x:f>B1047^2</x:f>
        <x:v>1.7337351433403356</x:v>
      </x:c>
      <x:c r="D1047" s="47" t="n">
        <x:f>'Datos'!$B$26^3/3</x:f>
        <x:v>0.3333333333333333</x:v>
      </x:c>
      <x:c r="E1047" s="46" t="n">
        <x:f>D1047*(C1047-1)</x:f>
        <x:v>0.2445783811134452</x:v>
      </x:c>
      <x:c r="F1047" s="2"/>
      <x:c r="G1047" s="2"/>
      <x:c r="H1047" s="2"/>
    </x:row>
    <x:row r="1048" ht="22" customHeight="1">
      <x:c r="A1048" s="2" t="n">
        <x:v>1042</x:v>
      </x:c>
      <x:c r="B1048" s="79" t="n">
        <x:v>-2.0708198296750018</x:v>
      </x:c>
      <x:c r="C1048" s="46" t="n">
        <x:f>B1048^2</x:f>
        <x:v>4.288294766975203</x:v>
      </x:c>
      <x:c r="D1048" s="47" t="n">
        <x:f>'Datos'!$B$26^3/3</x:f>
        <x:v>0.3333333333333333</x:v>
      </x:c>
      <x:c r="E1048" s="46" t="n">
        <x:f>D1048*(C1048-1)</x:f>
        <x:v>1.096098255658401</x:v>
      </x:c>
      <x:c r="F1048" s="2"/>
      <x:c r="G1048" s="2"/>
      <x:c r="H1048" s="2"/>
    </x:row>
    <x:row r="1049" ht="22" customHeight="1">
      <x:c r="A1049" s="2" t="n">
        <x:v>1043</x:v>
      </x:c>
      <x:c r="B1049" s="79" t="n">
        <x:v>0.9338047751878373</x:v>
      </x:c>
      <x:c r="C1049" s="46" t="n">
        <x:f>B1049^2</x:f>
        <x:v>0.8719913581636074</x:v>
      </x:c>
      <x:c r="D1049" s="47" t="n">
        <x:f>'Datos'!$B$26^3/3</x:f>
        <x:v>0.3333333333333333</x:v>
      </x:c>
      <x:c r="E1049" s="46" t="n">
        <x:f>D1049*(C1049-1)</x:f>
        <x:v>-0.04266954727879753</x:v>
      </x:c>
      <x:c r="F1049" s="2"/>
      <x:c r="G1049" s="2"/>
      <x:c r="H1049" s="2"/>
    </x:row>
    <x:row r="1050" ht="22" customHeight="1">
      <x:c r="A1050" s="2" t="n">
        <x:v>1044</x:v>
      </x:c>
      <x:c r="B1050" s="79" t="n">
        <x:v>0.2692882472961562</x:v>
      </x:c>
      <x:c r="C1050" s="46" t="n">
        <x:f>B1050^2</x:f>
        <x:v>0.07251616013183577</x:v>
      </x:c>
      <x:c r="D1050" s="47" t="n">
        <x:f>'Datos'!$B$26^3/3</x:f>
        <x:v>0.3333333333333333</x:v>
      </x:c>
      <x:c r="E1050" s="46" t="n">
        <x:f>D1050*(C1050-1)</x:f>
        <x:v>-0.3091612799560547</x:v>
      </x:c>
      <x:c r="F1050" s="2"/>
      <x:c r="G1050" s="2"/>
      <x:c r="H1050" s="2"/>
    </x:row>
    <x:row r="1051" ht="22" customHeight="1">
      <x:c r="A1051" s="2" t="n">
        <x:v>1045</x:v>
      </x:c>
      <x:c r="B1051" s="79" t="n">
        <x:v>-2.300687626188025</x:v>
      </x:c>
      <x:c r="C1051" s="46" t="n">
        <x:f>B1051^2</x:f>
        <x:v>5.293163553294689</x:v>
      </x:c>
      <x:c r="D1051" s="47" t="n">
        <x:f>'Datos'!$B$26^3/3</x:f>
        <x:v>0.3333333333333333</x:v>
      </x:c>
      <x:c r="E1051" s="46" t="n">
        <x:f>D1051*(C1051-1)</x:f>
        <x:v>1.4310545177648963</x:v>
      </x:c>
      <x:c r="F1051" s="2"/>
      <x:c r="G1051" s="2"/>
      <x:c r="H1051" s="2"/>
    </x:row>
    <x:row r="1052" ht="22" customHeight="1">
      <x:c r="A1052" s="2" t="n">
        <x:v>1046</x:v>
      </x:c>
      <x:c r="B1052" s="79" t="n">
        <x:v>-0.9360744813796307</x:v>
      </x:c>
      <x:c r="C1052" s="46" t="n">
        <x:f>B1052^2</x:f>
        <x:v>0.8762354346901445</x:v>
      </x:c>
      <x:c r="D1052" s="47" t="n">
        <x:f>'Datos'!$B$26^3/3</x:f>
        <x:v>0.3333333333333333</x:v>
      </x:c>
      <x:c r="E1052" s="46" t="n">
        <x:f>D1052*(C1052-1)</x:f>
        <x:v>-0.04125485510328515</x:v>
      </x:c>
      <x:c r="F1052" s="2"/>
      <x:c r="G1052" s="2"/>
      <x:c r="H1052" s="2"/>
    </x:row>
    <x:row r="1053" ht="22" customHeight="1">
      <x:c r="A1053" s="2" t="n">
        <x:v>1047</x:v>
      </x:c>
      <x:c r="B1053" s="79" t="n">
        <x:v>0.1293700368618711</x:v>
      </x:c>
      <x:c r="C1053" s="46" t="n">
        <x:f>B1053^2</x:f>
        <x:v>0.016736606437641886</x:v>
      </x:c>
      <x:c r="D1053" s="47" t="n">
        <x:f>'Datos'!$B$26^3/3</x:f>
        <x:v>0.3333333333333333</x:v>
      </x:c>
      <x:c r="E1053" s="46" t="n">
        <x:f>D1053*(C1053-1)</x:f>
        <x:v>-0.32775446452078605</x:v>
      </x:c>
      <x:c r="F1053" s="2"/>
      <x:c r="G1053" s="2"/>
      <x:c r="H1053" s="2"/>
    </x:row>
    <x:row r="1054" ht="22" customHeight="1">
      <x:c r="A1054" s="2" t="n">
        <x:v>1048</x:v>
      </x:c>
      <x:c r="B1054" s="79" t="n">
        <x:v>-1.189567445541932</x:v>
      </x:c>
      <x:c r="C1054" s="46" t="n">
        <x:f>B1054^2</x:f>
        <x:v>1.4150707074931574</x:v>
      </x:c>
      <x:c r="D1054" s="47" t="n">
        <x:f>'Datos'!$B$26^3/3</x:f>
        <x:v>0.3333333333333333</x:v>
      </x:c>
      <x:c r="E1054" s="46" t="n">
        <x:f>D1054*(C1054-1)</x:f>
        <x:v>0.13835690249771915</x:v>
      </x:c>
      <x:c r="F1054" s="2"/>
      <x:c r="G1054" s="2"/>
      <x:c r="H1054" s="2"/>
    </x:row>
    <x:row r="1055" ht="22" customHeight="1">
      <x:c r="A1055" s="2" t="n">
        <x:v>1049</x:v>
      </x:c>
      <x:c r="B1055" s="79" t="n">
        <x:v>0.1430706512272408</x:v>
      </x:c>
      <x:c r="C1055" s="46" t="n">
        <x:f>B1055^2</x:f>
        <x:v>0.02046921124258678</x:v>
      </x:c>
      <x:c r="D1055" s="47" t="n">
        <x:f>'Datos'!$B$26^3/3</x:f>
        <x:v>0.3333333333333333</x:v>
      </x:c>
      <x:c r="E1055" s="46" t="n">
        <x:f>D1055*(C1055-1)</x:f>
        <x:v>-0.3265102629191377</x:v>
      </x:c>
      <x:c r="F1055" s="2"/>
      <x:c r="G1055" s="2"/>
      <x:c r="H1055" s="2"/>
    </x:row>
    <x:row r="1056" ht="22" customHeight="1">
      <x:c r="A1056" s="2" t="n">
        <x:v>1050</x:v>
      </x:c>
      <x:c r="B1056" s="79" t="n">
        <x:v>-1.5805561648108832</x:v>
      </x:c>
      <x:c r="C1056" s="46" t="n">
        <x:f>B1056^2</x:f>
        <x:v>2.498157790121688</x:v>
      </x:c>
      <x:c r="D1056" s="47" t="n">
        <x:f>'Datos'!$B$26^3/3</x:f>
        <x:v>0.3333333333333333</x:v>
      </x:c>
      <x:c r="E1056" s="46" t="n">
        <x:f>D1056*(C1056-1)</x:f>
        <x:v>0.49938593004056264</x:v>
      </x:c>
      <x:c r="F1056" s="2"/>
      <x:c r="G1056" s="2"/>
      <x:c r="H1056" s="2"/>
    </x:row>
    <x:row r="1057" ht="22" customHeight="1">
      <x:c r="A1057" s="2" t="n">
        <x:v>1051</x:v>
      </x:c>
      <x:c r="B1057" s="79" t="n">
        <x:v>-0.23991950188719477</x:v>
      </x:c>
      <x:c r="C1057" s="46" t="n">
        <x:f>B1057^2</x:f>
        <x:v>0.05756136738579965</x:v>
      </x:c>
      <x:c r="D1057" s="47" t="n">
        <x:f>'Datos'!$B$26^3/3</x:f>
        <x:v>0.3333333333333333</x:v>
      </x:c>
      <x:c r="E1057" s="46" t="n">
        <x:f>D1057*(C1057-1)</x:f>
        <x:v>-0.3141462108714001</x:v>
      </x:c>
      <x:c r="F1057" s="2"/>
      <x:c r="G1057" s="2"/>
      <x:c r="H1057" s="2"/>
    </x:row>
    <x:row r="1058" ht="22" customHeight="1">
      <x:c r="A1058" s="2" t="n">
        <x:v>1052</x:v>
      </x:c>
      <x:c r="B1058" s="79" t="n">
        <x:v>1.0795622790969577</x:v>
      </x:c>
      <x:c r="C1058" s="46" t="n">
        <x:f>B1058^2</x:f>
        <x:v>1.1654547144490175</x:v>
      </x:c>
      <x:c r="D1058" s="47" t="n">
        <x:f>'Datos'!$B$26^3/3</x:f>
        <x:v>0.3333333333333333</x:v>
      </x:c>
      <x:c r="E1058" s="46" t="n">
        <x:f>D1058*(C1058-1)</x:f>
        <x:v>0.055151571483005826</x:v>
      </x:c>
      <x:c r="F1058" s="2"/>
      <x:c r="G1058" s="2"/>
      <x:c r="H1058" s="2"/>
    </x:row>
    <x:row r="1059" ht="22" customHeight="1">
      <x:c r="A1059" s="2" t="n">
        <x:v>1053</x:v>
      </x:c>
      <x:c r="B1059" s="79" t="n">
        <x:v>0.4544852207534898</x:v>
      </x:c>
      <x:c r="C1059" s="46" t="n">
        <x:f>B1059^2</x:f>
        <x:v>0.20655681588334834</x:v>
      </x:c>
      <x:c r="D1059" s="47" t="n">
        <x:f>'Datos'!$B$26^3/3</x:f>
        <x:v>0.3333333333333333</x:v>
      </x:c>
      <x:c r="E1059" s="46" t="n">
        <x:f>D1059*(C1059-1)</x:f>
        <x:v>-0.26448106137221716</x:v>
      </x:c>
      <x:c r="F1059" s="2"/>
      <x:c r="G1059" s="2"/>
      <x:c r="H1059" s="2"/>
    </x:row>
    <x:row r="1060" ht="22" customHeight="1">
      <x:c r="A1060" s="2" t="n">
        <x:v>1054</x:v>
      </x:c>
      <x:c r="B1060" s="79" t="n">
        <x:v>0.30425223391420075</x:v>
      </x:c>
      <x:c r="C1060" s="46" t="n">
        <x:f>B1060^2</x:f>
        <x:v>0.09256942184178153</x:v>
      </x:c>
      <x:c r="D1060" s="47" t="n">
        <x:f>'Datos'!$B$26^3/3</x:f>
        <x:v>0.3333333333333333</x:v>
      </x:c>
      <x:c r="E1060" s="46" t="n">
        <x:f>D1060*(C1060-1)</x:f>
        <x:v>-0.3024768593860728</x:v>
      </x:c>
      <x:c r="F1060" s="2"/>
      <x:c r="G1060" s="2"/>
      <x:c r="H1060" s="2"/>
    </x:row>
    <x:row r="1061" ht="22" customHeight="1">
      <x:c r="A1061" s="2" t="n">
        <x:v>1055</x:v>
      </x:c>
      <x:c r="B1061" s="79" t="n">
        <x:v>-0.9134718991463134</x:v>
      </x:c>
      <x:c r="C1061" s="46" t="n">
        <x:f>B1061^2</x:f>
        <x:v>0.8344309105299726</x:v>
      </x:c>
      <x:c r="D1061" s="47" t="n">
        <x:f>'Datos'!$B$26^3/3</x:f>
        <x:v>0.3333333333333333</x:v>
      </x:c>
      <x:c r="E1061" s="46" t="n">
        <x:f>D1061*(C1061-1)</x:f>
        <x:v>-0.05518969649000911</x:v>
      </x:c>
      <x:c r="F1061" s="2"/>
      <x:c r="G1061" s="2"/>
      <x:c r="H1061" s="2"/>
    </x:row>
    <x:row r="1062" ht="22" customHeight="1">
      <x:c r="A1062" s="2" t="n">
        <x:v>1056</x:v>
      </x:c>
      <x:c r="B1062" s="79" t="n">
        <x:v>0.6806740076180375</x:v>
      </x:c>
      <x:c r="C1062" s="46" t="n">
        <x:f>B1062^2</x:f>
        <x:v>0.4633171046468002</x:v>
      </x:c>
      <x:c r="D1062" s="47" t="n">
        <x:f>'Datos'!$B$26^3/3</x:f>
        <x:v>0.3333333333333333</x:v>
      </x:c>
      <x:c r="E1062" s="46" t="n">
        <x:f>D1062*(C1062-1)</x:f>
        <x:v>-0.17889429845106658</x:v>
      </x:c>
      <x:c r="F1062" s="2"/>
      <x:c r="G1062" s="2"/>
      <x:c r="H1062" s="2"/>
    </x:row>
    <x:row r="1063" ht="22" customHeight="1">
      <x:c r="A1063" s="2" t="n">
        <x:v>1057</x:v>
      </x:c>
      <x:c r="B1063" s="79" t="n">
        <x:v>-0.7106294748726341</x:v>
      </x:c>
      <x:c r="C1063" s="46" t="n">
        <x:f>B1063^2</x:f>
        <x:v>0.5049942505577556</x:v>
      </x:c>
      <x:c r="D1063" s="47" t="n">
        <x:f>'Datos'!$B$26^3/3</x:f>
        <x:v>0.3333333333333333</x:v>
      </x:c>
      <x:c r="E1063" s="46" t="n">
        <x:f>D1063*(C1063-1)</x:f>
        <x:v>-0.16500191648074813</x:v>
      </x:c>
      <x:c r="F1063" s="2"/>
      <x:c r="G1063" s="2"/>
      <x:c r="H1063" s="2"/>
    </x:row>
    <x:row r="1064" ht="22" customHeight="1">
      <x:c r="A1064" s="2" t="n">
        <x:v>1058</x:v>
      </x:c>
      <x:c r="B1064" s="79" t="n">
        <x:v>-1.4385106159872663</x:v>
      </x:c>
      <x:c r="C1064" s="46" t="n">
        <x:f>B1064^2</x:f>
        <x:v>2.069312792308064</x:v>
      </x:c>
      <x:c r="D1064" s="47" t="n">
        <x:f>'Datos'!$B$26^3/3</x:f>
        <x:v>0.3333333333333333</x:v>
      </x:c>
      <x:c r="E1064" s="46" t="n">
        <x:f>D1064*(C1064-1)</x:f>
        <x:v>0.3564375974360213</x:v>
      </x:c>
      <x:c r="F1064" s="2"/>
      <x:c r="G1064" s="2"/>
      <x:c r="H1064" s="2"/>
    </x:row>
    <x:row r="1065" ht="22" customHeight="1">
      <x:c r="A1065" s="2" t="n">
        <x:v>1059</x:v>
      </x:c>
      <x:c r="B1065" s="79" t="n">
        <x:v>0.4169106158871824</x:v>
      </x:c>
      <x:c r="C1065" s="46" t="n">
        <x:f>B1065^2</x:f>
        <x:v>0.17381446163942976</x:v>
      </x:c>
      <x:c r="D1065" s="47" t="n">
        <x:f>'Datos'!$B$26^3/3</x:f>
        <x:v>0.3333333333333333</x:v>
      </x:c>
      <x:c r="E1065" s="46" t="n">
        <x:f>D1065*(C1065-1)</x:f>
        <x:v>-0.27539517945352343</x:v>
      </x:c>
      <x:c r="F1065" s="2"/>
      <x:c r="G1065" s="2"/>
      <x:c r="H1065" s="2"/>
    </x:row>
    <x:row r="1066" ht="22" customHeight="1">
      <x:c r="A1066" s="2" t="n">
        <x:v>1060</x:v>
      </x:c>
      <x:c r="B1066" s="79" t="n">
        <x:v>-0.6852366162761474</x:v>
      </x:c>
      <x:c r="C1066" s="46" t="n">
        <x:f>B1066^2</x:f>
        <x:v>0.4695492202855841</x:v>
      </x:c>
      <x:c r="D1066" s="47" t="n">
        <x:f>'Datos'!$B$26^3/3</x:f>
        <x:v>0.3333333333333333</x:v>
      </x:c>
      <x:c r="E1066" s="46" t="n">
        <x:f>D1066*(C1066-1)</x:f>
        <x:v>-0.17681692657147197</x:v>
      </x:c>
      <x:c r="F1066" s="2"/>
      <x:c r="G1066" s="2"/>
      <x:c r="H1066" s="2"/>
    </x:row>
    <x:row r="1067" ht="22" customHeight="1">
      <x:c r="A1067" s="2" t="n">
        <x:v>1061</x:v>
      </x:c>
      <x:c r="B1067" s="79" t="n">
        <x:v>-0.40805424438184945</x:v>
      </x:c>
      <x:c r="C1067" s="46" t="n">
        <x:f>B1067^2</x:f>
        <x:v>0.1665082663580421</x:v>
      </x:c>
      <x:c r="D1067" s="47" t="n">
        <x:f>'Datos'!$B$26^3/3</x:f>
        <x:v>0.3333333333333333</x:v>
      </x:c>
      <x:c r="E1067" s="46" t="n">
        <x:f>D1067*(C1067-1)</x:f>
        <x:v>-0.2778305778806526</x:v>
      </x:c>
      <x:c r="F1067" s="2"/>
      <x:c r="G1067" s="2"/>
      <x:c r="H1067" s="2"/>
    </x:row>
    <x:row r="1068" ht="22" customHeight="1">
      <x:c r="A1068" s="2" t="n">
        <x:v>1062</x:v>
      </x:c>
      <x:c r="B1068" s="79" t="n">
        <x:v>2.361613585741737</x:v>
      </x:c>
      <x:c r="C1068" s="46" t="n">
        <x:f>B1068^2</x:f>
        <x:v>5.577218728359945</x:v>
      </x:c>
      <x:c r="D1068" s="47" t="n">
        <x:f>'Datos'!$B$26^3/3</x:f>
        <x:v>0.3333333333333333</x:v>
      </x:c>
      <x:c r="E1068" s="46" t="n">
        <x:f>D1068*(C1068-1)</x:f>
        <x:v>1.5257395761199817</x:v>
      </x:c>
      <x:c r="F1068" s="2"/>
      <x:c r="G1068" s="2"/>
      <x:c r="H1068" s="2"/>
    </x:row>
    <x:row r="1069" ht="22" customHeight="1">
      <x:c r="A1069" s="2" t="n">
        <x:v>1063</x:v>
      </x:c>
      <x:c r="B1069" s="79" t="n">
        <x:v>-1.0635351320842341</x:v>
      </x:c>
      <x:c r="C1069" s="46" t="n">
        <x:f>B1069^2</x:f>
        <x:v>1.1311069771774294</x:v>
      </x:c>
      <x:c r="D1069" s="47" t="n">
        <x:f>'Datos'!$B$26^3/3</x:f>
        <x:v>0.3333333333333333</x:v>
      </x:c>
      <x:c r="E1069" s="46" t="n">
        <x:f>D1069*(C1069-1)</x:f>
        <x:v>0.04370232572580979</x:v>
      </x:c>
      <x:c r="F1069" s="2"/>
      <x:c r="G1069" s="2"/>
      <x:c r="H1069" s="2"/>
    </x:row>
    <x:row r="1070" ht="22" customHeight="1">
      <x:c r="A1070" s="2" t="n">
        <x:v>1064</x:v>
      </x:c>
      <x:c r="B1070" s="79" t="n">
        <x:v>-1.6431495127204754</x:v>
      </x:c>
      <x:c r="C1070" s="46" t="n">
        <x:f>B1070^2</x:f>
        <x:v>2.6999403211535355</x:v>
      </x:c>
      <x:c r="D1070" s="47" t="n">
        <x:f>'Datos'!$B$26^3/3</x:f>
        <x:v>0.3333333333333333</x:v>
      </x:c>
      <x:c r="E1070" s="46" t="n">
        <x:f>D1070*(C1070-1)</x:f>
        <x:v>0.5666467737178451</x:v>
      </x:c>
      <x:c r="F1070" s="2"/>
      <x:c r="G1070" s="2"/>
      <x:c r="H1070" s="2"/>
    </x:row>
    <x:row r="1071" ht="22" customHeight="1">
      <x:c r="A1071" s="2" t="n">
        <x:v>1065</x:v>
      </x:c>
      <x:c r="B1071" s="79" t="n">
        <x:v>-0.3932059682162737</x:v>
      </x:c>
      <x:c r="C1071" s="46" t="n">
        <x:f>B1071^2</x:f>
        <x:v>0.15461093344089724</x:v>
      </x:c>
      <x:c r="D1071" s="47" t="n">
        <x:f>'Datos'!$B$26^3/3</x:f>
        <x:v>0.3333333333333333</x:v>
      </x:c>
      <x:c r="E1071" s="46" t="n">
        <x:f>D1071*(C1071-1)</x:f>
        <x:v>-0.2817963555197009</x:v>
      </x:c>
      <x:c r="F1071" s="2"/>
      <x:c r="G1071" s="2"/>
      <x:c r="H1071" s="2"/>
    </x:row>
    <x:row r="1072" ht="22" customHeight="1">
      <x:c r="A1072" s="2" t="n">
        <x:v>1066</x:v>
      </x:c>
      <x:c r="B1072" s="79" t="n">
        <x:v>0.8974555418420574</x:v>
      </x:c>
      <x:c r="C1072" s="46" t="n">
        <x:f>B1072^2</x:f>
        <x:v>0.8054264495830209</x:v>
      </x:c>
      <x:c r="D1072" s="47" t="n">
        <x:f>'Datos'!$B$26^3/3</x:f>
        <x:v>0.3333333333333333</x:v>
      </x:c>
      <x:c r="E1072" s="46" t="n">
        <x:f>D1072*(C1072-1)</x:f>
        <x:v>-0.06485785013899303</x:v>
      </x:c>
      <x:c r="F1072" s="2"/>
      <x:c r="G1072" s="2"/>
      <x:c r="H1072" s="2"/>
    </x:row>
    <x:row r="1073" ht="22" customHeight="1">
      <x:c r="A1073" s="2" t="n">
        <x:v>1067</x:v>
      </x:c>
      <x:c r="B1073" s="79" t="n">
        <x:v>1.3154536565440937</x:v>
      </x:c>
      <x:c r="C1073" s="46" t="n">
        <x:f>B1073^2</x:f>
        <x:v>1.7304183225152265</x:v>
      </x:c>
      <x:c r="D1073" s="47" t="n">
        <x:f>'Datos'!$B$26^3/3</x:f>
        <x:v>0.3333333333333333</x:v>
      </x:c>
      <x:c r="E1073" s="46" t="n">
        <x:f>D1073*(C1073-1)</x:f>
        <x:v>0.24347277417174218</x:v>
      </x:c>
      <x:c r="F1073" s="2"/>
      <x:c r="G1073" s="2"/>
      <x:c r="H1073" s="2"/>
    </x:row>
    <x:row r="1074" ht="22" customHeight="1">
      <x:c r="A1074" s="2" t="n">
        <x:v>1068</x:v>
      </x:c>
      <x:c r="B1074" s="79" t="n">
        <x:v>-0.1749453035400674</x:v>
      </x:c>
      <x:c r="C1074" s="46" t="n">
        <x:f>B1074^2</x:f>
        <x:v>0.03060585923072632</x:v>
      </x:c>
      <x:c r="D1074" s="47" t="n">
        <x:f>'Datos'!$B$26^3/3</x:f>
        <x:v>0.3333333333333333</x:v>
      </x:c>
      <x:c r="E1074" s="46" t="n">
        <x:f>D1074*(C1074-1)</x:f>
        <x:v>-0.3231313802564245</x:v>
      </x:c>
      <x:c r="F1074" s="2"/>
      <x:c r="G1074" s="2"/>
      <x:c r="H1074" s="2"/>
    </x:row>
    <x:row r="1075" ht="22" customHeight="1">
      <x:c r="A1075" s="2" t="n">
        <x:v>1069</x:v>
      </x:c>
      <x:c r="B1075" s="79" t="n">
        <x:v>-0.599023293630799</x:v>
      </x:c>
      <x:c r="C1075" s="46" t="n">
        <x:f>B1075^2</x:f>
        <x:v>0.3588289063122904</x:v>
      </x:c>
      <x:c r="D1075" s="47" t="n">
        <x:f>'Datos'!$B$26^3/3</x:f>
        <x:v>0.3333333333333333</x:v>
      </x:c>
      <x:c r="E1075" s="46" t="n">
        <x:f>D1075*(C1075-1)</x:f>
        <x:v>-0.21372369789590318</x:v>
      </x:c>
      <x:c r="F1075" s="2"/>
      <x:c r="G1075" s="2"/>
      <x:c r="H1075" s="2"/>
    </x:row>
    <x:row r="1076" ht="22" customHeight="1">
      <x:c r="A1076" s="2" t="n">
        <x:v>1070</x:v>
      </x:c>
      <x:c r="B1076" s="79" t="n">
        <x:v>0.7387785080444217</x:v>
      </x:c>
      <x:c r="C1076" s="46" t="n">
        <x:f>B1076^2</x:f>
        <x:v>0.5457936839483416</x:v>
      </x:c>
      <x:c r="D1076" s="47" t="n">
        <x:f>'Datos'!$B$26^3/3</x:f>
        <x:v>0.3333333333333333</x:v>
      </x:c>
      <x:c r="E1076" s="46" t="n">
        <x:f>D1076*(C1076-1)</x:f>
        <x:v>-0.1514021053505528</x:v>
      </x:c>
      <x:c r="F1076" s="2"/>
      <x:c r="G1076" s="2"/>
      <x:c r="H1076" s="2"/>
    </x:row>
    <x:row r="1077" ht="22" customHeight="1">
      <x:c r="A1077" s="2" t="n">
        <x:v>1071</x:v>
      </x:c>
      <x:c r="B1077" s="79" t="n">
        <x:v>0.03998198464071497</x:v>
      </x:c>
      <x:c r="C1077" s="46" t="n">
        <x:f>B1077^2</x:f>
        <x:v>0.001598559095810368</x:v>
      </x:c>
      <x:c r="D1077" s="47" t="n">
        <x:f>'Datos'!$B$26^3/3</x:f>
        <x:v>0.3333333333333333</x:v>
      </x:c>
      <x:c r="E1077" s="46" t="n">
        <x:f>D1077*(C1077-1)</x:f>
        <x:v>-0.33280048030139653</x:v>
      </x:c>
      <x:c r="F1077" s="2"/>
      <x:c r="G1077" s="2"/>
      <x:c r="H1077" s="2"/>
    </x:row>
    <x:row r="1078" ht="22" customHeight="1">
      <x:c r="A1078" s="2" t="n">
        <x:v>1072</x:v>
      </x:c>
      <x:c r="B1078" s="79" t="n">
        <x:v>0.015290273330098837</x:v>
      </x:c>
      <x:c r="C1078" s="46" t="n">
        <x:f>B1078^2</x:f>
        <x:v>0.00023379245850913179</x:v>
      </x:c>
      <x:c r="D1078" s="47" t="n">
        <x:f>'Datos'!$B$26^3/3</x:f>
        <x:v>0.3333333333333333</x:v>
      </x:c>
      <x:c r="E1078" s="46" t="n">
        <x:f>D1078*(C1078-1)</x:f>
        <x:v>-0.33325540251383023</x:v>
      </x:c>
      <x:c r="F1078" s="2"/>
      <x:c r="G1078" s="2"/>
      <x:c r="H1078" s="2"/>
    </x:row>
    <x:row r="1079" ht="22" customHeight="1">
      <x:c r="A1079" s="2" t="n">
        <x:v>1073</x:v>
      </x:c>
      <x:c r="B1079" s="79" t="n">
        <x:v>-0.5157884021207142</x:v>
      </x:c>
      <x:c r="C1079" s="46" t="n">
        <x:f>B1079^2</x:f>
        <x:v>0.2660376757622396</x:v>
      </x:c>
      <x:c r="D1079" s="47" t="n">
        <x:f>'Datos'!$B$26^3/3</x:f>
        <x:v>0.3333333333333333</x:v>
      </x:c>
      <x:c r="E1079" s="46" t="n">
        <x:f>D1079*(C1079-1)</x:f>
        <x:v>-0.24465410807925347</x:v>
      </x:c>
      <x:c r="F1079" s="2"/>
      <x:c r="G1079" s="2"/>
      <x:c r="H1079" s="2"/>
    </x:row>
    <x:row r="1080" ht="22" customHeight="1">
      <x:c r="A1080" s="2" t="n">
        <x:v>1074</x:v>
      </x:c>
      <x:c r="B1080" s="79" t="n">
        <x:v>-0.7055116502012617</x:v>
      </x:c>
      <x:c r="C1080" s="46" t="n">
        <x:f>B1080^2</x:f>
        <x:v>0.4977466885697075</x:v>
      </x:c>
      <x:c r="D1080" s="47" t="n">
        <x:f>'Datos'!$B$26^3/3</x:f>
        <x:v>0.3333333333333333</x:v>
      </x:c>
      <x:c r="E1080" s="46" t="n">
        <x:f>D1080*(C1080-1)</x:f>
        <x:v>-0.16741777047676415</x:v>
      </x:c>
      <x:c r="F1080" s="2"/>
      <x:c r="G1080" s="2"/>
      <x:c r="H1080" s="2"/>
    </x:row>
    <x:row r="1081" ht="22" customHeight="1">
      <x:c r="A1081" s="2" t="n">
        <x:v>1075</x:v>
      </x:c>
      <x:c r="B1081" s="79" t="n">
        <x:v>-0.5887146736889091</x:v>
      </x:c>
      <x:c r="C1081" s="46" t="n">
        <x:f>B1081^2</x:f>
        <x:v>0.34658496701663866</x:v>
      </x:c>
      <x:c r="D1081" s="47" t="n">
        <x:f>'Datos'!$B$26^3/3</x:f>
        <x:v>0.3333333333333333</x:v>
      </x:c>
      <x:c r="E1081" s="46" t="n">
        <x:f>D1081*(C1081-1)</x:f>
        <x:v>-0.21780501099445376</x:v>
      </x:c>
      <x:c r="F1081" s="2"/>
      <x:c r="G1081" s="2"/>
      <x:c r="H1081" s="2"/>
    </x:row>
    <x:row r="1082" ht="22" customHeight="1">
      <x:c r="A1082" s="2" t="n">
        <x:v>1076</x:v>
      </x:c>
      <x:c r="B1082" s="79" t="n">
        <x:v>-0.5744662633975655</x:v>
      </x:c>
      <x:c r="C1082" s="46" t="n">
        <x:f>B1082^2</x:f>
        <x:v>0.33001148778196104</x:v>
      </x:c>
      <x:c r="D1082" s="47" t="n">
        <x:f>'Datos'!$B$26^3/3</x:f>
        <x:v>0.3333333333333333</x:v>
      </x:c>
      <x:c r="E1082" s="46" t="n">
        <x:f>D1082*(C1082-1)</x:f>
        <x:v>-0.22332950407267962</x:v>
      </x:c>
      <x:c r="F1082" s="2"/>
      <x:c r="G1082" s="2"/>
      <x:c r="H1082" s="2"/>
    </x:row>
    <x:row r="1083" ht="22" customHeight="1">
      <x:c r="A1083" s="2" t="n">
        <x:v>1077</x:v>
      </x:c>
      <x:c r="B1083" s="79" t="n">
        <x:v>-0.6264179868553174</x:v>
      </x:c>
      <x:c r="C1083" s="46" t="n">
        <x:f>B1083^2</x:f>
        <x:v>0.39239949425586856</x:v>
      </x:c>
      <x:c r="D1083" s="47" t="n">
        <x:f>'Datos'!$B$26^3/3</x:f>
        <x:v>0.3333333333333333</x:v>
      </x:c>
      <x:c r="E1083" s="46" t="n">
        <x:f>D1083*(C1083-1)</x:f>
        <x:v>-0.20253350191471045</x:v>
      </x:c>
      <x:c r="F1083" s="2"/>
      <x:c r="G1083" s="2"/>
      <x:c r="H1083" s="2"/>
    </x:row>
    <x:row r="1084" ht="22" customHeight="1">
      <x:c r="A1084" s="2" t="n">
        <x:v>1078</x:v>
      </x:c>
      <x:c r="B1084" s="79" t="n">
        <x:v>-1.5423052985397578</x:v>
      </x:c>
      <x:c r="C1084" s="46" t="n">
        <x:f>B1084^2</x:f>
        <x:v>2.3787056339038117</x:v>
      </x:c>
      <x:c r="D1084" s="47" t="n">
        <x:f>'Datos'!$B$26^3/3</x:f>
        <x:v>0.3333333333333333</x:v>
      </x:c>
      <x:c r="E1084" s="46" t="n">
        <x:f>D1084*(C1084-1)</x:f>
        <x:v>0.4595685446346039</x:v>
      </x:c>
      <x:c r="F1084" s="2"/>
      <x:c r="G1084" s="2"/>
      <x:c r="H1084" s="2"/>
    </x:row>
    <x:row r="1085" ht="22" customHeight="1">
      <x:c r="A1085" s="2" t="n">
        <x:v>1079</x:v>
      </x:c>
      <x:c r="B1085" s="79" t="n">
        <x:v>-0.3910648887099601</x:v>
      </x:c>
      <x:c r="C1085" s="46" t="n">
        <x:f>B1085^2</x:f>
        <x:v>0.15293174718173347</x:v>
      </x:c>
      <x:c r="D1085" s="47" t="n">
        <x:f>'Datos'!$B$26^3/3</x:f>
        <x:v>0.3333333333333333</x:v>
      </x:c>
      <x:c r="E1085" s="46" t="n">
        <x:f>D1085*(C1085-1)</x:f>
        <x:v>-0.2823560842727555</x:v>
      </x:c>
      <x:c r="F1085" s="2"/>
      <x:c r="G1085" s="2"/>
      <x:c r="H1085" s="2"/>
    </x:row>
    <x:row r="1086" ht="22" customHeight="1">
      <x:c r="A1086" s="2" t="n">
        <x:v>1080</x:v>
      </x:c>
      <x:c r="B1086" s="79" t="n">
        <x:v>0.5176498285123065</x:v>
      </x:c>
      <x:c r="C1086" s="46" t="n">
        <x:f>B1086^2</x:f>
        <x:v>0.2679613449588203</x:v>
      </x:c>
      <x:c r="D1086" s="47" t="n">
        <x:f>'Datos'!$B$26^3/3</x:f>
        <x:v>0.3333333333333333</x:v>
      </x:c>
      <x:c r="E1086" s="46" t="n">
        <x:f>D1086*(C1086-1)</x:f>
        <x:v>-0.24401288501372656</x:v>
      </x:c>
      <x:c r="F1086" s="2"/>
      <x:c r="G1086" s="2"/>
      <x:c r="H1086" s="2"/>
    </x:row>
    <x:row r="1087" ht="22" customHeight="1">
      <x:c r="A1087" s="2" t="n">
        <x:v>1081</x:v>
      </x:c>
      <x:c r="B1087" s="79" t="n">
        <x:v>-0.9120227546549422</x:v>
      </x:c>
      <x:c r="C1087" s="46" t="n">
        <x:f>B1087^2</x:f>
        <x:v>0.8317855050083889</x:v>
      </x:c>
      <x:c r="D1087" s="47" t="n">
        <x:f>'Datos'!$B$26^3/3</x:f>
        <x:v>0.3333333333333333</x:v>
      </x:c>
      <x:c r="E1087" s="46" t="n">
        <x:f>D1087*(C1087-1)</x:f>
        <x:v>-0.05607149833053704</x:v>
      </x:c>
      <x:c r="F1087" s="2"/>
      <x:c r="G1087" s="2"/>
      <x:c r="H1087" s="2"/>
    </x:row>
    <x:row r="1088" ht="22" customHeight="1">
      <x:c r="A1088" s="2" t="n">
        <x:v>1082</x:v>
      </x:c>
      <x:c r="B1088" s="79" t="n">
        <x:v>-1.6659045380716035</x:v>
      </x:c>
      <x:c r="C1088" s="46" t="n">
        <x:f>B1088^2</x:f>
        <x:v>2.7752379299675627</x:v>
      </x:c>
      <x:c r="D1088" s="47" t="n">
        <x:f>'Datos'!$B$26^3/3</x:f>
        <x:v>0.3333333333333333</x:v>
      </x:c>
      <x:c r="E1088" s="46" t="n">
        <x:f>D1088*(C1088-1)</x:f>
        <x:v>0.5917459766558542</x:v>
      </x:c>
      <x:c r="F1088" s="2"/>
      <x:c r="G1088" s="2"/>
      <x:c r="H1088" s="2"/>
    </x:row>
    <x:row r="1089" ht="22" customHeight="1">
      <x:c r="A1089" s="2" t="n">
        <x:v>1083</x:v>
      </x:c>
      <x:c r="B1089" s="79" t="n">
        <x:v>0.7718978581744299</x:v>
      </x:c>
      <x:c r="C1089" s="46" t="n">
        <x:f>B1089^2</x:f>
        <x:v>0.5958263034542723</x:v>
      </x:c>
      <x:c r="D1089" s="47" t="n">
        <x:f>'Datos'!$B$26^3/3</x:f>
        <x:v>0.3333333333333333</x:v>
      </x:c>
      <x:c r="E1089" s="46" t="n">
        <x:f>D1089*(C1089-1)</x:f>
        <x:v>-0.13472456551524253</x:v>
      </x:c>
      <x:c r="F1089" s="2"/>
      <x:c r="G1089" s="2"/>
      <x:c r="H1089" s="2"/>
    </x:row>
    <x:row r="1090" ht="22" customHeight="1">
      <x:c r="A1090" s="2" t="n">
        <x:v>1084</x:v>
      </x:c>
      <x:c r="B1090" s="79" t="n">
        <x:v>0.40391096625621037</x:v>
      </x:c>
      <x:c r="C1090" s="46" t="n">
        <x:f>B1090^2</x:f>
        <x:v>0.16314406866202552</x:v>
      </x:c>
      <x:c r="D1090" s="47" t="n">
        <x:f>'Datos'!$B$26^3/3</x:f>
        <x:v>0.3333333333333333</x:v>
      </x:c>
      <x:c r="E1090" s="46" t="n">
        <x:f>D1090*(C1090-1)</x:f>
        <x:v>-0.2789519771126581</x:v>
      </x:c>
      <x:c r="F1090" s="2"/>
      <x:c r="G1090" s="2"/>
      <x:c r="H1090" s="2"/>
    </x:row>
    <x:row r="1091" ht="22" customHeight="1">
      <x:c r="A1091" s="2" t="n">
        <x:v>1085</x:v>
      </x:c>
      <x:c r="B1091" s="79" t="n">
        <x:v>-0.769458448430742</x:v>
      </x:c>
      <x:c r="C1091" s="46" t="n">
        <x:f>B1091^2</x:f>
        <x:v>0.5920663038614448</x:v>
      </x:c>
      <x:c r="D1091" s="47" t="n">
        <x:f>'Datos'!$B$26^3/3</x:f>
        <x:v>0.3333333333333333</x:v>
      </x:c>
      <x:c r="E1091" s="46" t="n">
        <x:f>D1091*(C1091-1)</x:f>
        <x:v>-0.13597789871285174</x:v>
      </x:c>
      <x:c r="F1091" s="2"/>
      <x:c r="G1091" s="2"/>
      <x:c r="H1091" s="2"/>
    </x:row>
    <x:row r="1092" ht="22" customHeight="1">
      <x:c r="A1092" s="2" t="n">
        <x:v>1086</x:v>
      </x:c>
      <x:c r="B1092" s="79" t="n">
        <x:v>0.3647877609629715</x:v>
      </x:c>
      <x:c r="C1092" s="46" t="n">
        <x:f>B1092^2</x:f>
        <x:v>0.13307011054837803</x:v>
      </x:c>
      <x:c r="D1092" s="47" t="n">
        <x:f>'Datos'!$B$26^3/3</x:f>
        <x:v>0.3333333333333333</x:v>
      </x:c>
      <x:c r="E1092" s="46" t="n">
        <x:f>D1092*(C1092-1)</x:f>
        <x:v>-0.2889766298172073</x:v>
      </x:c>
      <x:c r="F1092" s="2"/>
      <x:c r="G1092" s="2"/>
      <x:c r="H1092" s="2"/>
    </x:row>
    <x:row r="1093" ht="22" customHeight="1">
      <x:c r="A1093" s="2" t="n">
        <x:v>1087</x:v>
      </x:c>
      <x:c r="B1093" s="79" t="n">
        <x:v>-0.7223012513695601</x:v>
      </x:c>
      <x:c r="C1093" s="46" t="n">
        <x:f>B1093^2</x:f>
        <x:v>0.5217190977300326</x:v>
      </x:c>
      <x:c r="D1093" s="47" t="n">
        <x:f>'Datos'!$B$26^3/3</x:f>
        <x:v>0.3333333333333333</x:v>
      </x:c>
      <x:c r="E1093" s="46" t="n">
        <x:f>D1093*(C1093-1)</x:f>
        <x:v>-0.15942696742332246</x:v>
      </x:c>
      <x:c r="F1093" s="2"/>
      <x:c r="G1093" s="2"/>
      <x:c r="H1093" s="2"/>
    </x:row>
    <x:row r="1094" ht="22" customHeight="1">
      <x:c r="A1094" s="2" t="n">
        <x:v>1088</x:v>
      </x:c>
      <x:c r="B1094" s="79" t="n">
        <x:v>1.117471582884906</x:v>
      </x:c>
      <x:c r="C1094" s="46" t="n">
        <x:f>B1094^2</x:f>
        <x:v>1.2487427385552974</x:v>
      </x:c>
      <x:c r="D1094" s="47" t="n">
        <x:f>'Datos'!$B$26^3/3</x:f>
        <x:v>0.3333333333333333</x:v>
      </x:c>
      <x:c r="E1094" s="46" t="n">
        <x:f>D1094*(C1094-1)</x:f>
        <x:v>0.08291424618509913</x:v>
      </x:c>
      <x:c r="F1094" s="2"/>
      <x:c r="G1094" s="2"/>
      <x:c r="H1094" s="2"/>
    </x:row>
    <x:row r="1095" ht="22" customHeight="1">
      <x:c r="A1095" s="2" t="n">
        <x:v>1089</x:v>
      </x:c>
      <x:c r="B1095" s="79" t="n">
        <x:v>-0.8951099803845336</x:v>
      </x:c>
      <x:c r="C1095" s="46" t="n">
        <x:f>B1095^2</x:f>
        <x:v>0.8012218769840002</x:v>
      </x:c>
      <x:c r="D1095" s="47" t="n">
        <x:f>'Datos'!$B$26^3/3</x:f>
        <x:v>0.3333333333333333</x:v>
      </x:c>
      <x:c r="E1095" s="46" t="n">
        <x:f>D1095*(C1095-1)</x:f>
        <x:v>-0.0662593743386666</x:v>
      </x:c>
      <x:c r="F1095" s="2"/>
      <x:c r="G1095" s="2"/>
      <x:c r="H1095" s="2"/>
    </x:row>
    <x:row r="1096" ht="22" customHeight="1">
      <x:c r="A1096" s="2" t="n">
        <x:v>1090</x:v>
      </x:c>
      <x:c r="B1096" s="79" t="n">
        <x:v>0.23310424039346717</x:v>
      </x:c>
      <x:c r="C1096" s="46" t="n">
        <x:f>B1096^2</x:f>
        <x:v>0.054337586889415326</x:v>
      </x:c>
      <x:c r="D1096" s="47" t="n">
        <x:f>'Datos'!$B$26^3/3</x:f>
        <x:v>0.3333333333333333</x:v>
      </x:c>
      <x:c r="E1096" s="46" t="n">
        <x:f>D1096*(C1096-1)</x:f>
        <x:v>-0.31522080437019484</x:v>
      </x:c>
      <x:c r="F1096" s="2"/>
      <x:c r="G1096" s="2"/>
      <x:c r="H1096" s="2"/>
    </x:row>
    <x:row r="1097" ht="22" customHeight="1">
      <x:c r="A1097" s="2" t="n">
        <x:v>1091</x:v>
      </x:c>
      <x:c r="B1097" s="79" t="n">
        <x:v>-2.5034715408375936</x:v>
      </x:c>
      <x:c r="C1097" s="46" t="n">
        <x:f>B1097^2</x:f>
        <x:v>6.267369755783755</x:v>
      </x:c>
      <x:c r="D1097" s="47" t="n">
        <x:f>'Datos'!$B$26^3/3</x:f>
        <x:v>0.3333333333333333</x:v>
      </x:c>
      <x:c r="E1097" s="46" t="n">
        <x:f>D1097*(C1097-1)</x:f>
        <x:v>1.7557899185945849</x:v>
      </x:c>
      <x:c r="F1097" s="2"/>
      <x:c r="G1097" s="2"/>
      <x:c r="H1097" s="2"/>
    </x:row>
    <x:row r="1098" ht="22" customHeight="1">
      <x:c r="A1098" s="2" t="n">
        <x:v>1092</x:v>
      </x:c>
      <x:c r="B1098" s="79" t="n">
        <x:v>0.3639360951993196</x:v>
      </x:c>
      <x:c r="C1098" s="46" t="n">
        <x:f>B1098^2</x:f>
        <x:v>0.1324494813889282</x:v>
      </x:c>
      <x:c r="D1098" s="47" t="n">
        <x:f>'Datos'!$B$26^3/3</x:f>
        <x:v>0.3333333333333333</x:v>
      </x:c>
      <x:c r="E1098" s="46" t="n">
        <x:f>D1098*(C1098-1)</x:f>
        <x:v>-0.2891835062036906</x:v>
      </x:c>
      <x:c r="F1098" s="2"/>
      <x:c r="G1098" s="2"/>
      <x:c r="H1098" s="2"/>
    </x:row>
    <x:row r="1099" ht="22" customHeight="1">
      <x:c r="A1099" s="2" t="n">
        <x:v>1093</x:v>
      </x:c>
      <x:c r="B1099" s="79" t="n">
        <x:v>-0.6485842876504841</x:v>
      </x:c>
      <x:c r="C1099" s="46" t="n">
        <x:f>B1099^2</x:f>
        <x:v>0.42066157818708594</x:v>
      </x:c>
      <x:c r="D1099" s="47" t="n">
        <x:f>'Datos'!$B$26^3/3</x:f>
        <x:v>0.3333333333333333</x:v>
      </x:c>
      <x:c r="E1099" s="46" t="n">
        <x:f>D1099*(C1099-1)</x:f>
        <x:v>-0.19311280727097135</x:v>
      </x:c>
      <x:c r="F1099" s="2"/>
      <x:c r="G1099" s="2"/>
      <x:c r="H1099" s="2"/>
    </x:row>
    <x:row r="1100" ht="22" customHeight="1">
      <x:c r="A1100" s="2" t="n">
        <x:v>1094</x:v>
      </x:c>
      <x:c r="B1100" s="79" t="n">
        <x:v>-1.463121292504797</x:v>
      </x:c>
      <x:c r="C1100" s="46" t="n">
        <x:f>B1100^2</x:f>
        <x:v>2.1407239165809075</x:v>
      </x:c>
      <x:c r="D1100" s="47" t="n">
        <x:f>'Datos'!$B$26^3/3</x:f>
        <x:v>0.3333333333333333</x:v>
      </x:c>
      <x:c r="E1100" s="46" t="n">
        <x:f>D1100*(C1100-1)</x:f>
        <x:v>0.38024130552696916</x:v>
      </x:c>
      <x:c r="F1100" s="2"/>
      <x:c r="G1100" s="2"/>
      <x:c r="H1100" s="2"/>
    </x:row>
    <x:row r="1101" ht="22" customHeight="1">
      <x:c r="A1101" s="2" t="n">
        <x:v>1095</x:v>
      </x:c>
      <x:c r="B1101" s="79" t="n">
        <x:v>0.34330664919165405</x:v>
      </x:c>
      <x:c r="C1101" s="46" t="n">
        <x:f>B1101^2</x:f>
        <x:v>0.11785945537920142</x:v>
      </x:c>
      <x:c r="D1101" s="47" t="n">
        <x:f>'Datos'!$B$26^3/3</x:f>
        <x:v>0.3333333333333333</x:v>
      </x:c>
      <x:c r="E1101" s="46" t="n">
        <x:f>D1101*(C1101-1)</x:f>
        <x:v>-0.29404684820693283</x:v>
      </x:c>
      <x:c r="F1101" s="2"/>
      <x:c r="G1101" s="2"/>
      <x:c r="H1101" s="2"/>
    </x:row>
    <x:row r="1102" ht="22" customHeight="1">
      <x:c r="A1102" s="2" t="n">
        <x:v>1096</x:v>
      </x:c>
      <x:c r="B1102" s="79" t="n">
        <x:v>-0.025773738721046255</x:v>
      </x:c>
      <x:c r="C1102" s="46" t="n">
        <x:f>B1102^2</x:f>
        <x:v>0.0006642856076607591</x:v>
      </x:c>
      <x:c r="D1102" s="47" t="n">
        <x:f>'Datos'!$B$26^3/3</x:f>
        <x:v>0.3333333333333333</x:v>
      </x:c>
      <x:c r="E1102" s="46" t="n">
        <x:f>D1102*(C1102-1)</x:f>
        <x:v>-0.3331119047974464</x:v>
      </x:c>
      <x:c r="F1102" s="2"/>
      <x:c r="G1102" s="2"/>
      <x:c r="H1102" s="2"/>
    </x:row>
    <x:row r="1103" ht="22" customHeight="1">
      <x:c r="A1103" s="2" t="n">
        <x:v>1097</x:v>
      </x:c>
      <x:c r="B1103" s="79" t="n">
        <x:v>-1.7484442608284083</x:v>
      </x:c>
      <x:c r="C1103" s="46" t="n">
        <x:f>B1103^2</x:f>
        <x:v>3.057057333223799</x:v>
      </x:c>
      <x:c r="D1103" s="47" t="n">
        <x:f>'Datos'!$B$26^3/3</x:f>
        <x:v>0.3333333333333333</x:v>
      </x:c>
      <x:c r="E1103" s="46" t="n">
        <x:f>D1103*(C1103-1)</x:f>
        <x:v>0.6856857777412664</x:v>
      </x:c>
      <x:c r="F1103" s="2"/>
      <x:c r="G1103" s="2"/>
      <x:c r="H1103" s="2"/>
    </x:row>
    <x:row r="1104" ht="22" customHeight="1">
      <x:c r="A1104" s="2" t="n">
        <x:v>1098</x:v>
      </x:c>
      <x:c r="B1104" s="79" t="n">
        <x:v>0.926221871162529</x:v>
      </x:c>
      <x:c r="C1104" s="46" t="n">
        <x:f>B1104^2</x:f>
        <x:v>0.8578869546198165</x:v>
      </x:c>
      <x:c r="D1104" s="47" t="n">
        <x:f>'Datos'!$B$26^3/3</x:f>
        <x:v>0.3333333333333333</x:v>
      </x:c>
      <x:c r="E1104" s="46" t="n">
        <x:f>D1104*(C1104-1)</x:f>
        <x:v>-0.047371015126727846</x:v>
      </x:c>
      <x:c r="F1104" s="2"/>
      <x:c r="G1104" s="2"/>
      <x:c r="H1104" s="2"/>
    </x:row>
    <x:row r="1105" ht="22" customHeight="1">
      <x:c r="A1105" s="2" t="n">
        <x:v>1099</x:v>
      </x:c>
      <x:c r="B1105" s="79" t="n">
        <x:v>-0.6563720087143162</x:v>
      </x:c>
      <x:c r="C1105" s="46" t="n">
        <x:f>B1105^2</x:f>
        <x:v>0.4308242138236664</x:v>
      </x:c>
      <x:c r="D1105" s="47" t="n">
        <x:f>'Datos'!$B$26^3/3</x:f>
        <x:v>0.3333333333333333</x:v>
      </x:c>
      <x:c r="E1105" s="46" t="n">
        <x:f>D1105*(C1105-1)</x:f>
        <x:v>-0.18972526205877785</x:v>
      </x:c>
      <x:c r="F1105" s="2"/>
      <x:c r="G1105" s="2"/>
      <x:c r="H1105" s="2"/>
    </x:row>
    <x:row r="1106" ht="22" customHeight="1">
      <x:c r="A1106" s="2" t="n">
        <x:v>1100</x:v>
      </x:c>
      <x:c r="B1106" s="79" t="n">
        <x:v>-0.06414028177813996</x:v>
      </x:c>
      <x:c r="C1106" s="46" t="n">
        <x:f>B1106^2</x:f>
        <x:v>0.004113975746579193</x:v>
      </x:c>
      <x:c r="D1106" s="47" t="n">
        <x:f>'Datos'!$B$26^3/3</x:f>
        <x:v>0.3333333333333333</x:v>
      </x:c>
      <x:c r="E1106" s="46" t="n">
        <x:f>D1106*(C1106-1)</x:f>
        <x:v>-0.33196200808447357</x:v>
      </x:c>
      <x:c r="F1106" s="2"/>
      <x:c r="G1106" s="2"/>
      <x:c r="H1106" s="2"/>
    </x:row>
    <x:row r="1107" ht="22" customHeight="1">
      <x:c r="A1107" s="2" t="n">
        <x:v>1101</x:v>
      </x:c>
      <x:c r="B1107" s="79" t="n">
        <x:v>1.0231334463055086</x:v>
      </x:c>
      <x:c r="C1107" s="46" t="n">
        <x:f>B1107^2</x:f>
        <x:v>1.046802048948987</x:v>
      </x:c>
      <x:c r="D1107" s="47" t="n">
        <x:f>'Datos'!$B$26^3/3</x:f>
        <x:v>0.3333333333333333</x:v>
      </x:c>
      <x:c r="E1107" s="46" t="n">
        <x:f>D1107*(C1107-1)</x:f>
        <x:v>0.015600682982995698</x:v>
      </x:c>
      <x:c r="F1107" s="2"/>
      <x:c r="G1107" s="2"/>
      <x:c r="H1107" s="2"/>
    </x:row>
    <x:row r="1108" ht="22" customHeight="1">
      <x:c r="A1108" s="2" t="n">
        <x:v>1102</x:v>
      </x:c>
      <x:c r="B1108" s="79" t="n">
        <x:v>-0.3849986209742308</x:v>
      </x:c>
      <x:c r="C1108" s="46" t="n">
        <x:f>B1108^2</x:f>
        <x:v>0.14822393815205945</x:v>
      </x:c>
      <x:c r="D1108" s="47" t="n">
        <x:f>'Datos'!$B$26^3/3</x:f>
        <x:v>0.3333333333333333</x:v>
      </x:c>
      <x:c r="E1108" s="46" t="n">
        <x:f>D1108*(C1108-1)</x:f>
        <x:v>-0.2839253539493135</x:v>
      </x:c>
      <x:c r="F1108" s="2"/>
      <x:c r="G1108" s="2"/>
      <x:c r="H1108" s="2"/>
    </x:row>
    <x:row r="1109" ht="22" customHeight="1">
      <x:c r="A1109" s="2" t="n">
        <x:v>1103</x:v>
      </x:c>
      <x:c r="B1109" s="79" t="n">
        <x:v>1.7914789658656203</x:v>
      </x:c>
      <x:c r="C1109" s="46" t="n">
        <x:f>B1109^2</x:f>
        <x:v>3.2093968851389523</x:v>
      </x:c>
      <x:c r="D1109" s="47" t="n">
        <x:f>'Datos'!$B$26^3/3</x:f>
        <x:v>0.3333333333333333</x:v>
      </x:c>
      <x:c r="E1109" s="46" t="n">
        <x:f>D1109*(C1109-1)</x:f>
        <x:v>0.7364656283796507</x:v>
      </x:c>
      <x:c r="F1109" s="2"/>
      <x:c r="G1109" s="2"/>
      <x:c r="H1109" s="2"/>
    </x:row>
    <x:row r="1110" ht="22" customHeight="1">
      <x:c r="A1110" s="2" t="n">
        <x:v>1104</x:v>
      </x:c>
      <x:c r="B1110" s="79" t="n">
        <x:v>0.20018113967268183</x:v>
      </x:c>
      <x:c r="C1110" s="46" t="n">
        <x:f>B1110^2</x:f>
        <x:v>0.04007248868065375</x:v>
      </x:c>
      <x:c r="D1110" s="47" t="n">
        <x:f>'Datos'!$B$26^3/3</x:f>
        <x:v>0.3333333333333333</x:v>
      </x:c>
      <x:c r="E1110" s="46" t="n">
        <x:f>D1110*(C1110-1)</x:f>
        <x:v>-0.3199758371064487</x:v>
      </x:c>
      <x:c r="F1110" s="2"/>
      <x:c r="G1110" s="2"/>
      <x:c r="H1110" s="2"/>
    </x:row>
    <x:row r="1111" ht="22" customHeight="1">
      <x:c r="A1111" s="2" t="n">
        <x:v>1105</x:v>
      </x:c>
      <x:c r="B1111" s="79" t="n">
        <x:v>-0.9012002983680498</x:v>
      </x:c>
      <x:c r="C1111" s="46" t="n">
        <x:f>B1111^2</x:f>
        <x:v>0.8121619777786621</x:v>
      </x:c>
      <x:c r="D1111" s="47" t="n">
        <x:f>'Datos'!$B$26^3/3</x:f>
        <x:v>0.3333333333333333</x:v>
      </x:c>
      <x:c r="E1111" s="46" t="n">
        <x:f>D1111*(C1111-1)</x:f>
        <x:v>-0.06261267407377931</x:v>
      </x:c>
      <x:c r="F1111" s="2"/>
      <x:c r="G1111" s="2"/>
      <x:c r="H1111" s="2"/>
    </x:row>
    <x:row r="1112" ht="22" customHeight="1">
      <x:c r="A1112" s="2" t="n">
        <x:v>1106</x:v>
      </x:c>
      <x:c r="B1112" s="79" t="n">
        <x:v>1.4849752095959048</x:v>
      </x:c>
      <x:c r="C1112" s="46" t="n">
        <x:f>B1112^2</x:f>
        <x:v>2.2051513731144015</x:v>
      </x:c>
      <x:c r="D1112" s="47" t="n">
        <x:f>'Datos'!$B$26^3/3</x:f>
        <x:v>0.3333333333333333</x:v>
      </x:c>
      <x:c r="E1112" s="46" t="n">
        <x:f>D1112*(C1112-1)</x:f>
        <x:v>0.4017171243714671</x:v>
      </x:c>
      <x:c r="F1112" s="2"/>
      <x:c r="G1112" s="2"/>
      <x:c r="H1112" s="2"/>
    </x:row>
    <x:row r="1113" ht="22" customHeight="1">
      <x:c r="A1113" s="2" t="n">
        <x:v>1107</x:v>
      </x:c>
      <x:c r="B1113" s="79" t="n">
        <x:v>-2.1890516726304012</x:v>
      </x:c>
      <x:c r="C1113" s="46" t="n">
        <x:f>B1113^2</x:f>
        <x:v>4.791947225445957</x:v>
      </x:c>
      <x:c r="D1113" s="47" t="n">
        <x:f>'Datos'!$B$26^3/3</x:f>
        <x:v>0.3333333333333333</x:v>
      </x:c>
      <x:c r="E1113" s="46" t="n">
        <x:f>D1113*(C1113-1)</x:f>
        <x:v>1.2639824084819857</x:v>
      </x:c>
      <x:c r="F1113" s="2"/>
      <x:c r="G1113" s="2"/>
      <x:c r="H1113" s="2"/>
    </x:row>
    <x:row r="1114" ht="22" customHeight="1">
      <x:c r="A1114" s="2" t="n">
        <x:v>1108</x:v>
      </x:c>
      <x:c r="B1114" s="79" t="n">
        <x:v>-0.3840876350768773</x:v>
      </x:c>
      <x:c r="C1114" s="46" t="n">
        <x:f>B1114^2</x:f>
        <x:v>0.14752331141894848</x:v>
      </x:c>
      <x:c r="D1114" s="47" t="n">
        <x:f>'Datos'!$B$26^3/3</x:f>
        <x:v>0.3333333333333333</x:v>
      </x:c>
      <x:c r="E1114" s="46" t="n">
        <x:f>D1114*(C1114-1)</x:f>
        <x:v>-0.28415889619368384</x:v>
      </x:c>
      <x:c r="F1114" s="2"/>
      <x:c r="G1114" s="2"/>
      <x:c r="H1114" s="2"/>
    </x:row>
    <x:row r="1115" ht="22" customHeight="1">
      <x:c r="A1115" s="2" t="n">
        <x:v>1109</x:v>
      </x:c>
      <x:c r="B1115" s="79" t="n">
        <x:v>0.21731921668212278</x:v>
      </x:c>
      <x:c r="C1115" s="46" t="n">
        <x:f>B1115^2</x:f>
        <x:v>0.04722764193933143</x:v>
      </x:c>
      <x:c r="D1115" s="47" t="n">
        <x:f>'Datos'!$B$26^3/3</x:f>
        <x:v>0.3333333333333333</x:v>
      </x:c>
      <x:c r="E1115" s="46" t="n">
        <x:f>D1115*(C1115-1)</x:f>
        <x:v>-0.31759078602022284</x:v>
      </x:c>
      <x:c r="F1115" s="2"/>
      <x:c r="G1115" s="2"/>
      <x:c r="H1115" s="2"/>
    </x:row>
    <x:row r="1116" ht="22" customHeight="1">
      <x:c r="A1116" s="2" t="n">
        <x:v>1110</x:v>
      </x:c>
      <x:c r="B1116" s="79" t="n">
        <x:v>-0.7963908827950491</x:v>
      </x:c>
      <x:c r="C1116" s="46" t="n">
        <x:f>B1116^2</x:f>
        <x:v>0.6342384381990777</x:v>
      </x:c>
      <x:c r="D1116" s="47" t="n">
        <x:f>'Datos'!$B$26^3/3</x:f>
        <x:v>0.3333333333333333</x:v>
      </x:c>
      <x:c r="E1116" s="46" t="n">
        <x:f>D1116*(C1116-1)</x:f>
        <x:v>-0.12192052060030745</x:v>
      </x:c>
      <x:c r="F1116" s="2"/>
      <x:c r="G1116" s="2"/>
      <x:c r="H1116" s="2"/>
    </x:row>
    <x:row r="1117" ht="22" customHeight="1">
      <x:c r="A1117" s="2" t="n">
        <x:v>1111</x:v>
      </x:c>
      <x:c r="B1117" s="79" t="n">
        <x:v>1.29795486861869</x:v>
      </x:c>
      <x:c r="C1117" s="46" t="n">
        <x:f>B1117^2</x:f>
        <x:v>1.6846868409709606</x:v>
      </x:c>
      <x:c r="D1117" s="47" t="n">
        <x:f>'Datos'!$B$26^3/3</x:f>
        <x:v>0.3333333333333333</x:v>
      </x:c>
      <x:c r="E1117" s="46" t="n">
        <x:f>D1117*(C1117-1)</x:f>
        <x:v>0.22822894699032018</x:v>
      </x:c>
      <x:c r="F1117" s="2"/>
      <x:c r="G1117" s="2"/>
      <x:c r="H1117" s="2"/>
    </x:row>
    <x:row r="1118" ht="22" customHeight="1">
      <x:c r="A1118" s="2" t="n">
        <x:v>1112</x:v>
      </x:c>
      <x:c r="B1118" s="79" t="n">
        <x:v>0.6820996141008133</x:v>
      </x:c>
      <x:c r="C1118" s="46" t="n">
        <x:f>B1118^2</x:f>
        <x:v>0.46525988355647846</x:v>
      </x:c>
      <x:c r="D1118" s="47" t="n">
        <x:f>'Datos'!$B$26^3/3</x:f>
        <x:v>0.3333333333333333</x:v>
      </x:c>
      <x:c r="E1118" s="46" t="n">
        <x:f>D1118*(C1118-1)</x:f>
        <x:v>-0.17824670548117383</x:v>
      </x:c>
      <x:c r="F1118" s="2"/>
      <x:c r="G1118" s="2"/>
      <x:c r="H1118" s="2"/>
    </x:row>
    <x:row r="1119" ht="22" customHeight="1">
      <x:c r="A1119" s="2" t="n">
        <x:v>1113</x:v>
      </x:c>
      <x:c r="B1119" s="79" t="n">
        <x:v>-0.1660904723336718</x:v>
      </x:c>
      <x:c r="C1119" s="46" t="n">
        <x:f>B1119^2</x:f>
        <x:v>0.027586045000022198</x:v>
      </x:c>
      <x:c r="D1119" s="47" t="n">
        <x:f>'Datos'!$B$26^3/3</x:f>
        <x:v>0.3333333333333333</x:v>
      </x:c>
      <x:c r="E1119" s="46" t="n">
        <x:f>D1119*(C1119-1)</x:f>
        <x:v>-0.3241379849999926</x:v>
      </x:c>
      <x:c r="F1119" s="2"/>
      <x:c r="G1119" s="2"/>
      <x:c r="H1119" s="2"/>
    </x:row>
    <x:row r="1120" ht="22" customHeight="1">
      <x:c r="A1120" s="2" t="n">
        <x:v>1114</x:v>
      </x:c>
      <x:c r="B1120" s="79" t="n">
        <x:v>0.19712343568945612</x:v>
      </x:c>
      <x:c r="C1120" s="46" t="n">
        <x:f>B1120^2</x:f>
        <x:v>0.03885764889801514</x:v>
      </x:c>
      <x:c r="D1120" s="47" t="n">
        <x:f>'Datos'!$B$26^3/3</x:f>
        <x:v>0.3333333333333333</x:v>
      </x:c>
      <x:c r="E1120" s="46" t="n">
        <x:f>D1120*(C1120-1)</x:f>
        <x:v>-0.3203807837006616</x:v>
      </x:c>
      <x:c r="F1120" s="2"/>
      <x:c r="G1120" s="2"/>
      <x:c r="H1120" s="2"/>
    </x:row>
    <x:row r="1121" ht="22" customHeight="1">
      <x:c r="A1121" s="2" t="n">
        <x:v>1115</x:v>
      </x:c>
      <x:c r="B1121" s="79" t="n">
        <x:v>1.3537920054370585</x:v>
      </x:c>
      <x:c r="C1121" s="46" t="n">
        <x:f>B1121^2</x:f>
        <x:v>1.8327527939852926</x:v>
      </x:c>
      <x:c r="D1121" s="47" t="n">
        <x:f>'Datos'!$B$26^3/3</x:f>
        <x:v>0.3333333333333333</x:v>
      </x:c>
      <x:c r="E1121" s="46" t="n">
        <x:f>D1121*(C1121-1)</x:f>
        <x:v>0.27758426466176417</x:v>
      </x:c>
      <x:c r="F1121" s="2"/>
      <x:c r="G1121" s="2"/>
      <x:c r="H1121" s="2"/>
    </x:row>
    <x:row r="1122" ht="22" customHeight="1">
      <x:c r="A1122" s="2" t="n">
        <x:v>1116</x:v>
      </x:c>
      <x:c r="B1122" s="79" t="n">
        <x:v>0.7254434806819463</x:v>
      </x:c>
      <x:c r="C1122" s="46" t="n">
        <x:f>B1122^2</x:f>
        <x:v>0.5262682436639374</x:v>
      </x:c>
      <x:c r="D1122" s="47" t="n">
        <x:f>'Datos'!$B$26^3/3</x:f>
        <x:v>0.3333333333333333</x:v>
      </x:c>
      <x:c r="E1122" s="46" t="n">
        <x:f>D1122*(C1122-1)</x:f>
        <x:v>-0.1579105854453542</x:v>
      </x:c>
      <x:c r="F1122" s="2"/>
      <x:c r="G1122" s="2"/>
      <x:c r="H1122" s="2"/>
    </x:row>
    <x:row r="1123" ht="22" customHeight="1">
      <x:c r="A1123" s="2" t="n">
        <x:v>1117</x:v>
      </x:c>
      <x:c r="B1123" s="79" t="n">
        <x:v>-0.5974383601340413</x:v>
      </x:c>
      <x:c r="C1123" s="46" t="n">
        <x:f>B1123^2</x:f>
        <x:v>0.3569325941596524</x:v>
      </x:c>
      <x:c r="D1123" s="47" t="n">
        <x:f>'Datos'!$B$26^3/3</x:f>
        <x:v>0.3333333333333333</x:v>
      </x:c>
      <x:c r="E1123" s="46" t="n">
        <x:f>D1123*(C1123-1)</x:f>
        <x:v>-0.21435580194678253</x:v>
      </x:c>
      <x:c r="F1123" s="2"/>
      <x:c r="G1123" s="2"/>
      <x:c r="H1123" s="2"/>
    </x:row>
    <x:row r="1124" ht="22" customHeight="1">
      <x:c r="A1124" s="2" t="n">
        <x:v>1118</x:v>
      </x:c>
      <x:c r="B1124" s="79" t="n">
        <x:v>1.2671569985753675</x:v>
      </x:c>
      <x:c r="C1124" s="46" t="n">
        <x:f>B1124^2</x:f>
        <x:v>1.6056868590385338</x:v>
      </x:c>
      <x:c r="D1124" s="47" t="n">
        <x:f>'Datos'!$B$26^3/3</x:f>
        <x:v>0.3333333333333333</x:v>
      </x:c>
      <x:c r="E1124" s="46" t="n">
        <x:f>D1124*(C1124-1)</x:f>
        <x:v>0.20189561967951125</x:v>
      </x:c>
      <x:c r="F1124" s="2"/>
      <x:c r="G1124" s="2"/>
      <x:c r="H1124" s="2"/>
    </x:row>
    <x:row r="1125" ht="22" customHeight="1">
      <x:c r="A1125" s="2" t="n">
        <x:v>1119</x:v>
      </x:c>
      <x:c r="B1125" s="79" t="n">
        <x:v>-1.5347466311194873</x:v>
      </x:c>
      <x:c r="C1125" s="46" t="n">
        <x:f>B1125^2</x:f>
        <x:v>2.3554472217326157</x:v>
      </x:c>
      <x:c r="D1125" s="47" t="n">
        <x:f>'Datos'!$B$26^3/3</x:f>
        <x:v>0.3333333333333333</x:v>
      </x:c>
      <x:c r="E1125" s="46" t="n">
        <x:f>D1125*(C1125-1)</x:f>
        <x:v>0.45181574057753854</x:v>
      </x:c>
      <x:c r="F1125" s="2"/>
      <x:c r="G1125" s="2"/>
      <x:c r="H1125" s="2"/>
    </x:row>
    <x:row r="1126" ht="22" customHeight="1">
      <x:c r="A1126" s="2" t="n">
        <x:v>1120</x:v>
      </x:c>
      <x:c r="B1126" s="79" t="n">
        <x:v>0.4239590587966648</x:v>
      </x:c>
      <x:c r="C1126" s="46" t="n">
        <x:f>B1126^2</x:f>
        <x:v>0.17974128353575386</x:v>
      </x:c>
      <x:c r="D1126" s="47" t="n">
        <x:f>'Datos'!$B$26^3/3</x:f>
        <x:v>0.3333333333333333</x:v>
      </x:c>
      <x:c r="E1126" s="46" t="n">
        <x:f>D1126*(C1126-1)</x:f>
        <x:v>-0.27341957215474866</x:v>
      </x:c>
      <x:c r="F1126" s="2"/>
      <x:c r="G1126" s="2"/>
      <x:c r="H1126" s="2"/>
    </x:row>
    <x:row r="1127" ht="22" customHeight="1">
      <x:c r="A1127" s="2" t="n">
        <x:v>1121</x:v>
      </x:c>
      <x:c r="B1127" s="79" t="n">
        <x:v>-0.6865386315213948</x:v>
      </x:c>
      <x:c r="C1127" s="46" t="n">
        <x:f>B1127^2</x:f>
        <x:v>0.47133529257126955</x:v>
      </x:c>
      <x:c r="D1127" s="47" t="n">
        <x:f>'Datos'!$B$26^3/3</x:f>
        <x:v>0.3333333333333333</x:v>
      </x:c>
      <x:c r="E1127" s="46" t="n">
        <x:f>D1127*(C1127-1)</x:f>
        <x:v>-0.17622156914291015</x:v>
      </x:c>
      <x:c r="F1127" s="2"/>
      <x:c r="G1127" s="2"/>
      <x:c r="H1127" s="2"/>
    </x:row>
    <x:row r="1128" ht="22" customHeight="1">
      <x:c r="A1128" s="2" t="n">
        <x:v>1122</x:v>
      </x:c>
      <x:c r="B1128" s="79" t="n">
        <x:v>-0.12514406083584623</x:v>
      </x:c>
      <x:c r="C1128" s="46" t="n">
        <x:f>B1128^2</x:f>
        <x:v>0.01566103596248598</x:v>
      </x:c>
      <x:c r="D1128" s="47" t="n">
        <x:f>'Datos'!$B$26^3/3</x:f>
        <x:v>0.3333333333333333</x:v>
      </x:c>
      <x:c r="E1128" s="46" t="n">
        <x:f>D1128*(C1128-1)</x:f>
        <x:v>-0.32811298801250466</x:v>
      </x:c>
      <x:c r="F1128" s="2"/>
      <x:c r="G1128" s="2"/>
      <x:c r="H1128" s="2"/>
    </x:row>
    <x:row r="1129" ht="22" customHeight="1">
      <x:c r="A1129" s="2" t="n">
        <x:v>1123</x:v>
      </x:c>
      <x:c r="B1129" s="79" t="n">
        <x:v>1.264714947682382</x:v>
      </x:c>
      <x:c r="C1129" s="46" t="n">
        <x:f>B1129^2</x:f>
        <x:v>1.5995038988912502</x:v>
      </x:c>
      <x:c r="D1129" s="47" t="n">
        <x:f>'Datos'!$B$26^3/3</x:f>
        <x:v>0.3333333333333333</x:v>
      </x:c>
      <x:c r="E1129" s="46" t="n">
        <x:f>D1129*(C1129-1)</x:f>
        <x:v>0.19983463296375006</x:v>
      </x:c>
      <x:c r="F1129" s="2"/>
      <x:c r="G1129" s="2"/>
      <x:c r="H1129" s="2"/>
    </x:row>
    <x:row r="1130" ht="22" customHeight="1">
      <x:c r="A1130" s="2" t="n">
        <x:v>1124</x:v>
      </x:c>
      <x:c r="B1130" s="79" t="n">
        <x:v>0.0662516813399293</x:v>
      </x:c>
      <x:c r="C1130" s="46" t="n">
        <x:f>B1130^2</x:f>
        <x:v>0.004389285280367536</x:v>
      </x:c>
      <x:c r="D1130" s="47" t="n">
        <x:f>'Datos'!$B$26^3/3</x:f>
        <x:v>0.3333333333333333</x:v>
      </x:c>
      <x:c r="E1130" s="46" t="n">
        <x:f>D1130*(C1130-1)</x:f>
        <x:v>-0.3318702382398775</x:v>
      </x:c>
      <x:c r="F1130" s="2"/>
      <x:c r="G1130" s="2"/>
      <x:c r="H1130" s="2"/>
    </x:row>
    <x:row r="1131" ht="22" customHeight="1">
      <x:c r="A1131" s="2" t="n">
        <x:v>1125</x:v>
      </x:c>
      <x:c r="B1131" s="79" t="n">
        <x:v>1.0982244983743104</x:v>
      </x:c>
      <x:c r="C1131" s="46" t="n">
        <x:f>B1131^2</x:f>
        <x:v>1.2060970488295055</x:v>
      </x:c>
      <x:c r="D1131" s="47" t="n">
        <x:f>'Datos'!$B$26^3/3</x:f>
        <x:v>0.3333333333333333</x:v>
      </x:c>
      <x:c r="E1131" s="46" t="n">
        <x:f>D1131*(C1131-1)</x:f>
        <x:v>0.06869901627650184</x:v>
      </x:c>
      <x:c r="F1131" s="2"/>
      <x:c r="G1131" s="2"/>
      <x:c r="H1131" s="2"/>
    </x:row>
    <x:row r="1132" ht="22" customHeight="1">
      <x:c r="A1132" s="2" t="n">
        <x:v>1126</x:v>
      </x:c>
      <x:c r="B1132" s="79" t="n">
        <x:v>-0.03648852866396196</x:v>
      </x:c>
      <x:c r="C1132" s="46" t="n">
        <x:f>B1132^2</x:f>
        <x:v>0.0013314127240607737</x:v>
      </x:c>
      <x:c r="D1132" s="47" t="n">
        <x:f>'Datos'!$B$26^3/3</x:f>
        <x:v>0.3333333333333333</x:v>
      </x:c>
      <x:c r="E1132" s="46" t="n">
        <x:f>D1132*(C1132-1)</x:f>
        <x:v>-0.3328895290919797</x:v>
      </x:c>
      <x:c r="F1132" s="2"/>
      <x:c r="G1132" s="2"/>
      <x:c r="H1132" s="2"/>
    </x:row>
    <x:row r="1133" ht="22" customHeight="1">
      <x:c r="A1133" s="2" t="n">
        <x:v>1127</x:v>
      </x:c>
      <x:c r="B1133" s="79" t="n">
        <x:v>1.3684921999762403</x:v>
      </x:c>
      <x:c r="C1133" s="46" t="n">
        <x:f>B1133^2</x:f>
        <x:v>1.87277090139581</x:v>
      </x:c>
      <x:c r="D1133" s="47" t="n">
        <x:f>'Datos'!$B$26^3/3</x:f>
        <x:v>0.3333333333333333</x:v>
      </x:c>
      <x:c r="E1133" s="46" t="n">
        <x:f>D1133*(C1133-1)</x:f>
        <x:v>0.2909236337986033</x:v>
      </x:c>
      <x:c r="F1133" s="2"/>
      <x:c r="G1133" s="2"/>
      <x:c r="H1133" s="2"/>
    </x:row>
    <x:row r="1134" ht="22" customHeight="1">
      <x:c r="A1134" s="2" t="n">
        <x:v>1128</x:v>
      </x:c>
      <x:c r="B1134" s="79" t="n">
        <x:v>-1.5726033692321582</x:v>
      </x:c>
      <x:c r="C1134" s="46" t="n">
        <x:f>B1134^2</x:f>
        <x:v>2.4730813569203356</x:v>
      </x:c>
      <x:c r="D1134" s="47" t="n">
        <x:f>'Datos'!$B$26^3/3</x:f>
        <x:v>0.3333333333333333</x:v>
      </x:c>
      <x:c r="E1134" s="46" t="n">
        <x:f>D1134*(C1134-1)</x:f>
        <x:v>0.4910271189734452</x:v>
      </x:c>
      <x:c r="F1134" s="2"/>
      <x:c r="G1134" s="2"/>
      <x:c r="H1134" s="2"/>
    </x:row>
    <x:row r="1135" ht="22" customHeight="1">
      <x:c r="A1135" s="2" t="n">
        <x:v>1129</x:v>
      </x:c>
      <x:c r="B1135" s="79" t="n">
        <x:v>0.378759618534916</x:v>
      </x:c>
      <x:c r="C1135" s="46" t="n">
        <x:f>B1135^2</x:f>
        <x:v>0.1434588486327151</x:v>
      </x:c>
      <x:c r="D1135" s="47" t="n">
        <x:f>'Datos'!$B$26^3/3</x:f>
        <x:v>0.3333333333333333</x:v>
      </x:c>
      <x:c r="E1135" s="46" t="n">
        <x:f>D1135*(C1135-1)</x:f>
        <x:v>-0.2855137171224283</x:v>
      </x:c>
      <x:c r="F1135" s="2"/>
      <x:c r="G1135" s="2"/>
      <x:c r="H1135" s="2"/>
    </x:row>
    <x:row r="1136" ht="22" customHeight="1">
      <x:c r="A1136" s="2" t="n">
        <x:v>1130</x:v>
      </x:c>
      <x:c r="B1136" s="79" t="n">
        <x:v>1.4310999115222631</x:v>
      </x:c>
      <x:c r="C1136" s="46" t="n">
        <x:f>B1136^2</x:f>
        <x:v>2.048046956759029</x:v>
      </x:c>
      <x:c r="D1136" s="47" t="n">
        <x:f>'Datos'!$B$26^3/3</x:f>
        <x:v>0.3333333333333333</x:v>
      </x:c>
      <x:c r="E1136" s="46" t="n">
        <x:f>D1136*(C1136-1)</x:f>
        <x:v>0.34934898558634303</x:v>
      </x:c>
      <x:c r="F1136" s="2"/>
      <x:c r="G1136" s="2"/>
      <x:c r="H1136" s="2"/>
    </x:row>
    <x:row r="1137" ht="22" customHeight="1">
      <x:c r="A1137" s="2" t="n">
        <x:v>1131</x:v>
      </x:c>
      <x:c r="B1137" s="79" t="n">
        <x:v>-0.06182065221355267</x:v>
      </x:c>
      <x:c r="C1137" s="46" t="n">
        <x:f>B1137^2</x:f>
        <x:v>0.003821793040109035</x:v>
      </x:c>
      <x:c r="D1137" s="47" t="n">
        <x:f>'Datos'!$B$26^3/3</x:f>
        <x:v>0.3333333333333333</x:v>
      </x:c>
      <x:c r="E1137" s="46" t="n">
        <x:f>D1137*(C1137-1)</x:f>
        <x:v>-0.33205940231996367</x:v>
      </x:c>
      <x:c r="F1137" s="2"/>
      <x:c r="G1137" s="2"/>
      <x:c r="H1137" s="2"/>
    </x:row>
    <x:row r="1138" ht="22" customHeight="1">
      <x:c r="A1138" s="2" t="n">
        <x:v>1132</x:v>
      </x:c>
      <x:c r="B1138" s="79" t="n">
        <x:v>3.2314507878835372</x:v>
      </x:c>
      <x:c r="C1138" s="46" t="n">
        <x:f>B1138^2</x:f>
        <x:v>10.442274194513134</x:v>
      </x:c>
      <x:c r="D1138" s="47" t="n">
        <x:f>'Datos'!$B$26^3/3</x:f>
        <x:v>0.3333333333333333</x:v>
      </x:c>
      <x:c r="E1138" s="46" t="n">
        <x:f>D1138*(C1138-1)</x:f>
        <x:v>3.147424731504378</x:v>
      </x:c>
      <x:c r="F1138" s="2"/>
      <x:c r="G1138" s="2"/>
      <x:c r="H1138" s="2"/>
    </x:row>
    <x:row r="1139" ht="22" customHeight="1">
      <x:c r="A1139" s="2" t="n">
        <x:v>1133</x:v>
      </x:c>
      <x:c r="B1139" s="79" t="n">
        <x:v>0.3784012229833317</x:v>
      </x:c>
      <x:c r="C1139" s="46" t="n">
        <x:f>B1139^2</x:f>
        <x:v>0.1431874855552811</x:v>
      </x:c>
      <x:c r="D1139" s="47" t="n">
        <x:f>'Datos'!$B$26^3/3</x:f>
        <x:v>0.3333333333333333</x:v>
      </x:c>
      <x:c r="E1139" s="46" t="n">
        <x:f>D1139*(C1139-1)</x:f>
        <x:v>-0.28560417148157297</x:v>
      </x:c>
      <x:c r="F1139" s="2"/>
      <x:c r="G1139" s="2"/>
      <x:c r="H1139" s="2"/>
    </x:row>
    <x:row r="1140" ht="22" customHeight="1">
      <x:c r="A1140" s="2" t="n">
        <x:v>1134</x:v>
      </x:c>
      <x:c r="B1140" s="79" t="n">
        <x:v>-0.5600600750132363</x:v>
      </x:c>
      <x:c r="C1140" s="46" t="n">
        <x:f>B1140^2</x:f>
        <x:v>0.31366728762383184</x:v>
      </x:c>
      <x:c r="D1140" s="47" t="n">
        <x:f>'Datos'!$B$26^3/3</x:f>
        <x:v>0.3333333333333333</x:v>
      </x:c>
      <x:c r="E1140" s="46" t="n">
        <x:f>D1140*(C1140-1)</x:f>
        <x:v>-0.22877757079205607</x:v>
      </x:c>
      <x:c r="F1140" s="2"/>
      <x:c r="G1140" s="2"/>
      <x:c r="H1140" s="2"/>
    </x:row>
    <x:row r="1141" ht="22" customHeight="1">
      <x:c r="A1141" s="2" t="n">
        <x:v>1135</x:v>
      </x:c>
      <x:c r="B1141" s="79" t="n">
        <x:v>-0.1928949276746748</x:v>
      </x:c>
      <x:c r="C1141" s="46" t="n">
        <x:f>B1141^2</x:f>
        <x:v>0.03720845312261803</x:v>
      </x:c>
      <x:c r="D1141" s="47" t="n">
        <x:f>'Datos'!$B$26^3/3</x:f>
        <x:v>0.3333333333333333</x:v>
      </x:c>
      <x:c r="E1141" s="46" t="n">
        <x:f>D1141*(C1141-1)</x:f>
        <x:v>-0.320930515625794</x:v>
      </x:c>
      <x:c r="F1141" s="2"/>
      <x:c r="G1141" s="2"/>
      <x:c r="H1141" s="2"/>
    </x:row>
    <x:row r="1142" ht="22" customHeight="1">
      <x:c r="A1142" s="2" t="n">
        <x:v>1136</x:v>
      </x:c>
      <x:c r="B1142" s="79" t="n">
        <x:v>0.0036061976756585666</x:v>
      </x:c>
      <x:c r="C1142" s="46" t="n">
        <x:f>B1142^2</x:f>
        <x:v>0.000013004661675925249</x:v>
      </x:c>
      <x:c r="D1142" s="47" t="n">
        <x:f>'Datos'!$B$26^3/3</x:f>
        <x:v>0.3333333333333333</x:v>
      </x:c>
      <x:c r="E1142" s="46" t="n">
        <x:f>D1142*(C1142-1)</x:f>
        <x:v>-0.33332899844610797</x:v>
      </x:c>
      <x:c r="F1142" s="2"/>
      <x:c r="G1142" s="2"/>
      <x:c r="H1142" s="2"/>
    </x:row>
    <x:row r="1143" ht="22" customHeight="1">
      <x:c r="A1143" s="2" t="n">
        <x:v>1137</x:v>
      </x:c>
      <x:c r="B1143" s="79" t="n">
        <x:v>0.4819865489819397</x:v>
      </x:c>
      <x:c r="C1143" s="46" t="n">
        <x:f>B1143^2</x:f>
        <x:v>0.23231103339951978</x:v>
      </x:c>
      <x:c r="D1143" s="47" t="n">
        <x:f>'Datos'!$B$26^3/3</x:f>
        <x:v>0.3333333333333333</x:v>
      </x:c>
      <x:c r="E1143" s="46" t="n">
        <x:f>D1143*(C1143-1)</x:f>
        <x:v>-0.25589632220016006</x:v>
      </x:c>
      <x:c r="F1143" s="2"/>
      <x:c r="G1143" s="2"/>
      <x:c r="H1143" s="2"/>
    </x:row>
    <x:row r="1144" ht="22" customHeight="1">
      <x:c r="A1144" s="2" t="n">
        <x:v>1138</x:v>
      </x:c>
      <x:c r="B1144" s="79" t="n">
        <x:v>-0.9536327806451447</x:v>
      </x:c>
      <x:c r="C1144" s="46" t="n">
        <x:f>B1144^2</x:f>
        <x:v>0.9094154803209906</x:v>
      </x:c>
      <x:c r="D1144" s="47" t="n">
        <x:f>'Datos'!$B$26^3/3</x:f>
        <x:v>0.3333333333333333</x:v>
      </x:c>
      <x:c r="E1144" s="46" t="n">
        <x:f>D1144*(C1144-1)</x:f>
        <x:v>-0.030194839893003124</x:v>
      </x:c>
      <x:c r="F1144" s="2"/>
      <x:c r="G1144" s="2"/>
      <x:c r="H1144" s="2"/>
    </x:row>
    <x:row r="1145" ht="22" customHeight="1">
      <x:c r="A1145" s="2" t="n">
        <x:v>1139</x:v>
      </x:c>
      <x:c r="B1145" s="79" t="n">
        <x:v>-0.9693581476336752</x:v>
      </x:c>
      <x:c r="C1145" s="46" t="n">
        <x:f>B1145^2</x:f>
        <x:v>0.9396552183837901</x:v>
      </x:c>
      <x:c r="D1145" s="47" t="n">
        <x:f>'Datos'!$B$26^3/3</x:f>
        <x:v>0.3333333333333333</x:v>
      </x:c>
      <x:c r="E1145" s="46" t="n">
        <x:f>D1145*(C1145-1)</x:f>
        <x:v>-0.02011492720540331</x:v>
      </x:c>
      <x:c r="F1145" s="2"/>
      <x:c r="G1145" s="2"/>
      <x:c r="H1145" s="2"/>
    </x:row>
    <x:row r="1146" ht="22" customHeight="1">
      <x:c r="A1146" s="2" t="n">
        <x:v>1140</x:v>
      </x:c>
      <x:c r="B1146" s="79" t="n">
        <x:v>0.8839890041156571</x:v>
      </x:c>
      <x:c r="C1146" s="46" t="n">
        <x:f>B1146^2</x:f>
        <x:v>0.7814365593973912</x:v>
      </x:c>
      <x:c r="D1146" s="47" t="n">
        <x:f>'Datos'!$B$26^3/3</x:f>
        <x:v>0.3333333333333333</x:v>
      </x:c>
      <x:c r="E1146" s="46" t="n">
        <x:f>D1146*(C1146-1)</x:f>
        <x:v>-0.0728544802008696</x:v>
      </x:c>
      <x:c r="F1146" s="2"/>
      <x:c r="G1146" s="2"/>
      <x:c r="H1146" s="2"/>
    </x:row>
    <x:row r="1147" ht="22" customHeight="1">
      <x:c r="A1147" s="2" t="n">
        <x:v>1141</x:v>
      </x:c>
      <x:c r="B1147" s="79" t="n">
        <x:v>0.5961037825581643</x:v>
      </x:c>
      <x:c r="C1147" s="46" t="n">
        <x:f>B1147^2</x:f>
        <x:v>0.35533971958015126</x:v>
      </x:c>
      <x:c r="D1147" s="47" t="n">
        <x:f>'Datos'!$B$26^3/3</x:f>
        <x:v>0.3333333333333333</x:v>
      </x:c>
      <x:c r="E1147" s="46" t="n">
        <x:f>D1147*(C1147-1)</x:f>
        <x:v>-0.21488676013994956</x:v>
      </x:c>
      <x:c r="F1147" s="2"/>
      <x:c r="G1147" s="2"/>
      <x:c r="H1147" s="2"/>
    </x:row>
    <x:row r="1148" ht="22" customHeight="1">
      <x:c r="A1148" s="2" t="n">
        <x:v>1142</x:v>
      </x:c>
      <x:c r="B1148" s="79" t="n">
        <x:v>1.092853551501432</x:v>
      </x:c>
      <x:c r="C1148" s="46" t="n">
        <x:f>B1148^2</x:f>
        <x:v>1.194328885029293</x:v>
      </x:c>
      <x:c r="D1148" s="47" t="n">
        <x:f>'Datos'!$B$26^3/3</x:f>
        <x:v>0.3333333333333333</x:v>
      </x:c>
      <x:c r="E1148" s="46" t="n">
        <x:f>D1148*(C1148-1)</x:f>
        <x:v>0.06477629500976434</x:v>
      </x:c>
      <x:c r="F1148" s="2"/>
      <x:c r="G1148" s="2"/>
      <x:c r="H1148" s="2"/>
    </x:row>
    <x:row r="1149" ht="22" customHeight="1">
      <x:c r="A1149" s="2" t="n">
        <x:v>1143</x:v>
      </x:c>
      <x:c r="B1149" s="79" t="n">
        <x:v>-0.1304568884170869</x:v>
      </x:c>
      <x:c r="C1149" s="46" t="n">
        <x:f>B1149^2</x:f>
        <x:v>0.017018999735468266</x:v>
      </x:c>
      <x:c r="D1149" s="47" t="n">
        <x:f>'Datos'!$B$26^3/3</x:f>
        <x:v>0.3333333333333333</x:v>
      </x:c>
      <x:c r="E1149" s="46" t="n">
        <x:f>D1149*(C1149-1)</x:f>
        <x:v>-0.3276603334215106</x:v>
      </x:c>
      <x:c r="F1149" s="2"/>
      <x:c r="G1149" s="2"/>
      <x:c r="H1149" s="2"/>
    </x:row>
    <x:row r="1150" ht="22" customHeight="1">
      <x:c r="A1150" s="2" t="n">
        <x:v>1144</x:v>
      </x:c>
      <x:c r="B1150" s="79" t="n">
        <x:v>-0.4141729581131622</x:v>
      </x:c>
      <x:c r="C1150" s="46" t="n">
        <x:f>B1150^2</x:f>
        <x:v>0.1715392392322072</x:v>
      </x:c>
      <x:c r="D1150" s="47" t="n">
        <x:f>'Datos'!$B$26^3/3</x:f>
        <x:v>0.3333333333333333</x:v>
      </x:c>
      <x:c r="E1150" s="46" t="n">
        <x:f>D1150*(C1150-1)</x:f>
        <x:v>-0.27615358692259756</x:v>
      </x:c>
      <x:c r="F1150" s="2"/>
      <x:c r="G1150" s="2"/>
      <x:c r="H1150" s="2"/>
    </x:row>
    <x:row r="1151" ht="22" customHeight="1">
      <x:c r="A1151" s="2" t="n">
        <x:v>1145</x:v>
      </x:c>
      <x:c r="B1151" s="79" t="n">
        <x:v>2.0292083847595306</x:v>
      </x:c>
      <x:c r="C1151" s="46" t="n">
        <x:f>B1151^2</x:f>
        <x:v>4.117686668778383</x:v>
      </x:c>
      <x:c r="D1151" s="47" t="n">
        <x:f>'Datos'!$B$26^3/3</x:f>
        <x:v>0.3333333333333333</x:v>
      </x:c>
      <x:c r="E1151" s="46" t="n">
        <x:f>D1151*(C1151-1)</x:f>
        <x:v>1.0392288895927941</x:v>
      </x:c>
      <x:c r="F1151" s="2"/>
      <x:c r="G1151" s="2"/>
      <x:c r="H1151" s="2"/>
    </x:row>
    <x:row r="1152" ht="22" customHeight="1">
      <x:c r="A1152" s="2" t="n">
        <x:v>1146</x:v>
      </x:c>
      <x:c r="B1152" s="79" t="n">
        <x:v>0.8425848148230017</x:v>
      </x:c>
      <x:c r="C1152" s="46" t="n">
        <x:f>B1152^2</x:f>
        <x:v>0.7099491701703121</x:v>
      </x:c>
      <x:c r="D1152" s="47" t="n">
        <x:f>'Datos'!$B$26^3/3</x:f>
        <x:v>0.3333333333333333</x:v>
      </x:c>
      <x:c r="E1152" s="46" t="n">
        <x:f>D1152*(C1152-1)</x:f>
        <x:v>-0.09668360994322929</x:v>
      </x:c>
      <x:c r="F1152" s="2"/>
      <x:c r="G1152" s="2"/>
      <x:c r="H1152" s="2"/>
    </x:row>
    <x:row r="1153" ht="22" customHeight="1">
      <x:c r="A1153" s="2" t="n">
        <x:v>1147</x:v>
      </x:c>
      <x:c r="B1153" s="79" t="n">
        <x:v>-0.18753850354540028</x:v>
      </x:c>
      <x:c r="C1153" s="46" t="n">
        <x:f>B1153^2</x:f>
        <x:v>0.035170690312048114</x:v>
      </x:c>
      <x:c r="D1153" s="47" t="n">
        <x:f>'Datos'!$B$26^3/3</x:f>
        <x:v>0.3333333333333333</x:v>
      </x:c>
      <x:c r="E1153" s="46" t="n">
        <x:f>D1153*(C1153-1)</x:f>
        <x:v>-0.32160976989598394</x:v>
      </x:c>
      <x:c r="F1153" s="2"/>
      <x:c r="G1153" s="2"/>
      <x:c r="H1153" s="2"/>
    </x:row>
    <x:row r="1154" ht="22" customHeight="1">
      <x:c r="A1154" s="2" t="n">
        <x:v>1148</x:v>
      </x:c>
      <x:c r="B1154" s="79" t="n">
        <x:v>0.47719442561384096</x:v>
      </x:c>
      <x:c r="C1154" s="46" t="n">
        <x:f>B1154^2</x:f>
        <x:v>0.2277145198369236</x:v>
      </x:c>
      <x:c r="D1154" s="47" t="n">
        <x:f>'Datos'!$B$26^3/3</x:f>
        <x:v>0.3333333333333333</x:v>
      </x:c>
      <x:c r="E1154" s="46" t="n">
        <x:f>D1154*(C1154-1)</x:f>
        <x:v>-0.25742849338769214</x:v>
      </x:c>
      <x:c r="F1154" s="2"/>
      <x:c r="G1154" s="2"/>
      <x:c r="H1154" s="2"/>
    </x:row>
    <x:row r="1155" ht="22" customHeight="1">
      <x:c r="A1155" s="2" t="n">
        <x:v>1149</x:v>
      </x:c>
      <x:c r="B1155" s="79" t="n">
        <x:v>-0.49516633291757617</x:v>
      </x:c>
      <x:c r="C1155" s="46" t="n">
        <x:f>B1155^2</x:f>
        <x:v>0.2451896972550399</x:v>
      </x:c>
      <x:c r="D1155" s="47" t="n">
        <x:f>'Datos'!$B$26^3/3</x:f>
        <x:v>0.3333333333333333</x:v>
      </x:c>
      <x:c r="E1155" s="46" t="n">
        <x:f>D1155*(C1155-1)</x:f>
        <x:v>-0.25160343424832</x:v>
      </x:c>
      <x:c r="F1155" s="2"/>
      <x:c r="G1155" s="2"/>
      <x:c r="H1155" s="2"/>
    </x:row>
    <x:row r="1156" ht="22" customHeight="1">
      <x:c r="A1156" s="2" t="n">
        <x:v>1150</x:v>
      </x:c>
      <x:c r="B1156" s="79" t="n">
        <x:v>-0.26280905713644004</x:v>
      </x:c>
      <x:c r="C1156" s="46" t="n">
        <x:f>B1156^2</x:f>
        <x:v>0.06906860051294461</x:v>
      </x:c>
      <x:c r="D1156" s="47" t="n">
        <x:f>'Datos'!$B$26^3/3</x:f>
        <x:v>0.3333333333333333</x:v>
      </x:c>
      <x:c r="E1156" s="46" t="n">
        <x:f>D1156*(C1156-1)</x:f>
        <x:v>-0.3103104664956851</x:v>
      </x:c>
      <x:c r="F1156" s="2"/>
      <x:c r="G1156" s="2"/>
      <x:c r="H1156" s="2"/>
    </x:row>
    <x:row r="1157" ht="22" customHeight="1">
      <x:c r="A1157" s="2" t="n">
        <x:v>1151</x:v>
      </x:c>
      <x:c r="B1157" s="79" t="n">
        <x:v>-1.6564780056854764</x:v>
      </x:c>
      <x:c r="C1157" s="46" t="n">
        <x:f>B1157^2</x:f>
        <x:v>2.7439193833197333</x:v>
      </x:c>
      <x:c r="D1157" s="47" t="n">
        <x:f>'Datos'!$B$26^3/3</x:f>
        <x:v>0.3333333333333333</x:v>
      </x:c>
      <x:c r="E1157" s="46" t="n">
        <x:f>D1157*(C1157-1)</x:f>
        <x:v>0.5813064611065777</x:v>
      </x:c>
      <x:c r="F1157" s="2"/>
      <x:c r="G1157" s="2"/>
      <x:c r="H1157" s="2"/>
    </x:row>
    <x:row r="1158" ht="22" customHeight="1">
      <x:c r="A1158" s="2" t="n">
        <x:v>1152</x:v>
      </x:c>
      <x:c r="B1158" s="79" t="n">
        <x:v>0.6124412410622946</x:v>
      </x:c>
      <x:c r="C1158" s="46" t="n">
        <x:f>B1158^2</x:f>
        <x:v>0.3750842737539236</x:v>
      </x:c>
      <x:c r="D1158" s="47" t="n">
        <x:f>'Datos'!$B$26^3/3</x:f>
        <x:v>0.3333333333333333</x:v>
      </x:c>
      <x:c r="E1158" s="46" t="n">
        <x:f>D1158*(C1158-1)</x:f>
        <x:v>-0.20830524208202544</x:v>
      </x:c>
      <x:c r="F1158" s="2"/>
      <x:c r="G1158" s="2"/>
      <x:c r="H1158" s="2"/>
    </x:row>
    <x:row r="1159" ht="22" customHeight="1">
      <x:c r="A1159" s="2" t="n">
        <x:v>1153</x:v>
      </x:c>
      <x:c r="B1159" s="79" t="n">
        <x:v>-0.009598327712697882</x:v>
      </x:c>
      <x:c r="C1159" s="46" t="n">
        <x:f>B1159^2</x:f>
        <x:v>0.00009212789488034415</x:v>
      </x:c>
      <x:c r="D1159" s="47" t="n">
        <x:f>'Datos'!$B$26^3/3</x:f>
        <x:v>0.3333333333333333</x:v>
      </x:c>
      <x:c r="E1159" s="46" t="n">
        <x:f>D1159*(C1159-1)</x:f>
        <x:v>-0.33330262403503985</x:v>
      </x:c>
      <x:c r="F1159" s="2"/>
      <x:c r="G1159" s="2"/>
      <x:c r="H1159" s="2"/>
    </x:row>
    <x:row r="1160" ht="22" customHeight="1">
      <x:c r="A1160" s="2" t="n">
        <x:v>1154</x:v>
      </x:c>
      <x:c r="B1160" s="79" t="n">
        <x:v>-1.3743564130866852</x:v>
      </x:c>
      <x:c r="C1160" s="46" t="n">
        <x:f>B1160^2</x:f>
        <x:v>1.8888555501924993</x:v>
      </x:c>
      <x:c r="D1160" s="47" t="n">
        <x:f>'Datos'!$B$26^3/3</x:f>
        <x:v>0.3333333333333333</x:v>
      </x:c>
      <x:c r="E1160" s="46" t="n">
        <x:f>D1160*(C1160-1)</x:f>
        <x:v>0.29628518339749976</x:v>
      </x:c>
      <x:c r="F1160" s="2"/>
      <x:c r="G1160" s="2"/>
      <x:c r="H1160" s="2"/>
    </x:row>
    <x:row r="1161" ht="22" customHeight="1">
      <x:c r="A1161" s="2" t="n">
        <x:v>1155</x:v>
      </x:c>
      <x:c r="B1161" s="79" t="n">
        <x:v>0.34823928129621823</x:v>
      </x:c>
      <x:c r="C1161" s="46" t="n">
        <x:f>B1161^2</x:f>
        <x:v>0.12127059703770661</x:v>
      </x:c>
      <x:c r="D1161" s="47" t="n">
        <x:f>'Datos'!$B$26^3/3</x:f>
        <x:v>0.3333333333333333</x:v>
      </x:c>
      <x:c r="E1161" s="46" t="n">
        <x:f>D1161*(C1161-1)</x:f>
        <x:v>-0.29290980098743113</x:v>
      </x:c>
      <x:c r="F1161" s="2"/>
      <x:c r="G1161" s="2"/>
      <x:c r="H1161" s="2"/>
    </x:row>
    <x:row r="1162" ht="22" customHeight="1">
      <x:c r="A1162" s="2" t="n">
        <x:v>1156</x:v>
      </x:c>
      <x:c r="B1162" s="79" t="n">
        <x:v>-1.0133856528723135</x:v>
      </x:c>
      <x:c r="C1162" s="46" t="n">
        <x:f>B1162^2</x:f>
        <x:v>1.026950481447445</x:v>
      </x:c>
      <x:c r="D1162" s="47" t="n">
        <x:f>'Datos'!$B$26^3/3</x:f>
        <x:v>0.3333333333333333</x:v>
      </x:c>
      <x:c r="E1162" s="46" t="n">
        <x:f>D1162*(C1162-1)</x:f>
        <x:v>0.008983493815815017</x:v>
      </x:c>
      <x:c r="F1162" s="2"/>
      <x:c r="G1162" s="2"/>
      <x:c r="H1162" s="2"/>
    </x:row>
    <x:row r="1163" ht="22" customHeight="1">
      <x:c r="A1163" s="2" t="n">
        <x:v>1157</x:v>
      </x:c>
      <x:c r="B1163" s="79" t="n">
        <x:v>-0.10657682796751343</x:v>
      </x:c>
      <x:c r="C1163" s="46" t="n">
        <x:f>B1163^2</x:f>
        <x:v>0.011358620259616953</x:v>
      </x:c>
      <x:c r="D1163" s="47" t="n">
        <x:f>'Datos'!$B$26^3/3</x:f>
        <x:v>0.3333333333333333</x:v>
      </x:c>
      <x:c r="E1163" s="46" t="n">
        <x:f>D1163*(C1163-1)</x:f>
        <x:v>-0.32954712658012764</x:v>
      </x:c>
      <x:c r="F1163" s="2"/>
      <x:c r="G1163" s="2"/>
      <x:c r="H1163" s="2"/>
    </x:row>
    <x:row r="1164" ht="22" customHeight="1">
      <x:c r="A1164" s="2" t="n">
        <x:v>1158</x:v>
      </x:c>
      <x:c r="B1164" s="79" t="n">
        <x:v>-1.1206122182042129</x:v>
      </x:c>
      <x:c r="C1164" s="46" t="n">
        <x:f>B1164^2</x:f>
        <x:v>1.2557717435885665</x:v>
      </x:c>
      <x:c r="D1164" s="47" t="n">
        <x:f>'Datos'!$B$26^3/3</x:f>
        <x:v>0.3333333333333333</x:v>
      </x:c>
      <x:c r="E1164" s="46" t="n">
        <x:f>D1164*(C1164-1)</x:f>
        <x:v>0.08525724786285549</x:v>
      </x:c>
      <x:c r="F1164" s="2"/>
      <x:c r="G1164" s="2"/>
      <x:c r="H1164" s="2"/>
    </x:row>
    <x:row r="1165" ht="22" customHeight="1">
      <x:c r="A1165" s="2" t="n">
        <x:v>1159</x:v>
      </x:c>
      <x:c r="B1165" s="79" t="n">
        <x:v>-1.2426495881191708</x:v>
      </x:c>
      <x:c r="C1165" s="46" t="n">
        <x:f>B1165^2</x:f>
        <x:v>1.5441779988527449</x:v>
      </x:c>
      <x:c r="D1165" s="47" t="n">
        <x:f>'Datos'!$B$26^3/3</x:f>
        <x:v>0.3333333333333333</x:v>
      </x:c>
      <x:c r="E1165" s="46" t="n">
        <x:f>D1165*(C1165-1)</x:f>
        <x:v>0.18139266628424827</x:v>
      </x:c>
      <x:c r="F1165" s="2"/>
      <x:c r="G1165" s="2"/>
      <x:c r="H1165" s="2"/>
    </x:row>
    <x:row r="1166" ht="22" customHeight="1">
      <x:c r="A1166" s="2" t="n">
        <x:v>1160</x:v>
      </x:c>
      <x:c r="B1166" s="79" t="n">
        <x:v>1.2668674142436236</x:v>
      </x:c>
      <x:c r="C1166" s="46" t="n">
        <x:f>B1166^2</x:f>
        <x:v>1.604953045272325</x:v>
      </x:c>
      <x:c r="D1166" s="47" t="n">
        <x:f>'Datos'!$B$26^3/3</x:f>
        <x:v>0.3333333333333333</x:v>
      </x:c>
      <x:c r="E1166" s="46" t="n">
        <x:f>D1166*(C1166-1)</x:f>
        <x:v>0.20165101509077502</x:v>
      </x:c>
      <x:c r="F1166" s="2"/>
      <x:c r="G1166" s="2"/>
      <x:c r="H1166" s="2"/>
    </x:row>
    <x:row r="1167" ht="22" customHeight="1">
      <x:c r="A1167" s="2" t="n">
        <x:v>1161</x:v>
      </x:c>
      <x:c r="B1167" s="79" t="n">
        <x:v>0.5070435160247533</x:v>
      </x:c>
      <x:c r="C1167" s="46" t="n">
        <x:f>B1167^2</x:f>
        <x:v>0.25709312714274424</x:v>
      </x:c>
      <x:c r="D1167" s="47" t="n">
        <x:f>'Datos'!$B$26^3/3</x:f>
        <x:v>0.3333333333333333</x:v>
      </x:c>
      <x:c r="E1167" s="46" t="n">
        <x:f>D1167*(C1167-1)</x:f>
        <x:v>-0.24763562428575192</x:v>
      </x:c>
      <x:c r="F1167" s="2"/>
      <x:c r="G1167" s="2"/>
      <x:c r="H1167" s="2"/>
    </x:row>
    <x:row r="1168" ht="22" customHeight="1">
      <x:c r="A1168" s="2" t="n">
        <x:v>1162</x:v>
      </x:c>
      <x:c r="B1168" s="79" t="n">
        <x:v>0.03582589642437003</x:v>
      </x:c>
      <x:c r="C1168" s="46" t="n">
        <x:f>B1168^2</x:f>
        <x:v>0.0012834948546096893</x:v>
      </x:c>
      <x:c r="D1168" s="47" t="n">
        <x:f>'Datos'!$B$26^3/3</x:f>
        <x:v>0.3333333333333333</x:v>
      </x:c>
      <x:c r="E1168" s="46" t="n">
        <x:f>D1168*(C1168-1)</x:f>
        <x:v>-0.3329055017151301</x:v>
      </x:c>
      <x:c r="F1168" s="2"/>
      <x:c r="G1168" s="2"/>
      <x:c r="H1168" s="2"/>
    </x:row>
    <x:row r="1169" ht="22" customHeight="1">
      <x:c r="A1169" s="2" t="n">
        <x:v>1163</x:v>
      </x:c>
      <x:c r="B1169" s="79" t="n">
        <x:v>-0.8992397947386873</x:v>
      </x:c>
      <x:c r="C1169" s="46" t="n">
        <x:f>B1169^2</x:f>
        <x:v>0.8086322084416765</x:v>
      </x:c>
      <x:c r="D1169" s="47" t="n">
        <x:f>'Datos'!$B$26^3/3</x:f>
        <x:v>0.3333333333333333</x:v>
      </x:c>
      <x:c r="E1169" s="46" t="n">
        <x:f>D1169*(C1169-1)</x:f>
        <x:v>-0.0637892638527745</x:v>
      </x:c>
      <x:c r="F1169" s="2"/>
      <x:c r="G1169" s="2"/>
      <x:c r="H1169" s="2"/>
    </x:row>
    <x:row r="1170" ht="22" customHeight="1">
      <x:c r="A1170" s="2" t="n">
        <x:v>1164</x:v>
      </x:c>
      <x:c r="B1170" s="79" t="n">
        <x:v>0.5198500215867179</x:v>
      </x:c>
      <x:c r="C1170" s="46" t="n">
        <x:f>B1170^2</x:f>
        <x:v>0.27024404494371107</x:v>
      </x:c>
      <x:c r="D1170" s="47" t="n">
        <x:f>'Datos'!$B$26^3/3</x:f>
        <x:v>0.3333333333333333</x:v>
      </x:c>
      <x:c r="E1170" s="46" t="n">
        <x:f>D1170*(C1170-1)</x:f>
        <x:v>-0.24325198501876294</x:v>
      </x:c>
      <x:c r="F1170" s="2"/>
      <x:c r="G1170" s="2"/>
      <x:c r="H1170" s="2"/>
    </x:row>
    <x:row r="1171" ht="22" customHeight="1">
      <x:c r="A1171" s="2" t="n">
        <x:v>1165</x:v>
      </x:c>
      <x:c r="B1171" s="79" t="n">
        <x:v>1.1816411034499776</x:v>
      </x:c>
      <x:c r="C1171" s="46" t="n">
        <x:f>B1171^2</x:f>
        <x:v>1.3962756973624808</x:v>
      </x:c>
      <x:c r="D1171" s="47" t="n">
        <x:f>'Datos'!$B$26^3/3</x:f>
        <x:v>0.3333333333333333</x:v>
      </x:c>
      <x:c r="E1171" s="46" t="n">
        <x:f>D1171*(C1171-1)</x:f>
        <x:v>0.13209189912082692</x:v>
      </x:c>
      <x:c r="F1171" s="2"/>
      <x:c r="G1171" s="2"/>
      <x:c r="H1171" s="2"/>
    </x:row>
    <x:row r="1172" ht="22" customHeight="1">
      <x:c r="A1172" s="2" t="n">
        <x:v>1166</x:v>
      </x:c>
      <x:c r="B1172" s="79" t="n">
        <x:v>-1.053348901532375</x:v>
      </x:c>
      <x:c r="C1172" s="46" t="n">
        <x:f>B1172^2</x:f>
        <x:v>1.109543908359461</x:v>
      </x:c>
      <x:c r="D1172" s="47" t="n">
        <x:f>'Datos'!$B$26^3/3</x:f>
        <x:v>0.3333333333333333</x:v>
      </x:c>
      <x:c r="E1172" s="46" t="n">
        <x:f>D1172*(C1172-1)</x:f>
        <x:v>0.03651463611982031</x:v>
      </x:c>
      <x:c r="F1172" s="2"/>
      <x:c r="G1172" s="2"/>
      <x:c r="H1172" s="2"/>
    </x:row>
    <x:row r="1173" ht="22" customHeight="1">
      <x:c r="A1173" s="2" t="n">
        <x:v>1167</x:v>
      </x:c>
      <x:c r="B1173" s="79" t="n">
        <x:v>1.2134469149538762</x:v>
      </x:c>
      <x:c r="C1173" s="46" t="n">
        <x:f>B1173^2</x:f>
        <x:v>1.4724534154110798</x:v>
      </x:c>
      <x:c r="D1173" s="47" t="n">
        <x:f>'Datos'!$B$26^3/3</x:f>
        <x:v>0.3333333333333333</x:v>
      </x:c>
      <x:c r="E1173" s="46" t="n">
        <x:f>D1173*(C1173-1)</x:f>
        <x:v>0.15748447180369324</x:v>
      </x:c>
      <x:c r="F1173" s="2"/>
      <x:c r="G1173" s="2"/>
      <x:c r="H1173" s="2"/>
    </x:row>
    <x:row r="1174" ht="22" customHeight="1">
      <x:c r="A1174" s="2" t="n">
        <x:v>1168</x:v>
      </x:c>
      <x:c r="B1174" s="79" t="n">
        <x:v>-0.15200816639215803</x:v>
      </x:c>
      <x:c r="C1174" s="46" t="n">
        <x:f>B1174^2</x:f>
        <x:v>0.023106482649906</x:v>
      </x:c>
      <x:c r="D1174" s="47" t="n">
        <x:f>'Datos'!$B$26^3/3</x:f>
        <x:v>0.3333333333333333</x:v>
      </x:c>
      <x:c r="E1174" s="46" t="n">
        <x:f>D1174*(C1174-1)</x:f>
        <x:v>-0.3256311724500313</x:v>
      </x:c>
      <x:c r="F1174" s="2"/>
      <x:c r="G1174" s="2"/>
      <x:c r="H1174" s="2"/>
    </x:row>
    <x:row r="1175" ht="22" customHeight="1">
      <x:c r="A1175" s="2" t="n">
        <x:v>1169</x:v>
      </x:c>
      <x:c r="B1175" s="79" t="n">
        <x:v>0.04450650782191698</x:v>
      </x:c>
      <x:c r="C1175" s="46" t="n">
        <x:f>B1175^2</x:f>
        <x:v>0.001980829238502357</x:v>
      </x:c>
      <x:c r="D1175" s="47" t="n">
        <x:f>'Datos'!$B$26^3/3</x:f>
        <x:v>0.3333333333333333</x:v>
      </x:c>
      <x:c r="E1175" s="46" t="n">
        <x:f>D1175*(C1175-1)</x:f>
        <x:v>-0.3326730569204992</x:v>
      </x:c>
      <x:c r="F1175" s="2"/>
      <x:c r="G1175" s="2"/>
      <x:c r="H1175" s="2"/>
    </x:row>
    <x:row r="1176" ht="22" customHeight="1">
      <x:c r="A1176" s="2" t="n">
        <x:v>1170</x:v>
      </x:c>
      <x:c r="B1176" s="79" t="n">
        <x:v>-0.10918623562978941</x:v>
      </x:c>
      <x:c r="C1176" s="46" t="n">
        <x:f>B1176^2</x:f>
        <x:v>0.011921634051003894</x:v>
      </x:c>
      <x:c r="D1176" s="47" t="n">
        <x:f>'Datos'!$B$26^3/3</x:f>
        <x:v>0.3333333333333333</x:v>
      </x:c>
      <x:c r="E1176" s="46" t="n">
        <x:f>D1176*(C1176-1)</x:f>
        <x:v>-0.32935945531633204</x:v>
      </x:c>
      <x:c r="F1176" s="2"/>
      <x:c r="G1176" s="2"/>
      <x:c r="H1176" s="2"/>
    </x:row>
    <x:row r="1177" ht="22" customHeight="1">
      <x:c r="A1177" s="2" t="n">
        <x:v>1171</x:v>
      </x:c>
      <x:c r="B1177" s="79" t="n">
        <x:v>2.999701081056738</x:v>
      </x:c>
      <x:c r="C1177" s="46" t="n">
        <x:f>B1177^2</x:f>
        <x:v>8.998206575692963</x:v>
      </x:c>
      <x:c r="D1177" s="47" t="n">
        <x:f>'Datos'!$B$26^3/3</x:f>
        <x:v>0.3333333333333333</x:v>
      </x:c>
      <x:c r="E1177" s="46" t="n">
        <x:f>D1177*(C1177-1)</x:f>
        <x:v>2.666068858564321</x:v>
      </x:c>
      <x:c r="F1177" s="2"/>
      <x:c r="G1177" s="2"/>
      <x:c r="H1177" s="2"/>
    </x:row>
    <x:row r="1178" ht="22" customHeight="1">
      <x:c r="A1178" s="2" t="n">
        <x:v>1172</x:v>
      </x:c>
      <x:c r="B1178" s="79" t="n">
        <x:v>1.675094750838408</x:v>
      </x:c>
      <x:c r="C1178" s="46" t="n">
        <x:f>B1178^2</x:f>
        <x:v>2.805942424286388</x:v>
      </x:c>
      <x:c r="D1178" s="47" t="n">
        <x:f>'Datos'!$B$26^3/3</x:f>
        <x:v>0.3333333333333333</x:v>
      </x:c>
      <x:c r="E1178" s="46" t="n">
        <x:f>D1178*(C1178-1)</x:f>
        <x:v>0.6019808080954627</x:v>
      </x:c>
      <x:c r="F1178" s="2"/>
      <x:c r="G1178" s="2"/>
      <x:c r="H1178" s="2"/>
    </x:row>
    <x:row r="1179" ht="22" customHeight="1">
      <x:c r="A1179" s="2" t="n">
        <x:v>1173</x:v>
      </x:c>
      <x:c r="B1179" s="79" t="n">
        <x:v>0.1951451431621145</x:v>
      </x:c>
      <x:c r="C1179" s="46" t="n">
        <x:f>B1179^2</x:f>
        <x:v>0.03808162689976217</x:v>
      </x:c>
      <x:c r="D1179" s="47" t="n">
        <x:f>'Datos'!$B$26^3/3</x:f>
        <x:v>0.3333333333333333</x:v>
      </x:c>
      <x:c r="E1179" s="46" t="n">
        <x:f>D1179*(C1179-1)</x:f>
        <x:v>-0.3206394577000793</x:v>
      </x:c>
      <x:c r="F1179" s="2"/>
      <x:c r="G1179" s="2"/>
      <x:c r="H1179" s="2"/>
    </x:row>
    <x:row r="1180" ht="22" customHeight="1">
      <x:c r="A1180" s="2" t="n">
        <x:v>1174</x:v>
      </x:c>
      <x:c r="B1180" s="79" t="n">
        <x:v>0.844880932342663</x:v>
      </x:c>
      <x:c r="C1180" s="46" t="n">
        <x:f>B1180^2</x:f>
        <x:v>0.7138237898362075</x:v>
      </x:c>
      <x:c r="D1180" s="47" t="n">
        <x:f>'Datos'!$B$26^3/3</x:f>
        <x:v>0.3333333333333333</x:v>
      </x:c>
      <x:c r="E1180" s="46" t="n">
        <x:f>D1180*(C1180-1)</x:f>
        <x:v>-0.09539207005459749</x:v>
      </x:c>
      <x:c r="F1180" s="2"/>
      <x:c r="G1180" s="2"/>
      <x:c r="H1180" s="2"/>
    </x:row>
    <x:row r="1181" ht="22" customHeight="1">
      <x:c r="A1181" s="2" t="n">
        <x:v>1175</x:v>
      </x:c>
      <x:c r="B1181" s="79" t="n">
        <x:v>1.0241058039633026</x:v>
      </x:c>
      <x:c r="C1181" s="46" t="n">
        <x:f>B1181^2</x:f>
        <x:v>1.0487926977113224</x:v>
      </x:c>
      <x:c r="D1181" s="47" t="n">
        <x:f>'Datos'!$B$26^3/3</x:f>
        <x:v>0.3333333333333333</x:v>
      </x:c>
      <x:c r="E1181" s="46" t="n">
        <x:f>D1181*(C1181-1)</x:f>
        <x:v>0.016264232570440813</x:v>
      </x:c>
      <x:c r="F1181" s="2"/>
      <x:c r="G1181" s="2"/>
      <x:c r="H1181" s="2"/>
    </x:row>
    <x:row r="1182" ht="22" customHeight="1">
      <x:c r="A1182" s="2" t="n">
        <x:v>1176</x:v>
      </x:c>
      <x:c r="B1182" s="79" t="n">
        <x:v>-0.23574797832456348</x:v>
      </x:c>
      <x:c r="C1182" s="46" t="n">
        <x:f>B1182^2</x:f>
        <x:v>0.05557710928411885</x:v>
      </x:c>
      <x:c r="D1182" s="47" t="n">
        <x:f>'Datos'!$B$26^3/3</x:f>
        <x:v>0.3333333333333333</x:v>
      </x:c>
      <x:c r="E1182" s="46" t="n">
        <x:f>D1182*(C1182-1)</x:f>
        <x:v>-0.314807630238627</x:v>
      </x:c>
      <x:c r="F1182" s="2"/>
      <x:c r="G1182" s="2"/>
      <x:c r="H1182" s="2"/>
    </x:row>
    <x:row r="1183" ht="22" customHeight="1">
      <x:c r="A1183" s="2" t="n">
        <x:v>1177</x:v>
      </x:c>
      <x:c r="B1183" s="79" t="n">
        <x:v>-1.269236513366741</x:v>
      </x:c>
      <x:c r="C1183" s="46" t="n">
        <x:f>B1183^2</x:f>
        <x:v>1.6109613268633611</x:v>
      </x:c>
      <x:c r="D1183" s="47" t="n">
        <x:f>'Datos'!$B$26^3/3</x:f>
        <x:v>0.3333333333333333</x:v>
      </x:c>
      <x:c r="E1183" s="46" t="n">
        <x:f>D1183*(C1183-1)</x:f>
        <x:v>0.20365377562112036</x:v>
      </x:c>
      <x:c r="F1183" s="2"/>
      <x:c r="G1183" s="2"/>
      <x:c r="H1183" s="2"/>
    </x:row>
    <x:row r="1184" ht="22" customHeight="1">
      <x:c r="A1184" s="2" t="n">
        <x:v>1178</x:v>
      </x:c>
      <x:c r="B1184" s="79" t="n">
        <x:v>0.6533395154703749</x:v>
      </x:c>
      <x:c r="C1184" s="46" t="n">
        <x:f>B1184^2</x:f>
        <x:v>0.4268525224750643</x:v>
      </x:c>
      <x:c r="D1184" s="47" t="n">
        <x:f>'Datos'!$B$26^3/3</x:f>
        <x:v>0.3333333333333333</x:v>
      </x:c>
      <x:c r="E1184" s="46" t="n">
        <x:f>D1184*(C1184-1)</x:f>
        <x:v>-0.19104915917497856</x:v>
      </x:c>
      <x:c r="F1184" s="2"/>
      <x:c r="G1184" s="2"/>
      <x:c r="H1184" s="2"/>
    </x:row>
    <x:row r="1185" ht="22" customHeight="1">
      <x:c r="A1185" s="2" t="n">
        <x:v>1179</x:v>
      </x:c>
      <x:c r="B1185" s="79" t="n">
        <x:v>0.11529297397257338</x:v>
      </x:c>
      <x:c r="C1185" s="46" t="n">
        <x:f>B1185^2</x:f>
        <x:v>0.013292469847440482</x:v>
      </x:c>
      <x:c r="D1185" s="47" t="n">
        <x:f>'Datos'!$B$26^3/3</x:f>
        <x:v>0.3333333333333333</x:v>
      </x:c>
      <x:c r="E1185" s="46" t="n">
        <x:f>D1185*(C1185-1)</x:f>
        <x:v>-0.32890251005085314</x:v>
      </x:c>
      <x:c r="F1185" s="2"/>
      <x:c r="G1185" s="2"/>
      <x:c r="H1185" s="2"/>
    </x:row>
    <x:row r="1186" ht="22" customHeight="1">
      <x:c r="A1186" s="2" t="n">
        <x:v>1180</x:v>
      </x:c>
      <x:c r="B1186" s="79" t="n">
        <x:v>0.24250506731215862</x:v>
      </x:c>
      <x:c r="C1186" s="46" t="n">
        <x:f>B1186^2</x:f>
        <x:v>0.058808707672074585</x:v>
      </x:c>
      <x:c r="D1186" s="47" t="n">
        <x:f>'Datos'!$B$26^3/3</x:f>
        <x:v>0.3333333333333333</x:v>
      </x:c>
      <x:c r="E1186" s="46" t="n">
        <x:f>D1186*(C1186-1)</x:f>
        <x:v>-0.3137304307759751</x:v>
      </x:c>
      <x:c r="F1186" s="2"/>
      <x:c r="G1186" s="2"/>
      <x:c r="H1186" s="2"/>
    </x:row>
    <x:row r="1187" ht="22" customHeight="1">
      <x:c r="A1187" s="2" t="n">
        <x:v>1181</x:v>
      </x:c>
      <x:c r="B1187" s="79" t="n">
        <x:v>1.3081837954263285</x:v>
      </x:c>
      <x:c r="C1187" s="46" t="n">
        <x:f>B1187^2</x:f>
        <x:v>1.711344842616034</x:v>
      </x:c>
      <x:c r="D1187" s="47" t="n">
        <x:f>'Datos'!$B$26^3/3</x:f>
        <x:v>0.3333333333333333</x:v>
      </x:c>
      <x:c r="E1187" s="46" t="n">
        <x:f>D1187*(C1187-1)</x:f>
        <x:v>0.237114947538678</x:v>
      </x:c>
      <x:c r="F1187" s="2"/>
      <x:c r="G1187" s="2"/>
      <x:c r="H1187" s="2"/>
    </x:row>
    <x:row r="1188" ht="22" customHeight="1">
      <x:c r="A1188" s="2" t="n">
        <x:v>1182</x:v>
      </x:c>
      <x:c r="B1188" s="79" t="n">
        <x:v>-1.5532631901349356</x:v>
      </x:c>
      <x:c r="C1188" s="46" t="n">
        <x:f>B1188^2</x:f>
        <x:v>2.412626537828157</x:v>
      </x:c>
      <x:c r="D1188" s="47" t="n">
        <x:f>'Datos'!$B$26^3/3</x:f>
        <x:v>0.3333333333333333</x:v>
      </x:c>
      <x:c r="E1188" s="46" t="n">
        <x:f>D1188*(C1188-1)</x:f>
        <x:v>0.47087551260938565</x:v>
      </x:c>
      <x:c r="F1188" s="2"/>
      <x:c r="G1188" s="2"/>
      <x:c r="H1188" s="2"/>
    </x:row>
    <x:row r="1189" ht="22" customHeight="1">
      <x:c r="A1189" s="2" t="n">
        <x:v>1183</x:v>
      </x:c>
      <x:c r="B1189" s="79" t="n">
        <x:v>0.022030246446119315</x:v>
      </x:c>
      <x:c r="C1189" s="46" t="n">
        <x:f>B1189^2</x:f>
        <x:v>0.0004853317584767527</x:v>
      </x:c>
      <x:c r="D1189" s="47" t="n">
        <x:f>'Datos'!$B$26^3/3</x:f>
        <x:v>0.3333333333333333</x:v>
      </x:c>
      <x:c r="E1189" s="46" t="n">
        <x:f>D1189*(C1189-1)</x:f>
        <x:v>-0.33317155608050775</x:v>
      </x:c>
      <x:c r="F1189" s="2"/>
      <x:c r="G1189" s="2"/>
      <x:c r="H1189" s="2"/>
    </x:row>
    <x:row r="1190" ht="22" customHeight="1">
      <x:c r="A1190" s="2" t="n">
        <x:v>1184</x:v>
      </x:c>
      <x:c r="B1190" s="79" t="n">
        <x:v>0.251732628128167</x:v>
      </x:c>
      <x:c r="C1190" s="46" t="n">
        <x:f>B1190^2</x:f>
        <x:v>0.06336931606431401</x:v>
      </x:c>
      <x:c r="D1190" s="47" t="n">
        <x:f>'Datos'!$B$26^3/3</x:f>
        <x:v>0.3333333333333333</x:v>
      </x:c>
      <x:c r="E1190" s="46" t="n">
        <x:f>D1190*(C1190-1)</x:f>
        <x:v>-0.31221022797856196</x:v>
      </x:c>
      <x:c r="F1190" s="2"/>
      <x:c r="G1190" s="2"/>
      <x:c r="H1190" s="2"/>
    </x:row>
    <x:row r="1191" ht="22" customHeight="1">
      <x:c r="A1191" s="2" t="n">
        <x:v>1185</x:v>
      </x:c>
      <x:c r="B1191" s="79" t="n">
        <x:v>0.47467600850857944</x:v>
      </x:c>
      <x:c r="C1191" s="46" t="n">
        <x:f>B1191^2</x:f>
        <x:v>0.22531731305363698</x:v>
      </x:c>
      <x:c r="D1191" s="47" t="n">
        <x:f>'Datos'!$B$26^3/3</x:f>
        <x:v>0.3333333333333333</x:v>
      </x:c>
      <x:c r="E1191" s="46" t="n">
        <x:f>D1191*(C1191-1)</x:f>
        <x:v>-0.2582275623154543</x:v>
      </x:c>
      <x:c r="F1191" s="2"/>
      <x:c r="G1191" s="2"/>
      <x:c r="H1191" s="2"/>
    </x:row>
    <x:row r="1192" ht="22" customHeight="1">
      <x:c r="A1192" s="2" t="n">
        <x:v>1186</x:v>
      </x:c>
      <x:c r="B1192" s="79" t="n">
        <x:v>-1.6166028906624472</x:v>
      </x:c>
      <x:c r="C1192" s="46" t="n">
        <x:f>B1192^2</x:f>
        <x:v>2.61340490609818</x:v>
      </x:c>
      <x:c r="D1192" s="47" t="n">
        <x:f>'Datos'!$B$26^3/3</x:f>
        <x:v>0.3333333333333333</x:v>
      </x:c>
      <x:c r="E1192" s="46" t="n">
        <x:f>D1192*(C1192-1)</x:f>
        <x:v>0.53780163536606</x:v>
      </x:c>
      <x:c r="F1192" s="2"/>
      <x:c r="G1192" s="2"/>
      <x:c r="H1192" s="2"/>
    </x:row>
    <x:row r="1193" ht="22" customHeight="1">
      <x:c r="A1193" s="2" t="n">
        <x:v>1187</x:v>
      </x:c>
      <x:c r="B1193" s="79" t="n">
        <x:v>-0.02871200037433217</x:v>
      </x:c>
      <x:c r="C1193" s="46" t="n">
        <x:f>B1193^2</x:f>
        <x:v>0.0008243789654956507</x:v>
      </x:c>
      <x:c r="D1193" s="47" t="n">
        <x:f>'Datos'!$B$26^3/3</x:f>
        <x:v>0.3333333333333333</x:v>
      </x:c>
      <x:c r="E1193" s="46" t="n">
        <x:f>D1193*(C1193-1)</x:f>
        <x:v>-0.33305854034483473</x:v>
      </x:c>
      <x:c r="F1193" s="2"/>
      <x:c r="G1193" s="2"/>
      <x:c r="H1193" s="2"/>
    </x:row>
    <x:row r="1194" ht="22" customHeight="1">
      <x:c r="A1194" s="2" t="n">
        <x:v>1188</x:v>
      </x:c>
      <x:c r="B1194" s="79" t="n">
        <x:v>0.610476429412769</x:v>
      </x:c>
      <x:c r="C1194" s="46" t="n">
        <x:f>B1194^2</x:f>
        <x:v>0.37268147086856357</x:v>
      </x:c>
      <x:c r="D1194" s="47" t="n">
        <x:f>'Datos'!$B$26^3/3</x:f>
        <x:v>0.3333333333333333</x:v>
      </x:c>
      <x:c r="E1194" s="46" t="n">
        <x:f>D1194*(C1194-1)</x:f>
        <x:v>-0.2091061763771455</x:v>
      </x:c>
      <x:c r="F1194" s="2"/>
      <x:c r="G1194" s="2"/>
      <x:c r="H1194" s="2"/>
    </x:row>
    <x:row r="1195" ht="22" customHeight="1">
      <x:c r="A1195" s="2" t="n">
        <x:v>1189</x:v>
      </x:c>
      <x:c r="B1195" s="79" t="n">
        <x:v>-0.9046731649399085</x:v>
      </x:c>
      <x:c r="C1195" s="46" t="n">
        <x:f>B1195^2</x:f>
        <x:v>0.8184335353623908</x:v>
      </x:c>
      <x:c r="D1195" s="47" t="n">
        <x:f>'Datos'!$B$26^3/3</x:f>
        <x:v>0.3333333333333333</x:v>
      </x:c>
      <x:c r="E1195" s="46" t="n">
        <x:f>D1195*(C1195-1)</x:f>
        <x:v>-0.06052215487920305</x:v>
      </x:c>
      <x:c r="F1195" s="2"/>
      <x:c r="G1195" s="2"/>
      <x:c r="H1195" s="2"/>
    </x:row>
    <x:row r="1196" ht="22" customHeight="1">
      <x:c r="A1196" s="2" t="n">
        <x:v>1190</x:v>
      </x:c>
      <x:c r="B1196" s="79" t="n">
        <x:v>-0.14990338650395704</x:v>
      </x:c>
      <x:c r="C1196" s="46" t="n">
        <x:f>B1196^2</x:f>
        <x:v>0.02247102528535473</x:v>
      </x:c>
      <x:c r="D1196" s="47" t="n">
        <x:f>'Datos'!$B$26^3/3</x:f>
        <x:v>0.3333333333333333</x:v>
      </x:c>
      <x:c r="E1196" s="46" t="n">
        <x:f>D1196*(C1196-1)</x:f>
        <x:v>-0.3258429915715484</x:v>
      </x:c>
      <x:c r="F1196" s="2"/>
      <x:c r="G1196" s="2"/>
      <x:c r="H1196" s="2"/>
    </x:row>
    <x:row r="1197" ht="22" customHeight="1">
      <x:c r="A1197" s="2" t="n">
        <x:v>1191</x:v>
      </x:c>
      <x:c r="B1197" s="79" t="n">
        <x:v>-1.5573426823592453</x:v>
      </x:c>
      <x:c r="C1197" s="46" t="n">
        <x:f>B1197^2</x:f>
        <x:v>2.4253162302978892</x:v>
      </x:c>
      <x:c r="D1197" s="47" t="n">
        <x:f>'Datos'!$B$26^3/3</x:f>
        <x:v>0.3333333333333333</x:v>
      </x:c>
      <x:c r="E1197" s="46" t="n">
        <x:f>D1197*(C1197-1)</x:f>
        <x:v>0.4751054100992964</x:v>
      </x:c>
      <x:c r="F1197" s="2"/>
      <x:c r="G1197" s="2"/>
      <x:c r="H1197" s="2"/>
    </x:row>
    <x:row r="1198" ht="22" customHeight="1">
      <x:c r="A1198" s="2" t="n">
        <x:v>1192</x:v>
      </x:c>
      <x:c r="B1198" s="79" t="n">
        <x:v>-0.3021115049805892</x:v>
      </x:c>
      <x:c r="C1198" s="46" t="n">
        <x:f>B1198^2</x:f>
        <x:v>0.09127136144163657</x:v>
      </x:c>
      <x:c r="D1198" s="47" t="n">
        <x:f>'Datos'!$B$26^3/3</x:f>
        <x:v>0.3333333333333333</x:v>
      </x:c>
      <x:c r="E1198" s="46" t="n">
        <x:f>D1198*(C1198-1)</x:f>
        <x:v>-0.3029095461861211</x:v>
      </x:c>
      <x:c r="F1198" s="2"/>
      <x:c r="G1198" s="2"/>
      <x:c r="H1198" s="2"/>
    </x:row>
    <x:row r="1199" ht="22" customHeight="1">
      <x:c r="A1199" s="2" t="n">
        <x:v>1193</x:v>
      </x:c>
      <x:c r="B1199" s="79" t="n">
        <x:v>0.1915244661247213</x:v>
      </x:c>
      <x:c r="C1199" s="46" t="n">
        <x:f>B1199^2</x:f>
        <x:v>0.03668162112435951</x:v>
      </x:c>
      <x:c r="D1199" s="47" t="n">
        <x:f>'Datos'!$B$26^3/3</x:f>
        <x:v>0.3333333333333333</x:v>
      </x:c>
      <x:c r="E1199" s="46" t="n">
        <x:f>D1199*(C1199-1)</x:f>
        <x:v>-0.3211061262918802</x:v>
      </x:c>
      <x:c r="F1199" s="2"/>
      <x:c r="G1199" s="2"/>
      <x:c r="H1199" s="2"/>
    </x:row>
    <x:row r="1200" ht="22" customHeight="1">
      <x:c r="A1200" s="2" t="n">
        <x:v>1194</x:v>
      </x:c>
      <x:c r="B1200" s="79" t="n">
        <x:v>-0.30311345593772054</x:v>
      </x:c>
      <x:c r="C1200" s="46" t="n">
        <x:f>B1200^2</x:f>
        <x:v>0.09187776717050845</x:v>
      </x:c>
      <x:c r="D1200" s="47" t="n">
        <x:f>'Datos'!$B$26^3/3</x:f>
        <x:v>0.3333333333333333</x:v>
      </x:c>
      <x:c r="E1200" s="46" t="n">
        <x:f>D1200*(C1200-1)</x:f>
        <x:v>-0.30270741094316383</x:v>
      </x:c>
      <x:c r="F1200" s="2"/>
      <x:c r="G1200" s="2"/>
      <x:c r="H1200" s="2"/>
    </x:row>
    <x:row r="1201" ht="22" customHeight="1">
      <x:c r="A1201" s="2" t="n">
        <x:v>1195</x:v>
      </x:c>
      <x:c r="B1201" s="79" t="n">
        <x:v>-1.5086164984798702</x:v>
      </x:c>
      <x:c r="C1201" s="46" t="n">
        <x:f>B1201^2</x:f>
        <x:v>2.2759237394856644</x:v>
      </x:c>
      <x:c r="D1201" s="47" t="n">
        <x:f>'Datos'!$B$26^3/3</x:f>
        <x:v>0.3333333333333333</x:v>
      </x:c>
      <x:c r="E1201" s="46" t="n">
        <x:f>D1201*(C1201-1)</x:f>
        <x:v>0.4253079131618881</x:v>
      </x:c>
      <x:c r="F1201" s="2"/>
      <x:c r="G1201" s="2"/>
      <x:c r="H1201" s="2"/>
    </x:row>
    <x:row r="1202" ht="22" customHeight="1">
      <x:c r="A1202" s="2" t="n">
        <x:v>1196</x:v>
      </x:c>
      <x:c r="B1202" s="79" t="n">
        <x:v>0.8674997345188569</x:v>
      </x:c>
      <x:c r="C1202" s="46" t="n">
        <x:f>B1202^2</x:f>
        <x:v>0.7525557893902871</x:v>
      </x:c>
      <x:c r="D1202" s="47" t="n">
        <x:f>'Datos'!$B$26^3/3</x:f>
        <x:v>0.3333333333333333</x:v>
      </x:c>
      <x:c r="E1202" s="46" t="n">
        <x:f>D1202*(C1202-1)</x:f>
        <x:v>-0.08248140353657096</x:v>
      </x:c>
      <x:c r="F1202" s="2"/>
      <x:c r="G1202" s="2"/>
      <x:c r="H1202" s="2"/>
    </x:row>
    <x:row r="1203" ht="22" customHeight="1">
      <x:c r="A1203" s="2" t="n">
        <x:v>1197</x:v>
      </x:c>
      <x:c r="B1203" s="79" t="n">
        <x:v>-0.9499764755187734</x:v>
      </x:c>
      <x:c r="C1203" s="46" t="n">
        <x:f>B1203^2</x:f>
        <x:v>0.9024553040390707</x:v>
      </x:c>
      <x:c r="D1203" s="47" t="n">
        <x:f>'Datos'!$B$26^3/3</x:f>
        <x:v>0.3333333333333333</x:v>
      </x:c>
      <x:c r="E1203" s="46" t="n">
        <x:f>D1203*(C1203-1)</x:f>
        <x:v>-0.0325148986536431</x:v>
      </x:c>
      <x:c r="F1203" s="2"/>
      <x:c r="G1203" s="2"/>
      <x:c r="H1203" s="2"/>
    </x:row>
    <x:row r="1204" ht="22" customHeight="1">
      <x:c r="A1204" s="2" t="n">
        <x:v>1198</x:v>
      </x:c>
      <x:c r="B1204" s="79" t="n">
        <x:v>0.2185998468583868</x:v>
      </x:c>
      <x:c r="C1204" s="46" t="n">
        <x:f>B1204^2</x:f>
        <x:v>0.04778589304651016</x:v>
      </x:c>
      <x:c r="D1204" s="47" t="n">
        <x:f>'Datos'!$B$26^3/3</x:f>
        <x:v>0.3333333333333333</x:v>
      </x:c>
      <x:c r="E1204" s="46" t="n">
        <x:f>D1204*(C1204-1)</x:f>
        <x:v>-0.3174047023178299</x:v>
      </x:c>
      <x:c r="F1204" s="2"/>
      <x:c r="G1204" s="2"/>
      <x:c r="H1204" s="2"/>
    </x:row>
    <x:row r="1205" ht="22" customHeight="1">
      <x:c r="A1205" s="2" t="n">
        <x:v>1199</x:v>
      </x:c>
      <x:c r="B1205" s="79" t="n">
        <x:v>-1.5406014271431108</x:v>
      </x:c>
      <x:c r="C1205" s="46" t="n">
        <x:f>B1205^2</x:f>
        <x:v>2.37345275731539</x:v>
      </x:c>
      <x:c r="D1205" s="47" t="n">
        <x:f>'Datos'!$B$26^3/3</x:f>
        <x:v>0.3333333333333333</x:v>
      </x:c>
      <x:c r="E1205" s="46" t="n">
        <x:f>D1205*(C1205-1)</x:f>
        <x:v>0.4578175857717966</x:v>
      </x:c>
      <x:c r="F1205" s="2"/>
      <x:c r="G1205" s="2"/>
      <x:c r="H1205" s="2"/>
    </x:row>
    <x:row r="1206" ht="22" customHeight="1">
      <x:c r="A1206" s="2" t="n">
        <x:v>1200</x:v>
      </x:c>
      <x:c r="B1206" s="79" t="n">
        <x:v>-0.26620350486255895</x:v>
      </x:c>
      <x:c r="C1206" s="46" t="n">
        <x:f>B1206^2</x:f>
        <x:v>0.07086430600111045</x:v>
      </x:c>
      <x:c r="D1206" s="47" t="n">
        <x:f>'Datos'!$B$26^3/3</x:f>
        <x:v>0.3333333333333333</x:v>
      </x:c>
      <x:c r="E1206" s="46" t="n">
        <x:f>D1206*(C1206-1)</x:f>
        <x:v>-0.30971189799962984</x:v>
      </x:c>
      <x:c r="F1206" s="2"/>
      <x:c r="G1206" s="2"/>
      <x:c r="H1206" s="2"/>
    </x:row>
    <x:row r="1207" ht="22" customHeight="1">
      <x:c r="A1207" s="2" t="n">
        <x:v>1201</x:v>
      </x:c>
      <x:c r="B1207" s="79" t="n">
        <x:v>-1.1748475146373358</x:v>
      </x:c>
      <x:c r="C1207" s="46" t="n">
        <x:f>B1207^2</x:f>
        <x:v>1.3802666826495251</x:v>
      </x:c>
      <x:c r="D1207" s="47" t="n">
        <x:f>'Datos'!$B$26^3/3</x:f>
        <x:v>0.3333333333333333</x:v>
      </x:c>
      <x:c r="E1207" s="46" t="n">
        <x:f>D1207*(C1207-1)</x:f>
        <x:v>0.12675556088317502</x:v>
      </x:c>
      <x:c r="F1207" s="2"/>
      <x:c r="G1207" s="2"/>
      <x:c r="H1207" s="2"/>
    </x:row>
    <x:row r="1208" ht="22" customHeight="1">
      <x:c r="A1208" s="2" t="n">
        <x:v>1202</x:v>
      </x:c>
      <x:c r="B1208" s="79" t="n">
        <x:v>0.41276604638178904</x:v>
      </x:c>
      <x:c r="C1208" s="46" t="n">
        <x:f>B1208^2</x:f>
        <x:v>0.17037580904565322</x:v>
      </x:c>
      <x:c r="D1208" s="47" t="n">
        <x:f>'Datos'!$B$26^3/3</x:f>
        <x:v>0.3333333333333333</x:v>
      </x:c>
      <x:c r="E1208" s="46" t="n">
        <x:f>D1208*(C1208-1)</x:f>
        <x:v>-0.27654139698478225</x:v>
      </x:c>
      <x:c r="F1208" s="2"/>
      <x:c r="G1208" s="2"/>
      <x:c r="H1208" s="2"/>
    </x:row>
    <x:row r="1209" ht="22" customHeight="1">
      <x:c r="A1209" s="2" t="n">
        <x:v>1203</x:v>
      </x:c>
      <x:c r="B1209" s="79" t="n">
        <x:v>-1.5113002333174101</x:v>
      </x:c>
      <x:c r="C1209" s="46" t="n">
        <x:f>B1209^2</x:f>
        <x:v>2.2840283952252585</x:v>
      </x:c>
      <x:c r="D1209" s="47" t="n">
        <x:f>'Datos'!$B$26^3/3</x:f>
        <x:v>0.3333333333333333</x:v>
      </x:c>
      <x:c r="E1209" s="46" t="n">
        <x:f>D1209*(C1209-1)</x:f>
        <x:v>0.42800946507508614</x:v>
      </x:c>
      <x:c r="F1209" s="2"/>
      <x:c r="G1209" s="2"/>
      <x:c r="H1209" s="2"/>
    </x:row>
    <x:row r="1210" ht="22" customHeight="1">
      <x:c r="A1210" s="2" t="n">
        <x:v>1204</x:v>
      </x:c>
      <x:c r="B1210" s="79" t="n">
        <x:v>-1.1141435336269936</x:v>
      </x:c>
      <x:c r="C1210" s="46" t="n">
        <x:f>B1210^2</x:f>
        <x:v>1.2413158135228437</x:v>
      </x:c>
      <x:c r="D1210" s="47" t="n">
        <x:f>'Datos'!$B$26^3/3</x:f>
        <x:v>0.3333333333333333</x:v>
      </x:c>
      <x:c r="E1210" s="46" t="n">
        <x:f>D1210*(C1210-1)</x:f>
        <x:v>0.08043860450761456</x:v>
      </x:c>
      <x:c r="F1210" s="2"/>
      <x:c r="G1210" s="2"/>
      <x:c r="H1210" s="2"/>
    </x:row>
    <x:row r="1211" ht="22" customHeight="1">
      <x:c r="A1211" s="2" t="n">
        <x:v>1205</x:v>
      </x:c>
      <x:c r="B1211" s="79" t="n">
        <x:v>-0.3161831306839203</x:v>
      </x:c>
      <x:c r="C1211" s="46" t="n">
        <x:f>B1211^2</x:f>
        <x:v>0.09997177212908502</x:v>
      </x:c>
      <x:c r="D1211" s="47" t="n">
        <x:f>'Datos'!$B$26^3/3</x:f>
        <x:v>0.3333333333333333</x:v>
      </x:c>
      <x:c r="E1211" s="46" t="n">
        <x:f>D1211*(C1211-1)</x:f>
        <x:v>-0.30000940929030495</x:v>
      </x:c>
      <x:c r="F1211" s="2"/>
      <x:c r="G1211" s="2"/>
      <x:c r="H1211" s="2"/>
    </x:row>
    <x:row r="1212" ht="22" customHeight="1">
      <x:c r="A1212" s="2" t="n">
        <x:v>1206</x:v>
      </x:c>
      <x:c r="B1212" s="79" t="n">
        <x:v>-0.9382479915834595</x:v>
      </x:c>
      <x:c r="C1212" s="46" t="n">
        <x:f>B1212^2</x:f>
        <x:v>0.8803092937103955</x:v>
      </x:c>
      <x:c r="D1212" s="47" t="n">
        <x:f>'Datos'!$B$26^3/3</x:f>
        <x:v>0.3333333333333333</x:v>
      </x:c>
      <x:c r="E1212" s="46" t="n">
        <x:f>D1212*(C1212-1)</x:f>
        <x:v>-0.03989690209653485</x:v>
      </x:c>
      <x:c r="F1212" s="2"/>
      <x:c r="G1212" s="2"/>
      <x:c r="H1212" s="2"/>
    </x:row>
    <x:row r="1213" ht="22" customHeight="1">
      <x:c r="A1213" s="2" t="n">
        <x:v>1207</x:v>
      </x:c>
      <x:c r="B1213" s="79" t="n">
        <x:v>0.5752867848910616</x:v>
      </x:c>
      <x:c r="C1213" s="46" t="n">
        <x:f>B1213^2</x:f>
        <x:v>0.3309548848702945</x:v>
      </x:c>
      <x:c r="D1213" s="47" t="n">
        <x:f>'Datos'!$B$26^3/3</x:f>
        <x:v>0.3333333333333333</x:v>
      </x:c>
      <x:c r="E1213" s="46" t="n">
        <x:f>D1213*(C1213-1)</x:f>
        <x:v>-0.22301503837656847</x:v>
      </x:c>
      <x:c r="F1213" s="2"/>
      <x:c r="G1213" s="2"/>
      <x:c r="H1213" s="2"/>
    </x:row>
    <x:row r="1214" ht="22" customHeight="1">
      <x:c r="A1214" s="2" t="n">
        <x:v>1208</x:v>
      </x:c>
      <x:c r="B1214" s="79" t="n">
        <x:v>0.26114159998895214</x:v>
      </x:c>
      <x:c r="C1214" s="46" t="n">
        <x:f>B1214^2</x:f>
        <x:v>0.0681949352447899</x:v>
      </x:c>
      <x:c r="D1214" s="47" t="n">
        <x:f>'Datos'!$B$26^3/3</x:f>
        <x:v>0.3333333333333333</x:v>
      </x:c>
      <x:c r="E1214" s="46" t="n">
        <x:f>D1214*(C1214-1)</x:f>
        <x:v>-0.3106016882517367</x:v>
      </x:c>
      <x:c r="F1214" s="2"/>
      <x:c r="G1214" s="2"/>
      <x:c r="H1214" s="2"/>
    </x:row>
    <x:row r="1215" ht="22" customHeight="1">
      <x:c r="A1215" s="2" t="n">
        <x:v>1209</x:v>
      </x:c>
      <x:c r="B1215" s="79" t="n">
        <x:v>0.22078260494008414</x:v>
      </x:c>
      <x:c r="C1215" s="46" t="n">
        <x:f>B1215^2</x:f>
        <x:v>0.04874495864412927</x:v>
      </x:c>
      <x:c r="D1215" s="47" t="n">
        <x:f>'Datos'!$B$26^3/3</x:f>
        <x:v>0.3333333333333333</x:v>
      </x:c>
      <x:c r="E1215" s="46" t="n">
        <x:f>D1215*(C1215-1)</x:f>
        <x:v>-0.3170850137852902</x:v>
      </x:c>
      <x:c r="F1215" s="2"/>
      <x:c r="G1215" s="2"/>
      <x:c r="H1215" s="2"/>
    </x:row>
    <x:row r="1216" ht="22" customHeight="1">
      <x:c r="A1216" s="2" t="n">
        <x:v>1210</x:v>
      </x:c>
      <x:c r="B1216" s="79" t="n">
        <x:v>0.1801129987842439</x:v>
      </x:c>
      <x:c r="C1216" s="46" t="n">
        <x:f>B1216^2</x:f>
        <x:v>0.03244069233105304</x:v>
      </x:c>
      <x:c r="D1216" s="47" t="n">
        <x:f>'Datos'!$B$26^3/3</x:f>
        <x:v>0.3333333333333333</x:v>
      </x:c>
      <x:c r="E1216" s="46" t="n">
        <x:f>D1216*(C1216-1)</x:f>
        <x:v>-0.3225197692229823</x:v>
      </x:c>
      <x:c r="F1216" s="2"/>
      <x:c r="G1216" s="2"/>
      <x:c r="H1216" s="2"/>
    </x:row>
    <x:row r="1217" ht="22" customHeight="1">
      <x:c r="A1217" s="2" t="n">
        <x:v>1211</x:v>
      </x:c>
      <x:c r="B1217" s="79" t="n">
        <x:v>-0.5699696466195847</x:v>
      </x:c>
      <x:c r="C1217" s="46" t="n">
        <x:f>B1217^2</x:f>
        <x:v>0.3248653980676543</x:v>
      </x:c>
      <x:c r="D1217" s="47" t="n">
        <x:f>'Datos'!$B$26^3/3</x:f>
        <x:v>0.3333333333333333</x:v>
      </x:c>
      <x:c r="E1217" s="46" t="n">
        <x:f>D1217*(C1217-1)</x:f>
        <x:v>-0.22504486731078188</x:v>
      </x:c>
      <x:c r="F1217" s="2"/>
      <x:c r="G1217" s="2"/>
      <x:c r="H1217" s="2"/>
    </x:row>
    <x:row r="1218" ht="22" customHeight="1">
      <x:c r="A1218" s="2" t="n">
        <x:v>1212</x:v>
      </x:c>
      <x:c r="B1218" s="79" t="n">
        <x:v>-0.3543034348764494</x:v>
      </x:c>
      <x:c r="C1218" s="46" t="n">
        <x:f>B1218^2</x:f>
        <x:v>0.12553092396525042</x:v>
      </x:c>
      <x:c r="D1218" s="47" t="n">
        <x:f>'Datos'!$B$26^3/3</x:f>
        <x:v>0.3333333333333333</x:v>
      </x:c>
      <x:c r="E1218" s="46" t="n">
        <x:f>D1218*(C1218-1)</x:f>
        <x:v>-0.29148969201158315</x:v>
      </x:c>
      <x:c r="F1218" s="2"/>
      <x:c r="G1218" s="2"/>
      <x:c r="H1218" s="2"/>
    </x:row>
    <x:row r="1219" ht="22" customHeight="1">
      <x:c r="A1219" s="2" t="n">
        <x:v>1213</x:v>
      </x:c>
      <x:c r="B1219" s="79" t="n">
        <x:v>-0.34985673101065634</x:v>
      </x:c>
      <x:c r="C1219" s="46" t="n">
        <x:f>B1219^2</x:f>
        <x:v>0.12239973223346275</x:v>
      </x:c>
      <x:c r="D1219" s="47" t="n">
        <x:f>'Datos'!$B$26^3/3</x:f>
        <x:v>0.3333333333333333</x:v>
      </x:c>
      <x:c r="E1219" s="46" t="n">
        <x:f>D1219*(C1219-1)</x:f>
        <x:v>-0.29253342258884574</x:v>
      </x:c>
      <x:c r="F1219" s="2"/>
      <x:c r="G1219" s="2"/>
      <x:c r="H1219" s="2"/>
    </x:row>
    <x:row r="1220" ht="22" customHeight="1">
      <x:c r="A1220" s="2" t="n">
        <x:v>1214</x:v>
      </x:c>
      <x:c r="B1220" s="79" t="n">
        <x:v>0.27200977944524585</x:v>
      </x:c>
      <x:c r="C1220" s="46" t="n">
        <x:f>B1220^2</x:f>
        <x:v>0.07398932011385129</x:v>
      </x:c>
      <x:c r="D1220" s="47" t="n">
        <x:f>'Datos'!$B$26^3/3</x:f>
        <x:v>0.3333333333333333</x:v>
      </x:c>
      <x:c r="E1220" s="46" t="n">
        <x:f>D1220*(C1220-1)</x:f>
        <x:v>-0.30867022662871624</x:v>
      </x:c>
      <x:c r="F1220" s="2"/>
      <x:c r="G1220" s="2"/>
      <x:c r="H1220" s="2"/>
    </x:row>
    <x:row r="1221" ht="22" customHeight="1">
      <x:c r="A1221" s="2" t="n">
        <x:v>1215</x:v>
      </x:c>
      <x:c r="B1221" s="79" t="n">
        <x:v>-0.362695436183461</x:v>
      </x:c>
      <x:c r="C1221" s="46" t="n">
        <x:f>B1221^2</x:f>
        <x:v>0.13154797942831103</x:v>
      </x:c>
      <x:c r="D1221" s="47" t="n">
        <x:f>'Datos'!$B$26^3/3</x:f>
        <x:v>0.3333333333333333</x:v>
      </x:c>
      <x:c r="E1221" s="46" t="n">
        <x:f>D1221*(C1221-1)</x:f>
        <x:v>-0.28948400685722964</x:v>
      </x:c>
      <x:c r="F1221" s="2"/>
      <x:c r="G1221" s="2"/>
      <x:c r="H1221" s="2"/>
    </x:row>
    <x:row r="1222" ht="22" customHeight="1">
      <x:c r="A1222" s="2" t="n">
        <x:v>1216</x:v>
      </x:c>
      <x:c r="B1222" s="79" t="n">
        <x:v>0.6347565879281268</x:v>
      </x:c>
      <x:c r="C1222" s="46" t="n">
        <x:f>B1222^2</x:f>
        <x:v>0.40291592591815784</x:v>
      </x:c>
      <x:c r="D1222" s="47" t="n">
        <x:f>'Datos'!$B$26^3/3</x:f>
        <x:v>0.3333333333333333</x:v>
      </x:c>
      <x:c r="E1222" s="46" t="n">
        <x:f>D1222*(C1222-1)</x:f>
        <x:v>-0.19902802469394737</x:v>
      </x:c>
      <x:c r="F1222" s="2"/>
      <x:c r="G1222" s="2"/>
      <x:c r="H1222" s="2"/>
    </x:row>
    <x:row r="1223" ht="22" customHeight="1">
      <x:c r="A1223" s="2" t="n">
        <x:v>1217</x:v>
      </x:c>
      <x:c r="B1223" s="79" t="n">
        <x:v>-0.31807119339830536</x:v>
      </x:c>
      <x:c r="C1223" s="46" t="n">
        <x:f>B1223^2</x:f>
        <x:v>0.10116928406982217</x:v>
      </x:c>
      <x:c r="D1223" s="47" t="n">
        <x:f>'Datos'!$B$26^3/3</x:f>
        <x:v>0.3333333333333333</x:v>
      </x:c>
      <x:c r="E1223" s="46" t="n">
        <x:f>D1223*(C1223-1)</x:f>
        <x:v>-0.2996102386433926</x:v>
      </x:c>
      <x:c r="F1223" s="2"/>
      <x:c r="G1223" s="2"/>
      <x:c r="H1223" s="2"/>
    </x:row>
    <x:row r="1224" ht="22" customHeight="1">
      <x:c r="A1224" s="2" t="n">
        <x:v>1218</x:v>
      </x:c>
      <x:c r="B1224" s="79" t="n">
        <x:v>-0.38658693950967504</x:v>
      </x:c>
      <x:c r="C1224" s="46" t="n">
        <x:f>B1224^2</x:f>
        <x:v>0.14944946179945715</x:v>
      </x:c>
      <x:c r="D1224" s="47" t="n">
        <x:f>'Datos'!$B$26^3/3</x:f>
        <x:v>0.3333333333333333</x:v>
      </x:c>
      <x:c r="E1224" s="46" t="n">
        <x:f>D1224*(C1224-1)</x:f>
        <x:v>-0.28351684606684757</x:v>
      </x:c>
      <x:c r="F1224" s="2"/>
      <x:c r="G1224" s="2"/>
      <x:c r="H1224" s="2"/>
    </x:row>
    <x:row r="1225" ht="22" customHeight="1">
      <x:c r="A1225" s="2" t="n">
        <x:v>1219</x:v>
      </x:c>
      <x:c r="B1225" s="79" t="n">
        <x:v>-0.3250984268664436</x:v>
      </x:c>
      <x:c r="C1225" s="46" t="n">
        <x:f>B1225^2</x:f>
        <x:v>0.10568898715103636</x:v>
      </x:c>
      <x:c r="D1225" s="47" t="n">
        <x:f>'Datos'!$B$26^3/3</x:f>
        <x:v>0.3333333333333333</x:v>
      </x:c>
      <x:c r="E1225" s="46" t="n">
        <x:f>D1225*(C1225-1)</x:f>
        <x:v>-0.2981036709496545</x:v>
      </x:c>
      <x:c r="F1225" s="2"/>
      <x:c r="G1225" s="2"/>
      <x:c r="H1225" s="2"/>
    </x:row>
    <x:row r="1226" ht="22" customHeight="1">
      <x:c r="A1226" s="2" t="n">
        <x:v>1220</x:v>
      </x:c>
      <x:c r="B1226" s="79" t="n">
        <x:v>0.48191105785820054</x:v>
      </x:c>
      <x:c r="C1226" s="46" t="n">
        <x:f>B1226^2</x:f>
        <x:v>0.2322382676860099</x:v>
      </x:c>
      <x:c r="D1226" s="47" t="n">
        <x:f>'Datos'!$B$26^3/3</x:f>
        <x:v>0.3333333333333333</x:v>
      </x:c>
      <x:c r="E1226" s="46" t="n">
        <x:f>D1226*(C1226-1)</x:f>
        <x:v>-0.2559205774379967</x:v>
      </x:c>
      <x:c r="F1226" s="2"/>
      <x:c r="G1226" s="2"/>
      <x:c r="H1226" s="2"/>
    </x:row>
    <x:row r="1227" ht="22" customHeight="1">
      <x:c r="A1227" s="2" t="n">
        <x:v>1221</x:v>
      </x:c>
      <x:c r="B1227" s="79" t="n">
        <x:v>-1.548737422817053</x:v>
      </x:c>
      <x:c r="C1227" s="46" t="n">
        <x:f>B1227^2</x:f>
        <x:v>2.398587604834007</x:v>
      </x:c>
      <x:c r="D1227" s="47" t="n">
        <x:f>'Datos'!$B$26^3/3</x:f>
        <x:v>0.3333333333333333</x:v>
      </x:c>
      <x:c r="E1227" s="46" t="n">
        <x:f>D1227*(C1227-1)</x:f>
        <x:v>0.4661958682780023</x:v>
      </x:c>
      <x:c r="F1227" s="2"/>
      <x:c r="G1227" s="2"/>
      <x:c r="H1227" s="2"/>
    </x:row>
    <x:row r="1228" ht="22" customHeight="1">
      <x:c r="A1228" s="2" t="n">
        <x:v>1222</x:v>
      </x:c>
      <x:c r="B1228" s="79" t="n">
        <x:v>0.213581522241895</x:v>
      </x:c>
      <x:c r="C1228" s="46" t="n">
        <x:f>B1228^2</x:f>
        <x:v>0.04561706664316509</x:v>
      </x:c>
      <x:c r="D1228" s="47" t="n">
        <x:f>'Datos'!$B$26^3/3</x:f>
        <x:v>0.3333333333333333</x:v>
      </x:c>
      <x:c r="E1228" s="46" t="n">
        <x:f>D1228*(C1228-1)</x:f>
        <x:v>-0.31812764445227826</x:v>
      </x:c>
      <x:c r="F1228" s="2"/>
      <x:c r="G1228" s="2"/>
      <x:c r="H1228" s="2"/>
    </x:row>
    <x:row r="1229" ht="22" customHeight="1">
      <x:c r="A1229" s="2" t="n">
        <x:v>1223</x:v>
      </x:c>
      <x:c r="B1229" s="79" t="n">
        <x:v>-0.380724830062611</x:v>
      </x:c>
      <x:c r="C1229" s="46" t="n">
        <x:f>B1229^2</x:f>
        <x:v>0.144951396226204</x:v>
      </x:c>
      <x:c r="D1229" s="47" t="n">
        <x:f>'Datos'!$B$26^3/3</x:f>
        <x:v>0.3333333333333333</x:v>
      </x:c>
      <x:c r="E1229" s="46" t="n">
        <x:f>D1229*(C1229-1)</x:f>
        <x:v>-0.285016201257932</x:v>
      </x:c>
      <x:c r="F1229" s="2"/>
      <x:c r="G1229" s="2"/>
      <x:c r="H1229" s="2"/>
    </x:row>
    <x:row r="1230" ht="22" customHeight="1">
      <x:c r="A1230" s="2" t="n">
        <x:v>1224</x:v>
      </x:c>
      <x:c r="B1230" s="79" t="n">
        <x:v>-0.07684942114149619</x:v>
      </x:c>
      <x:c r="C1230" s="46" t="n">
        <x:f>B1230^2</x:f>
        <x:v>0.005905833529783041</x:v>
      </x:c>
      <x:c r="D1230" s="47" t="n">
        <x:f>'Datos'!$B$26^3/3</x:f>
        <x:v>0.3333333333333333</x:v>
      </x:c>
      <x:c r="E1230" s="46" t="n">
        <x:f>D1230*(C1230-1)</x:f>
        <x:v>-0.33136472215673896</x:v>
      </x:c>
      <x:c r="F1230" s="2"/>
      <x:c r="G1230" s="2"/>
      <x:c r="H1230" s="2"/>
    </x:row>
    <x:row r="1231" ht="22" customHeight="1">
      <x:c r="A1231" s="2" t="n">
        <x:v>1225</x:v>
      </x:c>
      <x:c r="B1231" s="79" t="n">
        <x:v>0.10369765634620186</x:v>
      </x:c>
      <x:c r="C1231" s="46" t="n">
        <x:f>B1231^2</x:f>
        <x:v>0.01075320393169498</x:v>
      </x:c>
      <x:c r="D1231" s="47" t="n">
        <x:f>'Datos'!$B$26^3/3</x:f>
        <x:v>0.3333333333333333</x:v>
      </x:c>
      <x:c r="E1231" s="46" t="n">
        <x:f>D1231*(C1231-1)</x:f>
        <x:v>-0.32974893202276834</x:v>
      </x:c>
      <x:c r="F1231" s="2"/>
      <x:c r="G1231" s="2"/>
      <x:c r="H1231" s="2"/>
    </x:row>
    <x:row r="1232" ht="22" customHeight="1">
      <x:c r="A1232" s="2" t="n">
        <x:v>1226</x:v>
      </x:c>
      <x:c r="B1232" s="79" t="n">
        <x:v>-0.2535913634013777</x:v>
      </x:c>
      <x:c r="C1232" s="46" t="n">
        <x:f>B1232^2</x:f>
        <x:v>0.06430857959176961</x:v>
      </x:c>
      <x:c r="D1232" s="47" t="n">
        <x:f>'Datos'!$B$26^3/3</x:f>
        <x:v>0.3333333333333333</x:v>
      </x:c>
      <x:c r="E1232" s="46" t="n">
        <x:f>D1232*(C1232-1)</x:f>
        <x:v>-0.3118971401360768</x:v>
      </x:c>
      <x:c r="F1232" s="2"/>
      <x:c r="G1232" s="2"/>
      <x:c r="H1232" s="2"/>
    </x:row>
    <x:row r="1233" ht="22" customHeight="1">
      <x:c r="A1233" s="2" t="n">
        <x:v>1227</x:v>
      </x:c>
      <x:c r="B1233" s="79" t="n">
        <x:v>0.21530405982672368</x:v>
      </x:c>
      <x:c r="C1233" s="46" t="n">
        <x:f>B1233^2</x:f>
        <x:v>0.04635583817786941</x:v>
      </x:c>
      <x:c r="D1233" s="47" t="n">
        <x:f>'Datos'!$B$26^3/3</x:f>
        <x:v>0.3333333333333333</x:v>
      </x:c>
      <x:c r="E1233" s="46" t="n">
        <x:f>D1233*(C1233-1)</x:f>
        <x:v>-0.3178813872740435</x:v>
      </x:c>
      <x:c r="F1233" s="2"/>
      <x:c r="G1233" s="2"/>
      <x:c r="H1233" s="2"/>
    </x:row>
    <x:row r="1234" ht="22" customHeight="1">
      <x:c r="A1234" s="2" t="n">
        <x:v>1228</x:v>
      </x:c>
      <x:c r="B1234" s="79" t="n">
        <x:v>1.0954877367539102</x:v>
      </x:c>
      <x:c r="C1234" s="46" t="n">
        <x:f>B1234^2</x:f>
        <x:v>1.2000933813782044</x:v>
      </x:c>
      <x:c r="D1234" s="47" t="n">
        <x:f>'Datos'!$B$26^3/3</x:f>
        <x:v>0.3333333333333333</x:v>
      </x:c>
      <x:c r="E1234" s="46" t="n">
        <x:f>D1234*(C1234-1)</x:f>
        <x:v>0.0666977937927348</x:v>
      </x:c>
      <x:c r="F1234" s="2"/>
      <x:c r="G1234" s="2"/>
      <x:c r="H1234" s="2"/>
    </x:row>
    <x:row r="1235" ht="22" customHeight="1">
      <x:c r="A1235" s="2" t="n">
        <x:v>1229</x:v>
      </x:c>
      <x:c r="B1235" s="79" t="n">
        <x:v>0.5723109015114014</x:v>
      </x:c>
      <x:c r="C1235" s="46" t="n">
        <x:f>B1235^2</x:f>
        <x:v>0.327539767988793</x:v>
      </x:c>
      <x:c r="D1235" s="47" t="n">
        <x:f>'Datos'!$B$26^3/3</x:f>
        <x:v>0.3333333333333333</x:v>
      </x:c>
      <x:c r="E1235" s="46" t="n">
        <x:f>D1235*(C1235-1)</x:f>
        <x:v>-0.22415341067040231</x:v>
      </x:c>
      <x:c r="F1235" s="2"/>
      <x:c r="G1235" s="2"/>
      <x:c r="H1235" s="2"/>
    </x:row>
    <x:row r="1236" ht="22" customHeight="1">
      <x:c r="A1236" s="2" t="n">
        <x:v>1230</x:v>
      </x:c>
      <x:c r="B1236" s="79" t="n">
        <x:v>-0.13715574090396657</x:v>
      </x:c>
      <x:c r="C1236" s="46" t="n">
        <x:f>B1236^2</x:f>
        <x:v>0.018811697262916007</x:v>
      </x:c>
      <x:c r="D1236" s="47" t="n">
        <x:f>'Datos'!$B$26^3/3</x:f>
        <x:v>0.3333333333333333</x:v>
      </x:c>
      <x:c r="E1236" s="46" t="n">
        <x:f>D1236*(C1236-1)</x:f>
        <x:v>-0.32706276757902797</x:v>
      </x:c>
      <x:c r="F1236" s="2"/>
      <x:c r="G1236" s="2"/>
      <x:c r="H1236" s="2"/>
    </x:row>
    <x:row r="1237" ht="22" customHeight="1">
      <x:c r="A1237" s="2" t="n">
        <x:v>1231</x:v>
      </x:c>
      <x:c r="B1237" s="79" t="n">
        <x:v>0.18986732715914004</x:v>
      </x:c>
      <x:c r="C1237" s="46" t="n">
        <x:f>B1237^2</x:f>
        <x:v>0.036049601922555914</x:v>
      </x:c>
      <x:c r="D1237" s="47" t="n">
        <x:f>'Datos'!$B$26^3/3</x:f>
        <x:v>0.3333333333333333</x:v>
      </x:c>
      <x:c r="E1237" s="46" t="n">
        <x:f>D1237*(C1237-1)</x:f>
        <x:v>-0.32131679935914803</x:v>
      </x:c>
      <x:c r="F1237" s="2"/>
      <x:c r="G1237" s="2"/>
      <x:c r="H1237" s="2"/>
    </x:row>
    <x:row r="1238" ht="22" customHeight="1">
      <x:c r="A1238" s="2" t="n">
        <x:v>1232</x:v>
      </x:c>
      <x:c r="B1238" s="79" t="n">
        <x:v>-0.5693081985314636</x:v>
      </x:c>
      <x:c r="C1238" s="46" t="n">
        <x:f>B1238^2</x:f>
        <x:v>0.3241118249151404</x:v>
      </x:c>
      <x:c r="D1238" s="47" t="n">
        <x:f>'Datos'!$B$26^3/3</x:f>
        <x:v>0.3333333333333333</x:v>
      </x:c>
      <x:c r="E1238" s="46" t="n">
        <x:f>D1238*(C1238-1)</x:f>
        <x:v>-0.22529605836161984</x:v>
      </x:c>
      <x:c r="F1238" s="2"/>
      <x:c r="G1238" s="2"/>
      <x:c r="H1238" s="2"/>
    </x:row>
    <x:row r="1239" ht="22" customHeight="1">
      <x:c r="A1239" s="2" t="n">
        <x:v>1233</x:v>
      </x:c>
      <x:c r="B1239" s="79" t="n">
        <x:v>-1.3818411282870022</x:v>
      </x:c>
      <x:c r="C1239" s="46" t="n">
        <x:f>B1239^2</x:f>
        <x:v>1.9094849038254953</x:v>
      </x:c>
      <x:c r="D1239" s="47" t="n">
        <x:f>'Datos'!$B$26^3/3</x:f>
        <x:v>0.3333333333333333</x:v>
      </x:c>
      <x:c r="E1239" s="46" t="n">
        <x:f>D1239*(C1239-1)</x:f>
        <x:v>0.30316163460849843</x:v>
      </x:c>
      <x:c r="F1239" s="2"/>
      <x:c r="G1239" s="2"/>
      <x:c r="H1239" s="2"/>
    </x:row>
    <x:row r="1240" ht="22" customHeight="1">
      <x:c r="A1240" s="2" t="n">
        <x:v>1234</x:v>
      </x:c>
      <x:c r="B1240" s="79" t="n">
        <x:v>0.9568385114115251</x:v>
      </x:c>
      <x:c r="C1240" s="46" t="n">
        <x:f>B1240^2</x:f>
        <x:v>0.9155399369202233</x:v>
      </x:c>
      <x:c r="D1240" s="47" t="n">
        <x:f>'Datos'!$B$26^3/3</x:f>
        <x:v>0.3333333333333333</x:v>
      </x:c>
      <x:c r="E1240" s="46" t="n">
        <x:f>D1240*(C1240-1)</x:f>
        <x:v>-0.02815335435992557</x:v>
      </x:c>
      <x:c r="F1240" s="2"/>
      <x:c r="G1240" s="2"/>
      <x:c r="H1240" s="2"/>
    </x:row>
    <x:row r="1241" ht="22" customHeight="1">
      <x:c r="A1241" s="2" t="n">
        <x:v>1235</x:v>
      </x:c>
      <x:c r="B1241" s="79" t="n">
        <x:v>-0.29748962995082046</x:v>
      </x:c>
      <x:c r="C1241" s="46" t="n">
        <x:f>B1241^2</x:f>
        <x:v>0.08850007992827609</x:v>
      </x:c>
      <x:c r="D1241" s="47" t="n">
        <x:f>'Datos'!$B$26^3/3</x:f>
        <x:v>0.3333333333333333</x:v>
      </x:c>
      <x:c r="E1241" s="46" t="n">
        <x:f>D1241*(C1241-1)</x:f>
        <x:v>-0.3038333066905746</x:v>
      </x:c>
      <x:c r="F1241" s="2"/>
      <x:c r="G1241" s="2"/>
      <x:c r="H1241" s="2"/>
    </x:row>
    <x:row r="1242" ht="22" customHeight="1">
      <x:c r="A1242" s="2" t="n">
        <x:v>1236</x:v>
      </x:c>
      <x:c r="B1242" s="79" t="n">
        <x:v>-2.2834052196825816</x:v>
      </x:c>
      <x:c r="C1242" s="46" t="n">
        <x:f>B1242^2</x:f>
        <x:v>5.213939397273658</x:v>
      </x:c>
      <x:c r="D1242" s="47" t="n">
        <x:f>'Datos'!$B$26^3/3</x:f>
        <x:v>0.3333333333333333</x:v>
      </x:c>
      <x:c r="E1242" s="46" t="n">
        <x:f>D1242*(C1242-1)</x:f>
        <x:v>1.404646465757886</x:v>
      </x:c>
      <x:c r="F1242" s="2"/>
      <x:c r="G1242" s="2"/>
      <x:c r="H1242" s="2"/>
    </x:row>
    <x:row r="1243" ht="22" customHeight="1">
      <x:c r="A1243" s="2" t="n">
        <x:v>1237</x:v>
      </x:c>
      <x:c r="B1243" s="79" t="n">
        <x:v>0.2758935638625609</x:v>
      </x:c>
      <x:c r="C1243" s="46" t="n">
        <x:f>B1243^2</x:f>
        <x:v>0.07611725858078498</x:v>
      </x:c>
      <x:c r="D1243" s="47" t="n">
        <x:f>'Datos'!$B$26^3/3</x:f>
        <x:v>0.3333333333333333</x:v>
      </x:c>
      <x:c r="E1243" s="46" t="n">
        <x:f>D1243*(C1243-1)</x:f>
        <x:v>-0.307960913806405</x:v>
      </x:c>
      <x:c r="F1243" s="2"/>
      <x:c r="G1243" s="2"/>
      <x:c r="H1243" s="2"/>
    </x:row>
    <x:row r="1244" ht="22" customHeight="1">
      <x:c r="A1244" s="2" t="n">
        <x:v>1238</x:v>
      </x:c>
      <x:c r="B1244" s="79" t="n">
        <x:v>1.6184935202734512</x:v>
      </x:c>
      <x:c r="C1244" s="46" t="n">
        <x:f>B1244^2</x:f>
        <x:v>2.6195212751671484</x:v>
      </x:c>
      <x:c r="D1244" s="47" t="n">
        <x:f>'Datos'!$B$26^3/3</x:f>
        <x:v>0.3333333333333333</x:v>
      </x:c>
      <x:c r="E1244" s="46" t="n">
        <x:f>D1244*(C1244-1)</x:f>
        <x:v>0.5398404250557161</x:v>
      </x:c>
      <x:c r="F1244" s="2"/>
      <x:c r="G1244" s="2"/>
      <x:c r="H1244" s="2"/>
    </x:row>
    <x:row r="1245" ht="22" customHeight="1">
      <x:c r="A1245" s="2" t="n">
        <x:v>1239</x:v>
      </x:c>
      <x:c r="B1245" s="79" t="n">
        <x:v>3.040766038271705</x:v>
      </x:c>
      <x:c r="C1245" s="46" t="n">
        <x:f>B1245^2</x:f>
        <x:v>9.2462580995066</x:v>
      </x:c>
      <x:c r="D1245" s="47" t="n">
        <x:f>'Datos'!$B$26^3/3</x:f>
        <x:v>0.3333333333333333</x:v>
      </x:c>
      <x:c r="E1245" s="46" t="n">
        <x:f>D1245*(C1245-1)</x:f>
        <x:v>2.748752699835533</x:v>
      </x:c>
      <x:c r="F1245" s="2"/>
      <x:c r="G1245" s="2"/>
      <x:c r="H1245" s="2"/>
    </x:row>
    <x:row r="1246" ht="22" customHeight="1">
      <x:c r="A1246" s="2" t="n">
        <x:v>1240</x:v>
      </x:c>
      <x:c r="B1246" s="79" t="n">
        <x:v>1.5810601246660174</x:v>
      </x:c>
      <x:c r="C1246" s="46" t="n">
        <x:f>B1246^2</x:f>
        <x:v>2.4997511178089225</x:v>
      </x:c>
      <x:c r="D1246" s="47" t="n">
        <x:f>'Datos'!$B$26^3/3</x:f>
        <x:v>0.3333333333333333</x:v>
      </x:c>
      <x:c r="E1246" s="46" t="n">
        <x:f>D1246*(C1246-1)</x:f>
        <x:v>0.4999170392696408</x:v>
      </x:c>
      <x:c r="F1246" s="2"/>
      <x:c r="G1246" s="2"/>
      <x:c r="H1246" s="2"/>
    </x:row>
    <x:row r="1247" ht="22" customHeight="1">
      <x:c r="A1247" s="2" t="n">
        <x:v>1241</x:v>
      </x:c>
      <x:c r="B1247" s="79" t="n">
        <x:v>0.649246052109204</x:v>
      </x:c>
      <x:c r="C1247" s="46" t="n">
        <x:f>B1247^2</x:f>
        <x:v>0.4215204361793873</x:v>
      </x:c>
      <x:c r="D1247" s="47" t="n">
        <x:f>'Datos'!$B$26^3/3</x:f>
        <x:v>0.3333333333333333</x:v>
      </x:c>
      <x:c r="E1247" s="46" t="n">
        <x:f>D1247*(C1247-1)</x:f>
        <x:v>-0.19282652127353755</x:v>
      </x:c>
      <x:c r="F1247" s="2"/>
      <x:c r="G1247" s="2"/>
      <x:c r="H1247" s="2"/>
    </x:row>
    <x:row r="1248" ht="22" customHeight="1">
      <x:c r="A1248" s="2" t="n">
        <x:v>1242</x:v>
      </x:c>
      <x:c r="B1248" s="79" t="n">
        <x:v>-0.5311358725526146</x:v>
      </x:c>
      <x:c r="C1248" s="46" t="n">
        <x:f>B1248^2</x:f>
        <x:v>0.2821053151122273</x:v>
      </x:c>
      <x:c r="D1248" s="47" t="n">
        <x:f>'Datos'!$B$26^3/3</x:f>
        <x:v>0.3333333333333333</x:v>
      </x:c>
      <x:c r="E1248" s="46" t="n">
        <x:f>D1248*(C1248-1)</x:f>
        <x:v>-0.23929822829592423</x:v>
      </x:c>
      <x:c r="F1248" s="2"/>
      <x:c r="G1248" s="2"/>
      <x:c r="H1248" s="2"/>
    </x:row>
    <x:row r="1249" ht="22" customHeight="1">
      <x:c r="A1249" s="2" t="n">
        <x:v>1243</x:v>
      </x:c>
      <x:c r="B1249" s="79" t="n">
        <x:v>-0.43377072299075586</x:v>
      </x:c>
      <x:c r="C1249" s="46" t="n">
        <x:f>B1249^2</x:f>
        <x:v>0.18815704012392306</x:v>
      </x:c>
      <x:c r="D1249" s="47" t="n">
        <x:f>'Datos'!$B$26^3/3</x:f>
        <x:v>0.3333333333333333</x:v>
      </x:c>
      <x:c r="E1249" s="46" t="n">
        <x:f>D1249*(C1249-1)</x:f>
        <x:v>-0.2706143199586923</x:v>
      </x:c>
      <x:c r="F1249" s="2"/>
      <x:c r="G1249" s="2"/>
      <x:c r="H1249" s="2"/>
    </x:row>
    <x:row r="1250" ht="22" customHeight="1">
      <x:c r="A1250" s="2" t="n">
        <x:v>1244</x:v>
      </x:c>
      <x:c r="B1250" s="79" t="n">
        <x:v>-0.9516321783670941</x:v>
      </x:c>
      <x:c r="C1250" s="46" t="n">
        <x:f>B1250^2</x:f>
        <x:v>0.9056038029037009</x:v>
      </x:c>
      <x:c r="D1250" s="47" t="n">
        <x:f>'Datos'!$B$26^3/3</x:f>
        <x:v>0.3333333333333333</x:v>
      </x:c>
      <x:c r="E1250" s="46" t="n">
        <x:f>D1250*(C1250-1)</x:f>
        <x:v>-0.031465399032099696</x:v>
      </x:c>
      <x:c r="F1250" s="2"/>
      <x:c r="G1250" s="2"/>
      <x:c r="H1250" s="2"/>
    </x:row>
    <x:row r="1251" ht="22" customHeight="1">
      <x:c r="A1251" s="2" t="n">
        <x:v>1245</x:v>
      </x:c>
      <x:c r="B1251" s="79" t="n">
        <x:v>1.002746078910834</x:v>
      </x:c>
      <x:c r="C1251" s="46" t="n">
        <x:f>B1251^2</x:f>
        <x:v>1.0054996987710525</x:v>
      </x:c>
      <x:c r="D1251" s="47" t="n">
        <x:f>'Datos'!$B$26^3/3</x:f>
        <x:v>0.3333333333333333</x:v>
      </x:c>
      <x:c r="E1251" s="46" t="n">
        <x:f>D1251*(C1251-1)</x:f>
        <x:v>0.0018332329236841656</x:v>
      </x:c>
      <x:c r="F1251" s="2"/>
      <x:c r="G1251" s="2"/>
      <x:c r="H1251" s="2"/>
    </x:row>
    <x:row r="1252" ht="22" customHeight="1">
      <x:c r="A1252" s="2" t="n">
        <x:v>1246</x:v>
      </x:c>
      <x:c r="B1252" s="79" t="n">
        <x:v>-1.0474021719203264</x:v>
      </x:c>
      <x:c r="C1252" s="46" t="n">
        <x:f>B1252^2</x:f>
        <x:v>1.097051309743417</x:v>
      </x:c>
      <x:c r="D1252" s="47" t="n">
        <x:f>'Datos'!$B$26^3/3</x:f>
        <x:v>0.3333333333333333</x:v>
      </x:c>
      <x:c r="E1252" s="46" t="n">
        <x:f>D1252*(C1252-1)</x:f>
        <x:v>0.03235043658113897</x:v>
      </x:c>
      <x:c r="F1252" s="2"/>
      <x:c r="G1252" s="2"/>
      <x:c r="H1252" s="2"/>
    </x:row>
    <x:row r="1253" ht="22" customHeight="1">
      <x:c r="A1253" s="2" t="n">
        <x:v>1247</x:v>
      </x:c>
      <x:c r="B1253" s="79" t="n">
        <x:v>0.5288403657586591</x:v>
      </x:c>
      <x:c r="C1253" s="46" t="n">
        <x:f>B1253^2</x:f>
        <x:v>0.27967213245575234</x:v>
      </x:c>
      <x:c r="D1253" s="47" t="n">
        <x:f>'Datos'!$B$26^3/3</x:f>
        <x:v>0.3333333333333333</x:v>
      </x:c>
      <x:c r="E1253" s="46" t="n">
        <x:f>D1253*(C1253-1)</x:f>
        <x:v>-0.24010928918141589</x:v>
      </x:c>
      <x:c r="F1253" s="2"/>
      <x:c r="G1253" s="2"/>
      <x:c r="H1253" s="2"/>
    </x:row>
    <x:row r="1254" ht="22" customHeight="1">
      <x:c r="A1254" s="2" t="n">
        <x:v>1248</x:v>
      </x:c>
      <x:c r="B1254" s="79" t="n">
        <x:v>0.29873023007473454</x:v>
      </x:c>
      <x:c r="C1254" s="46" t="n">
        <x:f>B1254^2</x:f>
        <x:v>0.08923975036050383</x:v>
      </x:c>
      <x:c r="D1254" s="47" t="n">
        <x:f>'Datos'!$B$26^3/3</x:f>
        <x:v>0.3333333333333333</x:v>
      </x:c>
      <x:c r="E1254" s="46" t="n">
        <x:f>D1254*(C1254-1)</x:f>
        <x:v>-0.30358674987983203</x:v>
      </x:c>
      <x:c r="F1254" s="2"/>
      <x:c r="G1254" s="2"/>
      <x:c r="H1254" s="2"/>
    </x:row>
    <x:row r="1255" ht="22" customHeight="1">
      <x:c r="A1255" s="2" t="n">
        <x:v>1249</x:v>
      </x:c>
      <x:c r="B1255" s="79" t="n">
        <x:v>-0.31481327004136256</x:v>
      </x:c>
      <x:c r="C1255" s="46" t="n">
        <x:f>B1255^2</x:f>
        <x:v>0.09910739499413586</x:v>
      </x:c>
      <x:c r="D1255" s="47" t="n">
        <x:f>'Datos'!$B$26^3/3</x:f>
        <x:v>0.3333333333333333</x:v>
      </x:c>
      <x:c r="E1255" s="46" t="n">
        <x:f>D1255*(C1255-1)</x:f>
        <x:v>-0.30029753500195466</x:v>
      </x:c>
      <x:c r="F1255" s="2"/>
      <x:c r="G1255" s="2"/>
      <x:c r="H1255" s="2"/>
    </x:row>
    <x:row r="1256" ht="22" customHeight="1">
      <x:c r="A1256" s="2" t="n">
        <x:v>1250</x:v>
      </x:c>
      <x:c r="B1256" s="79" t="n">
        <x:v>-0.33294232568215815</x:v>
      </x:c>
      <x:c r="C1256" s="46" t="n">
        <x:f>B1256^2</x:f>
        <x:v>0.11085059223064427</x:v>
      </x:c>
      <x:c r="D1256" s="47" t="n">
        <x:f>'Datos'!$B$26^3/3</x:f>
        <x:v>0.3333333333333333</x:v>
      </x:c>
      <x:c r="E1256" s="46" t="n">
        <x:f>D1256*(C1256-1)</x:f>
        <x:v>-0.29638313592311855</x:v>
      </x:c>
      <x:c r="F1256" s="2"/>
      <x:c r="G1256" s="2"/>
      <x:c r="H1256" s="2"/>
    </x:row>
    <x:row r="1257" ht="22" customHeight="1">
      <x:c r="A1257" s="2" t="n">
        <x:v>1251</x:v>
      </x:c>
      <x:c r="B1257" s="79" t="n">
        <x:v>1.863431985636574</x:v>
      </x:c>
      <x:c r="C1257" s="46" t="n">
        <x:f>B1257^2</x:f>
        <x:v>3.472378765093465</x:v>
      </x:c>
      <x:c r="D1257" s="47" t="n">
        <x:f>'Datos'!$B$26^3/3</x:f>
        <x:v>0.3333333333333333</x:v>
      </x:c>
      <x:c r="E1257" s="46" t="n">
        <x:f>D1257*(C1257-1)</x:f>
        <x:v>0.824126255031155</x:v>
      </x:c>
      <x:c r="F1257" s="2"/>
      <x:c r="G1257" s="2"/>
      <x:c r="H1257" s="2"/>
    </x:row>
    <x:row r="1258" ht="22" customHeight="1">
      <x:c r="A1258" s="2" t="n">
        <x:v>1252</x:v>
      </x:c>
      <x:c r="B1258" s="79" t="n">
        <x:v>0.6058541823618104</x:v>
      </x:c>
      <x:c r="C1258" s="46" t="n">
        <x:f>B1258^2</x:f>
        <x:v>0.3670592902852979</x:v>
      </x:c>
      <x:c r="D1258" s="47" t="n">
        <x:f>'Datos'!$B$26^3/3</x:f>
        <x:v>0.3333333333333333</x:v>
      </x:c>
      <x:c r="E1258" s="46" t="n">
        <x:f>D1258*(C1258-1)</x:f>
        <x:v>-0.2109802365715674</x:v>
      </x:c>
      <x:c r="F1258" s="2"/>
      <x:c r="G1258" s="2"/>
      <x:c r="H1258" s="2"/>
    </x:row>
    <x:row r="1259" ht="22" customHeight="1">
      <x:c r="A1259" s="2" t="n">
        <x:v>1253</x:v>
      </x:c>
      <x:c r="B1259" s="79" t="n">
        <x:v>0.6928860047261712</x:v>
      </x:c>
      <x:c r="C1259" s="46" t="n">
        <x:f>B1259^2</x:f>
        <x:v>0.4800910155453958</x:v>
      </x:c>
      <x:c r="D1259" s="47" t="n">
        <x:f>'Datos'!$B$26^3/3</x:f>
        <x:v>0.3333333333333333</x:v>
      </x:c>
      <x:c r="E1259" s="46" t="n">
        <x:f>D1259*(C1259-1)</x:f>
        <x:v>-0.17330299481820138</x:v>
      </x:c>
      <x:c r="F1259" s="2"/>
      <x:c r="G1259" s="2"/>
      <x:c r="H1259" s="2"/>
    </x:row>
    <x:row r="1260" ht="22" customHeight="1">
      <x:c r="A1260" s="2" t="n">
        <x:v>1254</x:v>
      </x:c>
      <x:c r="B1260" s="79" t="n">
        <x:v>1.076591138473329</x:v>
      </x:c>
      <x:c r="C1260" s="46" t="n">
        <x:f>B1260^2</x:f>
        <x:v>1.1590484794392988</x:v>
      </x:c>
      <x:c r="D1260" s="47" t="n">
        <x:f>'Datos'!$B$26^3/3</x:f>
        <x:v>0.3333333333333333</x:v>
      </x:c>
      <x:c r="E1260" s="46" t="n">
        <x:f>D1260*(C1260-1)</x:f>
        <x:v>0.053016159813099595</x:v>
      </x:c>
      <x:c r="F1260" s="2"/>
      <x:c r="G1260" s="2"/>
      <x:c r="H1260" s="2"/>
    </x:row>
    <x:row r="1261" ht="22" customHeight="1">
      <x:c r="A1261" s="2" t="n">
        <x:v>1255</x:v>
      </x:c>
      <x:c r="B1261" s="79" t="n">
        <x:v>-1.089994158130181</x:v>
      </x:c>
      <x:c r="C1261" s="46" t="n">
        <x:f>B1261^2</x:f>
        <x:v>1.1880872647579221</x:v>
      </x:c>
      <x:c r="D1261" s="47" t="n">
        <x:f>'Datos'!$B$26^3/3</x:f>
        <x:v>0.3333333333333333</x:v>
      </x:c>
      <x:c r="E1261" s="46" t="n">
        <x:f>D1261*(C1261-1)</x:f>
        <x:v>0.06269575491930737</x:v>
      </x:c>
      <x:c r="F1261" s="2"/>
      <x:c r="G1261" s="2"/>
      <x:c r="H1261" s="2"/>
    </x:row>
    <x:row r="1262" ht="22" customHeight="1">
      <x:c r="A1262" s="2" t="n">
        <x:v>1256</x:v>
      </x:c>
      <x:c r="B1262" s="79" t="n">
        <x:v>-1.0786316226915722</x:v>
      </x:c>
      <x:c r="C1262" s="46" t="n">
        <x:f>B1262^2</x:f>
        <x:v>1.1634461774702543</x:v>
      </x:c>
      <x:c r="D1262" s="47" t="n">
        <x:f>'Datos'!$B$26^3/3</x:f>
        <x:v>0.3333333333333333</x:v>
      </x:c>
      <x:c r="E1262" s="46" t="n">
        <x:f>D1262*(C1262-1)</x:f>
        <x:v>0.05448205915675142</x:v>
      </x:c>
      <x:c r="F1262" s="2"/>
      <x:c r="G1262" s="2"/>
      <x:c r="H1262" s="2"/>
    </x:row>
    <x:row r="1263" ht="22" customHeight="1">
      <x:c r="A1263" s="2" t="n">
        <x:v>1257</x:v>
      </x:c>
      <x:c r="B1263" s="79" t="n">
        <x:v>0.11524828289606953</x:v>
      </x:c>
      <x:c r="C1263" s="46" t="n">
        <x:f>B1263^2</x:f>
        <x:v>0.013282166710492474</x:v>
      </x:c>
      <x:c r="D1263" s="47" t="n">
        <x:f>'Datos'!$B$26^3/3</x:f>
        <x:v>0.3333333333333333</x:v>
      </x:c>
      <x:c r="E1263" s="46" t="n">
        <x:f>D1263*(C1263-1)</x:f>
        <x:v>-0.32890594442983584</x:v>
      </x:c>
      <x:c r="F1263" s="2"/>
      <x:c r="G1263" s="2"/>
      <x:c r="H1263" s="2"/>
    </x:row>
    <x:row r="1264" ht="22" customHeight="1">
      <x:c r="A1264" s="2" t="n">
        <x:v>1258</x:v>
      </x:c>
      <x:c r="B1264" s="79" t="n">
        <x:v>1.8335541536462932</x:v>
      </x:c>
      <x:c r="C1264" s="46" t="n">
        <x:f>B1264^2</x:f>
        <x:v>3.3619208343535743</x:v>
      </x:c>
      <x:c r="D1264" s="47" t="n">
        <x:f>'Datos'!$B$26^3/3</x:f>
        <x:v>0.3333333333333333</x:v>
      </x:c>
      <x:c r="E1264" s="46" t="n">
        <x:f>D1264*(C1264-1)</x:f>
        <x:v>0.7873069447845247</x:v>
      </x:c>
      <x:c r="F1264" s="2"/>
      <x:c r="G1264" s="2"/>
      <x:c r="H1264" s="2"/>
    </x:row>
    <x:row r="1265" ht="22" customHeight="1">
      <x:c r="A1265" s="2" t="n">
        <x:v>1259</x:v>
      </x:c>
      <x:c r="B1265" s="79" t="n">
        <x:v>0.3483621541632502</x:v>
      </x:c>
      <x:c r="C1265" s="46" t="n">
        <x:f>B1265^2</x:f>
        <x:v>0.12135619045326011</x:v>
      </x:c>
      <x:c r="D1265" s="47" t="n">
        <x:f>'Datos'!$B$26^3/3</x:f>
        <x:v>0.3333333333333333</x:v>
      </x:c>
      <x:c r="E1265" s="46" t="n">
        <x:f>D1265*(C1265-1)</x:f>
        <x:v>-0.2928812698489133</x:v>
      </x:c>
      <x:c r="F1265" s="2"/>
      <x:c r="G1265" s="2"/>
      <x:c r="H1265" s="2"/>
    </x:row>
    <x:row r="1266" ht="22" customHeight="1">
      <x:c r="A1266" s="2" t="n">
        <x:v>1260</x:v>
      </x:c>
      <x:c r="B1266" s="79" t="n">
        <x:v>1.2934815407322187</x:v>
      </x:c>
      <x:c r="C1266" s="46" t="n">
        <x:f>B1266^2</x:f>
        <x:v>1.6730944962149943</x:v>
      </x:c>
      <x:c r="D1266" s="47" t="n">
        <x:f>'Datos'!$B$26^3/3</x:f>
        <x:v>0.3333333333333333</x:v>
      </x:c>
      <x:c r="E1266" s="46" t="n">
        <x:f>D1266*(C1266-1)</x:f>
        <x:v>0.22436483207166474</x:v>
      </x:c>
      <x:c r="F1266" s="2"/>
      <x:c r="G1266" s="2"/>
      <x:c r="H1266" s="2"/>
    </x:row>
    <x:row r="1267" ht="22" customHeight="1">
      <x:c r="A1267" s="2" t="n">
        <x:v>1261</x:v>
      </x:c>
      <x:c r="B1267" s="79" t="n">
        <x:v>-0.15865913074385826</x:v>
      </x:c>
      <x:c r="C1267" s="46" t="n">
        <x:f>B1267^2</x:f>
        <x:v>0.02517271976839671</x:v>
      </x:c>
      <x:c r="D1267" s="47" t="n">
        <x:f>'Datos'!$B$26^3/3</x:f>
        <x:v>0.3333333333333333</x:v>
      </x:c>
      <x:c r="E1267" s="46" t="n">
        <x:f>D1267*(C1267-1)</x:f>
        <x:v>-0.32494242674386775</x:v>
      </x:c>
      <x:c r="F1267" s="2"/>
      <x:c r="G1267" s="2"/>
      <x:c r="H1267" s="2"/>
    </x:row>
    <x:row r="1268" ht="22" customHeight="1">
      <x:c r="A1268" s="2" t="n">
        <x:v>1262</x:v>
      </x:c>
      <x:c r="B1268" s="79" t="n">
        <x:v>-0.14853735557727296</x:v>
      </x:c>
      <x:c r="C1268" s="46" t="n">
        <x:f>B1268^2</x:f>
        <x:v>0.022063346001889222</x:v>
      </x:c>
      <x:c r="D1268" s="47" t="n">
        <x:f>'Datos'!$B$26^3/3</x:f>
        <x:v>0.3333333333333333</x:v>
      </x:c>
      <x:c r="E1268" s="46" t="n">
        <x:f>D1268*(C1268-1)</x:f>
        <x:v>-0.3259788846660369</x:v>
      </x:c>
      <x:c r="F1268" s="2"/>
      <x:c r="G1268" s="2"/>
      <x:c r="H1268" s="2"/>
    </x:row>
    <x:row r="1269" ht="22" customHeight="1">
      <x:c r="A1269" s="2" t="n">
        <x:v>1263</x:v>
      </x:c>
      <x:c r="B1269" s="79" t="n">
        <x:v>-0.910008482752807</x:v>
      </x:c>
      <x:c r="C1269" s="46" t="n">
        <x:f>B1269^2</x:f>
        <x:v>0.8281154386820658</x:v>
      </x:c>
      <x:c r="D1269" s="47" t="n">
        <x:f>'Datos'!$B$26^3/3</x:f>
        <x:v>0.3333333333333333</x:v>
      </x:c>
      <x:c r="E1269" s="46" t="n">
        <x:f>D1269*(C1269-1)</x:f>
        <x:v>-0.05729485377264472</x:v>
      </x:c>
      <x:c r="F1269" s="2"/>
      <x:c r="G1269" s="2"/>
      <x:c r="H1269" s="2"/>
    </x:row>
    <x:row r="1270" ht="22" customHeight="1">
      <x:c r="A1270" s="2" t="n">
        <x:v>1264</x:v>
      </x:c>
      <x:c r="B1270" s="79" t="n">
        <x:v>-0.7677466804926599</x:v>
      </x:c>
      <x:c r="C1270" s="46" t="n">
        <x:f>B1270^2</x:f>
        <x:v>0.5894349654074984</x:v>
      </x:c>
      <x:c r="D1270" s="47" t="n">
        <x:f>'Datos'!$B$26^3/3</x:f>
        <x:v>0.3333333333333333</x:v>
      </x:c>
      <x:c r="E1270" s="46" t="n">
        <x:f>D1270*(C1270-1)</x:f>
        <x:v>-0.13685501153083385</x:v>
      </x:c>
      <x:c r="F1270" s="2"/>
      <x:c r="G1270" s="2"/>
      <x:c r="H1270" s="2"/>
    </x:row>
    <x:row r="1271" ht="22" customHeight="1">
      <x:c r="A1271" s="2" t="n">
        <x:v>1265</x:v>
      </x:c>
      <x:c r="B1271" s="79" t="n">
        <x:v>-0.42909967742106425</x:v>
      </x:c>
      <x:c r="C1271" s="46" t="n">
        <x:f>B1271^2</x:f>
        <x:v>0.1841265331628614</x:v>
      </x:c>
      <x:c r="D1271" s="47" t="n">
        <x:f>'Datos'!$B$26^3/3</x:f>
        <x:v>0.3333333333333333</x:v>
      </x:c>
      <x:c r="E1271" s="46" t="n">
        <x:f>D1271*(C1271-1)</x:f>
        <x:v>-0.2719578222790462</x:v>
      </x:c>
      <x:c r="F1271" s="2"/>
      <x:c r="G1271" s="2"/>
      <x:c r="H1271" s="2"/>
    </x:row>
    <x:row r="1272" ht="22" customHeight="1">
      <x:c r="A1272" s="2" t="n">
        <x:v>1266</x:v>
      </x:c>
      <x:c r="B1272" s="79" t="n">
        <x:v>0.9433260778402829</x:v>
      </x:c>
      <x:c r="C1272" s="46" t="n">
        <x:f>B1272^2</x:f>
        <x:v>0.8898640891335314</x:v>
      </x:c>
      <x:c r="D1272" s="47" t="n">
        <x:f>'Datos'!$B$26^3/3</x:f>
        <x:v>0.3333333333333333</x:v>
      </x:c>
      <x:c r="E1272" s="46" t="n">
        <x:f>D1272*(C1272-1)</x:f>
        <x:v>-0.03671197028882285</x:v>
      </x:c>
      <x:c r="F1272" s="2"/>
      <x:c r="G1272" s="2"/>
      <x:c r="H1272" s="2"/>
    </x:row>
    <x:row r="1273" ht="22" customHeight="1">
      <x:c r="A1273" s="2" t="n">
        <x:v>1267</x:v>
      </x:c>
      <x:c r="B1273" s="79" t="n">
        <x:v>-0.9659913411291989</x:v>
      </x:c>
      <x:c r="C1273" s="46" t="n">
        <x:f>B1273^2</x:f>
        <x:v>0.9331392711365883</x:v>
      </x:c>
      <x:c r="D1273" s="47" t="n">
        <x:f>'Datos'!$B$26^3/3</x:f>
        <x:v>0.3333333333333333</x:v>
      </x:c>
      <x:c r="E1273" s="46" t="n">
        <x:f>D1273*(C1273-1)</x:f>
        <x:v>-0.02228690962113722</x:v>
      </x:c>
      <x:c r="F1273" s="2"/>
      <x:c r="G1273" s="2"/>
      <x:c r="H1273" s="2"/>
    </x:row>
    <x:row r="1274" ht="22" customHeight="1">
      <x:c r="A1274" s="2" t="n">
        <x:v>1268</x:v>
      </x:c>
      <x:c r="B1274" s="79" t="n">
        <x:v>0.2046413199928847</x:v>
      </x:c>
      <x:c r="C1274" s="46" t="n">
        <x:f>B1274^2</x:f>
        <x:v>0.04187806984843023</x:v>
      </x:c>
      <x:c r="D1274" s="47" t="n">
        <x:f>'Datos'!$B$26^3/3</x:f>
        <x:v>0.3333333333333333</x:v>
      </x:c>
      <x:c r="E1274" s="46" t="n">
        <x:f>D1274*(C1274-1)</x:f>
        <x:v>-0.3193739767171899</x:v>
      </x:c>
      <x:c r="F1274" s="2"/>
      <x:c r="G1274" s="2"/>
      <x:c r="H1274" s="2"/>
    </x:row>
    <x:row r="1275" ht="22" customHeight="1">
      <x:c r="A1275" s="2" t="n">
        <x:v>1269</x:v>
      </x:c>
      <x:c r="B1275" s="79" t="n">
        <x:v>-2.1748507081380914</x:v>
      </x:c>
      <x:c r="C1275" s="46" t="n">
        <x:f>B1275^2</x:f>
        <x:v>4.729975602688758</x:v>
      </x:c>
      <x:c r="D1275" s="47" t="n">
        <x:f>'Datos'!$B$26^3/3</x:f>
        <x:v>0.3333333333333333</x:v>
      </x:c>
      <x:c r="E1275" s="46" t="n">
        <x:f>D1275*(C1275-1)</x:f>
        <x:v>1.2433252008962525</x:v>
      </x:c>
      <x:c r="F1275" s="2"/>
      <x:c r="G1275" s="2"/>
      <x:c r="H1275" s="2"/>
    </x:row>
    <x:row r="1276" ht="22" customHeight="1">
      <x:c r="A1276" s="2" t="n">
        <x:v>1270</x:v>
      </x:c>
      <x:c r="B1276" s="79" t="n">
        <x:v>0.063265933734223</x:v>
      </x:c>
      <x:c r="C1276" s="46" t="n">
        <x:f>B1276^2</x:f>
        <x:v>0.0040025783712630955</x:v>
      </x:c>
      <x:c r="D1276" s="47" t="n">
        <x:f>'Datos'!$B$26^3/3</x:f>
        <x:v>0.3333333333333333</x:v>
      </x:c>
      <x:c r="E1276" s="46" t="n">
        <x:f>D1276*(C1276-1)</x:f>
        <x:v>-0.3319991405429123</x:v>
      </x:c>
      <x:c r="F1276" s="2"/>
      <x:c r="G1276" s="2"/>
      <x:c r="H1276" s="2"/>
    </x:row>
    <x:row r="1277" ht="22" customHeight="1">
      <x:c r="A1277" s="2" t="n">
        <x:v>1271</x:v>
      </x:c>
      <x:c r="B1277" s="79" t="n">
        <x:v>-0.370364651956754</x:v>
      </x:c>
      <x:c r="C1277" s="46" t="n">
        <x:f>B1277^2</x:f>
        <x:v>0.13716997541904752</x:v>
      </x:c>
      <x:c r="D1277" s="47" t="n">
        <x:f>'Datos'!$B$26^3/3</x:f>
        <x:v>0.3333333333333333</x:v>
      </x:c>
      <x:c r="E1277" s="46" t="n">
        <x:f>D1277*(C1277-1)</x:f>
        <x:v>-0.2876100081936508</x:v>
      </x:c>
      <x:c r="F1277" s="2"/>
      <x:c r="G1277" s="2"/>
      <x:c r="H1277" s="2"/>
    </x:row>
    <x:row r="1278" ht="22" customHeight="1">
      <x:c r="A1278" s="2" t="n">
        <x:v>1272</x:v>
      </x:c>
      <x:c r="B1278" s="79" t="n">
        <x:v>0.28371343944554905</x:v>
      </x:c>
      <x:c r="C1278" s="46" t="n">
        <x:f>B1278^2</x:f>
        <x:v>0.08049331572202323</x:v>
      </x:c>
      <x:c r="D1278" s="47" t="n">
        <x:f>'Datos'!$B$26^3/3</x:f>
        <x:v>0.3333333333333333</x:v>
      </x:c>
      <x:c r="E1278" s="46" t="n">
        <x:f>D1278*(C1278-1)</x:f>
        <x:v>-0.3065022280926589</x:v>
      </x:c>
      <x:c r="F1278" s="2"/>
      <x:c r="G1278" s="2"/>
      <x:c r="H1278" s="2"/>
    </x:row>
    <x:row r="1279" ht="22" customHeight="1">
      <x:c r="A1279" s="2" t="n">
        <x:v>1273</x:v>
      </x:c>
      <x:c r="B1279" s="79" t="n">
        <x:v>-2.4099895271091407</x:v>
      </x:c>
      <x:c r="C1279" s="46" t="n">
        <x:f>B1279^2</x:f>
        <x:v>5.808049520775739</x:v>
      </x:c>
      <x:c r="D1279" s="47" t="n">
        <x:f>'Datos'!$B$26^3/3</x:f>
        <x:v>0.3333333333333333</x:v>
      </x:c>
      <x:c r="E1279" s="46" t="n">
        <x:f>D1279*(C1279-1)</x:f>
        <x:v>1.6026831735919131</x:v>
      </x:c>
      <x:c r="F1279" s="2"/>
      <x:c r="G1279" s="2"/>
      <x:c r="H1279" s="2"/>
    </x:row>
    <x:row r="1280" ht="22" customHeight="1">
      <x:c r="A1280" s="2" t="n">
        <x:v>1274</x:v>
      </x:c>
      <x:c r="B1280" s="79" t="n">
        <x:v>-0.5982659676266798</x:v>
      </x:c>
      <x:c r="C1280" s="46" t="n">
        <x:f>B1280^2</x:f>
        <x:v>0.35792216802028753</x:v>
      </x:c>
      <x:c r="D1280" s="47" t="n">
        <x:f>'Datos'!$B$26^3/3</x:f>
        <x:v>0.3333333333333333</x:v>
      </x:c>
      <x:c r="E1280" s="46" t="n">
        <x:f>D1280*(C1280-1)</x:f>
        <x:v>-0.2140259439932375</x:v>
      </x:c>
      <x:c r="F1280" s="2"/>
      <x:c r="G1280" s="2"/>
      <x:c r="H1280" s="2"/>
    </x:row>
    <x:row r="1281" ht="22" customHeight="1">
      <x:c r="A1281" s="2" t="n">
        <x:v>1275</x:v>
      </x:c>
      <x:c r="B1281" s="79" t="n">
        <x:v>1.3944945371548476</x:v>
      </x:c>
      <x:c r="C1281" s="46" t="n">
        <x:f>B1281^2</x:f>
        <x:v>1.9446150141547127</x:v>
      </x:c>
      <x:c r="D1281" s="47" t="n">
        <x:f>'Datos'!$B$26^3/3</x:f>
        <x:v>0.3333333333333333</x:v>
      </x:c>
      <x:c r="E1281" s="46" t="n">
        <x:f>D1281*(C1281-1)</x:f>
        <x:v>0.31487167138490424</x:v>
      </x:c>
      <x:c r="F1281" s="2"/>
      <x:c r="G1281" s="2"/>
      <x:c r="H1281" s="2"/>
    </x:row>
    <x:row r="1282" ht="22" customHeight="1">
      <x:c r="A1282" s="2" t="n">
        <x:v>1276</x:v>
      </x:c>
      <x:c r="B1282" s="79" t="n">
        <x:v>-1.3215015337115565</x:v>
      </x:c>
      <x:c r="C1282" s="46" t="n">
        <x:f>B1282^2</x:f>
        <x:v>1.7463663036019963</x:v>
      </x:c>
      <x:c r="D1282" s="47" t="n">
        <x:f>'Datos'!$B$26^3/3</x:f>
        <x:v>0.3333333333333333</x:v>
      </x:c>
      <x:c r="E1282" s="46" t="n">
        <x:f>D1282*(C1282-1)</x:f>
        <x:v>0.2487887678673321</x:v>
      </x:c>
      <x:c r="F1282" s="2"/>
      <x:c r="G1282" s="2"/>
      <x:c r="H1282" s="2"/>
    </x:row>
    <x:row r="1283" ht="22" customHeight="1">
      <x:c r="A1283" s="2" t="n">
        <x:v>1277</x:v>
      </x:c>
      <x:c r="B1283" s="79" t="n">
        <x:v>-0.9454932810839171</x:v>
      </x:c>
      <x:c r="C1283" s="46" t="n">
        <x:f>B1283^2</x:f>
        <x:v>0.893957544574831</x:v>
      </x:c>
      <x:c r="D1283" s="47" t="n">
        <x:f>'Datos'!$B$26^3/3</x:f>
        <x:v>0.3333333333333333</x:v>
      </x:c>
      <x:c r="E1283" s="46" t="n">
        <x:f>D1283*(C1283-1)</x:f>
        <x:v>-0.03534748514172299</x:v>
      </x:c>
      <x:c r="F1283" s="2"/>
      <x:c r="G1283" s="2"/>
      <x:c r="H1283" s="2"/>
    </x:row>
    <x:row r="1284" ht="22" customHeight="1">
      <x:c r="A1284" s="2" t="n">
        <x:v>1278</x:v>
      </x:c>
      <x:c r="B1284" s="79" t="n">
        <x:v>0.9676307393668004</x:v>
      </x:c>
      <x:c r="C1284" s="46" t="n">
        <x:f>B1284^2</x:f>
        <x:v>0.9363092477675409</x:v>
      </x:c>
      <x:c r="D1284" s="47" t="n">
        <x:f>'Datos'!$B$26^3/3</x:f>
        <x:v>0.3333333333333333</x:v>
      </x:c>
      <x:c r="E1284" s="46" t="n">
        <x:f>D1284*(C1284-1)</x:f>
        <x:v>-0.02123025074415304</x:v>
      </x:c>
      <x:c r="F1284" s="2"/>
      <x:c r="G1284" s="2"/>
      <x:c r="H1284" s="2"/>
    </x:row>
    <x:row r="1285" ht="22" customHeight="1">
      <x:c r="A1285" s="2" t="n">
        <x:v>1279</x:v>
      </x:c>
      <x:c r="B1285" s="79" t="n">
        <x:v>-1.300150618950828</x:v>
      </x:c>
      <x:c r="C1285" s="46" t="n">
        <x:f>B1285^2</x:f>
        <x:v>1.6903916319582213</x:v>
      </x:c>
      <x:c r="D1285" s="47" t="n">
        <x:f>'Datos'!$B$26^3/3</x:f>
        <x:v>0.3333333333333333</x:v>
      </x:c>
      <x:c r="E1285" s="46" t="n">
        <x:f>D1285*(C1285-1)</x:f>
        <x:v>0.23013054398607374</x:v>
      </x:c>
      <x:c r="F1285" s="2"/>
      <x:c r="G1285" s="2"/>
      <x:c r="H1285" s="2"/>
    </x:row>
    <x:row r="1286" ht="22" customHeight="1">
      <x:c r="A1286" s="2" t="n">
        <x:v>1280</x:v>
      </x:c>
      <x:c r="B1286" s="79" t="n">
        <x:v>1.7551603345329863</x:v>
      </x:c>
      <x:c r="C1286" s="46" t="n">
        <x:f>B1286^2</x:f>
        <x:v>3.0805877999179443</x:v>
      </x:c>
      <x:c r="D1286" s="47" t="n">
        <x:f>'Datos'!$B$26^3/3</x:f>
        <x:v>0.3333333333333333</x:v>
      </x:c>
      <x:c r="E1286" s="46" t="n">
        <x:f>D1286*(C1286-1)</x:f>
        <x:v>0.6935292666393147</x:v>
      </x:c>
      <x:c r="F1286" s="2"/>
      <x:c r="G1286" s="2"/>
      <x:c r="H1286" s="2"/>
    </x:row>
    <x:row r="1287" ht="22" customHeight="1">
      <x:c r="A1287" s="2" t="n">
        <x:v>1281</x:v>
      </x:c>
      <x:c r="B1287" s="79" t="n">
        <x:v>-0.4876356309613966</x:v>
      </x:c>
      <x:c r="C1287" s="46" t="n">
        <x:f>B1287^2</x:f>
        <x:v>0.2377885085831194</x:v>
      </x:c>
      <x:c r="D1287" s="47" t="n">
        <x:f>'Datos'!$B$26^3/3</x:f>
        <x:v>0.3333333333333333</x:v>
      </x:c>
      <x:c r="E1287" s="46" t="n">
        <x:f>D1287*(C1287-1)</x:f>
        <x:v>-0.2540704971389602</x:v>
      </x:c>
      <x:c r="F1287" s="2"/>
      <x:c r="G1287" s="2"/>
      <x:c r="H1287" s="2"/>
    </x:row>
    <x:row r="1288" ht="22" customHeight="1">
      <x:c r="A1288" s="2" t="n">
        <x:v>1282</x:v>
      </x:c>
      <x:c r="B1288" s="79" t="n">
        <x:v>-1.3294920054293058</x:v>
      </x:c>
      <x:c r="C1288" s="46" t="n">
        <x:f>B1288^2</x:f>
        <x:v>1.7675489925004373</x:v>
      </x:c>
      <x:c r="D1288" s="47" t="n">
        <x:f>'Datos'!$B$26^3/3</x:f>
        <x:v>0.3333333333333333</x:v>
      </x:c>
      <x:c r="E1288" s="46" t="n">
        <x:f>D1288*(C1288-1)</x:f>
        <x:v>0.25584966416681243</x:v>
      </x:c>
      <x:c r="F1288" s="2"/>
      <x:c r="G1288" s="2"/>
      <x:c r="H1288" s="2"/>
    </x:row>
    <x:row r="1289" ht="22" customHeight="1">
      <x:c r="A1289" s="2" t="n">
        <x:v>1283</x:v>
      </x:c>
      <x:c r="B1289" s="79" t="n">
        <x:v>-0.079317356456384</x:v>
      </x:c>
      <x:c r="C1289" s="46" t="n">
        <x:f>B1289^2</x:f>
        <x:v>0.006291243035229081</x:v>
      </x:c>
      <x:c r="D1289" s="47" t="n">
        <x:f>'Datos'!$B$26^3/3</x:f>
        <x:v>0.3333333333333333</x:v>
      </x:c>
      <x:c r="E1289" s="46" t="n">
        <x:f>D1289*(C1289-1)</x:f>
        <x:v>-0.33123625232159026</x:v>
      </x:c>
      <x:c r="F1289" s="2"/>
      <x:c r="G1289" s="2"/>
      <x:c r="H1289" s="2"/>
    </x:row>
    <x:row r="1290" ht="22" customHeight="1">
      <x:c r="A1290" s="2" t="n">
        <x:v>1284</x:v>
      </x:c>
      <x:c r="B1290" s="79" t="n">
        <x:v>-1.4008955504593597</x:v>
      </x:c>
      <x:c r="C1290" s="46" t="n">
        <x:f>B1290^2</x:f>
        <x:v>1.9625083432968322</x:v>
      </x:c>
      <x:c r="D1290" s="47" t="n">
        <x:f>'Datos'!$B$26^3/3</x:f>
        <x:v>0.3333333333333333</x:v>
      </x:c>
      <x:c r="E1290" s="46" t="n">
        <x:f>D1290*(C1290-1)</x:f>
        <x:v>0.3208361144322774</x:v>
      </x:c>
      <x:c r="F1290" s="2"/>
      <x:c r="G1290" s="2"/>
      <x:c r="H1290" s="2"/>
    </x:row>
    <x:row r="1291" ht="22" customHeight="1">
      <x:c r="A1291" s="2" t="n">
        <x:v>1285</x:v>
      </x:c>
      <x:c r="B1291" s="79" t="n">
        <x:v>1.099606983368052</x:v>
      </x:c>
      <x:c r="C1291" s="46" t="n">
        <x:f>B1291^2</x:f>
        <x:v>1.2091355178717873</x:v>
      </x:c>
      <x:c r="D1291" s="47" t="n">
        <x:f>'Datos'!$B$26^3/3</x:f>
        <x:v>0.3333333333333333</x:v>
      </x:c>
      <x:c r="E1291" s="46" t="n">
        <x:f>D1291*(C1291-1)</x:f>
        <x:v>0.06971183929059577</x:v>
      </x:c>
      <x:c r="F1291" s="2"/>
      <x:c r="G1291" s="2"/>
      <x:c r="H1291" s="2"/>
    </x:row>
    <x:row r="1292" ht="22" customHeight="1">
      <x:c r="A1292" s="2" t="n">
        <x:v>1286</x:v>
      </x:c>
      <x:c r="B1292" s="79" t="n">
        <x:v>-0.23065807457916657</x:v>
      </x:c>
      <x:c r="C1292" s="46" t="n">
        <x:f>B1292^2</x:f>
        <x:v>0.05320314736856836</x:v>
      </x:c>
      <x:c r="D1292" s="47" t="n">
        <x:f>'Datos'!$B$26^3/3</x:f>
        <x:v>0.3333333333333333</x:v>
      </x:c>
      <x:c r="E1292" s="46" t="n">
        <x:f>D1292*(C1292-1)</x:f>
        <x:v>-0.31559895087714385</x:v>
      </x:c>
      <x:c r="F1292" s="2"/>
      <x:c r="G1292" s="2"/>
      <x:c r="H1292" s="2"/>
    </x:row>
    <x:row r="1293" ht="22" customHeight="1">
      <x:c r="A1293" s="2" t="n">
        <x:v>1287</x:v>
      </x:c>
      <x:c r="B1293" s="79" t="n">
        <x:v>-1.420123027149283</x:v>
      </x:c>
      <x:c r="C1293" s="46" t="n">
        <x:f>B1293^2</x:f>
        <x:v>2.016749412239643</x:v>
      </x:c>
      <x:c r="D1293" s="47" t="n">
        <x:f>'Datos'!$B$26^3/3</x:f>
        <x:v>0.3333333333333333</x:v>
      </x:c>
      <x:c r="E1293" s="46" t="n">
        <x:f>D1293*(C1293-1)</x:f>
        <x:v>0.33891647074654774</x:v>
      </x:c>
      <x:c r="F1293" s="2"/>
      <x:c r="G1293" s="2"/>
      <x:c r="H1293" s="2"/>
    </x:row>
    <x:row r="1294" ht="22" customHeight="1">
      <x:c r="A1294" s="2" t="n">
        <x:v>1288</x:v>
      </x:c>
      <x:c r="B1294" s="79" t="n">
        <x:v>-0.015713141614604735</x:v>
      </x:c>
      <x:c r="C1294" s="46" t="n">
        <x:f>B1294^2</x:f>
        <x:v>0.0002469028194006231</x:v>
      </x:c>
      <x:c r="D1294" s="47" t="n">
        <x:f>'Datos'!$B$26^3/3</x:f>
        <x:v>0.3333333333333333</x:v>
      </x:c>
      <x:c r="E1294" s="46" t="n">
        <x:f>D1294*(C1294-1)</x:f>
        <x:v>-0.3332510323935331</x:v>
      </x:c>
      <x:c r="F1294" s="2"/>
      <x:c r="G1294" s="2"/>
      <x:c r="H1294" s="2"/>
    </x:row>
    <x:row r="1295" ht="22" customHeight="1">
      <x:c r="A1295" s="2" t="n">
        <x:v>1289</x:v>
      </x:c>
      <x:c r="B1295" s="79" t="n">
        <x:v>-1.5638667349118063</x:v>
      </x:c>
      <x:c r="C1295" s="46" t="n">
        <x:f>B1295^2</x:f>
        <x:v>2.445679164563714</x:v>
      </x:c>
      <x:c r="D1295" s="47" t="n">
        <x:f>'Datos'!$B$26^3/3</x:f>
        <x:v>0.3333333333333333</x:v>
      </x:c>
      <x:c r="E1295" s="46" t="n">
        <x:f>D1295*(C1295-1)</x:f>
        <x:v>0.4818930548545713</x:v>
      </x:c>
      <x:c r="F1295" s="2"/>
      <x:c r="G1295" s="2"/>
      <x:c r="H1295" s="2"/>
    </x:row>
    <x:row r="1296" ht="22" customHeight="1">
      <x:c r="A1296" s="2" t="n">
        <x:v>1290</x:v>
      </x:c>
      <x:c r="B1296" s="79" t="n">
        <x:v>0.17529314831428758</x:v>
      </x:c>
      <x:c r="C1296" s="46" t="n">
        <x:f>B1296^2</x:f>
        <x:v>0.030727687845934822</x:v>
      </x:c>
      <x:c r="D1296" s="47" t="n">
        <x:f>'Datos'!$B$26^3/3</x:f>
        <x:v>0.3333333333333333</x:v>
      </x:c>
      <x:c r="E1296" s="46" t="n">
        <x:f>D1296*(C1296-1)</x:f>
        <x:v>-0.3230907707180217</x:v>
      </x:c>
      <x:c r="F1296" s="2"/>
      <x:c r="G1296" s="2"/>
      <x:c r="H1296" s="2"/>
    </x:row>
    <x:row r="1297" ht="22" customHeight="1">
      <x:c r="A1297" s="2" t="n">
        <x:v>1291</x:v>
      </x:c>
      <x:c r="B1297" s="79" t="n">
        <x:v>0.838880073834445</x:v>
      </x:c>
      <x:c r="C1297" s="46" t="n">
        <x:f>B1297^2</x:f>
        <x:v>0.7037197782764838</x:v>
      </x:c>
      <x:c r="D1297" s="47" t="n">
        <x:f>'Datos'!$B$26^3/3</x:f>
        <x:v>0.3333333333333333</x:v>
      </x:c>
      <x:c r="E1297" s="46" t="n">
        <x:f>D1297*(C1297-1)</x:f>
        <x:v>-0.09876007390783872</x:v>
      </x:c>
      <x:c r="F1297" s="2"/>
      <x:c r="G1297" s="2"/>
      <x:c r="H1297" s="2"/>
    </x:row>
    <x:row r="1298" ht="22" customHeight="1">
      <x:c r="A1298" s="2" t="n">
        <x:v>1292</x:v>
      </x:c>
      <x:c r="B1298" s="79" t="n">
        <x:v>-0.5488904918819608</x:v>
      </x:c>
      <x:c r="C1298" s="46" t="n">
        <x:f>B1298^2</x:f>
        <x:v>0.3012807720784209</x:v>
      </x:c>
      <x:c r="D1298" s="47" t="n">
        <x:f>'Datos'!$B$26^3/3</x:f>
        <x:v>0.3333333333333333</x:v>
      </x:c>
      <x:c r="E1298" s="46" t="n">
        <x:f>D1298*(C1298-1)</x:f>
        <x:v>-0.232906409307193</x:v>
      </x:c>
      <x:c r="F1298" s="2"/>
      <x:c r="G1298" s="2"/>
      <x:c r="H1298" s="2"/>
    </x:row>
    <x:row r="1299" ht="22" customHeight="1">
      <x:c r="A1299" s="2" t="n">
        <x:v>1293</x:v>
      </x:c>
      <x:c r="B1299" s="79" t="n">
        <x:v>-1.2234506625714843</x:v>
      </x:c>
      <x:c r="C1299" s="46" t="n">
        <x:f>B1299^2</x:f>
        <x:v>1.4968315237466039</x:v>
      </x:c>
      <x:c r="D1299" s="47" t="n">
        <x:f>'Datos'!$B$26^3/3</x:f>
        <x:v>0.3333333333333333</x:v>
      </x:c>
      <x:c r="E1299" s="46" t="n">
        <x:f>D1299*(C1299-1)</x:f>
        <x:v>0.1656105079155346</x:v>
      </x:c>
      <x:c r="F1299" s="2"/>
      <x:c r="G1299" s="2"/>
      <x:c r="H1299" s="2"/>
    </x:row>
    <x:row r="1300" ht="22" customHeight="1">
      <x:c r="A1300" s="2" t="n">
        <x:v>1294</x:v>
      </x:c>
      <x:c r="B1300" s="79" t="n">
        <x:v>-0.5918626334205411</x:v>
      </x:c>
      <x:c r="C1300" s="46" t="n">
        <x:f>B1300^2</x:f>
        <x:v>0.35030137683949786</x:v>
      </x:c>
      <x:c r="D1300" s="47" t="n">
        <x:f>'Datos'!$B$26^3/3</x:f>
        <x:v>0.3333333333333333</x:v>
      </x:c>
      <x:c r="E1300" s="46" t="n">
        <x:f>D1300*(C1300-1)</x:f>
        <x:v>-0.21656620772016738</x:v>
      </x:c>
      <x:c r="F1300" s="2"/>
      <x:c r="G1300" s="2"/>
      <x:c r="H1300" s="2"/>
    </x:row>
    <x:row r="1301" ht="22" customHeight="1">
      <x:c r="A1301" s="2" t="n">
        <x:v>1295</x:v>
      </x:c>
      <x:c r="B1301" s="79" t="n">
        <x:v>0.9386819744245202</x:v>
      </x:c>
      <x:c r="C1301" s="46" t="n">
        <x:f>B1301^2</x:f>
        <x:v>0.8811238491095156</x:v>
      </x:c>
      <x:c r="D1301" s="47" t="n">
        <x:f>'Datos'!$B$26^3/3</x:f>
        <x:v>0.3333333333333333</x:v>
      </x:c>
      <x:c r="E1301" s="46" t="n">
        <x:f>D1301*(C1301-1)</x:f>
        <x:v>-0.03962538363016147</x:v>
      </x:c>
      <x:c r="F1301" s="2"/>
      <x:c r="G1301" s="2"/>
      <x:c r="H1301" s="2"/>
    </x:row>
    <x:row r="1302" ht="22" customHeight="1">
      <x:c r="A1302" s="2" t="n">
        <x:v>1296</x:v>
      </x:c>
      <x:c r="B1302" s="79" t="n">
        <x:v>-1.7364273933304852</x:v>
      </x:c>
      <x:c r="C1302" s="46" t="n">
        <x:f>B1302^2</x:f>
        <x:v>3.0151800923085035</x:v>
      </x:c>
      <x:c r="D1302" s="47" t="n">
        <x:f>'Datos'!$B$26^3/3</x:f>
        <x:v>0.3333333333333333</x:v>
      </x:c>
      <x:c r="E1302" s="46" t="n">
        <x:f>D1302*(C1302-1)</x:f>
        <x:v>0.6717266974361678</x:v>
      </x:c>
      <x:c r="F1302" s="2"/>
      <x:c r="G1302" s="2"/>
      <x:c r="H1302" s="2"/>
    </x:row>
    <x:row r="1303" ht="22" customHeight="1">
      <x:c r="A1303" s="2" t="n">
        <x:v>1297</x:v>
      </x:c>
      <x:c r="B1303" s="79" t="n">
        <x:v>0.5118693499792786</x:v>
      </x:c>
      <x:c r="C1303" s="46" t="n">
        <x:f>B1303^2</x:f>
        <x:v>0.2620102314482092</x:v>
      </x:c>
      <x:c r="D1303" s="47" t="n">
        <x:f>'Datos'!$B$26^3/3</x:f>
        <x:v>0.3333333333333333</x:v>
      </x:c>
      <x:c r="E1303" s="46" t="n">
        <x:f>D1303*(C1303-1)</x:f>
        <x:v>-0.2459965895172636</x:v>
      </x:c>
      <x:c r="F1303" s="2"/>
      <x:c r="G1303" s="2"/>
      <x:c r="H1303" s="2"/>
    </x:row>
    <x:row r="1304" ht="22" customHeight="1">
      <x:c r="A1304" s="2" t="n">
        <x:v>1298</x:v>
      </x:c>
      <x:c r="B1304" s="79" t="n">
        <x:v>-0.8881530383625806</x:v>
      </x:c>
      <x:c r="C1304" s="46" t="n">
        <x:f>B1304^2</x:f>
        <x:v>0.7888158195526837</x:v>
      </x:c>
      <x:c r="D1304" s="47" t="n">
        <x:f>'Datos'!$B$26^3/3</x:f>
        <x:v>0.3333333333333333</x:v>
      </x:c>
      <x:c r="E1304" s="46" t="n">
        <x:f>D1304*(C1304-1)</x:f>
        <x:v>-0.07039472681577211</x:v>
      </x:c>
      <x:c r="F1304" s="2"/>
      <x:c r="G1304" s="2"/>
      <x:c r="H1304" s="2"/>
    </x:row>
    <x:row r="1305" ht="22" customHeight="1">
      <x:c r="A1305" s="2" t="n">
        <x:v>1299</x:v>
      </x:c>
      <x:c r="B1305" s="79" t="n">
        <x:v>1.2821778152052976</x:v>
      </x:c>
      <x:c r="C1305" s="46" t="n">
        <x:f>B1305^2</x:f>
        <x:v>1.6439799498046304</x:v>
      </x:c>
      <x:c r="D1305" s="47" t="n">
        <x:f>'Datos'!$B$26^3/3</x:f>
        <x:v>0.3333333333333333</x:v>
      </x:c>
      <x:c r="E1305" s="46" t="n">
        <x:f>D1305*(C1305-1)</x:f>
        <x:v>0.21465998326821012</x:v>
      </x:c>
      <x:c r="F1305" s="2"/>
      <x:c r="G1305" s="2"/>
      <x:c r="H1305" s="2"/>
    </x:row>
    <x:row r="1306" ht="22" customHeight="1">
      <x:c r="A1306" s="2" t="n">
        <x:v>1300</x:v>
      </x:c>
      <x:c r="B1306" s="79" t="n">
        <x:v>0.3440303368986472</x:v>
      </x:c>
      <x:c r="C1306" s="46" t="n">
        <x:f>B1306^2</x:f>
        <x:v>0.1183568727065967</x:v>
      </x:c>
      <x:c r="D1306" s="47" t="n">
        <x:f>'Datos'!$B$26^3/3</x:f>
        <x:v>0.3333333333333333</x:v>
      </x:c>
      <x:c r="E1306" s="46" t="n">
        <x:f>D1306*(C1306-1)</x:f>
        <x:v>-0.29388104243113444</x:v>
      </x:c>
      <x:c r="F1306" s="2"/>
      <x:c r="G1306" s="2"/>
      <x:c r="H1306" s="2"/>
    </x:row>
    <x:row r="1307" ht="22" customHeight="1">
      <x:c r="A1307" s="2" t="n">
        <x:v>1301</x:v>
      </x:c>
      <x:c r="B1307" s="79" t="n">
        <x:v>0.11474369073360276</x:v>
      </x:c>
      <x:c r="C1307" s="46" t="n">
        <x:f>B1307^2</x:f>
        <x:v>0.013166114563168674</x:v>
      </x:c>
      <x:c r="D1307" s="47" t="n">
        <x:f>'Datos'!$B$26^3/3</x:f>
        <x:v>0.3333333333333333</x:v>
      </x:c>
      <x:c r="E1307" s="46" t="n">
        <x:f>D1307*(C1307-1)</x:f>
        <x:v>-0.3289446284789438</x:v>
      </x:c>
      <x:c r="F1307" s="2"/>
      <x:c r="G1307" s="2"/>
      <x:c r="H1307" s="2"/>
    </x:row>
    <x:row r="1308" ht="22" customHeight="1">
      <x:c r="A1308" s="2" t="n">
        <x:v>1302</x:v>
      </x:c>
      <x:c r="B1308" s="79" t="n">
        <x:v>0.5070888194089507</x:v>
      </x:c>
      <x:c r="C1308" s="46" t="n">
        <x:f>B1308^2</x:f>
        <x:v>0.2571390707695634</x:v>
      </x:c>
      <x:c r="D1308" s="47" t="n">
        <x:f>'Datos'!$B$26^3/3</x:f>
        <x:v>0.3333333333333333</x:v>
      </x:c>
      <x:c r="E1308" s="46" t="n">
        <x:f>D1308*(C1308-1)</x:f>
        <x:v>-0.24762030974347887</x:v>
      </x:c>
      <x:c r="F1308" s="2"/>
      <x:c r="G1308" s="2"/>
      <x:c r="H1308" s="2"/>
    </x:row>
    <x:row r="1309" ht="22" customHeight="1">
      <x:c r="A1309" s="2" t="n">
        <x:v>1303</x:v>
      </x:c>
      <x:c r="B1309" s="79" t="n">
        <x:v>0.5356173972281592</x:v>
      </x:c>
      <x:c r="C1309" s="46" t="n">
        <x:f>B1309^2</x:f>
        <x:v>0.2868859962134676</x:v>
      </x:c>
      <x:c r="D1309" s="47" t="n">
        <x:f>'Datos'!$B$26^3/3</x:f>
        <x:v>0.3333333333333333</x:v>
      </x:c>
      <x:c r="E1309" s="46" t="n">
        <x:f>D1309*(C1309-1)</x:f>
        <x:v>-0.23770466792884415</x:v>
      </x:c>
      <x:c r="F1309" s="2"/>
      <x:c r="G1309" s="2"/>
      <x:c r="H1309" s="2"/>
    </x:row>
    <x:row r="1310" ht="22" customHeight="1">
      <x:c r="A1310" s="2" t="n">
        <x:v>1304</x:v>
      </x:c>
      <x:c r="B1310" s="79" t="n">
        <x:v>-0.3765089632769686</x:v>
      </x:c>
      <x:c r="C1310" s="46" t="n">
        <x:f>B1310^2</x:f>
        <x:v>0.1417589994278977</x:v>
      </x:c>
      <x:c r="D1310" s="47" t="n">
        <x:f>'Datos'!$B$26^3/3</x:f>
        <x:v>0.3333333333333333</x:v>
      </x:c>
      <x:c r="E1310" s="46" t="n">
        <x:f>D1310*(C1310-1)</x:f>
        <x:v>-0.28608033352403406</x:v>
      </x:c>
      <x:c r="F1310" s="2"/>
      <x:c r="G1310" s="2"/>
      <x:c r="H1310" s="2"/>
    </x:row>
    <x:row r="1311" ht="22" customHeight="1">
      <x:c r="A1311" s="2" t="n">
        <x:v>1305</x:v>
      </x:c>
      <x:c r="B1311" s="79" t="n">
        <x:v>1.8440009934879817</x:v>
      </x:c>
      <x:c r="C1311" s="46" t="n">
        <x:f>B1311^2</x:f>
        <x:v>3.4003396639846635</x:v>
      </x:c>
      <x:c r="D1311" s="47" t="n">
        <x:f>'Datos'!$B$26^3/3</x:f>
        <x:v>0.3333333333333333</x:v>
      </x:c>
      <x:c r="E1311" s="46" t="n">
        <x:f>D1311*(C1311-1)</x:f>
        <x:v>0.8001132213282212</x:v>
      </x:c>
      <x:c r="F1311" s="2"/>
      <x:c r="G1311" s="2"/>
      <x:c r="H1311" s="2"/>
    </x:row>
    <x:row r="1312" ht="22" customHeight="1">
      <x:c r="A1312" s="2" t="n">
        <x:v>1306</x:v>
      </x:c>
      <x:c r="B1312" s="79" t="n">
        <x:v>0.7894087448747235</x:v>
      </x:c>
      <x:c r="C1312" s="46" t="n">
        <x:f>B1312^2</x:f>
        <x:v>0.6231661664846863</x:v>
      </x:c>
      <x:c r="D1312" s="47" t="n">
        <x:f>'Datos'!$B$26^3/3</x:f>
        <x:v>0.3333333333333333</x:v>
      </x:c>
      <x:c r="E1312" s="46" t="n">
        <x:f>D1312*(C1312-1)</x:f>
        <x:v>-0.1256112778384379</x:v>
      </x:c>
      <x:c r="F1312" s="2"/>
      <x:c r="G1312" s="2"/>
      <x:c r="H1312" s="2"/>
    </x:row>
    <x:row r="1313" ht="22" customHeight="1">
      <x:c r="A1313" s="2" t="n">
        <x:v>1307</x:v>
      </x:c>
      <x:c r="B1313" s="79" t="n">
        <x:v>0.47187404184124454</x:v>
      </x:c>
      <x:c r="C1313" s="46" t="n">
        <x:f>B1313^2</x:f>
        <x:v>0.2226651113635926</x:v>
      </x:c>
      <x:c r="D1313" s="47" t="n">
        <x:f>'Datos'!$B$26^3/3</x:f>
        <x:v>0.3333333333333333</x:v>
      </x:c>
      <x:c r="E1313" s="46" t="n">
        <x:f>D1313*(C1313-1)</x:f>
        <x:v>-0.2591116295454691</x:v>
      </x:c>
      <x:c r="F1313" s="2"/>
      <x:c r="G1313" s="2"/>
      <x:c r="H1313" s="2"/>
    </x:row>
    <x:row r="1314" ht="22" customHeight="1">
      <x:c r="A1314" s="2" t="n">
        <x:v>1308</x:v>
      </x:c>
      <x:c r="B1314" s="79" t="n">
        <x:v>-0.45644018464755864</x:v>
      </x:c>
      <x:c r="C1314" s="46" t="n">
        <x:f>B1314^2</x:f>
        <x:v>0.20833764216109743</x:v>
      </x:c>
      <x:c r="D1314" s="47" t="n">
        <x:f>'Datos'!$B$26^3/3</x:f>
        <x:v>0.3333333333333333</x:v>
      </x:c>
      <x:c r="E1314" s="46" t="n">
        <x:f>D1314*(C1314-1)</x:f>
        <x:v>-0.26388745261296753</x:v>
      </x:c>
      <x:c r="F1314" s="2"/>
      <x:c r="G1314" s="2"/>
      <x:c r="H1314" s="2"/>
    </x:row>
    <x:row r="1315" ht="22" customHeight="1">
      <x:c r="A1315" s="2" t="n">
        <x:v>1309</x:v>
      </x:c>
      <x:c r="B1315" s="79" t="n">
        <x:v>-1.927889405164109</x:v>
      </x:c>
      <x:c r="C1315" s="46" t="n">
        <x:f>B1315^2</x:f>
        <x:v>3.7167575585440216</x:v>
      </x:c>
      <x:c r="D1315" s="47" t="n">
        <x:f>'Datos'!$B$26^3/3</x:f>
        <x:v>0.3333333333333333</x:v>
      </x:c>
      <x:c r="E1315" s="46" t="n">
        <x:f>D1315*(C1315-1)</x:f>
        <x:v>0.9055858528480072</x:v>
      </x:c>
      <x:c r="F1315" s="2"/>
      <x:c r="G1315" s="2"/>
      <x:c r="H1315" s="2"/>
    </x:row>
    <x:row r="1316" ht="22" customHeight="1">
      <x:c r="A1316" s="2" t="n">
        <x:v>1310</x:v>
      </x:c>
      <x:c r="B1316" s="79" t="n">
        <x:v>-2.2231678168694913</x:v>
      </x:c>
      <x:c r="C1316" s="46" t="n">
        <x:f>B1316^2</x:f>
        <x:v>4.94247514196426</x:v>
      </x:c>
      <x:c r="D1316" s="47" t="n">
        <x:f>'Datos'!$B$26^3/3</x:f>
        <x:v>0.3333333333333333</x:v>
      </x:c>
      <x:c r="E1316" s="46" t="n">
        <x:f>D1316*(C1316-1)</x:f>
        <x:v>1.3141583806547532</x:v>
      </x:c>
      <x:c r="F1316" s="2"/>
      <x:c r="G1316" s="2"/>
      <x:c r="H1316" s="2"/>
    </x:row>
    <x:row r="1317" ht="22" customHeight="1">
      <x:c r="A1317" s="2" t="n">
        <x:v>1311</x:v>
      </x:c>
      <x:c r="B1317" s="79" t="n">
        <x:v>0.5246460852766192</x:v>
      </x:c>
      <x:c r="C1317" s="46" t="n">
        <x:f>B1317^2</x:f>
        <x:v>0.27525351479608157</x:v>
      </x:c>
      <x:c r="D1317" s="47" t="n">
        <x:f>'Datos'!$B$26^3/3</x:f>
        <x:v>0.3333333333333333</x:v>
      </x:c>
      <x:c r="E1317" s="46" t="n">
        <x:f>D1317*(C1317-1)</x:f>
        <x:v>-0.24158216173463948</x:v>
      </x:c>
      <x:c r="F1317" s="2"/>
      <x:c r="G1317" s="2"/>
      <x:c r="H1317" s="2"/>
    </x:row>
    <x:row r="1318" ht="22" customHeight="1">
      <x:c r="A1318" s="2" t="n">
        <x:v>1312</x:v>
      </x:c>
      <x:c r="B1318" s="79" t="n">
        <x:v>-0.467426744515456</x:v>
      </x:c>
      <x:c r="C1318" s="46" t="n">
        <x:f>B1318^2</x:f>
        <x:v>0.2184877614883174</x:v>
      </x:c>
      <x:c r="D1318" s="47" t="n">
        <x:f>'Datos'!$B$26^3/3</x:f>
        <x:v>0.3333333333333333</x:v>
      </x:c>
      <x:c r="E1318" s="46" t="n">
        <x:f>D1318*(C1318-1)</x:f>
        <x:v>-0.2605040795038942</x:v>
      </x:c>
      <x:c r="F1318" s="2"/>
      <x:c r="G1318" s="2"/>
      <x:c r="H1318" s="2"/>
    </x:row>
    <x:row r="1319" ht="22" customHeight="1">
      <x:c r="A1319" s="2" t="n">
        <x:v>1313</x:v>
      </x:c>
      <x:c r="B1319" s="79" t="n">
        <x:v>0.14136787880150134</x:v>
      </x:c>
      <x:c r="C1319" s="46" t="n">
        <x:f>B1319^2</x:f>
        <x:v>0.019984877156835973</x:v>
      </x:c>
      <x:c r="D1319" s="47" t="n">
        <x:f>'Datos'!$B$26^3/3</x:f>
        <x:v>0.3333333333333333</x:v>
      </x:c>
      <x:c r="E1319" s="46" t="n">
        <x:f>D1319*(C1319-1)</x:f>
        <x:v>-0.326671707614388</x:v>
      </x:c>
      <x:c r="F1319" s="2"/>
      <x:c r="G1319" s="2"/>
      <x:c r="H1319" s="2"/>
    </x:row>
    <x:row r="1320" ht="22" customHeight="1">
      <x:c r="A1320" s="2" t="n">
        <x:v>1314</x:v>
      </x:c>
      <x:c r="B1320" s="79" t="n">
        <x:v>-1.206039170148633</x:v>
      </x:c>
      <x:c r="C1320" s="46" t="n">
        <x:f>B1320^2</x:f>
        <x:v>1.4545304799328034</x:v>
      </x:c>
      <x:c r="D1320" s="47" t="n">
        <x:f>'Datos'!$B$26^3/3</x:f>
        <x:v>0.3333333333333333</x:v>
      </x:c>
      <x:c r="E1320" s="46" t="n">
        <x:f>D1320*(C1320-1)</x:f>
        <x:v>0.15151015997760112</x:v>
      </x:c>
      <x:c r="F1320" s="2"/>
      <x:c r="G1320" s="2"/>
      <x:c r="H1320" s="2"/>
    </x:row>
    <x:row r="1321" ht="22" customHeight="1">
      <x:c r="A1321" s="2" t="n">
        <x:v>1315</x:v>
      </x:c>
      <x:c r="B1321" s="79" t="n">
        <x:v>1.3145862237722752</x:v>
      </x:c>
      <x:c r="C1321" s="46" t="n">
        <x:f>B1321^2</x:f>
        <x:v>1.7281369397318505</x:v>
      </x:c>
      <x:c r="D1321" s="47" t="n">
        <x:f>'Datos'!$B$26^3/3</x:f>
        <x:v>0.3333333333333333</x:v>
      </x:c>
      <x:c r="E1321" s="46" t="n">
        <x:f>D1321*(C1321-1)</x:f>
        <x:v>0.24271231324395015</x:v>
      </x:c>
      <x:c r="F1321" s="2"/>
      <x:c r="G1321" s="2"/>
      <x:c r="H1321" s="2"/>
    </x:row>
    <x:row r="1322" ht="22" customHeight="1">
      <x:c r="A1322" s="2" t="n">
        <x:v>1316</x:v>
      </x:c>
      <x:c r="B1322" s="79" t="n">
        <x:v>-0.1510976602259108</x:v>
      </x:c>
      <x:c r="C1322" s="46" t="n">
        <x:f>B1322^2</x:f>
        <x:v>0.02283050292574479</x:v>
      </x:c>
      <x:c r="D1322" s="47" t="n">
        <x:f>'Datos'!$B$26^3/3</x:f>
        <x:v>0.3333333333333333</x:v>
      </x:c>
      <x:c r="E1322" s="46" t="n">
        <x:f>D1322*(C1322-1)</x:f>
        <x:v>-0.3257231656914184</x:v>
      </x:c>
      <x:c r="F1322" s="2"/>
      <x:c r="G1322" s="2"/>
      <x:c r="H1322" s="2"/>
    </x:row>
    <x:row r="1323" ht="22" customHeight="1">
      <x:c r="A1323" s="2" t="n">
        <x:v>1317</x:v>
      </x:c>
      <x:c r="B1323" s="79" t="n">
        <x:v>1.6711629711862022</x:v>
      </x:c>
      <x:c r="C1323" s="46" t="n">
        <x:f>B1323^2</x:f>
        <x:v>2.792785676263895</x:v>
      </x:c>
      <x:c r="D1323" s="47" t="n">
        <x:f>'Datos'!$B$26^3/3</x:f>
        <x:v>0.3333333333333333</x:v>
      </x:c>
      <x:c r="E1323" s="46" t="n">
        <x:f>D1323*(C1323-1)</x:f>
        <x:v>0.5975952254212983</x:v>
      </x:c>
      <x:c r="F1323" s="2"/>
      <x:c r="G1323" s="2"/>
      <x:c r="H1323" s="2"/>
    </x:row>
    <x:row r="1324" ht="22" customHeight="1">
      <x:c r="A1324" s="2" t="n">
        <x:v>1318</x:v>
      </x:c>
      <x:c r="B1324" s="79" t="n">
        <x:v>-0.1364891930637244</x:v>
      </x:c>
      <x:c r="C1324" s="46" t="n">
        <x:f>B1324^2</x:f>
        <x:v>0.018629299823186632</x:v>
      </x:c>
      <x:c r="D1324" s="47" t="n">
        <x:f>'Datos'!$B$26^3/3</x:f>
        <x:v>0.3333333333333333</x:v>
      </x:c>
      <x:c r="E1324" s="46" t="n">
        <x:f>D1324*(C1324-1)</x:f>
        <x:v>-0.32712356672560444</x:v>
      </x:c>
      <x:c r="F1324" s="2"/>
      <x:c r="G1324" s="2"/>
      <x:c r="H1324" s="2"/>
    </x:row>
    <x:row r="1325" ht="22" customHeight="1">
      <x:c r="A1325" s="2" t="n">
        <x:v>1319</x:v>
      </x:c>
      <x:c r="B1325" s="79" t="n">
        <x:v>-0.20243078353832783</x:v>
      </x:c>
      <x:c r="C1325" s="46" t="n">
        <x:f>B1325^2</x:f>
        <x:v>0.04097822212394134</x:v>
      </x:c>
      <x:c r="D1325" s="47" t="n">
        <x:f>'Datos'!$B$26^3/3</x:f>
        <x:v>0.3333333333333333</x:v>
      </x:c>
      <x:c r="E1325" s="46" t="n">
        <x:f>D1325*(C1325-1)</x:f>
        <x:v>-0.3196739259586862</x:v>
      </x:c>
      <x:c r="F1325" s="2"/>
      <x:c r="G1325" s="2"/>
      <x:c r="H1325" s="2"/>
    </x:row>
    <x:row r="1326" ht="22" customHeight="1">
      <x:c r="A1326" s="2" t="n">
        <x:v>1320</x:v>
      </x:c>
      <x:c r="B1326" s="79" t="n">
        <x:v>-2.527954878966478</x:v>
      </x:c>
      <x:c r="C1326" s="46" t="n">
        <x:f>B1326^2</x:f>
        <x:v>6.390555870090421</x:v>
      </x:c>
      <x:c r="D1326" s="47" t="n">
        <x:f>'Datos'!$B$26^3/3</x:f>
        <x:v>0.3333333333333333</x:v>
      </x:c>
      <x:c r="E1326" s="46" t="n">
        <x:f>D1326*(C1326-1)</x:f>
        <x:v>1.7968519566968069</x:v>
      </x:c>
      <x:c r="F1326" s="2"/>
      <x:c r="G1326" s="2"/>
      <x:c r="H1326" s="2"/>
    </x:row>
    <x:row r="1327" ht="22" customHeight="1">
      <x:c r="A1327" s="2" t="n">
        <x:v>1321</x:v>
      </x:c>
      <x:c r="B1327" s="79" t="n">
        <x:v>-1.4684640302243295</x:v>
      </x:c>
      <x:c r="C1327" s="46" t="n">
        <x:f>B1327^2</x:f>
        <x:v>2.1563866080626806</x:v>
      </x:c>
      <x:c r="D1327" s="47" t="n">
        <x:f>'Datos'!$B$26^3/3</x:f>
        <x:v>0.3333333333333333</x:v>
      </x:c>
      <x:c r="E1327" s="46" t="n">
        <x:f>D1327*(C1327-1)</x:f>
        <x:v>0.38546220268756015</x:v>
      </x:c>
      <x:c r="F1327" s="2"/>
      <x:c r="G1327" s="2"/>
      <x:c r="H1327" s="2"/>
    </x:row>
    <x:row r="1328" ht="22" customHeight="1">
      <x:c r="A1328" s="2" t="n">
        <x:v>1322</x:v>
      </x:c>
      <x:c r="B1328" s="79" t="n">
        <x:v>1.7099260637471507</x:v>
      </x:c>
      <x:c r="C1328" s="46" t="n">
        <x:f>B1328^2</x:f>
        <x:v>2.923847143481825</x:v>
      </x:c>
      <x:c r="D1328" s="47" t="n">
        <x:f>'Datos'!$B$26^3/3</x:f>
        <x:v>0.3333333333333333</x:v>
      </x:c>
      <x:c r="E1328" s="46" t="n">
        <x:f>D1328*(C1328-1)</x:f>
        <x:v>0.6412823811606083</x:v>
      </x:c>
      <x:c r="F1328" s="2"/>
      <x:c r="G1328" s="2"/>
      <x:c r="H1328" s="2"/>
    </x:row>
    <x:row r="1329" ht="22" customHeight="1">
      <x:c r="A1329" s="2" t="n">
        <x:v>1323</x:v>
      </x:c>
      <x:c r="B1329" s="79" t="n">
        <x:v>0.6531133506384058</x:v>
      </x:c>
      <x:c r="C1329" s="46" t="n">
        <x:f>B1329^2</x:f>
        <x:v>0.4265570487821252</x:v>
      </x:c>
      <x:c r="D1329" s="47" t="n">
        <x:f>'Datos'!$B$26^3/3</x:f>
        <x:v>0.3333333333333333</x:v>
      </x:c>
      <x:c r="E1329" s="46" t="n">
        <x:f>D1329*(C1329-1)</x:f>
        <x:v>-0.19114765040595827</x:v>
      </x:c>
      <x:c r="F1329" s="2"/>
      <x:c r="G1329" s="2"/>
      <x:c r="H1329" s="2"/>
    </x:row>
    <x:row r="1330" ht="22" customHeight="1">
      <x:c r="A1330" s="2" t="n">
        <x:v>1324</x:v>
      </x:c>
      <x:c r="B1330" s="79" t="n">
        <x:v>0.620835452755208</x:v>
      </x:c>
      <x:c r="C1330" s="46" t="n">
        <x:f>B1330^2</x:f>
        <x:v>0.3854366593977641</x:v>
      </x:c>
      <x:c r="D1330" s="47" t="n">
        <x:f>'Datos'!$B$26^3/3</x:f>
        <x:v>0.3333333333333333</x:v>
      </x:c>
      <x:c r="E1330" s="46" t="n">
        <x:f>D1330*(C1330-1)</x:f>
        <x:v>-0.20485444686741197</x:v>
      </x:c>
      <x:c r="F1330" s="2"/>
      <x:c r="G1330" s="2"/>
      <x:c r="H1330" s="2"/>
    </x:row>
    <x:row r="1331" ht="22" customHeight="1">
      <x:c r="A1331" s="2" t="n">
        <x:v>1325</x:v>
      </x:c>
      <x:c r="B1331" s="79" t="n">
        <x:v>0.4250493056003194</x:v>
      </x:c>
      <x:c r="C1331" s="46" t="n">
        <x:f>B1331^2</x:f>
        <x:v>0.1806669121913137</x:v>
      </x:c>
      <x:c r="D1331" s="47" t="n">
        <x:f>'Datos'!$B$26^3/3</x:f>
        <x:v>0.3333333333333333</x:v>
      </x:c>
      <x:c r="E1331" s="46" t="n">
        <x:f>D1331*(C1331-1)</x:f>
        <x:v>-0.2731110292695621</x:v>
      </x:c>
      <x:c r="F1331" s="2"/>
      <x:c r="G1331" s="2"/>
      <x:c r="H1331" s="2"/>
    </x:row>
    <x:row r="1332" ht="22" customHeight="1">
      <x:c r="A1332" s="2" t="n">
        <x:v>1326</x:v>
      </x:c>
      <x:c r="B1332" s="79" t="n">
        <x:v>-0.3580554731671923</x:v>
      </x:c>
      <x:c r="C1332" s="46" t="n">
        <x:f>B1332^2</x:f>
        <x:v>0.12820372186498194</x:v>
      </x:c>
      <x:c r="D1332" s="47" t="n">
        <x:f>'Datos'!$B$26^3/3</x:f>
        <x:v>0.3333333333333333</x:v>
      </x:c>
      <x:c r="E1332" s="46" t="n">
        <x:f>D1332*(C1332-1)</x:f>
        <x:v>-0.29059875937833934</x:v>
      </x:c>
      <x:c r="F1332" s="2"/>
      <x:c r="G1332" s="2"/>
      <x:c r="H1332" s="2"/>
    </x:row>
    <x:row r="1333" ht="22" customHeight="1">
      <x:c r="A1333" s="2" t="n">
        <x:v>1327</x:v>
      </x:c>
      <x:c r="B1333" s="79" t="n">
        <x:v>-0.004161810403925155</x:v>
      </x:c>
      <x:c r="C1333" s="46" t="n">
        <x:f>B1333^2</x:f>
        <x:v>0.00001732066583821966</x:v>
      </x:c>
      <x:c r="D1333" s="47" t="n">
        <x:f>'Datos'!$B$26^3/3</x:f>
        <x:v>0.3333333333333333</x:v>
      </x:c>
      <x:c r="E1333" s="46" t="n">
        <x:f>D1333*(C1333-1)</x:f>
        <x:v>-0.3333275597780539</x:v>
      </x:c>
      <x:c r="F1333" s="2"/>
      <x:c r="G1333" s="2"/>
      <x:c r="H1333" s="2"/>
    </x:row>
    <x:row r="1334" ht="22" customHeight="1">
      <x:c r="A1334" s="2" t="n">
        <x:v>1328</x:v>
      </x:c>
      <x:c r="B1334" s="79" t="n">
        <x:v>0.2987187932300495</x:v>
      </x:c>
      <x:c r="C1334" s="46" t="n">
        <x:f>B1334^2</x:f>
        <x:v>0.08923291742881707</x:v>
      </x:c>
      <x:c r="D1334" s="47" t="n">
        <x:f>'Datos'!$B$26^3/3</x:f>
        <x:v>0.3333333333333333</x:v>
      </x:c>
      <x:c r="E1334" s="46" t="n">
        <x:f>D1334*(C1334-1)</x:f>
        <x:v>-0.30358902752372763</x:v>
      </x:c>
      <x:c r="F1334" s="2"/>
      <x:c r="G1334" s="2"/>
      <x:c r="H1334" s="2"/>
    </x:row>
    <x:row r="1335" ht="22" customHeight="1">
      <x:c r="A1335" s="2" t="n">
        <x:v>1329</x:v>
      </x:c>
      <x:c r="B1335" s="79" t="n">
        <x:v>-1.6838372404838733</x:v>
      </x:c>
      <x:c r="C1335" s="46" t="n">
        <x:f>B1335^2</x:f>
        <x:v>2.8353078524403452</x:v>
      </x:c>
      <x:c r="D1335" s="47" t="n">
        <x:f>'Datos'!$B$26^3/3</x:f>
        <x:v>0.3333333333333333</x:v>
      </x:c>
      <x:c r="E1335" s="46" t="n">
        <x:f>D1335*(C1335-1)</x:f>
        <x:v>0.6117692841467817</x:v>
      </x:c>
      <x:c r="F1335" s="2"/>
      <x:c r="G1335" s="2"/>
      <x:c r="H1335" s="2"/>
    </x:row>
    <x:row r="1336" ht="22" customHeight="1">
      <x:c r="A1336" s="2" t="n">
        <x:v>1330</x:v>
      </x:c>
      <x:c r="B1336" s="79" t="n">
        <x:v>0.7753061158099295</x:v>
      </x:c>
      <x:c r="C1336" s="46" t="n">
        <x:f>B1336^2</x:f>
        <x:v>0.6010995732122798</x:v>
      </x:c>
      <x:c r="D1336" s="47" t="n">
        <x:f>'Datos'!$B$26^3/3</x:f>
        <x:v>0.3333333333333333</x:v>
      </x:c>
      <x:c r="E1336" s="46" t="n">
        <x:f>D1336*(C1336-1)</x:f>
        <x:v>-0.13296680892924007</x:v>
      </x:c>
      <x:c r="F1336" s="2"/>
      <x:c r="G1336" s="2"/>
      <x:c r="H1336" s="2"/>
    </x:row>
    <x:row r="1337" ht="22" customHeight="1">
      <x:c r="A1337" s="2" t="n">
        <x:v>1331</x:v>
      </x:c>
      <x:c r="B1337" s="79" t="n">
        <x:v>-0.9354413857853826</x:v>
      </x:c>
      <x:c r="C1337" s="46" t="n">
        <x:f>B1337^2</x:f>
        <x:v>0.875050586240077</x:v>
      </x:c>
      <x:c r="D1337" s="47" t="n">
        <x:f>'Datos'!$B$26^3/3</x:f>
        <x:v>0.3333333333333333</x:v>
      </x:c>
      <x:c r="E1337" s="46" t="n">
        <x:f>D1337*(C1337-1)</x:f>
        <x:v>-0.041649804586640984</x:v>
      </x:c>
      <x:c r="F1337" s="2"/>
      <x:c r="G1337" s="2"/>
      <x:c r="H1337" s="2"/>
    </x:row>
    <x:row r="1338" ht="22" customHeight="1">
      <x:c r="A1338" s="2" t="n">
        <x:v>1332</x:v>
      </x:c>
      <x:c r="B1338" s="79" t="n">
        <x:v>0.3126547102049082</x:v>
      </x:c>
      <x:c r="C1338" s="46" t="n">
        <x:f>B1338^2</x:f>
        <x:v>0.09775296781331513</x:v>
      </x:c>
      <x:c r="D1338" s="47" t="n">
        <x:f>'Datos'!$B$26^3/3</x:f>
        <x:v>0.3333333333333333</x:v>
      </x:c>
      <x:c r="E1338" s="46" t="n">
        <x:f>D1338*(C1338-1)</x:f>
        <x:v>-0.3007490107288949</x:v>
      </x:c>
      <x:c r="F1338" s="2"/>
      <x:c r="G1338" s="2"/>
      <x:c r="H1338" s="2"/>
    </x:row>
    <x:row r="1339" ht="22" customHeight="1">
      <x:c r="A1339" s="2" t="n">
        <x:v>1333</x:v>
      </x:c>
      <x:c r="B1339" s="79" t="n">
        <x:v>-0.6794769572440412</x:v>
      </x:c>
      <x:c r="C1339" s="46" t="n">
        <x:f>B1339^2</x:f>
        <x:v>0.4616889354256206</x:v>
      </x:c>
      <x:c r="D1339" s="47" t="n">
        <x:f>'Datos'!$B$26^3/3</x:f>
        <x:v>0.3333333333333333</x:v>
      </x:c>
      <x:c r="E1339" s="46" t="n">
        <x:f>D1339*(C1339-1)</x:f>
        <x:v>-0.17943702152479313</x:v>
      </x:c>
      <x:c r="F1339" s="2"/>
      <x:c r="G1339" s="2"/>
      <x:c r="H1339" s="2"/>
    </x:row>
    <x:row r="1340" ht="22" customHeight="1">
      <x:c r="A1340" s="2" t="n">
        <x:v>1334</x:v>
      </x:c>
      <x:c r="B1340" s="79" t="n">
        <x:v>0.21677011515540331</x:v>
      </x:c>
      <x:c r="C1340" s="46" t="n">
        <x:f>B1340^2</x:f>
        <x:v>0.04698928282448681</x:v>
      </x:c>
      <x:c r="D1340" s="47" t="n">
        <x:f>'Datos'!$B$26^3/3</x:f>
        <x:v>0.3333333333333333</x:v>
      </x:c>
      <x:c r="E1340" s="46" t="n">
        <x:f>D1340*(C1340-1)</x:f>
        <x:v>-0.3176702390585044</x:v>
      </x:c>
      <x:c r="F1340" s="2"/>
      <x:c r="G1340" s="2"/>
      <x:c r="H1340" s="2"/>
    </x:row>
    <x:row r="1341" ht="22" customHeight="1">
      <x:c r="A1341" s="2" t="n">
        <x:v>1335</x:v>
      </x:c>
      <x:c r="B1341" s="79" t="n">
        <x:v>0.4503440954364585</x:v>
      </x:c>
      <x:c r="C1341" s="46" t="n">
        <x:f>B1341^2</x:f>
        <x:v>0.20280980429448203</x:v>
      </x:c>
      <x:c r="D1341" s="47" t="n">
        <x:f>'Datos'!$B$26^3/3</x:f>
        <x:v>0.3333333333333333</x:v>
      </x:c>
      <x:c r="E1341" s="46" t="n">
        <x:f>D1341*(C1341-1)</x:f>
        <x:v>-0.2657300652351726</x:v>
      </x:c>
      <x:c r="F1341" s="2"/>
      <x:c r="G1341" s="2"/>
      <x:c r="H1341" s="2"/>
    </x:row>
    <x:row r="1342" ht="22" customHeight="1">
      <x:c r="A1342" s="2" t="n">
        <x:v>1336</x:v>
      </x:c>
      <x:c r="B1342" s="79" t="n">
        <x:v>0.5677348201825055</x:v>
      </x:c>
      <x:c r="C1342" s="46" t="n">
        <x:f>B1342^2</x:f>
        <x:v>0.3223228260476619</x:v>
      </x:c>
      <x:c r="D1342" s="47" t="n">
        <x:f>'Datos'!$B$26^3/3</x:f>
        <x:v>0.3333333333333333</x:v>
      </x:c>
      <x:c r="E1342" s="46" t="n">
        <x:f>D1342*(C1342-1)</x:f>
        <x:v>-0.22589239131744604</x:v>
      </x:c>
      <x:c r="F1342" s="2"/>
      <x:c r="G1342" s="2"/>
      <x:c r="H1342" s="2"/>
    </x:row>
    <x:row r="1343" ht="22" customHeight="1">
      <x:c r="A1343" s="2" t="n">
        <x:v>1337</x:v>
      </x:c>
      <x:c r="B1343" s="79" t="n">
        <x:v>-1.6117643299762607</x:v>
      </x:c>
      <x:c r="C1343" s="46" t="n">
        <x:f>B1343^2</x:f>
        <x:v>2.5977842553838246</x:v>
      </x:c>
      <x:c r="D1343" s="47" t="n">
        <x:f>'Datos'!$B$26^3/3</x:f>
        <x:v>0.3333333333333333</x:v>
      </x:c>
      <x:c r="E1343" s="46" t="n">
        <x:f>D1343*(C1343-1)</x:f>
        <x:v>0.5325947517946081</x:v>
      </x:c>
      <x:c r="F1343" s="2"/>
      <x:c r="G1343" s="2"/>
      <x:c r="H1343" s="2"/>
    </x:row>
    <x:row r="1344" ht="22" customHeight="1">
      <x:c r="A1344" s="2" t="n">
        <x:v>1338</x:v>
      </x:c>
      <x:c r="B1344" s="79" t="n">
        <x:v>1.4390336994493738</x:v>
      </x:c>
      <x:c r="C1344" s="46" t="n">
        <x:f>B1344^2</x:f>
        <x:v>2.0708179881509508</x:v>
      </x:c>
      <x:c r="D1344" s="47" t="n">
        <x:f>'Datos'!$B$26^3/3</x:f>
        <x:v>0.3333333333333333</x:v>
      </x:c>
      <x:c r="E1344" s="46" t="n">
        <x:f>D1344*(C1344-1)</x:f>
        <x:v>0.35693932938365025</x:v>
      </x:c>
      <x:c r="F1344" s="2"/>
      <x:c r="G1344" s="2"/>
      <x:c r="H1344" s="2"/>
    </x:row>
    <x:row r="1345" ht="22" customHeight="1">
      <x:c r="A1345" s="2" t="n">
        <x:v>1339</x:v>
      </x:c>
      <x:c r="B1345" s="79" t="n">
        <x:v>-1.5561942728870088</x:v>
      </x:c>
      <x:c r="C1345" s="46" t="n">
        <x:f>B1345^2</x:f>
        <x:v>2.421740614966326</x:v>
      </x:c>
      <x:c r="D1345" s="47" t="n">
        <x:f>'Datos'!$B$26^3/3</x:f>
        <x:v>0.3333333333333333</x:v>
      </x:c>
      <x:c r="E1345" s="46" t="n">
        <x:f>D1345*(C1345-1)</x:f>
        <x:v>0.4739135383221087</x:v>
      </x:c>
      <x:c r="F1345" s="2"/>
      <x:c r="G1345" s="2"/>
      <x:c r="H1345" s="2"/>
    </x:row>
    <x:row r="1346" ht="22" customHeight="1">
      <x:c r="A1346" s="2" t="n">
        <x:v>1340</x:v>
      </x:c>
      <x:c r="B1346" s="79" t="n">
        <x:v>-0.8587521478843848</x:v>
      </x:c>
      <x:c r="C1346" s="46" t="n">
        <x:f>B1346^2</x:f>
        <x:v>0.7374552514960443</x:v>
      </x:c>
      <x:c r="D1346" s="47" t="n">
        <x:f>'Datos'!$B$26^3/3</x:f>
        <x:v>0.3333333333333333</x:v>
      </x:c>
      <x:c r="E1346" s="46" t="n">
        <x:f>D1346*(C1346-1)</x:f>
        <x:v>-0.08751491616798523</x:v>
      </x:c>
      <x:c r="F1346" s="2"/>
      <x:c r="G1346" s="2"/>
      <x:c r="H1346" s="2"/>
    </x:row>
    <x:row r="1347" ht="22" customHeight="1">
      <x:c r="A1347" s="2" t="n">
        <x:v>1341</x:v>
      </x:c>
      <x:c r="B1347" s="79" t="n">
        <x:v>-0.8988391697267316</x:v>
      </x:c>
      <x:c r="C1347" s="46" t="n">
        <x:f>B1347^2</x:f>
        <x:v>0.8079118530350402</x:v>
      </x:c>
      <x:c r="D1347" s="47" t="n">
        <x:f>'Datos'!$B$26^3/3</x:f>
        <x:v>0.3333333333333333</x:v>
      </x:c>
      <x:c r="E1347" s="46" t="n">
        <x:f>D1347*(C1347-1)</x:f>
        <x:v>-0.06402938232165326</x:v>
      </x:c>
      <x:c r="F1347" s="2"/>
      <x:c r="G1347" s="2"/>
      <x:c r="H1347" s="2"/>
    </x:row>
    <x:row r="1348" ht="22" customHeight="1">
      <x:c r="A1348" s="2" t="n">
        <x:v>1342</x:v>
      </x:c>
      <x:c r="B1348" s="79" t="n">
        <x:v>-0.8638548679624902</x:v>
      </x:c>
      <x:c r="C1348" s="46" t="n">
        <x:f>B1348^2</x:f>
        <x:v>0.7462452329024915</x:v>
      </x:c>
      <x:c r="D1348" s="47" t="n">
        <x:f>'Datos'!$B$26^3/3</x:f>
        <x:v>0.3333333333333333</x:v>
      </x:c>
      <x:c r="E1348" s="46" t="n">
        <x:f>D1348*(C1348-1)</x:f>
        <x:v>-0.08458492236583617</x:v>
      </x:c>
      <x:c r="F1348" s="2"/>
      <x:c r="G1348" s="2"/>
      <x:c r="H1348" s="2"/>
    </x:row>
    <x:row r="1349" ht="22" customHeight="1">
      <x:c r="A1349" s="2" t="n">
        <x:v>1343</x:v>
      </x:c>
      <x:c r="B1349" s="79" t="n">
        <x:v>1.1146679167842095</x:v>
      </x:c>
      <x:c r="C1349" s="46" t="n">
        <x:f>B1349^2</x:f>
        <x:v>1.2424845647080494</x:v>
      </x:c>
      <x:c r="D1349" s="47" t="n">
        <x:f>'Datos'!$B$26^3/3</x:f>
        <x:v>0.3333333333333333</x:v>
      </x:c>
      <x:c r="E1349" s="46" t="n">
        <x:f>D1349*(C1349-1)</x:f>
        <x:v>0.08082818823601645</x:v>
      </x:c>
      <x:c r="F1349" s="2"/>
      <x:c r="G1349" s="2"/>
      <x:c r="H1349" s="2"/>
    </x:row>
    <x:row r="1350" ht="22" customHeight="1">
      <x:c r="A1350" s="2" t="n">
        <x:v>1344</x:v>
      </x:c>
      <x:c r="B1350" s="79" t="n">
        <x:v>0.36218384052219454</x:v>
      </x:c>
      <x:c r="C1350" s="46" t="n">
        <x:f>B1350^2</x:f>
        <x:v>0.13117713433540645</x:v>
      </x:c>
      <x:c r="D1350" s="47" t="n">
        <x:f>'Datos'!$B$26^3/3</x:f>
        <x:v>0.3333333333333333</x:v>
      </x:c>
      <x:c r="E1350" s="46" t="n">
        <x:f>D1350*(C1350-1)</x:f>
        <x:v>-0.28960762188819783</x:v>
      </x:c>
      <x:c r="F1350" s="2"/>
      <x:c r="G1350" s="2"/>
      <x:c r="H1350" s="2"/>
    </x:row>
    <x:row r="1351" ht="22" customHeight="1">
      <x:c r="A1351" s="2" t="n">
        <x:v>1345</x:v>
      </x:c>
      <x:c r="B1351" s="79" t="n">
        <x:v>0.5318421596248942</x:v>
      </x:c>
      <x:c r="C1351" s="46" t="n">
        <x:f>B1351^2</x:f>
        <x:v>0.2828560827544715</x:v>
      </x:c>
      <x:c r="D1351" s="47" t="n">
        <x:f>'Datos'!$B$26^3/3</x:f>
        <x:v>0.3333333333333333</x:v>
      </x:c>
      <x:c r="E1351" s="46" t="n">
        <x:f>D1351*(C1351-1)</x:f>
        <x:v>-0.23904797241517617</x:v>
      </x:c>
      <x:c r="F1351" s="2"/>
      <x:c r="G1351" s="2"/>
      <x:c r="H1351" s="2"/>
    </x:row>
    <x:row r="1352" ht="22" customHeight="1">
      <x:c r="A1352" s="2" t="n">
        <x:v>1346</x:v>
      </x:c>
      <x:c r="B1352" s="79" t="n">
        <x:v>-0.3490480793675977</x:v>
      </x:c>
      <x:c r="C1352" s="46" t="n">
        <x:f>B1352^2</x:f>
        <x:v>0.12183456171020877</x:v>
      </x:c>
      <x:c r="D1352" s="47" t="n">
        <x:f>'Datos'!$B$26^3/3</x:f>
        <x:v>0.3333333333333333</x:v>
      </x:c>
      <x:c r="E1352" s="46" t="n">
        <x:f>D1352*(C1352-1)</x:f>
        <x:v>-0.2927218127632637</x:v>
      </x:c>
      <x:c r="F1352" s="2"/>
      <x:c r="G1352" s="2"/>
      <x:c r="H1352" s="2"/>
    </x:row>
    <x:row r="1353" ht="22" customHeight="1">
      <x:c r="A1353" s="2" t="n">
        <x:v>1347</x:v>
      </x:c>
      <x:c r="B1353" s="79" t="n">
        <x:v>-0.33730778774646814</x:v>
      </x:c>
      <x:c r="C1353" s="46" t="n">
        <x:f>B1353^2</x:f>
        <x:v>0.1137765436744164</x:v>
      </x:c>
      <x:c r="D1353" s="47" t="n">
        <x:f>'Datos'!$B$26^3/3</x:f>
        <x:v>0.3333333333333333</x:v>
      </x:c>
      <x:c r="E1353" s="46" t="n">
        <x:f>D1353*(C1353-1)</x:f>
        <x:v>-0.2954078187751945</x:v>
      </x:c>
      <x:c r="F1353" s="2"/>
      <x:c r="G1353" s="2"/>
      <x:c r="H1353" s="2"/>
    </x:row>
    <x:row r="1354" ht="22" customHeight="1">
      <x:c r="A1354" s="2" t="n">
        <x:v>1348</x:v>
      </x:c>
      <x:c r="B1354" s="79" t="n">
        <x:v>-0.0026752480053697804</x:v>
      </x:c>
      <x:c r="C1354" s="46" t="n">
        <x:f>B1354^2</x:f>
        <x:v>0.000007156951890234989</x:v>
      </x:c>
      <x:c r="D1354" s="47" t="n">
        <x:f>'Datos'!$B$26^3/3</x:f>
        <x:v>0.3333333333333333</x:v>
      </x:c>
      <x:c r="E1354" s="46" t="n">
        <x:f>D1354*(C1354-1)</x:f>
        <x:v>-0.3333309476827032</x:v>
      </x:c>
      <x:c r="F1354" s="2"/>
      <x:c r="G1354" s="2"/>
      <x:c r="H1354" s="2"/>
    </x:row>
    <x:row r="1355" ht="22" customHeight="1">
      <x:c r="A1355" s="2" t="n">
        <x:v>1349</x:v>
      </x:c>
      <x:c r="B1355" s="79" t="n">
        <x:v>-1.2641709252024185</x:v>
      </x:c>
      <x:c r="C1355" s="46" t="n">
        <x:f>B1355^2</x:f>
        <x:v>1.5981281281271387</x:v>
      </x:c>
      <x:c r="D1355" s="47" t="n">
        <x:f>'Datos'!$B$26^3/3</x:f>
        <x:v>0.3333333333333333</x:v>
      </x:c>
      <x:c r="E1355" s="46" t="n">
        <x:f>D1355*(C1355-1)</x:f>
        <x:v>0.19937604270904621</x:v>
      </x:c>
      <x:c r="F1355" s="2"/>
      <x:c r="G1355" s="2"/>
      <x:c r="H1355" s="2"/>
    </x:row>
    <x:row r="1356" ht="22" customHeight="1">
      <x:c r="A1356" s="2" t="n">
        <x:v>1350</x:v>
      </x:c>
      <x:c r="B1356" s="79" t="n">
        <x:v>-0.22776860416922146</x:v>
      </x:c>
      <x:c r="C1356" s="46" t="n">
        <x:f>B1356^2</x:f>
        <x:v>0.05187853704519549</x:v>
      </x:c>
      <x:c r="D1356" s="47" t="n">
        <x:f>'Datos'!$B$26^3/3</x:f>
        <x:v>0.3333333333333333</x:v>
      </x:c>
      <x:c r="E1356" s="46" t="n">
        <x:f>D1356*(C1356-1)</x:f>
        <x:v>-0.3160404876516015</x:v>
      </x:c>
      <x:c r="F1356" s="2"/>
      <x:c r="G1356" s="2"/>
      <x:c r="H1356" s="2"/>
    </x:row>
    <x:row r="1357" ht="22" customHeight="1">
      <x:c r="A1357" s="2" t="n">
        <x:v>1351</x:v>
      </x:c>
      <x:c r="B1357" s="79" t="n">
        <x:v>0.22587061197697453</x:v>
      </x:c>
      <x:c r="C1357" s="46" t="n">
        <x:f>B1357^2</x:f>
        <x:v>0.05101753335485299</x:v>
      </x:c>
      <x:c r="D1357" s="47" t="n">
        <x:f>'Datos'!$B$26^3/3</x:f>
        <x:v>0.3333333333333333</x:v>
      </x:c>
      <x:c r="E1357" s="46" t="n">
        <x:f>D1357*(C1357-1)</x:f>
        <x:v>-0.31632748888171563</x:v>
      </x:c>
      <x:c r="F1357" s="2"/>
      <x:c r="G1357" s="2"/>
      <x:c r="H1357" s="2"/>
    </x:row>
    <x:row r="1358" ht="22" customHeight="1">
      <x:c r="A1358" s="2" t="n">
        <x:v>1352</x:v>
      </x:c>
      <x:c r="B1358" s="79" t="n">
        <x:v>0.7423479576079057</x:v>
      </x:c>
      <x:c r="C1358" s="46" t="n">
        <x:f>B1358^2</x:f>
        <x:v>0.551080490164629</x:v>
      </x:c>
      <x:c r="D1358" s="47" t="n">
        <x:f>'Datos'!$B$26^3/3</x:f>
        <x:v>0.3333333333333333</x:v>
      </x:c>
      <x:c r="E1358" s="46" t="n">
        <x:f>D1358*(C1358-1)</x:f>
        <x:v>-0.1496398366117903</x:v>
      </x:c>
      <x:c r="F1358" s="2"/>
      <x:c r="G1358" s="2"/>
      <x:c r="H1358" s="2"/>
    </x:row>
    <x:row r="1359" ht="22" customHeight="1">
      <x:c r="A1359" s="2" t="n">
        <x:v>1353</x:v>
      </x:c>
      <x:c r="B1359" s="79" t="n">
        <x:v>0.9331935867185797</x:v>
      </x:c>
      <x:c r="C1359" s="46" t="n">
        <x:f>B1359^2</x:f>
        <x:v>0.8708502702926872</x:v>
      </x:c>
      <x:c r="D1359" s="47" t="n">
        <x:f>'Datos'!$B$26^3/3</x:f>
        <x:v>0.3333333333333333</x:v>
      </x:c>
      <x:c r="E1359" s="46" t="n">
        <x:f>D1359*(C1359-1)</x:f>
        <x:v>-0.04304990990243758</x:v>
      </x:c>
      <x:c r="F1359" s="2"/>
      <x:c r="G1359" s="2"/>
      <x:c r="H1359" s="2"/>
    </x:row>
    <x:row r="1360" ht="22" customHeight="1">
      <x:c r="A1360" s="2" t="n">
        <x:v>1354</x:v>
      </x:c>
      <x:c r="B1360" s="79" t="n">
        <x:v>-0.040444901777266784</x:v>
      </x:c>
      <x:c r="C1360" s="46" t="n">
        <x:f>B1360^2</x:f>
        <x:v>0.0016357900797727579</x:v>
      </x:c>
      <x:c r="D1360" s="47" t="n">
        <x:f>'Datos'!$B$26^3/3</x:f>
        <x:v>0.3333333333333333</x:v>
      </x:c>
      <x:c r="E1360" s="46" t="n">
        <x:f>D1360*(C1360-1)</x:f>
        <x:v>-0.33278806997340904</x:v>
      </x:c>
      <x:c r="F1360" s="2"/>
      <x:c r="G1360" s="2"/>
      <x:c r="H1360" s="2"/>
    </x:row>
    <x:row r="1361" ht="22" customHeight="1">
      <x:c r="A1361" s="2" t="n">
        <x:v>1355</x:v>
      </x:c>
      <x:c r="B1361" s="79" t="n">
        <x:v>-0.6594913337565935</x:v>
      </x:c>
      <x:c r="C1361" s="46" t="n">
        <x:f>B1361^2</x:f>
        <x:v>0.4349288193000506</x:v>
      </x:c>
      <x:c r="D1361" s="47" t="n">
        <x:f>'Datos'!$B$26^3/3</x:f>
        <x:v>0.3333333333333333</x:v>
      </x:c>
      <x:c r="E1361" s="46" t="n">
        <x:f>D1361*(C1361-1)</x:f>
        <x:v>-0.18835706023331644</x:v>
      </x:c>
      <x:c r="F1361" s="2"/>
      <x:c r="G1361" s="2"/>
      <x:c r="H1361" s="2"/>
    </x:row>
    <x:row r="1362" ht="22" customHeight="1">
      <x:c r="A1362" s="2" t="n">
        <x:v>1356</x:v>
      </x:c>
      <x:c r="B1362" s="79" t="n">
        <x:v>1.4037229323817204</x:v>
      </x:c>
      <x:c r="C1362" s="46" t="n">
        <x:f>B1362^2</x:f>
        <x:v>1.970438070894336</x:v>
      </x:c>
      <x:c r="D1362" s="47" t="n">
        <x:f>'Datos'!$B$26^3/3</x:f>
        <x:v>0.3333333333333333</x:v>
      </x:c>
      <x:c r="E1362" s="46" t="n">
        <x:f>D1362*(C1362-1)</x:f>
        <x:v>0.3234793569647787</x:v>
      </x:c>
      <x:c r="F1362" s="2"/>
      <x:c r="G1362" s="2"/>
      <x:c r="H1362" s="2"/>
    </x:row>
    <x:row r="1363" ht="22" customHeight="1">
      <x:c r="A1363" s="2" t="n">
        <x:v>1357</x:v>
      </x:c>
      <x:c r="B1363" s="79" t="n">
        <x:v>0.6708752599068655</x:v>
      </x:c>
      <x:c r="C1363" s="46" t="n">
        <x:f>B1363^2</x:f>
        <x:v>0.4500736143551043</x:v>
      </x:c>
      <x:c r="D1363" s="47" t="n">
        <x:f>'Datos'!$B$26^3/3</x:f>
        <x:v>0.3333333333333333</x:v>
      </x:c>
      <x:c r="E1363" s="46" t="n">
        <x:f>D1363*(C1363-1)</x:f>
        <x:v>-0.18330879521496524</x:v>
      </x:c>
      <x:c r="F1363" s="2"/>
      <x:c r="G1363" s="2"/>
      <x:c r="H1363" s="2"/>
    </x:row>
    <x:row r="1364" ht="22" customHeight="1">
      <x:c r="A1364" s="2" t="n">
        <x:v>1358</x:v>
      </x:c>
      <x:c r="B1364" s="79" t="n">
        <x:v>0.9563740128869745</x:v>
      </x:c>
      <x:c r="C1364" s="46" t="n">
        <x:f>B1364^2</x:f>
        <x:v>0.9146512525255349</x:v>
      </x:c>
      <x:c r="D1364" s="47" t="n">
        <x:f>'Datos'!$B$26^3/3</x:f>
        <x:v>0.3333333333333333</x:v>
      </x:c>
      <x:c r="E1364" s="46" t="n">
        <x:f>D1364*(C1364-1)</x:f>
        <x:v>-0.028449582491488358</x:v>
      </x:c>
      <x:c r="F1364" s="2"/>
      <x:c r="G1364" s="2"/>
      <x:c r="H1364" s="2"/>
    </x:row>
    <x:row r="1365" ht="22" customHeight="1">
      <x:c r="A1365" s="2" t="n">
        <x:v>1359</x:v>
      </x:c>
      <x:c r="B1365" s="79" t="n">
        <x:v>-1.3009965143237596</x:v>
      </x:c>
      <x:c r="C1365" s="46" t="n">
        <x:f>B1365^2</x:f>
        <x:v>1.6925919302825725</x:v>
      </x:c>
      <x:c r="D1365" s="47" t="n">
        <x:f>'Datos'!$B$26^3/3</x:f>
        <x:v>0.3333333333333333</x:v>
      </x:c>
      <x:c r="E1365" s="46" t="n">
        <x:f>D1365*(C1365-1)</x:f>
        <x:v>0.2308639767608575</x:v>
      </x:c>
      <x:c r="F1365" s="2"/>
      <x:c r="G1365" s="2"/>
      <x:c r="H1365" s="2"/>
    </x:row>
    <x:row r="1366" ht="22" customHeight="1">
      <x:c r="A1366" s="2" t="n">
        <x:v>1360</x:v>
      </x:c>
      <x:c r="B1366" s="79" t="n">
        <x:v>-0.6438143095330645</x:v>
      </x:c>
      <x:c r="C1366" s="46" t="n">
        <x:f>B1366^2</x:f>
        <x:v>0.4144968651595366</x:v>
      </x:c>
      <x:c r="D1366" s="47" t="n">
        <x:f>'Datos'!$B$26^3/3</x:f>
        <x:v>0.3333333333333333</x:v>
      </x:c>
      <x:c r="E1366" s="46" t="n">
        <x:f>D1366*(C1366-1)</x:f>
        <x:v>-0.19516771161348778</x:v>
      </x:c>
      <x:c r="F1366" s="2"/>
      <x:c r="G1366" s="2"/>
      <x:c r="H1366" s="2"/>
    </x:row>
    <x:row r="1367" ht="22" customHeight="1">
      <x:c r="A1367" s="2" t="n">
        <x:v>1361</x:v>
      </x:c>
      <x:c r="B1367" s="79" t="n">
        <x:v>-1.0242944172719577</x:v>
      </x:c>
      <x:c r="C1367" s="46" t="n">
        <x:f>B1367^2</x:f>
        <x:v>1.0491790532544993</x:v>
      </x:c>
      <x:c r="D1367" s="47" t="n">
        <x:f>'Datos'!$B$26^3/3</x:f>
        <x:v>0.3333333333333333</x:v>
      </x:c>
      <x:c r="E1367" s="46" t="n">
        <x:f>D1367*(C1367-1)</x:f>
        <x:v>0.01639301775149978</x:v>
      </x:c>
      <x:c r="F1367" s="2"/>
      <x:c r="G1367" s="2"/>
      <x:c r="H1367" s="2"/>
    </x:row>
    <x:row r="1368" ht="22" customHeight="1">
      <x:c r="A1368" s="2" t="n">
        <x:v>1362</x:v>
      </x:c>
      <x:c r="B1368" s="79" t="n">
        <x:v>0.2080869468776524</x:v>
      </x:c>
      <x:c r="C1368" s="46" t="n">
        <x:f>B1368^2</x:f>
        <x:v>0.043300177460862926</x:v>
      </x:c>
      <x:c r="D1368" s="47" t="n">
        <x:f>'Datos'!$B$26^3/3</x:f>
        <x:v>0.3333333333333333</x:v>
      </x:c>
      <x:c r="E1368" s="46" t="n">
        <x:f>D1368*(C1368-1)</x:f>
        <x:v>-0.318899940846379</x:v>
      </x:c>
      <x:c r="F1368" s="2"/>
      <x:c r="G1368" s="2"/>
      <x:c r="H1368" s="2"/>
    </x:row>
    <x:row r="1369" ht="22" customHeight="1">
      <x:c r="A1369" s="2" t="n">
        <x:v>1363</x:v>
      </x:c>
      <x:c r="B1369" s="79" t="n">
        <x:v>1.5026029196193686</x:v>
      </x:c>
      <x:c r="C1369" s="46" t="n">
        <x:f>B1369^2</x:f>
        <x:v>2.257815534048651</x:v>
      </x:c>
      <x:c r="D1369" s="47" t="n">
        <x:f>'Datos'!$B$26^3/3</x:f>
        <x:v>0.3333333333333333</x:v>
      </x:c>
      <x:c r="E1369" s="46" t="n">
        <x:f>D1369*(C1369-1)</x:f>
        <x:v>0.41927184468288364</x:v>
      </x:c>
      <x:c r="F1369" s="2"/>
      <x:c r="G1369" s="2"/>
      <x:c r="H1369" s="2"/>
    </x:row>
    <x:row r="1370" ht="22" customHeight="1">
      <x:c r="A1370" s="2" t="n">
        <x:v>1364</x:v>
      </x:c>
      <x:c r="B1370" s="79" t="n">
        <x:v>-0.3308890058369044</x:v>
      </x:c>
      <x:c r="C1370" s="46" t="n">
        <x:f>B1370^2</x:f>
        <x:v>0.10948753418373496</x:v>
      </x:c>
      <x:c r="D1370" s="47" t="n">
        <x:f>'Datos'!$B$26^3/3</x:f>
        <x:v>0.3333333333333333</x:v>
      </x:c>
      <x:c r="E1370" s="46" t="n">
        <x:f>D1370*(C1370-1)</x:f>
        <x:v>-0.2968374886054217</x:v>
      </x:c>
      <x:c r="F1370" s="2"/>
      <x:c r="G1370" s="2"/>
      <x:c r="H1370" s="2"/>
    </x:row>
    <x:row r="1371" ht="22" customHeight="1">
      <x:c r="A1371" s="2" t="n">
        <x:v>1365</x:v>
      </x:c>
      <x:c r="B1371" s="79" t="n">
        <x:v>0.29790782353505835</x:v>
      </x:c>
      <x:c r="C1371" s="46" t="n">
        <x:f>B1371^2</x:f>
        <x:v>0.08874907132339546</x:v>
      </x:c>
      <x:c r="D1371" s="47" t="n">
        <x:f>'Datos'!$B$26^3/3</x:f>
        <x:v>0.3333333333333333</x:v>
      </x:c>
      <x:c r="E1371" s="46" t="n">
        <x:f>D1371*(C1371-1)</x:f>
        <x:v>-0.30375030955886817</x:v>
      </x:c>
      <x:c r="F1371" s="2"/>
      <x:c r="G1371" s="2"/>
      <x:c r="H1371" s="2"/>
    </x:row>
    <x:row r="1372" ht="22" customHeight="1">
      <x:c r="A1372" s="2" t="n">
        <x:v>1366</x:v>
      </x:c>
      <x:c r="B1372" s="79" t="n">
        <x:v>0.9151091042356959</x:v>
      </x:c>
      <x:c r="C1372" s="46" t="n">
        <x:f>B1372^2</x:f>
        <x:v>0.8374246726550578</x:v>
      </x:c>
      <x:c r="D1372" s="47" t="n">
        <x:f>'Datos'!$B$26^3/3</x:f>
        <x:v>0.3333333333333333</x:v>
      </x:c>
      <x:c r="E1372" s="46" t="n">
        <x:f>D1372*(C1372-1)</x:f>
        <x:v>-0.05419177578164739</x:v>
      </x:c>
      <x:c r="F1372" s="2"/>
      <x:c r="G1372" s="2"/>
      <x:c r="H1372" s="2"/>
    </x:row>
    <x:row r="1373" ht="22" customHeight="1">
      <x:c r="A1373" s="2" t="n">
        <x:v>1367</x:v>
      </x:c>
      <x:c r="B1373" s="79" t="n">
        <x:v>-1.1721324738434853</x:v>
      </x:c>
      <x:c r="C1373" s="46" t="n">
        <x:f>B1373^2</x:f>
        <x:v>1.3738945362384487</x:v>
      </x:c>
      <x:c r="D1373" s="47" t="n">
        <x:f>'Datos'!$B$26^3/3</x:f>
        <x:v>0.3333333333333333</x:v>
      </x:c>
      <x:c r="E1373" s="46" t="n">
        <x:f>D1373*(C1373-1)</x:f>
        <x:v>0.12463151207948289</x:v>
      </x:c>
      <x:c r="F1373" s="2"/>
      <x:c r="G1373" s="2"/>
      <x:c r="H1373" s="2"/>
    </x:row>
    <x:row r="1374" ht="22" customHeight="1">
      <x:c r="A1374" s="2" t="n">
        <x:v>1368</x:v>
      </x:c>
      <x:c r="B1374" s="79" t="n">
        <x:v>-1.1684310219025071</x:v>
      </x:c>
      <x:c r="C1374" s="46" t="n">
        <x:f>B1374^2</x:f>
        <x:v>1.3652310529441372</x:v>
      </x:c>
      <x:c r="D1374" s="47" t="n">
        <x:f>'Datos'!$B$26^3/3</x:f>
        <x:v>0.3333333333333333</x:v>
      </x:c>
      <x:c r="E1374" s="46" t="n">
        <x:f>D1374*(C1374-1)</x:f>
        <x:v>0.12174368431471239</x:v>
      </x:c>
      <x:c r="F1374" s="2"/>
      <x:c r="G1374" s="2"/>
      <x:c r="H1374" s="2"/>
    </x:row>
    <x:row r="1375" ht="22" customHeight="1">
      <x:c r="A1375" s="2" t="n">
        <x:v>1369</x:v>
      </x:c>
      <x:c r="B1375" s="79" t="n">
        <x:v>0.0786992155083589</x:v>
      </x:c>
      <x:c r="C1375" s="46" t="n">
        <x:f>B1375^2</x:f>
        <x:v>0.006193566521631118</x:v>
      </x:c>
      <x:c r="D1375" s="47" t="n">
        <x:f>'Datos'!$B$26^3/3</x:f>
        <x:v>0.3333333333333333</x:v>
      </x:c>
      <x:c r="E1375" s="46" t="n">
        <x:f>D1375*(C1375-1)</x:f>
        <x:v>-0.3312688111594563</x:v>
      </x:c>
      <x:c r="F1375" s="2"/>
      <x:c r="G1375" s="2"/>
      <x:c r="H1375" s="2"/>
    </x:row>
    <x:row r="1376" ht="22" customHeight="1">
      <x:c r="A1376" s="2" t="n">
        <x:v>1370</x:v>
      </x:c>
      <x:c r="B1376" s="79" t="n">
        <x:v>0.16440361761548655</x:v>
      </x:c>
      <x:c r="C1376" s="46" t="n">
        <x:f>B1376^2</x:f>
        <x:v>0.02702854948505912</x:v>
      </x:c>
      <x:c r="D1376" s="47" t="n">
        <x:f>'Datos'!$B$26^3/3</x:f>
        <x:v>0.3333333333333333</x:v>
      </x:c>
      <x:c r="E1376" s="46" t="n">
        <x:f>D1376*(C1376-1)</x:f>
        <x:v>-0.32432381683831357</x:v>
      </x:c>
      <x:c r="F1376" s="2"/>
      <x:c r="G1376" s="2"/>
      <x:c r="H1376" s="2"/>
    </x:row>
    <x:row r="1377" ht="22" customHeight="1">
      <x:c r="A1377" s="2" t="n">
        <x:v>1371</x:v>
      </x:c>
      <x:c r="B1377" s="79" t="n">
        <x:v>-0.7058189948499628</x:v>
      </x:c>
      <x:c r="C1377" s="46" t="n">
        <x:f>B1377^2</x:f>
        <x:v>0.4981804534910118</x:v>
      </x:c>
      <x:c r="D1377" s="47" t="n">
        <x:f>'Datos'!$B$26^3/3</x:f>
        <x:v>0.3333333333333333</x:v>
      </x:c>
      <x:c r="E1377" s="46" t="n">
        <x:f>D1377*(C1377-1)</x:f>
        <x:v>-0.16727318216966272</x:v>
      </x:c>
      <x:c r="F1377" s="2"/>
      <x:c r="G1377" s="2"/>
      <x:c r="H1377" s="2"/>
    </x:row>
    <x:row r="1378" ht="22" customHeight="1">
      <x:c r="A1378" s="2" t="n">
        <x:v>1372</x:v>
      </x:c>
      <x:c r="B1378" s="79" t="n">
        <x:v>0.8330712519220537</x:v>
      </x:c>
      <x:c r="C1378" s="46" t="n">
        <x:f>B1378^2</x:f>
        <x:v>0.6940077107789778</x:v>
      </x:c>
      <x:c r="D1378" s="47" t="n">
        <x:f>'Datos'!$B$26^3/3</x:f>
        <x:v>0.3333333333333333</x:v>
      </x:c>
      <x:c r="E1378" s="46" t="n">
        <x:f>D1378*(C1378-1)</x:f>
        <x:v>-0.10199742974034072</x:v>
      </x:c>
      <x:c r="F1378" s="2"/>
      <x:c r="G1378" s="2"/>
      <x:c r="H1378" s="2"/>
    </x:row>
    <x:row r="1379" ht="22" customHeight="1">
      <x:c r="A1379" s="2" t="n">
        <x:v>1373</x:v>
      </x:c>
      <x:c r="B1379" s="79" t="n">
        <x:v>-0.752567511831029</x:v>
      </x:c>
      <x:c r="C1379" s="46" t="n">
        <x:f>B1379^2</x:f>
        <x:v>0.5663578598635459</x:v>
      </x:c>
      <x:c r="D1379" s="47" t="n">
        <x:f>'Datos'!$B$26^3/3</x:f>
        <x:v>0.3333333333333333</x:v>
      </x:c>
      <x:c r="E1379" s="46" t="n">
        <x:f>D1379*(C1379-1)</x:f>
        <x:v>-0.14454738004548467</x:v>
      </x:c>
      <x:c r="F1379" s="2"/>
      <x:c r="G1379" s="2"/>
      <x:c r="H1379" s="2"/>
    </x:row>
    <x:row r="1380" ht="22" customHeight="1">
      <x:c r="A1380" s="2" t="n">
        <x:v>1374</x:v>
      </x:c>
      <x:c r="B1380" s="79" t="n">
        <x:v>-0.15370856848638836</x:v>
      </x:c>
      <x:c r="C1380" s="46" t="n">
        <x:f>B1380^2</x:f>
        <x:v>0.02362632402613474</x:v>
      </x:c>
      <x:c r="D1380" s="47" t="n">
        <x:f>'Datos'!$B$26^3/3</x:f>
        <x:v>0.3333333333333333</x:v>
      </x:c>
      <x:c r="E1380" s="46" t="n">
        <x:f>D1380*(C1380-1)</x:f>
        <x:v>-0.3254578919912884</x:v>
      </x:c>
      <x:c r="F1380" s="2"/>
      <x:c r="G1380" s="2"/>
      <x:c r="H1380" s="2"/>
    </x:row>
    <x:row r="1381" ht="22" customHeight="1">
      <x:c r="A1381" s="2" t="n">
        <x:v>1375</x:v>
      </x:c>
      <x:c r="B1381" s="79" t="n">
        <x:v>0.392253089213379</x:v>
      </x:c>
      <x:c r="C1381" s="46" t="n">
        <x:f>B1381^2</x:f>
        <x:v>0.15386248599743904</x:v>
      </x:c>
      <x:c r="D1381" s="47" t="n">
        <x:f>'Datos'!$B$26^3/3</x:f>
        <x:v>0.3333333333333333</x:v>
      </x:c>
      <x:c r="E1381" s="46" t="n">
        <x:f>D1381*(C1381-1)</x:f>
        <x:v>-0.28204583800085364</x:v>
      </x:c>
      <x:c r="F1381" s="2"/>
      <x:c r="G1381" s="2"/>
      <x:c r="H1381" s="2"/>
    </x:row>
    <x:row r="1382" ht="22" customHeight="1">
      <x:c r="A1382" s="2" t="n">
        <x:v>1376</x:v>
      </x:c>
      <x:c r="B1382" s="79" t="n">
        <x:v>-2.371946322774366</x:v>
      </x:c>
      <x:c r="C1382" s="46" t="n">
        <x:f>B1382^2</x:f>
        <x:v>5.626129358122836</x:v>
      </x:c>
      <x:c r="D1382" s="47" t="n">
        <x:f>'Datos'!$B$26^3/3</x:f>
        <x:v>0.3333333333333333</x:v>
      </x:c>
      <x:c r="E1382" s="46" t="n">
        <x:f>D1382*(C1382-1)</x:f>
        <x:v>1.5420431193742785</x:v>
      </x:c>
      <x:c r="F1382" s="2"/>
      <x:c r="G1382" s="2"/>
      <x:c r="H1382" s="2"/>
    </x:row>
    <x:row r="1383" ht="22" customHeight="1">
      <x:c r="A1383" s="2" t="n">
        <x:v>1377</x:v>
      </x:c>
      <x:c r="B1383" s="79" t="n">
        <x:v>0.727624693582908</x:v>
      </x:c>
      <x:c r="C1383" s="46" t="n">
        <x:f>B1383^2</x:f>
        <x:v>0.5294376947116208</x:v>
      </x:c>
      <x:c r="D1383" s="47" t="n">
        <x:f>'Datos'!$B$26^3/3</x:f>
        <x:v>0.3333333333333333</x:v>
      </x:c>
      <x:c r="E1383" s="46" t="n">
        <x:f>D1383*(C1383-1)</x:f>
        <x:v>-0.15685410176279305</x:v>
      </x:c>
      <x:c r="F1383" s="2"/>
      <x:c r="G1383" s="2"/>
      <x:c r="H1383" s="2"/>
    </x:row>
    <x:row r="1384" ht="22" customHeight="1">
      <x:c r="A1384" s="2" t="n">
        <x:v>1378</x:v>
      </x:c>
      <x:c r="B1384" s="79" t="n">
        <x:v>0.162842462657617</x:v>
      </x:c>
      <x:c r="C1384" s="46" t="n">
        <x:f>B1384^2</x:f>
        <x:v>0.02651766764439739</x:v>
      </x:c>
      <x:c r="D1384" s="47" t="n">
        <x:f>'Datos'!$B$26^3/3</x:f>
        <x:v>0.3333333333333333</x:v>
      </x:c>
      <x:c r="E1384" s="46" t="n">
        <x:f>D1384*(C1384-1)</x:f>
        <x:v>-0.32449411078520085</x:v>
      </x:c>
      <x:c r="F1384" s="2"/>
      <x:c r="G1384" s="2"/>
      <x:c r="H1384" s="2"/>
    </x:row>
    <x:row r="1385" ht="22" customHeight="1">
      <x:c r="A1385" s="2" t="n">
        <x:v>1379</x:v>
      </x:c>
      <x:c r="B1385" s="79" t="n">
        <x:v>1.5948275554997975</x:v>
      </x:c>
      <x:c r="C1385" s="46" t="n">
        <x:f>B1385^2</x:f>
        <x:v>2.54347493178146</x:v>
      </x:c>
      <x:c r="D1385" s="47" t="n">
        <x:f>'Datos'!$B$26^3/3</x:f>
        <x:v>0.3333333333333333</x:v>
      </x:c>
      <x:c r="E1385" s="46" t="n">
        <x:f>D1385*(C1385-1)</x:f>
        <x:v>0.5144916439271532</x:v>
      </x:c>
      <x:c r="F1385" s="2"/>
      <x:c r="G1385" s="2"/>
      <x:c r="H1385" s="2"/>
    </x:row>
    <x:row r="1386" ht="22" customHeight="1">
      <x:c r="A1386" s="2" t="n">
        <x:v>1380</x:v>
      </x:c>
      <x:c r="B1386" s="79" t="n">
        <x:v>-1.1641618463909138</x:v>
      </x:c>
      <x:c r="C1386" s="46" t="n">
        <x:f>B1386^2</x:f>
        <x:v>1.3552728045923015</x:v>
      </x:c>
      <x:c r="D1386" s="47" t="n">
        <x:f>'Datos'!$B$26^3/3</x:f>
        <x:v>0.3333333333333333</x:v>
      </x:c>
      <x:c r="E1386" s="46" t="n">
        <x:f>D1386*(C1386-1)</x:f>
        <x:v>0.11842426819743382</x:v>
      </x:c>
      <x:c r="F1386" s="2"/>
      <x:c r="G1386" s="2"/>
      <x:c r="H1386" s="2"/>
    </x:row>
    <x:row r="1387" ht="22" customHeight="1">
      <x:c r="A1387" s="2" t="n">
        <x:v>1381</x:v>
      </x:c>
      <x:c r="B1387" s="79" t="n">
        <x:v>-1.1450495114074069</x:v>
      </x:c>
      <x:c r="C1387" s="46" t="n">
        <x:f>B1387^2</x:f>
        <x:v>1.311138383574341</x:v>
      </x:c>
      <x:c r="D1387" s="47" t="n">
        <x:f>'Datos'!$B$26^3/3</x:f>
        <x:v>0.3333333333333333</x:v>
      </x:c>
      <x:c r="E1387" s="46" t="n">
        <x:f>D1387*(C1387-1)</x:f>
        <x:v>0.10371279452478036</x:v>
      </x:c>
      <x:c r="F1387" s="2"/>
      <x:c r="G1387" s="2"/>
      <x:c r="H1387" s="2"/>
    </x:row>
    <x:row r="1388" ht="22" customHeight="1">
      <x:c r="A1388" s="2" t="n">
        <x:v>1382</x:v>
      </x:c>
      <x:c r="B1388" s="79" t="n">
        <x:v>0.0003127051952349506</x:v>
      </x:c>
      <x:c r="C1388" s="46" t="n">
        <x:f>B1388^2</x:f>
        <x:v>9.778453912692856e-8</x:v>
      </x:c>
      <x:c r="D1388" s="47" t="n">
        <x:f>'Datos'!$B$26^3/3</x:f>
        <x:v>0.3333333333333333</x:v>
      </x:c>
      <x:c r="E1388" s="46" t="n">
        <x:f>D1388*(C1388-1)</x:f>
        <x:v>-0.33333330073848694</x:v>
      </x:c>
      <x:c r="F1388" s="2"/>
      <x:c r="G1388" s="2"/>
      <x:c r="H1388" s="2"/>
    </x:row>
    <x:row r="1389" ht="22" customHeight="1">
      <x:c r="A1389" s="2" t="n">
        <x:v>1383</x:v>
      </x:c>
      <x:c r="B1389" s="79" t="n">
        <x:v>-0.30686204529333083</x:v>
      </x:c>
      <x:c r="C1389" s="46" t="n">
        <x:f>B1389^2</x:f>
        <x:v>0.09416431484160623</x:v>
      </x:c>
      <x:c r="D1389" s="47" t="n">
        <x:f>'Datos'!$B$26^3/3</x:f>
        <x:v>0.3333333333333333</x:v>
      </x:c>
      <x:c r="E1389" s="46" t="n">
        <x:f>D1389*(C1389-1)</x:f>
        <x:v>-0.30194522838613125</x:v>
      </x:c>
      <x:c r="F1389" s="2"/>
      <x:c r="G1389" s="2"/>
      <x:c r="H1389" s="2"/>
    </x:row>
    <x:row r="1390" ht="22" customHeight="1">
      <x:c r="A1390" s="2" t="n">
        <x:v>1384</x:v>
      </x:c>
      <x:c r="B1390" s="79" t="n">
        <x:v>-1.0623734392034965</x:v>
      </x:c>
      <x:c r="C1390" s="46" t="n">
        <x:f>B1390^2</x:f>
        <x:v>1.1286373243250651</x:v>
      </x:c>
      <x:c r="D1390" s="47" t="n">
        <x:f>'Datos'!$B$26^3/3</x:f>
        <x:v>0.3333333333333333</x:v>
      </x:c>
      <x:c r="E1390" s="46" t="n">
        <x:f>D1390*(C1390-1)</x:f>
        <x:v>0.042879108108355046</x:v>
      </x:c>
      <x:c r="F1390" s="2"/>
      <x:c r="G1390" s="2"/>
      <x:c r="H1390" s="2"/>
    </x:row>
    <x:row r="1391" ht="22" customHeight="1">
      <x:c r="A1391" s="2" t="n">
        <x:v>1385</x:v>
      </x:c>
      <x:c r="B1391" s="79" t="n">
        <x:v>1.1074346120739034</x:v>
      </x:c>
      <x:c r="C1391" s="46" t="n">
        <x:f>B1391^2</x:f>
        <x:v>1.2264114200192768</x:v>
      </x:c>
      <x:c r="D1391" s="47" t="n">
        <x:f>'Datos'!$B$26^3/3</x:f>
        <x:v>0.3333333333333333</x:v>
      </x:c>
      <x:c r="E1391" s="46" t="n">
        <x:f>D1391*(C1391-1)</x:f>
        <x:v>0.07547047333975894</x:v>
      </x:c>
      <x:c r="F1391" s="2"/>
      <x:c r="G1391" s="2"/>
      <x:c r="H1391" s="2"/>
    </x:row>
    <x:row r="1392" ht="22" customHeight="1">
      <x:c r="A1392" s="2" t="n">
        <x:v>1386</x:v>
      </x:c>
      <x:c r="B1392" s="79" t="n">
        <x:v>-1.3289090004405064</x:v>
      </x:c>
      <x:c r="C1392" s="46" t="n">
        <x:f>B1392^2</x:f>
        <x:v>1.7659991314517858</x:v>
      </x:c>
      <x:c r="D1392" s="47" t="n">
        <x:f>'Datos'!$B$26^3/3</x:f>
        <x:v>0.3333333333333333</x:v>
      </x:c>
      <x:c r="E1392" s="46" t="n">
        <x:f>D1392*(C1392-1)</x:f>
        <x:v>0.2553330438172619</x:v>
      </x:c>
      <x:c r="F1392" s="2"/>
      <x:c r="G1392" s="2"/>
      <x:c r="H1392" s="2"/>
    </x:row>
    <x:row r="1393" ht="22" customHeight="1">
      <x:c r="A1393" s="2" t="n">
        <x:v>1387</x:v>
      </x:c>
      <x:c r="B1393" s="79" t="n">
        <x:v>-0.7715784739001552</x:v>
      </x:c>
      <x:c r="C1393" s="46" t="n">
        <x:f>B1393^2</x:f>
        <x:v>0.5953333413860925</x:v>
      </x:c>
      <x:c r="D1393" s="47" t="n">
        <x:f>'Datos'!$B$26^3/3</x:f>
        <x:v>0.3333333333333333</x:v>
      </x:c>
      <x:c r="E1393" s="46" t="n">
        <x:f>D1393*(C1393-1)</x:f>
        <x:v>-0.13488888620463582</x:v>
      </x:c>
      <x:c r="F1393" s="2"/>
      <x:c r="G1393" s="2"/>
      <x:c r="H1393" s="2"/>
    </x:row>
    <x:row r="1394" ht="22" customHeight="1">
      <x:c r="A1394" s="2" t="n">
        <x:v>1388</x:v>
      </x:c>
      <x:c r="B1394" s="79" t="n">
        <x:v>-2.0747658401506466</x:v>
      </x:c>
      <x:c r="C1394" s="46" t="n">
        <x:f>B1394^2</x:f>
        <x:v>4.3046532914560185</x:v>
      </x:c>
      <x:c r="D1394" s="47" t="n">
        <x:f>'Datos'!$B$26^3/3</x:f>
        <x:v>0.3333333333333333</x:v>
      </x:c>
      <x:c r="E1394" s="46" t="n">
        <x:f>D1394*(C1394-1)</x:f>
        <x:v>1.1015510971520062</x:v>
      </x:c>
      <x:c r="F1394" s="2"/>
      <x:c r="G1394" s="2"/>
      <x:c r="H1394" s="2"/>
    </x:row>
    <x:row r="1395" ht="22" customHeight="1">
      <x:c r="A1395" s="2" t="n">
        <x:v>1389</x:v>
      </x:c>
      <x:c r="B1395" s="79" t="n">
        <x:v>1.1342979817231011</x:v>
      </x:c>
      <x:c r="C1395" s="46" t="n">
        <x:f>B1395^2</x:f>
        <x:v>1.2866319113411007</x:v>
      </x:c>
      <x:c r="D1395" s="47" t="n">
        <x:f>'Datos'!$B$26^3/3</x:f>
        <x:v>0.3333333333333333</x:v>
      </x:c>
      <x:c r="E1395" s="46" t="n">
        <x:f>D1395*(C1395-1)</x:f>
        <x:v>0.09554397044703355</x:v>
      </x:c>
      <x:c r="F1395" s="2"/>
      <x:c r="G1395" s="2"/>
      <x:c r="H1395" s="2"/>
    </x:row>
    <x:row r="1396" ht="22" customHeight="1">
      <x:c r="A1396" s="2" t="n">
        <x:v>1390</x:v>
      </x:c>
      <x:c r="B1396" s="79" t="n">
        <x:v>1.6223199309862584</x:v>
      </x:c>
      <x:c r="C1396" s="46" t="n">
        <x:f>B1396^2</x:f>
        <x:v>2.631921958475258</x:v>
      </x:c>
      <x:c r="D1396" s="47" t="n">
        <x:f>'Datos'!$B$26^3/3</x:f>
        <x:v>0.3333333333333333</x:v>
      </x:c>
      <x:c r="E1396" s="46" t="n">
        <x:f>D1396*(C1396-1)</x:f>
        <x:v>0.5439739861584193</x:v>
      </x:c>
      <x:c r="F1396" s="2"/>
      <x:c r="G1396" s="2"/>
      <x:c r="H1396" s="2"/>
    </x:row>
    <x:row r="1397" ht="22" customHeight="1">
      <x:c r="A1397" s="2" t="n">
        <x:v>1391</x:v>
      </x:c>
      <x:c r="B1397" s="79" t="n">
        <x:v>0.32731657928086716</x:v>
      </x:c>
      <x:c r="C1397" s="46" t="n">
        <x:f>B1397^2</x:f>
        <x:v>0.1071361430721282</x:v>
      </x:c>
      <x:c r="D1397" s="47" t="n">
        <x:f>'Datos'!$B$26^3/3</x:f>
        <x:v>0.3333333333333333</x:v>
      </x:c>
      <x:c r="E1397" s="46" t="n">
        <x:f>D1397*(C1397-1)</x:f>
        <x:v>-0.2976212856426239</x:v>
      </x:c>
      <x:c r="F1397" s="2"/>
      <x:c r="G1397" s="2"/>
      <x:c r="H1397" s="2"/>
    </x:row>
    <x:row r="1398" ht="22" customHeight="1">
      <x:c r="A1398" s="2" t="n">
        <x:v>1392</x:v>
      </x:c>
      <x:c r="B1398" s="79" t="n">
        <x:v>1.090210872778616</x:v>
      </x:c>
      <x:c r="C1398" s="46" t="n">
        <x:f>B1398^2</x:f>
        <x:v>1.1885597471247116</x:v>
      </x:c>
      <x:c r="D1398" s="47" t="n">
        <x:f>'Datos'!$B$26^3/3</x:f>
        <x:v>0.3333333333333333</x:v>
      </x:c>
      <x:c r="E1398" s="46" t="n">
        <x:f>D1398*(C1398-1)</x:f>
        <x:v>0.06285324904157052</x:v>
      </x:c>
      <x:c r="F1398" s="2"/>
      <x:c r="G1398" s="2"/>
      <x:c r="H1398" s="2"/>
    </x:row>
    <x:row r="1399" ht="22" customHeight="1">
      <x:c r="A1399" s="2" t="n">
        <x:v>1393</x:v>
      </x:c>
      <x:c r="B1399" s="79" t="n">
        <x:v>0.17563515576790834</x:v>
      </x:c>
      <x:c r="C1399" s="46" t="n">
        <x:f>B1399^2</x:f>
        <x:v>0.030847707941617425</x:v>
      </x:c>
      <x:c r="D1399" s="47" t="n">
        <x:f>'Datos'!$B$26^3/3</x:f>
        <x:v>0.3333333333333333</x:v>
      </x:c>
      <x:c r="E1399" s="46" t="n">
        <x:f>D1399*(C1399-1)</x:f>
        <x:v>-0.32305076401946087</x:v>
      </x:c>
      <x:c r="F1399" s="2"/>
      <x:c r="G1399" s="2"/>
      <x:c r="H1399" s="2"/>
    </x:row>
    <x:row r="1400" ht="22" customHeight="1">
      <x:c r="A1400" s="2" t="n">
        <x:v>1394</x:v>
      </x:c>
      <x:c r="B1400" s="79" t="n">
        <x:v>0.143096646173898</x:v>
      </x:c>
      <x:c r="C1400" s="46" t="n">
        <x:f>B1400^2</x:f>
        <x:v>0.02047665014621776</x:v>
      </x:c>
      <x:c r="D1400" s="47" t="n">
        <x:f>'Datos'!$B$26^3/3</x:f>
        <x:v>0.3333333333333333</x:v>
      </x:c>
      <x:c r="E1400" s="46" t="n">
        <x:f>D1400*(C1400-1)</x:f>
        <x:v>-0.32650778328459407</x:v>
      </x:c>
      <x:c r="F1400" s="2"/>
      <x:c r="G1400" s="2"/>
      <x:c r="H1400" s="2"/>
    </x:row>
    <x:row r="1401" ht="22" customHeight="1">
      <x:c r="A1401" s="2" t="n">
        <x:v>1395</x:v>
      </x:c>
      <x:c r="B1401" s="79" t="n">
        <x:v>1.572651336673301</x:v>
      </x:c>
      <x:c r="C1401" s="46" t="n">
        <x:f>B1401^2</x:f>
        <x:v>2.4732322267403206</x:v>
      </x:c>
      <x:c r="D1401" s="47" t="n">
        <x:f>'Datos'!$B$26^3/3</x:f>
        <x:v>0.3333333333333333</x:v>
      </x:c>
      <x:c r="E1401" s="46" t="n">
        <x:f>D1401*(C1401-1)</x:f>
        <x:v>0.4910774089134402</x:v>
      </x:c>
      <x:c r="F1401" s="2"/>
      <x:c r="G1401" s="2"/>
      <x:c r="H1401" s="2"/>
    </x:row>
    <x:row r="1402" ht="22" customHeight="1">
      <x:c r="A1402" s="2" t="n">
        <x:v>1396</x:v>
      </x:c>
      <x:c r="B1402" s="79" t="n">
        <x:v>-0.2085978468713051</x:v>
      </x:c>
      <x:c r="C1402" s="46" t="n">
        <x:f>B1402^2</x:f>
        <x:v>0.043513061719344444</x:v>
      </x:c>
      <x:c r="D1402" s="47" t="n">
        <x:f>'Datos'!$B$26^3/3</x:f>
        <x:v>0.3333333333333333</x:v>
      </x:c>
      <x:c r="E1402" s="46" t="n">
        <x:f>D1402*(C1402-1)</x:f>
        <x:v>-0.31882897942688515</x:v>
      </x:c>
      <x:c r="F1402" s="2"/>
      <x:c r="G1402" s="2"/>
      <x:c r="H1402" s="2"/>
    </x:row>
    <x:row r="1403" ht="22" customHeight="1">
      <x:c r="A1403" s="2" t="n">
        <x:v>1397</x:v>
      </x:c>
      <x:c r="B1403" s="79" t="n">
        <x:v>1.2926006938244385</x:v>
      </x:c>
      <x:c r="C1403" s="46" t="n">
        <x:f>B1403^2</x:f>
        <x:v>1.6708165536754198</x:v>
      </x:c>
      <x:c r="D1403" s="47" t="n">
        <x:f>'Datos'!$B$26^3/3</x:f>
        <x:v>0.3333333333333333</x:v>
      </x:c>
      <x:c r="E1403" s="46" t="n">
        <x:f>D1403*(C1403-1)</x:f>
        <x:v>0.2236055178918066</x:v>
      </x:c>
      <x:c r="F1403" s="2"/>
      <x:c r="G1403" s="2"/>
      <x:c r="H1403" s="2"/>
    </x:row>
    <x:row r="1404" ht="22" customHeight="1">
      <x:c r="A1404" s="2" t="n">
        <x:v>1398</x:v>
      </x:c>
      <x:c r="B1404" s="79" t="n">
        <x:v>0.1847442037584249</x:v>
      </x:c>
      <x:c r="C1404" s="46" t="n">
        <x:f>B1404^2</x:f>
        <x:v>0.03413042082233442</x:v>
      </x:c>
      <x:c r="D1404" s="47" t="n">
        <x:f>'Datos'!$B$26^3/3</x:f>
        <x:v>0.3333333333333333</x:v>
      </x:c>
      <x:c r="E1404" s="46" t="n">
        <x:f>D1404*(C1404-1)</x:f>
        <x:v>-0.3219565263925552</x:v>
      </x:c>
      <x:c r="F1404" s="2"/>
      <x:c r="G1404" s="2"/>
      <x:c r="H1404" s="2"/>
    </x:row>
    <x:row r="1405" ht="22" customHeight="1">
      <x:c r="A1405" s="2" t="n">
        <x:v>1399</x:v>
      </x:c>
      <x:c r="B1405" s="79" t="n">
        <x:v>-0.4353058541233142</x:v>
      </x:c>
      <x:c r="C1405" s="46" t="n">
        <x:f>B1405^2</x:f>
        <x:v>0.18949118663402809</x:v>
      </x:c>
      <x:c r="D1405" s="47" t="n">
        <x:f>'Datos'!$B$26^3/3</x:f>
        <x:v>0.3333333333333333</x:v>
      </x:c>
      <x:c r="E1405" s="46" t="n">
        <x:f>D1405*(C1405-1)</x:f>
        <x:v>-0.27016960445532395</x:v>
      </x:c>
      <x:c r="F1405" s="2"/>
      <x:c r="G1405" s="2"/>
      <x:c r="H1405" s="2"/>
    </x:row>
    <x:row r="1406" ht="22" customHeight="1">
      <x:c r="A1406" s="2" t="n">
        <x:v>1400</x:v>
      </x:c>
      <x:c r="B1406" s="79" t="n">
        <x:v>-0.830453414645037</x:v>
      </x:c>
      <x:c r="C1406" s="46" t="n">
        <x:f>B1406^2</x:f>
        <x:v>0.6896528738956017</x:v>
      </x:c>
      <x:c r="D1406" s="47" t="n">
        <x:f>'Datos'!$B$26^3/3</x:f>
        <x:v>0.3333333333333333</x:v>
      </x:c>
      <x:c r="E1406" s="46" t="n">
        <x:f>D1406*(C1406-1)</x:f>
        <x:v>-0.10344904203479943</x:v>
      </x:c>
      <x:c r="F1406" s="2"/>
      <x:c r="G1406" s="2"/>
      <x:c r="H1406" s="2"/>
    </x:row>
    <x:row r="1407" ht="22" customHeight="1">
      <x:c r="A1407" s="2" t="n">
        <x:v>1401</x:v>
      </x:c>
      <x:c r="B1407" s="79" t="n">
        <x:v>0.24865225155737705</x:v>
      </x:c>
      <x:c r="C1407" s="46" t="n">
        <x:f>B1407^2</x:f>
        <x:v>0.06182794220455312</x:v>
      </x:c>
      <x:c r="D1407" s="47" t="n">
        <x:f>'Datos'!$B$26^3/3</x:f>
        <x:v>0.3333333333333333</x:v>
      </x:c>
      <x:c r="E1407" s="46" t="n">
        <x:f>D1407*(C1407-1)</x:f>
        <x:v>-0.3127240192651489</x:v>
      </x:c>
      <x:c r="F1407" s="2"/>
      <x:c r="G1407" s="2"/>
      <x:c r="H1407" s="2"/>
    </x:row>
    <x:row r="1408" ht="22" customHeight="1">
      <x:c r="A1408" s="2" t="n">
        <x:v>1402</x:v>
      </x:c>
      <x:c r="B1408" s="79" t="n">
        <x:v>0.28092316105054255</x:v>
      </x:c>
      <x:c r="C1408" s="46" t="n">
        <x:f>B1408^2</x:f>
        <x:v>0.07891782241462907</x:v>
      </x:c>
      <x:c r="D1408" s="47" t="n">
        <x:f>'Datos'!$B$26^3/3</x:f>
        <x:v>0.3333333333333333</x:v>
      </x:c>
      <x:c r="E1408" s="46" t="n">
        <x:f>D1408*(C1408-1)</x:f>
        <x:v>-0.30702739252845695</x:v>
      </x:c>
      <x:c r="F1408" s="2"/>
      <x:c r="G1408" s="2"/>
      <x:c r="H1408" s="2"/>
    </x:row>
    <x:row r="1409" ht="22" customHeight="1">
      <x:c r="A1409" s="2" t="n">
        <x:v>1403</x:v>
      </x:c>
      <x:c r="B1409" s="79" t="n">
        <x:v>0.6000202035983778</x:v>
      </x:c>
      <x:c r="C1409" s="46" t="n">
        <x:f>B1409^2</x:f>
        <x:v>0.3600242447262388</x:v>
      </x:c>
      <x:c r="D1409" s="47" t="n">
        <x:f>'Datos'!$B$26^3/3</x:f>
        <x:v>0.3333333333333333</x:v>
      </x:c>
      <x:c r="E1409" s="46" t="n">
        <x:f>D1409*(C1409-1)</x:f>
        <x:v>-0.21332525175792041</x:v>
      </x:c>
      <x:c r="F1409" s="2"/>
      <x:c r="G1409" s="2"/>
      <x:c r="H1409" s="2"/>
    </x:row>
    <x:row r="1410" ht="22" customHeight="1">
      <x:c r="A1410" s="2" t="n">
        <x:v>1404</x:v>
      </x:c>
      <x:c r="B1410" s="79" t="n">
        <x:v>-1.1629979580663024</x:v>
      </x:c>
      <x:c r="C1410" s="46" t="n">
        <x:f>B1410^2</x:f>
        <x:v>1.3525642504663888</x:v>
      </x:c>
      <x:c r="D1410" s="47" t="n">
        <x:f>'Datos'!$B$26^3/3</x:f>
        <x:v>0.3333333333333333</x:v>
      </x:c>
      <x:c r="E1410" s="46" t="n">
        <x:f>D1410*(C1410-1)</x:f>
        <x:v>0.1175214168221296</x:v>
      </x:c>
      <x:c r="F1410" s="2"/>
      <x:c r="G1410" s="2"/>
      <x:c r="H1410" s="2"/>
    </x:row>
    <x:row r="1411" ht="22" customHeight="1">
      <x:c r="A1411" s="2" t="n">
        <x:v>1405</x:v>
      </x:c>
      <x:c r="B1411" s="79" t="n">
        <x:v>0.5455403585724728</x:v>
      </x:c>
      <x:c r="C1411" s="46" t="n">
        <x:f>B1411^2</x:f>
        <x:v>0.29761428283138225</x:v>
      </x:c>
      <x:c r="D1411" s="47" t="n">
        <x:f>'Datos'!$B$26^3/3</x:f>
        <x:v>0.3333333333333333</x:v>
      </x:c>
      <x:c r="E1411" s="46" t="n">
        <x:f>D1411*(C1411-1)</x:f>
        <x:v>-0.23412857238953924</x:v>
      </x:c>
      <x:c r="F1411" s="2"/>
      <x:c r="G1411" s="2"/>
      <x:c r="H1411" s="2"/>
    </x:row>
    <x:row r="1412" ht="22" customHeight="1">
      <x:c r="A1412" s="2" t="n">
        <x:v>1406</x:v>
      </x:c>
      <x:c r="B1412" s="79" t="n">
        <x:v>-1.4302875214541937</x:v>
      </x:c>
      <x:c r="C1412" s="46" t="n">
        <x:f>B1412^2</x:f>
        <x:v>2.0457223940275804</x:v>
      </x:c>
      <x:c r="D1412" s="47" t="n">
        <x:f>'Datos'!$B$26^3/3</x:f>
        <x:v>0.3333333333333333</x:v>
      </x:c>
      <x:c r="E1412" s="46" t="n">
        <x:f>D1412*(C1412-1)</x:f>
        <x:v>0.3485741313425268</x:v>
      </x:c>
      <x:c r="F1412" s="2"/>
      <x:c r="G1412" s="2"/>
      <x:c r="H1412" s="2"/>
    </x:row>
    <x:row r="1413" ht="22" customHeight="1">
      <x:c r="A1413" s="2" t="n">
        <x:v>1407</x:v>
      </x:c>
      <x:c r="B1413" s="79" t="n">
        <x:v>0.019406060357204</x:v>
      </x:c>
      <x:c r="C1413" s="46" t="n">
        <x:f>B1413^2</x:f>
        <x:v>0.00037659517858744455</x:v>
      </x:c>
      <x:c r="D1413" s="47" t="n">
        <x:f>'Datos'!$B$26^3/3</x:f>
        <x:v>0.3333333333333333</x:v>
      </x:c>
      <x:c r="E1413" s="46" t="n">
        <x:f>D1413*(C1413-1)</x:f>
        <x:v>-0.3332078016071375</x:v>
      </x:c>
      <x:c r="F1413" s="2"/>
      <x:c r="G1413" s="2"/>
      <x:c r="H1413" s="2"/>
    </x:row>
    <x:row r="1414" ht="22" customHeight="1">
      <x:c r="A1414" s="2" t="n">
        <x:v>1408</x:v>
      </x:c>
      <x:c r="B1414" s="79" t="n">
        <x:v>0.3032217054655591</x:v>
      </x:c>
      <x:c r="C1414" s="46" t="n">
        <x:f>B1414^2</x:f>
        <x:v>0.09194340266544228</x:v>
      </x:c>
      <x:c r="D1414" s="47" t="n">
        <x:f>'Datos'!$B$26^3/3</x:f>
        <x:v>0.3333333333333333</x:v>
      </x:c>
      <x:c r="E1414" s="46" t="n">
        <x:f>D1414*(C1414-1)</x:f>
        <x:v>-0.3026855324448525</x:v>
      </x:c>
      <x:c r="F1414" s="2"/>
      <x:c r="G1414" s="2"/>
      <x:c r="H1414" s="2"/>
    </x:row>
    <x:row r="1415" ht="22" customHeight="1">
      <x:c r="A1415" s="2" t="n">
        <x:v>1409</x:v>
      </x:c>
      <x:c r="B1415" s="79" t="n">
        <x:v>2.236234454088302</x:v>
      </x:c>
      <x:c r="C1415" s="46" t="n">
        <x:f>B1415^2</x:f>
        <x:v>5.0007445336516065</x:v>
      </x:c>
      <x:c r="D1415" s="47" t="n">
        <x:f>'Datos'!$B$26^3/3</x:f>
        <x:v>0.3333333333333333</x:v>
      </x:c>
      <x:c r="E1415" s="46" t="n">
        <x:f>D1415*(C1415-1)</x:f>
        <x:v>1.333581511217202</x:v>
      </x:c>
      <x:c r="F1415" s="2"/>
      <x:c r="G1415" s="2"/>
      <x:c r="H1415" s="2"/>
    </x:row>
    <x:row r="1416" ht="22" customHeight="1">
      <x:c r="A1416" s="2" t="n">
        <x:v>1410</x:v>
      </x:c>
      <x:c r="B1416" s="79" t="n">
        <x:v>-0.02674101271147166</x:v>
      </x:c>
      <x:c r="C1416" s="46" t="n">
        <x:f>B1416^2</x:f>
        <x:v>0.000715081760835089</x:v>
      </x:c>
      <x:c r="D1416" s="47" t="n">
        <x:f>'Datos'!$B$26^3/3</x:f>
        <x:v>0.3333333333333333</x:v>
      </x:c>
      <x:c r="E1416" s="46" t="n">
        <x:f>D1416*(C1416-1)</x:f>
        <x:v>-0.3330949727463883</x:v>
      </x:c>
      <x:c r="F1416" s="2"/>
      <x:c r="G1416" s="2"/>
      <x:c r="H1416" s="2"/>
    </x:row>
    <x:row r="1417" ht="22" customHeight="1">
      <x:c r="A1417" s="2" t="n">
        <x:v>1411</x:v>
      </x:c>
      <x:c r="B1417" s="79" t="n">
        <x:v>-0.3813482384575473</x:v>
      </x:c>
      <x:c r="C1417" s="46" t="n">
        <x:f>B1417^2</x:f>
        <x:v>0.14542647897467434</x:v>
      </x:c>
      <x:c r="D1417" s="47" t="n">
        <x:f>'Datos'!$B$26^3/3</x:f>
        <x:v>0.3333333333333333</x:v>
      </x:c>
      <x:c r="E1417" s="46" t="n">
        <x:f>D1417*(C1417-1)</x:f>
        <x:v>-0.2848578403417752</x:v>
      </x:c>
      <x:c r="F1417" s="2"/>
      <x:c r="G1417" s="2"/>
      <x:c r="H1417" s="2"/>
    </x:row>
    <x:row r="1418" ht="22" customHeight="1">
      <x:c r="A1418" s="2" t="n">
        <x:v>1412</x:v>
      </x:c>
      <x:c r="B1418" s="79" t="n">
        <x:v>1.0863130024984091</x:v>
      </x:c>
      <x:c r="C1418" s="46" t="n">
        <x:f>B1418^2</x:f>
        <x:v>1.1800759393971085</x:v>
      </x:c>
      <x:c r="D1418" s="47" t="n">
        <x:f>'Datos'!$B$26^3/3</x:f>
        <x:v>0.3333333333333333</x:v>
      </x:c>
      <x:c r="E1418" s="46" t="n">
        <x:f>D1418*(C1418-1)</x:f>
        <x:v>0.06002531313236951</x:v>
      </x:c>
      <x:c r="F1418" s="2"/>
      <x:c r="G1418" s="2"/>
      <x:c r="H1418" s="2"/>
    </x:row>
    <x:row r="1419" ht="22" customHeight="1">
      <x:c r="A1419" s="2" t="n">
        <x:v>1413</x:v>
      </x:c>
      <x:c r="B1419" s="79" t="n">
        <x:v>0.21770480987413637</x:v>
      </x:c>
      <x:c r="C1419" s="46" t="n">
        <x:f>B1419^2</x:f>
        <x:v>0.04739538424233387</x:v>
      </x:c>
      <x:c r="D1419" s="47" t="n">
        <x:f>'Datos'!$B$26^3/3</x:f>
        <x:v>0.3333333333333333</x:v>
      </x:c>
      <x:c r="E1419" s="46" t="n">
        <x:f>D1419*(C1419-1)</x:f>
        <x:v>-0.31753487191922203</x:v>
      </x:c>
      <x:c r="F1419" s="2"/>
      <x:c r="G1419" s="2"/>
      <x:c r="H1419" s="2"/>
    </x:row>
    <x:row r="1420" ht="22" customHeight="1">
      <x:c r="A1420" s="2" t="n">
        <x:v>1414</x:v>
      </x:c>
      <x:c r="B1420" s="79" t="n">
        <x:v>-0.8364048700950952</x:v>
      </x:c>
      <x:c r="C1420" s="46" t="n">
        <x:f>B1420^2</x:f>
        <x:v>0.6995731067187931</x:v>
      </x:c>
      <x:c r="D1420" s="47" t="n">
        <x:f>'Datos'!$B$26^3/3</x:f>
        <x:v>0.3333333333333333</x:v>
      </x:c>
      <x:c r="E1420" s="46" t="n">
        <x:f>D1420*(C1420-1)</x:f>
        <x:v>-0.10014229776040229</x:v>
      </x:c>
      <x:c r="F1420" s="2"/>
      <x:c r="G1420" s="2"/>
      <x:c r="H1420" s="2"/>
    </x:row>
    <x:row r="1421" ht="22" customHeight="1">
      <x:c r="A1421" s="2" t="n">
        <x:v>1415</x:v>
      </x:c>
      <x:c r="B1421" s="79" t="n">
        <x:v>-0.1674239173442675</x:v>
      </x:c>
      <x:c r="C1421" s="46" t="n">
        <x:f>B1421^2</x:f>
        <x:v>0.02803076809890012</x:v>
      </x:c>
      <x:c r="D1421" s="47" t="n">
        <x:f>'Datos'!$B$26^3/3</x:f>
        <x:v>0.3333333333333333</x:v>
      </x:c>
      <x:c r="E1421" s="46" t="n">
        <x:f>D1421*(C1421-1)</x:f>
        <x:v>-0.3239897439670333</x:v>
      </x:c>
      <x:c r="F1421" s="2"/>
      <x:c r="G1421" s="2"/>
      <x:c r="H1421" s="2"/>
    </x:row>
    <x:row r="1422" ht="22" customHeight="1">
      <x:c r="A1422" s="2" t="n">
        <x:v>1416</x:v>
      </x:c>
      <x:c r="B1422" s="79" t="n">
        <x:v>0.9800279274402068</x:v>
      </x:c>
      <x:c r="C1422" s="46" t="n">
        <x:f>B1422^2</x:f>
        <x:v>0.9604547385627473</x:v>
      </x:c>
      <x:c r="D1422" s="47" t="n">
        <x:f>'Datos'!$B$26^3/3</x:f>
        <x:v>0.3333333333333333</x:v>
      </x:c>
      <x:c r="E1422" s="46" t="n">
        <x:f>D1422*(C1422-1)</x:f>
        <x:v>-0.013181753812417558</x:v>
      </x:c>
      <x:c r="F1422" s="2"/>
      <x:c r="G1422" s="2"/>
      <x:c r="H1422" s="2"/>
    </x:row>
    <x:row r="1423" ht="22" customHeight="1">
      <x:c r="A1423" s="2" t="n">
        <x:v>1417</x:v>
      </x:c>
      <x:c r="B1423" s="79" t="n">
        <x:v>1.7093334799847553</x:v>
      </x:c>
      <x:c r="C1423" s="46" t="n">
        <x:f>B1423^2</x:f>
        <x:v>2.9218209457967936</x:v>
      </x:c>
      <x:c r="D1423" s="47" t="n">
        <x:f>'Datos'!$B$26^3/3</x:f>
        <x:v>0.3333333333333333</x:v>
      </x:c>
      <x:c r="E1423" s="46" t="n">
        <x:f>D1423*(C1423-1)</x:f>
        <x:v>0.6406069819322645</x:v>
      </x:c>
      <x:c r="F1423" s="2"/>
      <x:c r="G1423" s="2"/>
      <x:c r="H1423" s="2"/>
    </x:row>
    <x:row r="1424" ht="22" customHeight="1">
      <x:c r="A1424" s="2" t="n">
        <x:v>1418</x:v>
      </x:c>
      <x:c r="B1424" s="79" t="n">
        <x:v>0.12565317593059175</x:v>
      </x:c>
      <x:c r="C1424" s="46" t="n">
        <x:f>B1424^2</x:f>
        <x:v>0.015788720621444242</x:v>
      </x:c>
      <x:c r="D1424" s="47" t="n">
        <x:f>'Datos'!$B$26^3/3</x:f>
        <x:v>0.3333333333333333</x:v>
      </x:c>
      <x:c r="E1424" s="46" t="n">
        <x:f>D1424*(C1424-1)</x:f>
        <x:v>-0.32807042645951856</x:v>
      </x:c>
      <x:c r="F1424" s="2"/>
      <x:c r="G1424" s="2"/>
      <x:c r="H1424" s="2"/>
    </x:row>
    <x:row r="1425" ht="22" customHeight="1">
      <x:c r="A1425" s="2" t="n">
        <x:v>1419</x:v>
      </x:c>
      <x:c r="B1425" s="79" t="n">
        <x:v>1.1229952476772993</x:v>
      </x:c>
      <x:c r="C1425" s="46" t="n">
        <x:f>B1425^2</x:f>
        <x:v>1.2611183263057988</x:v>
      </x:c>
      <x:c r="D1425" s="47" t="n">
        <x:f>'Datos'!$B$26^3/3</x:f>
        <x:v>0.3333333333333333</x:v>
      </x:c>
      <x:c r="E1425" s="46" t="n">
        <x:f>D1425*(C1425-1)</x:f>
        <x:v>0.08703944210193293</x:v>
      </x:c>
      <x:c r="F1425" s="2"/>
      <x:c r="G1425" s="2"/>
      <x:c r="H1425" s="2"/>
    </x:row>
    <x:row r="1426" ht="22" customHeight="1">
      <x:c r="A1426" s="2" t="n">
        <x:v>1420</x:v>
      </x:c>
      <x:c r="B1426" s="79" t="n">
        <x:v>-1.3301277959587081</x:v>
      </x:c>
      <x:c r="C1426" s="46" t="n">
        <x:f>B1426^2</x:f>
        <x:v>1.7692399535819707</x:v>
      </x:c>
      <x:c r="D1426" s="47" t="n">
        <x:f>'Datos'!$B$26^3/3</x:f>
        <x:v>0.3333333333333333</x:v>
      </x:c>
      <x:c r="E1426" s="46" t="n">
        <x:f>D1426*(C1426-1)</x:f>
        <x:v>0.2564133178606569</x:v>
      </x:c>
      <x:c r="F1426" s="2"/>
      <x:c r="G1426" s="2"/>
      <x:c r="H1426" s="2"/>
    </x:row>
    <x:row r="1427" ht="22" customHeight="1">
      <x:c r="A1427" s="2" t="n">
        <x:v>1421</x:v>
      </x:c>
      <x:c r="B1427" s="79" t="n">
        <x:v>-0.15020838710288967</x:v>
      </x:c>
      <x:c r="C1427" s="46" t="n">
        <x:f>B1427^2</x:f>
        <x:v>0.02256255955605155</x:v>
      </x:c>
      <x:c r="D1427" s="47" t="n">
        <x:f>'Datos'!$B$26^3/3</x:f>
        <x:v>0.3333333333333333</x:v>
      </x:c>
      <x:c r="E1427" s="46" t="n">
        <x:f>D1427*(C1427-1)</x:f>
        <x:v>-0.3258124801479828</x:v>
      </x:c>
      <x:c r="F1427" s="2"/>
      <x:c r="G1427" s="2"/>
      <x:c r="H1427" s="2"/>
    </x:row>
    <x:row r="1428" ht="22" customHeight="1">
      <x:c r="A1428" s="2" t="n">
        <x:v>1422</x:v>
      </x:c>
      <x:c r="B1428" s="79" t="n">
        <x:v>-0.1156762454141479</x:v>
      </x:c>
      <x:c r="C1428" s="46" t="n">
        <x:f>B1428^2</x:f>
        <x:v>0.01338099375311417</x:v>
      </x:c>
      <x:c r="D1428" s="47" t="n">
        <x:f>'Datos'!$B$26^3/3</x:f>
        <x:v>0.3333333333333333</x:v>
      </x:c>
      <x:c r="E1428" s="46" t="n">
        <x:f>D1428*(C1428-1)</x:f>
        <x:v>-0.32887300208229525</x:v>
      </x:c>
      <x:c r="F1428" s="2"/>
      <x:c r="G1428" s="2"/>
      <x:c r="H1428" s="2"/>
    </x:row>
    <x:row r="1429" ht="22" customHeight="1">
      <x:c r="A1429" s="2" t="n">
        <x:v>1423</x:v>
      </x:c>
      <x:c r="B1429" s="79" t="n">
        <x:v>0.36234081694960485</x:v>
      </x:c>
      <x:c r="C1429" s="46" t="n">
        <x:f>B1429^2</x:f>
        <x:v>0.13129086762770706</x:v>
      </x:c>
      <x:c r="D1429" s="47" t="n">
        <x:f>'Datos'!$B$26^3/3</x:f>
        <x:v>0.3333333333333333</x:v>
      </x:c>
      <x:c r="E1429" s="46" t="n">
        <x:f>D1429*(C1429-1)</x:f>
        <x:v>-0.2895697107907643</x:v>
      </x:c>
      <x:c r="F1429" s="2"/>
      <x:c r="G1429" s="2"/>
      <x:c r="H1429" s="2"/>
    </x:row>
    <x:row r="1430" ht="22" customHeight="1">
      <x:c r="A1430" s="2" t="n">
        <x:v>1424</x:v>
      </x:c>
      <x:c r="B1430" s="79" t="n">
        <x:v>0.24393767859710866</x:v>
      </x:c>
      <x:c r="C1430" s="46" t="n">
        <x:f>B1430^2</x:f>
        <x:v>0.05950559103934629</x:v>
      </x:c>
      <x:c r="D1430" s="47" t="n">
        <x:f>'Datos'!$B$26^3/3</x:f>
        <x:v>0.3333333333333333</x:v>
      </x:c>
      <x:c r="E1430" s="46" t="n">
        <x:f>D1430*(C1430-1)</x:f>
        <x:v>-0.3134981363202179</x:v>
      </x:c>
      <x:c r="F1430" s="2"/>
      <x:c r="G1430" s="2"/>
      <x:c r="H1430" s="2"/>
    </x:row>
    <x:row r="1431" ht="22" customHeight="1">
      <x:c r="A1431" s="2" t="n">
        <x:v>1425</x:v>
      </x:c>
      <x:c r="B1431" s="79" t="n">
        <x:v>0.7572027070172109</x:v>
      </x:c>
      <x:c r="C1431" s="46" t="n">
        <x:f>B1431^2</x:f>
        <x:v>0.5733559395141922</x:v>
      </x:c>
      <x:c r="D1431" s="47" t="n">
        <x:f>'Datos'!$B$26^3/3</x:f>
        <x:v>0.3333333333333333</x:v>
      </x:c>
      <x:c r="E1431" s="46" t="n">
        <x:f>D1431*(C1431-1)</x:f>
        <x:v>-0.1422146868286026</x:v>
      </x:c>
      <x:c r="F1431" s="2"/>
      <x:c r="G1431" s="2"/>
      <x:c r="H1431" s="2"/>
    </x:row>
    <x:row r="1432" ht="22" customHeight="1">
      <x:c r="A1432" s="2" t="n">
        <x:v>1426</x:v>
      </x:c>
      <x:c r="B1432" s="79" t="n">
        <x:v>0.1671990141138778</x:v>
      </x:c>
      <x:c r="C1432" s="46" t="n">
        <x:f>B1432^2</x:f>
        <x:v>0.02795551032065271</x:v>
      </x:c>
      <x:c r="D1432" s="47" t="n">
        <x:f>'Datos'!$B$26^3/3</x:f>
        <x:v>0.3333333333333333</x:v>
      </x:c>
      <x:c r="E1432" s="46" t="n">
        <x:f>D1432*(C1432-1)</x:f>
        <x:v>-0.32401482989311575</x:v>
      </x:c>
      <x:c r="F1432" s="2"/>
      <x:c r="G1432" s="2"/>
      <x:c r="H1432" s="2"/>
    </x:row>
    <x:row r="1433" ht="22" customHeight="1">
      <x:c r="A1433" s="2" t="n">
        <x:v>1427</x:v>
      </x:c>
      <x:c r="B1433" s="79" t="n">
        <x:v>-1.2826982288427506</x:v>
      </x:c>
      <x:c r="C1433" s="46" t="n">
        <x:f>B1433^2</x:f>
        <x:v>1.6453147462763296</x:v>
      </x:c>
      <x:c r="D1433" s="47" t="n">
        <x:f>'Datos'!$B$26^3/3</x:f>
        <x:v>0.3333333333333333</x:v>
      </x:c>
      <x:c r="E1433" s="46" t="n">
        <x:f>D1433*(C1433-1)</x:f>
        <x:v>0.2151049154254432</x:v>
      </x:c>
      <x:c r="F1433" s="2"/>
      <x:c r="G1433" s="2"/>
      <x:c r="H1433" s="2"/>
    </x:row>
    <x:row r="1434" ht="22" customHeight="1">
      <x:c r="A1434" s="2" t="n">
        <x:v>1428</x:v>
      </x:c>
      <x:c r="B1434" s="79" t="n">
        <x:v>-0.8382261396034648</x:v>
      </x:c>
      <x:c r="C1434" s="46" t="n">
        <x:f>B1434^2</x:f>
        <x:v>0.7026230611145273</x:v>
      </x:c>
      <x:c r="D1434" s="47" t="n">
        <x:f>'Datos'!$B$26^3/3</x:f>
        <x:v>0.3333333333333333</x:v>
      </x:c>
      <x:c r="E1434" s="46" t="n">
        <x:f>D1434*(C1434-1)</x:f>
        <x:v>-0.09912564629515755</x:v>
      </x:c>
      <x:c r="F1434" s="2"/>
      <x:c r="G1434" s="2"/>
      <x:c r="H1434" s="2"/>
    </x:row>
    <x:row r="1435" ht="22" customHeight="1">
      <x:c r="A1435" s="2" t="n">
        <x:v>1429</x:v>
      </x:c>
      <x:c r="B1435" s="79" t="n">
        <x:v>-0.738966504831133</x:v>
      </x:c>
      <x:c r="C1435" s="46" t="n">
        <x:f>B1435^2</x:f>
        <x:v>0.5460714952623409</x:v>
      </x:c>
      <x:c r="D1435" s="47" t="n">
        <x:f>'Datos'!$B$26^3/3</x:f>
        <x:v>0.3333333333333333</x:v>
      </x:c>
      <x:c r="E1435" s="46" t="n">
        <x:f>D1435*(C1435-1)</x:f>
        <x:v>-0.15130950157921969</x:v>
      </x:c>
      <x:c r="F1435" s="2"/>
      <x:c r="G1435" s="2"/>
      <x:c r="H1435" s="2"/>
    </x:row>
    <x:row r="1436" ht="22" customHeight="1">
      <x:c r="A1436" s="2" t="n">
        <x:v>1430</x:v>
      </x:c>
      <x:c r="B1436" s="79" t="n">
        <x:v>-0.31221529452911373</x:v>
      </x:c>
      <x:c r="C1436" s="46" t="n">
        <x:f>B1436^2</x:f>
        <x:v>0.09747839013790123</x:v>
      </x:c>
      <x:c r="D1436" s="47" t="n">
        <x:f>'Datos'!$B$26^3/3</x:f>
        <x:v>0.3333333333333333</x:v>
      </x:c>
      <x:c r="E1436" s="46" t="n">
        <x:f>D1436*(C1436-1)</x:f>
        <x:v>-0.30084053662069954</x:v>
      </x:c>
      <x:c r="F1436" s="2"/>
      <x:c r="G1436" s="2"/>
      <x:c r="H1436" s="2"/>
    </x:row>
    <x:row r="1437" ht="22" customHeight="1">
      <x:c r="A1437" s="2" t="n">
        <x:v>1431</x:v>
      </x:c>
      <x:c r="B1437" s="79" t="n">
        <x:v>0.5978908069376196</x:v>
      </x:c>
      <x:c r="C1437" s="46" t="n">
        <x:f>B1437^2</x:f>
        <x:v>0.357473417020518</x:v>
      </x:c>
      <x:c r="D1437" s="47" t="n">
        <x:f>'Datos'!$B$26^3/3</x:f>
        <x:v>0.3333333333333333</x:v>
      </x:c>
      <x:c r="E1437" s="46" t="n">
        <x:f>D1437*(C1437-1)</x:f>
        <x:v>-0.2141755276598273</x:v>
      </x:c>
      <x:c r="F1437" s="2"/>
      <x:c r="G1437" s="2"/>
      <x:c r="H1437" s="2"/>
    </x:row>
    <x:row r="1438" ht="22" customHeight="1">
      <x:c r="A1438" s="2" t="n">
        <x:v>1432</x:v>
      </x:c>
      <x:c r="B1438" s="79" t="n">
        <x:v>-0.5524989856889883</x:v>
      </x:c>
      <x:c r="C1438" s="46" t="n">
        <x:f>B1438^2</x:f>
        <x:v>0.30525512918736086</x:v>
      </x:c>
      <x:c r="D1438" s="47" t="n">
        <x:f>'Datos'!$B$26^3/3</x:f>
        <x:v>0.3333333333333333</x:v>
      </x:c>
      <x:c r="E1438" s="46" t="n">
        <x:f>D1438*(C1438-1)</x:f>
        <x:v>-0.23158162360421303</x:v>
      </x:c>
      <x:c r="F1438" s="2"/>
      <x:c r="G1438" s="2"/>
      <x:c r="H1438" s="2"/>
    </x:row>
    <x:row r="1439" ht="22" customHeight="1">
      <x:c r="A1439" s="2" t="n">
        <x:v>1433</x:v>
      </x:c>
      <x:c r="B1439" s="79" t="n">
        <x:v>-1.104925709060625</x:v>
      </x:c>
      <x:c r="C1439" s="46" t="n">
        <x:f>B1439^2</x:f>
        <x:v>1.220860822543125</x:v>
      </x:c>
      <x:c r="D1439" s="47" t="n">
        <x:f>'Datos'!$B$26^3/3</x:f>
        <x:v>0.3333333333333333</x:v>
      </x:c>
      <x:c r="E1439" s="46" t="n">
        <x:f>D1439*(C1439-1)</x:f>
        <x:v>0.07362027418104167</x:v>
      </x:c>
      <x:c r="F1439" s="2"/>
      <x:c r="G1439" s="2"/>
      <x:c r="H1439" s="2"/>
    </x:row>
    <x:row r="1440" ht="22" customHeight="1">
      <x:c r="A1440" s="2" t="n">
        <x:v>1434</x:v>
      </x:c>
      <x:c r="B1440" s="79" t="n">
        <x:v>-0.6885623915463276</x:v>
      </x:c>
      <x:c r="C1440" s="46" t="n">
        <x:f>B1440^2</x:f>
        <x:v>0.47411816705199816</x:v>
      </x:c>
      <x:c r="D1440" s="47" t="n">
        <x:f>'Datos'!$B$26^3/3</x:f>
        <x:v>0.3333333333333333</x:v>
      </x:c>
      <x:c r="E1440" s="46" t="n">
        <x:f>D1440*(C1440-1)</x:f>
        <x:v>-0.1752939443160006</x:v>
      </x:c>
      <x:c r="F1440" s="2"/>
      <x:c r="G1440" s="2"/>
      <x:c r="H1440" s="2"/>
    </x:row>
    <x:row r="1441" ht="22" customHeight="1">
      <x:c r="A1441" s="2" t="n">
        <x:v>1435</x:v>
      </x:c>
      <x:c r="B1441" s="79" t="n">
        <x:v>-1.229527582317358</x:v>
      </x:c>
      <x:c r="C1441" s="46" t="n">
        <x:f>B1441^2</x:f>
        <x:v>1.5117380756791674</x:v>
      </x:c>
      <x:c r="D1441" s="47" t="n">
        <x:f>'Datos'!$B$26^3/3</x:f>
        <x:v>0.3333333333333333</x:v>
      </x:c>
      <x:c r="E1441" s="46" t="n">
        <x:f>D1441*(C1441-1)</x:f>
        <x:v>0.17057935855972245</x:v>
      </x:c>
      <x:c r="F1441" s="2"/>
      <x:c r="G1441" s="2"/>
      <x:c r="H1441" s="2"/>
    </x:row>
    <x:row r="1442" ht="22" customHeight="1">
      <x:c r="A1442" s="2" t="n">
        <x:v>1436</x:v>
      </x:c>
      <x:c r="B1442" s="79" t="n">
        <x:v>-0.9706207105192945</x:v>
      </x:c>
      <x:c r="C1442" s="46" t="n">
        <x:f>B1442^2</x:f>
        <x:v>0.9421045636889802</x:v>
      </x:c>
      <x:c r="D1442" s="47" t="n">
        <x:f>'Datos'!$B$26^3/3</x:f>
        <x:v>0.3333333333333333</x:v>
      </x:c>
      <x:c r="E1442" s="46" t="n">
        <x:f>D1442*(C1442-1)</x:f>
        <x:v>-0.019298478770339928</x:v>
      </x:c>
      <x:c r="F1442" s="2"/>
      <x:c r="G1442" s="2"/>
      <x:c r="H1442" s="2"/>
    </x:row>
    <x:row r="1443" ht="22" customHeight="1">
      <x:c r="A1443" s="2" t="n">
        <x:v>1437</x:v>
      </x:c>
      <x:c r="B1443" s="79" t="n">
        <x:v>-0.4913558725935639</x:v>
      </x:c>
      <x:c r="C1443" s="46" t="n">
        <x:f>B1443^2</x:f>
        <x:v>0.2414305935321826</x:v>
      </x:c>
      <x:c r="D1443" s="47" t="n">
        <x:f>'Datos'!$B$26^3/3</x:f>
        <x:v>0.3333333333333333</x:v>
      </x:c>
      <x:c r="E1443" s="46" t="n">
        <x:f>D1443*(C1443-1)</x:f>
        <x:v>-0.2528564688226058</x:v>
      </x:c>
      <x:c r="F1443" s="2"/>
      <x:c r="G1443" s="2"/>
      <x:c r="H1443" s="2"/>
    </x:row>
    <x:row r="1444" ht="22" customHeight="1">
      <x:c r="A1444" s="2" t="n">
        <x:v>1438</x:v>
      </x:c>
      <x:c r="B1444" s="79" t="n">
        <x:v>-0.0560958089401285</x:v>
      </x:c>
      <x:c r="C1444" s="46" t="n">
        <x:f>B1444^2</x:f>
        <x:v>0.0031467397806474004</x:v>
      </x:c>
      <x:c r="D1444" s="47" t="n">
        <x:f>'Datos'!$B$26^3/3</x:f>
        <x:v>0.3333333333333333</x:v>
      </x:c>
      <x:c r="E1444" s="46" t="n">
        <x:f>D1444*(C1444-1)</x:f>
        <x:v>-0.33228442007311754</x:v>
      </x:c>
      <x:c r="F1444" s="2"/>
      <x:c r="G1444" s="2"/>
      <x:c r="H1444" s="2"/>
    </x:row>
    <x:row r="1445" ht="22" customHeight="1">
      <x:c r="A1445" s="2" t="n">
        <x:v>1439</x:v>
      </x:c>
      <x:c r="B1445" s="79" t="n">
        <x:v>0.6500149713535758</x:v>
      </x:c>
      <x:c r="C1445" s="46" t="n">
        <x:f>B1445^2</x:f>
        <x:v>0.42251946298378995</x:v>
      </x:c>
      <x:c r="D1445" s="47" t="n">
        <x:f>'Datos'!$B$26^3/3</x:f>
        <x:v>0.3333333333333333</x:v>
      </x:c>
      <x:c r="E1445" s="46" t="n">
        <x:f>D1445*(C1445-1)</x:f>
        <x:v>-0.19249351233873668</x:v>
      </x:c>
      <x:c r="F1445" s="2"/>
      <x:c r="G1445" s="2"/>
      <x:c r="H1445" s="2"/>
    </x:row>
    <x:row r="1446" ht="22" customHeight="1">
      <x:c r="A1446" s="2" t="n">
        <x:v>1440</x:v>
      </x:c>
      <x:c r="B1446" s="79" t="n">
        <x:v>-1.3798661706582076</x:v>
      </x:c>
      <x:c r="C1446" s="46" t="n">
        <x:f>B1446^2</x:f>
        <x:v>1.9040306489269456</x:v>
      </x:c>
      <x:c r="D1446" s="47" t="n">
        <x:f>'Datos'!$B$26^3/3</x:f>
        <x:v>0.3333333333333333</x:v>
      </x:c>
      <x:c r="E1446" s="46" t="n">
        <x:f>D1446*(C1446-1)</x:f>
        <x:v>0.3013435496423152</x:v>
      </x:c>
      <x:c r="F1446" s="2"/>
      <x:c r="G1446" s="2"/>
      <x:c r="H1446" s="2"/>
    </x:row>
    <x:row r="1447" ht="22" customHeight="1">
      <x:c r="A1447" s="2" t="n">
        <x:v>1441</x:v>
      </x:c>
      <x:c r="B1447" s="79" t="n">
        <x:v>-0.4968171550492234</x:v>
      </x:c>
      <x:c r="C1447" s="46" t="n">
        <x:f>B1447^2</x:f>
        <x:v>0.2468272855512041</x:v>
      </x:c>
      <x:c r="D1447" s="47" t="n">
        <x:f>'Datos'!$B$26^3/3</x:f>
        <x:v>0.3333333333333333</x:v>
      </x:c>
      <x:c r="E1447" s="46" t="n">
        <x:f>D1447*(C1447-1)</x:f>
        <x:v>-0.25105757148293195</x:v>
      </x:c>
      <x:c r="F1447" s="2"/>
      <x:c r="G1447" s="2"/>
      <x:c r="H1447" s="2"/>
    </x:row>
    <x:row r="1448" ht="22" customHeight="1">
      <x:c r="A1448" s="2" t="n">
        <x:v>1442</x:v>
      </x:c>
      <x:c r="B1448" s="79" t="n">
        <x:v>0.38398985938193697</x:v>
      </x:c>
      <x:c r="C1448" s="46" t="n">
        <x:f>B1448^2</x:f>
        <x:v>0.14744821210815973</x:v>
      </x:c>
      <x:c r="D1448" s="47" t="n">
        <x:f>'Datos'!$B$26^3/3</x:f>
        <x:v>0.3333333333333333</x:v>
      </x:c>
      <x:c r="E1448" s="46" t="n">
        <x:f>D1448*(C1448-1)</x:f>
        <x:v>-0.2841839292972801</x:v>
      </x:c>
      <x:c r="F1448" s="2"/>
      <x:c r="G1448" s="2"/>
      <x:c r="H1448" s="2"/>
    </x:row>
    <x:row r="1449" ht="22" customHeight="1">
      <x:c r="A1449" s="2" t="n">
        <x:v>1443</x:v>
      </x:c>
      <x:c r="B1449" s="79" t="n">
        <x:v>-0.3864546790849269</x:v>
      </x:c>
      <x:c r="C1449" s="46" t="n">
        <x:f>B1449^2</x:f>
        <x:v>0.14934721898663386</x:v>
      </x:c>
      <x:c r="D1449" s="47" t="n">
        <x:f>'Datos'!$B$26^3/3</x:f>
        <x:v>0.3333333333333333</x:v>
      </x:c>
      <x:c r="E1449" s="46" t="n">
        <x:f>D1449*(C1449-1)</x:f>
        <x:v>-0.2835509270044554</x:v>
      </x:c>
      <x:c r="F1449" s="2"/>
      <x:c r="G1449" s="2"/>
      <x:c r="H1449" s="2"/>
    </x:row>
    <x:row r="1450" ht="22" customHeight="1">
      <x:c r="A1450" s="2" t="n">
        <x:v>1444</x:v>
      </x:c>
      <x:c r="B1450" s="79" t="n">
        <x:v>-0.057301429895449306</x:v>
      </x:c>
      <x:c r="C1450" s="46" t="n">
        <x:f>B1450^2</x:f>
        <x:v>0.0032834538680630914</x:v>
      </x:c>
      <x:c r="D1450" s="47" t="n">
        <x:f>'Datos'!$B$26^3/3</x:f>
        <x:v>0.3333333333333333</x:v>
      </x:c>
      <x:c r="E1450" s="46" t="n">
        <x:f>D1450*(C1450-1)</x:f>
        <x:v>-0.33223884871064563</x:v>
      </x:c>
      <x:c r="F1450" s="2"/>
      <x:c r="G1450" s="2"/>
      <x:c r="H1450" s="2"/>
    </x:row>
    <x:row r="1451" ht="22" customHeight="1">
      <x:c r="A1451" s="2" t="n">
        <x:v>1445</x:v>
      </x:c>
      <x:c r="B1451" s="79" t="n">
        <x:v>2.389225965277978</x:v>
      </x:c>
      <x:c r="C1451" s="46" t="n">
        <x:f>B1451^2</x:f>
        <x:v>5.708400713158486</x:v>
      </x:c>
      <x:c r="D1451" s="47" t="n">
        <x:f>'Datos'!$B$26^3/3</x:f>
        <x:v>0.3333333333333333</x:v>
      </x:c>
      <x:c r="E1451" s="46" t="n">
        <x:f>D1451*(C1451-1)</x:f>
        <x:v>1.569466904386162</x:v>
      </x:c>
      <x:c r="F1451" s="2"/>
      <x:c r="G1451" s="2"/>
      <x:c r="H1451" s="2"/>
    </x:row>
    <x:row r="1452" ht="22" customHeight="1">
      <x:c r="A1452" s="2" t="n">
        <x:v>1446</x:v>
      </x:c>
      <x:c r="B1452" s="79" t="n">
        <x:v>-0.5034407021374433</x:v>
      </x:c>
      <x:c r="C1452" s="46" t="n">
        <x:f>B1452^2</x:f>
        <x:v>0.2534525405686419</x:v>
      </x:c>
      <x:c r="D1452" s="47" t="n">
        <x:f>'Datos'!$B$26^3/3</x:f>
        <x:v>0.3333333333333333</x:v>
      </x:c>
      <x:c r="E1452" s="46" t="n">
        <x:f>D1452*(C1452-1)</x:f>
        <x:v>-0.24884915314378603</x:v>
      </x:c>
      <x:c r="F1452" s="2"/>
      <x:c r="G1452" s="2"/>
      <x:c r="H1452" s="2"/>
    </x:row>
    <x:row r="1453" ht="22" customHeight="1">
      <x:c r="A1453" s="2" t="n">
        <x:v>1447</x:v>
      </x:c>
      <x:c r="B1453" s="79" t="n">
        <x:v>0.5074683912186495</x:v>
      </x:c>
      <x:c r="C1453" s="46" t="n">
        <x:f>B1453^2</x:f>
        <x:v>0.2575241680860443</x:v>
      </x:c>
      <x:c r="D1453" s="47" t="n">
        <x:f>'Datos'!$B$26^3/3</x:f>
        <x:v>0.3333333333333333</x:v>
      </x:c>
      <x:c r="E1453" s="46" t="n">
        <x:f>D1453*(C1453-1)</x:f>
        <x:v>-0.24749194397131857</x:v>
      </x:c>
      <x:c r="F1453" s="2"/>
      <x:c r="G1453" s="2"/>
      <x:c r="H1453" s="2"/>
    </x:row>
    <x:row r="1454" ht="22" customHeight="1">
      <x:c r="A1454" s="2" t="n">
        <x:v>1448</x:v>
      </x:c>
      <x:c r="B1454" s="79" t="n">
        <x:v>-0.17217646778284768</x:v>
      </x:c>
      <x:c r="C1454" s="46" t="n">
        <x:f>B1454^2</x:f>
        <x:v>0.029644736058177985</x:v>
      </x:c>
      <x:c r="D1454" s="47" t="n">
        <x:f>'Datos'!$B$26^3/3</x:f>
        <x:v>0.3333333333333333</x:v>
      </x:c>
      <x:c r="E1454" s="46" t="n">
        <x:f>D1454*(C1454-1)</x:f>
        <x:v>-0.323451754647274</x:v>
      </x:c>
      <x:c r="F1454" s="2"/>
      <x:c r="G1454" s="2"/>
      <x:c r="H1454" s="2"/>
    </x:row>
    <x:row r="1455" ht="22" customHeight="1">
      <x:c r="A1455" s="2" t="n">
        <x:v>1449</x:v>
      </x:c>
      <x:c r="B1455" s="79" t="n">
        <x:v>0.042237316246885946</x:v>
      </x:c>
      <x:c r="C1455" s="46" t="n">
        <x:f>B1455^2</x:f>
        <x:v>0.0017839908837394556</x:v>
      </x:c>
      <x:c r="D1455" s="47" t="n">
        <x:f>'Datos'!$B$26^3/3</x:f>
        <x:v>0.3333333333333333</x:v>
      </x:c>
      <x:c r="E1455" s="46" t="n">
        <x:f>D1455*(C1455-1)</x:f>
        <x:v>-0.33273866970542015</x:v>
      </x:c>
      <x:c r="F1455" s="2"/>
      <x:c r="G1455" s="2"/>
      <x:c r="H1455" s="2"/>
    </x:row>
    <x:row r="1456" ht="22" customHeight="1">
      <x:c r="A1456" s="2" t="n">
        <x:v>1450</x:v>
      </x:c>
      <x:c r="B1456" s="79" t="n">
        <x:v>-0.25775731571666044</x:v>
      </x:c>
      <x:c r="C1456" s="46" t="n">
        <x:f>B1456^2</x:f>
        <x:v>0.06643883380545816</x:v>
      </x:c>
      <x:c r="D1456" s="47" t="n">
        <x:f>'Datos'!$B$26^3/3</x:f>
        <x:v>0.3333333333333333</x:v>
      </x:c>
      <x:c r="E1456" s="46" t="n">
        <x:f>D1456*(C1456-1)</x:f>
        <x:v>-0.3111870553981806</x:v>
      </x:c>
      <x:c r="F1456" s="2"/>
      <x:c r="G1456" s="2"/>
      <x:c r="H1456" s="2"/>
    </x:row>
    <x:row r="1457" ht="22" customHeight="1">
      <x:c r="A1457" s="2" t="n">
        <x:v>1451</x:v>
      </x:c>
      <x:c r="B1457" s="79" t="n">
        <x:v>2.289907545637884</x:v>
      </x:c>
      <x:c r="C1457" s="46" t="n">
        <x:f>B1457^2</x:f>
        <x:v>5.243676567569318</x:v>
      </x:c>
      <x:c r="D1457" s="47" t="n">
        <x:f>'Datos'!$B$26^3/3</x:f>
        <x:v>0.3333333333333333</x:v>
      </x:c>
      <x:c r="E1457" s="46" t="n">
        <x:f>D1457*(C1457-1)</x:f>
        <x:v>1.4145588558564395</x:v>
      </x:c>
      <x:c r="F1457" s="2"/>
      <x:c r="G1457" s="2"/>
      <x:c r="H1457" s="2"/>
    </x:row>
    <x:row r="1458" ht="22" customHeight="1">
      <x:c r="A1458" s="2" t="n">
        <x:v>1452</x:v>
      </x:c>
      <x:c r="B1458" s="79" t="n">
        <x:v>0.010579278710572033</x:v>
      </x:c>
      <x:c r="C1458" s="46" t="n">
        <x:f>B1458^2</x:f>
        <x:v>0.00011192113803596265</x:v>
      </x:c>
      <x:c r="D1458" s="47" t="n">
        <x:f>'Datos'!$B$26^3/3</x:f>
        <x:v>0.3333333333333333</x:v>
      </x:c>
      <x:c r="E1458" s="46" t="n">
        <x:f>D1458*(C1458-1)</x:f>
        <x:v>-0.33329602628732136</x:v>
      </x:c>
      <x:c r="F1458" s="2"/>
      <x:c r="G1458" s="2"/>
      <x:c r="H1458" s="2"/>
    </x:row>
    <x:row r="1459" ht="22" customHeight="1">
      <x:c r="A1459" s="2" t="n">
        <x:v>1453</x:v>
      </x:c>
      <x:c r="B1459" s="79" t="n">
        <x:v>-0.593348166067202</x:v>
      </x:c>
      <x:c r="C1459" s="46" t="n">
        <x:f>B1459^2</x:f>
        <x:v>0.3520620461753119</x:v>
      </x:c>
      <x:c r="D1459" s="47" t="n">
        <x:f>'Datos'!$B$26^3/3</x:f>
        <x:v>0.3333333333333333</x:v>
      </x:c>
      <x:c r="E1459" s="46" t="n">
        <x:f>D1459*(C1459-1)</x:f>
        <x:v>-0.2159793179415627</x:v>
      </x:c>
      <x:c r="F1459" s="2"/>
      <x:c r="G1459" s="2"/>
      <x:c r="H1459" s="2"/>
    </x:row>
    <x:row r="1460" ht="22" customHeight="1">
      <x:c r="A1460" s="2" t="n">
        <x:v>1454</x:v>
      </x:c>
      <x:c r="B1460" s="79" t="n">
        <x:v>-1.71411094163224</x:v>
      </x:c>
      <x:c r="C1460" s="46" t="n">
        <x:f>B1460^2</x:f>
        <x:v>2.9381763202233646</x:v>
      </x:c>
      <x:c r="D1460" s="47" t="n">
        <x:f>'Datos'!$B$26^3/3</x:f>
        <x:v>0.3333333333333333</x:v>
      </x:c>
      <x:c r="E1460" s="46" t="n">
        <x:f>D1460*(C1460-1)</x:f>
        <x:v>0.6460587734077882</x:v>
      </x:c>
      <x:c r="F1460" s="2"/>
      <x:c r="G1460" s="2"/>
      <x:c r="H1460" s="2"/>
    </x:row>
    <x:row r="1461" ht="22" customHeight="1">
      <x:c r="A1461" s="2" t="n">
        <x:v>1455</x:v>
      </x:c>
      <x:c r="B1461" s="79" t="n">
        <x:v>-2.0514102465079547</x:v>
      </x:c>
      <x:c r="C1461" s="46" t="n">
        <x:f>B1461^2</x:f>
        <x:v>4.208283999477827</x:v>
      </x:c>
      <x:c r="D1461" s="47" t="n">
        <x:f>'Datos'!$B$26^3/3</x:f>
        <x:v>0.3333333333333333</x:v>
      </x:c>
      <x:c r="E1461" s="46" t="n">
        <x:f>D1461*(C1461-1)</x:f>
        <x:v>1.0694279998259424</x:v>
      </x:c>
      <x:c r="F1461" s="2"/>
      <x:c r="G1461" s="2"/>
      <x:c r="H1461" s="2"/>
    </x:row>
    <x:row r="1462" ht="22" customHeight="1">
      <x:c r="A1462" s="2" t="n">
        <x:v>1456</x:v>
      </x:c>
      <x:c r="B1462" s="79" t="n">
        <x:v>-0.045724083847428335</x:v>
      </x:c>
      <x:c r="C1462" s="46" t="n">
        <x:f>B1462^2</x:f>
        <x:v>0.0020906918436866566</x:v>
      </x:c>
      <x:c r="D1462" s="47" t="n">
        <x:f>'Datos'!$B$26^3/3</x:f>
        <x:v>0.3333333333333333</x:v>
      </x:c>
      <x:c r="E1462" s="46" t="n">
        <x:f>D1462*(C1462-1)</x:f>
        <x:v>-0.3326364360521044</x:v>
      </x:c>
      <x:c r="F1462" s="2"/>
      <x:c r="G1462" s="2"/>
      <x:c r="H1462" s="2"/>
    </x:row>
    <x:row r="1463" ht="22" customHeight="1">
      <x:c r="A1463" s="2" t="n">
        <x:v>1457</x:v>
      </x:c>
      <x:c r="B1463" s="79" t="n">
        <x:v>-0.5445873634359638</x:v>
      </x:c>
      <x:c r="C1463" s="46" t="n">
        <x:f>B1463^2</x:f>
        <x:v>0.29657539641413455</x:v>
      </x:c>
      <x:c r="D1463" s="47" t="n">
        <x:f>'Datos'!$B$26^3/3</x:f>
        <x:v>0.3333333333333333</x:v>
      </x:c>
      <x:c r="E1463" s="46" t="n">
        <x:f>D1463*(C1463-1)</x:f>
        <x:v>-0.23447486786195515</x:v>
      </x:c>
      <x:c r="F1463" s="2"/>
      <x:c r="G1463" s="2"/>
      <x:c r="H1463" s="2"/>
    </x:row>
    <x:row r="1464" ht="22" customHeight="1">
      <x:c r="A1464" s="2" t="n">
        <x:v>1458</x:v>
      </x:c>
      <x:c r="B1464" s="79" t="n">
        <x:v>-0.21960421060052687</x:v>
      </x:c>
      <x:c r="C1464" s="46" t="n">
        <x:f>B1464^2</x:f>
        <x:v>0.04822600931348056</x:v>
      </x:c>
      <x:c r="D1464" s="47" t="n">
        <x:f>'Datos'!$B$26^3/3</x:f>
        <x:v>0.3333333333333333</x:v>
      </x:c>
      <x:c r="E1464" s="46" t="n">
        <x:f>D1464*(C1464-1)</x:f>
        <x:v>-0.3172579968955065</x:v>
      </x:c>
      <x:c r="F1464" s="2"/>
      <x:c r="G1464" s="2"/>
      <x:c r="H1464" s="2"/>
    </x:row>
    <x:row r="1465" ht="22" customHeight="1">
      <x:c r="A1465" s="2" t="n">
        <x:v>1459</x:v>
      </x:c>
      <x:c r="B1465" s="79" t="n">
        <x:v>-0.8817205041587827</x:v>
      </x:c>
      <x:c r="C1465" s="46" t="n">
        <x:f>B1465^2</x:f>
        <x:v>0.7774310474540179</x:v>
      </x:c>
      <x:c r="D1465" s="47" t="n">
        <x:f>'Datos'!$B$26^3/3</x:f>
        <x:v>0.3333333333333333</x:v>
      </x:c>
      <x:c r="E1465" s="46" t="n">
        <x:f>D1465*(C1465-1)</x:f>
        <x:v>-0.0741896508486607</x:v>
      </x:c>
      <x:c r="F1465" s="2"/>
      <x:c r="G1465" s="2"/>
      <x:c r="H1465" s="2"/>
    </x:row>
    <x:row r="1466" ht="22" customHeight="1">
      <x:c r="A1466" s="2" t="n">
        <x:v>1460</x:v>
      </x:c>
      <x:c r="B1466" s="79" t="n">
        <x:v>1.9364230645755378</x:v>
      </x:c>
      <x:c r="C1466" s="46" t="n">
        <x:f>B1466^2</x:f>
        <x:v>3.7497342850201174</x:v>
      </x:c>
      <x:c r="D1466" s="47" t="n">
        <x:f>'Datos'!$B$26^3/3</x:f>
        <x:v>0.3333333333333333</x:v>
      </x:c>
      <x:c r="E1466" s="46" t="n">
        <x:f>D1466*(C1466-1)</x:f>
        <x:v>0.9165780950067057</x:v>
      </x:c>
      <x:c r="F1466" s="2"/>
      <x:c r="G1466" s="2"/>
      <x:c r="H1466" s="2"/>
    </x:row>
    <x:row r="1467" ht="22" customHeight="1">
      <x:c r="A1467" s="2" t="n">
        <x:v>1461</x:v>
      </x:c>
      <x:c r="B1467" s="79" t="n">
        <x:v>0.9934098733562051</x:v>
      </x:c>
      <x:c r="C1467" s="46" t="n">
        <x:f>B1467^2</x:f>
        <x:v>0.9868631764815915</x:v>
      </x:c>
      <x:c r="D1467" s="47" t="n">
        <x:f>'Datos'!$B$26^3/3</x:f>
        <x:v>0.3333333333333333</x:v>
      </x:c>
      <x:c r="E1467" s="46" t="n">
        <x:f>D1467*(C1467-1)</x:f>
        <x:v>-0.004378941172802834</x:v>
      </x:c>
      <x:c r="F1467" s="2"/>
      <x:c r="G1467" s="2"/>
      <x:c r="H1467" s="2"/>
    </x:row>
    <x:row r="1468" ht="22" customHeight="1">
      <x:c r="A1468" s="2" t="n">
        <x:v>1462</x:v>
      </x:c>
      <x:c r="B1468" s="79" t="n">
        <x:v>-0.03626089017008671</x:v>
      </x:c>
      <x:c r="C1468" s="46" t="n">
        <x:f>B1468^2</x:f>
        <x:v>0.0013148521559270912</x:v>
      </x:c>
      <x:c r="D1468" s="47" t="n">
        <x:f>'Datos'!$B$26^3/3</x:f>
        <x:v>0.3333333333333333</x:v>
      </x:c>
      <x:c r="E1468" s="46" t="n">
        <x:f>D1468*(C1468-1)</x:f>
        <x:v>-0.3328950492813576</x:v>
      </x:c>
      <x:c r="F1468" s="2"/>
      <x:c r="G1468" s="2"/>
      <x:c r="H1468" s="2"/>
    </x:row>
    <x:row r="1469" ht="22" customHeight="1">
      <x:c r="A1469" s="2" t="n">
        <x:v>1463</x:v>
      </x:c>
      <x:c r="B1469" s="79" t="n">
        <x:v>-1.9667514119752956</x:v>
      </x:c>
      <x:c r="C1469" s="46" t="n">
        <x:f>B1469^2</x:f>
        <x:v>3.8681111165068187</x:v>
      </x:c>
      <x:c r="D1469" s="47" t="n">
        <x:f>'Datos'!$B$26^3/3</x:f>
        <x:v>0.3333333333333333</x:v>
      </x:c>
      <x:c r="E1469" s="46" t="n">
        <x:f>D1469*(C1469-1)</x:f>
        <x:v>0.9560370388356062</x:v>
      </x:c>
      <x:c r="F1469" s="2"/>
      <x:c r="G1469" s="2"/>
      <x:c r="H1469" s="2"/>
    </x:row>
    <x:row r="1470" ht="22" customHeight="1">
      <x:c r="A1470" s="2" t="n">
        <x:v>1464</x:v>
      </x:c>
      <x:c r="B1470" s="79" t="n">
        <x:v>0.6109727544661027</x:v>
      </x:c>
      <x:c r="C1470" s="46" t="n">
        <x:f>B1470^2</x:f>
        <x:v>0.3732877066998966</x:v>
      </x:c>
      <x:c r="D1470" s="47" t="n">
        <x:f>'Datos'!$B$26^3/3</x:f>
        <x:v>0.3333333333333333</x:v>
      </x:c>
      <x:c r="E1470" s="46" t="n">
        <x:f>D1470*(C1470-1)</x:f>
        <x:v>-0.20890409776670116</x:v>
      </x:c>
      <x:c r="F1470" s="2"/>
      <x:c r="G1470" s="2"/>
      <x:c r="H1470" s="2"/>
    </x:row>
    <x:row r="1471" ht="22" customHeight="1">
      <x:c r="A1471" s="2" t="n">
        <x:v>1465</x:v>
      </x:c>
      <x:c r="B1471" s="79" t="n">
        <x:v>-0.6614955936895599</x:v>
      </x:c>
      <x:c r="C1471" s="46" t="n">
        <x:f>B1471^2</x:f>
        <x:v>0.43757642047070333</x:v>
      </x:c>
      <x:c r="D1471" s="47" t="n">
        <x:f>'Datos'!$B$26^3/3</x:f>
        <x:v>0.3333333333333333</x:v>
      </x:c>
      <x:c r="E1471" s="46" t="n">
        <x:f>D1471*(C1471-1)</x:f>
        <x:v>-0.18747452650976554</x:v>
      </x:c>
      <x:c r="F1471" s="2"/>
      <x:c r="G1471" s="2"/>
      <x:c r="H1471" s="2"/>
    </x:row>
    <x:row r="1472" ht="22" customHeight="1">
      <x:c r="A1472" s="2" t="n">
        <x:v>1466</x:v>
      </x:c>
      <x:c r="B1472" s="79" t="n">
        <x:v>0.9938161992030048</x:v>
      </x:c>
      <x:c r="C1472" s="46" t="n">
        <x:f>B1472^2</x:f>
        <x:v>0.9876706377983065</x:v>
      </x:c>
      <x:c r="D1472" s="47" t="n">
        <x:f>'Datos'!$B$26^3/3</x:f>
        <x:v>0.3333333333333333</x:v>
      </x:c>
      <x:c r="E1472" s="46" t="n">
        <x:f>D1472*(C1472-1)</x:f>
        <x:v>-0.004109787400564483</x:v>
      </x:c>
      <x:c r="F1472" s="2"/>
      <x:c r="G1472" s="2"/>
      <x:c r="H1472" s="2"/>
    </x:row>
    <x:row r="1473" ht="22" customHeight="1">
      <x:c r="A1473" s="2" t="n">
        <x:v>1467</x:v>
      </x:c>
      <x:c r="B1473" s="79" t="n">
        <x:v>-0.008145814778790603</x:v>
      </x:c>
      <x:c r="C1473" s="46" t="n">
        <x:f>B1473^2</x:f>
        <x:v>0.00006635429841036339</x:v>
      </x:c>
      <x:c r="D1473" s="47" t="n">
        <x:f>'Datos'!$B$26^3/3</x:f>
        <x:v>0.3333333333333333</x:v>
      </x:c>
      <x:c r="E1473" s="46" t="n">
        <x:f>D1473*(C1473-1)</x:f>
        <x:v>-0.3333112152338632</x:v>
      </x:c>
      <x:c r="F1473" s="2"/>
      <x:c r="G1473" s="2"/>
      <x:c r="H1473" s="2"/>
    </x:row>
    <x:row r="1474" ht="22" customHeight="1">
      <x:c r="A1474" s="2" t="n">
        <x:v>1468</x:v>
      </x:c>
      <x:c r="B1474" s="79" t="n">
        <x:v>-0.6621106880441945</x:v>
      </x:c>
      <x:c r="C1474" s="46" t="n">
        <x:f>B1474^2</x:f>
        <x:v>0.43839056322235664</x:v>
      </x:c>
      <x:c r="D1474" s="47" t="n">
        <x:f>'Datos'!$B$26^3/3</x:f>
        <x:v>0.3333333333333333</x:v>
      </x:c>
      <x:c r="E1474" s="46" t="n">
        <x:f>D1474*(C1474-1)</x:f>
        <x:v>-0.1872031455925478</x:v>
      </x:c>
      <x:c r="F1474" s="2"/>
      <x:c r="G1474" s="2"/>
      <x:c r="H1474" s="2"/>
    </x:row>
    <x:row r="1475" ht="22" customHeight="1">
      <x:c r="A1475" s="2" t="n">
        <x:v>1469</x:v>
      </x:c>
      <x:c r="B1475" s="79" t="n">
        <x:v>1.240255527805233</x:v>
      </x:c>
      <x:c r="C1475" s="46" t="n">
        <x:f>B1475^2</x:f>
        <x:v>1.538233774251437</x:v>
      </x:c>
      <x:c r="D1475" s="47" t="n">
        <x:f>'Datos'!$B$26^3/3</x:f>
        <x:v>0.3333333333333333</x:v>
      </x:c>
      <x:c r="E1475" s="46" t="n">
        <x:f>D1475*(C1475-1)</x:f>
        <x:v>0.1794112580838123</x:v>
      </x:c>
      <x:c r="F1475" s="2"/>
      <x:c r="G1475" s="2"/>
      <x:c r="H1475" s="2"/>
    </x:row>
    <x:row r="1476" ht="22" customHeight="1">
      <x:c r="A1476" s="2" t="n">
        <x:v>1470</x:v>
      </x:c>
      <x:c r="B1476" s="79" t="n">
        <x:v>-0.6832763749248439</x:v>
      </x:c>
      <x:c r="C1476" s="46" t="n">
        <x:f>B1476^2</x:f>
        <x:v>0.46686660453043594</x:v>
      </x:c>
      <x:c r="D1476" s="47" t="n">
        <x:f>'Datos'!$B$26^3/3</x:f>
        <x:v>0.3333333333333333</x:v>
      </x:c>
      <x:c r="E1476" s="46" t="n">
        <x:f>D1476*(C1476-1)</x:f>
        <x:v>-0.177711131823188</x:v>
      </x:c>
      <x:c r="F1476" s="2"/>
      <x:c r="G1476" s="2"/>
      <x:c r="H1476" s="2"/>
    </x:row>
    <x:row r="1477" ht="22" customHeight="1">
      <x:c r="A1477" s="2" t="n">
        <x:v>1471</x:v>
      </x:c>
      <x:c r="B1477" s="79" t="n">
        <x:v>-0.7493251641993066</x:v>
      </x:c>
      <x:c r="C1477" s="46" t="n">
        <x:f>B1477^2</x:f>
        <x:v>0.5614882017023178</x:v>
      </x:c>
      <x:c r="D1477" s="47" t="n">
        <x:f>'Datos'!$B$26^3/3</x:f>
        <x:v>0.3333333333333333</x:v>
      </x:c>
      <x:c r="E1477" s="46" t="n">
        <x:f>D1477*(C1477-1)</x:f>
        <x:v>-0.14617059943256072</x:v>
      </x:c>
      <x:c r="F1477" s="2"/>
      <x:c r="G1477" s="2"/>
      <x:c r="H1477" s="2"/>
    </x:row>
    <x:row r="1478" ht="22" customHeight="1">
      <x:c r="A1478" s="2" t="n">
        <x:v>1472</x:v>
      </x:c>
      <x:c r="B1478" s="79" t="n">
        <x:v>0.35031315744846514</x:v>
      </x:c>
      <x:c r="C1478" s="46" t="n">
        <x:f>B1478^2</x:f>
        <x:v>0.12271930828151313</x:v>
      </x:c>
      <x:c r="D1478" s="47" t="n">
        <x:f>'Datos'!$B$26^3/3</x:f>
        <x:v>0.3333333333333333</x:v>
      </x:c>
      <x:c r="E1478" s="46" t="n">
        <x:f>D1478*(C1478-1)</x:f>
        <x:v>-0.2924268972394956</x:v>
      </x:c>
      <x:c r="F1478" s="2"/>
      <x:c r="G1478" s="2"/>
      <x:c r="H1478" s="2"/>
    </x:row>
    <x:row r="1479" ht="22" customHeight="1">
      <x:c r="A1479" s="2" t="n">
        <x:v>1473</x:v>
      </x:c>
      <x:c r="B1479" s="79" t="n">
        <x:v>0.44165578045007886</x:v>
      </x:c>
      <x:c r="C1479" s="46" t="n">
        <x:f>B1479^2</x:f>
        <x:v>0.19505982840496827</x:v>
      </x:c>
      <x:c r="D1479" s="47" t="n">
        <x:f>'Datos'!$B$26^3/3</x:f>
        <x:v>0.3333333333333333</x:v>
      </x:c>
      <x:c r="E1479" s="46" t="n">
        <x:f>D1479*(C1479-1)</x:f>
        <x:v>-0.26831339053167724</x:v>
      </x:c>
      <x:c r="F1479" s="2"/>
      <x:c r="G1479" s="2"/>
      <x:c r="H1479" s="2"/>
    </x:row>
    <x:row r="1480" ht="22" customHeight="1">
      <x:c r="A1480" s="2" t="n">
        <x:v>1474</x:v>
      </x:c>
      <x:c r="B1480" s="79" t="n">
        <x:v>0.33141774840380883</x:v>
      </x:c>
      <x:c r="C1480" s="46" t="n">
        <x:f>B1480^2</x:f>
        <x:v>0.10983772395705033</x:v>
      </x:c>
      <x:c r="D1480" s="47" t="n">
        <x:f>'Datos'!$B$26^3/3</x:f>
        <x:v>0.3333333333333333</x:v>
      </x:c>
      <x:c r="E1480" s="46" t="n">
        <x:f>D1480*(C1480-1)</x:f>
        <x:v>-0.29672075868098324</x:v>
      </x:c>
      <x:c r="F1480" s="2"/>
      <x:c r="G1480" s="2"/>
      <x:c r="H1480" s="2"/>
    </x:row>
    <x:row r="1481" ht="22" customHeight="1">
      <x:c r="A1481" s="2" t="n">
        <x:v>1475</x:v>
      </x:c>
      <x:c r="B1481" s="79" t="n">
        <x:v>-0.053268868812808345</x:v>
      </x:c>
      <x:c r="C1481" s="46" t="n">
        <x:f>B1481^2</x:f>
        <x:v>0.0028375723845961856</x:v>
      </x:c>
      <x:c r="D1481" s="47" t="n">
        <x:f>'Datos'!$B$26^3/3</x:f>
        <x:v>0.3333333333333333</x:v>
      </x:c>
      <x:c r="E1481" s="46" t="n">
        <x:f>D1481*(C1481-1)</x:f>
        <x:v>-0.3323874758718013</x:v>
      </x:c>
      <x:c r="F1481" s="2"/>
      <x:c r="G1481" s="2"/>
      <x:c r="H1481" s="2"/>
    </x:row>
    <x:row r="1482" ht="22" customHeight="1">
      <x:c r="A1482" s="2" t="n">
        <x:v>1476</x:v>
      </x:c>
      <x:c r="B1482" s="79" t="n">
        <x:v>-0.469090745858927</x:v>
      </x:c>
      <x:c r="C1482" s="46" t="n">
        <x:f>B1482^2</x:f>
        <x:v>0.22004612785048444</x:v>
      </x:c>
      <x:c r="D1482" s="47" t="n">
        <x:f>'Datos'!$B$26^3/3</x:f>
        <x:v>0.3333333333333333</x:v>
      </x:c>
      <x:c r="E1482" s="46" t="n">
        <x:f>D1482*(C1482-1)</x:f>
        <x:v>-0.2599846240498385</x:v>
      </x:c>
      <x:c r="F1482" s="2"/>
      <x:c r="G1482" s="2"/>
      <x:c r="H1482" s="2"/>
    </x:row>
    <x:row r="1483" ht="22" customHeight="1">
      <x:c r="A1483" s="2" t="n">
        <x:v>1477</x:v>
      </x:c>
      <x:c r="B1483" s="79" t="n">
        <x:v>-0.6375640210179696</x:v>
      </x:c>
      <x:c r="C1483" s="46" t="n">
        <x:f>B1483^2</x:f>
        <x:v>0.406487880896602</x:v>
      </x:c>
      <x:c r="D1483" s="47" t="n">
        <x:f>'Datos'!$B$26^3/3</x:f>
        <x:v>0.3333333333333333</x:v>
      </x:c>
      <x:c r="E1483" s="46" t="n">
        <x:f>D1483*(C1483-1)</x:f>
        <x:v>-0.19783737303446602</x:v>
      </x:c>
      <x:c r="F1483" s="2"/>
      <x:c r="G1483" s="2"/>
      <x:c r="H1483" s="2"/>
    </x:row>
    <x:row r="1484" ht="22" customHeight="1">
      <x:c r="A1484" s="2" t="n">
        <x:v>1478</x:v>
      </x:c>
      <x:c r="B1484" s="79" t="n">
        <x:v>0.2657044409232762</x:v>
      </x:c>
      <x:c r="C1484" s="46" t="n">
        <x:f>B1484^2</x:f>
        <x:v>0.07059884992635078</x:v>
      </x:c>
      <x:c r="D1484" s="47" t="n">
        <x:f>'Datos'!$B$26^3/3</x:f>
        <x:v>0.3333333333333333</x:v>
      </x:c>
      <x:c r="E1484" s="46" t="n">
        <x:f>D1484*(C1484-1)</x:f>
        <x:v>-0.30980038335788307</x:v>
      </x:c>
      <x:c r="F1484" s="2"/>
      <x:c r="G1484" s="2"/>
      <x:c r="H1484" s="2"/>
    </x:row>
    <x:row r="1485" ht="22" customHeight="1">
      <x:c r="A1485" s="2" t="n">
        <x:v>1479</x:v>
      </x:c>
      <x:c r="B1485" s="79" t="n">
        <x:v>1.5259338220726806</x:v>
      </x:c>
      <x:c r="C1485" s="46" t="n">
        <x:f>B1485^2</x:f>
        <x:v>2.328474029345339</x:v>
      </x:c>
      <x:c r="D1485" s="47" t="n">
        <x:f>'Datos'!$B$26^3/3</x:f>
        <x:v>0.3333333333333333</x:v>
      </x:c>
      <x:c r="E1485" s="46" t="n">
        <x:f>D1485*(C1485-1)</x:f>
        <x:v>0.4428246764484463</x:v>
      </x:c>
      <x:c r="F1485" s="2"/>
      <x:c r="G1485" s="2"/>
      <x:c r="H1485" s="2"/>
    </x:row>
    <x:row r="1486" ht="22" customHeight="1">
      <x:c r="A1486" s="2" t="n">
        <x:v>1480</x:v>
      </x:c>
      <x:c r="B1486" s="79" t="n">
        <x:v>-0.7412712140531266</x:v>
      </x:c>
      <x:c r="C1486" s="46" t="n">
        <x:f>B1486^2</x:f>
        <x:v>0.5494830127837962</x:v>
      </x:c>
      <x:c r="D1486" s="47" t="n">
        <x:f>'Datos'!$B$26^3/3</x:f>
        <x:v>0.3333333333333333</x:v>
      </x:c>
      <x:c r="E1486" s="46" t="n">
        <x:f>D1486*(C1486-1)</x:f>
        <x:v>-0.15017232907206793</x:v>
      </x:c>
      <x:c r="F1486" s="2"/>
      <x:c r="G1486" s="2"/>
      <x:c r="H1486" s="2"/>
    </x:row>
    <x:row r="1487" ht="22" customHeight="1">
      <x:c r="A1487" s="2" t="n">
        <x:v>1481</x:v>
      </x:c>
      <x:c r="B1487" s="79" t="n">
        <x:v>-0.5021983671610654</x:v>
      </x:c>
      <x:c r="C1487" s="46" t="n">
        <x:f>B1487^2</x:f>
        <x:v>0.25220319997924023</x:v>
      </x:c>
      <x:c r="D1487" s="47" t="n">
        <x:f>'Datos'!$B$26^3/3</x:f>
        <x:v>0.3333333333333333</x:v>
      </x:c>
      <x:c r="E1487" s="46" t="n">
        <x:f>D1487*(C1487-1)</x:f>
        <x:v>-0.2492656000069199</x:v>
      </x:c>
      <x:c r="F1487" s="2"/>
      <x:c r="G1487" s="2"/>
      <x:c r="H1487" s="2"/>
    </x:row>
    <x:row r="1488" ht="22" customHeight="1">
      <x:c r="A1488" s="2" t="n">
        <x:v>1482</x:v>
      </x:c>
      <x:c r="B1488" s="79" t="n">
        <x:v>0.4231473009193023</x:v>
      </x:c>
      <x:c r="C1488" s="46" t="n">
        <x:f>B1488^2</x:f>
        <x:v>0.17905363827529058</x:v>
      </x:c>
      <x:c r="D1488" s="47" t="n">
        <x:f>'Datos'!$B$26^3/3</x:f>
        <x:v>0.3333333333333333</x:v>
      </x:c>
      <x:c r="E1488" s="46" t="n">
        <x:f>D1488*(C1488-1)</x:f>
        <x:v>-0.2736487872415698</x:v>
      </x:c>
      <x:c r="F1488" s="2"/>
      <x:c r="G1488" s="2"/>
      <x:c r="H1488" s="2"/>
    </x:row>
    <x:row r="1489" ht="22" customHeight="1">
      <x:c r="A1489" s="2" t="n">
        <x:v>1483</x:v>
      </x:c>
      <x:c r="B1489" s="79" t="n">
        <x:v>-0.14923713278971973</x:v>
      </x:c>
      <x:c r="C1489" s="46" t="n">
        <x:f>B1489^2</x:f>
        <x:v>0.02227172180329644</x:v>
      </x:c>
      <x:c r="D1489" s="47" t="n">
        <x:f>'Datos'!$B$26^3/3</x:f>
        <x:v>0.3333333333333333</x:v>
      </x:c>
      <x:c r="E1489" s="46" t="n">
        <x:f>D1489*(C1489-1)</x:f>
        <x:v>-0.32590942606556783</x:v>
      </x:c>
      <x:c r="F1489" s="2"/>
      <x:c r="G1489" s="2"/>
      <x:c r="H1489" s="2"/>
    </x:row>
    <x:row r="1490" ht="22" customHeight="1">
      <x:c r="A1490" s="2" t="n">
        <x:v>1484</x:v>
      </x:c>
      <x:c r="B1490" s="79" t="n">
        <x:v>0.10263849665554965</x:v>
      </x:c>
      <x:c r="C1490" s="46" t="n">
        <x:f>B1490^2</x:f>
        <x:v>0.010534660995711277</x:v>
      </x:c>
      <x:c r="D1490" s="47" t="n">
        <x:f>'Datos'!$B$26^3/3</x:f>
        <x:v>0.3333333333333333</x:v>
      </x:c>
      <x:c r="E1490" s="46" t="n">
        <x:f>D1490*(C1490-1)</x:f>
        <x:v>-0.3298217796680962</x:v>
      </x:c>
      <x:c r="F1490" s="2"/>
      <x:c r="G1490" s="2"/>
      <x:c r="H1490" s="2"/>
    </x:row>
    <x:row r="1491" ht="22" customHeight="1">
      <x:c r="A1491" s="2" t="n">
        <x:v>1485</x:v>
      </x:c>
      <x:c r="B1491" s="79" t="n">
        <x:v>1.8362309006983768</x:v>
      </x:c>
      <x:c r="C1491" s="46" t="n">
        <x:f>B1491^2</x:f>
        <x:v>3.371743920679572</x:v>
      </x:c>
      <x:c r="D1491" s="47" t="n">
        <x:f>'Datos'!$B$26^3/3</x:f>
        <x:v>0.3333333333333333</x:v>
      </x:c>
      <x:c r="E1491" s="46" t="n">
        <x:f>D1491*(C1491-1)</x:f>
        <x:v>0.7905813068931906</x:v>
      </x:c>
      <x:c r="F1491" s="2"/>
      <x:c r="G1491" s="2"/>
      <x:c r="H1491" s="2"/>
    </x:row>
    <x:row r="1492" ht="22" customHeight="1">
      <x:c r="A1492" s="2" t="n">
        <x:v>1486</x:v>
      </x:c>
      <x:c r="B1492" s="79" t="n">
        <x:v>1.31661509539116</x:v>
      </x:c>
      <x:c r="C1492" s="46" t="n">
        <x:f>B1492^2</x:f>
        <x:v>1.733475309411873</x:v>
      </x:c>
      <x:c r="D1492" s="47" t="n">
        <x:f>'Datos'!$B$26^3/3</x:f>
        <x:v>0.3333333333333333</x:v>
      </x:c>
      <x:c r="E1492" s="46" t="n">
        <x:f>D1492*(C1492-1)</x:f>
        <x:v>0.2444917698039577</x:v>
      </x:c>
      <x:c r="F1492" s="2"/>
      <x:c r="G1492" s="2"/>
      <x:c r="H1492" s="2"/>
    </x:row>
    <x:row r="1493" ht="22" customHeight="1">
      <x:c r="A1493" s="2" t="n">
        <x:v>1487</x:v>
      </x:c>
      <x:c r="B1493" s="79" t="n">
        <x:v>2.2936855402689416</x:v>
      </x:c>
      <x:c r="C1493" s="46" t="n">
        <x:f>B1493^2</x:f>
        <x:v>5.260993357638826</x:v>
      </x:c>
      <x:c r="D1493" s="47" t="n">
        <x:f>'Datos'!$B$26^3/3</x:f>
        <x:v>0.3333333333333333</x:v>
      </x:c>
      <x:c r="E1493" s="46" t="n">
        <x:f>D1493*(C1493-1)</x:f>
        <x:v>1.420331119212942</x:v>
      </x:c>
      <x:c r="F1493" s="2"/>
      <x:c r="G1493" s="2"/>
      <x:c r="H1493" s="2"/>
    </x:row>
    <x:row r="1494" ht="22" customHeight="1">
      <x:c r="A1494" s="2" t="n">
        <x:v>1488</x:v>
      </x:c>
      <x:c r="B1494" s="79" t="n">
        <x:v>-0.2737447770324454</x:v>
      </x:c>
      <x:c r="C1494" s="46" t="n">
        <x:f>B1494^2</x:f>
        <x:v>0.07493620295254323</x:v>
      </x:c>
      <x:c r="D1494" s="47" t="n">
        <x:f>'Datos'!$B$26^3/3</x:f>
        <x:v>0.3333333333333333</x:v>
      </x:c>
      <x:c r="E1494" s="46" t="n">
        <x:f>D1494*(C1494-1)</x:f>
        <x:v>-0.3083545990158189</x:v>
      </x:c>
      <x:c r="F1494" s="2"/>
      <x:c r="G1494" s="2"/>
      <x:c r="H1494" s="2"/>
    </x:row>
    <x:row r="1495" ht="22" customHeight="1">
      <x:c r="A1495" s="2" t="n">
        <x:v>1489</x:v>
      </x:c>
      <x:c r="B1495" s="79" t="n">
        <x:v>0.7945327376884225</x:v>
      </x:c>
      <x:c r="C1495" s="46" t="n">
        <x:f>B1495^2</x:f>
        <x:v>0.6312822712586595</x:v>
      </x:c>
      <x:c r="D1495" s="47" t="n">
        <x:f>'Datos'!$B$26^3/3</x:f>
        <x:v>0.3333333333333333</x:v>
      </x:c>
      <x:c r="E1495" s="46" t="n">
        <x:f>D1495*(C1495-1)</x:f>
        <x:v>-0.12290590958044681</x:v>
      </x:c>
      <x:c r="F1495" s="2"/>
      <x:c r="G1495" s="2"/>
      <x:c r="H1495" s="2"/>
    </x:row>
    <x:row r="1496" ht="22" customHeight="1">
      <x:c r="A1496" s="2" t="n">
        <x:v>1490</x:v>
      </x:c>
      <x:c r="B1496" s="79" t="n">
        <x:v>0.9668920095985919</x:v>
      </x:c>
      <x:c r="C1496" s="46" t="n">
        <x:f>B1496^2</x:f>
        <x:v>0.9348801582256036</x:v>
      </x:c>
      <x:c r="D1496" s="47" t="n">
        <x:f>'Datos'!$B$26^3/3</x:f>
        <x:v>0.3333333333333333</x:v>
      </x:c>
      <x:c r="E1496" s="46" t="n">
        <x:f>D1496*(C1496-1)</x:f>
        <x:v>-0.021706613924798814</x:v>
      </x:c>
      <x:c r="F1496" s="2"/>
      <x:c r="G1496" s="2"/>
      <x:c r="H1496" s="2"/>
    </x:row>
    <x:row r="1497" ht="22" customHeight="1">
      <x:c r="A1497" s="2" t="n">
        <x:v>1491</x:v>
      </x:c>
      <x:c r="B1497" s="79" t="n">
        <x:v>-0.48857398050964385</x:v>
      </x:c>
      <x:c r="C1497" s="46" t="n">
        <x:f>B1497^2</x:f>
        <x:v>0.23870453443103784</x:v>
      </x:c>
      <x:c r="D1497" s="47" t="n">
        <x:f>'Datos'!$B$26^3/3</x:f>
        <x:v>0.3333333333333333</x:v>
      </x:c>
      <x:c r="E1497" s="46" t="n">
        <x:f>D1497*(C1497-1)</x:f>
        <x:v>-0.25376515518965403</x:v>
      </x:c>
      <x:c r="F1497" s="2"/>
      <x:c r="G1497" s="2"/>
      <x:c r="H1497" s="2"/>
    </x:row>
    <x:row r="1498" ht="22" customHeight="1">
      <x:c r="A1498" s="2" t="n">
        <x:v>1492</x:v>
      </x:c>
      <x:c r="B1498" s="79" t="n">
        <x:v>-1.0538452628143145</x:v>
      </x:c>
      <x:c r="C1498" s="46" t="n">
        <x:f>B1498^2</x:f>
        <x:v>1.1105898379561716</x:v>
      </x:c>
      <x:c r="D1498" s="47" t="n">
        <x:f>'Datos'!$B$26^3/3</x:f>
        <x:v>0.3333333333333333</x:v>
      </x:c>
      <x:c r="E1498" s="46" t="n">
        <x:f>D1498*(C1498-1)</x:f>
        <x:v>0.036863279318723866</x:v>
      </x:c>
      <x:c r="F1498" s="2"/>
      <x:c r="G1498" s="2"/>
      <x:c r="H1498" s="2"/>
    </x:row>
    <x:row r="1499" ht="22" customHeight="1">
      <x:c r="A1499" s="2" t="n">
        <x:v>1493</x:v>
      </x:c>
      <x:c r="B1499" s="79" t="n">
        <x:v>0.6822028979794509</x:v>
      </x:c>
      <x:c r="C1499" s="46" t="n">
        <x:f>B1499^2</x:f>
        <x:v>0.4654007940115611</x:v>
      </x:c>
      <x:c r="D1499" s="47" t="n">
        <x:f>'Datos'!$B$26^3/3</x:f>
        <x:v>0.3333333333333333</x:v>
      </x:c>
      <x:c r="E1499" s="46" t="n">
        <x:f>D1499*(C1499-1)</x:f>
        <x:v>-0.17819973532947964</x:v>
      </x:c>
      <x:c r="F1499" s="2"/>
      <x:c r="G1499" s="2"/>
      <x:c r="H1499" s="2"/>
    </x:row>
    <x:row r="1500" ht="22" customHeight="1">
      <x:c r="A1500" s="2" t="n">
        <x:v>1494</x:v>
      </x:c>
      <x:c r="B1500" s="79" t="n">
        <x:v>-1.1868571093091465</x:v>
      </x:c>
      <x:c r="C1500" s="46" t="n">
        <x:f>B1500^2</x:f>
        <x:v>1.4086297979176632</x:v>
      </x:c>
      <x:c r="D1500" s="47" t="n">
        <x:f>'Datos'!$B$26^3/3</x:f>
        <x:v>0.3333333333333333</x:v>
      </x:c>
      <x:c r="E1500" s="46" t="n">
        <x:f>D1500*(C1500-1)</x:f>
        <x:v>0.13620993263922104</x:v>
      </x:c>
      <x:c r="F1500" s="2"/>
      <x:c r="G1500" s="2"/>
      <x:c r="H1500" s="2"/>
    </x:row>
    <x:row r="1501" ht="22" customHeight="1">
      <x:c r="A1501" s="2" t="n">
        <x:v>1495</x:v>
      </x:c>
      <x:c r="B1501" s="79" t="n">
        <x:v>-1.23697670748561</x:v>
      </x:c>
      <x:c r="C1501" s="46" t="n">
        <x:f>B1501^2</x:f>
        <x:v>1.5301113748619402</x:v>
      </x:c>
      <x:c r="D1501" s="47" t="n">
        <x:f>'Datos'!$B$26^3/3</x:f>
        <x:v>0.3333333333333333</x:v>
      </x:c>
      <x:c r="E1501" s="46" t="n">
        <x:f>D1501*(C1501-1)</x:f>
        <x:v>0.1767037916206467</x:v>
      </x:c>
      <x:c r="F1501" s="2"/>
      <x:c r="G1501" s="2"/>
      <x:c r="H1501" s="2"/>
    </x:row>
    <x:row r="1502" ht="22" customHeight="1">
      <x:c r="A1502" s="2" t="n">
        <x:v>1496</x:v>
      </x:c>
      <x:c r="B1502" s="79" t="n">
        <x:v>1.2256604872798225</x:v>
      </x:c>
      <x:c r="C1502" s="46" t="n">
        <x:f>B1502^2</x:f>
        <x:v>1.5022436300790118</x:v>
      </x:c>
      <x:c r="D1502" s="47" t="n">
        <x:f>'Datos'!$B$26^3/3</x:f>
        <x:v>0.3333333333333333</x:v>
      </x:c>
      <x:c r="E1502" s="46" t="n">
        <x:f>D1502*(C1502-1)</x:f>
        <x:v>0.1674145433596706</x:v>
      </x:c>
      <x:c r="F1502" s="2"/>
      <x:c r="G1502" s="2"/>
      <x:c r="H1502" s="2"/>
    </x:row>
    <x:row r="1503" ht="22" customHeight="1">
      <x:c r="A1503" s="2" t="n">
        <x:v>1497</x:v>
      </x:c>
      <x:c r="B1503" s="79" t="n">
        <x:v>-0.6256943358157915</x:v>
      </x:c>
      <x:c r="C1503" s="46" t="n">
        <x:f>B1503^2</x:f>
        <x:v>0.39149340187196446</x:v>
      </x:c>
      <x:c r="D1503" s="47" t="n">
        <x:f>'Datos'!$B$26^3/3</x:f>
        <x:v>0.3333333333333333</x:v>
      </x:c>
      <x:c r="E1503" s="46" t="n">
        <x:f>D1503*(C1503-1)</x:f>
        <x:v>-0.20283553270934518</x:v>
      </x:c>
      <x:c r="F1503" s="2"/>
      <x:c r="G1503" s="2"/>
      <x:c r="H1503" s="2"/>
    </x:row>
    <x:row r="1504" ht="22" customHeight="1">
      <x:c r="A1504" s="2" t="n">
        <x:v>1498</x:v>
      </x:c>
      <x:c r="B1504" s="79" t="n">
        <x:v>-2.2639469535022814</x:v>
      </x:c>
      <x:c r="C1504" s="46" t="n">
        <x:f>B1504^2</x:f>
        <x:v>5.125455808272261</x:v>
      </x:c>
      <x:c r="D1504" s="47" t="n">
        <x:f>'Datos'!$B$26^3/3</x:f>
        <x:v>0.3333333333333333</x:v>
      </x:c>
      <x:c r="E1504" s="46" t="n">
        <x:f>D1504*(C1504-1)</x:f>
        <x:v>1.3751519360907536</x:v>
      </x:c>
      <x:c r="F1504" s="2"/>
      <x:c r="G1504" s="2"/>
      <x:c r="H1504" s="2"/>
    </x:row>
    <x:row r="1505" ht="22" customHeight="1">
      <x:c r="A1505" s="2" t="n">
        <x:v>1499</x:v>
      </x:c>
      <x:c r="B1505" s="79" t="n">
        <x:v>0.6791661178961546</x:v>
      </x:c>
      <x:c r="C1505" s="46" t="n">
        <x:f>B1505^2</x:f>
        <x:v>0.4612666156981333</x:v>
      </x:c>
      <x:c r="D1505" s="47" t="n">
        <x:f>'Datos'!$B$26^3/3</x:f>
        <x:v>0.3333333333333333</x:v>
      </x:c>
      <x:c r="E1505" s="46" t="n">
        <x:f>D1505*(C1505-1)</x:f>
        <x:v>-0.17957779476728888</x:v>
      </x:c>
      <x:c r="F1505" s="2"/>
      <x:c r="G1505" s="2"/>
      <x:c r="H1505" s="2"/>
    </x:row>
    <x:row r="1506" ht="22" customHeight="1">
      <x:c r="A1506" s="2" t="n">
        <x:v>1500</x:v>
      </x:c>
      <x:c r="B1506" s="79" t="n">
        <x:v>0.9739893534363065</x:v>
      </x:c>
      <x:c r="C1506" s="46" t="n">
        <x:f>B1506^2</x:f>
        <x:v>0.9486552606072745</x:v>
      </x:c>
      <x:c r="D1506" s="47" t="n">
        <x:f>'Datos'!$B$26^3/3</x:f>
        <x:v>0.3333333333333333</x:v>
      </x:c>
      <x:c r="E1506" s="46" t="n">
        <x:f>D1506*(C1506-1)</x:f>
        <x:v>-0.017114913130908516</x:v>
      </x:c>
      <x:c r="F1506" s="2"/>
      <x:c r="G1506" s="2"/>
      <x:c r="H1506" s="2"/>
    </x:row>
    <x:row r="1507" ht="22" customHeight="1">
      <x:c r="A1507" s="2" t="n">
        <x:v>1501</x:v>
      </x:c>
      <x:c r="B1507" s="79" t="n">
        <x:v>1.0990333673609924</x:v>
      </x:c>
      <x:c r="C1507" s="46" t="n">
        <x:f>B1507^2</x:f>
        <x:v>1.2078743425728422</x:v>
      </x:c>
      <x:c r="D1507" s="47" t="n">
        <x:f>'Datos'!$B$26^3/3</x:f>
        <x:v>0.3333333333333333</x:v>
      </x:c>
      <x:c r="E1507" s="46" t="n">
        <x:f>D1507*(C1507-1)</x:f>
        <x:v>0.06929144752428074</x:v>
      </x:c>
      <x:c r="F1507" s="2"/>
      <x:c r="G1507" s="2"/>
      <x:c r="H1507" s="2"/>
    </x:row>
    <x:row r="1508" ht="22" customHeight="1">
      <x:c r="A1508" s="2" t="n">
        <x:v>1502</x:v>
      </x:c>
      <x:c r="B1508" s="79" t="n">
        <x:v>-1.3749593226502794</x:v>
      </x:c>
      <x:c r="C1508" s="46" t="n">
        <x:f>B1508^2</x:f>
        <x:v>1.8905131389429153</x:v>
      </x:c>
      <x:c r="D1508" s="47" t="n">
        <x:f>'Datos'!$B$26^3/3</x:f>
        <x:v>0.3333333333333333</x:v>
      </x:c>
      <x:c r="E1508" s="46" t="n">
        <x:f>D1508*(C1508-1)</x:f>
        <x:v>0.2968377129809717</x:v>
      </x:c>
      <x:c r="F1508" s="2"/>
      <x:c r="G1508" s="2"/>
      <x:c r="H1508" s="2"/>
    </x:row>
    <x:row r="1509" ht="22" customHeight="1">
      <x:c r="A1509" s="2" t="n">
        <x:v>1503</x:v>
      </x:c>
      <x:c r="B1509" s="79" t="n">
        <x:v>0.6767211039185275</x:v>
      </x:c>
      <x:c r="C1509" s="46" t="n">
        <x:f>B1509^2</x:f>
        <x:v>0.45795145248871044</x:v>
      </x:c>
      <x:c r="D1509" s="47" t="n">
        <x:f>'Datos'!$B$26^3/3</x:f>
        <x:v>0.3333333333333333</x:v>
      </x:c>
      <x:c r="E1509" s="46" t="n">
        <x:f>D1509*(C1509-1)</x:f>
        <x:v>-0.18068284917042982</x:v>
      </x:c>
      <x:c r="F1509" s="2"/>
      <x:c r="G1509" s="2"/>
      <x:c r="H1509" s="2"/>
    </x:row>
    <x:row r="1510" ht="22" customHeight="1">
      <x:c r="A1510" s="2" t="n">
        <x:v>1504</x:v>
      </x:c>
      <x:c r="B1510" s="79" t="n">
        <x:v>1.656436739084102</x:v>
      </x:c>
      <x:c r="C1510" s="46" t="n">
        <x:f>B1510^2</x:f>
        <x:v>2.7437826705875734</x:v>
      </x:c>
      <x:c r="D1510" s="47" t="n">
        <x:f>'Datos'!$B$26^3/3</x:f>
        <x:v>0.3333333333333333</x:v>
      </x:c>
      <x:c r="E1510" s="46" t="n">
        <x:f>D1510*(C1510-1)</x:f>
        <x:v>0.5812608901958578</x:v>
      </x:c>
      <x:c r="F1510" s="2"/>
      <x:c r="G1510" s="2"/>
      <x:c r="H1510" s="2"/>
    </x:row>
    <x:row r="1511" ht="22" customHeight="1">
      <x:c r="A1511" s="2" t="n">
        <x:v>1505</x:v>
      </x:c>
      <x:c r="B1511" s="79" t="n">
        <x:v>-0.820335411538419</x:v>
      </x:c>
      <x:c r="C1511" s="46" t="n">
        <x:f>B1511^2</x:f>
        <x:v>0.6729501874239073</x:v>
      </x:c>
      <x:c r="D1511" s="47" t="n">
        <x:f>'Datos'!$B$26^3/3</x:f>
        <x:v>0.3333333333333333</x:v>
      </x:c>
      <x:c r="E1511" s="46" t="n">
        <x:f>D1511*(C1511-1)</x:f>
        <x:v>-0.10901660419203088</x:v>
      </x:c>
      <x:c r="F1511" s="2"/>
      <x:c r="G1511" s="2"/>
      <x:c r="H1511" s="2"/>
    </x:row>
    <x:row r="1512" ht="22" customHeight="1">
      <x:c r="A1512" s="2" t="n">
        <x:v>1506</x:v>
      </x:c>
      <x:c r="B1512" s="79" t="n">
        <x:v>-0.5900727262684601</x:v>
      </x:c>
      <x:c r="C1512" s="46" t="n">
        <x:f>B1512^2</x:f>
        <x:v>0.348185822285893</x:v>
      </x:c>
      <x:c r="D1512" s="47" t="n">
        <x:f>'Datos'!$B$26^3/3</x:f>
        <x:v>0.3333333333333333</x:v>
      </x:c>
      <x:c r="E1512" s="46" t="n">
        <x:f>D1512*(C1512-1)</x:f>
        <x:v>-0.217271392571369</x:v>
      </x:c>
      <x:c r="F1512" s="2"/>
      <x:c r="G1512" s="2"/>
      <x:c r="H1512" s="2"/>
    </x:row>
    <x:row r="1513" ht="22" customHeight="1">
      <x:c r="A1513" s="2" t="n">
        <x:v>1507</x:v>
      </x:c>
      <x:c r="B1513" s="79" t="n">
        <x:v>-0.8486836153557534</x:v>
      </x:c>
      <x:c r="C1513" s="46" t="n">
        <x:f>B1513^2</x:f>
        <x:v>0.7202638789733125</x:v>
      </x:c>
      <x:c r="D1513" s="47" t="n">
        <x:f>'Datos'!$B$26^3/3</x:f>
        <x:v>0.3333333333333333</x:v>
      </x:c>
      <x:c r="E1513" s="46" t="n">
        <x:f>D1513*(C1513-1)</x:f>
        <x:v>-0.09324537367556252</x:v>
      </x:c>
      <x:c r="F1513" s="2"/>
      <x:c r="G1513" s="2"/>
      <x:c r="H1513" s="2"/>
    </x:row>
    <x:row r="1514" ht="22" customHeight="1">
      <x:c r="A1514" s="2" t="n">
        <x:v>1508</x:v>
      </x:c>
      <x:c r="B1514" s="79" t="n">
        <x:v>1.5910046067319827</x:v>
      </x:c>
      <x:c r="C1514" s="46" t="n">
        <x:f>B1514^2</x:f>
        <x:v>2.531295658642391</x:v>
      </x:c>
      <x:c r="D1514" s="47" t="n">
        <x:f>'Datos'!$B$26^3/3</x:f>
        <x:v>0.3333333333333333</x:v>
      </x:c>
      <x:c r="E1514" s="46" t="n">
        <x:f>D1514*(C1514-1)</x:f>
        <x:v>0.5104318862141303</x:v>
      </x:c>
      <x:c r="F1514" s="2"/>
      <x:c r="G1514" s="2"/>
      <x:c r="H1514" s="2"/>
    </x:row>
    <x:row r="1515" ht="22" customHeight="1">
      <x:c r="A1515" s="2" t="n">
        <x:v>1509</x:v>
      </x:c>
      <x:c r="B1515" s="79" t="n">
        <x:v>-0.22259807842605267</x:v>
      </x:c>
      <x:c r="C1515" s="46" t="n">
        <x:f>B1515^2</x:f>
        <x:v>0.049549904518971094</x:v>
      </x:c>
      <x:c r="D1515" s="47" t="n">
        <x:f>'Datos'!$B$26^3/3</x:f>
        <x:v>0.3333333333333333</x:v>
      </x:c>
      <x:c r="E1515" s="46" t="n">
        <x:f>D1515*(C1515-1)</x:f>
        <x:v>-0.3168166984936763</x:v>
      </x:c>
      <x:c r="F1515" s="2"/>
      <x:c r="G1515" s="2"/>
      <x:c r="H1515" s="2"/>
    </x:row>
    <x:row r="1516" ht="22" customHeight="1">
      <x:c r="A1516" s="2" t="n">
        <x:v>1510</x:v>
      </x:c>
      <x:c r="B1516" s="79" t="n">
        <x:v>-0.45401844867172075</x:v>
      </x:c>
      <x:c r="C1516" s="46" t="n">
        <x:f>B1516^2</x:f>
        <x:v>0.20613275173427592</x:v>
      </x:c>
      <x:c r="D1516" s="47" t="n">
        <x:f>'Datos'!$B$26^3/3</x:f>
        <x:v>0.3333333333333333</x:v>
      </x:c>
      <x:c r="E1516" s="46" t="n">
        <x:f>D1516*(C1516-1)</x:f>
        <x:v>-0.2646224160885747</x:v>
      </x:c>
      <x:c r="F1516" s="2"/>
      <x:c r="G1516" s="2"/>
      <x:c r="H1516" s="2"/>
    </x:row>
    <x:row r="1517" ht="22" customHeight="1">
      <x:c r="A1517" s="2" t="n">
        <x:v>1511</x:v>
      </x:c>
      <x:c r="B1517" s="79" t="n">
        <x:v>0.9824040335201136</x:v>
      </x:c>
      <x:c r="C1517" s="46" t="n">
        <x:f>B1517^2</x:f>
        <x:v>0.9651176850765886</x:v>
      </x:c>
      <x:c r="D1517" s="47" t="n">
        <x:f>'Datos'!$B$26^3/3</x:f>
        <x:v>0.3333333333333333</x:v>
      </x:c>
      <x:c r="E1517" s="46" t="n">
        <x:f>D1517*(C1517-1)</x:f>
        <x:v>-0.011627438307803809</x:v>
      </x:c>
      <x:c r="F1517" s="2"/>
      <x:c r="G1517" s="2"/>
      <x:c r="H1517" s="2"/>
    </x:row>
    <x:row r="1518" ht="22" customHeight="1">
      <x:c r="A1518" s="2" t="n">
        <x:v>1512</x:v>
      </x:c>
      <x:c r="B1518" s="79" t="n">
        <x:v>0.4994756846032763</x:v>
      </x:c>
      <x:c r="C1518" s="46" t="n">
        <x:f>B1518^2</x:f>
        <x:v>0.24947595950991153</x:v>
      </x:c>
      <x:c r="D1518" s="47" t="n">
        <x:f>'Datos'!$B$26^3/3</x:f>
        <x:v>0.3333333333333333</x:v>
      </x:c>
      <x:c r="E1518" s="46" t="n">
        <x:f>D1518*(C1518-1)</x:f>
        <x:v>-0.2501746801633628</x:v>
      </x:c>
      <x:c r="F1518" s="2"/>
      <x:c r="G1518" s="2"/>
      <x:c r="H1518" s="2"/>
    </x:row>
    <x:row r="1519" ht="22" customHeight="1">
      <x:c r="A1519" s="2" t="n">
        <x:v>1513</x:v>
      </x:c>
      <x:c r="B1519" s="79" t="n">
        <x:v>-0.02007901406438373</x:v>
      </x:c>
      <x:c r="C1519" s="46" t="n">
        <x:f>B1519^2</x:f>
        <x:v>0.00040316680579771967</x:v>
      </x:c>
      <x:c r="D1519" s="47" t="n">
        <x:f>'Datos'!$B$26^3/3</x:f>
        <x:v>0.3333333333333333</x:v>
      </x:c>
      <x:c r="E1519" s="46" t="n">
        <x:f>D1519*(C1519-1)</x:f>
        <x:v>-0.3331989443980674</x:v>
      </x:c>
      <x:c r="F1519" s="2"/>
      <x:c r="G1519" s="2"/>
      <x:c r="H1519" s="2"/>
    </x:row>
    <x:row r="1520" ht="22" customHeight="1">
      <x:c r="A1520" s="2" t="n">
        <x:v>1514</x:v>
      </x:c>
      <x:c r="B1520" s="79" t="n">
        <x:v>-1.2592762112831333</x:v>
      </x:c>
      <x:c r="C1520" s="46" t="n">
        <x:f>B1520^2</x:f>
        <x:v>1.5857765763036025</x:v>
      </x:c>
      <x:c r="D1520" s="47" t="n">
        <x:f>'Datos'!$B$26^3/3</x:f>
        <x:v>0.3333333333333333</x:v>
      </x:c>
      <x:c r="E1520" s="46" t="n">
        <x:f>D1520*(C1520-1)</x:f>
        <x:v>0.19525885876786747</x:v>
      </x:c>
      <x:c r="F1520" s="2"/>
      <x:c r="G1520" s="2"/>
      <x:c r="H1520" s="2"/>
    </x:row>
    <x:row r="1521" ht="22" customHeight="1">
      <x:c r="A1521" s="2" t="n">
        <x:v>1515</x:v>
      </x:c>
      <x:c r="B1521" s="79" t="n">
        <x:v>0.6184772292063946</x:v>
      </x:c>
      <x:c r="C1521" s="46" t="n">
        <x:f>B1521^2</x:f>
        <x:v>0.38251408304681916</x:v>
      </x:c>
      <x:c r="D1521" s="47" t="n">
        <x:f>'Datos'!$B$26^3/3</x:f>
        <x:v>0.3333333333333333</x:v>
      </x:c>
      <x:c r="E1521" s="46" t="n">
        <x:f>D1521*(C1521-1)</x:f>
        <x:v>-0.20582863898439357</x:v>
      </x:c>
      <x:c r="F1521" s="2"/>
      <x:c r="G1521" s="2"/>
      <x:c r="H1521" s="2"/>
    </x:row>
    <x:row r="1522" ht="22" customHeight="1">
      <x:c r="A1522" s="2" t="n">
        <x:v>1516</x:v>
      </x:c>
      <x:c r="B1522" s="79" t="n">
        <x:v>1.0479035058304929</x:v>
      </x:c>
      <x:c r="C1522" s="46" t="n">
        <x:f>B1522^2</x:f>
        <x:v>1.0981017575318377</x:v>
      </x:c>
      <x:c r="D1522" s="47" t="n">
        <x:f>'Datos'!$B$26^3/3</x:f>
        <x:v>0.3333333333333333</x:v>
      </x:c>
      <x:c r="E1522" s="46" t="n">
        <x:f>D1522*(C1522-1)</x:f>
        <x:v>0.0327005858439459</x:v>
      </x:c>
      <x:c r="F1522" s="2"/>
      <x:c r="G1522" s="2"/>
      <x:c r="H1522" s="2"/>
    </x:row>
    <x:row r="1523" ht="22" customHeight="1">
      <x:c r="A1523" s="2" t="n">
        <x:v>1517</x:v>
      </x:c>
      <x:c r="B1523" s="79" t="n">
        <x:v>-0.1935358928644858</x:v>
      </x:c>
      <x:c r="C1523" s="46" t="n">
        <x:f>B1523^2</x:f>
        <x:v>0.03745614182685373</x:v>
      </x:c>
      <x:c r="D1523" s="47" t="n">
        <x:f>'Datos'!$B$26^3/3</x:f>
        <x:v>0.3333333333333333</x:v>
      </x:c>
      <x:c r="E1523" s="46" t="n">
        <x:f>D1523*(C1523-1)</x:f>
        <x:v>-0.32084795272438205</x:v>
      </x:c>
      <x:c r="F1523" s="2"/>
      <x:c r="G1523" s="2"/>
      <x:c r="H1523" s="2"/>
    </x:row>
    <x:row r="1524" ht="22" customHeight="1">
      <x:c r="A1524" s="2" t="n">
        <x:v>1518</x:v>
      </x:c>
      <x:c r="B1524" s="79" t="n">
        <x:v>-2.2238769411856745</x:v>
      </x:c>
      <x:c r="C1524" s="46" t="n">
        <x:f>B1524^2</x:f>
        <x:v>4.945628649537352</x:v>
      </x:c>
      <x:c r="D1524" s="47" t="n">
        <x:f>'Datos'!$B$26^3/3</x:f>
        <x:v>0.3333333333333333</x:v>
      </x:c>
      <x:c r="E1524" s="46" t="n">
        <x:f>D1524*(C1524-1)</x:f>
        <x:v>1.3152095498457839</x:v>
      </x:c>
      <x:c r="F1524" s="2"/>
      <x:c r="G1524" s="2"/>
      <x:c r="H1524" s="2"/>
    </x:row>
    <x:row r="1525" ht="22" customHeight="1">
      <x:c r="A1525" s="2" t="n">
        <x:v>1519</x:v>
      </x:c>
      <x:c r="B1525" s="79" t="n">
        <x:v>-0.6957882819478506</x:v>
      </x:c>
      <x:c r="C1525" s="46" t="n">
        <x:f>B1525^2</x:f>
        <x:v>0.4841213332959416</x:v>
      </x:c>
      <x:c r="D1525" s="47" t="n">
        <x:f>'Datos'!$B$26^3/3</x:f>
        <x:v>0.3333333333333333</x:v>
      </x:c>
      <x:c r="E1525" s="46" t="n">
        <x:f>D1525*(C1525-1)</x:f>
        <x:v>-0.17195955556801948</x:v>
      </x:c>
      <x:c r="F1525" s="2"/>
      <x:c r="G1525" s="2"/>
      <x:c r="H1525" s="2"/>
    </x:row>
    <x:row r="1526" ht="22" customHeight="1">
      <x:c r="A1526" s="2" t="n">
        <x:v>1520</x:v>
      </x:c>
      <x:c r="B1526" s="79" t="n">
        <x:v>-1.1923065403116575</x:v>
      </x:c>
      <x:c r="C1526" s="46" t="n">
        <x:f>B1526^2</x:f>
        <x:v>1.421594886069954</x:v>
      </x:c>
      <x:c r="D1526" s="47" t="n">
        <x:f>'Datos'!$B$26^3/3</x:f>
        <x:v>0.3333333333333333</x:v>
      </x:c>
      <x:c r="E1526" s="46" t="n">
        <x:f>D1526*(C1526-1)</x:f>
        <x:v>0.1405316286899847</x:v>
      </x:c>
      <x:c r="F1526" s="2"/>
      <x:c r="G1526" s="2"/>
      <x:c r="H1526" s="2"/>
    </x:row>
    <x:row r="1527" ht="22" customHeight="1">
      <x:c r="A1527" s="2" t="n">
        <x:v>1521</x:v>
      </x:c>
      <x:c r="B1527" s="79" t="n">
        <x:v>0.7644899618266767</x:v>
      </x:c>
      <x:c r="C1527" s="46" t="n">
        <x:f>B1527^2</x:f>
        <x:v>0.5844449017337536</x:v>
      </x:c>
      <x:c r="D1527" s="47" t="n">
        <x:f>'Datos'!$B$26^3/3</x:f>
        <x:v>0.3333333333333333</x:v>
      </x:c>
      <x:c r="E1527" s="46" t="n">
        <x:f>D1527*(C1527-1)</x:f>
        <x:v>-0.1385183660887488</x:v>
      </x:c>
      <x:c r="F1527" s="2"/>
      <x:c r="G1527" s="2"/>
      <x:c r="H1527" s="2"/>
    </x:row>
    <x:row r="1528" ht="22" customHeight="1">
      <x:c r="A1528" s="2" t="n">
        <x:v>1522</x:v>
      </x:c>
      <x:c r="B1528" s="79" t="n">
        <x:v>2.4333306142030517</x:v>
      </x:c>
      <x:c r="C1528" s="46" t="n">
        <x:f>B1528^2</x:f>
        <x:v>5.921097878017801</x:v>
      </x:c>
      <x:c r="D1528" s="47" t="n">
        <x:f>'Datos'!$B$26^3/3</x:f>
        <x:v>0.3333333333333333</x:v>
      </x:c>
      <x:c r="E1528" s="46" t="n">
        <x:f>D1528*(C1528-1)</x:f>
        <x:v>1.640365959339267</x:v>
      </x:c>
      <x:c r="F1528" s="2"/>
      <x:c r="G1528" s="2"/>
      <x:c r="H1528" s="2"/>
    </x:row>
    <x:row r="1529" ht="22" customHeight="1">
      <x:c r="A1529" s="2" t="n">
        <x:v>1523</x:v>
      </x:c>
      <x:c r="B1529" s="79" t="n">
        <x:v>-1.0846053669314353</x:v>
      </x:c>
      <x:c r="C1529" s="46" t="n">
        <x:f>B1529^2</x:f>
        <x:v>1.1763688019764733</x:v>
      </x:c>
      <x:c r="D1529" s="47" t="n">
        <x:f>'Datos'!$B$26^3/3</x:f>
        <x:v>0.3333333333333333</x:v>
      </x:c>
      <x:c r="E1529" s="46" t="n">
        <x:f>D1529*(C1529-1)</x:f>
        <x:v>0.05878960065882444</x:v>
      </x:c>
      <x:c r="F1529" s="2"/>
      <x:c r="G1529" s="2"/>
      <x:c r="H1529" s="2"/>
    </x:row>
    <x:row r="1530" ht="22" customHeight="1">
      <x:c r="A1530" s="2" t="n">
        <x:v>1524</x:v>
      </x:c>
      <x:c r="B1530" s="79" t="n">
        <x:v>-1.4694206021134613</x:v>
      </x:c>
      <x:c r="C1530" s="46" t="n">
        <x:f>B1530^2</x:f>
        <x:v>2.159196905915487</x:v>
      </x:c>
      <x:c r="D1530" s="47" t="n">
        <x:f>'Datos'!$B$26^3/3</x:f>
        <x:v>0.3333333333333333</x:v>
      </x:c>
      <x:c r="E1530" s="46" t="n">
        <x:f>D1530*(C1530-1)</x:f>
        <x:v>0.3863989686384957</x:v>
      </x:c>
      <x:c r="F1530" s="2"/>
      <x:c r="G1530" s="2"/>
      <x:c r="H1530" s="2"/>
    </x:row>
    <x:row r="1531" ht="22" customHeight="1">
      <x:c r="A1531" s="2" t="n">
        <x:v>1525</x:v>
      </x:c>
      <x:c r="B1531" s="79" t="n">
        <x:v>-0.8472184062869191</x:v>
      </x:c>
      <x:c r="C1531" s="46" t="n">
        <x:f>B1531^2</x:f>
        <x:v>0.7177790279513472</x:v>
      </x:c>
      <x:c r="D1531" s="47" t="n">
        <x:f>'Datos'!$B$26^3/3</x:f>
        <x:v>0.3333333333333333</x:v>
      </x:c>
      <x:c r="E1531" s="46" t="n">
        <x:f>D1531*(C1531-1)</x:f>
        <x:v>-0.09407365734955093</x:v>
      </x:c>
      <x:c r="F1531" s="2"/>
      <x:c r="G1531" s="2"/>
      <x:c r="H1531" s="2"/>
    </x:row>
    <x:row r="1532" ht="22" customHeight="1">
      <x:c r="A1532" s="2" t="n">
        <x:v>1526</x:v>
      </x:c>
      <x:c r="B1532" s="79" t="n">
        <x:v>-0.508494869952942</x:v>
      </x:c>
      <x:c r="C1532" s="46" t="n">
        <x:f>B1532^2</x:f>
        <x:v>0.25856703276845944</x:v>
      </x:c>
      <x:c r="D1532" s="47" t="n">
        <x:f>'Datos'!$B$26^3/3</x:f>
        <x:v>0.3333333333333333</x:v>
      </x:c>
      <x:c r="E1532" s="46" t="n">
        <x:f>D1532*(C1532-1)</x:f>
        <x:v>-0.24714432241051348</x:v>
      </x:c>
      <x:c r="F1532" s="2"/>
      <x:c r="G1532" s="2"/>
      <x:c r="H1532" s="2"/>
    </x:row>
    <x:row r="1533" ht="22" customHeight="1">
      <x:c r="A1533" s="2" t="n">
        <x:v>1527</x:v>
      </x:c>
      <x:c r="B1533" s="79" t="n">
        <x:v>-0.13694683233844296</x:v>
      </x:c>
      <x:c r="C1533" s="46" t="n">
        <x:f>B1533^2</x:f>
        <x:v>0.018754434887533606</x:v>
      </x:c>
      <x:c r="D1533" s="47" t="n">
        <x:f>'Datos'!$B$26^3/3</x:f>
        <x:v>0.3333333333333333</x:v>
      </x:c>
      <x:c r="E1533" s="46" t="n">
        <x:f>D1533*(C1533-1)</x:f>
        <x:v>-0.32708185503748877</x:v>
      </x:c>
      <x:c r="F1533" s="2"/>
      <x:c r="G1533" s="2"/>
      <x:c r="H1533" s="2"/>
    </x:row>
    <x:row r="1534" ht="22" customHeight="1">
      <x:c r="A1534" s="2" t="n">
        <x:v>1528</x:v>
      </x:c>
      <x:c r="B1534" s="79" t="n">
        <x:v>-0.9208530274419124</x:v>
      </x:c>
      <x:c r="C1534" s="46" t="n">
        <x:f>B1534^2</x:f>
        <x:v>0.8479702981489355</x:v>
      </x:c>
      <x:c r="D1534" s="47" t="n">
        <x:f>'Datos'!$B$26^3/3</x:f>
        <x:v>0.3333333333333333</x:v>
      </x:c>
      <x:c r="E1534" s="46" t="n">
        <x:f>D1534*(C1534-1)</x:f>
        <x:v>-0.05067656728368815</x:v>
      </x:c>
      <x:c r="F1534" s="2"/>
      <x:c r="G1534" s="2"/>
      <x:c r="H1534" s="2"/>
    </x:row>
    <x:row r="1535" ht="22" customHeight="1">
      <x:c r="A1535" s="2" t="n">
        <x:v>1529</x:v>
      </x:c>
      <x:c r="B1535" s="79" t="n">
        <x:v>-1.4997055811199294</x:v>
      </x:c>
      <x:c r="C1535" s="46" t="n">
        <x:f>B1535^2</x:f>
        <x:v>2.249116830042265</x:v>
      </x:c>
      <x:c r="D1535" s="47" t="n">
        <x:f>'Datos'!$B$26^3/3</x:f>
        <x:v>0.3333333333333333</x:v>
      </x:c>
      <x:c r="E1535" s="46" t="n">
        <x:f>D1535*(C1535-1)</x:f>
        <x:v>0.416372276680755</x:v>
      </x:c>
      <x:c r="F1535" s="2"/>
      <x:c r="G1535" s="2"/>
      <x:c r="H1535" s="2"/>
    </x:row>
    <x:row r="1536" ht="22" customHeight="1">
      <x:c r="A1536" s="2" t="n">
        <x:v>1530</x:v>
      </x:c>
      <x:c r="B1536" s="79" t="n">
        <x:v>-0.4607087063046163</x:v>
      </x:c>
      <x:c r="C1536" s="46" t="n">
        <x:f>B1536^2</x:f>
        <x:v>0.2122525120648732</x:v>
      </x:c>
      <x:c r="D1536" s="47" t="n">
        <x:f>'Datos'!$B$26^3/3</x:f>
        <x:v>0.3333333333333333</x:v>
      </x:c>
      <x:c r="E1536" s="46" t="n">
        <x:f>D1536*(C1536-1)</x:f>
        <x:v>-0.2625824959783756</x:v>
      </x:c>
      <x:c r="F1536" s="2"/>
      <x:c r="G1536" s="2"/>
      <x:c r="H1536" s="2"/>
    </x:row>
    <x:row r="1537" ht="22" customHeight="1">
      <x:c r="A1537" s="2" t="n">
        <x:v>1531</x:v>
      </x:c>
      <x:c r="B1537" s="79" t="n">
        <x:v>-1.3951620716897482</x:v>
      </x:c>
      <x:c r="C1537" s="46" t="n">
        <x:f>B1537^2</x:f>
        <x:v>1.94647720628163</x:v>
      </x:c>
      <x:c r="D1537" s="47" t="n">
        <x:f>'Datos'!$B$26^3/3</x:f>
        <x:v>0.3333333333333333</x:v>
      </x:c>
      <x:c r="E1537" s="46" t="n">
        <x:f>D1537*(C1537-1)</x:f>
        <x:v>0.31549240209387663</x:v>
      </x:c>
      <x:c r="F1537" s="2"/>
      <x:c r="G1537" s="2"/>
      <x:c r="H1537" s="2"/>
    </x:row>
    <x:row r="1538" ht="22" customHeight="1">
      <x:c r="A1538" s="2" t="n">
        <x:v>1532</x:v>
      </x:c>
      <x:c r="B1538" s="79" t="n">
        <x:v>1.451567758421002</x:v>
      </x:c>
      <x:c r="C1538" s="46" t="n">
        <x:f>B1538^2</x:f>
        <x:v>2.1070489572873727</x:v>
      </x:c>
      <x:c r="D1538" s="47" t="n">
        <x:f>'Datos'!$B$26^3/3</x:f>
        <x:v>0.3333333333333333</x:v>
      </x:c>
      <x:c r="E1538" s="46" t="n">
        <x:f>D1538*(C1538-1)</x:f>
        <x:v>0.3690163190957909</x:v>
      </x:c>
      <x:c r="F1538" s="2"/>
      <x:c r="G1538" s="2"/>
      <x:c r="H1538" s="2"/>
    </x:row>
    <x:row r="1539" ht="22" customHeight="1">
      <x:c r="A1539" s="2" t="n">
        <x:v>1533</x:v>
      </x:c>
      <x:c r="B1539" s="79" t="n">
        <x:v>1.2648175333097789</x:v>
      </x:c>
      <x:c r="C1539" s="46" t="n">
        <x:f>B1539^2</x:f>
        <x:v>1.5997633925678336</x:v>
      </x:c>
      <x:c r="D1539" s="47" t="n">
        <x:f>'Datos'!$B$26^3/3</x:f>
        <x:v>0.3333333333333333</x:v>
      </x:c>
      <x:c r="E1539" s="46" t="n">
        <x:f>D1539*(C1539-1)</x:f>
        <x:v>0.19992113085594454</x:v>
      </x:c>
      <x:c r="F1539" s="2"/>
      <x:c r="G1539" s="2"/>
      <x:c r="H1539" s="2"/>
    </x:row>
    <x:row r="1540" ht="22" customHeight="1">
      <x:c r="A1540" s="2" t="n">
        <x:v>1534</x:v>
      </x:c>
      <x:c r="B1540" s="79" t="n">
        <x:v>-0.952374087148765</x:v>
      </x:c>
      <x:c r="C1540" s="46" t="n">
        <x:f>B1540^2</x:f>
        <x:v>0.9070164018724435</x:v>
      </x:c>
      <x:c r="D1540" s="47" t="n">
        <x:f>'Datos'!$B$26^3/3</x:f>
        <x:v>0.3333333333333333</x:v>
      </x:c>
      <x:c r="E1540" s="46" t="n">
        <x:f>D1540*(C1540-1)</x:f>
        <x:v>-0.030994532709185507</x:v>
      </x:c>
      <x:c r="F1540" s="2"/>
      <x:c r="G1540" s="2"/>
      <x:c r="H1540" s="2"/>
    </x:row>
    <x:row r="1541" ht="22" customHeight="1">
      <x:c r="A1541" s="2" t="n">
        <x:v>1535</x:v>
      </x:c>
      <x:c r="B1541" s="79" t="n">
        <x:v>-0.35432071251682273</x:v>
      </x:c>
      <x:c r="C1541" s="46" t="n">
        <x:f>B1541^2</x:f>
        <x:v>0.12554316731842893</x:v>
      </x:c>
      <x:c r="D1541" s="47" t="n">
        <x:f>'Datos'!$B$26^3/3</x:f>
        <x:v>0.3333333333333333</x:v>
      </x:c>
      <x:c r="E1541" s="46" t="n">
        <x:f>D1541*(C1541-1)</x:f>
        <x:v>-0.291485610893857</x:v>
      </x:c>
      <x:c r="F1541" s="2"/>
      <x:c r="G1541" s="2"/>
      <x:c r="H1541" s="2"/>
    </x:row>
    <x:row r="1542" ht="22" customHeight="1">
      <x:c r="A1542" s="2" t="n">
        <x:v>1536</x:v>
      </x:c>
      <x:c r="B1542" s="79" t="n">
        <x:v>-0.4338391923015743</x:v>
      </x:c>
      <x:c r="C1542" s="46" t="n">
        <x:f>B1542^2</x:f>
        <x:v>0.18821644477688237</x:v>
      </x:c>
      <x:c r="D1542" s="47" t="n">
        <x:f>'Datos'!$B$26^3/3</x:f>
        <x:v>0.3333333333333333</x:v>
      </x:c>
      <x:c r="E1542" s="46" t="n">
        <x:f>D1542*(C1542-1)</x:f>
        <x:v>-0.2705945184077059</x:v>
      </x:c>
      <x:c r="F1542" s="2"/>
      <x:c r="G1542" s="2"/>
      <x:c r="H1542" s="2"/>
    </x:row>
    <x:row r="1543" ht="22" customHeight="1">
      <x:c r="A1543" s="2" t="n">
        <x:v>1537</x:v>
      </x:c>
      <x:c r="B1543" s="79" t="n">
        <x:v>-0.47374304333748485</x:v>
      </x:c>
      <x:c r="C1543" s="46" t="n">
        <x:f>B1543^2</x:f>
        <x:v>0.22443247111066206</x:v>
      </x:c>
      <x:c r="D1543" s="47" t="n">
        <x:f>'Datos'!$B$26^3/3</x:f>
        <x:v>0.3333333333333333</x:v>
      </x:c>
      <x:c r="E1543" s="46" t="n">
        <x:f>D1543*(C1543-1)</x:f>
        <x:v>-0.2585225096297793</x:v>
      </x:c>
      <x:c r="F1543" s="2"/>
      <x:c r="G1543" s="2"/>
      <x:c r="H1543" s="2"/>
    </x:row>
    <x:row r="1544" ht="22" customHeight="1">
      <x:c r="A1544" s="2" t="n">
        <x:v>1538</x:v>
      </x:c>
      <x:c r="B1544" s="79" t="n">
        <x:v>-1.1045565548070508</x:v>
      </x:c>
      <x:c r="C1544" s="46" t="n">
        <x:f>B1544^2</x:f>
        <x:v>1.2200451827672214</x:v>
      </x:c>
      <x:c r="D1544" s="47" t="n">
        <x:f>'Datos'!$B$26^3/3</x:f>
        <x:v>0.3333333333333333</x:v>
      </x:c>
      <x:c r="E1544" s="46" t="n">
        <x:f>D1544*(C1544-1)</x:f>
        <x:v>0.07334839425574047</x:v>
      </x:c>
      <x:c r="F1544" s="2"/>
      <x:c r="G1544" s="2"/>
      <x:c r="H1544" s="2"/>
    </x:row>
    <x:row r="1545" ht="22" customHeight="1">
      <x:c r="A1545" s="2" t="n">
        <x:v>1539</x:v>
      </x:c>
      <x:c r="B1545" s="79" t="n">
        <x:v>-0.2966342507866136</x:v>
      </x:c>
      <x:c r="C1545" s="46" t="n">
        <x:f>B1545^2</x:f>
        <x:v>0.08799187873973557</x:v>
      </x:c>
      <x:c r="D1545" s="47" t="n">
        <x:f>'Datos'!$B$26^3/3</x:f>
        <x:v>0.3333333333333333</x:v>
      </x:c>
      <x:c r="E1545" s="46" t="n">
        <x:f>D1545*(C1545-1)</x:f>
        <x:v>-0.3040027070867548</x:v>
      </x:c>
      <x:c r="F1545" s="2"/>
      <x:c r="G1545" s="2"/>
      <x:c r="H1545" s="2"/>
    </x:row>
    <x:row r="1546" ht="22" customHeight="1">
      <x:c r="A1546" s="2" t="n">
        <x:v>1540</x:v>
      </x:c>
      <x:c r="B1546" s="79" t="n">
        <x:v>-0.5481096950072889</x:v>
      </x:c>
      <x:c r="C1546" s="46" t="n">
        <x:f>B1546^2</x:f>
        <x:v>0.30042423776098326</x:v>
      </x:c>
      <x:c r="D1546" s="47" t="n">
        <x:f>'Datos'!$B$26^3/3</x:f>
        <x:v>0.3333333333333333</x:v>
      </x:c>
      <x:c r="E1546" s="46" t="n">
        <x:f>D1546*(C1546-1)</x:f>
        <x:v>-0.2331919207463389</x:v>
      </x:c>
      <x:c r="F1546" s="2"/>
      <x:c r="G1546" s="2"/>
      <x:c r="H1546" s="2"/>
    </x:row>
    <x:row r="1547" ht="22" customHeight="1">
      <x:c r="A1547" s="2" t="n">
        <x:v>1541</x:v>
      </x:c>
      <x:c r="B1547" s="79" t="n">
        <x:v>-0.07937059116816356</x:v>
      </x:c>
      <x:c r="C1547" s="46" t="n">
        <x:f>B1547^2</x:f>
        <x:v>0.006299690742383763</x:v>
      </x:c>
      <x:c r="D1547" s="47" t="n">
        <x:f>'Datos'!$B$26^3/3</x:f>
        <x:v>0.3333333333333333</x:v>
      </x:c>
      <x:c r="E1547" s="46" t="n">
        <x:f>D1547*(C1547-1)</x:f>
        <x:v>-0.3312334364192054</x:v>
      </x:c>
      <x:c r="F1547" s="2"/>
      <x:c r="G1547" s="2"/>
      <x:c r="H1547" s="2"/>
    </x:row>
    <x:row r="1548" ht="22" customHeight="1">
      <x:c r="A1548" s="2" t="n">
        <x:v>1542</x:v>
      </x:c>
      <x:c r="B1548" s="79" t="n">
        <x:v>2.7145619669308574</x:v>
      </x:c>
      <x:c r="C1548" s="46" t="n">
        <x:f>B1548^2</x:f>
        <x:v>7.368846672307526</x:v>
      </x:c>
      <x:c r="D1548" s="47" t="n">
        <x:f>'Datos'!$B$26^3/3</x:f>
        <x:v>0.3333333333333333</x:v>
      </x:c>
      <x:c r="E1548" s="46" t="n">
        <x:f>D1548*(C1548-1)</x:f>
        <x:v>2.122948890769175</x:v>
      </x:c>
      <x:c r="F1548" s="2"/>
      <x:c r="G1548" s="2"/>
      <x:c r="H1548" s="2"/>
    </x:row>
    <x:row r="1549" ht="22" customHeight="1">
      <x:c r="A1549" s="2" t="n">
        <x:v>1543</x:v>
      </x:c>
      <x:c r="B1549" s="79" t="n">
        <x:v>2.094776364557046</x:v>
      </x:c>
      <x:c r="C1549" s="46" t="n">
        <x:f>B1549^2</x:f>
        <x:v>4.388088017506833</x:v>
      </x:c>
      <x:c r="D1549" s="47" t="n">
        <x:f>'Datos'!$B$26^3/3</x:f>
        <x:v>0.3333333333333333</x:v>
      </x:c>
      <x:c r="E1549" s="46" t="n">
        <x:f>D1549*(C1549-1)</x:f>
        <x:v>1.1293626725022776</x:v>
      </x:c>
      <x:c r="F1549" s="2"/>
      <x:c r="G1549" s="2"/>
      <x:c r="H1549" s="2"/>
    </x:row>
    <x:row r="1550" ht="22" customHeight="1">
      <x:c r="A1550" s="2" t="n">
        <x:v>1544</x:v>
      </x:c>
      <x:c r="B1550" s="79" t="n">
        <x:v>0.11870874343488798</x:v>
      </x:c>
      <x:c r="C1550" s="46" t="n">
        <x:f>B1550^2</x:f>
        <x:v>0.01409176576789006</x:v>
      </x:c>
      <x:c r="D1550" s="47" t="n">
        <x:f>'Datos'!$B$26^3/3</x:f>
        <x:v>0.3333333333333333</x:v>
      </x:c>
      <x:c r="E1550" s="46" t="n">
        <x:f>D1550*(C1550-1)</x:f>
        <x:v>-0.32863607807736994</x:v>
      </x:c>
      <x:c r="F1550" s="2"/>
      <x:c r="G1550" s="2"/>
      <x:c r="H1550" s="2"/>
    </x:row>
    <x:row r="1551" ht="22" customHeight="1">
      <x:c r="A1551" s="2" t="n">
        <x:v>1545</x:v>
      </x:c>
      <x:c r="B1551" s="79" t="n">
        <x:v>-0.6620277321085163</x:v>
      </x:c>
      <x:c r="C1551" s="46" t="n">
        <x:f>B1551^2</x:f>
        <x:v>0.4382807180807454</x:v>
      </x:c>
      <x:c r="D1551" s="47" t="n">
        <x:f>'Datos'!$B$26^3/3</x:f>
        <x:v>0.3333333333333333</x:v>
      </x:c>
      <x:c r="E1551" s="46" t="n">
        <x:f>D1551*(C1551-1)</x:f>
        <x:v>-0.1872397606397515</x:v>
      </x:c>
      <x:c r="F1551" s="2"/>
      <x:c r="G1551" s="2"/>
      <x:c r="H1551" s="2"/>
    </x:row>
    <x:row r="1552" ht="22" customHeight="1">
      <x:c r="A1552" s="2" t="n">
        <x:v>1546</x:v>
      </x:c>
      <x:c r="B1552" s="79" t="n">
        <x:v>0.6815090968506455</x:v>
      </x:c>
      <x:c r="C1552" s="46" t="n">
        <x:f>B1552^2</x:f>
        <x:v>0.4644546490901826</x:v>
      </x:c>
      <x:c r="D1552" s="47" t="n">
        <x:f>'Datos'!$B$26^3/3</x:f>
        <x:v>0.3333333333333333</x:v>
      </x:c>
      <x:c r="E1552" s="46" t="n">
        <x:f>D1552*(C1552-1)</x:f>
        <x:v>-0.1785151169699391</x:v>
      </x:c>
      <x:c r="F1552" s="2"/>
      <x:c r="G1552" s="2"/>
      <x:c r="H1552" s="2"/>
    </x:row>
    <x:row r="1553" ht="22" customHeight="1">
      <x:c r="A1553" s="2" t="n">
        <x:v>1547</x:v>
      </x:c>
      <x:c r="B1553" s="79" t="n">
        <x:v>1.3917499835354987</x:v>
      </x:c>
      <x:c r="C1553" s="46" t="n">
        <x:f>B1553^2</x:f>
        <x:v>1.936968016671061</x:v>
      </x:c>
      <x:c r="D1553" s="47" t="n">
        <x:f>'Datos'!$B$26^3/3</x:f>
        <x:v>0.3333333333333333</x:v>
      </x:c>
      <x:c r="E1553" s="46" t="n">
        <x:f>D1553*(C1553-1)</x:f>
        <x:v>0.312322672223687</x:v>
      </x:c>
      <x:c r="F1553" s="2"/>
      <x:c r="G1553" s="2"/>
      <x:c r="H1553" s="2"/>
    </x:row>
    <x:row r="1554" ht="22" customHeight="1">
      <x:c r="A1554" s="2" t="n">
        <x:v>1548</x:v>
      </x:c>
      <x:c r="B1554" s="79" t="n">
        <x:v>0.6415049954667649</x:v>
      </x:c>
      <x:c r="C1554" s="46" t="n">
        <x:f>B1554^2</x:f>
        <x:v>0.41152865920881404</x:v>
      </x:c>
      <x:c r="D1554" s="47" t="n">
        <x:f>'Datos'!$B$26^3/3</x:f>
        <x:v>0.3333333333333333</x:v>
      </x:c>
      <x:c r="E1554" s="46" t="n">
        <x:f>D1554*(C1554-1)</x:f>
        <x:v>-0.19615711359706195</x:v>
      </x:c>
      <x:c r="F1554" s="2"/>
      <x:c r="G1554" s="2"/>
      <x:c r="H1554" s="2"/>
    </x:row>
    <x:row r="1555" ht="22" customHeight="1">
      <x:c r="A1555" s="2" t="n">
        <x:v>1549</x:v>
      </x:c>
      <x:c r="B1555" s="79" t="n">
        <x:v>0.6462670936516991</x:v>
      </x:c>
      <x:c r="C1555" s="46" t="n">
        <x:f>B1555^2</x:f>
        <x:v>0.417661156337014</x:v>
      </x:c>
      <x:c r="D1555" s="47" t="n">
        <x:f>'Datos'!$B$26^3/3</x:f>
        <x:v>0.3333333333333333</x:v>
      </x:c>
      <x:c r="E1555" s="46" t="n">
        <x:f>D1555*(C1555-1)</x:f>
        <x:v>-0.19411294788766198</x:v>
      </x:c>
      <x:c r="F1555" s="2"/>
      <x:c r="G1555" s="2"/>
      <x:c r="H1555" s="2"/>
    </x:row>
    <x:row r="1556" ht="22" customHeight="1">
      <x:c r="A1556" s="2" t="n">
        <x:v>1550</x:v>
      </x:c>
      <x:c r="B1556" s="79" t="n">
        <x:v>-0.251490759857669</x:v>
      </x:c>
      <x:c r="C1556" s="46" t="n">
        <x:f>B1556^2</x:f>
        <x:v>0.06324760229378773</x:v>
      </x:c>
      <x:c r="D1556" s="47" t="n">
        <x:f>'Datos'!$B$26^3/3</x:f>
        <x:v>0.3333333333333333</x:v>
      </x:c>
      <x:c r="E1556" s="46" t="n">
        <x:f>D1556*(C1556-1)</x:f>
        <x:v>-0.31225079923540405</x:v>
      </x:c>
      <x:c r="F1556" s="2"/>
      <x:c r="G1556" s="2"/>
      <x:c r="H1556" s="2"/>
    </x:row>
    <x:row r="1557" ht="22" customHeight="1">
      <x:c r="A1557" s="2" t="n">
        <x:v>1551</x:v>
      </x:c>
      <x:c r="B1557" s="79" t="n">
        <x:v>0.7712858757164343</x:v>
      </x:c>
      <x:c r="C1557" s="46" t="n">
        <x:f>B1557^2</x:f>
        <x:v>0.5948819020796668</x:v>
      </x:c>
      <x:c r="D1557" s="47" t="n">
        <x:f>'Datos'!$B$26^3/3</x:f>
        <x:v>0.3333333333333333</x:v>
      </x:c>
      <x:c r="E1557" s="46" t="n">
        <x:f>D1557*(C1557-1)</x:f>
        <x:v>-0.13503936597344438</x:v>
      </x:c>
      <x:c r="F1557" s="2"/>
      <x:c r="G1557" s="2"/>
      <x:c r="H1557" s="2"/>
    </x:row>
    <x:row r="1558" ht="22" customHeight="1">
      <x:c r="A1558" s="2" t="n">
        <x:v>1552</x:v>
      </x:c>
      <x:c r="B1558" s="79" t="n">
        <x:v>-1.1169521839413563</x:v>
      </x:c>
      <x:c r="C1558" s="46" t="n">
        <x:f>B1558^2</x:f>
        <x:v>1.2475821812113654</x:v>
      </x:c>
      <x:c r="D1558" s="47" t="n">
        <x:f>'Datos'!$B$26^3/3</x:f>
        <x:v>0.3333333333333333</x:v>
      </x:c>
      <x:c r="E1558" s="46" t="n">
        <x:f>D1558*(C1558-1)</x:f>
        <x:v>0.08252739373712181</x:v>
      </x:c>
      <x:c r="F1558" s="2"/>
      <x:c r="G1558" s="2"/>
      <x:c r="H1558" s="2"/>
    </x:row>
    <x:row r="1559" ht="22" customHeight="1">
      <x:c r="A1559" s="2" t="n">
        <x:v>1553</x:v>
      </x:c>
      <x:c r="B1559" s="79" t="n">
        <x:v>-1.6260818572668159</x:v>
      </x:c>
      <x:c r="C1559" s="46" t="n">
        <x:f>B1559^2</x:f>
        <x:v>2.6441422065322975</x:v>
      </x:c>
      <x:c r="D1559" s="47" t="n">
        <x:f>'Datos'!$B$26^3/3</x:f>
        <x:v>0.3333333333333333</x:v>
      </x:c>
      <x:c r="E1559" s="46" t="n">
        <x:f>D1559*(C1559-1)</x:f>
        <x:v>0.5480474021774324</x:v>
      </x:c>
      <x:c r="F1559" s="2"/>
      <x:c r="G1559" s="2"/>
      <x:c r="H1559" s="2"/>
    </x:row>
    <x:row r="1560" ht="22" customHeight="1">
      <x:c r="A1560" s="2" t="n">
        <x:v>1554</x:v>
      </x:c>
      <x:c r="B1560" s="79" t="n">
        <x:v>-0.49304377170042063</x:v>
      </x:c>
      <x:c r="C1560" s="46" t="n">
        <x:f>B1560^2</x:f>
        <x:v>0.2430921608125765</x:v>
      </x:c>
      <x:c r="D1560" s="47" t="n">
        <x:f>'Datos'!$B$26^3/3</x:f>
        <x:v>0.3333333333333333</x:v>
      </x:c>
      <x:c r="E1560" s="46" t="n">
        <x:f>D1560*(C1560-1)</x:f>
        <x:v>-0.2523026130624745</x:v>
      </x:c>
      <x:c r="F1560" s="2"/>
      <x:c r="G1560" s="2"/>
      <x:c r="H1560" s="2"/>
    </x:row>
    <x:row r="1561" ht="22" customHeight="1">
      <x:c r="A1561" s="2" t="n">
        <x:v>1555</x:v>
      </x:c>
      <x:c r="B1561" s="79" t="n">
        <x:v>-0.3978134357978401</x:v>
      </x:c>
      <x:c r="C1561" s="46" t="n">
        <x:f>B1561^2</x:f>
        <x:v>0.15825552970128226</x:v>
      </x:c>
      <x:c r="D1561" s="47" t="n">
        <x:f>'Datos'!$B$26^3/3</x:f>
        <x:v>0.3333333333333333</x:v>
      </x:c>
      <x:c r="E1561" s="46" t="n">
        <x:f>D1561*(C1561-1)</x:f>
        <x:v>-0.28058149009957256</x:v>
      </x:c>
      <x:c r="F1561" s="2"/>
      <x:c r="G1561" s="2"/>
      <x:c r="H1561" s="2"/>
    </x:row>
    <x:row r="1562" ht="22" customHeight="1">
      <x:c r="A1562" s="2" t="n">
        <x:v>1556</x:v>
      </x:c>
      <x:c r="B1562" s="79" t="n">
        <x:v>1.2005586935626247</x:v>
      </x:c>
      <x:c r="C1562" s="46" t="n">
        <x:f>B1562^2</x:f>
        <x:v>1.4413411766887962</x:v>
      </x:c>
      <x:c r="D1562" s="47" t="n">
        <x:f>'Datos'!$B$26^3/3</x:f>
        <x:v>0.3333333333333333</x:v>
      </x:c>
      <x:c r="E1562" s="46" t="n">
        <x:f>D1562*(C1562-1)</x:f>
        <x:v>0.14711372556293206</x:v>
      </x:c>
      <x:c r="F1562" s="2"/>
      <x:c r="G1562" s="2"/>
      <x:c r="H1562" s="2"/>
    </x:row>
    <x:row r="1563" ht="22" customHeight="1">
      <x:c r="A1563" s="2" t="n">
        <x:v>1557</x:v>
      </x:c>
      <x:c r="B1563" s="79" t="n">
        <x:v>1.3601172008025408</x:v>
      </x:c>
      <x:c r="C1563" s="46" t="n">
        <x:f>B1563^2</x:f>
        <x:v>1.8499187999189393</x:v>
      </x:c>
      <x:c r="D1563" s="47" t="n">
        <x:f>'Datos'!$B$26^3/3</x:f>
        <x:v>0.3333333333333333</x:v>
      </x:c>
      <x:c r="E1563" s="46" t="n">
        <x:f>D1563*(C1563-1)</x:f>
        <x:v>0.2833062666396464</x:v>
      </x:c>
      <x:c r="F1563" s="2"/>
      <x:c r="G1563" s="2"/>
      <x:c r="H1563" s="2"/>
    </x:row>
    <x:row r="1564" ht="22" customHeight="1">
      <x:c r="A1564" s="2" t="n">
        <x:v>1558</x:v>
      </x:c>
      <x:c r="B1564" s="79" t="n">
        <x:v>0.7108501623253536</x:v>
      </x:c>
      <x:c r="C1564" s="46" t="n">
        <x:f>B1564^2</x:f>
        <x:v>0.5053079532779815</x:v>
      </x:c>
      <x:c r="D1564" s="47" t="n">
        <x:f>'Datos'!$B$26^3/3</x:f>
        <x:v>0.3333333333333333</x:v>
      </x:c>
      <x:c r="E1564" s="46" t="n">
        <x:f>D1564*(C1564-1)</x:f>
        <x:v>-0.16489734890733948</x:v>
      </x:c>
      <x:c r="F1564" s="2"/>
      <x:c r="G1564" s="2"/>
      <x:c r="H1564" s="2"/>
    </x:row>
    <x:row r="1565" ht="22" customHeight="1">
      <x:c r="A1565" s="2" t="n">
        <x:v>1559</x:v>
      </x:c>
      <x:c r="B1565" s="79" t="n">
        <x:v>-0.6544794214394035</x:v>
      </x:c>
      <x:c r="C1565" s="46" t="n">
        <x:f>B1565^2</x:f>
        <x:v>0.4283433130876564</x:v>
      </x:c>
      <x:c r="D1565" s="47" t="n">
        <x:f>'Datos'!$B$26^3/3</x:f>
        <x:v>0.3333333333333333</x:v>
      </x:c>
      <x:c r="E1565" s="46" t="n">
        <x:f>D1565*(C1565-1)</x:f>
        <x:v>-0.1905522289707812</x:v>
      </x:c>
      <x:c r="F1565" s="2"/>
      <x:c r="G1565" s="2"/>
      <x:c r="H1565" s="2"/>
    </x:row>
    <x:row r="1566" ht="22" customHeight="1">
      <x:c r="A1566" s="2" t="n">
        <x:v>1560</x:v>
      </x:c>
      <x:c r="B1566" s="79" t="n">
        <x:v>1.5255863479191</x:v>
      </x:c>
      <x:c r="C1566" s="46" t="n">
        <x:f>B1566^2</x:f>
        <x:v>2.3274137049571375</x:v>
      </x:c>
      <x:c r="D1566" s="47" t="n">
        <x:f>'Datos'!$B$26^3/3</x:f>
        <x:v>0.3333333333333333</x:v>
      </x:c>
      <x:c r="E1566" s="46" t="n">
        <x:f>D1566*(C1566-1)</x:f>
        <x:v>0.4424712349857125</x:v>
      </x:c>
      <x:c r="F1566" s="2"/>
      <x:c r="G1566" s="2"/>
      <x:c r="H1566" s="2"/>
    </x:row>
    <x:row r="1567" ht="22" customHeight="1">
      <x:c r="A1567" s="2" t="n">
        <x:v>1561</x:v>
      </x:c>
      <x:c r="B1567" s="79" t="n">
        <x:v>0.5420096811969455</x:v>
      </x:c>
      <x:c r="C1567" s="46" t="n">
        <x:f>B1567^2</x:f>
        <x:v>0.29377449451121446</x:v>
      </x:c>
      <x:c r="D1567" s="47" t="n">
        <x:f>'Datos'!$B$26^3/3</x:f>
        <x:v>0.3333333333333333</x:v>
      </x:c>
      <x:c r="E1567" s="46" t="n">
        <x:f>D1567*(C1567-1)</x:f>
        <x:v>-0.2354085018295952</x:v>
      </x:c>
      <x:c r="F1567" s="2"/>
      <x:c r="G1567" s="2"/>
      <x:c r="H1567" s="2"/>
    </x:row>
    <x:row r="1568" ht="22" customHeight="1">
      <x:c r="A1568" s="2" t="n">
        <x:v>1562</x:v>
      </x:c>
      <x:c r="B1568" s="79" t="n">
        <x:v>0.055954176586446885</x:v>
      </x:c>
      <x:c r="C1568" s="46" t="n">
        <x:f>B1568^2</x:f>
        <x:v>0.003130869877467281</x:v>
      </x:c>
      <x:c r="D1568" s="47" t="n">
        <x:f>'Datos'!$B$26^3/3</x:f>
        <x:v>0.3333333333333333</x:v>
      </x:c>
      <x:c r="E1568" s="46" t="n">
        <x:f>D1568*(C1568-1)</x:f>
        <x:v>-0.33228971004084423</x:v>
      </x:c>
      <x:c r="F1568" s="2"/>
      <x:c r="G1568" s="2"/>
      <x:c r="H1568" s="2"/>
    </x:row>
    <x:row r="1569" ht="22" customHeight="1">
      <x:c r="A1569" s="2" t="n">
        <x:v>1563</x:v>
      </x:c>
      <x:c r="B1569" s="79" t="n">
        <x:v>0.7682759786982282</x:v>
      </x:c>
      <x:c r="C1569" s="46" t="n">
        <x:f>B1569^2</x:f>
        <x:v>0.5902479794447203</x:v>
      </x:c>
      <x:c r="D1569" s="47" t="n">
        <x:f>'Datos'!$B$26^3/3</x:f>
        <x:v>0.3333333333333333</x:v>
      </x:c>
      <x:c r="E1569" s="46" t="n">
        <x:f>D1569*(C1569-1)</x:f>
        <x:v>-0.1365840068517599</x:v>
      </x:c>
      <x:c r="F1569" s="2"/>
      <x:c r="G1569" s="2"/>
      <x:c r="H1569" s="2"/>
    </x:row>
    <x:row r="1570" ht="22" customHeight="1">
      <x:c r="A1570" s="2" t="n">
        <x:v>1564</x:v>
      </x:c>
      <x:c r="B1570" s="79" t="n">
        <x:v>0.38962633011542414</x:v>
      </x:c>
      <x:c r="C1570" s="46" t="n">
        <x:f>B1570^2</x:f>
        <x:v>0.15180867711921348</x:v>
      </x:c>
      <x:c r="D1570" s="47" t="n">
        <x:f>'Datos'!$B$26^3/3</x:f>
        <x:v>0.3333333333333333</x:v>
      </x:c>
      <x:c r="E1570" s="46" t="n">
        <x:f>D1570*(C1570-1)</x:f>
        <x:v>-0.2827304409602621</x:v>
      </x:c>
      <x:c r="F1570" s="2"/>
      <x:c r="G1570" s="2"/>
      <x:c r="H1570" s="2"/>
    </x:row>
    <x:row r="1571" ht="22" customHeight="1">
      <x:c r="A1571" s="2" t="n">
        <x:v>1565</x:v>
      </x:c>
      <x:c r="B1571" s="79" t="n">
        <x:v>-0.2647835279666436</x:v>
      </x:c>
      <x:c r="C1571" s="46" t="n">
        <x:f>B1571^2</x:f>
        <x:v>0.07011031668246234</x:v>
      </x:c>
      <x:c r="D1571" s="47" t="n">
        <x:f>'Datos'!$B$26^3/3</x:f>
        <x:v>0.3333333333333333</x:v>
      </x:c>
      <x:c r="E1571" s="46" t="n">
        <x:f>D1571*(C1571-1)</x:f>
        <x:v>-0.3099632277725125</x:v>
      </x:c>
      <x:c r="F1571" s="2"/>
      <x:c r="G1571" s="2"/>
      <x:c r="H1571" s="2"/>
    </x:row>
    <x:row r="1572" ht="22" customHeight="1">
      <x:c r="A1572" s="2" t="n">
        <x:v>1566</x:v>
      </x:c>
      <x:c r="B1572" s="79" t="n">
        <x:v>-0.14615865322133284</x:v>
      </x:c>
      <x:c r="C1572" s="46" t="n">
        <x:f>B1572^2</x:f>
        <x:v>0.02136235191147383</x:v>
      </x:c>
      <x:c r="D1572" s="47" t="n">
        <x:f>'Datos'!$B$26^3/3</x:f>
        <x:v>0.3333333333333333</x:v>
      </x:c>
      <x:c r="E1572" s="46" t="n">
        <x:f>D1572*(C1572-1)</x:f>
        <x:v>-0.32621254936284205</x:v>
      </x:c>
      <x:c r="F1572" s="2"/>
      <x:c r="G1572" s="2"/>
      <x:c r="H1572" s="2"/>
    </x:row>
    <x:row r="1573" ht="22" customHeight="1">
      <x:c r="A1573" s="2" t="n">
        <x:v>1567</x:v>
      </x:c>
      <x:c r="B1573" s="79" t="n">
        <x:v>0.10279780819180552</x:v>
      </x:c>
      <x:c r="C1573" s="46" t="n">
        <x:f>B1573^2</x:f>
        <x:v>0.010567389369039238</x:v>
      </x:c>
      <x:c r="D1573" s="47" t="n">
        <x:f>'Datos'!$B$26^3/3</x:f>
        <x:v>0.3333333333333333</x:v>
      </x:c>
      <x:c r="E1573" s="46" t="n">
        <x:f>D1573*(C1573-1)</x:f>
        <x:v>-0.32981087021032024</x:v>
      </x:c>
      <x:c r="F1573" s="2"/>
      <x:c r="G1573" s="2"/>
      <x:c r="H1573" s="2"/>
    </x:row>
    <x:row r="1574" ht="22" customHeight="1">
      <x:c r="A1574" s="2" t="n">
        <x:v>1568</x:v>
      </x:c>
      <x:c r="B1574" s="79" t="n">
        <x:v>-0.14644847025841845</x:v>
      </x:c>
      <x:c r="C1574" s="46" t="n">
        <x:f>B1574^2</x:f>
        <x:v>0.021447154441030875</x:v>
      </x:c>
      <x:c r="D1574" s="47" t="n">
        <x:f>'Datos'!$B$26^3/3</x:f>
        <x:v>0.3333333333333333</x:v>
      </x:c>
      <x:c r="E1574" s="46" t="n">
        <x:f>D1574*(C1574-1)</x:f>
        <x:v>-0.3261842818529897</x:v>
      </x:c>
      <x:c r="F1574" s="2"/>
      <x:c r="G1574" s="2"/>
      <x:c r="H1574" s="2"/>
    </x:row>
    <x:row r="1575" ht="22" customHeight="1">
      <x:c r="A1575" s="2" t="n">
        <x:v>1569</x:v>
      </x:c>
      <x:c r="B1575" s="79" t="n">
        <x:v>-0.3899613558645819</x:v>
      </x:c>
      <x:c r="C1575" s="46" t="n">
        <x:f>B1575^2</x:f>
        <x:v>0.1520698590677431</x:v>
      </x:c>
      <x:c r="D1575" s="47" t="n">
        <x:f>'Datos'!$B$26^3/3</x:f>
        <x:v>0.3333333333333333</x:v>
      </x:c>
      <x:c r="E1575" s="46" t="n">
        <x:f>D1575*(C1575-1)</x:f>
        <x:v>-0.2826433803107523</x:v>
      </x:c>
      <x:c r="F1575" s="2"/>
      <x:c r="G1575" s="2"/>
      <x:c r="H1575" s="2"/>
    </x:row>
    <x:row r="1576" ht="22" customHeight="1">
      <x:c r="A1576" s="2" t="n">
        <x:v>1570</x:v>
      </x:c>
      <x:c r="B1576" s="79" t="n">
        <x:v>2.022477837365362</x:v>
      </x:c>
      <x:c r="C1576" s="46" t="n">
        <x:f>B1576^2</x:f>
        <x:v>4.090416602634071</x:v>
      </x:c>
      <x:c r="D1576" s="47" t="n">
        <x:f>'Datos'!$B$26^3/3</x:f>
        <x:v>0.3333333333333333</x:v>
      </x:c>
      <x:c r="E1576" s="46" t="n">
        <x:f>D1576*(C1576-1)</x:f>
        <x:v>1.0301388675446903</x:v>
      </x:c>
      <x:c r="F1576" s="2"/>
      <x:c r="G1576" s="2"/>
      <x:c r="H1576" s="2"/>
    </x:row>
    <x:row r="1577" ht="22" customHeight="1">
      <x:c r="A1577" s="2" t="n">
        <x:v>1571</x:v>
      </x:c>
      <x:c r="B1577" s="79" t="n">
        <x:v>1.455212342038963</x:v>
      </x:c>
      <x:c r="C1577" s="46" t="n">
        <x:f>B1577^2</x:f>
        <x:v>2.117642960422524</x:v>
      </x:c>
      <x:c r="D1577" s="47" t="n">
        <x:f>'Datos'!$B$26^3/3</x:f>
        <x:v>0.3333333333333333</x:v>
      </x:c>
      <x:c r="E1577" s="46" t="n">
        <x:f>D1577*(C1577-1)</x:f>
        <x:v>0.37254765347417473</x:v>
      </x:c>
      <x:c r="F1577" s="2"/>
      <x:c r="G1577" s="2"/>
      <x:c r="H1577" s="2"/>
    </x:row>
    <x:row r="1578" ht="22" customHeight="1">
      <x:c r="A1578" s="2" t="n">
        <x:v>1572</x:v>
      </x:c>
      <x:c r="B1578" s="79" t="n">
        <x:v>0.9737043384985957</x:v>
      </x:c>
      <x:c r="C1578" s="46" t="n">
        <x:f>B1578^2</x:f>
        <x:v>0.9481001388109879</x:v>
      </x:c>
      <x:c r="D1578" s="47" t="n">
        <x:f>'Datos'!$B$26^3/3</x:f>
        <x:v>0.3333333333333333</x:v>
      </x:c>
      <x:c r="E1578" s="46" t="n">
        <x:f>D1578*(C1578-1)</x:f>
        <x:v>-0.01729995372967071</x:v>
      </x:c>
      <x:c r="F1578" s="2"/>
      <x:c r="G1578" s="2"/>
      <x:c r="H1578" s="2"/>
    </x:row>
    <x:row r="1579" ht="22" customHeight="1">
      <x:c r="A1579" s="2" t="n">
        <x:v>1573</x:v>
      </x:c>
      <x:c r="B1579" s="79" t="n">
        <x:v>-1.9911613845133682</x:v>
      </x:c>
      <x:c r="C1579" s="46" t="n">
        <x:f>B1579^2</x:f>
        <x:v>3.9647236591771935</x:v>
      </x:c>
      <x:c r="D1579" s="47" t="n">
        <x:f>'Datos'!$B$26^3/3</x:f>
        <x:v>0.3333333333333333</x:v>
      </x:c>
      <x:c r="E1579" s="46" t="n">
        <x:f>D1579*(C1579-1)</x:f>
        <x:v>0.9882412197257311</x:v>
      </x:c>
      <x:c r="F1579" s="2"/>
      <x:c r="G1579" s="2"/>
      <x:c r="H1579" s="2"/>
    </x:row>
    <x:row r="1580" ht="22" customHeight="1">
      <x:c r="A1580" s="2" t="n">
        <x:v>1574</x:v>
      </x:c>
      <x:c r="B1580" s="79" t="n">
        <x:v>-0.808519078801771</x:v>
      </x:c>
      <x:c r="C1580" s="46" t="n">
        <x:f>B1580^2</x:f>
        <x:v>0.6537031007864643</x:v>
      </x:c>
      <x:c r="D1580" s="47" t="n">
        <x:f>'Datos'!$B$26^3/3</x:f>
        <x:v>0.3333333333333333</x:v>
      </x:c>
      <x:c r="E1580" s="46" t="n">
        <x:f>D1580*(C1580-1)</x:f>
        <x:v>-0.11543229973784522</x:v>
      </x:c>
      <x:c r="F1580" s="2"/>
      <x:c r="G1580" s="2"/>
      <x:c r="H1580" s="2"/>
    </x:row>
    <x:row r="1581" ht="22" customHeight="1">
      <x:c r="A1581" s="2" t="n">
        <x:v>1575</x:v>
      </x:c>
      <x:c r="B1581" s="79" t="n">
        <x:v>-0.8937661582021239</x:v>
      </x:c>
      <x:c r="C1581" s="46" t="n">
        <x:f>B1581^2</x:f>
        <x:v>0.798817945547384</x:v>
      </x:c>
      <x:c r="D1581" s="47" t="n">
        <x:f>'Datos'!$B$26^3/3</x:f>
        <x:v>0.3333333333333333</x:v>
      </x:c>
      <x:c r="E1581" s="46" t="n">
        <x:f>D1581*(C1581-1)</x:f>
        <x:v>-0.06706068481753868</x:v>
      </x:c>
      <x:c r="F1581" s="2"/>
      <x:c r="G1581" s="2"/>
      <x:c r="H1581" s="2"/>
    </x:row>
    <x:row r="1582" ht="22" customHeight="1">
      <x:c r="A1582" s="2" t="n">
        <x:v>1576</x:v>
      </x:c>
      <x:c r="B1582" s="79" t="n">
        <x:v>0.3666052666269053</x:v>
      </x:c>
      <x:c r="C1582" s="46" t="n">
        <x:f>B1582^2</x:f>
        <x:v>0.1343994215185843</x:v>
      </x:c>
      <x:c r="D1582" s="47" t="n">
        <x:f>'Datos'!$B$26^3/3</x:f>
        <x:v>0.3333333333333333</x:v>
      </x:c>
      <x:c r="E1582" s="46" t="n">
        <x:f>D1582*(C1582-1)</x:f>
        <x:v>-0.2885335261604719</x:v>
      </x:c>
      <x:c r="F1582" s="2"/>
      <x:c r="G1582" s="2"/>
      <x:c r="H1582" s="2"/>
    </x:row>
    <x:row r="1583" ht="22" customHeight="1">
      <x:c r="A1583" s="2" t="n">
        <x:v>1577</x:v>
      </x:c>
      <x:c r="B1583" s="79" t="n">
        <x:v>1.2407445314808516</x:v>
      </x:c>
      <x:c r="C1583" s="46" t="n">
        <x:f>B1583^2</x:f>
        <x:v>1.539446992399638</x:v>
      </x:c>
      <x:c r="D1583" s="47" t="n">
        <x:f>'Datos'!$B$26^3/3</x:f>
        <x:v>0.3333333333333333</x:v>
      </x:c>
      <x:c r="E1583" s="46" t="n">
        <x:f>D1583*(C1583-1)</x:f>
        <x:v>0.17981566413321262</x:v>
      </x:c>
      <x:c r="F1583" s="2"/>
      <x:c r="G1583" s="2"/>
      <x:c r="H1583" s="2"/>
    </x:row>
    <x:row r="1584" ht="22" customHeight="1">
      <x:c r="A1584" s="2" t="n">
        <x:v>1578</x:v>
      </x:c>
      <x:c r="B1584" s="79" t="n">
        <x:v>-0.25432022284427486</x:v>
      </x:c>
      <x:c r="C1584" s="46" t="n">
        <x:f>B1584^2</x:f>
        <x:v>0.06467877574756162</x:v>
      </x:c>
      <x:c r="D1584" s="47" t="n">
        <x:f>'Datos'!$B$26^3/3</x:f>
        <x:v>0.3333333333333333</x:v>
      </x:c>
      <x:c r="E1584" s="46" t="n">
        <x:f>D1584*(C1584-1)</x:f>
        <x:v>-0.31177374141747943</x:v>
      </x:c>
      <x:c r="F1584" s="2"/>
      <x:c r="G1584" s="2"/>
      <x:c r="H1584" s="2"/>
    </x:row>
    <x:row r="1585" ht="22" customHeight="1">
      <x:c r="A1585" s="2" t="n">
        <x:v>1579</x:v>
      </x:c>
      <x:c r="B1585" s="79" t="n">
        <x:v>-0.26172124278273573</x:v>
      </x:c>
      <x:c r="C1585" s="46" t="n">
        <x:f>B1585^2</x:f>
        <x:v>0.0684980089237397</x:v>
      </x:c>
      <x:c r="D1585" s="47" t="n">
        <x:f>'Datos'!$B$26^3/3</x:f>
        <x:v>0.3333333333333333</x:v>
      </x:c>
      <x:c r="E1585" s="46" t="n">
        <x:f>D1585*(C1585-1)</x:f>
        <x:v>-0.31050066369208673</x:v>
      </x:c>
      <x:c r="F1585" s="2"/>
      <x:c r="G1585" s="2"/>
      <x:c r="H1585" s="2"/>
    </x:row>
    <x:row r="1586" ht="22" customHeight="1">
      <x:c r="A1586" s="2" t="n">
        <x:v>1580</x:v>
      </x:c>
      <x:c r="B1586" s="79" t="n">
        <x:v>0.41283529148223724</x:v>
      </x:c>
      <x:c r="C1586" s="46" t="n">
        <x:f>B1586^2</x:f>
        <x:v>0.17043297789322379</x:v>
      </x:c>
      <x:c r="D1586" s="47" t="n">
        <x:f>'Datos'!$B$26^3/3</x:f>
        <x:v>0.3333333333333333</x:v>
      </x:c>
      <x:c r="E1586" s="46" t="n">
        <x:f>D1586*(C1586-1)</x:f>
        <x:v>-0.27652234070225873</x:v>
      </x:c>
      <x:c r="F1586" s="2"/>
      <x:c r="G1586" s="2"/>
      <x:c r="H1586" s="2"/>
    </x:row>
    <x:row r="1587" ht="22" customHeight="1">
      <x:c r="A1587" s="2" t="n">
        <x:v>1581</x:v>
      </x:c>
      <x:c r="B1587" s="79" t="n">
        <x:v>0.8621196099006723</x:v>
      </x:c>
      <x:c r="C1587" s="46" t="n">
        <x:f>B1587^2</x:f>
        <x:v>0.7432502217752873</x:v>
      </x:c>
      <x:c r="D1587" s="47" t="n">
        <x:f>'Datos'!$B$26^3/3</x:f>
        <x:v>0.3333333333333333</x:v>
      </x:c>
      <x:c r="E1587" s="46" t="n">
        <x:f>D1587*(C1587-1)</x:f>
        <x:v>-0.08558325940823755</x:v>
      </x:c>
      <x:c r="F1587" s="2"/>
      <x:c r="G1587" s="2"/>
      <x:c r="H1587" s="2"/>
    </x:row>
    <x:row r="1588" ht="22" customHeight="1">
      <x:c r="A1588" s="2" t="n">
        <x:v>1582</x:v>
      </x:c>
      <x:c r="B1588" s="79" t="n">
        <x:v>-1.5934557157974567</x:v>
      </x:c>
      <x:c r="C1588" s="46" t="n">
        <x:f>B1588^2</x:f>
        <x:v>2.539101118207585</x:v>
      </x:c>
      <x:c r="D1588" s="47" t="n">
        <x:f>'Datos'!$B$26^3/3</x:f>
        <x:v>0.3333333333333333</x:v>
      </x:c>
      <x:c r="E1588" s="46" t="n">
        <x:f>D1588*(C1588-1)</x:f>
        <x:v>0.513033706069195</x:v>
      </x:c>
      <x:c r="F1588" s="2"/>
      <x:c r="G1588" s="2"/>
      <x:c r="H1588" s="2"/>
    </x:row>
    <x:row r="1589" ht="22" customHeight="1">
      <x:c r="A1589" s="2" t="n">
        <x:v>1583</x:v>
      </x:c>
      <x:c r="B1589" s="79" t="n">
        <x:v>0.24088005082738706</x:v>
      </x:c>
      <x:c r="C1589" s="46" t="n">
        <x:f>B1589^2</x:f>
        <x:v>0.05802319888660457</x:v>
      </x:c>
      <x:c r="D1589" s="47" t="n">
        <x:f>'Datos'!$B$26^3/3</x:f>
        <x:v>0.3333333333333333</x:v>
      </x:c>
      <x:c r="E1589" s="46" t="n">
        <x:f>D1589*(C1589-1)</x:f>
        <x:v>-0.3139922670377985</x:v>
      </x:c>
      <x:c r="F1589" s="2"/>
      <x:c r="G1589" s="2"/>
      <x:c r="H1589" s="2"/>
    </x:row>
    <x:row r="1590" ht="22" customHeight="1">
      <x:c r="A1590" s="2" t="n">
        <x:v>1584</x:v>
      </x:c>
      <x:c r="B1590" s="79" t="n">
        <x:v>1.4726880543758274</x:v>
      </x:c>
      <x:c r="C1590" s="46" t="n">
        <x:f>B1590^2</x:f>
        <x:v>2.16881010550126</x:v>
      </x:c>
      <x:c r="D1590" s="47" t="n">
        <x:f>'Datos'!$B$26^3/3</x:f>
        <x:v>0.3333333333333333</x:v>
      </x:c>
      <x:c r="E1590" s="46" t="n">
        <x:f>D1590*(C1590-1)</x:f>
        <x:v>0.38960336850041993</x:v>
      </x:c>
      <x:c r="F1590" s="2"/>
      <x:c r="G1590" s="2"/>
      <x:c r="H1590" s="2"/>
    </x:row>
    <x:row r="1591" ht="22" customHeight="1">
      <x:c r="A1591" s="2" t="n">
        <x:v>1585</x:v>
      </x:c>
      <x:c r="B1591" s="79" t="n">
        <x:v>0.36171465671309844</x:v>
      </x:c>
      <x:c r="C1591" s="46" t="n">
        <x:f>B1591^2</x:f>
        <x:v>0.13083749288107466</x:v>
      </x:c>
      <x:c r="D1591" s="47" t="n">
        <x:f>'Datos'!$B$26^3/3</x:f>
        <x:v>0.3333333333333333</x:v>
      </x:c>
      <x:c r="E1591" s="46" t="n">
        <x:f>D1591*(C1591-1)</x:f>
        <x:v>-0.2897208357063084</x:v>
      </x:c>
      <x:c r="F1591" s="2"/>
      <x:c r="G1591" s="2"/>
      <x:c r="H1591" s="2"/>
    </x:row>
    <x:row r="1592" ht="22" customHeight="1">
      <x:c r="A1592" s="2" t="n">
        <x:v>1586</x:v>
      </x:c>
      <x:c r="B1592" s="79" t="n">
        <x:v>0.12006268515024512</x:v>
      </x:c>
      <x:c r="C1592" s="46" t="n">
        <x:f>B1592^2</x:f>
        <x:v>0.01441504836548689</x:v>
      </x:c>
      <x:c r="D1592" s="47" t="n">
        <x:f>'Datos'!$B$26^3/3</x:f>
        <x:v>0.3333333333333333</x:v>
      </x:c>
      <x:c r="E1592" s="46" t="n">
        <x:f>D1592*(C1592-1)</x:f>
        <x:v>-0.32852831721150433</x:v>
      </x:c>
      <x:c r="F1592" s="2"/>
      <x:c r="G1592" s="2"/>
      <x:c r="H1592" s="2"/>
    </x:row>
    <x:row r="1593" ht="22" customHeight="1">
      <x:c r="A1593" s="2" t="n">
        <x:v>1587</x:v>
      </x:c>
      <x:c r="B1593" s="79" t="n">
        <x:v>-0.20832547179414712</x:v>
      </x:c>
      <x:c r="C1593" s="46" t="n">
        <x:f>B1593^2</x:f>
        <x:v>0.04339950219825399</x:v>
      </x:c>
      <x:c r="D1593" s="47" t="n">
        <x:f>'Datos'!$B$26^3/3</x:f>
        <x:v>0.3333333333333333</x:v>
      </x:c>
      <x:c r="E1593" s="46" t="n">
        <x:f>D1593*(C1593-1)</x:f>
        <x:v>-0.318866832600582</x:v>
      </x:c>
      <x:c r="F1593" s="2"/>
      <x:c r="G1593" s="2"/>
      <x:c r="H1593" s="2"/>
    </x:row>
    <x:row r="1594" ht="22" customHeight="1">
      <x:c r="A1594" s="2" t="n">
        <x:v>1588</x:v>
      </x:c>
      <x:c r="B1594" s="79" t="n">
        <x:v>0.0014506759892106132</x:v>
      </x:c>
      <x:c r="C1594" s="46" t="n">
        <x:f>B1594^2</x:f>
        <x:v>0.000002104460825672191</x:v>
      </x:c>
      <x:c r="D1594" s="47" t="n">
        <x:f>'Datos'!$B$26^3/3</x:f>
        <x:v>0.3333333333333333</x:v>
      </x:c>
      <x:c r="E1594" s="46" t="n">
        <x:f>D1594*(C1594-1)</x:f>
        <x:v>-0.3333326318463914</x:v>
      </x:c>
      <x:c r="F1594" s="2"/>
      <x:c r="G1594" s="2"/>
      <x:c r="H1594" s="2"/>
    </x:row>
    <x:row r="1595" ht="22" customHeight="1">
      <x:c r="A1595" s="2" t="n">
        <x:v>1589</x:v>
      </x:c>
      <x:c r="B1595" s="79" t="n">
        <x:v>-0.6340382040098863</x:v>
      </x:c>
      <x:c r="C1595" s="46" t="n">
        <x:f>B1595^2</x:f>
        <x:v>0.4020044441440822</x:v>
      </x:c>
      <x:c r="D1595" s="47" t="n">
        <x:f>'Datos'!$B$26^3/3</x:f>
        <x:v>0.3333333333333333</x:v>
      </x:c>
      <x:c r="E1595" s="46" t="n">
        <x:f>D1595*(C1595-1)</x:f>
        <x:v>-0.1993318519519726</x:v>
      </x:c>
      <x:c r="F1595" s="2"/>
      <x:c r="G1595" s="2"/>
      <x:c r="H1595" s="2"/>
    </x:row>
    <x:row r="1596" ht="22" customHeight="1">
      <x:c r="A1596" s="2" t="n">
        <x:v>1590</x:v>
      </x:c>
      <x:c r="B1596" s="79" t="n">
        <x:v>-0.21930378177805243</x:v>
      </x:c>
      <x:c r="C1596" s="46" t="n">
        <x:f>B1596^2</x:f>
        <x:v>0.04809414870215564</x:v>
      </x:c>
      <x:c r="D1596" s="47" t="n">
        <x:f>'Datos'!$B$26^3/3</x:f>
        <x:v>0.3333333333333333</x:v>
      </x:c>
      <x:c r="E1596" s="46" t="n">
        <x:f>D1596*(C1596-1)</x:f>
        <x:v>-0.3173019504326148</x:v>
      </x:c>
      <x:c r="F1596" s="2"/>
      <x:c r="G1596" s="2"/>
      <x:c r="H1596" s="2"/>
    </x:row>
    <x:row r="1597" ht="22" customHeight="1">
      <x:c r="A1597" s="2" t="n">
        <x:v>1591</x:v>
      </x:c>
      <x:c r="B1597" s="79" t="n">
        <x:v>-2.1079241778989304</x:v>
      </x:c>
      <x:c r="C1597" s="46" t="n">
        <x:f>B1597^2</x:f>
        <x:v>4.443344339770881</x:v>
      </x:c>
      <x:c r="D1597" s="47" t="n">
        <x:f>'Datos'!$B$26^3/3</x:f>
        <x:v>0.3333333333333333</x:v>
      </x:c>
      <x:c r="E1597" s="46" t="n">
        <x:f>D1597*(C1597-1)</x:f>
        <x:v>1.1477814465902938</x:v>
      </x:c>
      <x:c r="F1597" s="2"/>
      <x:c r="G1597" s="2"/>
      <x:c r="H1597" s="2"/>
    </x:row>
    <x:row r="1598" ht="22" customHeight="1">
      <x:c r="A1598" s="2" t="n">
        <x:v>1592</x:v>
      </x:c>
      <x:c r="B1598" s="79" t="n">
        <x:v>0.20400293795126612</x:v>
      </x:c>
      <x:c r="C1598" s="46" t="n">
        <x:f>B1598^2</x:f>
        <x:v>0.04161719869274813</x:v>
      </x:c>
      <x:c r="D1598" s="47" t="n">
        <x:f>'Datos'!$B$26^3/3</x:f>
        <x:v>0.3333333333333333</x:v>
      </x:c>
      <x:c r="E1598" s="46" t="n">
        <x:f>D1598*(C1598-1)</x:f>
        <x:v>-0.3194609337690839</x:v>
      </x:c>
      <x:c r="F1598" s="2"/>
      <x:c r="G1598" s="2"/>
      <x:c r="H1598" s="2"/>
    </x:row>
    <x:row r="1599" ht="22" customHeight="1">
      <x:c r="A1599" s="2" t="n">
        <x:v>1593</x:v>
      </x:c>
      <x:c r="B1599" s="79" t="n">
        <x:v>0.9810398695127942</x:v>
      </x:c>
      <x:c r="C1599" s="46" t="n">
        <x:f>B1599^2</x:f>
        <x:v>0.9624392255736803</x:v>
      </x:c>
      <x:c r="D1599" s="47" t="n">
        <x:f>'Datos'!$B$26^3/3</x:f>
        <x:v>0.3333333333333333</x:v>
      </x:c>
      <x:c r="E1599" s="46" t="n">
        <x:f>D1599*(C1599-1)</x:f>
        <x:v>-0.012520258142106555</x:v>
      </x:c>
      <x:c r="F1599" s="2"/>
      <x:c r="G1599" s="2"/>
      <x:c r="H1599" s="2"/>
    </x:row>
    <x:row r="1600" ht="22" customHeight="1">
      <x:c r="A1600" s="2" t="n">
        <x:v>1594</x:v>
      </x:c>
      <x:c r="B1600" s="79" t="n">
        <x:v>-0.8652263858469897</x:v>
      </x:c>
      <x:c r="C1600" s="46" t="n">
        <x:f>B1600^2</x:f>
        <x:v>0.748616698765844</x:v>
      </x:c>
      <x:c r="D1600" s="47" t="n">
        <x:f>'Datos'!$B$26^3/3</x:f>
        <x:v>0.3333333333333333</x:v>
      </x:c>
      <x:c r="E1600" s="46" t="n">
        <x:f>D1600*(C1600-1)</x:f>
        <x:v>-0.08379443374471865</x:v>
      </x:c>
      <x:c r="F1600" s="2"/>
      <x:c r="G1600" s="2"/>
      <x:c r="H1600" s="2"/>
    </x:row>
    <x:row r="1601" ht="22" customHeight="1">
      <x:c r="A1601" s="2" t="n">
        <x:v>1595</x:v>
      </x:c>
      <x:c r="B1601" s="79" t="n">
        <x:v>-0.215320388079072</x:v>
      </x:c>
      <x:c r="C1601" s="46" t="n">
        <x:f>B1601^2</x:f>
        <x:v>0.04636286952252217</x:v>
      </x:c>
      <x:c r="D1601" s="47" t="n">
        <x:f>'Datos'!$B$26^3/3</x:f>
        <x:v>0.3333333333333333</x:v>
      </x:c>
      <x:c r="E1601" s="46" t="n">
        <x:f>D1601*(C1601-1)</x:f>
        <x:v>-0.3178790434924926</x:v>
      </x:c>
      <x:c r="F1601" s="2"/>
      <x:c r="G1601" s="2"/>
      <x:c r="H1601" s="2"/>
    </x:row>
    <x:row r="1602" ht="22" customHeight="1">
      <x:c r="A1602" s="2" t="n">
        <x:v>1596</x:v>
      </x:c>
      <x:c r="B1602" s="79" t="n">
        <x:v>-0.3866244925275442</x:v>
      </x:c>
      <x:c r="C1602" s="46" t="n">
        <x:f>B1602^2</x:f>
        <x:v>0.1494784982221811</x:v>
      </x:c>
      <x:c r="D1602" s="47" t="n">
        <x:f>'Datos'!$B$26^3/3</x:f>
        <x:v>0.3333333333333333</x:v>
      </x:c>
      <x:c r="E1602" s="46" t="n">
        <x:f>D1602*(C1602-1)</x:f>
        <x:v>-0.28350716725927294</x:v>
      </x:c>
      <x:c r="F1602" s="2"/>
      <x:c r="G1602" s="2"/>
      <x:c r="H1602" s="2"/>
    </x:row>
    <x:row r="1603" ht="22" customHeight="1">
      <x:c r="A1603" s="2" t="n">
        <x:v>1597</x:v>
      </x:c>
      <x:c r="B1603" s="79" t="n">
        <x:v>0.2367791141482012</x:v>
      </x:c>
      <x:c r="C1603" s="46" t="n">
        <x:f>B1603^2</x:f>
        <x:v>0.056064348896806886</x:v>
      </x:c>
      <x:c r="D1603" s="47" t="n">
        <x:f>'Datos'!$B$26^3/3</x:f>
        <x:v>0.3333333333333333</x:v>
      </x:c>
      <x:c r="E1603" s="46" t="n">
        <x:f>D1603*(C1603-1)</x:f>
        <x:v>-0.3146452170343977</x:v>
      </x:c>
      <x:c r="F1603" s="2"/>
      <x:c r="G1603" s="2"/>
      <x:c r="H1603" s="2"/>
    </x:row>
    <x:row r="1604" ht="22" customHeight="1">
      <x:c r="A1604" s="2" t="n">
        <x:v>1598</x:v>
      </x:c>
      <x:c r="B1604" s="79" t="n">
        <x:v>-0.563705769505283</x:v>
      </x:c>
      <x:c r="C1604" s="46" t="n">
        <x:f>B1604^2</x:f>
        <x:v>0.3177641945735432</x:v>
      </x:c>
      <x:c r="D1604" s="47" t="n">
        <x:f>'Datos'!$B$26^3/3</x:f>
        <x:v>0.3333333333333333</x:v>
      </x:c>
      <x:c r="E1604" s="46" t="n">
        <x:f>D1604*(C1604-1)</x:f>
        <x:v>-0.22741193514215224</x:v>
      </x:c>
      <x:c r="F1604" s="2"/>
      <x:c r="G1604" s="2"/>
      <x:c r="H1604" s="2"/>
    </x:row>
    <x:row r="1605" ht="22" customHeight="1">
      <x:c r="A1605" s="2" t="n">
        <x:v>1599</x:v>
      </x:c>
      <x:c r="B1605" s="79" t="n">
        <x:v>-0.1820199263421645</x:v>
      </x:c>
      <x:c r="C1605" s="46" t="n">
        <x:f>B1605^2</x:f>
        <x:v>0.033131253585606986</x:v>
      </x:c>
      <x:c r="D1605" s="47" t="n">
        <x:f>'Datos'!$B$26^3/3</x:f>
        <x:v>0.3333333333333333</x:v>
      </x:c>
      <x:c r="E1605" s="46" t="n">
        <x:f>D1605*(C1605-1)</x:f>
        <x:v>-0.32228958213813097</x:v>
      </x:c>
      <x:c r="F1605" s="2"/>
      <x:c r="G1605" s="2"/>
      <x:c r="H1605" s="2"/>
    </x:row>
    <x:row r="1606" ht="22" customHeight="1">
      <x:c r="A1606" s="2" t="n">
        <x:v>1600</x:v>
      </x:c>
      <x:c r="B1606" s="79" t="n">
        <x:v>-1.6832853318249263</x:v>
      </x:c>
      <x:c r="C1606" s="46" t="n">
        <x:f>B1606^2</x:f>
        <x:v>2.8334495083369524</x:v>
      </x:c>
      <x:c r="D1606" s="47" t="n">
        <x:f>'Datos'!$B$26^3/3</x:f>
        <x:v>0.3333333333333333</x:v>
      </x:c>
      <x:c r="E1606" s="46" t="n">
        <x:f>D1606*(C1606-1)</x:f>
        <x:v>0.6111498361123174</x:v>
      </x:c>
      <x:c r="F1606" s="2"/>
      <x:c r="G1606" s="2"/>
      <x:c r="H1606" s="2"/>
    </x:row>
    <x:row r="1607" ht="22" customHeight="1">
      <x:c r="A1607" s="2" t="n">
        <x:v>1601</x:v>
      </x:c>
      <x:c r="B1607" s="79" t="n">
        <x:v>-0.1953244877035882</x:v>
      </x:c>
      <x:c r="C1607" s="46" t="n">
        <x:f>B1607^2</x:f>
        <x:v>0.03815165549666918</x:v>
      </x:c>
      <x:c r="D1607" s="47" t="n">
        <x:f>'Datos'!$B$26^3/3</x:f>
        <x:v>0.3333333333333333</x:v>
      </x:c>
      <x:c r="E1607" s="46" t="n">
        <x:f>D1607*(C1607-1)</x:f>
        <x:v>-0.3206161148344436</x:v>
      </x:c>
      <x:c r="F1607" s="2"/>
      <x:c r="G1607" s="2"/>
      <x:c r="H1607" s="2"/>
    </x:row>
    <x:row r="1608" ht="22" customHeight="1">
      <x:c r="A1608" s="2" t="n">
        <x:v>1602</x:v>
      </x:c>
      <x:c r="B1608" s="79" t="n">
        <x:v>0.0894472579494233</x:v>
      </x:c>
      <x:c r="C1608" s="46" t="n">
        <x:f>B1608^2</x:f>
        <x:v>0.00800081195467067</x:v>
      </x:c>
      <x:c r="D1608" s="47" t="n">
        <x:f>'Datos'!$B$26^3/3</x:f>
        <x:v>0.3333333333333333</x:v>
      </x:c>
      <x:c r="E1608" s="46" t="n">
        <x:f>D1608*(C1608-1)</x:f>
        <x:v>-0.3306663960151098</x:v>
      </x:c>
      <x:c r="F1608" s="2"/>
      <x:c r="G1608" s="2"/>
      <x:c r="H1608" s="2"/>
    </x:row>
    <x:row r="1609" ht="22" customHeight="1">
      <x:c r="A1609" s="2" t="n">
        <x:v>1603</x:v>
      </x:c>
      <x:c r="B1609" s="79" t="n">
        <x:v>0.9574320657852237</x:v>
      </x:c>
      <x:c r="C1609" s="46" t="n">
        <x:f>B1609^2</x:f>
        <x:v>0.9166761605937609</x:v>
      </x:c>
      <x:c r="D1609" s="47" t="n">
        <x:f>'Datos'!$B$26^3/3</x:f>
        <x:v>0.3333333333333333</x:v>
      </x:c>
      <x:c r="E1609" s="46" t="n">
        <x:f>D1609*(C1609-1)</x:f>
        <x:v>-0.027774613135413035</x:v>
      </x:c>
      <x:c r="F1609" s="2"/>
      <x:c r="G1609" s="2"/>
      <x:c r="H1609" s="2"/>
    </x:row>
    <x:row r="1610" ht="22" customHeight="1">
      <x:c r="A1610" s="2" t="n">
        <x:v>1604</x:v>
      </x:c>
      <x:c r="B1610" s="79" t="n">
        <x:v>-0.9986294087333943</x:v>
      </x:c>
      <x:c r="C1610" s="46" t="n">
        <x:f>B1610^2</x:f>
        <x:v>0.9972606959872088</x:v>
      </x:c>
      <x:c r="D1610" s="47" t="n">
        <x:f>'Datos'!$B$26^3/3</x:f>
        <x:v>0.3333333333333333</x:v>
      </x:c>
      <x:c r="E1610" s="46" t="n">
        <x:f>D1610*(C1610-1)</x:f>
        <x:v>-0.0009131013375970701</x:v>
      </x:c>
      <x:c r="F1610" s="2"/>
      <x:c r="G1610" s="2"/>
      <x:c r="H1610" s="2"/>
    </x:row>
    <x:row r="1611" ht="22" customHeight="1">
      <x:c r="A1611" s="2" t="n">
        <x:v>1605</x:v>
      </x:c>
      <x:c r="B1611" s="79" t="n">
        <x:v>-1.2701045918551175</x:v>
      </x:c>
      <x:c r="C1611" s="46" t="n">
        <x:f>B1611^2</x:f>
        <x:v>1.6131656742514546</x:v>
      </x:c>
      <x:c r="D1611" s="47" t="n">
        <x:f>'Datos'!$B$26^3/3</x:f>
        <x:v>0.3333333333333333</x:v>
      </x:c>
      <x:c r="E1611" s="46" t="n">
        <x:f>D1611*(C1611-1)</x:f>
        <x:v>0.2043885580838182</x:v>
      </x:c>
      <x:c r="F1611" s="2"/>
      <x:c r="G1611" s="2"/>
      <x:c r="H1611" s="2"/>
    </x:row>
    <x:row r="1612" ht="22" customHeight="1">
      <x:c r="A1612" s="2" t="n">
        <x:v>1606</x:v>
      </x:c>
      <x:c r="B1612" s="79" t="n">
        <x:v>1.402247191155423</x:v>
      </x:c>
      <x:c r="C1612" s="46" t="n">
        <x:f>B1612^2</x:f>
        <x:v>1.9662971851032736</x:v>
      </x:c>
      <x:c r="D1612" s="47" t="n">
        <x:f>'Datos'!$B$26^3/3</x:f>
        <x:v>0.3333333333333333</x:v>
      </x:c>
      <x:c r="E1612" s="46" t="n">
        <x:f>D1612*(C1612-1)</x:f>
        <x:v>0.32209906170109115</x:v>
      </x:c>
      <x:c r="F1612" s="2"/>
      <x:c r="G1612" s="2"/>
      <x:c r="H1612" s="2"/>
    </x:row>
    <x:row r="1613" ht="22" customHeight="1">
      <x:c r="A1613" s="2" t="n">
        <x:v>1607</x:v>
      </x:c>
      <x:c r="B1613" s="79" t="n">
        <x:v>-1.254371112608221</x:v>
      </x:c>
      <x:c r="C1613" s="46" t="n">
        <x:f>B1613^2</x:f>
        <x:v>1.5734468881459864</x:v>
      </x:c>
      <x:c r="D1613" s="47" t="n">
        <x:f>'Datos'!$B$26^3/3</x:f>
        <x:v>0.3333333333333333</x:v>
      </x:c>
      <x:c r="E1613" s="46" t="n">
        <x:f>D1613*(C1613-1)</x:f>
        <x:v>0.1911489627153288</x:v>
      </x:c>
      <x:c r="F1613" s="2"/>
      <x:c r="G1613" s="2"/>
      <x:c r="H1613" s="2"/>
    </x:row>
    <x:row r="1614" ht="22" customHeight="1">
      <x:c r="A1614" s="2" t="n">
        <x:v>1608</x:v>
      </x:c>
      <x:c r="B1614" s="79" t="n">
        <x:v>-1.1833279702091608</x:v>
      </x:c>
      <x:c r="C1614" s="46" t="n">
        <x:f>B1614^2</x:f>
        <x:v>1.4002650850793326</x:v>
      </x:c>
      <x:c r="D1614" s="47" t="n">
        <x:f>'Datos'!$B$26^3/3</x:f>
        <x:v>0.3333333333333333</x:v>
      </x:c>
      <x:c r="E1614" s="46" t="n">
        <x:f>D1614*(C1614-1)</x:f>
        <x:v>0.1334216950264442</x:v>
      </x:c>
      <x:c r="F1614" s="2"/>
      <x:c r="G1614" s="2"/>
      <x:c r="H1614" s="2"/>
    </x:row>
    <x:row r="1615" ht="22" customHeight="1">
      <x:c r="A1615" s="2" t="n">
        <x:v>1609</x:v>
      </x:c>
      <x:c r="B1615" s="79" t="n">
        <x:v>-0.43572390221393975</x:v>
      </x:c>
      <x:c r="C1615" s="46" t="n">
        <x:f>B1615^2</x:f>
        <x:v>0.18985531896054292</x:v>
      </x:c>
      <x:c r="D1615" s="47" t="n">
        <x:f>'Datos'!$B$26^3/3</x:f>
        <x:v>0.3333333333333333</x:v>
      </x:c>
      <x:c r="E1615" s="46" t="n">
        <x:f>D1615*(C1615-1)</x:f>
        <x:v>-0.27004822701315234</x:v>
      </x:c>
      <x:c r="F1615" s="2"/>
      <x:c r="G1615" s="2"/>
      <x:c r="H1615" s="2"/>
    </x:row>
    <x:row r="1616" ht="22" customHeight="1">
      <x:c r="A1616" s="2" t="n">
        <x:v>1610</x:v>
      </x:c>
      <x:c r="B1616" s="79" t="n">
        <x:v>0.19321662517602872</x:v>
      </x:c>
      <x:c r="C1616" s="46" t="n">
        <x:f>B1616^2</x:f>
        <x:v>0.03733266424441398</x:v>
      </x:c>
      <x:c r="D1616" s="47" t="n">
        <x:f>'Datos'!$B$26^3/3</x:f>
        <x:v>0.3333333333333333</x:v>
      </x:c>
      <x:c r="E1616" s="46" t="n">
        <x:f>D1616*(C1616-1)</x:f>
        <x:v>-0.32088911191852865</x:v>
      </x:c>
      <x:c r="F1616" s="2"/>
      <x:c r="G1616" s="2"/>
      <x:c r="H1616" s="2"/>
    </x:row>
    <x:row r="1617" ht="22" customHeight="1">
      <x:c r="A1617" s="2" t="n">
        <x:v>1611</x:v>
      </x:c>
      <x:c r="B1617" s="79" t="n">
        <x:v>0.07325109420953073</x:v>
      </x:c>
      <x:c r="C1617" s="46" t="n">
        <x:f>B1617^2</x:f>
        <x:v>0.005365722802893547</x:v>
      </x:c>
      <x:c r="D1617" s="47" t="n">
        <x:f>'Datos'!$B$26^3/3</x:f>
        <x:v>0.3333333333333333</x:v>
      </x:c>
      <x:c r="E1617" s="46" t="n">
        <x:f>D1617*(C1617-1)</x:f>
        <x:v>-0.33154475906570213</x:v>
      </x:c>
      <x:c r="F1617" s="2"/>
      <x:c r="G1617" s="2"/>
      <x:c r="H1617" s="2"/>
    </x:row>
    <x:row r="1618" ht="22" customHeight="1">
      <x:c r="A1618" s="2" t="n">
        <x:v>1612</x:v>
      </x:c>
      <x:c r="B1618" s="79" t="n">
        <x:v>-0.0831949325914859</x:v>
      </x:c>
      <x:c r="C1618" s="46" t="n">
        <x:f>B1618^2</x:f>
        <x:v>0.006921396808901883</x:v>
      </x:c>
      <x:c r="D1618" s="47" t="n">
        <x:f>'Datos'!$B$26^3/3</x:f>
        <x:v>0.3333333333333333</x:v>
      </x:c>
      <x:c r="E1618" s="46" t="n">
        <x:f>D1618*(C1618-1)</x:f>
        <x:v>-0.33102620106369934</x:v>
      </x:c>
      <x:c r="F1618" s="2"/>
      <x:c r="G1618" s="2"/>
      <x:c r="H1618" s="2"/>
    </x:row>
    <x:row r="1619" ht="22" customHeight="1">
      <x:c r="A1619" s="2" t="n">
        <x:v>1613</x:v>
      </x:c>
      <x:c r="B1619" s="79" t="n">
        <x:v>1.3929139700094935</x:v>
      </x:c>
      <x:c r="C1619" s="46" t="n">
        <x:f>B1619^2</x:f>
        <x:v>1.940209327847608</x:v>
      </x:c>
      <x:c r="D1619" s="47" t="n">
        <x:f>'Datos'!$B$26^3/3</x:f>
        <x:v>0.3333333333333333</x:v>
      </x:c>
      <x:c r="E1619" s="46" t="n">
        <x:f>D1619*(C1619-1)</x:f>
        <x:v>0.313403109282536</x:v>
      </x:c>
      <x:c r="F1619" s="2"/>
      <x:c r="G1619" s="2"/>
      <x:c r="H1619" s="2"/>
    </x:row>
    <x:row r="1620" ht="22" customHeight="1">
      <x:c r="A1620" s="2" t="n">
        <x:v>1614</x:v>
      </x:c>
      <x:c r="B1620" s="79" t="n">
        <x:v>0.6009458612102189</x:v>
      </x:c>
      <x:c r="C1620" s="46" t="n">
        <x:f>B1620^2</x:f>
        <x:v>0.3611359281056916</x:v>
      </x:c>
      <x:c r="D1620" s="47" t="n">
        <x:f>'Datos'!$B$26^3/3</x:f>
        <x:v>0.3333333333333333</x:v>
      </x:c>
      <x:c r="E1620" s="46" t="n">
        <x:f>D1620*(C1620-1)</x:f>
        <x:v>-0.21295469063143613</x:v>
      </x:c>
      <x:c r="F1620" s="2"/>
      <x:c r="G1620" s="2"/>
      <x:c r="H1620" s="2"/>
    </x:row>
    <x:row r="1621" ht="22" customHeight="1">
      <x:c r="A1621" s="2" t="n">
        <x:v>1615</x:v>
      </x:c>
      <x:c r="B1621" s="79" t="n">
        <x:v>-0.01933438601713417</x:v>
      </x:c>
      <x:c r="C1621" s="46" t="n">
        <x:f>B1621^2</x:f>
        <x:v>0.0003738184826595534</x:v>
      </x:c>
      <x:c r="D1621" s="47" t="n">
        <x:f>'Datos'!$B$26^3/3</x:f>
        <x:v>0.3333333333333333</x:v>
      </x:c>
      <x:c r="E1621" s="46" t="n">
        <x:f>D1621*(C1621-1)</x:f>
        <x:v>-0.33320872717244676</x:v>
      </x:c>
      <x:c r="F1621" s="2"/>
      <x:c r="G1621" s="2"/>
      <x:c r="H1621" s="2"/>
    </x:row>
    <x:row r="1622" ht="22" customHeight="1">
      <x:c r="A1622" s="2" t="n">
        <x:v>1616</x:v>
      </x:c>
      <x:c r="B1622" s="79" t="n">
        <x:v>1.0135173920526162</x:v>
      </x:c>
      <x:c r="C1622" s="46" t="n">
        <x:f>B1622^2</x:f>
        <x:v>1.0272175039931364</x:v>
      </x:c>
      <x:c r="D1622" s="47" t="n">
        <x:f>'Datos'!$B$26^3/3</x:f>
        <x:v>0.3333333333333333</x:v>
      </x:c>
      <x:c r="E1622" s="46" t="n">
        <x:f>D1622*(C1622-1)</x:f>
        <x:v>0.00907250133104546</x:v>
      </x:c>
      <x:c r="F1622" s="2"/>
      <x:c r="G1622" s="2"/>
      <x:c r="H1622" s="2"/>
    </x:row>
    <x:row r="1623" ht="22" customHeight="1">
      <x:c r="A1623" s="2" t="n">
        <x:v>1617</x:v>
      </x:c>
      <x:c r="B1623" s="79" t="n">
        <x:v>0.04849277122217493</x:v>
      </x:c>
      <x:c r="C1623" s="46" t="n">
        <x:f>B1623^2</x:f>
        <x:v>0.002351548860806197</x:v>
      </x:c>
      <x:c r="D1623" s="47" t="n">
        <x:f>'Datos'!$B$26^3/3</x:f>
        <x:v>0.3333333333333333</x:v>
      </x:c>
      <x:c r="E1623" s="46" t="n">
        <x:f>D1623*(C1623-1)</x:f>
        <x:v>-0.3325494837130646</x:v>
      </x:c>
      <x:c r="F1623" s="2"/>
      <x:c r="G1623" s="2"/>
      <x:c r="H1623" s="2"/>
    </x:row>
    <x:row r="1624" ht="22" customHeight="1">
      <x:c r="A1624" s="2" t="n">
        <x:v>1618</x:v>
      </x:c>
      <x:c r="B1624" s="79" t="n">
        <x:v>0.45256432495385807</x:v>
      </x:c>
      <x:c r="C1624" s="46" t="n">
        <x:f>B1624^2</x:f>
        <x:v>0.20481446822094124</x:v>
      </x:c>
      <x:c r="D1624" s="47" t="n">
        <x:f>'Datos'!$B$26^3/3</x:f>
        <x:v>0.3333333333333333</x:v>
      </x:c>
      <x:c r="E1624" s="46" t="n">
        <x:f>D1624*(C1624-1)</x:f>
        <x:v>-0.2650618439263529</x:v>
      </x:c>
      <x:c r="F1624" s="2"/>
      <x:c r="G1624" s="2"/>
      <x:c r="H1624" s="2"/>
    </x:row>
    <x:row r="1625" ht="22" customHeight="1">
      <x:c r="A1625" s="2" t="n">
        <x:v>1619</x:v>
      </x:c>
      <x:c r="B1625" s="79" t="n">
        <x:v>-0.01680982110994778</x:v>
      </x:c>
      <x:c r="C1625" s="46" t="n">
        <x:f>B1625^2</x:f>
        <x:v>0.000282570085748446</x:v>
      </x:c>
      <x:c r="D1625" s="47" t="n">
        <x:f>'Datos'!$B$26^3/3</x:f>
        <x:v>0.3333333333333333</x:v>
      </x:c>
      <x:c r="E1625" s="46" t="n">
        <x:f>D1625*(C1625-1)</x:f>
        <x:v>-0.33323914330475046</x:v>
      </x:c>
      <x:c r="F1625" s="2"/>
      <x:c r="G1625" s="2"/>
      <x:c r="H1625" s="2"/>
    </x:row>
    <x:row r="1626" ht="22" customHeight="1">
      <x:c r="A1626" s="2" t="n">
        <x:v>1620</x:v>
      </x:c>
      <x:c r="B1626" s="79" t="n">
        <x:v>0.28062048269879253</x:v>
      </x:c>
      <x:c r="C1626" s="46" t="n">
        <x:f>B1626^2</x:f>
        <x:v>0.07874785531010332</x:v>
      </x:c>
      <x:c r="D1626" s="47" t="n">
        <x:f>'Datos'!$B$26^3/3</x:f>
        <x:v>0.3333333333333333</x:v>
      </x:c>
      <x:c r="E1626" s="46" t="n">
        <x:f>D1626*(C1626-1)</x:f>
        <x:v>-0.30708404822996554</x:v>
      </x:c>
      <x:c r="F1626" s="2"/>
      <x:c r="G1626" s="2"/>
      <x:c r="H1626" s="2"/>
    </x:row>
    <x:row r="1627" ht="22" customHeight="1">
      <x:c r="A1627" s="2" t="n">
        <x:v>1621</x:v>
      </x:c>
      <x:c r="B1627" s="79" t="n">
        <x:v>0.6296687081335468</x:v>
      </x:c>
      <x:c r="C1627" s="46" t="n">
        <x:f>B1627^2</x:f>
        <x:v>0.39648268200256975</x:v>
      </x:c>
      <x:c r="D1627" s="47" t="n">
        <x:f>'Datos'!$B$26^3/3</x:f>
        <x:v>0.3333333333333333</x:v>
      </x:c>
      <x:c r="E1627" s="46" t="n">
        <x:f>D1627*(C1627-1)</x:f>
        <x:v>-0.20117243933247675</x:v>
      </x:c>
      <x:c r="F1627" s="2"/>
      <x:c r="G1627" s="2"/>
      <x:c r="H1627" s="2"/>
    </x:row>
    <x:row r="1628" ht="22" customHeight="1">
      <x:c r="A1628" s="2" t="n">
        <x:v>1622</x:v>
      </x:c>
      <x:c r="B1628" s="79" t="n">
        <x:v>-2.147785639025309</x:v>
      </x:c>
      <x:c r="C1628" s="46" t="n">
        <x:f>B1628^2</x:f>
        <x:v>4.612983151203355</x:v>
      </x:c>
      <x:c r="D1628" s="47" t="n">
        <x:f>'Datos'!$B$26^3/3</x:f>
        <x:v>0.3333333333333333</x:v>
      </x:c>
      <x:c r="E1628" s="46" t="n">
        <x:f>D1628*(C1628-1)</x:f>
        <x:v>1.2043277170677849</x:v>
      </x:c>
      <x:c r="F1628" s="2"/>
      <x:c r="G1628" s="2"/>
      <x:c r="H1628" s="2"/>
    </x:row>
    <x:row r="1629" ht="22" customHeight="1">
      <x:c r="A1629" s="2" t="n">
        <x:v>1623</x:v>
      </x:c>
      <x:c r="B1629" s="79" t="n">
        <x:v>0.7742144987793314</x:v>
      </x:c>
      <x:c r="C1629" s="46" t="n">
        <x:f>B1629^2</x:f>
        <x:v>0.5994080901201313</x:v>
      </x:c>
      <x:c r="D1629" s="47" t="n">
        <x:f>'Datos'!$B$26^3/3</x:f>
        <x:v>0.3333333333333333</x:v>
      </x:c>
      <x:c r="E1629" s="46" t="n">
        <x:f>D1629*(C1629-1)</x:f>
        <x:v>-0.1335306366266229</x:v>
      </x:c>
      <x:c r="F1629" s="2"/>
      <x:c r="G1629" s="2"/>
      <x:c r="H1629" s="2"/>
    </x:row>
    <x:row r="1630" ht="22" customHeight="1">
      <x:c r="A1630" s="2" t="n">
        <x:v>1624</x:v>
      </x:c>
      <x:c r="B1630" s="79" t="n">
        <x:v>-2.2520885662265298</x:v>
      </x:c>
      <x:c r="C1630" s="46" t="n">
        <x:f>B1630^2</x:f>
        <x:v>5.071902910128267</x:v>
      </x:c>
      <x:c r="D1630" s="47" t="n">
        <x:f>'Datos'!$B$26^3/3</x:f>
        <x:v>0.3333333333333333</x:v>
      </x:c>
      <x:c r="E1630" s="46" t="n">
        <x:f>D1630*(C1630-1)</x:f>
        <x:v>1.3573009700427554</x:v>
      </x:c>
      <x:c r="F1630" s="2"/>
      <x:c r="G1630" s="2"/>
      <x:c r="H1630" s="2"/>
    </x:row>
    <x:row r="1631" ht="22" customHeight="1">
      <x:c r="A1631" s="2" t="n">
        <x:v>1625</x:v>
      </x:c>
      <x:c r="B1631" s="79" t="n">
        <x:v>-1.2481005219054802</x:v>
      </x:c>
      <x:c r="C1631" s="46" t="n">
        <x:f>B1631^2</x:f>
        <x:v>1.557754912780732</x:v>
      </x:c>
      <x:c r="D1631" s="47" t="n">
        <x:f>'Datos'!$B$26^3/3</x:f>
        <x:v>0.3333333333333333</x:v>
      </x:c>
      <x:c r="E1631" s="46" t="n">
        <x:f>D1631*(C1631-1)</x:f>
        <x:v>0.18591830426024397</x:v>
      </x:c>
      <x:c r="F1631" s="2"/>
      <x:c r="G1631" s="2"/>
      <x:c r="H1631" s="2"/>
    </x:row>
    <x:row r="1632" ht="22" customHeight="1">
      <x:c r="A1632" s="2" t="n">
        <x:v>1626</x:v>
      </x:c>
      <x:c r="B1632" s="79" t="n">
        <x:v>2.4216683041258444</x:v>
      </x:c>
      <x:c r="C1632" s="46" t="n">
        <x:f>B1632^2</x:f>
        <x:v>5.864477375207743</x:v>
      </x:c>
      <x:c r="D1632" s="47" t="n">
        <x:f>'Datos'!$B$26^3/3</x:f>
        <x:v>0.3333333333333333</x:v>
      </x:c>
      <x:c r="E1632" s="46" t="n">
        <x:f>D1632*(C1632-1)</x:f>
        <x:v>1.621492458402581</x:v>
      </x:c>
      <x:c r="F1632" s="2"/>
      <x:c r="G1632" s="2"/>
      <x:c r="H1632" s="2"/>
    </x:row>
    <x:row r="1633" ht="22" customHeight="1">
      <x:c r="A1633" s="2" t="n">
        <x:v>1627</x:v>
      </x:c>
      <x:c r="B1633" s="79" t="n">
        <x:v>-0.7015162121243372</x:v>
      </x:c>
      <x:c r="C1633" s="46" t="n">
        <x:f>B1633^2</x:f>
        <x:v>0.4921249958732781</x:v>
      </x:c>
      <x:c r="D1633" s="47" t="n">
        <x:f>'Datos'!$B$26^3/3</x:f>
        <x:v>0.3333333333333333</x:v>
      </x:c>
      <x:c r="E1633" s="46" t="n">
        <x:f>D1633*(C1633-1)</x:f>
        <x:v>-0.16929166804224063</x:v>
      </x:c>
      <x:c r="F1633" s="2"/>
      <x:c r="G1633" s="2"/>
      <x:c r="H1633" s="2"/>
    </x:row>
    <x:row r="1634" ht="22" customHeight="1">
      <x:c r="A1634" s="2" t="n">
        <x:v>1628</x:v>
      </x:c>
      <x:c r="B1634" s="79" t="n">
        <x:v>-1.9884938414551903</x:v>
      </x:c>
      <x:c r="C1634" s="46" t="n">
        <x:f>B1634^2</x:f>
        <x:v>3.9541077575052195</x:v>
      </x:c>
      <x:c r="D1634" s="47" t="n">
        <x:f>'Datos'!$B$26^3/3</x:f>
        <x:v>0.3333333333333333</x:v>
      </x:c>
      <x:c r="E1634" s="46" t="n">
        <x:f>D1634*(C1634-1)</x:f>
        <x:v>0.9847025858350731</x:v>
      </x:c>
      <x:c r="F1634" s="2"/>
      <x:c r="G1634" s="2"/>
      <x:c r="H1634" s="2"/>
    </x:row>
    <x:row r="1635" ht="22" customHeight="1">
      <x:c r="A1635" s="2" t="n">
        <x:v>1629</x:v>
      </x:c>
      <x:c r="B1635" s="79" t="n">
        <x:v>0.9605998634337838</x:v>
      </x:c>
      <x:c r="C1635" s="46" t="n">
        <x:f>B1635^2</x:f>
        <x:v>0.922752097629004</x:v>
      </x:c>
      <x:c r="D1635" s="47" t="n">
        <x:f>'Datos'!$B$26^3/3</x:f>
        <x:v>0.3333333333333333</x:v>
      </x:c>
      <x:c r="E1635" s="46" t="n">
        <x:f>D1635*(C1635-1)</x:f>
        <x:v>-0.025749300790331997</x:v>
      </x:c>
      <x:c r="F1635" s="2"/>
      <x:c r="G1635" s="2"/>
      <x:c r="H1635" s="2"/>
    </x:row>
    <x:row r="1636" ht="22" customHeight="1">
      <x:c r="A1636" s="2" t="n">
        <x:v>1630</x:v>
      </x:c>
      <x:c r="B1636" s="79" t="n">
        <x:v>0.5119503582181271</x:v>
      </x:c>
      <x:c r="C1636" s="46" t="n">
        <x:f>B1636^2</x:f>
        <x:v>0.26209316927966864</x:v>
      </x:c>
      <x:c r="D1636" s="47" t="n">
        <x:f>'Datos'!$B$26^3/3</x:f>
        <x:v>0.3333333333333333</x:v>
      </x:c>
      <x:c r="E1636" s="46" t="n">
        <x:f>D1636*(C1636-1)</x:f>
        <x:v>-0.2459689435734438</x:v>
      </x:c>
      <x:c r="F1636" s="2"/>
      <x:c r="G1636" s="2"/>
      <x:c r="H1636" s="2"/>
    </x:row>
    <x:row r="1637" ht="22" customHeight="1">
      <x:c r="A1637" s="2" t="n">
        <x:v>1631</x:v>
      </x:c>
      <x:c r="B1637" s="79" t="n">
        <x:v>0.14601529303174002</x:v>
      </x:c>
      <x:c r="C1637" s="46" t="n">
        <x:f>B1637^2</x:f>
        <x:v>0.021320465799144903</x:v>
      </x:c>
      <x:c r="D1637" s="47" t="n">
        <x:f>'Datos'!$B$26^3/3</x:f>
        <x:v>0.3333333333333333</x:v>
      </x:c>
      <x:c r="E1637" s="46" t="n">
        <x:f>D1637*(C1637-1)</x:f>
        <x:v>-0.326226511400285</x:v>
      </x:c>
      <x:c r="F1637" s="2"/>
      <x:c r="G1637" s="2"/>
      <x:c r="H1637" s="2"/>
    </x:row>
    <x:row r="1638" ht="22" customHeight="1">
      <x:c r="A1638" s="2" t="n">
        <x:v>1632</x:v>
      </x:c>
      <x:c r="B1638" s="79" t="n">
        <x:v>-0.20723579421195237</x:v>
      </x:c>
      <x:c r="C1638" s="46" t="n">
        <x:f>B1638^2</x:f>
        <x:v>0.042946674402658674</x:v>
      </x:c>
      <x:c r="D1638" s="47" t="n">
        <x:f>'Datos'!$B$26^3/3</x:f>
        <x:v>0.3333333333333333</x:v>
      </x:c>
      <x:c r="E1638" s="46" t="n">
        <x:f>D1638*(C1638-1)</x:f>
        <x:v>-0.3190177751991138</x:v>
      </x:c>
      <x:c r="F1638" s="2"/>
      <x:c r="G1638" s="2"/>
      <x:c r="H1638" s="2"/>
    </x:row>
    <x:row r="1639" ht="22" customHeight="1">
      <x:c r="A1639" s="2" t="n">
        <x:v>1633</x:v>
      </x:c>
      <x:c r="B1639" s="79" t="n">
        <x:v>0.1942456666206319</x:v>
      </x:c>
      <x:c r="C1639" s="46" t="n">
        <x:f>B1639^2</x:f>
        <x:v>0.03773137900089367</x:v>
      </x:c>
      <x:c r="D1639" s="47" t="n">
        <x:f>'Datos'!$B$26^3/3</x:f>
        <x:v>0.3333333333333333</x:v>
      </x:c>
      <x:c r="E1639" s="46" t="n">
        <x:f>D1639*(C1639-1)</x:f>
        <x:v>-0.3207562069997021</x:v>
      </x:c>
      <x:c r="F1639" s="2"/>
      <x:c r="G1639" s="2"/>
      <x:c r="H1639" s="2"/>
    </x:row>
    <x:row r="1640" ht="22" customHeight="1">
      <x:c r="A1640" s="2" t="n">
        <x:v>1634</x:v>
      </x:c>
      <x:c r="B1640" s="79" t="n">
        <x:v>-1.6849536761231847</x:v>
      </x:c>
      <x:c r="C1640" s="46" t="n">
        <x:f>B1640^2</x:f>
        <x:v>2.839068890681034</x:v>
      </x:c>
      <x:c r="D1640" s="47" t="n">
        <x:f>'Datos'!$B$26^3/3</x:f>
        <x:v>0.3333333333333333</x:v>
      </x:c>
      <x:c r="E1640" s="46" t="n">
        <x:f>D1640*(C1640-1)</x:f>
        <x:v>0.6130229635603446</x:v>
      </x:c>
      <x:c r="F1640" s="2"/>
      <x:c r="G1640" s="2"/>
      <x:c r="H1640" s="2"/>
    </x:row>
    <x:row r="1641" ht="22" customHeight="1">
      <x:c r="A1641" s="2" t="n">
        <x:v>1635</x:v>
      </x:c>
      <x:c r="B1641" s="79" t="n">
        <x:v>-1.1089930541648452</x:v>
      </x:c>
      <x:c r="C1641" s="46" t="n">
        <x:f>B1641^2</x:f>
        <x:v>1.2298655941858712</x:v>
      </x:c>
      <x:c r="D1641" s="47" t="n">
        <x:f>'Datos'!$B$26^3/3</x:f>
        <x:v>0.3333333333333333</x:v>
      </x:c>
      <x:c r="E1641" s="46" t="n">
        <x:f>D1641*(C1641-1)</x:f>
        <x:v>0.07662186472862371</x:v>
      </x:c>
      <x:c r="F1641" s="2"/>
      <x:c r="G1641" s="2"/>
      <x:c r="H1641" s="2"/>
    </x:row>
    <x:row r="1642" ht="22" customHeight="1">
      <x:c r="A1642" s="2" t="n">
        <x:v>1636</x:v>
      </x:c>
      <x:c r="B1642" s="79" t="n">
        <x:v>0.31433501648725937</x:v>
      </x:c>
      <x:c r="C1642" s="46" t="n">
        <x:f>B1642^2</x:f>
        <x:v>0.09880650259004561</x:v>
      </x:c>
      <x:c r="D1642" s="47" t="n">
        <x:f>'Datos'!$B$26^3/3</x:f>
        <x:v>0.3333333333333333</x:v>
      </x:c>
      <x:c r="E1642" s="46" t="n">
        <x:f>D1642*(C1642-1)</x:f>
        <x:v>-0.30039783246998475</x:v>
      </x:c>
      <x:c r="F1642" s="2"/>
      <x:c r="G1642" s="2"/>
      <x:c r="H1642" s="2"/>
    </x:row>
    <x:row r="1643" ht="22" customHeight="1">
      <x:c r="A1643" s="2" t="n">
        <x:v>1637</x:v>
      </x:c>
      <x:c r="B1643" s="79" t="n">
        <x:v>0.44594994197786014</x:v>
      </x:c>
      <x:c r="C1643" s="46" t="n">
        <x:f>B1643^2</x:f>
        <x:v>0.19887135075005682</x:v>
      </x:c>
      <x:c r="D1643" s="47" t="n">
        <x:f>'Datos'!$B$26^3/3</x:f>
        <x:v>0.3333333333333333</x:v>
      </x:c>
      <x:c r="E1643" s="46" t="n">
        <x:f>D1643*(C1643-1)</x:f>
        <x:v>-0.26704288308331436</x:v>
      </x:c>
      <x:c r="F1643" s="2"/>
      <x:c r="G1643" s="2"/>
      <x:c r="H1643" s="2"/>
    </x:row>
    <x:row r="1644" ht="22" customHeight="1">
      <x:c r="A1644" s="2" t="n">
        <x:v>1638</x:v>
      </x:c>
      <x:c r="B1644" s="79" t="n">
        <x:v>1.195336891632069</x:v>
      </x:c>
      <x:c r="C1644" s="46" t="n">
        <x:f>B1644^2</x:f>
        <x:v>1.4288302844966168</x:v>
      </x:c>
      <x:c r="D1644" s="47" t="n">
        <x:f>'Datos'!$B$26^3/3</x:f>
        <x:v>0.3333333333333333</x:v>
      </x:c>
      <x:c r="E1644" s="46" t="n">
        <x:f>D1644*(C1644-1)</x:f>
        <x:v>0.1429434281655389</x:v>
      </x:c>
      <x:c r="F1644" s="2"/>
      <x:c r="G1644" s="2"/>
      <x:c r="H1644" s="2"/>
    </x:row>
    <x:row r="1645" ht="22" customHeight="1">
      <x:c r="A1645" s="2" t="n">
        <x:v>1639</x:v>
      </x:c>
      <x:c r="B1645" s="79" t="n">
        <x:v>-0.17487399215679508</x:v>
      </x:c>
      <x:c r="C1645" s="46" t="n">
        <x:f>B1645^2</x:f>
        <x:v>0.03058091313285483</x:v>
      </x:c>
      <x:c r="D1645" s="47" t="n">
        <x:f>'Datos'!$B$26^3/3</x:f>
        <x:v>0.3333333333333333</x:v>
      </x:c>
      <x:c r="E1645" s="46" t="n">
        <x:f>D1645*(C1645-1)</x:f>
        <x:v>-0.3231396956223817</x:v>
      </x:c>
      <x:c r="F1645" s="2"/>
      <x:c r="G1645" s="2"/>
      <x:c r="H1645" s="2"/>
    </x:row>
    <x:row r="1646" ht="22" customHeight="1">
      <x:c r="A1646" s="2" t="n">
        <x:v>1640</x:v>
      </x:c>
      <x:c r="B1646" s="79" t="n">
        <x:v>-0.542097755423515</x:v>
      </x:c>
      <x:c r="C1646" s="46" t="n">
        <x:f>B1646^2</x:f>
        <x:v>0.2938699764352131</x:v>
      </x:c>
      <x:c r="D1646" s="47" t="n">
        <x:f>'Datos'!$B$26^3/3</x:f>
        <x:v>0.3333333333333333</x:v>
      </x:c>
      <x:c r="E1646" s="46" t="n">
        <x:f>D1646*(C1646-1)</x:f>
        <x:v>-0.23537667452159564</x:v>
      </x:c>
      <x:c r="F1646" s="2"/>
      <x:c r="G1646" s="2"/>
      <x:c r="H1646" s="2"/>
    </x:row>
    <x:row r="1647" ht="22" customHeight="1">
      <x:c r="A1647" s="2" t="n">
        <x:v>1641</x:v>
      </x:c>
      <x:c r="B1647" s="79" t="n">
        <x:v>0.9969240885823029</x:v>
      </x:c>
      <x:c r="C1647" s="46" t="n">
        <x:f>B1647^2</x:f>
        <x:v>0.9938576383956552</x:v>
      </x:c>
      <x:c r="D1647" s="47" t="n">
        <x:f>'Datos'!$B$26^3/3</x:f>
        <x:v>0.3333333333333333</x:v>
      </x:c>
      <x:c r="E1647" s="46" t="n">
        <x:f>D1647*(C1647-1)</x:f>
        <x:v>-0.002047453868114927</x:v>
      </x:c>
      <x:c r="F1647" s="2"/>
      <x:c r="G1647" s="2"/>
      <x:c r="H1647" s="2"/>
    </x:row>
    <x:row r="1648" ht="22" customHeight="1">
      <x:c r="A1648" s="2" t="n">
        <x:v>1642</x:v>
      </x:c>
      <x:c r="B1648" s="79" t="n">
        <x:v>-1.2945655668309664</x:v>
      </x:c>
      <x:c r="C1648" s="46" t="n">
        <x:f>B1648^2</x:f>
        <x:v>1.6759000068243812</x:v>
      </x:c>
      <x:c r="D1648" s="47" t="n">
        <x:f>'Datos'!$B$26^3/3</x:f>
        <x:v>0.3333333333333333</x:v>
      </x:c>
      <x:c r="E1648" s="46" t="n">
        <x:f>D1648*(C1648-1)</x:f>
        <x:v>0.22530000227479374</x:v>
      </x:c>
      <x:c r="F1648" s="2"/>
      <x:c r="G1648" s="2"/>
      <x:c r="H1648" s="2"/>
    </x:row>
    <x:row r="1649" ht="22" customHeight="1">
      <x:c r="A1649" s="2" t="n">
        <x:v>1643</x:v>
      </x:c>
      <x:c r="B1649" s="79" t="n">
        <x:v>-1.6560890000243011</x:v>
      </x:c>
      <x:c r="C1649" s="46" t="n">
        <x:f>B1649^2</x:f>
        <x:v>2.74263077600149</x:v>
      </x:c>
      <x:c r="D1649" s="47" t="n">
        <x:f>'Datos'!$B$26^3/3</x:f>
        <x:v>0.3333333333333333</x:v>
      </x:c>
      <x:c r="E1649" s="46" t="n">
        <x:f>D1649*(C1649-1)</x:f>
        <x:v>0.58087692533383</x:v>
      </x:c>
      <x:c r="F1649" s="2"/>
      <x:c r="G1649" s="2"/>
      <x:c r="H1649" s="2"/>
    </x:row>
    <x:row r="1650" ht="22" customHeight="1">
      <x:c r="A1650" s="2" t="n">
        <x:v>1644</x:v>
      </x:c>
      <x:c r="B1650" s="79" t="n">
        <x:v>1.6945023110562567</x:v>
      </x:c>
      <x:c r="C1650" s="46" t="n">
        <x:f>B1650^2</x:f>
        <x:v>2.871338082174995</x:v>
      </x:c>
      <x:c r="D1650" s="47" t="n">
        <x:f>'Datos'!$B$26^3/3</x:f>
        <x:v>0.3333333333333333</x:v>
      </x:c>
      <x:c r="E1650" s="46" t="n">
        <x:f>D1650*(C1650-1)</x:f>
        <x:v>0.6237793607249983</x:v>
      </x:c>
      <x:c r="F1650" s="2"/>
      <x:c r="G1650" s="2"/>
      <x:c r="H1650" s="2"/>
    </x:row>
    <x:row r="1651" ht="22" customHeight="1">
      <x:c r="A1651" s="2" t="n">
        <x:v>1645</x:v>
      </x:c>
      <x:c r="B1651" s="79" t="n">
        <x:v>0.14185398880555367</x:v>
      </x:c>
      <x:c r="C1651" s="46" t="n">
        <x:f>B1651^2</x:f>
        <x:v>0.020122554140046146</x:v>
      </x:c>
      <x:c r="D1651" s="47" t="n">
        <x:f>'Datos'!$B$26^3/3</x:f>
        <x:v>0.3333333333333333</x:v>
      </x:c>
      <x:c r="E1651" s="46" t="n">
        <x:f>D1651*(C1651-1)</x:f>
        <x:v>-0.32662581528665124</x:v>
      </x:c>
      <x:c r="F1651" s="2"/>
      <x:c r="G1651" s="2"/>
      <x:c r="H1651" s="2"/>
    </x:row>
    <x:row r="1652" ht="22" customHeight="1">
      <x:c r="A1652" s="2" t="n">
        <x:v>1646</x:v>
      </x:c>
      <x:c r="B1652" s="79" t="n">
        <x:v>-0.6542148151576057</x:v>
      </x:c>
      <x:c r="C1652" s="46" t="n">
        <x:f>B1652^2</x:f>
        <x:v>0.42799702437170023</x:v>
      </x:c>
      <x:c r="D1652" s="47" t="n">
        <x:f>'Datos'!$B$26^3/3</x:f>
        <x:v>0.3333333333333333</x:v>
      </x:c>
      <x:c r="E1652" s="46" t="n">
        <x:f>D1652*(C1652-1)</x:f>
        <x:v>-0.1906676585427666</x:v>
      </x:c>
      <x:c r="F1652" s="2"/>
      <x:c r="G1652" s="2"/>
      <x:c r="H1652" s="2"/>
    </x:row>
    <x:row r="1653" ht="22" customHeight="1">
      <x:c r="A1653" s="2" t="n">
        <x:v>1647</x:v>
      </x:c>
      <x:c r="B1653" s="79" t="n">
        <x:v>-0.19317837676164926</x:v>
      </x:c>
      <x:c r="C1653" s="46" t="n">
        <x:f>B1653^2</x:f>
        <x:v>0.03731788524826571</x:v>
      </x:c>
      <x:c r="D1653" s="47" t="n">
        <x:f>'Datos'!$B$26^3/3</x:f>
        <x:v>0.3333333333333333</x:v>
      </x:c>
      <x:c r="E1653" s="46" t="n">
        <x:f>D1653*(C1653-1)</x:f>
        <x:v>-0.32089403825057805</x:v>
      </x:c>
      <x:c r="F1653" s="2"/>
      <x:c r="G1653" s="2"/>
      <x:c r="H1653" s="2"/>
    </x:row>
    <x:row r="1654" ht="22" customHeight="1">
      <x:c r="A1654" s="2" t="n">
        <x:v>1648</x:v>
      </x:c>
      <x:c r="B1654" s="79" t="n">
        <x:v>-0.39009739125232357</x:v>
      </x:c>
      <x:c r="C1654" s="46" t="n">
        <x:f>B1654^2</x:f>
        <x:v>0.1521759746618684</x:v>
      </x:c>
      <x:c r="D1654" s="47" t="n">
        <x:f>'Datos'!$B$26^3/3</x:f>
        <x:v>0.3333333333333333</x:v>
      </x:c>
      <x:c r="E1654" s="46" t="n">
        <x:f>D1654*(C1654-1)</x:f>
        <x:v>-0.28260800844604383</x:v>
      </x:c>
      <x:c r="F1654" s="2"/>
      <x:c r="G1654" s="2"/>
      <x:c r="H1654" s="2"/>
    </x:row>
    <x:row r="1655" ht="22" customHeight="1">
      <x:c r="A1655" s="2" t="n">
        <x:v>1649</x:v>
      </x:c>
      <x:c r="B1655" s="79" t="n">
        <x:v>0.3056692583340489</x:v>
      </x:c>
      <x:c r="C1655" s="46" t="n">
        <x:f>B1655^2</x:f>
        <x:v>0.09343369549048752</x:v>
      </x:c>
      <x:c r="D1655" s="47" t="n">
        <x:f>'Datos'!$B$26^3/3</x:f>
        <x:v>0.3333333333333333</x:v>
      </x:c>
      <x:c r="E1655" s="46" t="n">
        <x:f>D1655*(C1655-1)</x:f>
        <x:v>-0.3021887681698375</x:v>
      </x:c>
      <x:c r="F1655" s="2"/>
      <x:c r="G1655" s="2"/>
      <x:c r="H1655" s="2"/>
    </x:row>
    <x:row r="1656" ht="22" customHeight="1">
      <x:c r="A1656" s="2" t="n">
        <x:v>1650</x:v>
      </x:c>
      <x:c r="B1656" s="79" t="n">
        <x:v>-1.401000587941876</x:v>
      </x:c>
      <x:c r="C1656" s="46" t="n">
        <x:f>B1656^2</x:f>
        <x:v>1.9628026474134825</x:v>
      </x:c>
      <x:c r="D1656" s="47" t="n">
        <x:f>'Datos'!$B$26^3/3</x:f>
        <x:v>0.3333333333333333</x:v>
      </x:c>
      <x:c r="E1656" s="46" t="n">
        <x:f>D1656*(C1656-1)</x:f>
        <x:v>0.32093421580449416</x:v>
      </x:c>
      <x:c r="F1656" s="2"/>
      <x:c r="G1656" s="2"/>
      <x:c r="H1656" s="2"/>
    </x:row>
    <x:row r="1657" ht="22" customHeight="1">
      <x:c r="A1657" s="2" t="n">
        <x:v>1651</x:v>
      </x:c>
      <x:c r="B1657" s="79" t="n">
        <x:v>0.5313519209558509</x:v>
      </x:c>
      <x:c r="C1657" s="46" t="n">
        <x:f>B1657^2</x:f>
        <x:v>0.28233486390347284</x:v>
      </x:c>
      <x:c r="D1657" s="47" t="n">
        <x:f>'Datos'!$B$26^3/3</x:f>
        <x:v>0.3333333333333333</x:v>
      </x:c>
      <x:c r="E1657" s="46" t="n">
        <x:f>D1657*(C1657-1)</x:f>
        <x:v>-0.2392217120321757</x:v>
      </x:c>
      <x:c r="F1657" s="2"/>
      <x:c r="G1657" s="2"/>
      <x:c r="H1657" s="2"/>
    </x:row>
    <x:row r="1658" ht="22" customHeight="1">
      <x:c r="A1658" s="2" t="n">
        <x:v>1652</x:v>
      </x:c>
      <x:c r="B1658" s="79" t="n">
        <x:v>0.48885344965705047</x:v>
      </x:c>
      <x:c r="C1658" s="46" t="n">
        <x:f>B1658^2</x:f>
        <x:v>0.23897769524159837</x:v>
      </x:c>
      <x:c r="D1658" s="47" t="n">
        <x:f>'Datos'!$B$26^3/3</x:f>
        <x:v>0.3333333333333333</x:v>
      </x:c>
      <x:c r="E1658" s="46" t="n">
        <x:f>D1658*(C1658-1)</x:f>
        <x:v>-0.25367410158613385</x:v>
      </x:c>
      <x:c r="F1658" s="2"/>
      <x:c r="G1658" s="2"/>
      <x:c r="H1658" s="2"/>
    </x:row>
    <x:row r="1659" ht="22" customHeight="1">
      <x:c r="A1659" s="2" t="n">
        <x:v>1653</x:v>
      </x:c>
      <x:c r="B1659" s="79" t="n">
        <x:v>0.5429097783786981</x:v>
      </x:c>
      <x:c r="C1659" s="46" t="n">
        <x:f>B1659^2</x:f>
        <x:v>0.2947510274592071</x:v>
      </x:c>
      <x:c r="D1659" s="47" t="n">
        <x:f>'Datos'!$B$26^3/3</x:f>
        <x:v>0.3333333333333333</x:v>
      </x:c>
      <x:c r="E1659" s="46" t="n">
        <x:f>D1659*(C1659-1)</x:f>
        <x:v>-0.23508299084693096</x:v>
      </x:c>
      <x:c r="F1659" s="2"/>
      <x:c r="G1659" s="2"/>
      <x:c r="H1659" s="2"/>
    </x:row>
    <x:row r="1660" ht="22" customHeight="1">
      <x:c r="A1660" s="2" t="n">
        <x:v>1654</x:v>
      </x:c>
      <x:c r="B1660" s="79" t="n">
        <x:v>-2.0740985333169446</x:v>
      </x:c>
      <x:c r="C1660" s="46" t="n">
        <x:f>B1660^2</x:f>
        <x:v>4.301884725907501</x:v>
      </x:c>
      <x:c r="D1660" s="47" t="n">
        <x:f>'Datos'!$B$26^3/3</x:f>
        <x:v>0.3333333333333333</x:v>
      </x:c>
      <x:c r="E1660" s="46" t="n">
        <x:f>D1660*(C1660-1)</x:f>
        <x:v>1.1006282419691669</x:v>
      </x:c>
      <x:c r="F1660" s="2"/>
      <x:c r="G1660" s="2"/>
      <x:c r="H1660" s="2"/>
    </x:row>
    <x:row r="1661" ht="22" customHeight="1">
      <x:c r="A1661" s="2" t="n">
        <x:v>1655</x:v>
      </x:c>
      <x:c r="B1661" s="79" t="n">
        <x:v>0.9478576628322845</x:v>
      </x:c>
      <x:c r="C1661" s="46" t="n">
        <x:f>B1661^2</x:f>
        <x:v>0.8984341489898806</x:v>
      </x:c>
      <x:c r="D1661" s="47" t="n">
        <x:f>'Datos'!$B$26^3/3</x:f>
        <x:v>0.3333333333333333</x:v>
      </x:c>
      <x:c r="E1661" s="46" t="n">
        <x:f>D1661*(C1661-1)</x:f>
        <x:v>-0.033855283670039794</x:v>
      </x:c>
      <x:c r="F1661" s="2"/>
      <x:c r="G1661" s="2"/>
      <x:c r="H1661" s="2"/>
    </x:row>
    <x:row r="1662" ht="22" customHeight="1">
      <x:c r="A1662" s="2" t="n">
        <x:v>1656</x:v>
      </x:c>
      <x:c r="B1662" s="79" t="n">
        <x:v>-0.6134987688448237</x:v>
      </x:c>
      <x:c r="C1662" s="46" t="n">
        <x:f>B1662^2</x:f>
        <x:v>0.3763807393741144</x:v>
      </x:c>
      <x:c r="D1662" s="47" t="n">
        <x:f>'Datos'!$B$26^3/3</x:f>
        <x:v>0.3333333333333333</x:v>
      </x:c>
      <x:c r="E1662" s="46" t="n">
        <x:f>D1662*(C1662-1)</x:f>
        <x:v>-0.20787308687529518</x:v>
      </x:c>
      <x:c r="F1662" s="2"/>
      <x:c r="G1662" s="2"/>
      <x:c r="H1662" s="2"/>
    </x:row>
    <x:row r="1663" ht="22" customHeight="1">
      <x:c r="A1663" s="2" t="n">
        <x:v>1657</x:v>
      </x:c>
      <x:c r="B1663" s="79" t="n">
        <x:v>0.08910011922697096</x:v>
      </x:c>
      <x:c r="C1663" s="46" t="n">
        <x:f>B1663^2</x:f>
        <x:v>0.007938831246260441</x:v>
      </x:c>
      <x:c r="D1663" s="47" t="n">
        <x:f>'Datos'!$B$26^3/3</x:f>
        <x:v>0.3333333333333333</x:v>
      </x:c>
      <x:c r="E1663" s="46" t="n">
        <x:f>D1663*(C1663-1)</x:f>
        <x:v>-0.3306870562512465</x:v>
      </x:c>
      <x:c r="F1663" s="2"/>
      <x:c r="G1663" s="2"/>
      <x:c r="H1663" s="2"/>
    </x:row>
    <x:row r="1664" ht="22" customHeight="1">
      <x:c r="A1664" s="2" t="n">
        <x:v>1658</x:v>
      </x:c>
      <x:c r="B1664" s="79" t="n">
        <x:v>-0.971913559531118</x:v>
      </x:c>
      <x:c r="C1664" s="46" t="n">
        <x:f>B1664^2</x:f>
        <x:v>0.944615967200448</x:v>
      </x:c>
      <x:c r="D1664" s="47" t="n">
        <x:f>'Datos'!$B$26^3/3</x:f>
        <x:v>0.3333333333333333</x:v>
      </x:c>
      <x:c r="E1664" s="46" t="n">
        <x:f>D1664*(C1664-1)</x:f>
        <x:v>-0.018461344266517316</x:v>
      </x:c>
      <x:c r="F1664" s="2"/>
      <x:c r="G1664" s="2"/>
      <x:c r="H1664" s="2"/>
    </x:row>
    <x:row r="1665" ht="22" customHeight="1">
      <x:c r="A1665" s="2" t="n">
        <x:v>1659</x:v>
      </x:c>
      <x:c r="B1665" s="79" t="n">
        <x:v>0.15853846902679997</x:v>
      </x:c>
      <x:c r="C1665" s="46" t="n">
        <x:f>B1665^2</x:f>
        <x:v>0.025134446161361613</x:v>
      </x:c>
      <x:c r="D1665" s="47" t="n">
        <x:f>'Datos'!$B$26^3/3</x:f>
        <x:v>0.3333333333333333</x:v>
      </x:c>
      <x:c r="E1665" s="46" t="n">
        <x:f>D1665*(C1665-1)</x:f>
        <x:v>-0.3249551846128794</x:v>
      </x:c>
      <x:c r="F1665" s="2"/>
      <x:c r="G1665" s="2"/>
      <x:c r="H1665" s="2"/>
    </x:row>
    <x:row r="1666" ht="22" customHeight="1">
      <x:c r="A1666" s="2" t="n">
        <x:v>1660</x:v>
      </x:c>
      <x:c r="B1666" s="79" t="n">
        <x:v>-0.8318342323332971</x:v>
      </x:c>
      <x:c r="C1666" s="46" t="n">
        <x:f>B1666^2</x:f>
        <x:v>0.6919481900815257</x:v>
      </x:c>
      <x:c r="D1666" s="47" t="n">
        <x:f>'Datos'!$B$26^3/3</x:f>
        <x:v>0.3333333333333333</x:v>
      </x:c>
      <x:c r="E1666" s="46" t="n">
        <x:f>D1666*(C1666-1)</x:f>
        <x:v>-0.10268393663949141</x:v>
      </x:c>
      <x:c r="F1666" s="2"/>
      <x:c r="G1666" s="2"/>
      <x:c r="H1666" s="2"/>
    </x:row>
    <x:row r="1667" ht="22" customHeight="1">
      <x:c r="A1667" s="2" t="n">
        <x:v>1661</x:v>
      </x:c>
      <x:c r="B1667" s="79" t="n">
        <x:v>-1.0152382852397142</x:v>
      </x:c>
      <x:c r="C1667" s="46" t="n">
        <x:f>B1667^2</x:f>
        <x:v>1.0307087758164752</x:v>
      </x:c>
      <x:c r="D1667" s="47" t="n">
        <x:f>'Datos'!$B$26^3/3</x:f>
        <x:v>0.3333333333333333</x:v>
      </x:c>
      <x:c r="E1667" s="46" t="n">
        <x:f>D1667*(C1667-1)</x:f>
        <x:v>0.010236258605491747</x:v>
      </x:c>
      <x:c r="F1667" s="2"/>
      <x:c r="G1667" s="2"/>
      <x:c r="H1667" s="2"/>
    </x:row>
    <x:row r="1668" ht="22" customHeight="1">
      <x:c r="A1668" s="2" t="n">
        <x:v>1662</x:v>
      </x:c>
      <x:c r="B1668" s="79" t="n">
        <x:v>0.08134510271012735</x:v>
      </x:c>
      <x:c r="C1668" s="46" t="n">
        <x:f>B1668^2</x:f>
        <x:v>0.006617025734921168</x:v>
      </x:c>
      <x:c r="D1668" s="47" t="n">
        <x:f>'Datos'!$B$26^3/3</x:f>
        <x:v>0.3333333333333333</x:v>
      </x:c>
      <x:c r="E1668" s="46" t="n">
        <x:f>D1668*(C1668-1)</x:f>
        <x:v>-0.3311276580883596</x:v>
      </x:c>
      <x:c r="F1668" s="2"/>
      <x:c r="G1668" s="2"/>
      <x:c r="H1668" s="2"/>
    </x:row>
    <x:row r="1669" ht="22" customHeight="1">
      <x:c r="A1669" s="2" t="n">
        <x:v>1663</x:v>
      </x:c>
      <x:c r="B1669" s="79" t="n">
        <x:v>0.8262017578371016</x:v>
      </x:c>
      <x:c r="C1669" s="46" t="n">
        <x:f>B1669^2</x:f>
        <x:v>0.6826093446531166</x:v>
      </x:c>
      <x:c r="D1669" s="47" t="n">
        <x:f>'Datos'!$B$26^3/3</x:f>
        <x:v>0.3333333333333333</x:v>
      </x:c>
      <x:c r="E1669" s="46" t="n">
        <x:f>D1669*(C1669-1)</x:f>
        <x:v>-0.10579688511562779</x:v>
      </x:c>
      <x:c r="F1669" s="2"/>
      <x:c r="G1669" s="2"/>
      <x:c r="H1669" s="2"/>
    </x:row>
    <x:row r="1670" ht="22" customHeight="1">
      <x:c r="A1670" s="2" t="n">
        <x:v>1664</x:v>
      </x:c>
      <x:c r="B1670" s="79" t="n">
        <x:v>1.8873430670084888</x:v>
      </x:c>
      <x:c r="C1670" s="46" t="n">
        <x:f>B1670^2</x:f>
        <x:v>3.562063852585009</x:v>
      </x:c>
      <x:c r="D1670" s="47" t="n">
        <x:f>'Datos'!$B$26^3/3</x:f>
        <x:v>0.3333333333333333</x:v>
      </x:c>
      <x:c r="E1670" s="46" t="n">
        <x:f>D1670*(C1670-1)</x:f>
        <x:v>0.854021284195003</x:v>
      </x:c>
      <x:c r="F1670" s="2"/>
      <x:c r="G1670" s="2"/>
      <x:c r="H1670" s="2"/>
    </x:row>
    <x:row r="1671" ht="22" customHeight="1">
      <x:c r="A1671" s="2" t="n">
        <x:v>1665</x:v>
      </x:c>
      <x:c r="B1671" s="79" t="n">
        <x:v>-0.5916295511591455</x:v>
      </x:c>
      <x:c r="C1671" s="46" t="n">
        <x:f>B1671^2</x:f>
        <x:v>0.350025525804772</x:v>
      </x:c>
      <x:c r="D1671" s="47" t="n">
        <x:f>'Datos'!$B$26^3/3</x:f>
        <x:v>0.3333333333333333</x:v>
      </x:c>
      <x:c r="E1671" s="46" t="n">
        <x:f>D1671*(C1671-1)</x:f>
        <x:v>-0.216658158065076</x:v>
      </x:c>
      <x:c r="F1671" s="2"/>
      <x:c r="G1671" s="2"/>
      <x:c r="H1671" s="2"/>
    </x:row>
    <x:row r="1672" ht="22" customHeight="1">
      <x:c r="A1672" s="2" t="n">
        <x:v>1666</x:v>
      </x:c>
      <x:c r="B1672" s="79" t="n">
        <x:v>0.8463221055959746</x:v>
      </x:c>
      <x:c r="C1672" s="46" t="n">
        <x:f>B1672^2</x:f>
        <x:v>0.7162611064204041</x:v>
      </x:c>
      <x:c r="D1672" s="47" t="n">
        <x:f>'Datos'!$B$26^3/3</x:f>
        <x:v>0.3333333333333333</x:v>
      </x:c>
      <x:c r="E1672" s="46" t="n">
        <x:f>D1672*(C1672-1)</x:f>
        <x:v>-0.09457963119319863</x:v>
      </x:c>
      <x:c r="F1672" s="2"/>
      <x:c r="G1672" s="2"/>
      <x:c r="H1672" s="2"/>
    </x:row>
    <x:row r="1673" ht="22" customHeight="1">
      <x:c r="A1673" s="2" t="n">
        <x:v>1667</x:v>
      </x:c>
      <x:c r="B1673" s="79" t="n">
        <x:v>0.5264177940001397</x:v>
      </x:c>
      <x:c r="C1673" s="46" t="n">
        <x:f>B1673^2</x:f>
        <x:v>0.2771156938399735</x:v>
      </x:c>
      <x:c r="D1673" s="47" t="n">
        <x:f>'Datos'!$B$26^3/3</x:f>
        <x:v>0.3333333333333333</x:v>
      </x:c>
      <x:c r="E1673" s="46" t="n">
        <x:f>D1673*(C1673-1)</x:f>
        <x:v>-0.2409614353866755</x:v>
      </x:c>
      <x:c r="F1673" s="2"/>
      <x:c r="G1673" s="2"/>
      <x:c r="H1673" s="2"/>
    </x:row>
    <x:row r="1674" ht="22" customHeight="1">
      <x:c r="A1674" s="2" t="n">
        <x:v>1668</x:v>
      </x:c>
      <x:c r="B1674" s="79" t="n">
        <x:v>-3.4473541584295693</x:v>
      </x:c>
      <x:c r="C1674" s="46" t="n">
        <x:f>B1674^2</x:f>
        <x:v>11.884250693641643</x:v>
      </x:c>
      <x:c r="D1674" s="47" t="n">
        <x:f>'Datos'!$B$26^3/3</x:f>
        <x:v>0.3333333333333333</x:v>
      </x:c>
      <x:c r="E1674" s="46" t="n">
        <x:f>D1674*(C1674-1)</x:f>
        <x:v>3.6280835645472145</x:v>
      </x:c>
      <x:c r="F1674" s="2"/>
      <x:c r="G1674" s="2"/>
      <x:c r="H1674" s="2"/>
    </x:row>
    <x:row r="1675" ht="22" customHeight="1">
      <x:c r="A1675" s="2" t="n">
        <x:v>1669</x:v>
      </x:c>
      <x:c r="B1675" s="79" t="n">
        <x:v>0.707763726444355</x:v>
      </x:c>
      <x:c r="C1675" s="46" t="n">
        <x:f>B1675^2</x:f>
        <x:v>0.5009294924703999</x:v>
      </x:c>
      <x:c r="D1675" s="47" t="n">
        <x:f>'Datos'!$B$26^3/3</x:f>
        <x:v>0.3333333333333333</x:v>
      </x:c>
      <x:c r="E1675" s="46" t="n">
        <x:f>D1675*(C1675-1)</x:f>
        <x:v>-0.16635683584320005</x:v>
      </x:c>
      <x:c r="F1675" s="2"/>
      <x:c r="G1675" s="2"/>
      <x:c r="H1675" s="2"/>
    </x:row>
    <x:row r="1676" ht="22" customHeight="1">
      <x:c r="A1676" s="2" t="n">
        <x:v>1670</x:v>
      </x:c>
      <x:c r="B1676" s="79" t="n">
        <x:v>0.13294268026544978</x:v>
      </x:c>
      <x:c r="C1676" s="46" t="n">
        <x:f>B1676^2</x:f>
        <x:v>0.01767375623616161</x:v>
      </x:c>
      <x:c r="D1676" s="47" t="n">
        <x:f>'Datos'!$B$26^3/3</x:f>
        <x:v>0.3333333333333333</x:v>
      </x:c>
      <x:c r="E1676" s="46" t="n">
        <x:f>D1676*(C1676-1)</x:f>
        <x:v>-0.32744208125461277</x:v>
      </x:c>
      <x:c r="F1676" s="2"/>
      <x:c r="G1676" s="2"/>
      <x:c r="H1676" s="2"/>
    </x:row>
    <x:row r="1677" ht="22" customHeight="1">
      <x:c r="A1677" s="2" t="n">
        <x:v>1671</x:v>
      </x:c>
      <x:c r="B1677" s="79" t="n">
        <x:v>0.8542620528328416</x:v>
      </x:c>
      <x:c r="C1677" s="46" t="n">
        <x:f>B1677^2</x:f>
        <x:v>0.7297636549101807</x:v>
      </x:c>
      <x:c r="D1677" s="47" t="n">
        <x:f>'Datos'!$B$26^3/3</x:f>
        <x:v>0.3333333333333333</x:v>
      </x:c>
      <x:c r="E1677" s="46" t="n">
        <x:f>D1677*(C1677-1)</x:f>
        <x:v>-0.09007878169660644</x:v>
      </x:c>
      <x:c r="F1677" s="2"/>
      <x:c r="G1677" s="2"/>
      <x:c r="H1677" s="2"/>
    </x:row>
    <x:row r="1678" ht="22" customHeight="1">
      <x:c r="A1678" s="2" t="n">
        <x:v>1672</x:v>
      </x:c>
      <x:c r="B1678" s="79" t="n">
        <x:v>0.17934514774135685</x:v>
      </x:c>
      <x:c r="C1678" s="46" t="n">
        <x:f>B1678^2</x:f>
        <x:v>0.03216468201836911</x:v>
      </x:c>
      <x:c r="D1678" s="47" t="n">
        <x:f>'Datos'!$B$26^3/3</x:f>
        <x:v>0.3333333333333333</x:v>
      </x:c>
      <x:c r="E1678" s="46" t="n">
        <x:f>D1678*(C1678-1)</x:f>
        <x:v>-0.32261177266054364</x:v>
      </x:c>
      <x:c r="F1678" s="2"/>
      <x:c r="G1678" s="2"/>
      <x:c r="H1678" s="2"/>
    </x:row>
    <x:row r="1679" ht="22" customHeight="1">
      <x:c r="A1679" s="2" t="n">
        <x:v>1673</x:v>
      </x:c>
      <x:c r="B1679" s="79" t="n">
        <x:v>1.208804355521199</x:v>
      </x:c>
      <x:c r="C1679" s="46" t="n">
        <x:f>B1679^2</x:f>
        <x:v>1.461207969927021</x:v>
      </x:c>
      <x:c r="D1679" s="47" t="n">
        <x:f>'Datos'!$B$26^3/3</x:f>
        <x:v>0.3333333333333333</x:v>
      </x:c>
      <x:c r="E1679" s="46" t="n">
        <x:f>D1679*(C1679-1)</x:f>
        <x:v>0.15373598997567367</x:v>
      </x:c>
      <x:c r="F1679" s="2"/>
      <x:c r="G1679" s="2"/>
      <x:c r="H1679" s="2"/>
    </x:row>
    <x:row r="1680" ht="22" customHeight="1">
      <x:c r="A1680" s="2" t="n">
        <x:v>1674</x:v>
      </x:c>
      <x:c r="B1680" s="79" t="n">
        <x:v>-0.03710530779715225</x:v>
      </x:c>
      <x:c r="C1680" s="46" t="n">
        <x:f>B1680^2</x:f>
        <x:v>0.0013768038667214075</x:v>
      </x:c>
      <x:c r="D1680" s="47" t="n">
        <x:f>'Datos'!$B$26^3/3</x:f>
        <x:v>0.3333333333333333</x:v>
      </x:c>
      <x:c r="E1680" s="46" t="n">
        <x:f>D1680*(C1680-1)</x:f>
        <x:v>-0.3328743987110928</x:v>
      </x:c>
      <x:c r="F1680" s="2"/>
      <x:c r="G1680" s="2"/>
      <x:c r="H1680" s="2"/>
    </x:row>
    <x:row r="1681" ht="22" customHeight="1">
      <x:c r="A1681" s="2" t="n">
        <x:v>1675</x:v>
      </x:c>
      <x:c r="B1681" s="79" t="n">
        <x:v>2.2061177461316337</x:v>
      </x:c>
      <x:c r="C1681" s="46" t="n">
        <x:f>B1681^2</x:f>
        <x:v>4.866955509796919</x:v>
      </x:c>
      <x:c r="D1681" s="47" t="n">
        <x:f>'Datos'!$B$26^3/3</x:f>
        <x:v>0.3333333333333333</x:v>
      </x:c>
      <x:c r="E1681" s="46" t="n">
        <x:f>D1681*(C1681-1)</x:f>
        <x:v>1.2889851699323063</x:v>
      </x:c>
      <x:c r="F1681" s="2"/>
      <x:c r="G1681" s="2"/>
      <x:c r="H1681" s="2"/>
    </x:row>
    <x:row r="1682" ht="22" customHeight="1">
      <x:c r="A1682" s="2" t="n">
        <x:v>1676</x:v>
      </x:c>
      <x:c r="B1682" s="79" t="n">
        <x:v>0.8680587218676222</x:v>
      </x:c>
      <x:c r="C1682" s="46" t="n">
        <x:f>B1682^2</x:f>
        <x:v>0.75352594461045</x:v>
      </x:c>
      <x:c r="D1682" s="47" t="n">
        <x:f>'Datos'!$B$26^3/3</x:f>
        <x:v>0.3333333333333333</x:v>
      </x:c>
      <x:c r="E1682" s="46" t="n">
        <x:f>D1682*(C1682-1)</x:f>
        <x:v>-0.08215801846318334</x:v>
      </x:c>
      <x:c r="F1682" s="2"/>
      <x:c r="G1682" s="2"/>
      <x:c r="H1682" s="2"/>
    </x:row>
    <x:row r="1683" ht="22" customHeight="1">
      <x:c r="A1683" s="2" t="n">
        <x:v>1677</x:v>
      </x:c>
      <x:c r="B1683" s="79" t="n">
        <x:v>0.8277037871627345</x:v>
      </x:c>
      <x:c r="C1683" s="46" t="n">
        <x:f>B1683^2</x:f>
        <x:v>0.6850935592835333</x:v>
      </x:c>
      <x:c r="D1683" s="47" t="n">
        <x:f>'Datos'!$B$26^3/3</x:f>
        <x:v>0.3333333333333333</x:v>
      </x:c>
      <x:c r="E1683" s="46" t="n">
        <x:f>D1683*(C1683-1)</x:f>
        <x:v>-0.10496881357215555</x:v>
      </x:c>
      <x:c r="F1683" s="2"/>
      <x:c r="G1683" s="2"/>
      <x:c r="H1683" s="2"/>
    </x:row>
    <x:row r="1684" ht="22" customHeight="1">
      <x:c r="A1684" s="2" t="n">
        <x:v>1678</x:v>
      </x:c>
      <x:c r="B1684" s="79" t="n">
        <x:v>1.8216116130392488</x:v>
      </x:c>
      <x:c r="C1684" s="46" t="n">
        <x:f>B1684^2</x:f>
        <x:v>3.318268868759454</x:v>
      </x:c>
      <x:c r="D1684" s="47" t="n">
        <x:f>'Datos'!$B$26^3/3</x:f>
        <x:v>0.3333333333333333</x:v>
      </x:c>
      <x:c r="E1684" s="46" t="n">
        <x:f>D1684*(C1684-1)</x:f>
        <x:v>0.7727562895864846</x:v>
      </x:c>
      <x:c r="F1684" s="2"/>
      <x:c r="G1684" s="2"/>
      <x:c r="H1684" s="2"/>
    </x:row>
    <x:row r="1685" ht="22" customHeight="1">
      <x:c r="A1685" s="2" t="n">
        <x:v>1679</x:v>
      </x:c>
      <x:c r="B1685" s="79" t="n">
        <x:v>0.0470564417683462</x:v>
      </x:c>
      <x:c r="C1685" s="46" t="n">
        <x:f>B1685^2</x:f>
        <x:v>0.0022143087118977564</x:v>
      </x:c>
      <x:c r="D1685" s="47" t="n">
        <x:f>'Datos'!$B$26^3/3</x:f>
        <x:v>0.3333333333333333</x:v>
      </x:c>
      <x:c r="E1685" s="46" t="n">
        <x:f>D1685*(C1685-1)</x:f>
        <x:v>-0.3325952304293674</x:v>
      </x:c>
      <x:c r="F1685" s="2"/>
      <x:c r="G1685" s="2"/>
      <x:c r="H1685" s="2"/>
    </x:row>
    <x:row r="1686" ht="22" customHeight="1">
      <x:c r="A1686" s="2" t="n">
        <x:v>1680</x:v>
      </x:c>
      <x:c r="B1686" s="79" t="n">
        <x:v>0.5116710240648776</x:v>
      </x:c>
      <x:c r="C1686" s="46" t="n">
        <x:f>B1686^2</x:f>
        <x:v>0.2618072368676006</x:v>
      </x:c>
      <x:c r="D1686" s="47" t="n">
        <x:f>'Datos'!$B$26^3/3</x:f>
        <x:v>0.3333333333333333</x:v>
      </x:c>
      <x:c r="E1686" s="46" t="n">
        <x:f>D1686*(C1686-1)</x:f>
        <x:v>-0.24606425437746648</x:v>
      </x:c>
      <x:c r="F1686" s="2"/>
      <x:c r="G1686" s="2"/>
      <x:c r="H1686" s="2"/>
    </x:row>
    <x:row r="1687" ht="22" customHeight="1">
      <x:c r="A1687" s="2" t="n">
        <x:v>1681</x:v>
      </x:c>
      <x:c r="B1687" s="79" t="n">
        <x:v>1.561620992346798</x:v>
      </x:c>
      <x:c r="C1687" s="46" t="n">
        <x:f>B1687^2</x:f>
        <x:v>2.4386601237381984</x:v>
      </x:c>
      <x:c r="D1687" s="47" t="n">
        <x:f>'Datos'!$B$26^3/3</x:f>
        <x:v>0.3333333333333333</x:v>
      </x:c>
      <x:c r="E1687" s="46" t="n">
        <x:f>D1687*(C1687-1)</x:f>
        <x:v>0.47955337457939945</x:v>
      </x:c>
      <x:c r="F1687" s="2"/>
      <x:c r="G1687" s="2"/>
      <x:c r="H1687" s="2"/>
    </x:row>
    <x:row r="1688" ht="22" customHeight="1">
      <x:c r="A1688" s="2" t="n">
        <x:v>1682</x:v>
      </x:c>
      <x:c r="B1688" s="79" t="n">
        <x:v>2.8847614669821233</x:v>
      </x:c>
      <x:c r="C1688" s="46" t="n">
        <x:f>B1688^2</x:f>
        <x:v>8.321848721384852</x:v>
      </x:c>
      <x:c r="D1688" s="47" t="n">
        <x:f>'Datos'!$B$26^3/3</x:f>
        <x:v>0.3333333333333333</x:v>
      </x:c>
      <x:c r="E1688" s="46" t="n">
        <x:f>D1688*(C1688-1)</x:f>
        <x:v>2.440616240461617</x:v>
      </x:c>
      <x:c r="F1688" s="2"/>
      <x:c r="G1688" s="2"/>
      <x:c r="H1688" s="2"/>
    </x:row>
    <x:row r="1689" ht="22" customHeight="1">
      <x:c r="A1689" s="2" t="n">
        <x:v>1683</x:v>
      </x:c>
      <x:c r="B1689" s="79" t="n">
        <x:v>1.4872969886306366</x:v>
      </x:c>
      <x:c r="C1689" s="46" t="n">
        <x:f>B1689^2</x:f>
        <x:v>2.21205233238976</x:v>
      </x:c>
      <x:c r="D1689" s="47" t="n">
        <x:f>'Datos'!$B$26^3/3</x:f>
        <x:v>0.3333333333333333</x:v>
      </x:c>
      <x:c r="E1689" s="46" t="n">
        <x:f>D1689*(C1689-1)</x:f>
        <x:v>0.40401744412992</x:v>
      </x:c>
      <x:c r="F1689" s="2"/>
      <x:c r="G1689" s="2"/>
      <x:c r="H1689" s="2"/>
    </x:row>
    <x:row r="1690" ht="22" customHeight="1">
      <x:c r="A1690" s="2" t="n">
        <x:v>1684</x:v>
      </x:c>
      <x:c r="B1690" s="79" t="n">
        <x:v>1.7555261104577522</x:v>
      </x:c>
      <x:c r="C1690" s="46" t="n">
        <x:f>B1690^2</x:f>
        <x:v>3.081871924498924</x:v>
      </x:c>
      <x:c r="D1690" s="47" t="n">
        <x:f>'Datos'!$B$26^3/3</x:f>
        <x:v>0.3333333333333333</x:v>
      </x:c>
      <x:c r="E1690" s="46" t="n">
        <x:f>D1690*(C1690-1)</x:f>
        <x:v>0.693957308166308</x:v>
      </x:c>
      <x:c r="F1690" s="2"/>
      <x:c r="G1690" s="2"/>
      <x:c r="H1690" s="2"/>
    </x:row>
    <x:row r="1691" ht="22" customHeight="1">
      <x:c r="A1691" s="2" t="n">
        <x:v>1685</x:v>
      </x:c>
      <x:c r="B1691" s="79" t="n">
        <x:v>0.22286495380171026</x:v>
      </x:c>
      <x:c r="C1691" s="46" t="n">
        <x:f>B1691^2</x:f>
        <x:v>0.04966878763303845</x:v>
      </x:c>
      <x:c r="D1691" s="47" t="n">
        <x:f>'Datos'!$B$26^3/3</x:f>
        <x:v>0.3333333333333333</x:v>
      </x:c>
      <x:c r="E1691" s="46" t="n">
        <x:f>D1691*(C1691-1)</x:f>
        <x:v>-0.3167770707889872</x:v>
      </x:c>
      <x:c r="F1691" s="2"/>
      <x:c r="G1691" s="2"/>
      <x:c r="H1691" s="2"/>
    </x:row>
    <x:row r="1692" ht="22" customHeight="1">
      <x:c r="A1692" s="2" t="n">
        <x:v>1686</x:v>
      </x:c>
      <x:c r="B1692" s="79" t="n">
        <x:v>-0.1560807977997112</x:v>
      </x:c>
      <x:c r="C1692" s="46" t="n">
        <x:f>B1692^2</x:f>
        <x:v>0.024361215441794336</x:v>
      </x:c>
      <x:c r="D1692" s="47" t="n">
        <x:f>'Datos'!$B$26^3/3</x:f>
        <x:v>0.3333333333333333</x:v>
      </x:c>
      <x:c r="E1692" s="46" t="n">
        <x:f>D1692*(C1692-1)</x:f>
        <x:v>-0.3252129281860685</x:v>
      </x:c>
      <x:c r="F1692" s="2"/>
      <x:c r="G1692" s="2"/>
      <x:c r="H1692" s="2"/>
    </x:row>
    <x:row r="1693" ht="22" customHeight="1">
      <x:c r="A1693" s="2" t="n">
        <x:v>1687</x:v>
      </x:c>
      <x:c r="B1693" s="79" t="n">
        <x:v>1.2381070675512271</x:v>
      </x:c>
      <x:c r="C1693" s="46" t="n">
        <x:f>B1693^2</x:f>
        <x:v>1.5329091107202988</x:v>
      </x:c>
      <x:c r="D1693" s="47" t="n">
        <x:f>'Datos'!$B$26^3/3</x:f>
        <x:v>0.3333333333333333</x:v>
      </x:c>
      <x:c r="E1693" s="46" t="n">
        <x:f>D1693*(C1693-1)</x:f>
        <x:v>0.1776363702400996</x:v>
      </x:c>
      <x:c r="F1693" s="2"/>
      <x:c r="G1693" s="2"/>
      <x:c r="H1693" s="2"/>
    </x:row>
    <x:row r="1694" ht="22" customHeight="1">
      <x:c r="A1694" s="2" t="n">
        <x:v>1688</x:v>
      </x:c>
      <x:c r="B1694" s="79" t="n">
        <x:v>-1.3784067548116854</x:v>
      </x:c>
      <x:c r="C1694" s="46" t="n">
        <x:f>B1694^2</x:f>
        <x:v>1.9000051817104817</x:v>
      </x:c>
      <x:c r="D1694" s="47" t="n">
        <x:f>'Datos'!$B$26^3/3</x:f>
        <x:v>0.3333333333333333</x:v>
      </x:c>
      <x:c r="E1694" s="46" t="n">
        <x:f>D1694*(C1694-1)</x:f>
        <x:v>0.3000017272368272</x:v>
      </x:c>
      <x:c r="F1694" s="2"/>
      <x:c r="G1694" s="2"/>
      <x:c r="H1694" s="2"/>
    </x:row>
    <x:row r="1695" ht="22" customHeight="1">
      <x:c r="A1695" s="2" t="n">
        <x:v>1689</x:v>
      </x:c>
      <x:c r="B1695" s="79" t="n">
        <x:v>0.21793750619045815</x:v>
      </x:c>
      <x:c r="C1695" s="46" t="n">
        <x:f>B1695^2</x:f>
        <x:v>0.04749675660451599</x:v>
      </x:c>
      <x:c r="D1695" s="47" t="n">
        <x:f>'Datos'!$B$26^3/3</x:f>
        <x:v>0.3333333333333333</x:v>
      </x:c>
      <x:c r="E1695" s="46" t="n">
        <x:f>D1695*(C1695-1)</x:f>
        <x:v>-0.31750108113182796</x:v>
      </x:c>
      <x:c r="F1695" s="2"/>
      <x:c r="G1695" s="2"/>
      <x:c r="H1695" s="2"/>
    </x:row>
    <x:row r="1696" ht="22" customHeight="1">
      <x:c r="A1696" s="2" t="n">
        <x:v>1690</x:v>
      </x:c>
      <x:c r="B1696" s="79" t="n">
        <x:v>-1.477670663685155</x:v>
      </x:c>
      <x:c r="C1696" s="46" t="n">
        <x:f>B1696^2</x:f>
        <x:v>2.1835105903157266</x:v>
      </x:c>
      <x:c r="D1696" s="47" t="n">
        <x:f>'Datos'!$B$26^3/3</x:f>
        <x:v>0.3333333333333333</x:v>
      </x:c>
      <x:c r="E1696" s="46" t="n">
        <x:f>D1696*(C1696-1)</x:f>
        <x:v>0.3945035301052422</x:v>
      </x:c>
      <x:c r="F1696" s="2"/>
      <x:c r="G1696" s="2"/>
      <x:c r="H1696" s="2"/>
    </x:row>
    <x:row r="1697" ht="22" customHeight="1">
      <x:c r="A1697" s="2" t="n">
        <x:v>1691</x:v>
      </x:c>
      <x:c r="B1697" s="79" t="n">
        <x:v>2.2833733427072</x:v>
      </x:c>
      <x:c r="C1697" s="46" t="n">
        <x:f>B1697^2</x:f>
        <x:v>5.213793822185853</x:v>
      </x:c>
      <x:c r="D1697" s="47" t="n">
        <x:f>'Datos'!$B$26^3/3</x:f>
        <x:v>0.3333333333333333</x:v>
      </x:c>
      <x:c r="E1697" s="46" t="n">
        <x:f>D1697*(C1697-1)</x:f>
        <x:v>1.4045979407286175</x:v>
      </x:c>
      <x:c r="F1697" s="2"/>
      <x:c r="G1697" s="2"/>
      <x:c r="H1697" s="2"/>
    </x:row>
    <x:row r="1698" ht="22" customHeight="1">
      <x:c r="A1698" s="2" t="n">
        <x:v>1692</x:v>
      </x:c>
      <x:c r="B1698" s="79" t="n">
        <x:v>-0.48178693685584495</x:v>
      </x:c>
      <x:c r="C1698" s="46" t="n">
        <x:f>B1698^2</x:f>
        <x:v>0.23211865252493794</x:v>
      </x:c>
      <x:c r="D1698" s="47" t="n">
        <x:f>'Datos'!$B$26^3/3</x:f>
        <x:v>0.3333333333333333</x:v>
      </x:c>
      <x:c r="E1698" s="46" t="n">
        <x:f>D1698*(C1698-1)</x:f>
        <x:v>-0.25596044915835403</x:v>
      </x:c>
      <x:c r="F1698" s="2"/>
      <x:c r="G1698" s="2"/>
      <x:c r="H1698" s="2"/>
    </x:row>
    <x:row r="1699" ht="22" customHeight="1">
      <x:c r="A1699" s="2" t="n">
        <x:v>1693</x:v>
      </x:c>
      <x:c r="B1699" s="79" t="n">
        <x:v>-0.8421089663576048</x:v>
      </x:c>
      <x:c r="C1699" s="46" t="n">
        <x:f>B1699^2</x:f>
        <x:v>0.7091475112198735</x:v>
      </x:c>
      <x:c r="D1699" s="47" t="n">
        <x:f>'Datos'!$B$26^3/3</x:f>
        <x:v>0.3333333333333333</x:v>
      </x:c>
      <x:c r="E1699" s="46" t="n">
        <x:f>D1699*(C1699-1)</x:f>
        <x:v>-0.09695082959337549</x:v>
      </x:c>
      <x:c r="F1699" s="2"/>
      <x:c r="G1699" s="2"/>
      <x:c r="H1699" s="2"/>
    </x:row>
    <x:row r="1700" ht="22" customHeight="1">
      <x:c r="A1700" s="2" t="n">
        <x:v>1694</x:v>
      </x:c>
      <x:c r="B1700" s="79" t="n">
        <x:v>1.0459858421523631</x:v>
      </x:c>
      <x:c r="C1700" s="46" t="n">
        <x:f>B1700^2</x:f>
        <x:v>1.0940863819831883</x:v>
      </x:c>
      <x:c r="D1700" s="47" t="n">
        <x:f>'Datos'!$B$26^3/3</x:f>
        <x:v>0.3333333333333333</x:v>
      </x:c>
      <x:c r="E1700" s="46" t="n">
        <x:f>D1700*(C1700-1)</x:f>
        <x:v>0.03136212732772943</x:v>
      </x:c>
      <x:c r="F1700" s="2"/>
      <x:c r="G1700" s="2"/>
      <x:c r="H1700" s="2"/>
    </x:row>
    <x:row r="1701" ht="22" customHeight="1">
      <x:c r="A1701" s="2" t="n">
        <x:v>1695</x:v>
      </x:c>
      <x:c r="B1701" s="79" t="n">
        <x:v>0.8448596934282756</x:v>
      </x:c>
      <x:c r="C1701" s="46" t="n">
        <x:f>B1701^2</x:f>
        <x:v>0.7137879015797198</x:v>
      </x:c>
      <x:c r="D1701" s="47" t="n">
        <x:f>'Datos'!$B$26^3/3</x:f>
        <x:v>0.3333333333333333</x:v>
      </x:c>
      <x:c r="E1701" s="46" t="n">
        <x:f>D1701*(C1701-1)</x:f>
        <x:v>-0.09540403280676005</x:v>
      </x:c>
      <x:c r="F1701" s="2"/>
      <x:c r="G1701" s="2"/>
      <x:c r="H1701" s="2"/>
    </x:row>
    <x:row r="1702" ht="22" customHeight="1">
      <x:c r="A1702" s="2" t="n">
        <x:v>1696</x:v>
      </x:c>
      <x:c r="B1702" s="79" t="n">
        <x:v>-0.12443237699187698</x:v>
      </x:c>
      <x:c r="C1702" s="46" t="n">
        <x:f>B1702^2</x:f>
        <x:v>0.015483416443848597</x:v>
      </x:c>
      <x:c r="D1702" s="47" t="n">
        <x:f>'Datos'!$B$26^3/3</x:f>
        <x:v>0.3333333333333333</x:v>
      </x:c>
      <x:c r="E1702" s="46" t="n">
        <x:f>D1702*(C1702-1)</x:f>
        <x:v>-0.3281721945187171</x:v>
      </x:c>
      <x:c r="F1702" s="2"/>
      <x:c r="G1702" s="2"/>
      <x:c r="H1702" s="2"/>
    </x:row>
    <x:row r="1703" ht="22" customHeight="1">
      <x:c r="A1703" s="2" t="n">
        <x:v>1697</x:v>
      </x:c>
      <x:c r="B1703" s="79" t="n">
        <x:v>0.2173574272731363</x:v>
      </x:c>
      <x:c r="C1703" s="46" t="n">
        <x:f>B1703^2</x:f>
        <x:v>0.04724425119079674</x:v>
      </x:c>
      <x:c r="D1703" s="47" t="n">
        <x:f>'Datos'!$B$26^3/3</x:f>
        <x:v>0.3333333333333333</x:v>
      </x:c>
      <x:c r="E1703" s="46" t="n">
        <x:f>D1703*(C1703-1)</x:f>
        <x:v>-0.3175852496030677</x:v>
      </x:c>
      <x:c r="F1703" s="2"/>
      <x:c r="G1703" s="2"/>
      <x:c r="H1703" s="2"/>
    </x:row>
    <x:row r="1704" ht="22" customHeight="1">
      <x:c r="A1704" s="2" t="n">
        <x:v>1698</x:v>
      </x:c>
      <x:c r="B1704" s="79" t="n">
        <x:v>1.466136269282049</x:v>
      </x:c>
      <x:c r="C1704" s="46" t="n">
        <x:f>B1704^2</x:f>
        <x:v>2.149555560104285</x:v>
      </x:c>
      <x:c r="D1704" s="47" t="n">
        <x:f>'Datos'!$B$26^3/3</x:f>
        <x:v>0.3333333333333333</x:v>
      </x:c>
      <x:c r="E1704" s="46" t="n">
        <x:f>D1704*(C1704-1)</x:f>
        <x:v>0.3831851867014283</x:v>
      </x:c>
      <x:c r="F1704" s="2"/>
      <x:c r="G1704" s="2"/>
      <x:c r="H1704" s="2"/>
    </x:row>
    <x:row r="1705" ht="22" customHeight="1">
      <x:c r="A1705" s="2" t="n">
        <x:v>1699</x:v>
      </x:c>
      <x:c r="B1705" s="79" t="n">
        <x:v>-0.0713419718150437</x:v>
      </x:c>
      <x:c r="C1705" s="46" t="n">
        <x:f>B1705^2</x:f>
        <x:v>0.00508967694245849</x:v>
      </x:c>
      <x:c r="D1705" s="47" t="n">
        <x:f>'Datos'!$B$26^3/3</x:f>
        <x:v>0.3333333333333333</x:v>
      </x:c>
      <x:c r="E1705" s="46" t="n">
        <x:f>D1705*(C1705-1)</x:f>
        <x:v>-0.3316367743525138</x:v>
      </x:c>
      <x:c r="F1705" s="2"/>
      <x:c r="G1705" s="2"/>
      <x:c r="H1705" s="2"/>
    </x:row>
    <x:row r="1706" ht="22" customHeight="1">
      <x:c r="A1706" s="2" t="n">
        <x:v>1700</x:v>
      </x:c>
      <x:c r="B1706" s="79" t="n">
        <x:v>-0.18309123248794157</x:v>
      </x:c>
      <x:c r="C1706" s="46" t="n">
        <x:f>B1706^2</x:f>
        <x:v>0.03352239941395347</x:v>
      </x:c>
      <x:c r="D1706" s="47" t="n">
        <x:f>'Datos'!$B$26^3/3</x:f>
        <x:v>0.3333333333333333</x:v>
      </x:c>
      <x:c r="E1706" s="46" t="n">
        <x:f>D1706*(C1706-1)</x:f>
        <x:v>-0.3221592001953488</x:v>
      </x:c>
      <x:c r="F1706" s="2"/>
      <x:c r="G1706" s="2"/>
      <x:c r="H1706" s="2"/>
    </x:row>
    <x:row r="1707" ht="22" customHeight="1">
      <x:c r="A1707" s="2" t="n">
        <x:v>1701</x:v>
      </x:c>
      <x:c r="B1707" s="79" t="n">
        <x:v>0.7720058531137464</x:v>
      </x:c>
      <x:c r="C1707" s="46" t="n">
        <x:f>B1707^2</x:f>
        <x:v>0.5959930372418833</x:v>
      </x:c>
      <x:c r="D1707" s="47" t="n">
        <x:f>'Datos'!$B$26^3/3</x:f>
        <x:v>0.3333333333333333</x:v>
      </x:c>
      <x:c r="E1707" s="46" t="n">
        <x:f>D1707*(C1707-1)</x:f>
        <x:v>-0.13466898758603887</x:v>
      </x:c>
      <x:c r="F1707" s="2"/>
      <x:c r="G1707" s="2"/>
      <x:c r="H1707" s="2"/>
    </x:row>
    <x:row r="1708" ht="22" customHeight="1">
      <x:c r="A1708" s="2" t="n">
        <x:v>1702</x:v>
      </x:c>
      <x:c r="B1708" s="79" t="n">
        <x:v>-1.7864848743010522</x:v>
      </x:c>
      <x:c r="C1708" s="46" t="n">
        <x:f>B1708^2</x:f>
        <x:v>3.191528206106446</x:v>
      </x:c>
      <x:c r="D1708" s="47" t="n">
        <x:f>'Datos'!$B$26^3/3</x:f>
        <x:v>0.3333333333333333</x:v>
      </x:c>
      <x:c r="E1708" s="46" t="n">
        <x:f>D1708*(C1708-1)</x:f>
        <x:v>0.730509402035482</x:v>
      </x:c>
      <x:c r="F1708" s="2"/>
      <x:c r="G1708" s="2"/>
      <x:c r="H1708" s="2"/>
    </x:row>
    <x:row r="1709" ht="22" customHeight="1">
      <x:c r="A1709" s="2" t="n">
        <x:v>1703</x:v>
      </x:c>
      <x:c r="B1709" s="79" t="n">
        <x:v>-0.9380738437096379</x:v>
      </x:c>
      <x:c r="C1709" s="46" t="n">
        <x:f>B1709^2</x:f>
        <x:v>0.879982536252174</x:v>
      </x:c>
      <x:c r="D1709" s="47" t="n">
        <x:f>'Datos'!$B$26^3/3</x:f>
        <x:v>0.3333333333333333</x:v>
      </x:c>
      <x:c r="E1709" s="46" t="n">
        <x:f>D1709*(C1709-1)</x:f>
        <x:v>-0.04000582124927532</x:v>
      </x:c>
      <x:c r="F1709" s="2"/>
      <x:c r="G1709" s="2"/>
      <x:c r="H1709" s="2"/>
    </x:row>
    <x:row r="1710" ht="22" customHeight="1">
      <x:c r="A1710" s="2" t="n">
        <x:v>1704</x:v>
      </x:c>
      <x:c r="B1710" s="79" t="n">
        <x:v>-1.103621551499068</x:v>
      </x:c>
      <x:c r="C1710" s="46" t="n">
        <x:f>B1710^2</x:f>
        <x:v>1.21798052893321</x:v>
      </x:c>
      <x:c r="D1710" s="47" t="n">
        <x:f>'Datos'!$B$26^3/3</x:f>
        <x:v>0.3333333333333333</x:v>
      </x:c>
      <x:c r="E1710" s="46" t="n">
        <x:f>D1710*(C1710-1)</x:f>
        <x:v>0.07266017631106998</x:v>
      </x:c>
      <x:c r="F1710" s="2"/>
      <x:c r="G1710" s="2"/>
      <x:c r="H1710" s="2"/>
    </x:row>
    <x:row r="1711" ht="22" customHeight="1">
      <x:c r="A1711" s="2" t="n">
        <x:v>1705</x:v>
      </x:c>
      <x:c r="B1711" s="79" t="n">
        <x:v>-0.29360145395076215</x:v>
      </x:c>
      <x:c r="C1711" s="46" t="n">
        <x:f>B1711^2</x:f>
        <x:v>0.0862018137620015</x:v>
      </x:c>
      <x:c r="D1711" s="47" t="n">
        <x:f>'Datos'!$B$26^3/3</x:f>
        <x:v>0.3333333333333333</x:v>
      </x:c>
      <x:c r="E1711" s="46" t="n">
        <x:f>D1711*(C1711-1)</x:f>
        <x:v>-0.3045993954126661</x:v>
      </x:c>
      <x:c r="F1711" s="2"/>
      <x:c r="G1711" s="2"/>
      <x:c r="H1711" s="2"/>
    </x:row>
    <x:row r="1712" ht="22" customHeight="1">
      <x:c r="A1712" s="2" t="n">
        <x:v>1706</x:v>
      </x:c>
      <x:c r="B1712" s="79" t="n">
        <x:v>0.6890361396035114</x:v>
      </x:c>
      <x:c r="C1712" s="46" t="n">
        <x:f>B1712^2</x:f>
        <x:v>0.47477080167970964</x:v>
      </x:c>
      <x:c r="D1712" s="47" t="n">
        <x:f>'Datos'!$B$26^3/3</x:f>
        <x:v>0.3333333333333333</x:v>
      </x:c>
      <x:c r="E1712" s="46" t="n">
        <x:f>D1712*(C1712-1)</x:f>
        <x:v>-0.17507639944009679</x:v>
      </x:c>
      <x:c r="F1712" s="2"/>
      <x:c r="G1712" s="2"/>
      <x:c r="H1712" s="2"/>
    </x:row>
    <x:row r="1713" ht="22" customHeight="1">
      <x:c r="A1713" s="2" t="n">
        <x:v>1707</x:v>
      </x:c>
      <x:c r="B1713" s="79" t="n">
        <x:v>-1.0852161519877968</x:v>
      </x:c>
      <x:c r="C1713" s="46" t="n">
        <x:f>B1713^2</x:f>
        <x:v>1.1776940965352007</x:v>
      </x:c>
      <x:c r="D1713" s="47" t="n">
        <x:f>'Datos'!$B$26^3/3</x:f>
        <x:v>0.3333333333333333</x:v>
      </x:c>
      <x:c r="E1713" s="46" t="n">
        <x:f>D1713*(C1713-1)</x:f>
        <x:v>0.05923136551173358</x:v>
      </x:c>
      <x:c r="F1713" s="2"/>
      <x:c r="G1713" s="2"/>
      <x:c r="H1713" s="2"/>
    </x:row>
    <x:row r="1714" ht="22" customHeight="1">
      <x:c r="A1714" s="2" t="n">
        <x:v>1708</x:v>
      </x:c>
      <x:c r="B1714" s="79" t="n">
        <x:v>-0.5836965829288622</x:v>
      </x:c>
      <x:c r="C1714" s="46" t="n">
        <x:f>B1714^2</x:f>
        <x:v>0.3407017009228301</x:v>
      </x:c>
      <x:c r="D1714" s="47" t="n">
        <x:f>'Datos'!$B$26^3/3</x:f>
        <x:v>0.3333333333333333</x:v>
      </x:c>
      <x:c r="E1714" s="46" t="n">
        <x:f>D1714*(C1714-1)</x:f>
        <x:v>-0.21976609969238994</x:v>
      </x:c>
      <x:c r="F1714" s="2"/>
      <x:c r="G1714" s="2"/>
      <x:c r="H1714" s="2"/>
    </x:row>
    <x:row r="1715" ht="22" customHeight="1">
      <x:c r="A1715" s="2" t="n">
        <x:v>1709</x:v>
      </x:c>
      <x:c r="B1715" s="79" t="n">
        <x:v>-0.9316883410687473</x:v>
      </x:c>
      <x:c r="C1715" s="46" t="n">
        <x:f>B1715^2</x:f>
        <x:v>0.8680431648834345</x:v>
      </x:c>
      <x:c r="D1715" s="47" t="n">
        <x:f>'Datos'!$B$26^3/3</x:f>
        <x:v>0.3333333333333333</x:v>
      </x:c>
      <x:c r="E1715" s="46" t="n">
        <x:f>D1715*(C1715-1)</x:f>
        <x:v>-0.04398561170552184</x:v>
      </x:c>
      <x:c r="F1715" s="2"/>
      <x:c r="G1715" s="2"/>
      <x:c r="H1715" s="2"/>
    </x:row>
    <x:row r="1716" ht="22" customHeight="1">
      <x:c r="A1716" s="2" t="n">
        <x:v>1710</x:v>
      </x:c>
      <x:c r="B1716" s="79" t="n">
        <x:v>1.6828261456616929</x:v>
      </x:c>
      <x:c r="C1716" s="46" t="n">
        <x:f>B1716^2</x:f>
        <x:v>2.831903836522589</x:v>
      </x:c>
      <x:c r="D1716" s="47" t="n">
        <x:f>'Datos'!$B$26^3/3</x:f>
        <x:v>0.3333333333333333</x:v>
      </x:c>
      <x:c r="E1716" s="46" t="n">
        <x:f>D1716*(C1716-1)</x:f>
        <x:v>0.6106346121741963</x:v>
      </x:c>
      <x:c r="F1716" s="2"/>
      <x:c r="G1716" s="2"/>
      <x:c r="H1716" s="2"/>
    </x:row>
    <x:row r="1717" ht="22" customHeight="1">
      <x:c r="A1717" s="2" t="n">
        <x:v>1711</x:v>
      </x:c>
      <x:c r="B1717" s="79" t="n">
        <x:v>1.5411877616762706</x:v>
      </x:c>
      <x:c r="C1717" s="46" t="n">
        <x:f>B1717^2</x:f>
        <x:v>2.3752597167407132</x:v>
      </x:c>
      <x:c r="D1717" s="47" t="n">
        <x:f>'Datos'!$B$26^3/3</x:f>
        <x:v>0.3333333333333333</x:v>
      </x:c>
      <x:c r="E1717" s="46" t="n">
        <x:f>D1717*(C1717-1)</x:f>
        <x:v>0.4584199055802377</x:v>
      </x:c>
      <x:c r="F1717" s="2"/>
      <x:c r="G1717" s="2"/>
      <x:c r="H1717" s="2"/>
    </x:row>
    <x:row r="1718" ht="22" customHeight="1">
      <x:c r="A1718" s="2" t="n">
        <x:v>1712</x:v>
      </x:c>
      <x:c r="B1718" s="79" t="n">
        <x:v>-1.6590967658591746</x:v>
      </x:c>
      <x:c r="C1718" s="46" t="n">
        <x:f>B1718^2</x:f>
        <x:v>2.7526020784843728</x:v>
      </x:c>
      <x:c r="D1718" s="47" t="n">
        <x:f>'Datos'!$B$26^3/3</x:f>
        <x:v>0.3333333333333333</x:v>
      </x:c>
      <x:c r="E1718" s="46" t="n">
        <x:f>D1718*(C1718-1)</x:f>
        <x:v>0.5842006928281243</x:v>
      </x:c>
      <x:c r="F1718" s="2"/>
      <x:c r="G1718" s="2"/>
      <x:c r="H1718" s="2"/>
    </x:row>
    <x:row r="1719" ht="22" customHeight="1">
      <x:c r="A1719" s="2" t="n">
        <x:v>1713</x:v>
      </x:c>
      <x:c r="B1719" s="79" t="n">
        <x:v>-0.573611254035327</x:v>
      </x:c>
      <x:c r="C1719" s="46" t="n">
        <x:f>B1719^2</x:f>
        <x:v>0.32902987075598045</x:v>
      </x:c>
      <x:c r="D1719" s="47" t="n">
        <x:f>'Datos'!$B$26^3/3</x:f>
        <x:v>0.3333333333333333</x:v>
      </x:c>
      <x:c r="E1719" s="46" t="n">
        <x:f>D1719*(C1719-1)</x:f>
        <x:v>-0.2236567097480065</x:v>
      </x:c>
      <x:c r="F1719" s="2"/>
      <x:c r="G1719" s="2"/>
      <x:c r="H1719" s="2"/>
    </x:row>
    <x:row r="1720" ht="22" customHeight="1">
      <x:c r="A1720" s="2" t="n">
        <x:v>1714</x:v>
      </x:c>
      <x:c r="B1720" s="79" t="n">
        <x:v>0.7806124655861224</x:v>
      </x:c>
      <x:c r="C1720" s="46" t="n">
        <x:f>B1720^2</x:f>
        <x:v>0.6093558214284451</x:v>
      </x:c>
      <x:c r="D1720" s="47" t="n">
        <x:f>'Datos'!$B$26^3/3</x:f>
        <x:v>0.3333333333333333</x:v>
      </x:c>
      <x:c r="E1720" s="46" t="n">
        <x:f>D1720*(C1720-1)</x:f>
        <x:v>-0.13021472619051827</x:v>
      </x:c>
      <x:c r="F1720" s="2"/>
      <x:c r="G1720" s="2"/>
      <x:c r="H1720" s="2"/>
    </x:row>
    <x:row r="1721" ht="22" customHeight="1">
      <x:c r="A1721" s="2" t="n">
        <x:v>1715</x:v>
      </x:c>
      <x:c r="B1721" s="79" t="n">
        <x:v>-0.611324420177035</x:v>
      </x:c>
      <x:c r="C1721" s="46" t="n">
        <x:f>B1721^2</x:f>
        <x:v>0.3737175467047881</x:v>
      </x:c>
      <x:c r="D1721" s="47" t="n">
        <x:f>'Datos'!$B$26^3/3</x:f>
        <x:v>0.3333333333333333</x:v>
      </x:c>
      <x:c r="E1721" s="46" t="n">
        <x:f>D1721*(C1721-1)</x:f>
        <x:v>-0.20876081776507063</x:v>
      </x:c>
      <x:c r="F1721" s="2"/>
      <x:c r="G1721" s="2"/>
      <x:c r="H1721" s="2"/>
    </x:row>
    <x:row r="1722" ht="22" customHeight="1">
      <x:c r="A1722" s="2" t="n">
        <x:v>1716</x:v>
      </x:c>
      <x:c r="B1722" s="79" t="n">
        <x:v>-0.4718193741207363</x:v>
      </x:c>
      <x:c r="C1722" s="46" t="n">
        <x:f>B1722^2</x:f>
        <x:v>0.22261352179568336</x:v>
      </x:c>
      <x:c r="D1722" s="47" t="n">
        <x:f>'Datos'!$B$26^3/3</x:f>
        <x:v>0.3333333333333333</x:v>
      </x:c>
      <x:c r="E1722" s="46" t="n">
        <x:f>D1722*(C1722-1)</x:f>
        <x:v>-0.2591288260681055</x:v>
      </x:c>
      <x:c r="F1722" s="2"/>
      <x:c r="G1722" s="2"/>
      <x:c r="H1722" s="2"/>
    </x:row>
    <x:row r="1723" ht="22" customHeight="1">
      <x:c r="A1723" s="2" t="n">
        <x:v>1717</x:v>
      </x:c>
      <x:c r="B1723" s="79" t="n">
        <x:v>-0.08571934745123368</x:v>
      </x:c>
      <x:c r="C1723" s="46" t="n">
        <x:f>B1723^2</x:f>
        <x:v>0.0073478065274653215</x:v>
      </x:c>
      <x:c r="D1723" s="47" t="n">
        <x:f>'Datos'!$B$26^3/3</x:f>
        <x:v>0.3333333333333333</x:v>
      </x:c>
      <x:c r="E1723" s="46" t="n">
        <x:f>D1723*(C1723-1)</x:f>
        <x:v>-0.33088406449084484</x:v>
      </x:c>
      <x:c r="F1723" s="2"/>
      <x:c r="G1723" s="2"/>
      <x:c r="H1723" s="2"/>
    </x:row>
    <x:row r="1724" ht="22" customHeight="1">
      <x:c r="A1724" s="2" t="n">
        <x:v>1718</x:v>
      </x:c>
      <x:c r="B1724" s="79" t="n">
        <x:v>-0.07910367658434818</x:v>
      </x:c>
      <x:c r="C1724" s="46" t="n">
        <x:f>B1724^2</x:f>
        <x:v>0.006257391649161155</x:v>
      </x:c>
      <x:c r="D1724" s="47" t="n">
        <x:f>'Datos'!$B$26^3/3</x:f>
        <x:v>0.3333333333333333</x:v>
      </x:c>
      <x:c r="E1724" s="46" t="n">
        <x:f>D1724*(C1724-1)</x:f>
        <x:v>-0.33124753611694624</x:v>
      </x:c>
      <x:c r="F1724" s="2"/>
      <x:c r="G1724" s="2"/>
      <x:c r="H1724" s="2"/>
    </x:row>
    <x:row r="1725" ht="22" customHeight="1">
      <x:c r="A1725" s="2" t="n">
        <x:v>1719</x:v>
      </x:c>
      <x:c r="B1725" s="79" t="n">
        <x:v>0.2266881218825432</x:v>
      </x:c>
      <x:c r="C1725" s="46" t="n">
        <x:f>B1725^2</x:f>
        <x:v>0.05138750460263476</x:v>
      </x:c>
      <x:c r="D1725" s="47" t="n">
        <x:f>'Datos'!$B$26^3/3</x:f>
        <x:v>0.3333333333333333</x:v>
      </x:c>
      <x:c r="E1725" s="46" t="n">
        <x:f>D1725*(C1725-1)</x:f>
        <x:v>-0.3162041651324551</x:v>
      </x:c>
      <x:c r="F1725" s="2"/>
      <x:c r="G1725" s="2"/>
      <x:c r="H1725" s="2"/>
    </x:row>
    <x:row r="1726" ht="22" customHeight="1">
      <x:c r="A1726" s="2" t="n">
        <x:v>1720</x:v>
      </x:c>
      <x:c r="B1726" s="79" t="n">
        <x:v>-0.5739994031911427</x:v>
      </x:c>
      <x:c r="C1726" s="46" t="n">
        <x:f>B1726^2</x:f>
        <x:v>0.32947531486378806</x:v>
      </x:c>
      <x:c r="D1726" s="47" t="n">
        <x:f>'Datos'!$B$26^3/3</x:f>
        <x:v>0.3333333333333333</x:v>
      </x:c>
      <x:c r="E1726" s="46" t="n">
        <x:f>D1726*(C1726-1)</x:f>
        <x:v>-0.2235082283787373</x:v>
      </x:c>
      <x:c r="F1726" s="2"/>
      <x:c r="G1726" s="2"/>
      <x:c r="H1726" s="2"/>
    </x:row>
    <x:row r="1727" ht="22" customHeight="1">
      <x:c r="A1727" s="2" t="n">
        <x:v>1721</x:v>
      </x:c>
      <x:c r="B1727" s="79" t="n">
        <x:v>2.0494502037430915</x:v>
      </x:c>
      <x:c r="C1727" s="46" t="n">
        <x:f>B1727^2</x:f>
        <x:v>4.2002461376225995</x:v>
      </x:c>
      <x:c r="D1727" s="47" t="n">
        <x:f>'Datos'!$B$26^3/3</x:f>
        <x:v>0.3333333333333333</x:v>
      </x:c>
      <x:c r="E1727" s="46" t="n">
        <x:f>D1727*(C1727-1)</x:f>
        <x:v>1.0667487125408663</x:v>
      </x:c>
      <x:c r="F1727" s="2"/>
      <x:c r="G1727" s="2"/>
      <x:c r="H1727" s="2"/>
    </x:row>
    <x:row r="1728" ht="22" customHeight="1">
      <x:c r="A1728" s="2" t="n">
        <x:v>1722</x:v>
      </x:c>
      <x:c r="B1728" s="79" t="n">
        <x:v>-0.05986597428846763</x:v>
      </x:c>
      <x:c r="C1728" s="46" t="n">
        <x:f>B1728^2</x:f>
        <x:v>0.003583934877507467</x:v>
      </x:c>
      <x:c r="D1728" s="47" t="n">
        <x:f>'Datos'!$B$26^3/3</x:f>
        <x:v>0.3333333333333333</x:v>
      </x:c>
      <x:c r="E1728" s="46" t="n">
        <x:f>D1728*(C1728-1)</x:f>
        <x:v>-0.33213868837416416</x:v>
      </x:c>
      <x:c r="F1728" s="2"/>
      <x:c r="G1728" s="2"/>
      <x:c r="H1728" s="2"/>
    </x:row>
    <x:row r="1729" ht="22" customHeight="1">
      <x:c r="A1729" s="2" t="n">
        <x:v>1723</x:v>
      </x:c>
      <x:c r="B1729" s="79" t="n">
        <x:v>0.21811425588529354</x:v>
      </x:c>
      <x:c r="C1729" s="46" t="n">
        <x:f>B1729^2</x:f>
        <x:v>0.04757382862039531</x:v>
      </x:c>
      <x:c r="D1729" s="47" t="n">
        <x:f>'Datos'!$B$26^3/3</x:f>
        <x:v>0.3333333333333333</x:v>
      </x:c>
      <x:c r="E1729" s="46" t="n">
        <x:f>D1729*(C1729-1)</x:f>
        <x:v>-0.3174753904598682</x:v>
      </x:c>
      <x:c r="F1729" s="2"/>
      <x:c r="G1729" s="2"/>
      <x:c r="H1729" s="2"/>
    </x:row>
    <x:row r="1730" ht="22" customHeight="1">
      <x:c r="A1730" s="2" t="n">
        <x:v>1724</x:v>
      </x:c>
      <x:c r="B1730" s="79" t="n">
        <x:v>-0.7698010495448502</x:v>
      </x:c>
      <x:c r="C1730" s="46" t="n">
        <x:f>B1730^2</x:f>
        <x:v>0.5925936558803528</x:v>
      </x:c>
      <x:c r="D1730" s="47" t="n">
        <x:f>'Datos'!$B$26^3/3</x:f>
        <x:v>0.3333333333333333</x:v>
      </x:c>
      <x:c r="E1730" s="46" t="n">
        <x:f>D1730*(C1730-1)</x:f>
        <x:v>-0.13580211470654904</x:v>
      </x:c>
      <x:c r="F1730" s="2"/>
      <x:c r="G1730" s="2"/>
      <x:c r="H1730" s="2"/>
    </x:row>
    <x:row r="1731" ht="22" customHeight="1">
      <x:c r="A1731" s="2" t="n">
        <x:v>1725</x:v>
      </x:c>
      <x:c r="B1731" s="79" t="n">
        <x:v>-0.3904076506693421</x:v>
      </x:c>
      <x:c r="C1731" s="46" t="n">
        <x:f>B1731^2</x:f>
        <x:v>0.15241813370115503</x:v>
      </x:c>
      <x:c r="D1731" s="47" t="n">
        <x:f>'Datos'!$B$26^3/3</x:f>
        <x:v>0.3333333333333333</x:v>
      </x:c>
      <x:c r="E1731" s="46" t="n">
        <x:f>D1731*(C1731-1)</x:f>
        <x:v>-0.28252728876628164</x:v>
      </x:c>
      <x:c r="F1731" s="2"/>
      <x:c r="G1731" s="2"/>
      <x:c r="H1731" s="2"/>
    </x:row>
    <x:row r="1732" ht="22" customHeight="1">
      <x:c r="A1732" s="2" t="n">
        <x:v>1726</x:v>
      </x:c>
      <x:c r="B1732" s="79" t="n">
        <x:v>0.13249111860072627</x:v>
      </x:c>
      <x:c r="C1732" s="46" t="n">
        <x:f>B1732^2</x:f>
        <x:v>0.017553896508071713</x:v>
      </x:c>
      <x:c r="D1732" s="47" t="n">
        <x:f>'Datos'!$B$26^3/3</x:f>
        <x:v>0.3333333333333333</x:v>
      </x:c>
      <x:c r="E1732" s="46" t="n">
        <x:f>D1732*(C1732-1)</x:f>
        <x:v>-0.3274820344973094</x:v>
      </x:c>
      <x:c r="F1732" s="2"/>
      <x:c r="G1732" s="2"/>
      <x:c r="H1732" s="2"/>
    </x:row>
    <x:row r="1733" ht="22" customHeight="1">
      <x:c r="A1733" s="2" t="n">
        <x:v>1727</x:v>
      </x:c>
      <x:c r="B1733" s="79" t="n">
        <x:v>-1.2138420761785962</x:v>
      </x:c>
      <x:c r="C1733" s="46" t="n">
        <x:f>B1733^2</x:f>
        <x:v>1.473412585901565</x:v>
      </x:c>
      <x:c r="D1733" s="47" t="n">
        <x:f>'Datos'!$B$26^3/3</x:f>
        <x:v>0.3333333333333333</x:v>
      </x:c>
      <x:c r="E1733" s="46" t="n">
        <x:f>D1733*(C1733-1)</x:f>
        <x:v>0.15780419530052164</x:v>
      </x:c>
      <x:c r="F1733" s="2"/>
      <x:c r="G1733" s="2"/>
      <x:c r="H1733" s="2"/>
    </x:row>
    <x:row r="1734" ht="22" customHeight="1">
      <x:c r="A1734" s="2" t="n">
        <x:v>1728</x:v>
      </x:c>
      <x:c r="B1734" s="79" t="n">
        <x:v>0.7219878080591554</x:v>
      </x:c>
      <x:c r="C1734" s="46" t="n">
        <x:f>B1734^2</x:f>
        <x:v>0.5212663949860639</x:v>
      </x:c>
      <x:c r="D1734" s="47" t="n">
        <x:f>'Datos'!$B$26^3/3</x:f>
        <x:v>0.3333333333333333</x:v>
      </x:c>
      <x:c r="E1734" s="46" t="n">
        <x:f>D1734*(C1734-1)</x:f>
        <x:v>-0.1595778683379787</x:v>
      </x:c>
      <x:c r="F1734" s="2"/>
      <x:c r="G1734" s="2"/>
      <x:c r="H1734" s="2"/>
    </x:row>
    <x:row r="1735" ht="22" customHeight="1">
      <x:c r="A1735" s="2" t="n">
        <x:v>1729</x:v>
      </x:c>
      <x:c r="B1735" s="79" t="n">
        <x:v>1.1038419516568472</x:v>
      </x:c>
      <x:c r="C1735" s="46" t="n">
        <x:f>B1735^2</x:f>
        <x:v>1.2184670542375973</x:v>
      </x:c>
      <x:c r="D1735" s="47" t="n">
        <x:f>'Datos'!$B$26^3/3</x:f>
        <x:v>0.3333333333333333</x:v>
      </x:c>
      <x:c r="E1735" s="46" t="n">
        <x:f>D1735*(C1735-1)</x:f>
        <x:v>0.07282235141253242</x:v>
      </x:c>
      <x:c r="F1735" s="2"/>
      <x:c r="G1735" s="2"/>
      <x:c r="H1735" s="2"/>
    </x:row>
    <x:row r="1736" ht="22" customHeight="1">
      <x:c r="A1736" s="2" t="n">
        <x:v>1730</x:v>
      </x:c>
      <x:c r="B1736" s="79" t="n">
        <x:v>0.1704267164882553</x:v>
      </x:c>
      <x:c r="C1736" s="46" t="n">
        <x:f>B1736^2</x:f>
        <x:v>0.029045265692968152</x:v>
      </x:c>
      <x:c r="D1736" s="47" t="n">
        <x:f>'Datos'!$B$26^3/3</x:f>
        <x:v>0.3333333333333333</x:v>
      </x:c>
      <x:c r="E1736" s="46" t="n">
        <x:f>D1736*(C1736-1)</x:f>
        <x:v>-0.3236515781023439</x:v>
      </x:c>
      <x:c r="F1736" s="2"/>
      <x:c r="G1736" s="2"/>
      <x:c r="H1736" s="2"/>
    </x:row>
    <x:row r="1737" ht="22" customHeight="1">
      <x:c r="A1737" s="2" t="n">
        <x:v>1731</x:v>
      </x:c>
      <x:c r="B1737" s="79" t="n">
        <x:v>2.0091477524567076</x:v>
      </x:c>
      <x:c r="C1737" s="46" t="n">
        <x:f>B1737^2</x:f>
        <x:v>4.036674691201839</x:v>
      </x:c>
      <x:c r="D1737" s="47" t="n">
        <x:f>'Datos'!$B$26^3/3</x:f>
        <x:v>0.3333333333333333</x:v>
      </x:c>
      <x:c r="E1737" s="46" t="n">
        <x:f>D1737*(C1737-1)</x:f>
        <x:v>1.0122248970672798</x:v>
      </x:c>
      <x:c r="F1737" s="2"/>
      <x:c r="G1737" s="2"/>
      <x:c r="H1737" s="2"/>
    </x:row>
    <x:row r="1738" ht="22" customHeight="1">
      <x:c r="A1738" s="2" t="n">
        <x:v>1732</x:v>
      </x:c>
      <x:c r="B1738" s="79" t="n">
        <x:v>-1.3660681841165625</x:v>
      </x:c>
      <x:c r="C1738" s="46" t="n">
        <x:f>B1738^2</x:f>
        <x:v>1.8661422836555226</x:v>
      </x:c>
      <x:c r="D1738" s="47" t="n">
        <x:f>'Datos'!$B$26^3/3</x:f>
        <x:v>0.3333333333333333</x:v>
      </x:c>
      <x:c r="E1738" s="46" t="n">
        <x:f>D1738*(C1738-1)</x:f>
        <x:v>0.2887140945518408</x:v>
      </x:c>
      <x:c r="F1738" s="2"/>
      <x:c r="G1738" s="2"/>
      <x:c r="H1738" s="2"/>
    </x:row>
    <x:row r="1739" ht="22" customHeight="1">
      <x:c r="A1739" s="2" t="n">
        <x:v>1733</x:v>
      </x:c>
      <x:c r="B1739" s="79" t="n">
        <x:v>2.822325463596335</x:v>
      </x:c>
      <x:c r="C1739" s="46" t="n">
        <x:f>B1739^2</x:f>
        <x:v>7.965521022464267</x:v>
      </x:c>
      <x:c r="D1739" s="47" t="n">
        <x:f>'Datos'!$B$26^3/3</x:f>
        <x:v>0.3333333333333333</x:v>
      </x:c>
      <x:c r="E1739" s="46" t="n">
        <x:f>D1739*(C1739-1)</x:f>
        <x:v>2.321840340821422</x:v>
      </x:c>
      <x:c r="F1739" s="2"/>
      <x:c r="G1739" s="2"/>
      <x:c r="H1739" s="2"/>
    </x:row>
    <x:row r="1740" ht="22" customHeight="1">
      <x:c r="A1740" s="2" t="n">
        <x:v>1734</x:v>
      </x:c>
      <x:c r="B1740" s="79" t="n">
        <x:v>-0.49423013903568386</x:v>
      </x:c>
      <x:c r="C1740" s="46" t="n">
        <x:f>B1740^2</x:f>
        <x:v>0.2442634303312314</x:v>
      </x:c>
      <x:c r="D1740" s="47" t="n">
        <x:f>'Datos'!$B$26^3/3</x:f>
        <x:v>0.3333333333333333</x:v>
      </x:c>
      <x:c r="E1740" s="46" t="n">
        <x:f>D1740*(C1740-1)</x:f>
        <x:v>-0.2519121898895895</x:v>
      </x:c>
      <x:c r="F1740" s="2"/>
      <x:c r="G1740" s="2"/>
      <x:c r="H1740" s="2"/>
    </x:row>
    <x:row r="1741" ht="22" customHeight="1">
      <x:c r="A1741" s="2" t="n">
        <x:v>1735</x:v>
      </x:c>
      <x:c r="B1741" s="79" t="n">
        <x:v>0.615467602977182</x:v>
      </x:c>
      <x:c r="C1741" s="46" t="n">
        <x:f>B1741^2</x:f>
        <x:v>0.37880037031447805</x:v>
      </x:c>
      <x:c r="D1741" s="47" t="n">
        <x:f>'Datos'!$B$26^3/3</x:f>
        <x:v>0.3333333333333333</x:v>
      </x:c>
      <x:c r="E1741" s="46" t="n">
        <x:f>D1741*(C1741-1)</x:f>
        <x:v>-0.20706654322850732</x:v>
      </x:c>
      <x:c r="F1741" s="2"/>
      <x:c r="G1741" s="2"/>
      <x:c r="H1741" s="2"/>
    </x:row>
    <x:row r="1742" ht="22" customHeight="1">
      <x:c r="A1742" s="2" t="n">
        <x:v>1736</x:v>
      </x:c>
      <x:c r="B1742" s="79" t="n">
        <x:v>0.42527407354945673</x:v>
      </x:c>
      <x:c r="C1742" s="46" t="n">
        <x:f>B1742^2</x:f>
        <x:v>0.18085803763334873</x:v>
      </x:c>
      <x:c r="D1742" s="47" t="n">
        <x:f>'Datos'!$B$26^3/3</x:f>
        <x:v>0.3333333333333333</x:v>
      </x:c>
      <x:c r="E1742" s="46" t="n">
        <x:f>D1742*(C1742-1)</x:f>
        <x:v>-0.2730473207888837</x:v>
      </x:c>
      <x:c r="F1742" s="2"/>
      <x:c r="G1742" s="2"/>
      <x:c r="H1742" s="2"/>
    </x:row>
    <x:row r="1743" ht="22" customHeight="1">
      <x:c r="A1743" s="2" t="n">
        <x:v>1737</x:v>
      </x:c>
      <x:c r="B1743" s="79" t="n">
        <x:v>-0.6357652208877534</x:v>
      </x:c>
      <x:c r="C1743" s="46" t="n">
        <x:f>B1743^2</x:f>
        <x:v>0.40419741609045395</x:v>
      </x:c>
      <x:c r="D1743" s="47" t="n">
        <x:f>'Datos'!$B$26^3/3</x:f>
        <x:v>0.3333333333333333</x:v>
      </x:c>
      <x:c r="E1743" s="46" t="n">
        <x:f>D1743*(C1743-1)</x:f>
        <x:v>-0.198600861303182</x:v>
      </x:c>
      <x:c r="F1743" s="2"/>
      <x:c r="G1743" s="2"/>
      <x:c r="H1743" s="2"/>
    </x:row>
    <x:row r="1744" ht="22" customHeight="1">
      <x:c r="A1744" s="2" t="n">
        <x:v>1738</x:v>
      </x:c>
      <x:c r="B1744" s="79" t="n">
        <x:v>0.7715113742495322</x:v>
      </x:c>
      <x:c r="C1744" s="46" t="n">
        <x:f>B1744^2</x:f>
        <x:v>0.5952298005964017</x:v>
      </x:c>
      <x:c r="D1744" s="47" t="n">
        <x:f>'Datos'!$B$26^3/3</x:f>
        <x:v>0.3333333333333333</x:v>
      </x:c>
      <x:c r="E1744" s="46" t="n">
        <x:f>D1744*(C1744-1)</x:f>
        <x:v>-0.1349233998011994</x:v>
      </x:c>
      <x:c r="F1744" s="2"/>
      <x:c r="G1744" s="2"/>
      <x:c r="H1744" s="2"/>
    </x:row>
    <x:row r="1745" ht="22" customHeight="1">
      <x:c r="A1745" s="2" t="n">
        <x:v>1739</x:v>
      </x:c>
      <x:c r="B1745" s="79" t="n">
        <x:v>-0.15054500382551944</x:v>
      </x:c>
      <x:c r="C1745" s="46" t="n">
        <x:f>B1745^2</x:f>
        <x:v>0.022663798176825664</x:v>
      </x:c>
      <x:c r="D1745" s="47" t="n">
        <x:f>'Datos'!$B$26^3/3</x:f>
        <x:v>0.3333333333333333</x:v>
      </x:c>
      <x:c r="E1745" s="46" t="n">
        <x:f>D1745*(C1745-1)</x:f>
        <x:v>-0.3257787339410581</x:v>
      </x:c>
      <x:c r="F1745" s="2"/>
      <x:c r="G1745" s="2"/>
      <x:c r="H1745" s="2"/>
    </x:row>
    <x:row r="1746" ht="22" customHeight="1">
      <x:c r="A1746" s="2" t="n">
        <x:v>1740</x:v>
      </x:c>
      <x:c r="B1746" s="79" t="n">
        <x:v>1.2288062187417763</x:v>
      </x:c>
      <x:c r="C1746" s="46" t="n">
        <x:f>B1746^2</x:f>
        <x:v>1.5099647232184623</x:v>
      </x:c>
      <x:c r="D1746" s="47" t="n">
        <x:f>'Datos'!$B$26^3/3</x:f>
        <x:v>0.3333333333333333</x:v>
      </x:c>
      <x:c r="E1746" s="46" t="n">
        <x:f>D1746*(C1746-1)</x:f>
        <x:v>0.16998824107282076</x:v>
      </x:c>
      <x:c r="F1746" s="2"/>
      <x:c r="G1746" s="2"/>
      <x:c r="H1746" s="2"/>
    </x:row>
    <x:row r="1747" ht="22" customHeight="1">
      <x:c r="A1747" s="2" t="n">
        <x:v>1741</x:v>
      </x:c>
      <x:c r="B1747" s="79" t="n">
        <x:v>-1.8075179773908876</x:v>
      </x:c>
      <x:c r="C1747" s="46" t="n">
        <x:f>B1747^2</x:f>
        <x:v>3.2671212385912454</x:v>
      </x:c>
      <x:c r="D1747" s="47" t="n">
        <x:f>'Datos'!$B$26^3/3</x:f>
        <x:v>0.3333333333333333</x:v>
      </x:c>
      <x:c r="E1747" s="46" t="n">
        <x:f>D1747*(C1747-1)</x:f>
        <x:v>0.755707079530415</x:v>
      </x:c>
      <x:c r="F1747" s="2"/>
      <x:c r="G1747" s="2"/>
      <x:c r="H1747" s="2"/>
    </x:row>
    <x:row r="1748" ht="22" customHeight="1">
      <x:c r="A1748" s="2" t="n">
        <x:v>1742</x:v>
      </x:c>
      <x:c r="B1748" s="79" t="n">
        <x:v>1.1044616248072006</x:v>
      </x:c>
      <x:c r="C1748" s="46" t="n">
        <x:f>B1748^2</x:f>
        <x:v>1.2198354806717615</x:v>
      </x:c>
      <x:c r="D1748" s="47" t="n">
        <x:f>'Datos'!$B$26^3/3</x:f>
        <x:v>0.3333333333333333</x:v>
      </x:c>
      <x:c r="E1748" s="46" t="n">
        <x:f>D1748*(C1748-1)</x:f>
        <x:v>0.07327849355725383</x:v>
      </x:c>
      <x:c r="F1748" s="2"/>
      <x:c r="G1748" s="2"/>
      <x:c r="H1748" s="2"/>
    </x:row>
    <x:row r="1749" ht="22" customHeight="1">
      <x:c r="A1749" s="2" t="n">
        <x:v>1743</x:v>
      </x:c>
      <x:c r="B1749" s="79" t="n">
        <x:v>-0.0006352851233818162</x:v>
      </x:c>
      <x:c r="C1749" s="46" t="n">
        <x:f>B1749^2</x:f>
        <x:v>4.035871879902495e-7</x:v>
      </x:c>
      <x:c r="D1749" s="47" t="n">
        <x:f>'Datos'!$B$26^3/3</x:f>
        <x:v>0.3333333333333333</x:v>
      </x:c>
      <x:c r="E1749" s="46" t="n">
        <x:f>D1749*(C1749-1)</x:f>
        <x:v>-0.33333319880427065</x:v>
      </x:c>
      <x:c r="F1749" s="2"/>
      <x:c r="G1749" s="2"/>
      <x:c r="H1749" s="2"/>
    </x:row>
    <x:row r="1750" ht="22" customHeight="1">
      <x:c r="A1750" s="2" t="n">
        <x:v>1744</x:v>
      </x:c>
      <x:c r="B1750" s="79" t="n">
        <x:v>1.1670486631041186</x:v>
      </x:c>
      <x:c r="C1750" s="46" t="n">
        <x:f>B1750^2</x:f>
        <x:v>1.3620025820531105</x:v>
      </x:c>
      <x:c r="D1750" s="47" t="n">
        <x:f>'Datos'!$B$26^3/3</x:f>
        <x:v>0.3333333333333333</x:v>
      </x:c>
      <x:c r="E1750" s="46" t="n">
        <x:f>D1750*(C1750-1)</x:f>
        <x:v>0.12066752735103684</x:v>
      </x:c>
      <x:c r="F1750" s="2"/>
      <x:c r="G1750" s="2"/>
      <x:c r="H1750" s="2"/>
    </x:row>
    <x:row r="1751" ht="22" customHeight="1">
      <x:c r="A1751" s="2" t="n">
        <x:v>1745</x:v>
      </x:c>
      <x:c r="B1751" s="79" t="n">
        <x:v>-0.49715799928601</x:v>
      </x:c>
      <x:c r="C1751" s="46" t="n">
        <x:f>B1751^2</x:f>
        <x:v>0.24716607625406833</x:v>
      </x:c>
      <x:c r="D1751" s="47" t="n">
        <x:f>'Datos'!$B$26^3/3</x:f>
        <x:v>0.3333333333333333</x:v>
      </x:c>
      <x:c r="E1751" s="46" t="n">
        <x:f>D1751*(C1751-1)</x:f>
        <x:v>-0.25094464124864385</x:v>
      </x:c>
      <x:c r="F1751" s="2"/>
      <x:c r="G1751" s="2"/>
      <x:c r="H1751" s="2"/>
    </x:row>
    <x:row r="1752" ht="22" customHeight="1">
      <x:c r="A1752" s="2" t="n">
        <x:v>1746</x:v>
      </x:c>
      <x:c r="B1752" s="79" t="n">
        <x:v>0.7985191228673778</x:v>
      </x:c>
      <x:c r="C1752" s="46" t="n">
        <x:f>B1752^2</x:f>
        <x:v>0.6376327895848865</x:v>
      </x:c>
      <x:c r="D1752" s="47" t="n">
        <x:f>'Datos'!$B$26^3/3</x:f>
        <x:v>0.3333333333333333</x:v>
      </x:c>
      <x:c r="E1752" s="46" t="n">
        <x:f>D1752*(C1752-1)</x:f>
        <x:v>-0.12078907013837117</x:v>
      </x:c>
      <x:c r="F1752" s="2"/>
      <x:c r="G1752" s="2"/>
      <x:c r="H1752" s="2"/>
    </x:row>
    <x:row r="1753" ht="22" customHeight="1">
      <x:c r="A1753" s="2" t="n">
        <x:v>1747</x:v>
      </x:c>
      <x:c r="B1753" s="79" t="n">
        <x:v>-0.6774214499044131</x:v>
      </x:c>
      <x:c r="C1753" s="46" t="n">
        <x:f>B1753^2</x:f>
        <x:v>0.45889982079059727</x:v>
      </x:c>
      <x:c r="D1753" s="47" t="n">
        <x:f>'Datos'!$B$26^3/3</x:f>
        <x:v>0.3333333333333333</x:v>
      </x:c>
      <x:c r="E1753" s="46" t="n">
        <x:f>D1753*(C1753-1)</x:f>
        <x:v>-0.18036672640313425</x:v>
      </x:c>
      <x:c r="F1753" s="2"/>
      <x:c r="G1753" s="2"/>
      <x:c r="H1753" s="2"/>
    </x:row>
    <x:row r="1754" ht="22" customHeight="1">
      <x:c r="A1754" s="2" t="n">
        <x:v>1748</x:v>
      </x:c>
      <x:c r="B1754" s="79" t="n">
        <x:v>-0.8357485998638515</x:v>
      </x:c>
      <x:c r="C1754" s="46" t="n">
        <x:f>B1754^2</x:f>
        <x:v>0.6984757221743882</x:v>
      </x:c>
      <x:c r="D1754" s="47" t="n">
        <x:f>'Datos'!$B$26^3/3</x:f>
        <x:v>0.3333333333333333</x:v>
      </x:c>
      <x:c r="E1754" s="46" t="n">
        <x:f>D1754*(C1754-1)</x:f>
        <x:v>-0.10050809260853724</x:v>
      </x:c>
      <x:c r="F1754" s="2"/>
      <x:c r="G1754" s="2"/>
      <x:c r="H1754" s="2"/>
    </x:row>
    <x:row r="1755" ht="22" customHeight="1">
      <x:c r="A1755" s="2" t="n">
        <x:v>1749</x:v>
      </x:c>
      <x:c r="B1755" s="79" t="n">
        <x:v>-0.0981320132206316</x:v>
      </x:c>
      <x:c r="C1755" s="46" t="n">
        <x:f>B1755^2</x:f>
        <x:v>0.009629892018734215</x:v>
      </x:c>
      <x:c r="D1755" s="47" t="n">
        <x:f>'Datos'!$B$26^3/3</x:f>
        <x:v>0.3333333333333333</x:v>
      </x:c>
      <x:c r="E1755" s="46" t="n">
        <x:f>D1755*(C1755-1)</x:f>
        <x:v>-0.3301233693270886</x:v>
      </x:c>
      <x:c r="F1755" s="2"/>
      <x:c r="G1755" s="2"/>
      <x:c r="H1755" s="2"/>
    </x:row>
    <x:row r="1756" ht="22" customHeight="1">
      <x:c r="A1756" s="2" t="n">
        <x:v>1750</x:v>
      </x:c>
      <x:c r="B1756" s="79" t="n">
        <x:v>1.586337192219616</x:v>
      </x:c>
      <x:c r="C1756" s="46" t="n">
        <x:f>B1756^2</x:f>
        <x:v>2.516465687419215</x:v>
      </x:c>
      <x:c r="D1756" s="47" t="n">
        <x:f>'Datos'!$B$26^3/3</x:f>
        <x:v>0.3333333333333333</x:v>
      </x:c>
      <x:c r="E1756" s="46" t="n">
        <x:f>D1756*(C1756-1)</x:f>
        <x:v>0.5054885624730716</x:v>
      </x:c>
      <x:c r="F1756" s="2"/>
      <x:c r="G1756" s="2"/>
      <x:c r="H1756" s="2"/>
    </x:row>
    <x:row r="1757" ht="22" customHeight="1">
      <x:c r="A1757" s="2" t="n">
        <x:v>1751</x:v>
      </x:c>
      <x:c r="B1757" s="79" t="n">
        <x:v>0.22972887996125016</x:v>
      </x:c>
      <x:c r="C1757" s="46" t="n">
        <x:f>B1757^2</x:f>
        <x:v>0.05277535828825049</x:v>
      </x:c>
      <x:c r="D1757" s="47" t="n">
        <x:f>'Datos'!$B$26^3/3</x:f>
        <x:v>0.3333333333333333</x:v>
      </x:c>
      <x:c r="E1757" s="46" t="n">
        <x:f>D1757*(C1757-1)</x:f>
        <x:v>-0.3157415472372498</x:v>
      </x:c>
      <x:c r="F1757" s="2"/>
      <x:c r="G1757" s="2"/>
      <x:c r="H1757" s="2"/>
    </x:row>
    <x:row r="1758" ht="22" customHeight="1">
      <x:c r="A1758" s="2" t="n">
        <x:v>1752</x:v>
      </x:c>
      <x:c r="B1758" s="79" t="n">
        <x:v>1.5149337663556777</x:v>
      </x:c>
      <x:c r="C1758" s="46" t="n">
        <x:f>B1758^2</x:f>
        <x:v>2.295024316444599</x:v>
      </x:c>
      <x:c r="D1758" s="47" t="n">
        <x:f>'Datos'!$B$26^3/3</x:f>
        <x:v>0.3333333333333333</x:v>
      </x:c>
      <x:c r="E1758" s="46" t="n">
        <x:f>D1758*(C1758-1)</x:f>
        <x:v>0.4316747721481997</x:v>
      </x:c>
      <x:c r="F1758" s="2"/>
      <x:c r="G1758" s="2"/>
      <x:c r="H1758" s="2"/>
    </x:row>
    <x:row r="1759" ht="22" customHeight="1">
      <x:c r="A1759" s="2" t="n">
        <x:v>1753</x:v>
      </x:c>
      <x:c r="B1759" s="79" t="n">
        <x:v>-0.8132598261432378</x:v>
      </x:c>
      <x:c r="C1759" s="46" t="n">
        <x:f>B1759^2</x:f>
        <x:v>0.6613915448185294</x:v>
      </x:c>
      <x:c r="D1759" s="47" t="n">
        <x:f>'Datos'!$B$26^3/3</x:f>
        <x:v>0.3333333333333333</x:v>
      </x:c>
      <x:c r="E1759" s="46" t="n">
        <x:f>D1759*(C1759-1)</x:f>
        <x:v>-0.11286948506049022</x:v>
      </x:c>
      <x:c r="F1759" s="2"/>
      <x:c r="G1759" s="2"/>
      <x:c r="H1759" s="2"/>
    </x:row>
    <x:row r="1760" ht="22" customHeight="1">
      <x:c r="A1760" s="2" t="n">
        <x:v>1754</x:v>
      </x:c>
      <x:c r="B1760" s="79" t="n">
        <x:v>-0.3054180280353109</x:v>
      </x:c>
      <x:c r="C1760" s="46" t="n">
        <x:f>B1760^2</x:f>
        <x:v>0.09328017184897794</x:v>
      </x:c>
      <x:c r="D1760" s="47" t="n">
        <x:f>'Datos'!$B$26^3/3</x:f>
        <x:v>0.3333333333333333</x:v>
      </x:c>
      <x:c r="E1760" s="46" t="n">
        <x:f>D1760*(C1760-1)</x:f>
        <x:v>-0.3022399427170073</x:v>
      </x:c>
      <x:c r="F1760" s="2"/>
      <x:c r="G1760" s="2"/>
      <x:c r="H1760" s="2"/>
    </x:row>
    <x:row r="1761" ht="22" customHeight="1">
      <x:c r="A1761" s="2" t="n">
        <x:v>1755</x:v>
      </x:c>
      <x:c r="B1761" s="79" t="n">
        <x:v>0.32895946646561725</x:v>
      </x:c>
      <x:c r="C1761" s="46" t="n">
        <x:f>B1761^2</x:f>
        <x:v>0.10821433057734356</x:v>
      </x:c>
      <x:c r="D1761" s="47" t="n">
        <x:f>'Datos'!$B$26^3/3</x:f>
        <x:v>0.3333333333333333</x:v>
      </x:c>
      <x:c r="E1761" s="46" t="n">
        <x:f>D1761*(C1761-1)</x:f>
        <x:v>-0.29726188980755214</x:v>
      </x:c>
      <x:c r="F1761" s="2"/>
      <x:c r="G1761" s="2"/>
      <x:c r="H1761" s="2"/>
    </x:row>
    <x:row r="1762" ht="22" customHeight="1">
      <x:c r="A1762" s="2" t="n">
        <x:v>1756</x:v>
      </x:c>
      <x:c r="B1762" s="79" t="n">
        <x:v>-1.6020890620375194</x:v>
      </x:c>
      <x:c r="C1762" s="46" t="n">
        <x:f>B1762^2</x:f>
        <x:v>2.566689362700259</x:v>
      </x:c>
      <x:c r="D1762" s="47" t="n">
        <x:f>'Datos'!$B$26^3/3</x:f>
        <x:v>0.3333333333333333</x:v>
      </x:c>
      <x:c r="E1762" s="46" t="n">
        <x:f>D1762*(C1762-1)</x:f>
        <x:v>0.522229787566753</x:v>
      </x:c>
      <x:c r="F1762" s="2"/>
      <x:c r="G1762" s="2"/>
      <x:c r="H1762" s="2"/>
    </x:row>
    <x:row r="1763" ht="22" customHeight="1">
      <x:c r="A1763" s="2" t="n">
        <x:v>1757</x:v>
      </x:c>
      <x:c r="B1763" s="79" t="n">
        <x:v>-0.68317237866073</x:v>
      </x:c>
      <x:c r="C1763" s="46" t="n">
        <x:f>B1763^2</x:f>
        <x:v>0.4667244989649598</x:v>
      </x:c>
      <x:c r="D1763" s="47" t="n">
        <x:f>'Datos'!$B$26^3/3</x:f>
        <x:v>0.3333333333333333</x:v>
      </x:c>
      <x:c r="E1763" s="46" t="n">
        <x:f>D1763*(C1763-1)</x:f>
        <x:v>-0.1777585003450134</x:v>
      </x:c>
      <x:c r="F1763" s="2"/>
      <x:c r="G1763" s="2"/>
      <x:c r="H1763" s="2"/>
    </x:row>
    <x:row r="1764" ht="22" customHeight="1">
      <x:c r="A1764" s="2" t="n">
        <x:v>1758</x:v>
      </x:c>
      <x:c r="B1764" s="79" t="n">
        <x:v>-1.8173163145074984</x:v>
      </x:c>
      <x:c r="C1764" s="46" t="n">
        <x:f>B1764^2</x:f>
        <x:v>3.302638586975117</x:v>
      </x:c>
      <x:c r="D1764" s="47" t="n">
        <x:f>'Datos'!$B$26^3/3</x:f>
        <x:v>0.3333333333333333</x:v>
      </x:c>
      <x:c r="E1764" s="46" t="n">
        <x:f>D1764*(C1764-1)</x:f>
        <x:v>0.7675461956583722</x:v>
      </x:c>
      <x:c r="F1764" s="2"/>
      <x:c r="G1764" s="2"/>
      <x:c r="H1764" s="2"/>
    </x:row>
    <x:row r="1765" ht="22" customHeight="1">
      <x:c r="A1765" s="2" t="n">
        <x:v>1759</x:v>
      </x:c>
      <x:c r="B1765" s="79" t="n">
        <x:v>0.5768086937432273</x:v>
      </x:c>
      <x:c r="C1765" s="46" t="n">
        <x:f>B1765^2</x:f>
        <x:v>0.3327082691777682</x:v>
      </x:c>
      <x:c r="D1765" s="47" t="n">
        <x:f>'Datos'!$B$26^3/3</x:f>
        <x:v>0.3333333333333333</x:v>
      </x:c>
      <x:c r="E1765" s="46" t="n">
        <x:f>D1765*(C1765-1)</x:f>
        <x:v>-0.22243057694074392</x:v>
      </x:c>
      <x:c r="F1765" s="2"/>
      <x:c r="G1765" s="2"/>
      <x:c r="H1765" s="2"/>
    </x:row>
    <x:row r="1766" ht="22" customHeight="1">
      <x:c r="A1766" s="2" t="n">
        <x:v>1760</x:v>
      </x:c>
      <x:c r="B1766" s="79" t="n">
        <x:v>0.7302595192971528</x:v>
      </x:c>
      <x:c r="C1766" s="46" t="n">
        <x:f>B1766^2</x:f>
        <x:v>0.5332789655241087</x:v>
      </x:c>
      <x:c r="D1766" s="47" t="n">
        <x:f>'Datos'!$B$26^3/3</x:f>
        <x:v>0.3333333333333333</x:v>
      </x:c>
      <x:c r="E1766" s="46" t="n">
        <x:f>D1766*(C1766-1)</x:f>
        <x:v>-0.15557367815863044</x:v>
      </x:c>
      <x:c r="F1766" s="2"/>
      <x:c r="G1766" s="2"/>
      <x:c r="H1766" s="2"/>
    </x:row>
    <x:row r="1767" ht="22" customHeight="1">
      <x:c r="A1767" s="2" t="n">
        <x:v>1761</x:v>
      </x:c>
      <x:c r="B1767" s="79" t="n">
        <x:v>-0.5122563669128646</x:v>
      </x:c>
      <x:c r="C1767" s="46" t="n">
        <x:f>B1767^2</x:f>
        <x:v>0.26240658544276735</x:v>
      </x:c>
      <x:c r="D1767" s="47" t="n">
        <x:f>'Datos'!$B$26^3/3</x:f>
        <x:v>0.3333333333333333</x:v>
      </x:c>
      <x:c r="E1767" s="46" t="n">
        <x:f>D1767*(C1767-1)</x:f>
        <x:v>-0.24586447151907756</x:v>
      </x:c>
      <x:c r="F1767" s="2"/>
      <x:c r="G1767" s="2"/>
      <x:c r="H1767" s="2"/>
    </x:row>
    <x:row r="1768" ht="22" customHeight="1">
      <x:c r="A1768" s="2" t="n">
        <x:v>1762</x:v>
      </x:c>
      <x:c r="B1768" s="79" t="n">
        <x:v>1.5001390888092812</x:v>
      </x:c>
      <x:c r="C1768" s="46" t="n">
        <x:f>B1768^2</x:f>
        <x:v>2.2504172857735405</x:v>
      </x:c>
      <x:c r="D1768" s="47" t="n">
        <x:f>'Datos'!$B$26^3/3</x:f>
        <x:v>0.3333333333333333</x:v>
      </x:c>
      <x:c r="E1768" s="46" t="n">
        <x:f>D1768*(C1768-1)</x:f>
        <x:v>0.41680576192451346</x:v>
      </x:c>
      <x:c r="F1768" s="2"/>
      <x:c r="G1768" s="2"/>
      <x:c r="H1768" s="2"/>
    </x:row>
    <x:row r="1769" ht="22" customHeight="1">
      <x:c r="A1769" s="2" t="n">
        <x:v>1763</x:v>
      </x:c>
      <x:c r="B1769" s="79" t="n">
        <x:v>1.1012886400350717</x:v>
      </x:c>
      <x:c r="C1769" s="46" t="n">
        <x:f>B1769^2</x:f>
        <x:v>1.2128366686702976</x:v>
      </x:c>
      <x:c r="D1769" s="47" t="n">
        <x:f>'Datos'!$B$26^3/3</x:f>
        <x:v>0.3333333333333333</x:v>
      </x:c>
      <x:c r="E1769" s="46" t="n">
        <x:f>D1769*(C1769-1)</x:f>
        <x:v>0.07094555622343253</x:v>
      </x:c>
      <x:c r="F1769" s="2"/>
      <x:c r="G1769" s="2"/>
      <x:c r="H1769" s="2"/>
    </x:row>
    <x:row r="1770" ht="22" customHeight="1">
      <x:c r="A1770" s="2" t="n">
        <x:v>1764</x:v>
      </x:c>
      <x:c r="B1770" s="79" t="n">
        <x:v>1.7136694755722246</x:v>
      </x:c>
      <x:c r="C1770" s="46" t="n">
        <x:f>B1770^2</x:f>
        <x:v>2.9366630715079833</x:v>
      </x:c>
      <x:c r="D1770" s="47" t="n">
        <x:f>'Datos'!$B$26^3/3</x:f>
        <x:v>0.3333333333333333</x:v>
      </x:c>
      <x:c r="E1770" s="46" t="n">
        <x:f>D1770*(C1770-1)</x:f>
        <x:v>0.6455543571693277</x:v>
      </x:c>
      <x:c r="F1770" s="2"/>
      <x:c r="G1770" s="2"/>
      <x:c r="H1770" s="2"/>
    </x:row>
    <x:row r="1771" ht="22" customHeight="1">
      <x:c r="A1771" s="2" t="n">
        <x:v>1765</x:v>
      </x:c>
      <x:c r="B1771" s="79" t="n">
        <x:v>0.5672698619612179</x:v>
      </x:c>
      <x:c r="C1771" s="46" t="n">
        <x:f>B1771^2</x:f>
        <x:v>0.32179509628949915</x:v>
      </x:c>
      <x:c r="D1771" s="47" t="n">
        <x:f>'Datos'!$B$26^3/3</x:f>
        <x:v>0.3333333333333333</x:v>
      </x:c>
      <x:c r="E1771" s="46" t="n">
        <x:f>D1771*(C1771-1)</x:f>
        <x:v>-0.22606830123683364</x:v>
      </x:c>
      <x:c r="F1771" s="2"/>
      <x:c r="G1771" s="2"/>
      <x:c r="H1771" s="2"/>
    </x:row>
    <x:row r="1772" ht="22" customHeight="1">
      <x:c r="A1772" s="2" t="n">
        <x:v>1766</x:v>
      </x:c>
      <x:c r="B1772" s="79" t="n">
        <x:v>0.26727389655932393</x:v>
      </x:c>
      <x:c r="C1772" s="46" t="n">
        <x:f>B1772^2</x:f>
        <x:v>0.07143533578200419</x:v>
      </x:c>
      <x:c r="D1772" s="47" t="n">
        <x:f>'Datos'!$B$26^3/3</x:f>
        <x:v>0.3333333333333333</x:v>
      </x:c>
      <x:c r="E1772" s="46" t="n">
        <x:f>D1772*(C1772-1)</x:f>
        <x:v>-0.3095215547393319</x:v>
      </x:c>
      <x:c r="F1772" s="2"/>
      <x:c r="G1772" s="2"/>
      <x:c r="H1772" s="2"/>
    </x:row>
    <x:row r="1773" ht="22" customHeight="1">
      <x:c r="A1773" s="2" t="n">
        <x:v>1767</x:v>
      </x:c>
      <x:c r="B1773" s="79" t="n">
        <x:v>-0.050176297703141866</x:v>
      </x:c>
      <x:c r="C1773" s="46" t="n">
        <x:f>B1773^2</x:f>
        <x:v>0.0025176608511943196</x:v>
      </x:c>
      <x:c r="D1773" s="47" t="n">
        <x:f>'Datos'!$B$26^3/3</x:f>
        <x:v>0.3333333333333333</x:v>
      </x:c>
      <x:c r="E1773" s="46" t="n">
        <x:f>D1773*(C1773-1)</x:f>
        <x:v>-0.33249411304960186</x:v>
      </x:c>
      <x:c r="F1773" s="2"/>
      <x:c r="G1773" s="2"/>
      <x:c r="H1773" s="2"/>
    </x:row>
    <x:row r="1774" ht="22" customHeight="1">
      <x:c r="A1774" s="2" t="n">
        <x:v>1768</x:v>
      </x:c>
      <x:c r="B1774" s="79" t="n">
        <x:v>1.3212380623970108</x:v>
      </x:c>
      <x:c r="C1774" s="46" t="n">
        <x:f>B1774^2</x:f>
        <x:v>1.7456700175266073</x:v>
      </x:c>
      <x:c r="D1774" s="47" t="n">
        <x:f>'Datos'!$B$26^3/3</x:f>
        <x:v>0.3333333333333333</x:v>
      </x:c>
      <x:c r="E1774" s="46" t="n">
        <x:f>D1774*(C1774-1)</x:f>
        <x:v>0.2485566725088691</x:v>
      </x:c>
      <x:c r="F1774" s="2"/>
      <x:c r="G1774" s="2"/>
      <x:c r="H1774" s="2"/>
    </x:row>
    <x:row r="1775" ht="22" customHeight="1">
      <x:c r="A1775" s="2" t="n">
        <x:v>1769</x:v>
      </x:c>
      <x:c r="B1775" s="79" t="n">
        <x:v>-1.4309897105356262</x:v>
      </x:c>
      <x:c r="C1775" s="46" t="n">
        <x:f>B1775^2</x:f>
        <x:v>2.0477315516588352</x:v>
      </x:c>
      <x:c r="D1775" s="47" t="n">
        <x:f>'Datos'!$B$26^3/3</x:f>
        <x:v>0.3333333333333333</x:v>
      </x:c>
      <x:c r="E1775" s="46" t="n">
        <x:f>D1775*(C1775-1)</x:f>
        <x:v>0.34924385055294505</x:v>
      </x:c>
      <x:c r="F1775" s="2"/>
      <x:c r="G1775" s="2"/>
      <x:c r="H1775" s="2"/>
    </x:row>
    <x:row r="1776" ht="22" customHeight="1">
      <x:c r="A1776" s="2" t="n">
        <x:v>1770</x:v>
      </x:c>
      <x:c r="B1776" s="79" t="n">
        <x:v>0.7758296457032339</x:v>
      </x:c>
      <x:c r="C1776" s="46" t="n">
        <x:f>B1776^2</x:f>
        <x:v>0.6019116391520054</x:v>
      </x:c>
      <x:c r="D1776" s="47" t="n">
        <x:f>'Datos'!$B$26^3/3</x:f>
        <x:v>0.3333333333333333</x:v>
      </x:c>
      <x:c r="E1776" s="46" t="n">
        <x:f>D1776*(C1776-1)</x:f>
        <x:v>-0.13269612028266486</x:v>
      </x:c>
      <x:c r="F1776" s="2"/>
      <x:c r="G1776" s="2"/>
      <x:c r="H1776" s="2"/>
    </x:row>
    <x:row r="1777" ht="22" customHeight="1">
      <x:c r="A1777" s="2" t="n">
        <x:v>1771</x:v>
      </x:c>
      <x:c r="B1777" s="79" t="n">
        <x:v>-1.771468690512614</x:v>
      </x:c>
      <x:c r="C1777" s="46" t="n">
        <x:f>B1777^2</x:f>
        <x:v>3.1381013214664755</x:v>
      </x:c>
      <x:c r="D1777" s="47" t="n">
        <x:f>'Datos'!$B$26^3/3</x:f>
        <x:v>0.3333333333333333</x:v>
      </x:c>
      <x:c r="E1777" s="46" t="n">
        <x:f>D1777*(C1777-1)</x:f>
        <x:v>0.7127004404888251</x:v>
      </x:c>
      <x:c r="F1777" s="2"/>
      <x:c r="G1777" s="2"/>
      <x:c r="H1777" s="2"/>
    </x:row>
    <x:row r="1778" ht="22" customHeight="1">
      <x:c r="A1778" s="2" t="n">
        <x:v>1772</x:v>
      </x:c>
      <x:c r="B1778" s="79" t="n">
        <x:v>1.8394117909748156</x:v>
      </x:c>
      <x:c r="C1778" s="46" t="n">
        <x:f>B1778^2</x:f>
        <x:v>3.3834357367771783</x:v>
      </x:c>
      <x:c r="D1778" s="47" t="n">
        <x:f>'Datos'!$B$26^3/3</x:f>
        <x:v>0.3333333333333333</x:v>
      </x:c>
      <x:c r="E1778" s="46" t="n">
        <x:f>D1778*(C1778-1)</x:f>
        <x:v>0.794478578925726</x:v>
      </x:c>
      <x:c r="F1778" s="2"/>
      <x:c r="G1778" s="2"/>
      <x:c r="H1778" s="2"/>
    </x:row>
    <x:row r="1779" ht="22" customHeight="1">
      <x:c r="A1779" s="2" t="n">
        <x:v>1773</x:v>
      </x:c>
      <x:c r="B1779" s="79" t="n">
        <x:v>-0.8740900823065204</x:v>
      </x:c>
      <x:c r="C1779" s="46" t="n">
        <x:f>B1779^2</x:f>
        <x:v>0.7640334719866196</x:v>
      </x:c>
      <x:c r="D1779" s="47" t="n">
        <x:f>'Datos'!$B$26^3/3</x:f>
        <x:v>0.3333333333333333</x:v>
      </x:c>
      <x:c r="E1779" s="46" t="n">
        <x:f>D1779*(C1779-1)</x:f>
        <x:v>-0.07865550933779344</x:v>
      </x:c>
      <x:c r="F1779" s="2"/>
      <x:c r="G1779" s="2"/>
      <x:c r="H1779" s="2"/>
    </x:row>
    <x:row r="1780" ht="22" customHeight="1">
      <x:c r="A1780" s="2" t="n">
        <x:v>1774</x:v>
      </x:c>
      <x:c r="B1780" s="79" t="n">
        <x:v>0.6711355238089299</x:v>
      </x:c>
      <x:c r="C1780" s="46" t="n">
        <x:f>B1780^2</x:f>
        <x:v>0.4504228913182868</x:v>
      </x:c>
      <x:c r="D1780" s="47" t="n">
        <x:f>'Datos'!$B$26^3/3</x:f>
        <x:v>0.3333333333333333</x:v>
      </x:c>
      <x:c r="E1780" s="46" t="n">
        <x:f>D1780*(C1780-1)</x:f>
        <x:v>-0.18319236956057106</x:v>
      </x:c>
      <x:c r="F1780" s="2"/>
      <x:c r="G1780" s="2"/>
      <x:c r="H1780" s="2"/>
    </x:row>
    <x:row r="1781" ht="22" customHeight="1">
      <x:c r="A1781" s="2" t="n">
        <x:v>1775</x:v>
      </x:c>
      <x:c r="B1781" s="79" t="n">
        <x:v>-0.48429679518974883</x:v>
      </x:c>
      <x:c r="C1781" s="46" t="n">
        <x:f>B1781^2</x:f>
        <x:v>0.23454338583106152</x:v>
      </x:c>
      <x:c r="D1781" s="47" t="n">
        <x:f>'Datos'!$B$26^3/3</x:f>
        <x:v>0.3333333333333333</x:v>
      </x:c>
      <x:c r="E1781" s="46" t="n">
        <x:f>D1781*(C1781-1)</x:f>
        <x:v>-0.2551522047229795</x:v>
      </x:c>
      <x:c r="F1781" s="2"/>
      <x:c r="G1781" s="2"/>
      <x:c r="H1781" s="2"/>
    </x:row>
    <x:row r="1782" ht="22" customHeight="1">
      <x:c r="A1782" s="2" t="n">
        <x:v>1776</x:v>
      </x:c>
      <x:c r="B1782" s="79" t="n">
        <x:v>0.02884112787659186</x:v>
      </x:c>
      <x:c r="C1782" s="46" t="n">
        <x:f>B1782^2</x:f>
        <x:v>0.0008318106571939241</x:v>
      </x:c>
      <x:c r="D1782" s="47" t="n">
        <x:f>'Datos'!$B$26^3/3</x:f>
        <x:v>0.3333333333333333</x:v>
      </x:c>
      <x:c r="E1782" s="46" t="n">
        <x:f>D1782*(C1782-1)</x:f>
        <x:v>-0.33305606311426866</x:v>
      </x:c>
      <x:c r="F1782" s="2"/>
      <x:c r="G1782" s="2"/>
      <x:c r="H1782" s="2"/>
    </x:row>
    <x:row r="1783" ht="22" customHeight="1">
      <x:c r="A1783" s="2" t="n">
        <x:v>1777</x:v>
      </x:c>
      <x:c r="B1783" s="79" t="n">
        <x:v>-0.32351050911296</x:v>
      </x:c>
      <x:c r="C1783" s="46" t="n">
        <x:f>B1783^2</x:f>
        <x:v>0.10465904950652656</x:v>
      </x:c>
      <x:c r="D1783" s="47" t="n">
        <x:f>'Datos'!$B$26^3/3</x:f>
        <x:v>0.3333333333333333</x:v>
      </x:c>
      <x:c r="E1783" s="46" t="n">
        <x:f>D1783*(C1783-1)</x:f>
        <x:v>-0.29844698349782445</x:v>
      </x:c>
      <x:c r="F1783" s="2"/>
      <x:c r="G1783" s="2"/>
      <x:c r="H1783" s="2"/>
    </x:row>
    <x:row r="1784" ht="22" customHeight="1">
      <x:c r="A1784" s="2" t="n">
        <x:v>1778</x:v>
      </x:c>
      <x:c r="B1784" s="79" t="n">
        <x:v>0.5332956731802732</x:v>
      </x:c>
      <x:c r="C1784" s="46" t="n">
        <x:f>B1784^2</x:f>
        <x:v>0.2844042750328007</x:v>
      </x:c>
      <x:c r="D1784" s="47" t="n">
        <x:f>'Datos'!$B$26^3/3</x:f>
        <x:v>0.3333333333333333</x:v>
      </x:c>
      <x:c r="E1784" s="46" t="n">
        <x:f>D1784*(C1784-1)</x:f>
        <x:v>-0.2385319083223998</x:v>
      </x:c>
      <x:c r="F1784" s="2"/>
      <x:c r="G1784" s="2"/>
      <x:c r="H1784" s="2"/>
    </x:row>
    <x:row r="1785" ht="22" customHeight="1">
      <x:c r="A1785" s="2" t="n">
        <x:v>1779</x:v>
      </x:c>
      <x:c r="B1785" s="79" t="n">
        <x:v>1.7975838635206514</x:v>
      </x:c>
      <x:c r="C1785" s="46" t="n">
        <x:f>B1785^2</x:f>
        <x:v>3.231307746389832</x:v>
      </x:c>
      <x:c r="D1785" s="47" t="n">
        <x:f>'Datos'!$B$26^3/3</x:f>
        <x:v>0.3333333333333333</x:v>
      </x:c>
      <x:c r="E1785" s="46" t="n">
        <x:f>D1785*(C1785-1)</x:f>
        <x:v>0.7437692487966105</x:v>
      </x:c>
      <x:c r="F1785" s="2"/>
      <x:c r="G1785" s="2"/>
      <x:c r="H1785" s="2"/>
    </x:row>
    <x:row r="1786" ht="22" customHeight="1">
      <x:c r="A1786" s="2" t="n">
        <x:v>1780</x:v>
      </x:c>
      <x:c r="B1786" s="79" t="n">
        <x:v>-1.414153678010889</x:v>
      </x:c>
      <x:c r="C1786" s="46" t="n">
        <x:f>B1786^2</x:f>
        <x:v>1.999830625031725</x:v>
      </x:c>
      <x:c r="D1786" s="47" t="n">
        <x:f>'Datos'!$B$26^3/3</x:f>
        <x:v>0.3333333333333333</x:v>
      </x:c>
      <x:c r="E1786" s="46" t="n">
        <x:f>D1786*(C1786-1)</x:f>
        <x:v>0.333276875010575</x:v>
      </x:c>
      <x:c r="F1786" s="2"/>
      <x:c r="G1786" s="2"/>
      <x:c r="H1786" s="2"/>
    </x:row>
    <x:row r="1787" ht="22" customHeight="1">
      <x:c r="A1787" s="2" t="n">
        <x:v>1781</x:v>
      </x:c>
      <x:c r="B1787" s="79" t="n">
        <x:v>-0.21905109375095133</x:v>
      </x:c>
      <x:c r="C1787" s="46" t="n">
        <x:f>B1787^2</x:f>
        <x:v>0.04798338167348807</x:v>
      </x:c>
      <x:c r="D1787" s="47" t="n">
        <x:f>'Datos'!$B$26^3/3</x:f>
        <x:v>0.3333333333333333</x:v>
      </x:c>
      <x:c r="E1787" s="46" t="n">
        <x:f>D1787*(C1787-1)</x:f>
        <x:v>-0.317338872775504</x:v>
      </x:c>
      <x:c r="F1787" s="2"/>
      <x:c r="G1787" s="2"/>
      <x:c r="H1787" s="2"/>
    </x:row>
    <x:row r="1788" ht="22" customHeight="1">
      <x:c r="A1788" s="2" t="n">
        <x:v>1782</x:v>
      </x:c>
      <x:c r="B1788" s="79" t="n">
        <x:v>-0.33515548912937554</x:v>
      </x:c>
      <x:c r="C1788" s="46" t="n">
        <x:f>B1788^2</x:f>
        <x:v>0.11232920189355096</x:v>
      </x:c>
      <x:c r="D1788" s="47" t="n">
        <x:f>'Datos'!$B$26^3/3</x:f>
        <x:v>0.3333333333333333</x:v>
      </x:c>
      <x:c r="E1788" s="46" t="n">
        <x:f>D1788*(C1788-1)</x:f>
        <x:v>-0.29589026603548296</x:v>
      </x:c>
      <x:c r="F1788" s="2"/>
      <x:c r="G1788" s="2"/>
      <x:c r="H1788" s="2"/>
    </x:row>
    <x:row r="1789" ht="22" customHeight="1">
      <x:c r="A1789" s="2" t="n">
        <x:v>1783</x:v>
      </x:c>
      <x:c r="B1789" s="79" t="n">
        <x:v>-0.9954102540810873</x:v>
      </x:c>
      <x:c r="C1789" s="46" t="n">
        <x:f>B1789^2</x:f>
        <x:v>0.9908415739297748</x:v>
      </x:c>
      <x:c r="D1789" s="47" t="n">
        <x:f>'Datos'!$B$26^3/3</x:f>
        <x:v>0.3333333333333333</x:v>
      </x:c>
      <x:c r="E1789" s="46" t="n">
        <x:f>D1789*(C1789-1)</x:f>
        <x:v>-0.0030528086900750706</x:v>
      </x:c>
      <x:c r="F1789" s="2"/>
      <x:c r="G1789" s="2"/>
      <x:c r="H1789" s="2"/>
    </x:row>
    <x:row r="1790" ht="22" customHeight="1">
      <x:c r="A1790" s="2" t="n">
        <x:v>1784</x:v>
      </x:c>
      <x:c r="B1790" s="79" t="n">
        <x:v>1.3525416200133147</x:v>
      </x:c>
      <x:c r="C1790" s="46" t="n">
        <x:f>B1790^2</x:f>
        <x:v>1.8293688338682417</x:v>
      </x:c>
      <x:c r="D1790" s="47" t="n">
        <x:f>'Datos'!$B$26^3/3</x:f>
        <x:v>0.3333333333333333</x:v>
      </x:c>
      <x:c r="E1790" s="46" t="n">
        <x:f>D1790*(C1790-1)</x:f>
        <x:v>0.2764562779560805</x:v>
      </x:c>
      <x:c r="F1790" s="2"/>
      <x:c r="G1790" s="2"/>
      <x:c r="H1790" s="2"/>
    </x:row>
    <x:row r="1791" ht="22" customHeight="1">
      <x:c r="A1791" s="2" t="n">
        <x:v>1785</x:v>
      </x:c>
      <x:c r="B1791" s="79" t="n">
        <x:v>-0.2787070105539593</x:v>
      </x:c>
      <x:c r="C1791" s="46" t="n">
        <x:f>B1791^2</x:f>
        <x:v>0.07767759773192479</x:v>
      </x:c>
      <x:c r="D1791" s="47" t="n">
        <x:f>'Datos'!$B$26^3/3</x:f>
        <x:v>0.3333333333333333</x:v>
      </x:c>
      <x:c r="E1791" s="46" t="n">
        <x:f>D1791*(C1791-1)</x:f>
        <x:v>-0.30744080075602503</x:v>
      </x:c>
      <x:c r="F1791" s="2"/>
      <x:c r="G1791" s="2"/>
      <x:c r="H1791" s="2"/>
    </x:row>
    <x:row r="1792" ht="22" customHeight="1">
      <x:c r="A1792" s="2" t="n">
        <x:v>1786</x:v>
      </x:c>
      <x:c r="B1792" s="79" t="n">
        <x:v>-1.692086182595973</x:v>
      </x:c>
      <x:c r="C1792" s="46" t="n">
        <x:f>B1792^2</x:f>
        <x:v>2.8631556493322123</x:v>
      </x:c>
      <x:c r="D1792" s="47" t="n">
        <x:f>'Datos'!$B$26^3/3</x:f>
        <x:v>0.3333333333333333</x:v>
      </x:c>
      <x:c r="E1792" s="46" t="n">
        <x:f>D1792*(C1792-1)</x:f>
        <x:v>0.6210518831107374</x:v>
      </x:c>
      <x:c r="F1792" s="2"/>
      <x:c r="G1792" s="2"/>
      <x:c r="H1792" s="2"/>
    </x:row>
    <x:row r="1793" ht="22" customHeight="1">
      <x:c r="A1793" s="2" t="n">
        <x:v>1787</x:v>
      </x:c>
      <x:c r="B1793" s="79" t="n">
        <x:v>0.2864062306274322</x:v>
      </x:c>
      <x:c r="C1793" s="46" t="n">
        <x:f>B1793^2</x:f>
        <x:v>0.08202852894221388</x:v>
      </x:c>
      <x:c r="D1793" s="47" t="n">
        <x:f>'Datos'!$B$26^3/3</x:f>
        <x:v>0.3333333333333333</x:v>
      </x:c>
      <x:c r="E1793" s="46" t="n">
        <x:f>D1793*(C1793-1)</x:f>
        <x:v>-0.30599049035259535</x:v>
      </x:c>
      <x:c r="F1793" s="2"/>
      <x:c r="G1793" s="2"/>
      <x:c r="H1793" s="2"/>
    </x:row>
    <x:row r="1794" ht="22" customHeight="1">
      <x:c r="A1794" s="2" t="n">
        <x:v>1788</x:v>
      </x:c>
      <x:c r="B1794" s="79" t="n">
        <x:v>-0.6676313901701302</x:v>
      </x:c>
      <x:c r="C1794" s="46" t="n">
        <x:f>B1794^2</x:f>
        <x:v>0.4457316731405006</x:v>
      </x:c>
      <x:c r="D1794" s="47" t="n">
        <x:f>'Datos'!$B$26^3/3</x:f>
        <x:v>0.3333333333333333</x:v>
      </x:c>
      <x:c r="E1794" s="46" t="n">
        <x:f>D1794*(C1794-1)</x:f>
        <x:v>-0.18475610895316646</x:v>
      </x:c>
      <x:c r="F1794" s="2"/>
      <x:c r="G1794" s="2"/>
      <x:c r="H1794" s="2"/>
    </x:row>
    <x:row r="1795" ht="22" customHeight="1">
      <x:c r="A1795" s="2" t="n">
        <x:v>1789</x:v>
      </x:c>
      <x:c r="B1795" s="79" t="n">
        <x:v>-1.2177077009244759</x:v>
      </x:c>
      <x:c r="C1795" s="46" t="n">
        <x:f>B1795^2</x:f>
        <x:v>1.482812044890773</x:v>
      </x:c>
      <x:c r="D1795" s="47" t="n">
        <x:f>'Datos'!$B$26^3/3</x:f>
        <x:v>0.3333333333333333</x:v>
      </x:c>
      <x:c r="E1795" s="46" t="n">
        <x:f>D1795*(C1795-1)</x:f>
        <x:v>0.1609373482969243</x:v>
      </x:c>
      <x:c r="F1795" s="2"/>
      <x:c r="G1795" s="2"/>
      <x:c r="H1795" s="2"/>
    </x:row>
    <x:row r="1796" ht="22" customHeight="1">
      <x:c r="A1796" s="2" t="n">
        <x:v>1790</x:v>
      </x:c>
      <x:c r="B1796" s="79" t="n">
        <x:v>2.5491037925310516</x:v>
      </x:c>
      <x:c r="C1796" s="46" t="n">
        <x:f>B1796^2</x:f>
        <x:v>6.49793014509619</x:v>
      </x:c>
      <x:c r="D1796" s="47" t="n">
        <x:f>'Datos'!$B$26^3/3</x:f>
        <x:v>0.3333333333333333</x:v>
      </x:c>
      <x:c r="E1796" s="46" t="n">
        <x:f>D1796*(C1796-1)</x:f>
        <x:v>1.83264338169873</x:v>
      </x:c>
      <x:c r="F1796" s="2"/>
      <x:c r="G1796" s="2"/>
      <x:c r="H1796" s="2"/>
    </x:row>
    <x:row r="1797" ht="22" customHeight="1">
      <x:c r="A1797" s="2" t="n">
        <x:v>1791</x:v>
      </x:c>
      <x:c r="B1797" s="79" t="n">
        <x:v>1.23644785882125</x:v>
      </x:c>
      <x:c r="C1797" s="46" t="n">
        <x:f>B1797^2</x:f>
        <x:v>1.5288033075836538</x:v>
      </x:c>
      <x:c r="D1797" s="47" t="n">
        <x:f>'Datos'!$B$26^3/3</x:f>
        <x:v>0.3333333333333333</x:v>
      </x:c>
      <x:c r="E1797" s="46" t="n">
        <x:f>D1797*(C1797-1)</x:f>
        <x:v>0.17626776919455125</x:v>
      </x:c>
      <x:c r="F1797" s="2"/>
      <x:c r="G1797" s="2"/>
      <x:c r="H1797" s="2"/>
    </x:row>
    <x:row r="1798" ht="22" customHeight="1">
      <x:c r="A1798" s="2" t="n">
        <x:v>1792</x:v>
      </x:c>
      <x:c r="B1798" s="79" t="n">
        <x:v>-0.8352080310305284</x:v>
      </x:c>
      <x:c r="C1798" s="46" t="n">
        <x:f>B1798^2</x:f>
        <x:v>0.6975724550978921</x:v>
      </x:c>
      <x:c r="D1798" s="47" t="n">
        <x:f>'Datos'!$B$26^3/3</x:f>
        <x:v>0.3333333333333333</x:v>
      </x:c>
      <x:c r="E1798" s="46" t="n">
        <x:f>D1798*(C1798-1)</x:f>
        <x:v>-0.10080918163403596</x:v>
      </x:c>
      <x:c r="F1798" s="2"/>
      <x:c r="G1798" s="2"/>
      <x:c r="H1798" s="2"/>
    </x:row>
    <x:row r="1799" ht="22" customHeight="1">
      <x:c r="A1799" s="2" t="n">
        <x:v>1793</x:v>
      </x:c>
      <x:c r="B1799" s="79" t="n">
        <x:v>0.651930219284875</x:v>
      </x:c>
      <x:c r="C1799" s="46" t="n">
        <x:f>B1799^2</x:f>
        <x:v>0.42501301081682524</x:v>
      </x:c>
      <x:c r="D1799" s="47" t="n">
        <x:f>'Datos'!$B$26^3/3</x:f>
        <x:v>0.3333333333333333</x:v>
      </x:c>
      <x:c r="E1799" s="46" t="n">
        <x:f>D1799*(C1799-1)</x:f>
        <x:v>-0.1916623297277249</x:v>
      </x:c>
      <x:c r="F1799" s="2"/>
      <x:c r="G1799" s="2"/>
      <x:c r="H1799" s="2"/>
    </x:row>
    <x:row r="1800" ht="22" customHeight="1">
      <x:c r="A1800" s="2" t="n">
        <x:v>1794</x:v>
      </x:c>
      <x:c r="B1800" s="79" t="n">
        <x:v>2.5265988045713055</x:v>
      </x:c>
      <x:c r="C1800" s="46" t="n">
        <x:f>B1800^2</x:f>
        <x:v>6.38370151926115</x:v>
      </x:c>
      <x:c r="D1800" s="47" t="n">
        <x:f>'Datos'!$B$26^3/3</x:f>
        <x:v>0.3333333333333333</x:v>
      </x:c>
      <x:c r="E1800" s="46" t="n">
        <x:f>D1800*(C1800-1)</x:f>
        <x:v>1.7945671730870498</x:v>
      </x:c>
      <x:c r="F1800" s="2"/>
      <x:c r="G1800" s="2"/>
      <x:c r="H1800" s="2"/>
    </x:row>
    <x:row r="1801" ht="22" customHeight="1">
      <x:c r="A1801" s="2" t="n">
        <x:v>1795</x:v>
      </x:c>
      <x:c r="B1801" s="79" t="n">
        <x:v>-1.3743897840699861</x:v>
      </x:c>
      <x:c r="C1801" s="46" t="n">
        <x:f>B1801^2</x:f>
        <x:v>1.8889472785559431</x:v>
      </x:c>
      <x:c r="D1801" s="47" t="n">
        <x:f>'Datos'!$B$26^3/3</x:f>
        <x:v>0.3333333333333333</x:v>
      </x:c>
      <x:c r="E1801" s="46" t="n">
        <x:f>D1801*(C1801-1)</x:f>
        <x:v>0.2963157595186477</x:v>
      </x:c>
      <x:c r="F1801" s="2"/>
      <x:c r="G1801" s="2"/>
      <x:c r="H1801" s="2"/>
    </x:row>
    <x:row r="1802" ht="22" customHeight="1">
      <x:c r="A1802" s="2" t="n">
        <x:v>1796</x:v>
      </x:c>
      <x:c r="B1802" s="79" t="n">
        <x:v>-1.289483120296347</x:v>
      </x:c>
      <x:c r="C1802" s="46" t="n">
        <x:f>B1802^2</x:f>
        <x:v>1.6627667175292034</x:v>
      </x:c>
      <x:c r="D1802" s="47" t="n">
        <x:f>'Datos'!$B$26^3/3</x:f>
        <x:v>0.3333333333333333</x:v>
      </x:c>
      <x:c r="E1802" s="46" t="n">
        <x:f>D1802*(C1802-1)</x:f>
        <x:v>0.2209222391764011</x:v>
      </x:c>
      <x:c r="F1802" s="2"/>
      <x:c r="G1802" s="2"/>
      <x:c r="H1802" s="2"/>
    </x:row>
    <x:row r="1803" ht="22" customHeight="1">
      <x:c r="A1803" s="2" t="n">
        <x:v>1797</x:v>
      </x:c>
      <x:c r="B1803" s="79" t="n">
        <x:v>0.357712980827286</x:v>
      </x:c>
      <x:c r="C1803" s="46" t="n">
        <x:f>B1803^2</x:f>
        <x:v>0.12795857665234225</x:v>
      </x:c>
      <x:c r="D1803" s="47" t="n">
        <x:f>'Datos'!$B$26^3/3</x:f>
        <x:v>0.3333333333333333</x:v>
      </x:c>
      <x:c r="E1803" s="46" t="n">
        <x:f>D1803*(C1803-1)</x:f>
        <x:v>-0.29068047444921924</x:v>
      </x:c>
      <x:c r="F1803" s="2"/>
      <x:c r="G1803" s="2"/>
      <x:c r="H1803" s="2"/>
    </x:row>
    <x:row r="1804" ht="22" customHeight="1">
      <x:c r="A1804" s="2" t="n">
        <x:v>1798</x:v>
      </x:c>
      <x:c r="B1804" s="79" t="n">
        <x:v>-3.090016738963736</x:v>
      </x:c>
      <x:c r="C1804" s="46" t="n">
        <x:f>B1804^2</x:f>
        <x:v>9.54820344707608</x:v>
      </x:c>
      <x:c r="D1804" s="47" t="n">
        <x:f>'Datos'!$B$26^3/3</x:f>
        <x:v>0.3333333333333333</x:v>
      </x:c>
      <x:c r="E1804" s="46" t="n">
        <x:f>D1804*(C1804-1)</x:f>
        <x:v>2.84940114902536</x:v>
      </x:c>
      <x:c r="F1804" s="2"/>
      <x:c r="G1804" s="2"/>
      <x:c r="H1804" s="2"/>
    </x:row>
    <x:row r="1805" ht="22" customHeight="1">
      <x:c r="A1805" s="2" t="n">
        <x:v>1799</x:v>
      </x:c>
      <x:c r="B1805" s="79" t="n">
        <x:v>-1.0472773941171194</x:v>
      </x:c>
      <x:c r="C1805" s="46" t="n">
        <x:f>B1805^2</x:f>
        <x:v>1.0967899402287442</x:v>
      </x:c>
      <x:c r="D1805" s="47" t="n">
        <x:f>'Datos'!$B$26^3/3</x:f>
        <x:v>0.3333333333333333</x:v>
      </x:c>
      <x:c r="E1805" s="46" t="n">
        <x:f>D1805*(C1805-1)</x:f>
        <x:v>0.0322633134095814</x:v>
      </x:c>
      <x:c r="F1805" s="2"/>
      <x:c r="G1805" s="2"/>
      <x:c r="H1805" s="2"/>
    </x:row>
    <x:row r="1806" ht="22" customHeight="1">
      <x:c r="A1806" s="2" t="n">
        <x:v>1800</x:v>
      </x:c>
      <x:c r="B1806" s="79" t="n">
        <x:v>0.011187425367835133</x:v>
      </x:c>
      <x:c r="C1806" s="46" t="n">
        <x:f>B1806^2</x:f>
        <x:v>0.00012515848636088106</x:v>
      </x:c>
      <x:c r="D1806" s="47" t="n">
        <x:f>'Datos'!$B$26^3/3</x:f>
        <x:v>0.3333333333333333</x:v>
      </x:c>
      <x:c r="E1806" s="46" t="n">
        <x:f>D1806*(C1806-1)</x:f>
        <x:v>-0.3332916138378797</x:v>
      </x:c>
      <x:c r="F1806" s="2"/>
      <x:c r="G1806" s="2"/>
      <x:c r="H1806" s="2"/>
    </x:row>
    <x:row r="1807" ht="22" customHeight="1">
      <x:c r="A1807" s="2" t="n">
        <x:v>1801</x:v>
      </x:c>
      <x:c r="B1807" s="79" t="n">
        <x:v>-0.22403512859608482</x:v>
      </x:c>
      <x:c r="C1807" s="46" t="n">
        <x:f>B1807^2</x:f>
        <x:v>0.05019173884506426</x:v>
      </x:c>
      <x:c r="D1807" s="47" t="n">
        <x:f>'Datos'!$B$26^3/3</x:f>
        <x:v>0.3333333333333333</x:v>
      </x:c>
      <x:c r="E1807" s="46" t="n">
        <x:f>D1807*(C1807-1)</x:f>
        <x:v>-0.3166027537183119</x:v>
      </x:c>
      <x:c r="F1807" s="2"/>
      <x:c r="G1807" s="2"/>
      <x:c r="H1807" s="2"/>
    </x:row>
    <x:row r="1808" ht="22" customHeight="1">
      <x:c r="A1808" s="2" t="n">
        <x:v>1802</x:v>
      </x:c>
      <x:c r="B1808" s="79" t="n">
        <x:v>-0.05320158163252549</x:v>
      </x:c>
      <x:c r="C1808" s="46" t="n">
        <x:f>B1808^2</x:f>
        <x:v>0.002830408288202273</x:v>
      </x:c>
      <x:c r="D1808" s="47" t="n">
        <x:f>'Datos'!$B$26^3/3</x:f>
        <x:v>0.3333333333333333</x:v>
      </x:c>
      <x:c r="E1808" s="46" t="n">
        <x:f>D1808*(C1808-1)</x:f>
        <x:v>-0.33238986390393255</x:v>
      </x:c>
      <x:c r="F1808" s="2"/>
      <x:c r="G1808" s="2"/>
      <x:c r="H1808" s="2"/>
    </x:row>
    <x:row r="1809" ht="22" customHeight="1">
      <x:c r="A1809" s="2" t="n">
        <x:v>1803</x:v>
      </x:c>
      <x:c r="B1809" s="79" t="n">
        <x:v>-0.3608819157664134</x:v>
      </x:c>
      <x:c r="C1809" s="46" t="n">
        <x:f>B1809^2</x:f>
        <x:v>0.13023575712723667</x:v>
      </x:c>
      <x:c r="D1809" s="47" t="n">
        <x:f>'Datos'!$B$26^3/3</x:f>
        <x:v>0.3333333333333333</x:v>
      </x:c>
      <x:c r="E1809" s="46" t="n">
        <x:f>D1809*(C1809-1)</x:f>
        <x:v>-0.2899214142909211</x:v>
      </x:c>
      <x:c r="F1809" s="2"/>
      <x:c r="G1809" s="2"/>
      <x:c r="H1809" s="2"/>
    </x:row>
    <x:row r="1810" ht="22" customHeight="1">
      <x:c r="A1810" s="2" t="n">
        <x:v>1804</x:v>
      </x:c>
      <x:c r="B1810" s="79" t="n">
        <x:v>0.38574648568435105</x:v>
      </x:c>
      <x:c r="C1810" s="46" t="n">
        <x:f>B1810^2</x:f>
        <x:v>0.14880035121782725</x:v>
      </x:c>
      <x:c r="D1810" s="47" t="n">
        <x:f>'Datos'!$B$26^3/3</x:f>
        <x:v>0.3333333333333333</x:v>
      </x:c>
      <x:c r="E1810" s="46" t="n">
        <x:f>D1810*(C1810-1)</x:f>
        <x:v>-0.28373321626072423</x:v>
      </x:c>
      <x:c r="F1810" s="2"/>
      <x:c r="G1810" s="2"/>
      <x:c r="H1810" s="2"/>
    </x:row>
    <x:row r="1811" ht="22" customHeight="1">
      <x:c r="A1811" s="2" t="n">
        <x:v>1805</x:v>
      </x:c>
      <x:c r="B1811" s="79" t="n">
        <x:v>1.025514722885982</x:v>
      </x:c>
      <x:c r="C1811" s="46" t="n">
        <x:f>B1811^2</x:f>
        <x:v>1.0516804468559124</x:v>
      </x:c>
      <x:c r="D1811" s="47" t="n">
        <x:f>'Datos'!$B$26^3/3</x:f>
        <x:v>0.3333333333333333</x:v>
      </x:c>
      <x:c r="E1811" s="46" t="n">
        <x:f>D1811*(C1811-1)</x:f>
        <x:v>0.01722681561863748</x:v>
      </x:c>
      <x:c r="F1811" s="2"/>
      <x:c r="G1811" s="2"/>
      <x:c r="H1811" s="2"/>
    </x:row>
    <x:row r="1812" ht="22" customHeight="1">
      <x:c r="A1812" s="2" t="n">
        <x:v>1806</x:v>
      </x:c>
      <x:c r="B1812" s="79" t="n">
        <x:v>1.5099184216489843</x:v>
      </x:c>
      <x:c r="C1812" s="46" t="n">
        <x:f>B1812^2</x:f>
        <x:v>2.27985364003496</x:v>
      </x:c>
      <x:c r="D1812" s="47" t="n">
        <x:f>'Datos'!$B$26^3/3</x:f>
        <x:v>0.3333333333333333</x:v>
      </x:c>
      <x:c r="E1812" s="46" t="n">
        <x:f>D1812*(C1812-1)</x:f>
        <x:v>0.42661788001165324</x:v>
      </x:c>
      <x:c r="F1812" s="2"/>
      <x:c r="G1812" s="2"/>
      <x:c r="H1812" s="2"/>
    </x:row>
    <x:row r="1813" ht="22" customHeight="1">
      <x:c r="A1813" s="2" t="n">
        <x:v>1807</x:v>
      </x:c>
      <x:c r="B1813" s="79" t="n">
        <x:v>-1.428435406499919</x:v>
      </x:c>
      <x:c r="C1813" s="46" t="n">
        <x:f>B1813^2</x:f>
        <x:v>2.0404277105425885</x:v>
      </x:c>
      <x:c r="D1813" s="47" t="n">
        <x:f>'Datos'!$B$26^3/3</x:f>
        <x:v>0.3333333333333333</x:v>
      </x:c>
      <x:c r="E1813" s="46" t="n">
        <x:f>D1813*(C1813-1)</x:f>
        <x:v>0.3468092368475295</x:v>
      </x:c>
      <x:c r="F1813" s="2"/>
      <x:c r="G1813" s="2"/>
      <x:c r="H1813" s="2"/>
    </x:row>
    <x:row r="1814" ht="22" customHeight="1">
      <x:c r="A1814" s="2" t="n">
        <x:v>1808</x:v>
      </x:c>
      <x:c r="B1814" s="79" t="n">
        <x:v>0.0009820116170593239</x:v>
      </x:c>
      <x:c r="C1814" s="46" t="n">
        <x:f>B1814^2</x:f>
        <x:v>9.643468160394682e-7</x:v>
      </x:c>
      <x:c r="D1814" s="47" t="n">
        <x:f>'Datos'!$B$26^3/3</x:f>
        <x:v>0.3333333333333333</x:v>
      </x:c>
      <x:c r="E1814" s="46" t="n">
        <x:f>D1814*(C1814-1)</x:f>
        <x:v>-0.3333330118843946</x:v>
      </x:c>
      <x:c r="F1814" s="2"/>
      <x:c r="G1814" s="2"/>
      <x:c r="H1814" s="2"/>
    </x:row>
    <x:row r="1815" ht="22" customHeight="1">
      <x:c r="A1815" s="2" t="n">
        <x:v>1809</x:v>
      </x:c>
      <x:c r="B1815" s="79" t="n">
        <x:v>-1.8428780109656002</x:v>
      </x:c>
      <x:c r="C1815" s="46" t="n">
        <x:f>B1815^2</x:f>
        <x:v>3.3961993633005267</x:v>
      </x:c>
      <x:c r="D1815" s="47" t="n">
        <x:f>'Datos'!$B$26^3/3</x:f>
        <x:v>0.3333333333333333</x:v>
      </x:c>
      <x:c r="E1815" s="46" t="n">
        <x:f>D1815*(C1815-1)</x:f>
        <x:v>0.7987331211001756</x:v>
      </x:c>
      <x:c r="F1815" s="2"/>
      <x:c r="G1815" s="2"/>
      <x:c r="H1815" s="2"/>
    </x:row>
    <x:row r="1816" ht="22" customHeight="1">
      <x:c r="A1816" s="2" t="n">
        <x:v>1810</x:v>
      </x:c>
      <x:c r="B1816" s="79" t="n">
        <x:v>0.7974802320063493</x:v>
      </x:c>
      <x:c r="C1816" s="46" t="n">
        <x:f>B1816^2</x:f>
        <x:v>0.6359747204409008</x:v>
      </x:c>
      <x:c r="D1816" s="47" t="n">
        <x:f>'Datos'!$B$26^3/3</x:f>
        <x:v>0.3333333333333333</x:v>
      </x:c>
      <x:c r="E1816" s="46" t="n">
        <x:f>D1816*(C1816-1)</x:f>
        <x:v>-0.12134175985303308</x:v>
      </x:c>
      <x:c r="F1816" s="2"/>
      <x:c r="G1816" s="2"/>
      <x:c r="H1816" s="2"/>
    </x:row>
    <x:row r="1817" ht="22" customHeight="1">
      <x:c r="A1817" s="2" t="n">
        <x:v>1811</x:v>
      </x:c>
      <x:c r="B1817" s="79" t="n">
        <x:v>-0.6572031363107882</x:v>
      </x:c>
      <x:c r="C1817" s="46" t="n">
        <x:f>B1817^2</x:f>
        <x:v>0.43191596237673646</x:v>
      </x:c>
      <x:c r="D1817" s="47" t="n">
        <x:f>'Datos'!$B$26^3/3</x:f>
        <x:v>0.3333333333333333</x:v>
      </x:c>
      <x:c r="E1817" s="46" t="n">
        <x:f>D1817*(C1817-1)</x:f>
        <x:v>-0.18936134587442116</x:v>
      </x:c>
      <x:c r="F1817" s="2"/>
      <x:c r="G1817" s="2"/>
      <x:c r="H1817" s="2"/>
    </x:row>
    <x:row r="1818" ht="22" customHeight="1">
      <x:c r="A1818" s="2" t="n">
        <x:v>1812</x:v>
      </x:c>
      <x:c r="B1818" s="79" t="n">
        <x:v>0.3710495012418535</x:v>
      </x:c>
      <x:c r="C1818" s="46" t="n">
        <x:f>B1818^2</x:f>
        <x:v>0.13767773237182823</x:v>
      </x:c>
      <x:c r="D1818" s="47" t="n">
        <x:f>'Datos'!$B$26^3/3</x:f>
        <x:v>0.3333333333333333</x:v>
      </x:c>
      <x:c r="E1818" s="46" t="n">
        <x:f>D1818*(C1818-1)</x:f>
        <x:v>-0.2874407558760572</x:v>
      </x:c>
      <x:c r="F1818" s="2"/>
      <x:c r="G1818" s="2"/>
      <x:c r="H1818" s="2"/>
    </x:row>
    <x:row r="1819" ht="22" customHeight="1">
      <x:c r="A1819" s="2" t="n">
        <x:v>1813</x:v>
      </x:c>
      <x:c r="B1819" s="79" t="n">
        <x:v>-0.8524349348242333</x:v>
      </x:c>
      <x:c r="C1819" s="46" t="n">
        <x:f>B1819^2</x:f>
        <x:v>0.7266453181087948</x:v>
      </x:c>
      <x:c r="D1819" s="47" t="n">
        <x:f>'Datos'!$B$26^3/3</x:f>
        <x:v>0.3333333333333333</x:v>
      </x:c>
      <x:c r="E1819" s="46" t="n">
        <x:f>D1819*(C1819-1)</x:f>
        <x:v>-0.09111822729706838</x:v>
      </x:c>
      <x:c r="F1819" s="2"/>
      <x:c r="G1819" s="2"/>
      <x:c r="H1819" s="2"/>
    </x:row>
    <x:row r="1820" ht="22" customHeight="1">
      <x:c r="A1820" s="2" t="n">
        <x:v>1814</x:v>
      </x:c>
      <x:c r="B1820" s="79" t="n">
        <x:v>0.5942516376440763</x:v>
      </x:c>
      <x:c r="C1820" s="46" t="n">
        <x:f>B1820^2</x:f>
        <x:v>0.3531350088426666</x:v>
      </x:c>
      <x:c r="D1820" s="47" t="n">
        <x:f>'Datos'!$B$26^3/3</x:f>
        <x:v>0.3333333333333333</x:v>
      </x:c>
      <x:c r="E1820" s="46" t="n">
        <x:f>D1820*(C1820-1)</x:f>
        <x:v>-0.21562166371911112</x:v>
      </x:c>
      <x:c r="F1820" s="2"/>
      <x:c r="G1820" s="2"/>
      <x:c r="H1820" s="2"/>
    </x:row>
    <x:row r="1821" ht="22" customHeight="1">
      <x:c r="A1821" s="2" t="n">
        <x:v>1815</x:v>
      </x:c>
      <x:c r="B1821" s="79" t="n">
        <x:v>1.3845521105797298</x:v>
      </x:c>
      <x:c r="C1821" s="46" t="n">
        <x:f>B1821^2</x:f>
        <x:v>1.9169845469107845</x:v>
      </x:c>
      <x:c r="D1821" s="47" t="n">
        <x:f>'Datos'!$B$26^3/3</x:f>
        <x:v>0.3333333333333333</x:v>
      </x:c>
      <x:c r="E1821" s="46" t="n">
        <x:f>D1821*(C1821-1)</x:f>
        <x:v>0.3056615156369281</x:v>
      </x:c>
      <x:c r="F1821" s="2"/>
      <x:c r="G1821" s="2"/>
      <x:c r="H1821" s="2"/>
    </x:row>
    <x:row r="1822" ht="22" customHeight="1">
      <x:c r="A1822" s="2" t="n">
        <x:v>1816</x:v>
      </x:c>
      <x:c r="B1822" s="79" t="n">
        <x:v>0.623747433473005</x:v>
      </x:c>
      <x:c r="C1822" s="46" t="n">
        <x:f>B1822^2</x:f>
        <x:v>0.3890608607641608</x:v>
      </x:c>
      <x:c r="D1822" s="47" t="n">
        <x:f>'Datos'!$B$26^3/3</x:f>
        <x:v>0.3333333333333333</x:v>
      </x:c>
      <x:c r="E1822" s="46" t="n">
        <x:f>D1822*(C1822-1)</x:f>
        <x:v>-0.20364637974527972</x:v>
      </x:c>
      <x:c r="F1822" s="2"/>
      <x:c r="G1822" s="2"/>
      <x:c r="H1822" s="2"/>
    </x:row>
    <x:row r="1823" ht="22" customHeight="1">
      <x:c r="A1823" s="2" t="n">
        <x:v>1817</x:v>
      </x:c>
      <x:c r="B1823" s="79" t="n">
        <x:v>0.5465115548105134</x:v>
      </x:c>
      <x:c r="C1823" s="46" t="n">
        <x:f>B1823^2</x:f>
        <x:v>0.29867487954140476</x:v>
      </x:c>
      <x:c r="D1823" s="47" t="n">
        <x:f>'Datos'!$B$26^3/3</x:f>
        <x:v>0.3333333333333333</x:v>
      </x:c>
      <x:c r="E1823" s="46" t="n">
        <x:f>D1823*(C1823-1)</x:f>
        <x:v>-0.2337750401528651</x:v>
      </x:c>
      <x:c r="F1823" s="2"/>
      <x:c r="G1823" s="2"/>
      <x:c r="H1823" s="2"/>
    </x:row>
    <x:row r="1824" ht="22" customHeight="1">
      <x:c r="A1824" s="2" t="n">
        <x:v>1818</x:v>
      </x:c>
      <x:c r="B1824" s="79" t="n">
        <x:v>-0.5065801663962264</x:v>
      </x:c>
      <x:c r="C1824" s="46" t="n">
        <x:f>B1824^2</x:f>
        <x:v>0.2566234649860284</x:v>
      </x:c>
      <x:c r="D1824" s="47" t="n">
        <x:f>'Datos'!$B$26^3/3</x:f>
        <x:v>0.3333333333333333</x:v>
      </x:c>
      <x:c r="E1824" s="46" t="n">
        <x:f>D1824*(C1824-1)</x:f>
        <x:v>-0.24779217833799053</x:v>
      </x:c>
      <x:c r="F1824" s="2"/>
      <x:c r="G1824" s="2"/>
      <x:c r="H1824" s="2"/>
    </x:row>
    <x:row r="1825" ht="22" customHeight="1">
      <x:c r="A1825" s="2" t="n">
        <x:v>1819</x:v>
      </x:c>
      <x:c r="B1825" s="79" t="n">
        <x:v>1.7319143361085494</x:v>
      </x:c>
      <x:c r="C1825" s="46" t="n">
        <x:f>B1825^2</x:f>
        <x:v>2.9995272676183173</x:v>
      </x:c>
      <x:c r="D1825" s="47" t="n">
        <x:f>'Datos'!$B$26^3/3</x:f>
        <x:v>0.3333333333333333</x:v>
      </x:c>
      <x:c r="E1825" s="46" t="n">
        <x:f>D1825*(C1825-1)</x:f>
        <x:v>0.6665090892061057</x:v>
      </x:c>
      <x:c r="F1825" s="2"/>
      <x:c r="G1825" s="2"/>
      <x:c r="H1825" s="2"/>
    </x:row>
    <x:row r="1826" ht="22" customHeight="1">
      <x:c r="A1826" s="2" t="n">
        <x:v>1820</x:v>
      </x:c>
      <x:c r="B1826" s="79" t="n">
        <x:v>1.9997401548802511</x:v>
      </x:c>
      <x:c r="C1826" s="46" t="n">
        <x:f>B1826^2</x:f>
        <x:v>3.998960687040491</x:v>
      </x:c>
      <x:c r="D1826" s="47" t="n">
        <x:f>'Datos'!$B$26^3/3</x:f>
        <x:v>0.3333333333333333</x:v>
      </x:c>
      <x:c r="E1826" s="46" t="n">
        <x:f>D1826*(C1826-1)</x:f>
        <x:v>0.9996535623468303</x:v>
      </x:c>
      <x:c r="F1826" s="2"/>
      <x:c r="G1826" s="2"/>
      <x:c r="H1826" s="2"/>
    </x:row>
    <x:row r="1827" ht="22" customHeight="1">
      <x:c r="A1827" s="2" t="n">
        <x:v>1821</x:v>
      </x:c>
      <x:c r="B1827" s="79" t="n">
        <x:v>2.605982686919227</x:v>
      </x:c>
      <x:c r="C1827" s="46" t="n">
        <x:f>B1827^2</x:f>
        <x:v>6.791145764522753</x:v>
      </x:c>
      <x:c r="D1827" s="47" t="n">
        <x:f>'Datos'!$B$26^3/3</x:f>
        <x:v>0.3333333333333333</x:v>
      </x:c>
      <x:c r="E1827" s="46" t="n">
        <x:f>D1827*(C1827-1)</x:f>
        <x:v>1.9303819215075841</x:v>
      </x:c>
      <x:c r="F1827" s="2"/>
      <x:c r="G1827" s="2"/>
      <x:c r="H1827" s="2"/>
    </x:row>
    <x:row r="1828" ht="22" customHeight="1">
      <x:c r="A1828" s="2" t="n">
        <x:v>1822</x:v>
      </x:c>
      <x:c r="B1828" s="79" t="n">
        <x:v>-0.8038856279648537</x:v>
      </x:c>
      <x:c r="C1828" s="46" t="n">
        <x:f>B1828^2</x:f>
        <x:v>0.6462321028484472</x:v>
      </x:c>
      <x:c r="D1828" s="47" t="n">
        <x:f>'Datos'!$B$26^3/3</x:f>
        <x:v>0.3333333333333333</x:v>
      </x:c>
      <x:c r="E1828" s="46" t="n">
        <x:f>D1828*(C1828-1)</x:f>
        <x:v>-0.11792263238385092</x:v>
      </x:c>
      <x:c r="F1828" s="2"/>
      <x:c r="G1828" s="2"/>
      <x:c r="H1828" s="2"/>
    </x:row>
    <x:row r="1829" ht="22" customHeight="1">
      <x:c r="A1829" s="2" t="n">
        <x:v>1823</x:v>
      </x:c>
      <x:c r="B1829" s="79" t="n">
        <x:v>-1.2339022963894704</x:v>
      </x:c>
      <x:c r="C1829" s="46" t="n">
        <x:f>B1829^2</x:f>
        <x:v>1.5225148770352084</x:v>
      </x:c>
      <x:c r="D1829" s="47" t="n">
        <x:f>'Datos'!$B$26^3/3</x:f>
        <x:v>0.3333333333333333</x:v>
      </x:c>
      <x:c r="E1829" s="46" t="n">
        <x:f>D1829*(C1829-1)</x:f>
        <x:v>0.17417162567840277</x:v>
      </x:c>
      <x:c r="F1829" s="2"/>
      <x:c r="G1829" s="2"/>
      <x:c r="H1829" s="2"/>
    </x:row>
    <x:row r="1830" ht="22" customHeight="1">
      <x:c r="A1830" s="2" t="n">
        <x:v>1824</x:v>
      </x:c>
      <x:c r="B1830" s="79" t="n">
        <x:v>-0.9590533524616854</x:v>
      </x:c>
      <x:c r="C1830" s="46" t="n">
        <x:f>B1830^2</x:f>
        <x:v>0.9197833328679978</x:v>
      </x:c>
      <x:c r="D1830" s="47" t="n">
        <x:f>'Datos'!$B$26^3/3</x:f>
        <x:v>0.3333333333333333</x:v>
      </x:c>
      <x:c r="E1830" s="46" t="n">
        <x:f>D1830*(C1830-1)</x:f>
        <x:v>-0.026738889044000715</x:v>
      </x:c>
      <x:c r="F1830" s="2"/>
      <x:c r="G1830" s="2"/>
      <x:c r="H1830" s="2"/>
    </x:row>
    <x:row r="1831" ht="22" customHeight="1">
      <x:c r="A1831" s="2" t="n">
        <x:v>1825</x:v>
      </x:c>
      <x:c r="B1831" s="79" t="n">
        <x:v>-1.7075879457889294</x:v>
      </x:c>
      <x:c r="C1831" s="46" t="n">
        <x:f>B1831^2</x:f>
        <x:v>2.9158565926036557</x:v>
      </x:c>
      <x:c r="D1831" s="47" t="n">
        <x:f>'Datos'!$B$26^3/3</x:f>
        <x:v>0.3333333333333333</x:v>
      </x:c>
      <x:c r="E1831" s="46" t="n">
        <x:f>D1831*(C1831-1)</x:f>
        <x:v>0.6386188642012185</x:v>
      </x:c>
      <x:c r="F1831" s="2"/>
      <x:c r="G1831" s="2"/>
      <x:c r="H1831" s="2"/>
    </x:row>
    <x:row r="1832" ht="22" customHeight="1">
      <x:c r="A1832" s="2" t="n">
        <x:v>1826</x:v>
      </x:c>
      <x:c r="B1832" s="79" t="n">
        <x:v>-0.3738887924418455</x:v>
      </x:c>
      <x:c r="C1832" s="46" t="n">
        <x:f>B1832^2</x:f>
        <x:v>0.1397928291136214</x:v>
      </x:c>
      <x:c r="D1832" s="47" t="n">
        <x:f>'Datos'!$B$26^3/3</x:f>
        <x:v>0.3333333333333333</x:v>
      </x:c>
      <x:c r="E1832" s="46" t="n">
        <x:f>D1832*(C1832-1)</x:f>
        <x:v>-0.28673572362879285</x:v>
      </x:c>
      <x:c r="F1832" s="2"/>
      <x:c r="G1832" s="2"/>
      <x:c r="H1832" s="2"/>
    </x:row>
    <x:row r="1833" ht="22" customHeight="1">
      <x:c r="A1833" s="2" t="n">
        <x:v>1827</x:v>
      </x:c>
      <x:c r="B1833" s="79" t="n">
        <x:v>-0.32923838441827474</x:v>
      </x:c>
      <x:c r="C1833" s="46" t="n">
        <x:f>B1833^2</x:f>
        <x:v>0.10839791377435566</x:v>
      </x:c>
      <x:c r="D1833" s="47" t="n">
        <x:f>'Datos'!$B$26^3/3</x:f>
        <x:v>0.3333333333333333</x:v>
      </x:c>
      <x:c r="E1833" s="46" t="n">
        <x:f>D1833*(C1833-1)</x:f>
        <x:v>-0.2972006954085481</x:v>
      </x:c>
      <x:c r="F1833" s="2"/>
      <x:c r="G1833" s="2"/>
      <x:c r="H1833" s="2"/>
    </x:row>
    <x:row r="1834" ht="22" customHeight="1">
      <x:c r="A1834" s="2" t="n">
        <x:v>1828</x:v>
      </x:c>
      <x:c r="B1834" s="79" t="n">
        <x:v>0.42349791918010876</x:v>
      </x:c>
      <x:c r="C1834" s="46" t="n">
        <x:f>B1834^2</x:f>
        <x:v>0.17935048754988192</x:v>
      </x:c>
      <x:c r="D1834" s="47" t="n">
        <x:f>'Datos'!$B$26^3/3</x:f>
        <x:v>0.3333333333333333</x:v>
      </x:c>
      <x:c r="E1834" s="46" t="n">
        <x:f>D1834*(C1834-1)</x:f>
        <x:v>-0.2735498374833727</x:v>
      </x:c>
      <x:c r="F1834" s="2"/>
      <x:c r="G1834" s="2"/>
      <x:c r="H1834" s="2"/>
    </x:row>
    <x:row r="1835" ht="22" customHeight="1">
      <x:c r="A1835" s="2" t="n">
        <x:v>1829</x:v>
      </x:c>
      <x:c r="B1835" s="79" t="n">
        <x:v>-1.134228664872577</x:v>
      </x:c>
      <x:c r="C1835" s="46" t="n">
        <x:f>B1835^2</x:f>
        <x:v>1.2864746642186287</x:v>
      </x:c>
      <x:c r="D1835" s="47" t="n">
        <x:f>'Datos'!$B$26^3/3</x:f>
        <x:v>0.3333333333333333</x:v>
      </x:c>
      <x:c r="E1835" s="46" t="n">
        <x:f>D1835*(C1835-1)</x:f>
        <x:v>0.09549155473954288</x:v>
      </x:c>
      <x:c r="F1835" s="2"/>
      <x:c r="G1835" s="2"/>
      <x:c r="H1835" s="2"/>
    </x:row>
    <x:row r="1836" ht="22" customHeight="1">
      <x:c r="A1836" s="2" t="n">
        <x:v>1830</x:v>
      </x:c>
      <x:c r="B1836" s="79" t="n">
        <x:v>0.9199979277716445</x:v>
      </x:c>
      <x:c r="C1836" s="46" t="n">
        <x:f>B1836^2</x:f>
        <x:v>0.8463961871041199</x:v>
      </x:c>
      <x:c r="D1836" s="47" t="n">
        <x:f>'Datos'!$B$26^3/3</x:f>
        <x:v>0.3333333333333333</x:v>
      </x:c>
      <x:c r="E1836" s="46" t="n">
        <x:f>D1836*(C1836-1)</x:f>
        <x:v>-0.051201270965293366</x:v>
      </x:c>
      <x:c r="F1836" s="2"/>
      <x:c r="G1836" s="2"/>
      <x:c r="H1836" s="2"/>
    </x:row>
    <x:row r="1837" ht="22" customHeight="1">
      <x:c r="A1837" s="2" t="n">
        <x:v>1831</x:v>
      </x:c>
      <x:c r="B1837" s="79" t="n">
        <x:v>1.6041516094683923</x:v>
      </x:c>
      <x:c r="C1837" s="46" t="n">
        <x:f>B1837^2</x:f>
        <x:v>2.5733023861600333</x:v>
      </x:c>
      <x:c r="D1837" s="47" t="n">
        <x:f>'Datos'!$B$26^3/3</x:f>
        <x:v>0.3333333333333333</x:v>
      </x:c>
      <x:c r="E1837" s="46" t="n">
        <x:f>D1837*(C1837-1)</x:f>
        <x:v>0.524434128720011</x:v>
      </x:c>
      <x:c r="F1837" s="2"/>
      <x:c r="G1837" s="2"/>
      <x:c r="H1837" s="2"/>
    </x:row>
    <x:row r="1838" ht="22" customHeight="1">
      <x:c r="A1838" s="2" t="n">
        <x:v>1832</x:v>
      </x:c>
      <x:c r="B1838" s="79" t="n">
        <x:v>-0.460689194731451</x:v>
      </x:c>
      <x:c r="C1838" s="46" t="n">
        <x:f>B1838^2</x:f>
        <x:v>0.21223453414231275</x:v>
      </x:c>
      <x:c r="D1838" s="47" t="n">
        <x:f>'Datos'!$B$26^3/3</x:f>
        <x:v>0.3333333333333333</x:v>
      </x:c>
      <x:c r="E1838" s="46" t="n">
        <x:f>D1838*(C1838-1)</x:f>
        <x:v>-0.26258848861922907</x:v>
      </x:c>
      <x:c r="F1838" s="2"/>
      <x:c r="G1838" s="2"/>
      <x:c r="H1838" s="2"/>
    </x:row>
    <x:row r="1839" ht="22" customHeight="1">
      <x:c r="A1839" s="2" t="n">
        <x:v>1833</x:v>
      </x:c>
      <x:c r="B1839" s="79" t="n">
        <x:v>-1.700063217918816</x:v>
      </x:c>
      <x:c r="C1839" s="46" t="n">
        <x:f>B1839^2</x:f>
        <x:v>2.8902149449204795</x:v>
      </x:c>
      <x:c r="D1839" s="47" t="n">
        <x:f>'Datos'!$B$26^3/3</x:f>
        <x:v>0.3333333333333333</x:v>
      </x:c>
      <x:c r="E1839" s="46" t="n">
        <x:f>D1839*(C1839-1)</x:f>
        <x:v>0.6300716483068265</x:v>
      </x:c>
      <x:c r="F1839" s="2"/>
      <x:c r="G1839" s="2"/>
      <x:c r="H1839" s="2"/>
    </x:row>
    <x:row r="1840" ht="22" customHeight="1">
      <x:c r="A1840" s="2" t="n">
        <x:v>1834</x:v>
      </x:c>
      <x:c r="B1840" s="79" t="n">
        <x:v>-1.040964308542235</x:v>
      </x:c>
      <x:c r="C1840" s="46" t="n">
        <x:f>B1840^2</x:f>
        <x:v>1.0836066916588136</x:v>
      </x:c>
      <x:c r="D1840" s="47" t="n">
        <x:f>'Datos'!$B$26^3/3</x:f>
        <x:v>0.3333333333333333</x:v>
      </x:c>
      <x:c r="E1840" s="46" t="n">
        <x:f>D1840*(C1840-1)</x:f>
        <x:v>0.02786889721960454</x:v>
      </x:c>
      <x:c r="F1840" s="2"/>
      <x:c r="G1840" s="2"/>
      <x:c r="H1840" s="2"/>
    </x:row>
    <x:row r="1841" ht="22" customHeight="1">
      <x:c r="A1841" s="2" t="n">
        <x:v>1835</x:v>
      </x:c>
      <x:c r="B1841" s="79" t="n">
        <x:v>-0.5409094921408186</x:v>
      </x:c>
      <x:c r="C1841" s="46" t="n">
        <x:f>B1841^2</x:f>
        <x:v>0.29258307868803834</x:v>
      </x:c>
      <x:c r="D1841" s="47" t="n">
        <x:f>'Datos'!$B$26^3/3</x:f>
        <x:v>0.3333333333333333</x:v>
      </x:c>
      <x:c r="E1841" s="46" t="n">
        <x:f>D1841*(C1841-1)</x:f>
        <x:v>-0.23580564043732055</x:v>
      </x:c>
      <x:c r="F1841" s="2"/>
      <x:c r="G1841" s="2"/>
      <x:c r="H1841" s="2"/>
    </x:row>
    <x:row r="1842" ht="22" customHeight="1">
      <x:c r="A1842" s="2" t="n">
        <x:v>1836</x:v>
      </x:c>
      <x:c r="B1842" s="79" t="n">
        <x:v>-0.5671659945577701</x:v>
      </x:c>
      <x:c r="C1842" s="46" t="n">
        <x:f>B1842^2</x:f>
        <x:v>0.32167726538270447</x:v>
      </x:c>
      <x:c r="D1842" s="47" t="n">
        <x:f>'Datos'!$B$26^3/3</x:f>
        <x:v>0.3333333333333333</x:v>
      </x:c>
      <x:c r="E1842" s="46" t="n">
        <x:f>D1842*(C1842-1)</x:f>
        <x:v>-0.22610757820576516</x:v>
      </x:c>
      <x:c r="F1842" s="2"/>
      <x:c r="G1842" s="2"/>
      <x:c r="H1842" s="2"/>
    </x:row>
    <x:row r="1843" ht="22" customHeight="1">
      <x:c r="A1843" s="2" t="n">
        <x:v>1837</x:v>
      </x:c>
      <x:c r="B1843" s="79" t="n">
        <x:v>-0.35438126766271477</x:v>
      </x:c>
      <x:c r="C1843" s="46" t="n">
        <x:f>B1843^2</x:f>
        <x:v>0.12558608287023268</x:v>
      </x:c>
      <x:c r="D1843" s="47" t="n">
        <x:f>'Datos'!$B$26^3/3</x:f>
        <x:v>0.3333333333333333</x:v>
      </x:c>
      <x:c r="E1843" s="46" t="n">
        <x:f>D1843*(C1843-1)</x:f>
        <x:v>-0.2914713057099224</x:v>
      </x:c>
      <x:c r="F1843" s="2"/>
      <x:c r="G1843" s="2"/>
      <x:c r="H1843" s="2"/>
    </x:row>
    <x:row r="1844" ht="22" customHeight="1">
      <x:c r="A1844" s="2" t="n">
        <x:v>1838</x:v>
      </x:c>
      <x:c r="B1844" s="79" t="n">
        <x:v>-0.7059530827393301</x:v>
      </x:c>
      <x:c r="C1844" s="46" t="n">
        <x:f>B1844^2</x:f>
        <x:v>0.4983697550291635</x:v>
      </x:c>
      <x:c r="D1844" s="47" t="n">
        <x:f>'Datos'!$B$26^3/3</x:f>
        <x:v>0.3333333333333333</x:v>
      </x:c>
      <x:c r="E1844" s="46" t="n">
        <x:f>D1844*(C1844-1)</x:f>
        <x:v>-0.1672100816569455</x:v>
      </x:c>
      <x:c r="F1844" s="2"/>
      <x:c r="G1844" s="2"/>
      <x:c r="H1844" s="2"/>
    </x:row>
    <x:row r="1845" ht="22" customHeight="1">
      <x:c r="A1845" s="2" t="n">
        <x:v>1839</x:v>
      </x:c>
      <x:c r="B1845" s="79" t="n">
        <x:v>0.7752661833329952</x:v>
      </x:c>
      <x:c r="C1845" s="46" t="n">
        <x:f>B1845^2</x:f>
        <x:v>0.6010376550197094</x:v>
      </x:c>
      <x:c r="D1845" s="47" t="n">
        <x:f>'Datos'!$B$26^3/3</x:f>
        <x:v>0.3333333333333333</x:v>
      </x:c>
      <x:c r="E1845" s="46" t="n">
        <x:f>D1845*(C1845-1)</x:f>
        <x:v>-0.1329874483267635</x:v>
      </x:c>
      <x:c r="F1845" s="2"/>
      <x:c r="G1845" s="2"/>
      <x:c r="H1845" s="2"/>
    </x:row>
    <x:row r="1846" ht="22" customHeight="1">
      <x:c r="A1846" s="2" t="n">
        <x:v>1840</x:v>
      </x:c>
      <x:c r="B1846" s="79" t="n">
        <x:v>0.12363202813502944</x:v>
      </x:c>
      <x:c r="C1846" s="46" t="n">
        <x:f>B1846^2</x:f>
        <x:v>0.01528487838078071</x:v>
      </x:c>
      <x:c r="D1846" s="47" t="n">
        <x:f>'Datos'!$B$26^3/3</x:f>
        <x:v>0.3333333333333333</x:v>
      </x:c>
      <x:c r="E1846" s="46" t="n">
        <x:f>D1846*(C1846-1)</x:f>
        <x:v>-0.3282383738730731</x:v>
      </x:c>
      <x:c r="F1846" s="2"/>
      <x:c r="G1846" s="2"/>
      <x:c r="H1846" s="2"/>
    </x:row>
    <x:row r="1847" ht="22" customHeight="1">
      <x:c r="A1847" s="2" t="n">
        <x:v>1841</x:v>
      </x:c>
      <x:c r="B1847" s="79" t="n">
        <x:v>1.7238441332566943</x:v>
      </x:c>
      <x:c r="C1847" s="46" t="n">
        <x:f>B1847^2</x:f>
        <x:v>2.9716385957635234</x:v>
      </x:c>
      <x:c r="D1847" s="47" t="n">
        <x:f>'Datos'!$B$26^3/3</x:f>
        <x:v>0.3333333333333333</x:v>
      </x:c>
      <x:c r="E1847" s="46" t="n">
        <x:f>D1847*(C1847-1)</x:f>
        <x:v>0.6572128652545077</x:v>
      </x:c>
      <x:c r="F1847" s="2"/>
      <x:c r="G1847" s="2"/>
      <x:c r="H1847" s="2"/>
    </x:row>
    <x:row r="1848" ht="22" customHeight="1">
      <x:c r="A1848" s="2" t="n">
        <x:v>1842</x:v>
      </x:c>
      <x:c r="B1848" s="79" t="n">
        <x:v>-0.09145016970473464</x:v>
      </x:c>
      <x:c r="C1848" s="46" t="n">
        <x:f>B1848^2</x:f>
        <x:v>0.008363133539024766</x:v>
      </x:c>
      <x:c r="D1848" s="47" t="n">
        <x:f>'Datos'!$B$26^3/3</x:f>
        <x:v>0.3333333333333333</x:v>
      </x:c>
      <x:c r="E1848" s="46" t="n">
        <x:f>D1848*(C1848-1)</x:f>
        <x:v>-0.3305456221536584</x:v>
      </x:c>
      <x:c r="F1848" s="2"/>
      <x:c r="G1848" s="2"/>
      <x:c r="H1848" s="2"/>
    </x:row>
    <x:row r="1849" ht="22" customHeight="1">
      <x:c r="A1849" s="2" t="n">
        <x:v>1843</x:v>
      </x:c>
      <x:c r="B1849" s="79" t="n">
        <x:v>1.3241504517863212</x:v>
      </x:c>
      <x:c r="C1849" s="46" t="n">
        <x:f>B1849^2</x:f>
        <x:v>1.7533744189659184</x:v>
      </x:c>
      <x:c r="D1849" s="47" t="n">
        <x:f>'Datos'!$B$26^3/3</x:f>
        <x:v>0.3333333333333333</x:v>
      </x:c>
      <x:c r="E1849" s="46" t="n">
        <x:f>D1849*(C1849-1)</x:f>
        <x:v>0.25112480632197276</x:v>
      </x:c>
      <x:c r="F1849" s="2"/>
      <x:c r="G1849" s="2"/>
      <x:c r="H1849" s="2"/>
    </x:row>
    <x:row r="1850" ht="22" customHeight="1">
      <x:c r="A1850" s="2" t="n">
        <x:v>1844</x:v>
      </x:c>
      <x:c r="B1850" s="79" t="n">
        <x:v>-0.4589808930641447</x:v>
      </x:c>
      <x:c r="C1850" s="46" t="n">
        <x:f>B1850^2</x:f>
        <x:v>0.2106634601979598</x:v>
      </x:c>
      <x:c r="D1850" s="47" t="n">
        <x:f>'Datos'!$B$26^3/3</x:f>
        <x:v>0.3333333333333333</x:v>
      </x:c>
      <x:c r="E1850" s="46" t="n">
        <x:f>D1850*(C1850-1)</x:f>
        <x:v>-0.26311217993401337</x:v>
      </x:c>
      <x:c r="F1850" s="2"/>
      <x:c r="G1850" s="2"/>
      <x:c r="H1850" s="2"/>
    </x:row>
    <x:row r="1851" ht="22" customHeight="1">
      <x:c r="A1851" s="2" t="n">
        <x:v>1845</x:v>
      </x:c>
      <x:c r="B1851" s="79" t="n">
        <x:v>-0.7852012723856319</x:v>
      </x:c>
      <x:c r="C1851" s="46" t="n">
        <x:f>B1851^2</x:f>
        <x:v>0.6165410381560152</x:v>
      </x:c>
      <x:c r="D1851" s="47" t="n">
        <x:f>'Datos'!$B$26^3/3</x:f>
        <x:v>0.3333333333333333</x:v>
      </x:c>
      <x:c r="E1851" s="46" t="n">
        <x:f>D1851*(C1851-1)</x:f>
        <x:v>-0.1278196539479949</x:v>
      </x:c>
      <x:c r="F1851" s="2"/>
      <x:c r="G1851" s="2"/>
      <x:c r="H1851" s="2"/>
    </x:row>
    <x:row r="1852" ht="22" customHeight="1">
      <x:c r="A1852" s="2" t="n">
        <x:v>1846</x:v>
      </x:c>
      <x:c r="B1852" s="79" t="n">
        <x:v>1.8585457693534642</x:v>
      </x:c>
      <x:c r="C1852" s="46" t="n">
        <x:f>B1852^2</x:f>
        <x:v>3.45419237678166</x:v>
      </x:c>
      <x:c r="D1852" s="47" t="n">
        <x:f>'Datos'!$B$26^3/3</x:f>
        <x:v>0.3333333333333333</x:v>
      </x:c>
      <x:c r="E1852" s="46" t="n">
        <x:f>D1852*(C1852-1)</x:f>
        <x:v>0.8180641255938866</x:v>
      </x:c>
      <x:c r="F1852" s="2"/>
      <x:c r="G1852" s="2"/>
      <x:c r="H1852" s="2"/>
    </x:row>
    <x:row r="1853" ht="22" customHeight="1">
      <x:c r="A1853" s="2" t="n">
        <x:v>1847</x:v>
      </x:c>
      <x:c r="B1853" s="79" t="n">
        <x:v>-0.12991919352224277</x:v>
      </x:c>
      <x:c r="C1853" s="46" t="n">
        <x:f>B1853^2</x:f>
        <x:v>0.016878996845469965</x:v>
      </x:c>
      <x:c r="D1853" s="47" t="n">
        <x:f>'Datos'!$B$26^3/3</x:f>
        <x:v>0.3333333333333333</x:v>
      </x:c>
      <x:c r="E1853" s="46" t="n">
        <x:f>D1853*(C1853-1)</x:f>
        <x:v>-0.32770700105150996</x:v>
      </x:c>
      <x:c r="F1853" s="2"/>
      <x:c r="G1853" s="2"/>
      <x:c r="H1853" s="2"/>
    </x:row>
    <x:row r="1854" ht="22" customHeight="1">
      <x:c r="A1854" s="2" t="n">
        <x:v>1848</x:v>
      </x:c>
      <x:c r="B1854" s="79" t="n">
        <x:v>0.031831535836229476</x:v>
      </x:c>
      <x:c r="C1854" s="46" t="n">
        <x:f>B1854^2</x:f>
        <x:v>0.0010132466736931614</x:v>
      </x:c>
      <x:c r="D1854" s="47" t="n">
        <x:f>'Datos'!$B$26^3/3</x:f>
        <x:v>0.3333333333333333</x:v>
      </x:c>
      <x:c r="E1854" s="46" t="n">
        <x:f>D1854*(C1854-1)</x:f>
        <x:v>-0.33299558444210225</x:v>
      </x:c>
      <x:c r="F1854" s="2"/>
      <x:c r="G1854" s="2"/>
      <x:c r="H1854" s="2"/>
    </x:row>
    <x:row r="1855" ht="22" customHeight="1">
      <x:c r="A1855" s="2" t="n">
        <x:v>1849</x:v>
      </x:c>
      <x:c r="B1855" s="79" t="n">
        <x:v>-1.7111909194561383</x:v>
      </x:c>
      <x:c r="C1855" s="46" t="n">
        <x:f>B1855^2</x:f>
        <x:v>2.928174362829144</x:v>
      </x:c>
      <x:c r="D1855" s="47" t="n">
        <x:f>'Datos'!$B$26^3/3</x:f>
        <x:v>0.3333333333333333</x:v>
      </x:c>
      <x:c r="E1855" s="46" t="n">
        <x:f>D1855*(C1855-1)</x:f>
        <x:v>0.6427247876097146</x:v>
      </x:c>
      <x:c r="F1855" s="2"/>
      <x:c r="G1855" s="2"/>
      <x:c r="H1855" s="2"/>
    </x:row>
    <x:row r="1856" ht="22" customHeight="1">
      <x:c r="A1856" s="2" t="n">
        <x:v>1850</x:v>
      </x:c>
      <x:c r="B1856" s="79" t="n">
        <x:v>1.5316944907430334</x:v>
      </x:c>
      <x:c r="C1856" s="46" t="n">
        <x:f>B1856^2</x:f>
        <x:v>2.3460880129725603</x:v>
      </x:c>
      <x:c r="D1856" s="47" t="n">
        <x:f>'Datos'!$B$26^3/3</x:f>
        <x:v>0.3333333333333333</x:v>
      </x:c>
      <x:c r="E1856" s="46" t="n">
        <x:f>D1856*(C1856-1)</x:f>
        <x:v>0.44869600432418677</x:v>
      </x:c>
      <x:c r="F1856" s="2"/>
      <x:c r="G1856" s="2"/>
      <x:c r="H1856" s="2"/>
    </x:row>
    <x:row r="1857" ht="22" customHeight="1">
      <x:c r="A1857" s="2" t="n">
        <x:v>1851</x:v>
      </x:c>
      <x:c r="B1857" s="79" t="n">
        <x:v>-0.24173613517116005</x:v>
      </x:c>
      <x:c r="C1857" s="46" t="n">
        <x:f>B1857^2</x:f>
        <x:v>0.05843635904748936</x:v>
      </x:c>
      <x:c r="D1857" s="47" t="n">
        <x:f>'Datos'!$B$26^3/3</x:f>
        <x:v>0.3333333333333333</x:v>
      </x:c>
      <x:c r="E1857" s="46" t="n">
        <x:f>D1857*(C1857-1)</x:f>
        <x:v>-0.3138545469841702</x:v>
      </x:c>
      <x:c r="F1857" s="2"/>
      <x:c r="G1857" s="2"/>
      <x:c r="H1857" s="2"/>
    </x:row>
    <x:row r="1858" ht="22" customHeight="1">
      <x:c r="A1858" s="2" t="n">
        <x:v>1852</x:v>
      </x:c>
      <x:c r="B1858" s="79" t="n">
        <x:v>0.048003643247823205</x:v>
      </x:c>
      <x:c r="C1858" s="46" t="n">
        <x:f>B1858^2</x:f>
        <x:v>0.0023043497650642826</x:v>
      </x:c>
      <x:c r="D1858" s="47" t="n">
        <x:f>'Datos'!$B$26^3/3</x:f>
        <x:v>0.3333333333333333</x:v>
      </x:c>
      <x:c r="E1858" s="46" t="n">
        <x:f>D1858*(C1858-1)</x:f>
        <x:v>-0.3325652167449785</x:v>
      </x:c>
      <x:c r="F1858" s="2"/>
      <x:c r="G1858" s="2"/>
      <x:c r="H1858" s="2"/>
    </x:row>
    <x:row r="1859" ht="22" customHeight="1">
      <x:c r="A1859" s="2" t="n">
        <x:v>1853</x:v>
      </x:c>
      <x:c r="B1859" s="79" t="n">
        <x:v>-0.5694064919697662</x:v>
      </x:c>
      <x:c r="C1859" s="46" t="n">
        <x:f>B1859^2</x:f>
        <x:v>0.32422375309731544</x:v>
      </x:c>
      <x:c r="D1859" s="47" t="n">
        <x:f>'Datos'!$B$26^3/3</x:f>
        <x:v>0.3333333333333333</x:v>
      </x:c>
      <x:c r="E1859" s="46" t="n">
        <x:f>D1859*(C1859-1)</x:f>
        <x:v>-0.2252587489675615</x:v>
      </x:c>
      <x:c r="F1859" s="2"/>
      <x:c r="G1859" s="2"/>
      <x:c r="H1859" s="2"/>
    </x:row>
    <x:row r="1860" ht="22" customHeight="1">
      <x:c r="A1860" s="2" t="n">
        <x:v>1854</x:v>
      </x:c>
      <x:c r="B1860" s="79" t="n">
        <x:v>-0.05707400995527054</x:v>
      </x:c>
      <x:c r="C1860" s="46" t="n">
        <x:f>B1860^2</x:f>
        <x:v>0.0032574426123743207</x:v>
      </x:c>
      <x:c r="D1860" s="47" t="n">
        <x:f>'Datos'!$B$26^3/3</x:f>
        <x:v>0.3333333333333333</x:v>
      </x:c>
      <x:c r="E1860" s="46" t="n">
        <x:f>D1860*(C1860-1)</x:f>
        <x:v>-0.3322475191292085</x:v>
      </x:c>
      <x:c r="F1860" s="2"/>
      <x:c r="G1860" s="2"/>
      <x:c r="H1860" s="2"/>
    </x:row>
    <x:row r="1861" ht="22" customHeight="1">
      <x:c r="A1861" s="2" t="n">
        <x:v>1855</x:v>
      </x:c>
      <x:c r="B1861" s="79" t="n">
        <x:v>-0.43390367475544384</x:v>
      </x:c>
      <x:c r="C1861" s="46" t="n">
        <x:f>B1861^2</x:f>
        <x:v>0.18827239896627798</x:v>
      </x:c>
      <x:c r="D1861" s="47" t="n">
        <x:f>'Datos'!$B$26^3/3</x:f>
        <x:v>0.3333333333333333</x:v>
      </x:c>
      <x:c r="E1861" s="46" t="n">
        <x:f>D1861*(C1861-1)</x:f>
        <x:v>-0.27057586701124064</x:v>
      </x:c>
      <x:c r="F1861" s="2"/>
      <x:c r="G1861" s="2"/>
      <x:c r="H1861" s="2"/>
    </x:row>
    <x:row r="1862" ht="22" customHeight="1">
      <x:c r="A1862" s="2" t="n">
        <x:v>1856</x:v>
      </x:c>
      <x:c r="B1862" s="79" t="n">
        <x:v>1.38229047864763</x:v>
      </x:c>
      <x:c r="C1862" s="46" t="n">
        <x:f>B1862^2</x:f>
        <x:v>1.9107269673598941</x:v>
      </x:c>
      <x:c r="D1862" s="47" t="n">
        <x:f>'Datos'!$B$26^3/3</x:f>
        <x:v>0.3333333333333333</x:v>
      </x:c>
      <x:c r="E1862" s="46" t="n">
        <x:f>D1862*(C1862-1)</x:f>
        <x:v>0.30357565578663137</x:v>
      </x:c>
      <x:c r="F1862" s="2"/>
      <x:c r="G1862" s="2"/>
      <x:c r="H1862" s="2"/>
    </x:row>
    <x:row r="1863" ht="22" customHeight="1">
      <x:c r="A1863" s="2" t="n">
        <x:v>1857</x:v>
      </x:c>
      <x:c r="B1863" s="79" t="n">
        <x:v>1.6288252832463581</x:v>
      </x:c>
      <x:c r="C1863" s="46" t="n">
        <x:f>B1863^2</x:f>
        <x:v>2.653071803342579</x:v>
      </x:c>
      <x:c r="D1863" s="47" t="n">
        <x:f>'Datos'!$B$26^3/3</x:f>
        <x:v>0.3333333333333333</x:v>
      </x:c>
      <x:c r="E1863" s="46" t="n">
        <x:f>D1863*(C1863-1)</x:f>
        <x:v>0.5510239344475263</x:v>
      </x:c>
      <x:c r="F1863" s="2"/>
      <x:c r="G1863" s="2"/>
      <x:c r="H1863" s="2"/>
    </x:row>
    <x:row r="1864" ht="22" customHeight="1">
      <x:c r="A1864" s="2" t="n">
        <x:v>1858</x:v>
      </x:c>
      <x:c r="B1864" s="79" t="n">
        <x:v>-0.22394301903475522</x:v>
      </x:c>
      <x:c r="C1864" s="46" t="n">
        <x:f>B1864^2</x:f>
        <x:v>0.05015047577440074</x:v>
      </x:c>
      <x:c r="D1864" s="47" t="n">
        <x:f>'Datos'!$B$26^3/3</x:f>
        <x:v>0.3333333333333333</x:v>
      </x:c>
      <x:c r="E1864" s="46" t="n">
        <x:f>D1864*(C1864-1)</x:f>
        <x:v>-0.31661650807519975</x:v>
      </x:c>
      <x:c r="F1864" s="2"/>
      <x:c r="G1864" s="2"/>
      <x:c r="H1864" s="2"/>
    </x:row>
    <x:row r="1865" ht="22" customHeight="1">
      <x:c r="A1865" s="2" t="n">
        <x:v>1859</x:v>
      </x:c>
      <x:c r="B1865" s="79" t="n">
        <x:v>0.134510987755539</x:v>
      </x:c>
      <x:c r="C1865" s="46" t="n">
        <x:f>B1865^2</x:f>
        <x:v>0.01809320582697076</x:v>
      </x:c>
      <x:c r="D1865" s="47" t="n">
        <x:f>'Datos'!$B$26^3/3</x:f>
        <x:v>0.3333333333333333</x:v>
      </x:c>
      <x:c r="E1865" s="46" t="n">
        <x:f>D1865*(C1865-1)</x:f>
        <x:v>-0.3273022647243431</x:v>
      </x:c>
      <x:c r="F1865" s="2"/>
      <x:c r="G1865" s="2"/>
      <x:c r="H1865" s="2"/>
    </x:row>
    <x:row r="1866" ht="22" customHeight="1">
      <x:c r="A1866" s="2" t="n">
        <x:v>1860</x:v>
      </x:c>
      <x:c r="B1866" s="79" t="n">
        <x:v>-1.36479118454786</x:v>
      </x:c>
      <x:c r="C1866" s="46" t="n">
        <x:f>B1866^2</x:f>
        <x:v>1.8626549774195507</x:v>
      </x:c>
      <x:c r="D1866" s="47" t="n">
        <x:f>'Datos'!$B$26^3/3</x:f>
        <x:v>0.3333333333333333</x:v>
      </x:c>
      <x:c r="E1866" s="46" t="n">
        <x:f>D1866*(C1866-1)</x:f>
        <x:v>0.2875516591398502</x:v>
      </x:c>
      <x:c r="F1866" s="2"/>
      <x:c r="G1866" s="2"/>
      <x:c r="H1866" s="2"/>
    </x:row>
    <x:row r="1867" ht="22" customHeight="1">
      <x:c r="A1867" s="2" t="n">
        <x:v>1861</x:v>
      </x:c>
      <x:c r="B1867" s="79" t="n">
        <x:v>-2.2337155291040984</x:v>
      </x:c>
      <x:c r="C1867" s="46" t="n">
        <x:f>B1867^2</x:f>
        <x:v>4.989485064960802</x:v>
      </x:c>
      <x:c r="D1867" s="47" t="n">
        <x:f>'Datos'!$B$26^3/3</x:f>
        <x:v>0.3333333333333333</x:v>
      </x:c>
      <x:c r="E1867" s="46" t="n">
        <x:f>D1867*(C1867-1)</x:f>
        <x:v>1.329828354986934</x:v>
      </x:c>
      <x:c r="F1867" s="2"/>
      <x:c r="G1867" s="2"/>
      <x:c r="H1867" s="2"/>
    </x:row>
    <x:row r="1868" ht="22" customHeight="1">
      <x:c r="A1868" s="2" t="n">
        <x:v>1862</x:v>
      </x:c>
      <x:c r="B1868" s="79" t="n">
        <x:v>-2.359359119087059</x:v>
      </x:c>
      <x:c r="C1868" s="46" t="n">
        <x:f>B1868^2</x:f>
        <x:v>5.566575452819262</x:v>
      </x:c>
      <x:c r="D1868" s="47" t="n">
        <x:f>'Datos'!$B$26^3/3</x:f>
        <x:v>0.3333333333333333</x:v>
      </x:c>
      <x:c r="E1868" s="46" t="n">
        <x:f>D1868*(C1868-1)</x:f>
        <x:v>1.5221918176064206</x:v>
      </x:c>
      <x:c r="F1868" s="2"/>
      <x:c r="G1868" s="2"/>
      <x:c r="H1868" s="2"/>
    </x:row>
    <x:row r="1869" ht="22" customHeight="1">
      <x:c r="A1869" s="2" t="n">
        <x:v>1863</x:v>
      </x:c>
      <x:c r="B1869" s="79" t="n">
        <x:v>0.1420547113899332</x:v>
      </x:c>
      <x:c r="C1869" s="46" t="n">
        <x:f>B1869^2</x:f>
        <x:v>0.020179541028077216</x:v>
      </x:c>
      <x:c r="D1869" s="47" t="n">
        <x:f>'Datos'!$B$26^3/3</x:f>
        <x:v>0.3333333333333333</x:v>
      </x:c>
      <x:c r="E1869" s="46" t="n">
        <x:f>D1869*(C1869-1)</x:f>
        <x:v>-0.3266068196573076</x:v>
      </x:c>
      <x:c r="F1869" s="2"/>
      <x:c r="G1869" s="2"/>
      <x:c r="H1869" s="2"/>
    </x:row>
    <x:row r="1870" ht="22" customHeight="1">
      <x:c r="A1870" s="2" t="n">
        <x:v>1864</x:v>
      </x:c>
      <x:c r="B1870" s="79" t="n">
        <x:v>1.0351930439183679</x:v>
      </x:c>
      <x:c r="C1870" s="46" t="n">
        <x:f>B1870^2</x:f>
        <x:v>1.0716246381769758</x:v>
      </x:c>
      <x:c r="D1870" s="47" t="n">
        <x:f>'Datos'!$B$26^3/3</x:f>
        <x:v>0.3333333333333333</x:v>
      </x:c>
      <x:c r="E1870" s="46" t="n">
        <x:f>D1870*(C1870-1)</x:f>
        <x:v>0.023874879392325278</x:v>
      </x:c>
      <x:c r="F1870" s="2"/>
      <x:c r="G1870" s="2"/>
      <x:c r="H1870" s="2"/>
    </x:row>
    <x:row r="1871" ht="22" customHeight="1">
      <x:c r="A1871" s="2" t="n">
        <x:v>1865</x:v>
      </x:c>
      <x:c r="B1871" s="79" t="n">
        <x:v>0.6037257061738944</x:v>
      </x:c>
      <x:c r="C1871" s="46" t="n">
        <x:f>B1871^2</x:f>
        <x:v>0.3644847282951675</x:v>
      </x:c>
      <x:c r="D1871" s="47" t="n">
        <x:f>'Datos'!$B$26^3/3</x:f>
        <x:v>0.3333333333333333</x:v>
      </x:c>
      <x:c r="E1871" s="46" t="n">
        <x:f>D1871*(C1871-1)</x:f>
        <x:v>-0.2118384239016108</x:v>
      </x:c>
      <x:c r="F1871" s="2"/>
      <x:c r="G1871" s="2"/>
      <x:c r="H1871" s="2"/>
    </x:row>
    <x:row r="1872" ht="22" customHeight="1">
      <x:c r="A1872" s="2" t="n">
        <x:v>1866</x:v>
      </x:c>
      <x:c r="B1872" s="79" t="n">
        <x:v>0.35147269726940966</x:v>
      </x:c>
      <x:c r="C1872" s="46" t="n">
        <x:f>B1872^2</x:f>
        <x:v>0.12353305692583409</x:v>
      </x:c>
      <x:c r="D1872" s="47" t="n">
        <x:f>'Datos'!$B$26^3/3</x:f>
        <x:v>0.3333333333333333</x:v>
      </x:c>
      <x:c r="E1872" s="46" t="n">
        <x:f>D1872*(C1872-1)</x:f>
        <x:v>-0.29215564769138863</x:v>
      </x:c>
      <x:c r="F1872" s="2"/>
      <x:c r="G1872" s="2"/>
      <x:c r="H1872" s="2"/>
    </x:row>
    <x:row r="1873" ht="22" customHeight="1">
      <x:c r="A1873" s="2" t="n">
        <x:v>1867</x:v>
      </x:c>
      <x:c r="B1873" s="79" t="n">
        <x:v>0.0457777797167308</x:v>
      </x:c>
      <x:c r="C1873" s="46" t="n">
        <x:f>B1873^2</x:f>
        <x:v>0.0020956051157935297</x:v>
      </x:c>
      <x:c r="D1873" s="47" t="n">
        <x:f>'Datos'!$B$26^3/3</x:f>
        <x:v>0.3333333333333333</x:v>
      </x:c>
      <x:c r="E1873" s="46" t="n">
        <x:f>D1873*(C1873-1)</x:f>
        <x:v>-0.33263479829473547</x:v>
      </x:c>
      <x:c r="F1873" s="2"/>
      <x:c r="G1873" s="2"/>
      <x:c r="H1873" s="2"/>
    </x:row>
    <x:row r="1874" ht="22" customHeight="1">
      <x:c r="A1874" s="2" t="n">
        <x:v>1868</x:v>
      </x:c>
      <x:c r="B1874" s="79" t="n">
        <x:v>1.3539023738109341</x:v>
      </x:c>
      <x:c r="C1874" s="46" t="n">
        <x:f>B1874^2</x:f>
        <x:v>1.8330516378108825</x:v>
      </x:c>
      <x:c r="D1874" s="47" t="n">
        <x:f>'Datos'!$B$26^3/3</x:f>
        <x:v>0.3333333333333333</x:v>
      </x:c>
      <x:c r="E1874" s="46" t="n">
        <x:f>D1874*(C1874-1)</x:f>
        <x:v>0.27768387927029414</x:v>
      </x:c>
      <x:c r="F1874" s="2"/>
      <x:c r="G1874" s="2"/>
      <x:c r="H1874" s="2"/>
    </x:row>
    <x:row r="1875" ht="22" customHeight="1">
      <x:c r="A1875" s="2" t="n">
        <x:v>1869</x:v>
      </x:c>
      <x:c r="B1875" s="79" t="n">
        <x:v>-1.829568305053545</x:v>
      </x:c>
      <x:c r="C1875" s="46" t="n">
        <x:f>B1875^2</x:f>
        <x:v>3.3473201828565013</x:v>
      </x:c>
      <x:c r="D1875" s="47" t="n">
        <x:f>'Datos'!$B$26^3/3</x:f>
        <x:v>0.3333333333333333</x:v>
      </x:c>
      <x:c r="E1875" s="46" t="n">
        <x:f>D1875*(C1875-1)</x:f>
        <x:v>0.7824400609521671</x:v>
      </x:c>
      <x:c r="F1875" s="2"/>
      <x:c r="G1875" s="2"/>
      <x:c r="H1875" s="2"/>
    </x:row>
    <x:row r="1876" ht="22" customHeight="1">
      <x:c r="A1876" s="2" t="n">
        <x:v>1870</x:v>
      </x:c>
      <x:c r="B1876" s="79" t="n">
        <x:v>0.020020756508039222</x:v>
      </x:c>
      <x:c r="C1876" s="46" t="n">
        <x:f>B1876^2</x:f>
        <x:v>0.0004008306911541949</x:v>
      </x:c>
      <x:c r="D1876" s="47" t="n">
        <x:f>'Datos'!$B$26^3/3</x:f>
        <x:v>0.3333333333333333</x:v>
      </x:c>
      <x:c r="E1876" s="46" t="n">
        <x:f>D1876*(C1876-1)</x:f>
        <x:v>-0.3331997231029486</x:v>
      </x:c>
      <x:c r="F1876" s="2"/>
      <x:c r="G1876" s="2"/>
      <x:c r="H1876" s="2"/>
    </x:row>
    <x:row r="1877" ht="22" customHeight="1">
      <x:c r="A1877" s="2" t="n">
        <x:v>1871</x:v>
      </x:c>
      <x:c r="B1877" s="79" t="n">
        <x:v>0.9176326741654572</x:v>
      </x:c>
      <x:c r="C1877" s="46" t="n">
        <x:f>B1877^2</x:f>
        <x:v>0.8420497246960482</x:v>
      </x:c>
      <x:c r="D1877" s="47" t="n">
        <x:f>'Datos'!$B$26^3/3</x:f>
        <x:v>0.3333333333333333</x:v>
      </x:c>
      <x:c r="E1877" s="46" t="n">
        <x:f>D1877*(C1877-1)</x:f>
        <x:v>-0.05265009176798392</x:v>
      </x:c>
      <x:c r="F1877" s="2"/>
      <x:c r="G1877" s="2"/>
      <x:c r="H1877" s="2"/>
    </x:row>
    <x:row r="1878" ht="22" customHeight="1">
      <x:c r="A1878" s="2" t="n">
        <x:v>1872</x:v>
      </x:c>
      <x:c r="B1878" s="79" t="n">
        <x:v>0.21518638630119705</x:v>
      </x:c>
      <x:c r="C1878" s="46" t="n">
        <x:f>B1878^2</x:f>
        <x:v>0.046305180849368</x:v>
      </x:c>
      <x:c r="D1878" s="47" t="n">
        <x:f>'Datos'!$B$26^3/3</x:f>
        <x:v>0.3333333333333333</x:v>
      </x:c>
      <x:c r="E1878" s="46" t="n">
        <x:f>D1878*(C1878-1)</x:f>
        <x:v>-0.3178982730502107</x:v>
      </x:c>
      <x:c r="F1878" s="2"/>
      <x:c r="G1878" s="2"/>
      <x:c r="H1878" s="2"/>
    </x:row>
    <x:row r="1879" ht="22" customHeight="1">
      <x:c r="A1879" s="2" t="n">
        <x:v>1873</x:v>
      </x:c>
      <x:c r="B1879" s="79" t="n">
        <x:v>-0.9373478329865274</x:v>
      </x:c>
      <x:c r="C1879" s="46" t="n">
        <x:f>B1879^2</x:f>
        <x:v>0.8786209600045388</x:v>
      </x:c>
      <x:c r="D1879" s="47" t="n">
        <x:f>'Datos'!$B$26^3/3</x:f>
        <x:v>0.3333333333333333</x:v>
      </x:c>
      <x:c r="E1879" s="46" t="n">
        <x:f>D1879*(C1879-1)</x:f>
        <x:v>-0.040459679998487055</x:v>
      </x:c>
      <x:c r="F1879" s="2"/>
      <x:c r="G1879" s="2"/>
      <x:c r="H1879" s="2"/>
    </x:row>
    <x:row r="1880" ht="22" customHeight="1">
      <x:c r="A1880" s="2" t="n">
        <x:v>1874</x:v>
      </x:c>
      <x:c r="B1880" s="79" t="n">
        <x:v>-0.5299492836747758</x:v>
      </x:c>
      <x:c r="C1880" s="46" t="n">
        <x:f>B1880^2</x:f>
        <x:v>0.280846243267408</x:v>
      </x:c>
      <x:c r="D1880" s="47" t="n">
        <x:f>'Datos'!$B$26^3/3</x:f>
        <x:v>0.3333333333333333</x:v>
      </x:c>
      <x:c r="E1880" s="46" t="n">
        <x:f>D1880*(C1880-1)</x:f>
        <x:v>-0.23971791891086403</x:v>
      </x:c>
      <x:c r="F1880" s="2"/>
      <x:c r="G1880" s="2"/>
      <x:c r="H1880" s="2"/>
    </x:row>
    <x:row r="1881" ht="22" customHeight="1">
      <x:c r="A1881" s="2" t="n">
        <x:v>1875</x:v>
      </x:c>
      <x:c r="B1881" s="79" t="n">
        <x:v>-0.324258781560481</x:v>
      </x:c>
      <x:c r="C1881" s="46" t="n">
        <x:f>B1881^2</x:f>
        <x:v>0.10514375741908773</x:v>
      </x:c>
      <x:c r="D1881" s="47" t="n">
        <x:f>'Datos'!$B$26^3/3</x:f>
        <x:v>0.3333333333333333</x:v>
      </x:c>
      <x:c r="E1881" s="46" t="n">
        <x:f>D1881*(C1881-1)</x:f>
        <x:v>-0.2982854141936374</x:v>
      </x:c>
      <x:c r="F1881" s="2"/>
      <x:c r="G1881" s="2"/>
      <x:c r="H1881" s="2"/>
    </x:row>
    <x:row r="1882" ht="22" customHeight="1">
      <x:c r="A1882" s="2" t="n">
        <x:v>1876</x:v>
      </x:c>
      <x:c r="B1882" s="79" t="n">
        <x:v>-0.3891629781777969</x:v>
      </x:c>
      <x:c r="C1882" s="46" t="n">
        <x:f>B1882^2</x:f>
        <x:v>0.1514478235842124</x:v>
      </x:c>
      <x:c r="D1882" s="47" t="n">
        <x:f>'Datos'!$B$26^3/3</x:f>
        <x:v>0.3333333333333333</x:v>
      </x:c>
      <x:c r="E1882" s="46" t="n">
        <x:f>D1882*(C1882-1)</x:f>
        <x:v>-0.2828507254719292</x:v>
      </x:c>
      <x:c r="F1882" s="2"/>
      <x:c r="G1882" s="2"/>
      <x:c r="H1882" s="2"/>
    </x:row>
    <x:row r="1883" ht="22" customHeight="1">
      <x:c r="A1883" s="2" t="n">
        <x:v>1877</x:v>
      </x:c>
      <x:c r="B1883" s="79" t="n">
        <x:v>-1.0164662319705542</x:v>
      </x:c>
      <x:c r="C1883" s="46" t="n">
        <x:f>B1883^2</x:f>
        <x:v>1.0332036007364165</x:v>
      </x:c>
      <x:c r="D1883" s="47" t="n">
        <x:f>'Datos'!$B$26^3/3</x:f>
        <x:v>0.3333333333333333</x:v>
      </x:c>
      <x:c r="E1883" s="46" t="n">
        <x:f>D1883*(C1883-1)</x:f>
        <x:v>0.011067866912138827</x:v>
      </x:c>
      <x:c r="F1883" s="2"/>
      <x:c r="G1883" s="2"/>
      <x:c r="H1883" s="2"/>
    </x:row>
    <x:row r="1884" ht="22" customHeight="1">
      <x:c r="A1884" s="2" t="n">
        <x:v>1878</x:v>
      </x:c>
      <x:c r="B1884" s="79" t="n">
        <x:v>1.335996630821618</x:v>
      </x:c>
      <x:c r="C1884" s="46" t="n">
        <x:f>B1884^2</x:f>
        <x:v>1.7848869975667148</x:v>
      </x:c>
      <x:c r="D1884" s="47" t="n">
        <x:f>'Datos'!$B$26^3/3</x:f>
        <x:v>0.3333333333333333</x:v>
      </x:c>
      <x:c r="E1884" s="46" t="n">
        <x:f>D1884*(C1884-1)</x:f>
        <x:v>0.2616289991889049</x:v>
      </x:c>
      <x:c r="F1884" s="2"/>
      <x:c r="G1884" s="2"/>
      <x:c r="H1884" s="2"/>
    </x:row>
    <x:row r="1885" ht="22" customHeight="1">
      <x:c r="A1885" s="2" t="n">
        <x:v>1879</x:v>
      </x:c>
      <x:c r="B1885" s="79" t="n">
        <x:v>1.5217597432747358</x:v>
      </x:c>
      <x:c r="C1885" s="46" t="n">
        <x:f>B1885^2</x:f>
        <x:v>2.31575271625159</x:v>
      </x:c>
      <x:c r="D1885" s="47" t="n">
        <x:f>'Datos'!$B$26^3/3</x:f>
        <x:v>0.3333333333333333</x:v>
      </x:c>
      <x:c r="E1885" s="46" t="n">
        <x:f>D1885*(C1885-1)</x:f>
        <x:v>0.43858423875052993</x:v>
      </x:c>
      <x:c r="F1885" s="2"/>
      <x:c r="G1885" s="2"/>
      <x:c r="H1885" s="2"/>
    </x:row>
    <x:row r="1886" ht="22" customHeight="1">
      <x:c r="A1886" s="2" t="n">
        <x:v>1880</x:v>
      </x:c>
      <x:c r="B1886" s="79" t="n">
        <x:v>1.9107451076790571</x:v>
      </x:c>
      <x:c r="C1886" s="46" t="n">
        <x:f>B1886^2</x:f>
        <x:v>3.6509468665194516</x:v>
      </x:c>
      <x:c r="D1886" s="47" t="n">
        <x:f>'Datos'!$B$26^3/3</x:f>
        <x:v>0.3333333333333333</x:v>
      </x:c>
      <x:c r="E1886" s="46" t="n">
        <x:f>D1886*(C1886-1)</x:f>
        <x:v>0.8836489555064838</x:v>
      </x:c>
      <x:c r="F1886" s="2"/>
      <x:c r="G1886" s="2"/>
      <x:c r="H1886" s="2"/>
    </x:row>
    <x:row r="1887" ht="22" customHeight="1">
      <x:c r="A1887" s="2" t="n">
        <x:v>1881</x:v>
      </x:c>
      <x:c r="B1887" s="79" t="n">
        <x:v>0.7234720726690973</x:v>
      </x:c>
      <x:c r="C1887" s="46" t="n">
        <x:f>B1887^2</x:f>
        <x:v>0.5234118399321196</x:v>
      </x:c>
      <x:c r="D1887" s="47" t="n">
        <x:f>'Datos'!$B$26^3/3</x:f>
        <x:v>0.3333333333333333</x:v>
      </x:c>
      <x:c r="E1887" s="46" t="n">
        <x:f>D1887*(C1887-1)</x:f>
        <x:v>-0.1588627200226268</x:v>
      </x:c>
      <x:c r="F1887" s="2"/>
      <x:c r="G1887" s="2"/>
      <x:c r="H1887" s="2"/>
    </x:row>
    <x:row r="1888" ht="22" customHeight="1">
      <x:c r="A1888" s="2" t="n">
        <x:v>1882</x:v>
      </x:c>
      <x:c r="B1888" s="79" t="n">
        <x:v>0.6227557133005871</x:v>
      </x:c>
      <x:c r="C1888" s="46" t="n">
        <x:f>B1888^2</x:f>
        <x:v>0.38782467844852303</x:v>
      </x:c>
      <x:c r="D1888" s="47" t="n">
        <x:f>'Datos'!$B$26^3/3</x:f>
        <x:v>0.3333333333333333</x:v>
      </x:c>
      <x:c r="E1888" s="46" t="n">
        <x:f>D1888*(C1888-1)</x:f>
        <x:v>-0.20405844051715896</x:v>
      </x:c>
      <x:c r="F1888" s="2"/>
      <x:c r="G1888" s="2"/>
      <x:c r="H1888" s="2"/>
    </x:row>
    <x:row r="1889" ht="22" customHeight="1">
      <x:c r="A1889" s="2" t="n">
        <x:v>1883</x:v>
      </x:c>
      <x:c r="B1889" s="79" t="n">
        <x:v>0.0402425785077343</x:v>
      </x:c>
      <x:c r="C1889" s="46" t="n">
        <x:f>B1889^2</x:f>
        <x:v>0.0016194651249511586</x:v>
      </x:c>
      <x:c r="D1889" s="47" t="n">
        <x:f>'Datos'!$B$26^3/3</x:f>
        <x:v>0.3333333333333333</x:v>
      </x:c>
      <x:c r="E1889" s="46" t="n">
        <x:f>D1889*(C1889-1)</x:f>
        <x:v>-0.33279351162501625</x:v>
      </x:c>
      <x:c r="F1889" s="2"/>
      <x:c r="G1889" s="2"/>
      <x:c r="H1889" s="2"/>
    </x:row>
    <x:row r="1890" ht="22" customHeight="1">
      <x:c r="A1890" s="2" t="n">
        <x:v>1884</x:v>
      </x:c>
      <x:c r="B1890" s="79" t="n">
        <x:v>-0.5716222620621009</x:v>
      </x:c>
      <x:c r="C1890" s="46" t="n">
        <x:f>B1890^2</x:f>
        <x:v>0.32675201048499314</x:v>
      </x:c>
      <x:c r="D1890" s="47" t="n">
        <x:f>'Datos'!$B$26^3/3</x:f>
        <x:v>0.3333333333333333</x:v>
      </x:c>
      <x:c r="E1890" s="46" t="n">
        <x:f>D1890*(C1890-1)</x:f>
        <x:v>-0.22441599650500227</x:v>
      </x:c>
      <x:c r="F1890" s="2"/>
      <x:c r="G1890" s="2"/>
      <x:c r="H1890" s="2"/>
    </x:row>
    <x:row r="1891" ht="22" customHeight="1">
      <x:c r="A1891" s="2" t="n">
        <x:v>1885</x:v>
      </x:c>
      <x:c r="B1891" s="79" t="n">
        <x:v>-0.10675720952876251</x:v>
      </x:c>
      <x:c r="C1891" s="46" t="n">
        <x:f>B1891^2</x:f>
        <x:v>0.0113971017863681</x:v>
      </x:c>
      <x:c r="D1891" s="47" t="n">
        <x:f>'Datos'!$B$26^3/3</x:f>
        <x:v>0.3333333333333333</x:v>
      </x:c>
      <x:c r="E1891" s="46" t="n">
        <x:f>D1891*(C1891-1)</x:f>
        <x:v>-0.32953429940454393</x:v>
      </x:c>
      <x:c r="F1891" s="2"/>
      <x:c r="G1891" s="2"/>
      <x:c r="H1891" s="2"/>
    </x:row>
    <x:row r="1892" ht="22" customHeight="1">
      <x:c r="A1892" s="2" t="n">
        <x:v>1886</x:v>
      </x:c>
      <x:c r="B1892" s="79" t="n">
        <x:v>-0.29381967463844105</x:v>
      </x:c>
      <x:c r="C1892" s="46" t="n">
        <x:f>B1892^2</x:f>
        <x:v>0.08633000120463936</x:v>
      </x:c>
      <x:c r="D1892" s="47" t="n">
        <x:f>'Datos'!$B$26^3/3</x:f>
        <x:v>0.3333333333333333</x:v>
      </x:c>
      <x:c r="E1892" s="46" t="n">
        <x:f>D1892*(C1892-1)</x:f>
        <x:v>-0.3045566662651202</x:v>
      </x:c>
      <x:c r="F1892" s="2"/>
      <x:c r="G1892" s="2"/>
      <x:c r="H1892" s="2"/>
    </x:row>
    <x:row r="1893" ht="22" customHeight="1">
      <x:c r="A1893" s="2" t="n">
        <x:v>1887</x:v>
      </x:c>
      <x:c r="B1893" s="79" t="n">
        <x:v>2.1778452335979486</x:v>
      </x:c>
      <x:c r="C1893" s="46" t="n">
        <x:f>B1893^2</x:f>
        <x:v>4.743009861505303</x:v>
      </x:c>
      <x:c r="D1893" s="47" t="n">
        <x:f>'Datos'!$B$26^3/3</x:f>
        <x:v>0.3333333333333333</x:v>
      </x:c>
      <x:c r="E1893" s="46" t="n">
        <x:f>D1893*(C1893-1)</x:f>
        <x:v>1.247669953835101</x:v>
      </x:c>
      <x:c r="F1893" s="2"/>
      <x:c r="G1893" s="2"/>
      <x:c r="H1893" s="2"/>
    </x:row>
    <x:row r="1894" ht="22" customHeight="1">
      <x:c r="A1894" s="2" t="n">
        <x:v>1888</x:v>
      </x:c>
      <x:c r="B1894" s="79" t="n">
        <x:v>-0.9719406200284391</x:v>
      </x:c>
      <x:c r="C1894" s="46" t="n">
        <x:f>B1894^2</x:f>
        <x:v>0.9446685688612666</x:v>
      </x:c>
      <x:c r="D1894" s="47" t="n">
        <x:f>'Datos'!$B$26^3/3</x:f>
        <x:v>0.3333333333333333</x:v>
      </x:c>
      <x:c r="E1894" s="46" t="n">
        <x:f>D1894*(C1894-1)</x:f>
        <x:v>-0.018443810379577798</x:v>
      </x:c>
      <x:c r="F1894" s="2"/>
      <x:c r="G1894" s="2"/>
      <x:c r="H1894" s="2"/>
    </x:row>
    <x:row r="1895" ht="22" customHeight="1">
      <x:c r="A1895" s="2" t="n">
        <x:v>1889</x:v>
      </x:c>
      <x:c r="B1895" s="79" t="n">
        <x:v>1.3216882545086537</x:v>
      </x:c>
      <x:c r="C1895" s="46" t="n">
        <x:f>B1895^2</x:f>
        <x:v>1.7468598421061317</x:v>
      </x:c>
      <x:c r="D1895" s="47" t="n">
        <x:f>'Datos'!$B$26^3/3</x:f>
        <x:v>0.3333333333333333</x:v>
      </x:c>
      <x:c r="E1895" s="46" t="n">
        <x:f>D1895*(C1895-1)</x:f>
        <x:v>0.24895328070204387</x:v>
      </x:c>
      <x:c r="F1895" s="2"/>
      <x:c r="G1895" s="2"/>
      <x:c r="H1895" s="2"/>
    </x:row>
    <x:row r="1896" ht="22" customHeight="1">
      <x:c r="A1896" s="2" t="n">
        <x:v>1890</x:v>
      </x:c>
      <x:c r="B1896" s="79" t="n">
        <x:v>0.6054260322002619</x:v>
      </x:c>
      <x:c r="C1896" s="46" t="n">
        <x:f>B1896^2</x:f>
        <x:v>0.3665406804657526</x:v>
      </x:c>
      <x:c r="D1896" s="47" t="n">
        <x:f>'Datos'!$B$26^3/3</x:f>
        <x:v>0.3333333333333333</x:v>
      </x:c>
      <x:c r="E1896" s="46" t="n">
        <x:f>D1896*(C1896-1)</x:f>
        <x:v>-0.21115310651141578</x:v>
      </x:c>
      <x:c r="F1896" s="2"/>
      <x:c r="G1896" s="2"/>
      <x:c r="H1896" s="2"/>
    </x:row>
    <x:row r="1897" ht="22" customHeight="1">
      <x:c r="A1897" s="2" t="n">
        <x:v>1891</x:v>
      </x:c>
      <x:c r="B1897" s="79" t="n">
        <x:v>-0.28572629614263795</x:v>
      </x:c>
      <x:c r="C1897" s="46" t="n">
        <x:f>B1897^2</x:f>
        <x:v>0.08163951630739044</x:v>
      </x:c>
      <x:c r="D1897" s="47" t="n">
        <x:f>'Datos'!$B$26^3/3</x:f>
        <x:v>0.3333333333333333</x:v>
      </x:c>
      <x:c r="E1897" s="46" t="n">
        <x:f>D1897*(C1897-1)</x:f>
        <x:v>-0.3061201612308698</x:v>
      </x:c>
      <x:c r="F1897" s="2"/>
      <x:c r="G1897" s="2"/>
      <x:c r="H1897" s="2"/>
    </x:row>
    <x:row r="1898" ht="22" customHeight="1">
      <x:c r="A1898" s="2" t="n">
        <x:v>1892</x:v>
      </x:c>
      <x:c r="B1898" s="79" t="n">
        <x:v>-1.3128471062922749</x:v>
      </x:c>
      <x:c r="C1898" s="46" t="n">
        <x:f>B1898^2</x:f>
        <x:v>1.7235675244999997</x:v>
      </x:c>
      <x:c r="D1898" s="47" t="n">
        <x:f>'Datos'!$B$26^3/3</x:f>
        <x:v>0.3333333333333333</x:v>
      </x:c>
      <x:c r="E1898" s="46" t="n">
        <x:f>D1898*(C1898-1)</x:f>
        <x:v>0.24118917483333324</x:v>
      </x:c>
      <x:c r="F1898" s="2"/>
      <x:c r="G1898" s="2"/>
      <x:c r="H1898" s="2"/>
    </x:row>
    <x:row r="1899" ht="22" customHeight="1">
      <x:c r="A1899" s="2" t="n">
        <x:v>1893</x:v>
      </x:c>
      <x:c r="B1899" s="79" t="n">
        <x:v>-0.27738821710912964</x:v>
      </x:c>
      <x:c r="C1899" s="46" t="n">
        <x:f>B1899^2</x:f>
        <x:v>0.07694422299098164</x:v>
      </x:c>
      <x:c r="D1899" s="47" t="n">
        <x:f>'Datos'!$B$26^3/3</x:f>
        <x:v>0.3333333333333333</x:v>
      </x:c>
      <x:c r="E1899" s="46" t="n">
        <x:f>D1899*(C1899-1)</x:f>
        <x:v>-0.30768525900300614</x:v>
      </x:c>
      <x:c r="F1899" s="2"/>
      <x:c r="G1899" s="2"/>
      <x:c r="H1899" s="2"/>
    </x:row>
    <x:row r="1900" ht="22" customHeight="1">
      <x:c r="A1900" s="2" t="n">
        <x:v>1894</x:v>
      </x:c>
      <x:c r="B1900" s="79" t="n">
        <x:v>-1.744117989312218</x:v>
      </x:c>
      <x:c r="C1900" s="46" t="n">
        <x:f>B1900^2</x:f>
        <x:v>3.0419475606424946</x:v>
      </x:c>
      <x:c r="D1900" s="47" t="n">
        <x:f>'Datos'!$B$26^3/3</x:f>
        <x:v>0.3333333333333333</x:v>
      </x:c>
      <x:c r="E1900" s="46" t="n">
        <x:f>D1900*(C1900-1)</x:f>
        <x:v>0.6806491868808315</x:v>
      </x:c>
      <x:c r="F1900" s="2"/>
      <x:c r="G1900" s="2"/>
      <x:c r="H1900" s="2"/>
    </x:row>
    <x:row r="1901" ht="22" customHeight="1">
      <x:c r="A1901" s="2" t="n">
        <x:v>1895</x:v>
      </x:c>
      <x:c r="B1901" s="79" t="n">
        <x:v>-0.81210139892803</x:v>
      </x:c>
      <x:c r="C1901" s="46" t="n">
        <x:f>B1901^2</x:f>
        <x:v>0.6595086821408633</x:v>
      </x:c>
      <x:c r="D1901" s="47" t="n">
        <x:f>'Datos'!$B$26^3/3</x:f>
        <x:v>0.3333333333333333</x:v>
      </x:c>
      <x:c r="E1901" s="46" t="n">
        <x:f>D1901*(C1901-1)</x:f>
        <x:v>-0.11349710595304555</x:v>
      </x:c>
      <x:c r="F1901" s="2"/>
      <x:c r="G1901" s="2"/>
      <x:c r="H1901" s="2"/>
    </x:row>
    <x:row r="1902" ht="22" customHeight="1">
      <x:c r="A1902" s="2" t="n">
        <x:v>1896</x:v>
      </x:c>
      <x:c r="B1902" s="79" t="n">
        <x:v>-0.5094109650082829</x:v>
      </x:c>
      <x:c r="C1902" s="46" t="n">
        <x:f>B1902^2</x:f>
        <x:v>0.25949953127067</x:v>
      </x:c>
      <x:c r="D1902" s="47" t="n">
        <x:f>'Datos'!$B$26^3/3</x:f>
        <x:v>0.3333333333333333</x:v>
      </x:c>
      <x:c r="E1902" s="46" t="n">
        <x:f>D1902*(C1902-1)</x:f>
        <x:v>-0.2468334895764433</x:v>
      </x:c>
      <x:c r="F1902" s="2"/>
      <x:c r="G1902" s="2"/>
      <x:c r="H1902" s="2"/>
    </x:row>
    <x:row r="1903" ht="22" customHeight="1">
      <x:c r="A1903" s="2" t="n">
        <x:v>1897</x:v>
      </x:c>
      <x:c r="B1903" s="79" t="n">
        <x:v>-1.2222475882578914</x:v>
      </x:c>
      <x:c r="C1903" s="46" t="n">
        <x:f>B1903^2</x:f>
        <x:v>1.493889167002232</x:v>
      </x:c>
      <x:c r="D1903" s="47" t="n">
        <x:f>'Datos'!$B$26^3/3</x:f>
        <x:v>0.3333333333333333</x:v>
      </x:c>
      <x:c r="E1903" s="46" t="n">
        <x:f>D1903*(C1903-1)</x:f>
        <x:v>0.16462972233407736</x:v>
      </x:c>
      <x:c r="F1903" s="2"/>
      <x:c r="G1903" s="2"/>
      <x:c r="H1903" s="2"/>
    </x:row>
    <x:row r="1904" ht="22" customHeight="1">
      <x:c r="A1904" s="2" t="n">
        <x:v>1898</x:v>
      </x:c>
      <x:c r="B1904" s="79" t="n">
        <x:v>1.0852955567640878</x:v>
      </x:c>
      <x:c r="C1904" s="46" t="n">
        <x:f>B1904^2</x:f>
        <x:v>1.1778664455318715</x:v>
      </x:c>
      <x:c r="D1904" s="47" t="n">
        <x:f>'Datos'!$B$26^3/3</x:f>
        <x:v>0.3333333333333333</x:v>
      </x:c>
      <x:c r="E1904" s="46" t="n">
        <x:f>D1904*(C1904-1)</x:f>
        <x:v>0.05928881517729049</x:v>
      </x:c>
      <x:c r="F1904" s="2"/>
      <x:c r="G1904" s="2"/>
      <x:c r="H1904" s="2"/>
    </x:row>
    <x:row r="1905" ht="22" customHeight="1">
      <x:c r="A1905" s="2" t="n">
        <x:v>1899</x:v>
      </x:c>
      <x:c r="B1905" s="79" t="n">
        <x:v>-1.6130926783249906</x:v>
      </x:c>
      <x:c r="C1905" s="46" t="n">
        <x:f>B1905^2</x:f>
        <x:v>2.6020679888656915</x:v>
      </x:c>
      <x:c r="D1905" s="47" t="n">
        <x:f>'Datos'!$B$26^3/3</x:f>
        <x:v>0.3333333333333333</x:v>
      </x:c>
      <x:c r="E1905" s="46" t="n">
        <x:f>D1905*(C1905-1)</x:f>
        <x:v>0.5340226629552305</x:v>
      </x:c>
      <x:c r="F1905" s="2"/>
      <x:c r="G1905" s="2"/>
      <x:c r="H1905" s="2"/>
    </x:row>
    <x:row r="1906" ht="22" customHeight="1">
      <x:c r="A1906" s="2" t="n">
        <x:v>1900</x:v>
      </x:c>
      <x:c r="B1906" s="79" t="n">
        <x:v>0.9178123882031736</x:v>
      </x:c>
      <x:c r="C1906" s="46" t="n">
        <x:f>B1906^2</x:f>
        <x:v>0.842379579939213</x:v>
      </x:c>
      <x:c r="D1906" s="47" t="n">
        <x:f>'Datos'!$B$26^3/3</x:f>
        <x:v>0.3333333333333333</x:v>
      </x:c>
      <x:c r="E1906" s="46" t="n">
        <x:f>D1906*(C1906-1)</x:f>
        <x:v>-0.05254014002026234</x:v>
      </x:c>
      <x:c r="F1906" s="2"/>
      <x:c r="G1906" s="2"/>
      <x:c r="H1906" s="2"/>
    </x:row>
    <x:row r="1907" ht="22" customHeight="1">
      <x:c r="A1907" s="2" t="n">
        <x:v>1901</x:v>
      </x:c>
      <x:c r="B1907" s="79" t="n">
        <x:v>0.6597386599358127</x:v>
      </x:c>
      <x:c r="C1907" s="46" t="n">
        <x:f>B1907^2</x:f>
        <x:v>0.43525509941390195</x:v>
      </x:c>
      <x:c r="D1907" s="47" t="n">
        <x:f>'Datos'!$B$26^3/3</x:f>
        <x:v>0.3333333333333333</x:v>
      </x:c>
      <x:c r="E1907" s="46" t="n">
        <x:f>D1907*(C1907-1)</x:f>
        <x:v>-0.188248300195366</x:v>
      </x:c>
      <x:c r="F1907" s="2"/>
      <x:c r="G1907" s="2"/>
      <x:c r="H1907" s="2"/>
    </x:row>
    <x:row r="1908" ht="22" customHeight="1">
      <x:c r="A1908" s="2" t="n">
        <x:v>1902</x:v>
      </x:c>
      <x:c r="B1908" s="79" t="n">
        <x:v>-0.45643785076907034</x:v>
      </x:c>
      <x:c r="C1908" s="46" t="n">
        <x:f>B1908^2</x:f>
        <x:v>0.20833551161468813</x:v>
      </x:c>
      <x:c r="D1908" s="47" t="n">
        <x:f>'Datos'!$B$26^3/3</x:f>
        <x:v>0.3333333333333333</x:v>
      </x:c>
      <x:c r="E1908" s="46" t="n">
        <x:f>D1908*(C1908-1)</x:f>
        <x:v>-0.26388816279510396</x:v>
      </x:c>
      <x:c r="F1908" s="2"/>
      <x:c r="G1908" s="2"/>
      <x:c r="H1908" s="2"/>
    </x:row>
    <x:row r="1909" ht="22" customHeight="1">
      <x:c r="A1909" s="2" t="n">
        <x:v>1903</x:v>
      </x:c>
      <x:c r="B1909" s="79" t="n">
        <x:v>-0.39555814858013566</x:v>
      </x:c>
      <x:c r="C1909" s="46" t="n">
        <x:f>B1909^2</x:f>
        <x:v>0.15646624890814467</x:v>
      </x:c>
      <x:c r="D1909" s="47" t="n">
        <x:f>'Datos'!$B$26^3/3</x:f>
        <x:v>0.3333333333333333</x:v>
      </x:c>
      <x:c r="E1909" s="46" t="n">
        <x:f>D1909*(C1909-1)</x:f>
        <x:v>-0.28117791703061845</x:v>
      </x:c>
      <x:c r="F1909" s="2"/>
      <x:c r="G1909" s="2"/>
      <x:c r="H1909" s="2"/>
    </x:row>
    <x:row r="1910" ht="22" customHeight="1">
      <x:c r="A1910" s="2" t="n">
        <x:v>1904</x:v>
      </x:c>
      <x:c r="B1910" s="79" t="n">
        <x:v>-0.5147908253456599</x:v>
      </x:c>
      <x:c r="C1910" s="46" t="n">
        <x:f>B1910^2</x:f>
        <x:v>0.26500959386006573</x:v>
      </x:c>
      <x:c r="D1910" s="47" t="n">
        <x:f>'Datos'!$B$26^3/3</x:f>
        <x:v>0.3333333333333333</x:v>
      </x:c>
      <x:c r="E1910" s="46" t="n">
        <x:f>D1910*(C1910-1)</x:f>
        <x:v>-0.24499680204664476</x:v>
      </x:c>
      <x:c r="F1910" s="2"/>
      <x:c r="G1910" s="2"/>
      <x:c r="H1910" s="2"/>
    </x:row>
    <x:row r="1911" ht="22" customHeight="1">
      <x:c r="A1911" s="2" t="n">
        <x:v>1905</x:v>
      </x:c>
      <x:c r="B1911" s="79" t="n">
        <x:v>0.17425519231696857</x:v>
      </x:c>
      <x:c r="C1911" s="46" t="n">
        <x:f>B1911^2</x:f>
        <x:v>0.030364872049423702</x:v>
      </x:c>
      <x:c r="D1911" s="47" t="n">
        <x:f>'Datos'!$B$26^3/3</x:f>
        <x:v>0.3333333333333333</x:v>
      </x:c>
      <x:c r="E1911" s="46" t="n">
        <x:f>D1911*(C1911-1)</x:f>
        <x:v>-0.3232117093168587</x:v>
      </x:c>
      <x:c r="F1911" s="2"/>
      <x:c r="G1911" s="2"/>
      <x:c r="H1911" s="2"/>
    </x:row>
    <x:row r="1912" ht="22" customHeight="1">
      <x:c r="A1912" s="2" t="n">
        <x:v>1906</x:v>
      </x:c>
      <x:c r="B1912" s="79" t="n">
        <x:v>-0.2455626819146796</x:v>
      </x:c>
      <x:c r="C1912" s="46" t="n">
        <x:f>B1912^2</x:f>
        <x:v>0.060301030749130104</x:v>
      </x:c>
      <x:c r="D1912" s="47" t="n">
        <x:f>'Datos'!$B$26^3/3</x:f>
        <x:v>0.3333333333333333</x:v>
      </x:c>
      <x:c r="E1912" s="46" t="n">
        <x:f>D1912*(C1912-1)</x:f>
        <x:v>-0.31323298975028996</x:v>
      </x:c>
      <x:c r="F1912" s="2"/>
      <x:c r="G1912" s="2"/>
      <x:c r="H1912" s="2"/>
    </x:row>
    <x:row r="1913" ht="22" customHeight="1">
      <x:c r="A1913" s="2" t="n">
        <x:v>1907</x:v>
      </x:c>
      <x:c r="B1913" s="79" t="n">
        <x:v>-1.118670368545321</x:v>
      </x:c>
      <x:c r="C1913" s="46" t="n">
        <x:f>B1913^2</x:f>
        <x:v>1.2514233934613244</x:v>
      </x:c>
      <x:c r="D1913" s="47" t="n">
        <x:f>'Datos'!$B$26^3/3</x:f>
        <x:v>0.3333333333333333</x:v>
      </x:c>
      <x:c r="E1913" s="46" t="n">
        <x:f>D1913*(C1913-1)</x:f>
        <x:v>0.08380779782044145</x:v>
      </x:c>
      <x:c r="F1913" s="2"/>
      <x:c r="G1913" s="2"/>
      <x:c r="H1913" s="2"/>
    </x:row>
    <x:row r="1914" ht="22" customHeight="1">
      <x:c r="A1914" s="2" t="n">
        <x:v>1908</x:v>
      </x:c>
      <x:c r="B1914" s="79" t="n">
        <x:v>-0.47320526823888287</x:v>
      </x:c>
      <x:c r="C1914" s="46" t="n">
        <x:f>B1914^2</x:f>
        <x:v>0.2239232258890331</x:v>
      </x:c>
      <x:c r="D1914" s="47" t="n">
        <x:f>'Datos'!$B$26^3/3</x:f>
        <x:v>0.3333333333333333</x:v>
      </x:c>
      <x:c r="E1914" s="46" t="n">
        <x:f>D1914*(C1914-1)</x:f>
        <x:v>-0.2586922580369889</x:v>
      </x:c>
      <x:c r="F1914" s="2"/>
      <x:c r="G1914" s="2"/>
      <x:c r="H1914" s="2"/>
    </x:row>
    <x:row r="1915" ht="22" customHeight="1">
      <x:c r="A1915" s="2" t="n">
        <x:v>1909</x:v>
      </x:c>
      <x:c r="B1915" s="79" t="n">
        <x:v>-1.2131162847904304</x:v>
      </x:c>
      <x:c r="C1915" s="46" t="n">
        <x:f>B1915^2</x:f>
        <x:v>1.4716511204237368</x:v>
      </x:c>
      <x:c r="D1915" s="47" t="n">
        <x:f>'Datos'!$B$26^3/3</x:f>
        <x:v>0.3333333333333333</x:v>
      </x:c>
      <x:c r="E1915" s="46" t="n">
        <x:f>D1915*(C1915-1)</x:f>
        <x:v>0.1572170401412456</x:v>
      </x:c>
      <x:c r="F1915" s="2"/>
      <x:c r="G1915" s="2"/>
      <x:c r="H1915" s="2"/>
    </x:row>
    <x:row r="1916" ht="22" customHeight="1">
      <x:c r="A1916" s="2" t="n">
        <x:v>1910</x:v>
      </x:c>
      <x:c r="B1916" s="79" t="n">
        <x:v>-1.3733504546052344</x:v>
      </x:c>
      <x:c r="C1916" s="46" t="n">
        <x:f>B1916^2</x:f>
        <x:v>1.8860914711644041</x:v>
      </x:c>
      <x:c r="D1916" s="47" t="n">
        <x:f>'Datos'!$B$26^3/3</x:f>
        <x:v>0.3333333333333333</x:v>
      </x:c>
      <x:c r="E1916" s="46" t="n">
        <x:f>D1916*(C1916-1)</x:f>
        <x:v>0.295363823721468</x:v>
      </x:c>
      <x:c r="F1916" s="2"/>
      <x:c r="G1916" s="2"/>
      <x:c r="H1916" s="2"/>
    </x:row>
    <x:row r="1917" ht="22" customHeight="1">
      <x:c r="A1917" s="2" t="n">
        <x:v>1911</x:v>
      </x:c>
      <x:c r="B1917" s="79" t="n">
        <x:v>-0.9282704399784644</x:v>
      </x:c>
      <x:c r="C1917" s="46" t="n">
        <x:f>B1917^2</x:f>
        <x:v>0.8616860097378118</x:v>
      </x:c>
      <x:c r="D1917" s="47" t="n">
        <x:f>'Datos'!$B$26^3/3</x:f>
        <x:v>0.3333333333333333</x:v>
      </x:c>
      <x:c r="E1917" s="46" t="n">
        <x:f>D1917*(C1917-1)</x:f>
        <x:v>-0.046104663420729386</x:v>
      </x:c>
      <x:c r="F1917" s="2"/>
      <x:c r="G1917" s="2"/>
      <x:c r="H1917" s="2"/>
    </x:row>
    <x:row r="1918" ht="22" customHeight="1">
      <x:c r="A1918" s="2" t="n">
        <x:v>1912</x:v>
      </x:c>
      <x:c r="B1918" s="79" t="n">
        <x:v>0.13756100238151428</x:v>
      </x:c>
      <x:c r="C1918" s="46" t="n">
        <x:f>B1918^2</x:f>
        <x:v>0.018923029376206976</x:v>
      </x:c>
      <x:c r="D1918" s="47" t="n">
        <x:f>'Datos'!$B$26^3/3</x:f>
        <x:v>0.3333333333333333</x:v>
      </x:c>
      <x:c r="E1918" s="46" t="n">
        <x:f>D1918*(C1918-1)</x:f>
        <x:v>-0.32702565687459767</x:v>
      </x:c>
      <x:c r="F1918" s="2"/>
      <x:c r="G1918" s="2"/>
      <x:c r="H1918" s="2"/>
    </x:row>
    <x:row r="1919" ht="22" customHeight="1">
      <x:c r="A1919" s="2" t="n">
        <x:v>1913</x:v>
      </x:c>
      <x:c r="B1919" s="79" t="n">
        <x:v>0.42072230099726915</x:v>
      </x:c>
      <x:c r="C1919" s="46" t="n">
        <x:f>B1919^2</x:f>
        <x:v>0.17700725455643673</x:v>
      </x:c>
      <x:c r="D1919" s="47" t="n">
        <x:f>'Datos'!$B$26^3/3</x:f>
        <x:v>0.3333333333333333</x:v>
      </x:c>
      <x:c r="E1919" s="46" t="n">
        <x:f>D1919*(C1919-1)</x:f>
        <x:v>-0.2743309151478544</x:v>
      </x:c>
      <x:c r="F1919" s="2"/>
      <x:c r="G1919" s="2"/>
      <x:c r="H1919" s="2"/>
    </x:row>
    <x:row r="1920" ht="22" customHeight="1">
      <x:c r="A1920" s="2" t="n">
        <x:v>1914</x:v>
      </x:c>
      <x:c r="B1920" s="79" t="n">
        <x:v>0.9466726052080524</x:v>
      </x:c>
      <x:c r="C1920" s="46" t="n">
        <x:f>B1920^2</x:f>
        <x:v>0.896189021451401</x:v>
      </x:c>
      <x:c r="D1920" s="47" t="n">
        <x:f>'Datos'!$B$26^3/3</x:f>
        <x:v>0.3333333333333333</x:v>
      </x:c>
      <x:c r="E1920" s="46" t="n">
        <x:f>D1920*(C1920-1)</x:f>
        <x:v>-0.03460365951619966</x:v>
      </x:c>
      <x:c r="F1920" s="2"/>
      <x:c r="G1920" s="2"/>
      <x:c r="H1920" s="2"/>
    </x:row>
    <x:row r="1921" ht="22" customHeight="1">
      <x:c r="A1921" s="2" t="n">
        <x:v>1915</x:v>
      </x:c>
      <x:c r="B1921" s="79" t="n">
        <x:v>-0.2724744295174534</x:v>
      </x:c>
      <x:c r="C1921" s="46" t="n">
        <x:f>B1921^2</x:f>
        <x:v>0.07424231474086167</x:v>
      </x:c>
      <x:c r="D1921" s="47" t="n">
        <x:f>'Datos'!$B$26^3/3</x:f>
        <x:v>0.3333333333333333</x:v>
      </x:c>
      <x:c r="E1921" s="46" t="n">
        <x:f>D1921*(C1921-1)</x:f>
        <x:v>-0.30858589508637946</x:v>
      </x:c>
      <x:c r="F1921" s="2"/>
      <x:c r="G1921" s="2"/>
      <x:c r="H1921" s="2"/>
    </x:row>
    <x:row r="1922" ht="22" customHeight="1">
      <x:c r="A1922" s="2" t="n">
        <x:v>1916</x:v>
      </x:c>
      <x:c r="B1922" s="79" t="n">
        <x:v>-0.031434344100102735</x:v>
      </x:c>
      <x:c r="C1922" s="46" t="n">
        <x:f>B1922^2</x:f>
        <x:v>0.0009881179890036636</x:v>
      </x:c>
      <x:c r="D1922" s="47" t="n">
        <x:f>'Datos'!$B$26^3/3</x:f>
        <x:v>0.3333333333333333</x:v>
      </x:c>
      <x:c r="E1922" s="46" t="n">
        <x:f>D1922*(C1922-1)</x:f>
        <x:v>-0.3330039606703321</x:v>
      </x:c>
      <x:c r="F1922" s="2"/>
      <x:c r="G1922" s="2"/>
      <x:c r="H1922" s="2"/>
    </x:row>
    <x:row r="1923" ht="22" customHeight="1">
      <x:c r="A1923" s="2" t="n">
        <x:v>1917</x:v>
      </x:c>
      <x:c r="B1923" s="79" t="n">
        <x:v>-0.3110884157286651</x:v>
      </x:c>
      <x:c r="C1923" s="46" t="n">
        <x:f>B1923^2</x:f>
        <x:v>0.09677600240057076</x:v>
      </x:c>
      <x:c r="D1923" s="47" t="n">
        <x:f>'Datos'!$B$26^3/3</x:f>
        <x:v>0.3333333333333333</x:v>
      </x:c>
      <x:c r="E1923" s="46" t="n">
        <x:f>D1923*(C1923-1)</x:f>
        <x:v>-0.3010746658664764</x:v>
      </x:c>
      <x:c r="F1923" s="2"/>
      <x:c r="G1923" s="2"/>
      <x:c r="H1923" s="2"/>
    </x:row>
    <x:row r="1924" ht="22" customHeight="1">
      <x:c r="A1924" s="2" t="n">
        <x:v>1918</x:v>
      </x:c>
      <x:c r="B1924" s="79" t="n">
        <x:v>-1.2686275689146458</x:v>
      </x:c>
      <x:c r="C1924" s="46" t="n">
        <x:f>B1924^2</x:f>
        <x:v>1.6094159086102844</x:v>
      </x:c>
      <x:c r="D1924" s="47" t="n">
        <x:f>'Datos'!$B$26^3/3</x:f>
        <x:v>0.3333333333333333</x:v>
      </x:c>
      <x:c r="E1924" s="46" t="n">
        <x:f>D1924*(C1924-1)</x:f>
        <x:v>0.20313863620342812</x:v>
      </x:c>
      <x:c r="F1924" s="2"/>
      <x:c r="G1924" s="2"/>
      <x:c r="H1924" s="2"/>
    </x:row>
    <x:row r="1925" ht="22" customHeight="1">
      <x:c r="A1925" s="2" t="n">
        <x:v>1919</x:v>
      </x:c>
      <x:c r="B1925" s="79" t="n">
        <x:v>1.7057958459733629</x:v>
      </x:c>
      <x:c r="C1925" s="46" t="n">
        <x:f>B1925^2</x:f>
        <x:v>2.9097394681399806</x:v>
      </x:c>
      <x:c r="D1925" s="47" t="n">
        <x:f>'Datos'!$B$26^3/3</x:f>
        <x:v>0.3333333333333333</x:v>
      </x:c>
      <x:c r="E1925" s="46" t="n">
        <x:f>D1925*(C1925-1)</x:f>
        <x:v>0.6365798227133268</x:v>
      </x:c>
      <x:c r="F1925" s="2"/>
      <x:c r="G1925" s="2"/>
      <x:c r="H1925" s="2"/>
    </x:row>
    <x:row r="1926" ht="22" customHeight="1">
      <x:c r="A1926" s="2" t="n">
        <x:v>1920</x:v>
      </x:c>
      <x:c r="B1926" s="79" t="n">
        <x:v>-1.412811037307339</x:v>
      </x:c>
      <x:c r="C1926" s="46" t="n">
        <x:f>B1926^2</x:f>
        <x:v>1.9960350271374394</x:v>
      </x:c>
      <x:c r="D1926" s="47" t="n">
        <x:f>'Datos'!$B$26^3/3</x:f>
        <x:v>0.3333333333333333</x:v>
      </x:c>
      <x:c r="E1926" s="46" t="n">
        <x:f>D1926*(C1926-1)</x:f>
        <x:v>0.3320116757124798</x:v>
      </x:c>
      <x:c r="F1926" s="2"/>
      <x:c r="G1926" s="2"/>
      <x:c r="H1926" s="2"/>
    </x:row>
    <x:row r="1927" ht="22" customHeight="1">
      <x:c r="A1927" s="2" t="n">
        <x:v>1921</x:v>
      </x:c>
      <x:c r="B1927" s="79" t="n">
        <x:v>0.8368781432873263</x:v>
      </x:c>
      <x:c r="C1927" s="46" t="n">
        <x:f>B1927^2</x:f>
        <x:v>0.7003650267120427</x:v>
      </x:c>
      <x:c r="D1927" s="47" t="n">
        <x:f>'Datos'!$B$26^3/3</x:f>
        <x:v>0.3333333333333333</x:v>
      </x:c>
      <x:c r="E1927" s="46" t="n">
        <x:f>D1927*(C1927-1)</x:f>
        <x:v>-0.0998783244293191</x:v>
      </x:c>
      <x:c r="F1927" s="2"/>
      <x:c r="G1927" s="2"/>
      <x:c r="H1927" s="2"/>
    </x:row>
    <x:row r="1928" ht="22" customHeight="1">
      <x:c r="A1928" s="2" t="n">
        <x:v>1922</x:v>
      </x:c>
      <x:c r="B1928" s="79" t="n">
        <x:v>1.7286836725522174</x:v>
      </x:c>
      <x:c r="C1928" s="46" t="n">
        <x:f>B1928^2</x:f>
        <x:v>2.988347239748622</x:v>
      </x:c>
      <x:c r="D1928" s="47" t="n">
        <x:f>'Datos'!$B$26^3/3</x:f>
        <x:v>0.3333333333333333</x:v>
      </x:c>
      <x:c r="E1928" s="46" t="n">
        <x:f>D1928*(C1928-1)</x:f>
        <x:v>0.6627824132495406</x:v>
      </x:c>
      <x:c r="F1928" s="2"/>
      <x:c r="G1928" s="2"/>
      <x:c r="H1928" s="2"/>
    </x:row>
    <x:row r="1929" ht="22" customHeight="1">
      <x:c r="A1929" s="2" t="n">
        <x:v>1923</x:v>
      </x:c>
      <x:c r="B1929" s="79" t="n">
        <x:v>-0.30945251460457185</x:v>
      </x:c>
      <x:c r="C1929" s="46" t="n">
        <x:f>B1929^2</x:f>
        <x:v>0.09576085879509276</x:v>
      </x:c>
      <x:c r="D1929" s="47" t="n">
        <x:f>'Datos'!$B$26^3/3</x:f>
        <x:v>0.3333333333333333</x:v>
      </x:c>
      <x:c r="E1929" s="46" t="n">
        <x:f>D1929*(C1929-1)</x:f>
        <x:v>-0.3014130470683024</x:v>
      </x:c>
      <x:c r="F1929" s="2"/>
      <x:c r="G1929" s="2"/>
      <x:c r="H1929" s="2"/>
    </x:row>
    <x:row r="1930" ht="22" customHeight="1">
      <x:c r="A1930" s="2" t="n">
        <x:v>1924</x:v>
      </x:c>
      <x:c r="B1930" s="79" t="n">
        <x:v>-0.5222792549170359</x:v>
      </x:c>
      <x:c r="C1930" s="46" t="n">
        <x:f>B1930^2</x:f>
        <x:v>0.27277562011669415</x:v>
      </x:c>
      <x:c r="D1930" s="47" t="n">
        <x:f>'Datos'!$B$26^3/3</x:f>
        <x:v>0.3333333333333333</x:v>
      </x:c>
      <x:c r="E1930" s="46" t="n">
        <x:f>D1930*(C1930-1)</x:f>
        <x:v>-0.2424081266277686</x:v>
      </x:c>
      <x:c r="F1930" s="2"/>
      <x:c r="G1930" s="2"/>
      <x:c r="H1930" s="2"/>
    </x:row>
    <x:row r="1931" ht="22" customHeight="1">
      <x:c r="A1931" s="2" t="n">
        <x:v>1925</x:v>
      </x:c>
      <x:c r="B1931" s="79" t="n">
        <x:v>-0.28024365631101233</x:v>
      </x:c>
      <x:c r="C1931" s="46" t="n">
        <x:f>B1931^2</x:f>
        <x:v>0.0785365069025648</x:v>
      </x:c>
      <x:c r="D1931" s="47" t="n">
        <x:f>'Datos'!$B$26^3/3</x:f>
        <x:v>0.3333333333333333</x:v>
      </x:c>
      <x:c r="E1931" s="46" t="n">
        <x:f>D1931*(C1931-1)</x:f>
        <x:v>-0.30715449769914505</x:v>
      </x:c>
      <x:c r="F1931" s="2"/>
      <x:c r="G1931" s="2"/>
      <x:c r="H1931" s="2"/>
    </x:row>
    <x:row r="1932" ht="22" customHeight="1">
      <x:c r="A1932" s="2" t="n">
        <x:v>1926</x:v>
      </x:c>
      <x:c r="B1932" s="79" t="n">
        <x:v>0.8400782284207003</x:v>
      </x:c>
      <x:c r="C1932" s="46" t="n">
        <x:f>B1932^2</x:f>
        <x:v>0.7057314298664624</x:v>
      </x:c>
      <x:c r="D1932" s="47" t="n">
        <x:f>'Datos'!$B$26^3/3</x:f>
        <x:v>0.3333333333333333</x:v>
      </x:c>
      <x:c r="E1932" s="46" t="n">
        <x:f>D1932*(C1932-1)</x:f>
        <x:v>-0.09808952337784585</x:v>
      </x:c>
      <x:c r="F1932" s="2"/>
      <x:c r="G1932" s="2"/>
      <x:c r="H1932" s="2"/>
    </x:row>
    <x:row r="1933" ht="22" customHeight="1">
      <x:c r="A1933" s="2" t="n">
        <x:v>1927</x:v>
      </x:c>
      <x:c r="B1933" s="79" t="n">
        <x:v>-0.9341014860227382</x:v>
      </x:c>
      <x:c r="C1933" s="46" t="n">
        <x:f>B1933^2</x:f>
        <x:v>0.8725455861898879</x:v>
      </x:c>
      <x:c r="D1933" s="47" t="n">
        <x:f>'Datos'!$B$26^3/3</x:f>
        <x:v>0.3333333333333333</x:v>
      </x:c>
      <x:c r="E1933" s="46" t="n">
        <x:f>D1933*(C1933-1)</x:f>
        <x:v>-0.04248480460337071</x:v>
      </x:c>
      <x:c r="F1933" s="2"/>
      <x:c r="G1933" s="2"/>
      <x:c r="H1933" s="2"/>
    </x:row>
    <x:row r="1934" ht="22" customHeight="1">
      <x:c r="A1934" s="2" t="n">
        <x:v>1928</x:v>
      </x:c>
      <x:c r="B1934" s="79" t="n">
        <x:v>0.17267144389340755</x:v>
      </x:c>
      <x:c r="C1934" s="46" t="n">
        <x:f>B1934^2</x:f>
        <x:v>0.02981542753623419</x:v>
      </x:c>
      <x:c r="D1934" s="47" t="n">
        <x:f>'Datos'!$B$26^3/3</x:f>
        <x:v>0.3333333333333333</x:v>
      </x:c>
      <x:c r="E1934" s="46" t="n">
        <x:f>D1934*(C1934-1)</x:f>
        <x:v>-0.3233948574879219</x:v>
      </x:c>
      <x:c r="F1934" s="2"/>
      <x:c r="G1934" s="2"/>
      <x:c r="H1934" s="2"/>
    </x:row>
    <x:row r="1935" ht="22" customHeight="1">
      <x:c r="A1935" s="2" t="n">
        <x:v>1929</x:v>
      </x:c>
      <x:c r="B1935" s="79" t="n">
        <x:v>0.670189686696746</x:v>
      </x:c>
      <x:c r="C1935" s="46" t="n">
        <x:f>B1935^2</x:f>
        <x:v>0.4491542161546825</x:v>
      </x:c>
      <x:c r="D1935" s="47" t="n">
        <x:f>'Datos'!$B$26^3/3</x:f>
        <x:v>0.3333333333333333</x:v>
      </x:c>
      <x:c r="E1935" s="46" t="n">
        <x:f>D1935*(C1935-1)</x:f>
        <x:v>-0.18361526128177252</x:v>
      </x:c>
      <x:c r="F1935" s="2"/>
      <x:c r="G1935" s="2"/>
      <x:c r="H1935" s="2"/>
    </x:row>
    <x:row r="1936" ht="22" customHeight="1">
      <x:c r="A1936" s="2" t="n">
        <x:v>1930</x:v>
      </x:c>
      <x:c r="B1936" s="79" t="n">
        <x:v>0.6788112042854239</x:v>
      </x:c>
      <x:c r="C1936" s="46" t="n">
        <x:f>B1936^2</x:f>
        <x:v>0.4607846510634274</x:v>
      </x:c>
      <x:c r="D1936" s="47" t="n">
        <x:f>'Datos'!$B$26^3/3</x:f>
        <x:v>0.3333333333333333</x:v>
      </x:c>
      <x:c r="E1936" s="46" t="n">
        <x:f>D1936*(C1936-1)</x:f>
        <x:v>-0.17973844964552416</x:v>
      </x:c>
      <x:c r="F1936" s="2"/>
      <x:c r="G1936" s="2"/>
      <x:c r="H1936" s="2"/>
    </x:row>
    <x:row r="1937" ht="22" customHeight="1">
      <x:c r="A1937" s="2" t="n">
        <x:v>1931</x:v>
      </x:c>
      <x:c r="B1937" s="79" t="n">
        <x:v>-0.671082863940361</x:v>
      </x:c>
      <x:c r="C1937" s="46" t="n">
        <x:f>B1937^2</x:f>
        <x:v>0.45035221027439704</x:v>
      </x:c>
      <x:c r="D1937" s="47" t="n">
        <x:f>'Datos'!$B$26^3/3</x:f>
        <x:v>0.3333333333333333</x:v>
      </x:c>
      <x:c r="E1937" s="46" t="n">
        <x:f>D1937*(C1937-1)</x:f>
        <x:v>-0.1832159299085343</x:v>
      </x:c>
      <x:c r="F1937" s="2"/>
      <x:c r="G1937" s="2"/>
      <x:c r="H1937" s="2"/>
    </x:row>
    <x:row r="1938" ht="22" customHeight="1">
      <x:c r="A1938" s="2" t="n">
        <x:v>1932</x:v>
      </x:c>
      <x:c r="B1938" s="79" t="n">
        <x:v>-1.215499959532984</x:v>
      </x:c>
      <x:c r="C1938" s="46" t="n">
        <x:f>B1938^2</x:f>
        <x:v>1.477440151624686</x:v>
      </x:c>
      <x:c r="D1938" s="47" t="n">
        <x:f>'Datos'!$B$26^3/3</x:f>
        <x:v>0.3333333333333333</x:v>
      </x:c>
      <x:c r="E1938" s="46" t="n">
        <x:f>D1938*(C1938-1)</x:f>
        <x:v>0.15914671720822865</x:v>
      </x:c>
      <x:c r="F1938" s="2"/>
      <x:c r="G1938" s="2"/>
      <x:c r="H1938" s="2"/>
    </x:row>
    <x:row r="1939" ht="22" customHeight="1">
      <x:c r="A1939" s="2" t="n">
        <x:v>1933</x:v>
      </x:c>
      <x:c r="B1939" s="79" t="n">
        <x:v>-1.6746566825923512</x:v>
      </x:c>
      <x:c r="C1939" s="46" t="n">
        <x:f>B1939^2</x:f>
        <x:v>2.804475004551219</x:v>
      </x:c>
      <x:c r="D1939" s="47" t="n">
        <x:f>'Datos'!$B$26^3/3</x:f>
        <x:v>0.3333333333333333</x:v>
      </x:c>
      <x:c r="E1939" s="46" t="n">
        <x:f>D1939*(C1939-1)</x:f>
        <x:v>0.6014916681837397</x:v>
      </x:c>
      <x:c r="F1939" s="2"/>
      <x:c r="G1939" s="2"/>
      <x:c r="H1939" s="2"/>
    </x:row>
    <x:row r="1940" ht="22" customHeight="1">
      <x:c r="A1940" s="2" t="n">
        <x:v>1934</x:v>
      </x:c>
      <x:c r="B1940" s="79" t="n">
        <x:v>-0.4431328249144374</x:v>
      </x:c>
      <x:c r="C1940" s="46" t="n">
        <x:f>B1940^2</x:f>
        <x:v>0.19636670051664942</x:v>
      </x:c>
      <x:c r="D1940" s="47" t="n">
        <x:f>'Datos'!$B$26^3/3</x:f>
        <x:v>0.3333333333333333</x:v>
      </x:c>
      <x:c r="E1940" s="46" t="n">
        <x:f>D1940*(C1940-1)</x:f>
        <x:v>-0.26787776649445016</x:v>
      </x:c>
      <x:c r="F1940" s="2"/>
      <x:c r="G1940" s="2"/>
      <x:c r="H1940" s="2"/>
    </x:row>
    <x:row r="1941" ht="22" customHeight="1">
      <x:c r="A1941" s="2" t="n">
        <x:v>1935</x:v>
      </x:c>
      <x:c r="B1941" s="79" t="n">
        <x:v>0.5620637793876837</x:v>
      </x:c>
      <x:c r="C1941" s="46" t="n">
        <x:f>B1941^2</x:f>
        <x:v>0.31591569209956677</x:v>
      </x:c>
      <x:c r="D1941" s="47" t="n">
        <x:f>'Datos'!$B$26^3/3</x:f>
        <x:v>0.3333333333333333</x:v>
      </x:c>
      <x:c r="E1941" s="46" t="n">
        <x:f>D1941*(C1941-1)</x:f>
        <x:v>-0.22802810263347775</x:v>
      </x:c>
      <x:c r="F1941" s="2"/>
      <x:c r="G1941" s="2"/>
      <x:c r="H1941" s="2"/>
    </x:row>
    <x:row r="1942" ht="22" customHeight="1">
      <x:c r="A1942" s="2" t="n">
        <x:v>1936</x:v>
      </x:c>
      <x:c r="B1942" s="79" t="n">
        <x:v>0.09342452619181436</x:v>
      </x:c>
      <x:c r="C1942" s="46" t="n">
        <x:f>B1942^2</x:f>
        <x:v>0.008728142094165009</x:v>
      </x:c>
      <x:c r="D1942" s="47" t="n">
        <x:f>'Datos'!$B$26^3/3</x:f>
        <x:v>0.3333333333333333</x:v>
      </x:c>
      <x:c r="E1942" s="46" t="n">
        <x:f>D1942*(C1942-1)</x:f>
        <x:v>-0.3304239526352783</x:v>
      </x:c>
      <x:c r="F1942" s="2"/>
      <x:c r="G1942" s="2"/>
      <x:c r="H1942" s="2"/>
    </x:row>
    <x:row r="1943" ht="22" customHeight="1">
      <x:c r="A1943" s="2" t="n">
        <x:v>1937</x:v>
      </x:c>
      <x:c r="B1943" s="79" t="n">
        <x:v>-0.37621027236144244</x:v>
      </x:c>
      <x:c r="C1943" s="46" t="n">
        <x:f>B1943^2</x:f>
        <x:v>0.14153416903027072</x:v>
      </x:c>
      <x:c r="D1943" s="47" t="n">
        <x:f>'Datos'!$B$26^3/3</x:f>
        <x:v>0.3333333333333333</x:v>
      </x:c>
      <x:c r="E1943" s="46" t="n">
        <x:f>D1943*(C1943-1)</x:f>
        <x:v>-0.2861552769899097</x:v>
      </x:c>
      <x:c r="F1943" s="2"/>
      <x:c r="G1943" s="2"/>
      <x:c r="H1943" s="2"/>
    </x:row>
    <x:row r="1944" ht="22" customHeight="1">
      <x:c r="A1944" s="2" t="n">
        <x:v>1938</x:v>
      </x:c>
      <x:c r="B1944" s="79" t="n">
        <x:v>-0.7387001661656103</x:v>
      </x:c>
      <x:c r="C1944" s="46" t="n">
        <x:f>B1944^2</x:f>
        <x:v>0.5456779354931003</x:v>
      </x:c>
      <x:c r="D1944" s="47" t="n">
        <x:f>'Datos'!$B$26^3/3</x:f>
        <x:v>0.3333333333333333</x:v>
      </x:c>
      <x:c r="E1944" s="46" t="n">
        <x:f>D1944*(C1944-1)</x:f>
        <x:v>-0.15144068816896655</x:v>
      </x:c>
      <x:c r="F1944" s="2"/>
      <x:c r="G1944" s="2"/>
      <x:c r="H1944" s="2"/>
    </x:row>
    <x:row r="1945" ht="22" customHeight="1">
      <x:c r="A1945" s="2" t="n">
        <x:v>1939</x:v>
      </x:c>
      <x:c r="B1945" s="79" t="n">
        <x:v>1.7748308312998848</x:v>
      </x:c>
      <x:c r="C1945" s="46" t="n">
        <x:f>B1945^2</x:f>
        <x:v>3.1500244797326404</x:v>
      </x:c>
      <x:c r="D1945" s="47" t="n">
        <x:f>'Datos'!$B$26^3/3</x:f>
        <x:v>0.3333333333333333</x:v>
      </x:c>
      <x:c r="E1945" s="46" t="n">
        <x:f>D1945*(C1945-1)</x:f>
        <x:v>0.7166748265775468</x:v>
      </x:c>
      <x:c r="F1945" s="2"/>
      <x:c r="G1945" s="2"/>
      <x:c r="H1945" s="2"/>
    </x:row>
    <x:row r="1946" ht="22" customHeight="1">
      <x:c r="A1946" s="2" t="n">
        <x:v>1940</x:v>
      </x:c>
      <x:c r="B1946" s="79" t="n">
        <x:v>1.494522045644601</x:v>
      </x:c>
      <x:c r="C1946" s="46" t="n">
        <x:f>B1946^2</x:f>
        <x:v>2.2335961449177226</x:v>
      </x:c>
      <x:c r="D1946" s="47" t="n">
        <x:f>'Datos'!$B$26^3/3</x:f>
        <x:v>0.3333333333333333</x:v>
      </x:c>
      <x:c r="E1946" s="46" t="n">
        <x:f>D1946*(C1946-1)</x:f>
        <x:v>0.4111987149725742</x:v>
      </x:c>
      <x:c r="F1946" s="2"/>
      <x:c r="G1946" s="2"/>
      <x:c r="H1946" s="2"/>
    </x:row>
    <x:row r="1947" ht="22" customHeight="1">
      <x:c r="A1947" s="2" t="n">
        <x:v>1941</x:v>
      </x:c>
      <x:c r="B1947" s="79" t="n">
        <x:v>0.7531150977038494</x:v>
      </x:c>
      <x:c r="C1947" s="46" t="n">
        <x:f>B1947^2</x:f>
        <x:v>0.5671823503894787</x:v>
      </x:c>
      <x:c r="D1947" s="47" t="n">
        <x:f>'Datos'!$B$26^3/3</x:f>
        <x:v>0.3333333333333333</x:v>
      </x:c>
      <x:c r="E1947" s="46" t="n">
        <x:f>D1947*(C1947-1)</x:f>
        <x:v>-0.14427254987017374</x:v>
      </x:c>
      <x:c r="F1947" s="2"/>
      <x:c r="G1947" s="2"/>
      <x:c r="H1947" s="2"/>
    </x:row>
    <x:row r="1948" ht="22" customHeight="1">
      <x:c r="A1948" s="2" t="n">
        <x:v>1942</x:v>
      </x:c>
      <x:c r="B1948" s="79" t="n">
        <x:v>-0.7151541853544175</x:v>
      </x:c>
      <x:c r="C1948" s="46" t="n">
        <x:f>B1948^2</x:f>
        <x:v>0.5114455088299407</x:v>
      </x:c>
      <x:c r="D1948" s="47" t="n">
        <x:f>'Datos'!$B$26^3/3</x:f>
        <x:v>0.3333333333333333</x:v>
      </x:c>
      <x:c r="E1948" s="46" t="n">
        <x:f>D1948*(C1948-1)</x:f>
        <x:v>-0.16285149705668645</x:v>
      </x:c>
      <x:c r="F1948" s="2"/>
      <x:c r="G1948" s="2"/>
      <x:c r="H1948" s="2"/>
    </x:row>
    <x:row r="1949" ht="22" customHeight="1">
      <x:c r="A1949" s="2" t="n">
        <x:v>1943</x:v>
      </x:c>
      <x:c r="B1949" s="79" t="n">
        <x:v>-1.6988787047371323</x:v>
      </x:c>
      <x:c r="C1949" s="46" t="n">
        <x:f>B1949^2</x:f>
        <x:v>2.8861888534093163</x:v>
      </x:c>
      <x:c r="D1949" s="47" t="n">
        <x:f>'Datos'!$B$26^3/3</x:f>
        <x:v>0.3333333333333333</x:v>
      </x:c>
      <x:c r="E1949" s="46" t="n">
        <x:f>D1949*(C1949-1)</x:f>
        <x:v>0.6287296178031054</x:v>
      </x:c>
      <x:c r="F1949" s="2"/>
      <x:c r="G1949" s="2"/>
      <x:c r="H1949" s="2"/>
    </x:row>
    <x:row r="1950" ht="22" customHeight="1">
      <x:c r="A1950" s="2" t="n">
        <x:v>1944</x:v>
      </x:c>
      <x:c r="B1950" s="79" t="n">
        <x:v>1.7132658931126252</x:v>
      </x:c>
      <x:c r="C1950" s="46" t="n">
        <x:f>B1950^2</x:f>
        <x:v>2.935280020503001</x:v>
      </x:c>
      <x:c r="D1950" s="47" t="n">
        <x:f>'Datos'!$B$26^3/3</x:f>
        <x:v>0.3333333333333333</x:v>
      </x:c>
      <x:c r="E1950" s="46" t="n">
        <x:f>D1950*(C1950-1)</x:f>
        <x:v>0.6450933401676671</x:v>
      </x:c>
      <x:c r="F1950" s="2"/>
      <x:c r="G1950" s="2"/>
      <x:c r="H1950" s="2"/>
    </x:row>
    <x:row r="1951" ht="22" customHeight="1">
      <x:c r="A1951" s="2" t="n">
        <x:v>1945</x:v>
      </x:c>
      <x:c r="B1951" s="79" t="n">
        <x:v>-0.41980121842116824</x:v>
      </x:c>
      <x:c r="C1951" s="46" t="n">
        <x:f>B1951^2</x:f>
        <x:v>0.1762330629878974</x:v>
      </x:c>
      <x:c r="D1951" s="47" t="n">
        <x:f>'Datos'!$B$26^3/3</x:f>
        <x:v>0.3333333333333333</x:v>
      </x:c>
      <x:c r="E1951" s="46" t="n">
        <x:f>D1951*(C1951-1)</x:f>
        <x:v>-0.2745889790040342</x:v>
      </x:c>
      <x:c r="F1951" s="2"/>
      <x:c r="G1951" s="2"/>
      <x:c r="H1951" s="2"/>
    </x:row>
    <x:row r="1952" ht="22" customHeight="1">
      <x:c r="A1952" s="2" t="n">
        <x:v>1946</x:v>
      </x:c>
      <x:c r="B1952" s="79" t="n">
        <x:v>0.4425565567911257</x:v>
      </x:c>
      <x:c r="C1952" s="46" t="n">
        <x:f>B1952^2</x:f>
        <x:v>0.19585630595881687</x:v>
      </x:c>
      <x:c r="D1952" s="47" t="n">
        <x:f>'Datos'!$B$26^3/3</x:f>
        <x:v>0.3333333333333333</x:v>
      </x:c>
      <x:c r="E1952" s="46" t="n">
        <x:f>D1952*(C1952-1)</x:f>
        <x:v>-0.2680478980137277</x:v>
      </x:c>
      <x:c r="F1952" s="2"/>
      <x:c r="G1952" s="2"/>
      <x:c r="H1952" s="2"/>
    </x:row>
    <x:row r="1953" ht="22" customHeight="1">
      <x:c r="A1953" s="2" t="n">
        <x:v>1947</x:v>
      </x:c>
      <x:c r="B1953" s="79" t="n">
        <x:v>0.8327504547011381</x:v>
      </x:c>
      <x:c r="C1953" s="46" t="n">
        <x:f>B1953^2</x:f>
        <x:v>0.6934733198049522</x:v>
      </x:c>
      <x:c r="D1953" s="47" t="n">
        <x:f>'Datos'!$B$26^3/3</x:f>
        <x:v>0.3333333333333333</x:v>
      </x:c>
      <x:c r="E1953" s="46" t="n">
        <x:f>D1953*(C1953-1)</x:f>
        <x:v>-0.10217556006501594</x:v>
      </x:c>
      <x:c r="F1953" s="2"/>
      <x:c r="G1953" s="2"/>
      <x:c r="H1953" s="2"/>
    </x:row>
    <x:row r="1954" ht="22" customHeight="1">
      <x:c r="A1954" s="2" t="n">
        <x:v>1948</x:v>
      </x:c>
      <x:c r="B1954" s="79" t="n">
        <x:v>0.9557769619749613</x:v>
      </x:c>
      <x:c r="C1954" s="46" t="n">
        <x:f>B1954^2</x:f>
        <x:v>0.9135096010420867</x:v>
      </x:c>
      <x:c r="D1954" s="47" t="n">
        <x:f>'Datos'!$B$26^3/3</x:f>
        <x:v>0.3333333333333333</x:v>
      </x:c>
      <x:c r="E1954" s="46" t="n">
        <x:f>D1954*(C1954-1)</x:f>
        <x:v>-0.028830132985971108</x:v>
      </x:c>
      <x:c r="F1954" s="2"/>
      <x:c r="G1954" s="2"/>
      <x:c r="H1954" s="2"/>
    </x:row>
    <x:row r="1955" ht="22" customHeight="1">
      <x:c r="A1955" s="2" t="n">
        <x:v>1949</x:v>
      </x:c>
      <x:c r="B1955" s="79" t="n">
        <x:v>-0.19296488102771042</x:v>
      </x:c>
      <x:c r="C1955" s="46" t="n">
        <x:f>B1955^2</x:f>
        <x:v>0.03723544531003844</x:v>
      </x:c>
      <x:c r="D1955" s="47" t="n">
        <x:f>'Datos'!$B$26^3/3</x:f>
        <x:v>0.3333333333333333</x:v>
      </x:c>
      <x:c r="E1955" s="46" t="n">
        <x:f>D1955*(C1955-1)</x:f>
        <x:v>-0.32092151822998716</x:v>
      </x:c>
      <x:c r="F1955" s="2"/>
      <x:c r="G1955" s="2"/>
      <x:c r="H1955" s="2"/>
    </x:row>
    <x:row r="1956" ht="22" customHeight="1">
      <x:c r="A1956" s="2" t="n">
        <x:v>1950</x:v>
      </x:c>
      <x:c r="B1956" s="79" t="n">
        <x:v>0.1089892687389766</x:v>
      </x:c>
      <x:c r="C1956" s="46" t="n">
        <x:f>B1956^2</x:f>
        <x:v>0.011878660700256862</x:v>
      </x:c>
      <x:c r="D1956" s="47" t="n">
        <x:f>'Datos'!$B$26^3/3</x:f>
        <x:v>0.3333333333333333</x:v>
      </x:c>
      <x:c r="E1956" s="46" t="n">
        <x:f>D1956*(C1956-1)</x:f>
        <x:v>-0.329373779766581</x:v>
      </x:c>
      <x:c r="F1956" s="2"/>
      <x:c r="G1956" s="2"/>
      <x:c r="H1956" s="2"/>
    </x:row>
    <x:row r="1957" ht="22" customHeight="1">
      <x:c r="A1957" s="2" t="n">
        <x:v>1951</x:v>
      </x:c>
      <x:c r="B1957" s="79" t="n">
        <x:v>-0.35555683307198904</x:v>
      </x:c>
      <x:c r="C1957" s="46" t="n">
        <x:f>B1957^2</x:f>
        <x:v>0.12642066154418227</x:v>
      </x:c>
      <x:c r="D1957" s="47" t="n">
        <x:f>'Datos'!$B$26^3/3</x:f>
        <x:v>0.3333333333333333</x:v>
      </x:c>
      <x:c r="E1957" s="46" t="n">
        <x:f>D1957*(C1957-1)</x:f>
        <x:v>-0.2911931128186059</x:v>
      </x:c>
      <x:c r="F1957" s="2"/>
      <x:c r="G1957" s="2"/>
      <x:c r="H1957" s="2"/>
    </x:row>
    <x:row r="1958" ht="22" customHeight="1">
      <x:c r="A1958" s="2" t="n">
        <x:v>1952</x:v>
      </x:c>
      <x:c r="B1958" s="79" t="n">
        <x:v>0.09171805392012009</x:v>
      </x:c>
      <x:c r="C1958" s="46" t="n">
        <x:f>B1958^2</x:f>
        <x:v>0.008412201414894056</x:v>
      </x:c>
      <x:c r="D1958" s="47" t="n">
        <x:f>'Datos'!$B$26^3/3</x:f>
        <x:v>0.3333333333333333</x:v>
      </x:c>
      <x:c r="E1958" s="46" t="n">
        <x:f>D1958*(C1958-1)</x:f>
        <x:v>-0.3305292661950353</x:v>
      </x:c>
      <x:c r="F1958" s="2"/>
      <x:c r="G1958" s="2"/>
      <x:c r="H1958" s="2"/>
    </x:row>
    <x:row r="1959" ht="22" customHeight="1">
      <x:c r="A1959" s="2" t="n">
        <x:v>1953</x:v>
      </x:c>
      <x:c r="B1959" s="79" t="n">
        <x:v>-0.5146606947466199</x:v>
      </x:c>
      <x:c r="C1959" s="46" t="n">
        <x:f>B1959^2</x:f>
        <x:v>0.2648756307170735</x:v>
      </x:c>
      <x:c r="D1959" s="47" t="n">
        <x:f>'Datos'!$B$26^3/3</x:f>
        <x:v>0.3333333333333333</x:v>
      </x:c>
      <x:c r="E1959" s="46" t="n">
        <x:f>D1959*(C1959-1)</x:f>
        <x:v>-0.2450414564276422</x:v>
      </x:c>
      <x:c r="F1959" s="2"/>
      <x:c r="G1959" s="2"/>
      <x:c r="H1959" s="2"/>
    </x:row>
    <x:row r="1960" ht="22" customHeight="1">
      <x:c r="A1960" s="2" t="n">
        <x:v>1954</x:v>
      </x:c>
      <x:c r="B1960" s="79" t="n">
        <x:v>-0.09730060656395233</x:v>
      </x:c>
      <x:c r="C1960" s="46" t="n">
        <x:f>B1960^2</x:f>
        <x:v>0.009467408037713043</x:v>
      </x:c>
      <x:c r="D1960" s="47" t="n">
        <x:f>'Datos'!$B$26^3/3</x:f>
        <x:v>0.3333333333333333</x:v>
      </x:c>
      <x:c r="E1960" s="46" t="n">
        <x:f>D1960*(C1960-1)</x:f>
        <x:v>-0.3301775306540956</x:v>
      </x:c>
      <x:c r="F1960" s="2"/>
      <x:c r="G1960" s="2"/>
      <x:c r="H1960" s="2"/>
    </x:row>
    <x:row r="1961" ht="22" customHeight="1">
      <x:c r="A1961" s="2" t="n">
        <x:v>1955</x:v>
      </x:c>
      <x:c r="B1961" s="79" t="n">
        <x:v>-0.6800132069843431</x:v>
      </x:c>
      <x:c r="C1961" s="46" t="n">
        <x:f>B1961^2</x:f>
        <x:v>0.46241796167313104</x:v>
      </x:c>
      <x:c r="D1961" s="47" t="n">
        <x:f>'Datos'!$B$26^3/3</x:f>
        <x:v>0.3333333333333333</x:v>
      </x:c>
      <x:c r="E1961" s="46" t="n">
        <x:f>D1961*(C1961-1)</x:f>
        <x:v>-0.179194012775623</x:v>
      </x:c>
      <x:c r="F1961" s="2"/>
      <x:c r="G1961" s="2"/>
      <x:c r="H1961" s="2"/>
    </x:row>
    <x:row r="1962" ht="22" customHeight="1">
      <x:c r="A1962" s="2" t="n">
        <x:v>1956</x:v>
      </x:c>
      <x:c r="B1962" s="79" t="n">
        <x:v>0.478120330846769</x:v>
      </x:c>
      <x:c r="C1962" s="46" t="n">
        <x:f>B1962^2</x:f>
        <x:v>0.22859905076902387</x:v>
      </x:c>
      <x:c r="D1962" s="47" t="n">
        <x:f>'Datos'!$B$26^3/3</x:f>
        <x:v>0.3333333333333333</x:v>
      </x:c>
      <x:c r="E1962" s="46" t="n">
        <x:f>D1962*(C1962-1)</x:f>
        <x:v>-0.2571336497436587</x:v>
      </x:c>
      <x:c r="F1962" s="2"/>
      <x:c r="G1962" s="2"/>
      <x:c r="H1962" s="2"/>
    </x:row>
    <x:row r="1963" ht="22" customHeight="1">
      <x:c r="A1963" s="2" t="n">
        <x:v>1957</x:v>
      </x:c>
      <x:c r="B1963" s="79" t="n">
        <x:v>-0.6107477905979706</x:v>
      </x:c>
      <x:c r="C1963" s="46" t="n">
        <x:f>B1963^2</x:f>
        <x:v>0.3730128637203025</x:v>
      </x:c>
      <x:c r="D1963" s="47" t="n">
        <x:f>'Datos'!$B$26^3/3</x:f>
        <x:v>0.3333333333333333</x:v>
      </x:c>
      <x:c r="E1963" s="46" t="n">
        <x:f>D1963*(C1963-1)</x:f>
        <x:v>-0.20899571209323248</x:v>
      </x:c>
      <x:c r="F1963" s="2"/>
      <x:c r="G1963" s="2"/>
      <x:c r="H1963" s="2"/>
    </x:row>
    <x:row r="1964" ht="22" customHeight="1">
      <x:c r="A1964" s="2" t="n">
        <x:v>1958</x:v>
      </x:c>
      <x:c r="B1964" s="79" t="n">
        <x:v>1.531709344257964</x:v>
      </x:c>
      <x:c r="C1964" s="46" t="n">
        <x:f>B1964^2</x:f>
        <x:v>2.346133515287162</x:v>
      </x:c>
      <x:c r="D1964" s="47" t="n">
        <x:f>'Datos'!$B$26^3/3</x:f>
        <x:v>0.3333333333333333</x:v>
      </x:c>
      <x:c r="E1964" s="46" t="n">
        <x:f>D1964*(C1964-1)</x:f>
        <x:v>0.4487111717623873</x:v>
      </x:c>
      <x:c r="F1964" s="2"/>
      <x:c r="G1964" s="2"/>
      <x:c r="H1964" s="2"/>
    </x:row>
    <x:row r="1965" ht="22" customHeight="1">
      <x:c r="A1965" s="2" t="n">
        <x:v>1959</x:v>
      </x:c>
      <x:c r="B1965" s="79" t="n">
        <x:v>0.5396764572620171</x:v>
      </x:c>
      <x:c r="C1965" s="46" t="n">
        <x:f>B1965^2</x:f>
        <x:v>0.2912506785228817</x:v>
      </x:c>
      <x:c r="D1965" s="47" t="n">
        <x:f>'Datos'!$B$26^3/3</x:f>
        <x:v>0.3333333333333333</x:v>
      </x:c>
      <x:c r="E1965" s="46" t="n">
        <x:f>D1965*(C1965-1)</x:f>
        <x:v>-0.2362497738257061</x:v>
      </x:c>
      <x:c r="F1965" s="2"/>
      <x:c r="G1965" s="2"/>
      <x:c r="H1965" s="2"/>
    </x:row>
    <x:row r="1966" ht="22" customHeight="1">
      <x:c r="A1966" s="2" t="n">
        <x:v>1960</x:v>
      </x:c>
      <x:c r="B1966" s="79" t="n">
        <x:v>1.2271497140700869</x:v>
      </x:c>
      <x:c r="C1966" s="46" t="n">
        <x:f>B1966^2</x:f>
        <x:v>1.505896420742296</x:v>
      </x:c>
      <x:c r="D1966" s="47" t="n">
        <x:f>'Datos'!$B$26^3/3</x:f>
        <x:v>0.3333333333333333</x:v>
      </x:c>
      <x:c r="E1966" s="46" t="n">
        <x:f>D1966*(C1966-1)</x:f>
        <x:v>0.168632140247432</x:v>
      </x:c>
      <x:c r="F1966" s="2"/>
      <x:c r="G1966" s="2"/>
      <x:c r="H1966" s="2"/>
    </x:row>
    <x:row r="1967" ht="22" customHeight="1">
      <x:c r="A1967" s="2" t="n">
        <x:v>1961</x:v>
      </x:c>
      <x:c r="B1967" s="79" t="n">
        <x:v>-1.6790528252942514</x:v>
      </x:c>
      <x:c r="C1967" s="46" t="n">
        <x:f>B1967^2</x:f>
        <x:v>2.819218390128608</x:v>
      </x:c>
      <x:c r="D1967" s="47" t="n">
        <x:f>'Datos'!$B$26^3/3</x:f>
        <x:v>0.3333333333333333</x:v>
      </x:c>
      <x:c r="E1967" s="46" t="n">
        <x:f>D1967*(C1967-1)</x:f>
        <x:v>0.6064061300428693</x:v>
      </x:c>
      <x:c r="F1967" s="2"/>
      <x:c r="G1967" s="2"/>
      <x:c r="H1967" s="2"/>
    </x:row>
    <x:row r="1968" ht="22" customHeight="1">
      <x:c r="A1968" s="2" t="n">
        <x:v>1962</x:v>
      </x:c>
      <x:c r="B1968" s="79" t="n">
        <x:v>-0.19528548257955292</x:v>
      </x:c>
      <x:c r="C1968" s="46" t="n">
        <x:f>B1968^2</x:f>
        <x:v>0.03813641970632887</x:v>
      </x:c>
      <x:c r="D1968" s="47" t="n">
        <x:f>'Datos'!$B$26^3/3</x:f>
        <x:v>0.3333333333333333</x:v>
      </x:c>
      <x:c r="E1968" s="46" t="n">
        <x:f>D1968*(C1968-1)</x:f>
        <x:v>-0.3206211934312237</x:v>
      </x:c>
      <x:c r="F1968" s="2"/>
      <x:c r="G1968" s="2"/>
      <x:c r="H1968" s="2"/>
    </x:row>
    <x:row r="1969" ht="22" customHeight="1">
      <x:c r="A1969" s="2" t="n">
        <x:v>1963</x:v>
      </x:c>
      <x:c r="B1969" s="79" t="n">
        <x:v>0.5757745646070894</x:v>
      </x:c>
      <x:c r="C1969" s="46" t="n">
        <x:f>B1969^2</x:f>
        <x:v>0.3315163492484834</x:v>
      </x:c>
      <x:c r="D1969" s="47" t="n">
        <x:f>'Datos'!$B$26^3/3</x:f>
        <x:v>0.3333333333333333</x:v>
      </x:c>
      <x:c r="E1969" s="46" t="n">
        <x:f>D1969*(C1969-1)</x:f>
        <x:v>-0.22282788358383887</x:v>
      </x:c>
      <x:c r="F1969" s="2"/>
      <x:c r="G1969" s="2"/>
      <x:c r="H1969" s="2"/>
    </x:row>
    <x:row r="1970" ht="22" customHeight="1">
      <x:c r="A1970" s="2" t="n">
        <x:v>1964</x:v>
      </x:c>
      <x:c r="B1970" s="79" t="n">
        <x:v>-0.08257778483352504</x:v>
      </x:c>
      <x:c r="C1970" s="46" t="n">
        <x:f>B1970^2</x:f>
        <x:v>0.006819090548011959</x:v>
      </x:c>
      <x:c r="D1970" s="47" t="n">
        <x:f>'Datos'!$B$26^3/3</x:f>
        <x:v>0.3333333333333333</x:v>
      </x:c>
      <x:c r="E1970" s="46" t="n">
        <x:f>D1970*(C1970-1)</x:f>
        <x:v>-0.33106030315066265</x:v>
      </x:c>
      <x:c r="F1970" s="2"/>
      <x:c r="G1970" s="2"/>
      <x:c r="H1970" s="2"/>
    </x:row>
    <x:row r="1971" ht="22" customHeight="1">
      <x:c r="A1971" s="2" t="n">
        <x:v>1965</x:v>
      </x:c>
      <x:c r="B1971" s="79" t="n">
        <x:v>0.025928312361777592</x:v>
      </x:c>
      <x:c r="C1971" s="46" t="n">
        <x:f>B1971^2</x:f>
        <x:v>0.0006722773819299087</x:v>
      </x:c>
      <x:c r="D1971" s="47" t="n">
        <x:f>'Datos'!$B$26^3/3</x:f>
        <x:v>0.3333333333333333</x:v>
      </x:c>
      <x:c r="E1971" s="46" t="n">
        <x:f>D1971*(C1971-1)</x:f>
        <x:v>-0.33310924087269</x:v>
      </x:c>
      <x:c r="F1971" s="2"/>
      <x:c r="G1971" s="2"/>
      <x:c r="H1971" s="2"/>
    </x:row>
    <x:row r="1972" ht="22" customHeight="1">
      <x:c r="A1972" s="2" t="n">
        <x:v>1966</x:v>
      </x:c>
      <x:c r="B1972" s="79" t="n">
        <x:v>0.6379769924598078</x:v>
      </x:c>
      <x:c r="C1972" s="46" t="n">
        <x:f>B1972^2</x:f>
        <x:v>0.4070146429080616</x:v>
      </x:c>
      <x:c r="D1972" s="47" t="n">
        <x:f>'Datos'!$B$26^3/3</x:f>
        <x:v>0.3333333333333333</x:v>
      </x:c>
      <x:c r="E1972" s="46" t="n">
        <x:f>D1972*(C1972-1)</x:f>
        <x:v>-0.19766178569731277</x:v>
      </x:c>
      <x:c r="F1972" s="2"/>
      <x:c r="G1972" s="2"/>
      <x:c r="H1972" s="2"/>
    </x:row>
    <x:row r="1973" ht="22" customHeight="1">
      <x:c r="A1973" s="2" t="n">
        <x:v>1967</x:v>
      </x:c>
      <x:c r="B1973" s="79" t="n">
        <x:v>-0.9235605202883275</x:v>
      </x:c>
      <x:c r="C1973" s="46" t="n">
        <x:f>B1973^2</x:f>
        <x:v>0.8529640346352462</x:v>
      </x:c>
      <x:c r="D1973" s="47" t="n">
        <x:f>'Datos'!$B$26^3/3</x:f>
        <x:v>0.3333333333333333</x:v>
      </x:c>
      <x:c r="E1973" s="46" t="n">
        <x:f>D1973*(C1973-1)</x:f>
        <x:v>-0.04901198845491794</x:v>
      </x:c>
      <x:c r="F1973" s="2"/>
      <x:c r="G1973" s="2"/>
      <x:c r="H1973" s="2"/>
    </x:row>
    <x:row r="1974" ht="22" customHeight="1">
      <x:c r="A1974" s="2" t="n">
        <x:v>1968</x:v>
      </x:c>
      <x:c r="B1974" s="79" t="n">
        <x:v>-0.660323435924428</x:v>
      </x:c>
      <x:c r="C1974" s="46" t="n">
        <x:f>B1974^2</x:f>
        <x:v>0.43602704003104215</x:v>
      </x:c>
      <x:c r="D1974" s="47" t="n">
        <x:f>'Datos'!$B$26^3/3</x:f>
        <x:v>0.3333333333333333</x:v>
      </x:c>
      <x:c r="E1974" s="46" t="n">
        <x:f>D1974*(C1974-1)</x:f>
        <x:v>-0.18799098665631925</x:v>
      </x:c>
      <x:c r="F1974" s="2"/>
      <x:c r="G1974" s="2"/>
      <x:c r="H1974" s="2"/>
    </x:row>
    <x:row r="1975" ht="22" customHeight="1">
      <x:c r="A1975" s="2" t="n">
        <x:v>1969</x:v>
      </x:c>
      <x:c r="B1975" s="79" t="n">
        <x:v>1.4338231503824583</x:v>
      </x:c>
      <x:c r="C1975" s="46" t="n">
        <x:f>B1975^2</x:f>
        <x:v>2.0558488265726775</x:v>
      </x:c>
      <x:c r="D1975" s="47" t="n">
        <x:f>'Datos'!$B$26^3/3</x:f>
        <x:v>0.3333333333333333</x:v>
      </x:c>
      <x:c r="E1975" s="46" t="n">
        <x:f>D1975*(C1975-1)</x:f>
        <x:v>0.35194960885755916</x:v>
      </x:c>
      <x:c r="F1975" s="2"/>
      <x:c r="G1975" s="2"/>
      <x:c r="H1975" s="2"/>
    </x:row>
    <x:row r="1976" ht="22" customHeight="1">
      <x:c r="A1976" s="2" t="n">
        <x:v>1970</x:v>
      </x:c>
      <x:c r="B1976" s="79" t="n">
        <x:v>-0.8418633824617784</x:v>
      </x:c>
      <x:c r="C1976" s="46" t="n">
        <x:f>B1976^2</x:f>
        <x:v>0.7087339547299866</x:v>
      </x:c>
      <x:c r="D1976" s="47" t="n">
        <x:f>'Datos'!$B$26^3/3</x:f>
        <x:v>0.3333333333333333</x:v>
      </x:c>
      <x:c r="E1976" s="46" t="n">
        <x:f>D1976*(C1976-1)</x:f>
        <x:v>-0.09708868175667114</x:v>
      </x:c>
      <x:c r="F1976" s="2"/>
      <x:c r="G1976" s="2"/>
      <x:c r="H1976" s="2"/>
    </x:row>
    <x:row r="1977" ht="22" customHeight="1">
      <x:c r="A1977" s="2" t="n">
        <x:v>1971</x:v>
      </x:c>
      <x:c r="B1977" s="79" t="n">
        <x:v>-0.5327726013578755</x:v>
      </x:c>
      <x:c r="C1977" s="46" t="n">
        <x:f>B1977^2</x:f>
        <x:v>0.28384664475763777</x:v>
      </x:c>
      <x:c r="D1977" s="47" t="n">
        <x:f>'Datos'!$B$26^3/3</x:f>
        <x:v>0.3333333333333333</x:v>
      </x:c>
      <x:c r="E1977" s="46" t="n">
        <x:f>D1977*(C1977-1)</x:f>
        <x:v>-0.2387177850807874</x:v>
      </x:c>
      <x:c r="F1977" s="2"/>
      <x:c r="G1977" s="2"/>
      <x:c r="H1977" s="2"/>
    </x:row>
    <x:row r="1978" ht="22" customHeight="1">
      <x:c r="A1978" s="2" t="n">
        <x:v>1972</x:v>
      </x:c>
      <x:c r="B1978" s="79" t="n">
        <x:v>0.438514107493244</x:v>
      </x:c>
      <x:c r="C1978" s="46" t="n">
        <x:f>B1978^2</x:f>
        <x:v>0.19229462247059634</x:v>
      </x:c>
      <x:c r="D1978" s="47" t="n">
        <x:f>'Datos'!$B$26^3/3</x:f>
        <x:v>0.3333333333333333</x:v>
      </x:c>
      <x:c r="E1978" s="46" t="n">
        <x:f>D1978*(C1978-1)</x:f>
        <x:v>-0.2692351258431345</x:v>
      </x:c>
      <x:c r="F1978" s="2"/>
      <x:c r="G1978" s="2"/>
      <x:c r="H1978" s="2"/>
    </x:row>
    <x:row r="1979" ht="22" customHeight="1">
      <x:c r="A1979" s="2" t="n">
        <x:v>1973</x:v>
      </x:c>
      <x:c r="B1979" s="79" t="n">
        <x:v>0.16002104138739845</x:v>
      </x:c>
      <x:c r="C1979" s="46" t="n">
        <x:f>B1979^2</x:f>
        <x:v>0.02560673368670749</x:v>
      </x:c>
      <x:c r="D1979" s="47" t="n">
        <x:f>'Datos'!$B$26^3/3</x:f>
        <x:v>0.3333333333333333</x:v>
      </x:c>
      <x:c r="E1979" s="46" t="n">
        <x:f>D1979*(C1979-1)</x:f>
        <x:v>-0.3247977554377641</x:v>
      </x:c>
      <x:c r="F1979" s="2"/>
      <x:c r="G1979" s="2"/>
      <x:c r="H1979" s="2"/>
    </x:row>
    <x:row r="1980" ht="22" customHeight="1">
      <x:c r="A1980" s="2" t="n">
        <x:v>1974</x:v>
      </x:c>
      <x:c r="B1980" s="79" t="n">
        <x:v>1.1131477074987735</x:v>
      </x:c>
      <x:c r="C1980" s="46" t="n">
        <x:f>B1980^2</x:f>
        <x:v>1.239097818709775</x:v>
      </x:c>
      <x:c r="D1980" s="47" t="n">
        <x:f>'Datos'!$B$26^3/3</x:f>
        <x:v>0.3333333333333333</x:v>
      </x:c>
      <x:c r="E1980" s="46" t="n">
        <x:f>D1980*(C1980-1)</x:f>
        <x:v>0.07969927290325832</x:v>
      </x:c>
      <x:c r="F1980" s="2"/>
      <x:c r="G1980" s="2"/>
      <x:c r="H1980" s="2"/>
    </x:row>
    <x:row r="1981" ht="22" customHeight="1">
      <x:c r="A1981" s="2" t="n">
        <x:v>1975</x:v>
      </x:c>
      <x:c r="B1981" s="79" t="n">
        <x:v>0.1976893364684254</x:v>
      </x:c>
      <x:c r="C1981" s="46" t="n">
        <x:f>B1981^2</x:f>
        <x:v>0.03908107375332631</x:v>
      </x:c>
      <x:c r="D1981" s="47" t="n">
        <x:f>'Datos'!$B$26^3/3</x:f>
        <x:v>0.3333333333333333</x:v>
      </x:c>
      <x:c r="E1981" s="46" t="n">
        <x:f>D1981*(C1981-1)</x:f>
        <x:v>-0.3203063087488912</x:v>
      </x:c>
      <x:c r="F1981" s="2"/>
      <x:c r="G1981" s="2"/>
      <x:c r="H1981" s="2"/>
    </x:row>
    <x:row r="1982" ht="22" customHeight="1">
      <x:c r="A1982" s="2" t="n">
        <x:v>1976</x:v>
      </x:c>
      <x:c r="B1982" s="79" t="n">
        <x:v>0.5668448223624485</x:v>
      </x:c>
      <x:c r="C1982" s="46" t="n">
        <x:f>B1982^2</x:f>
        <x:v>0.3213130526391158</x:v>
      </x:c>
      <x:c r="D1982" s="47" t="n">
        <x:f>'Datos'!$B$26^3/3</x:f>
        <x:v>0.3333333333333333</x:v>
      </x:c>
      <x:c r="E1982" s="46" t="n">
        <x:f>D1982*(C1982-1)</x:f>
        <x:v>-0.22622898245362805</x:v>
      </x:c>
      <x:c r="F1982" s="2"/>
      <x:c r="G1982" s="2"/>
      <x:c r="H1982" s="2"/>
    </x:row>
    <x:row r="1983" ht="22" customHeight="1">
      <x:c r="A1983" s="2" t="n">
        <x:v>1977</x:v>
      </x:c>
      <x:c r="B1983" s="79" t="n">
        <x:v>0.5583703927212896</x:v>
      </x:c>
      <x:c r="C1983" s="46" t="n">
        <x:f>B1983^2</x:f>
        <x:v>0.3117774954677272</x:v>
      </x:c>
      <x:c r="D1983" s="47" t="n">
        <x:f>'Datos'!$B$26^3/3</x:f>
        <x:v>0.3333333333333333</x:v>
      </x:c>
      <x:c r="E1983" s="46" t="n">
        <x:f>D1983*(C1983-1)</x:f>
        <x:v>-0.22940750151075756</x:v>
      </x:c>
      <x:c r="F1983" s="2"/>
      <x:c r="G1983" s="2"/>
      <x:c r="H1983" s="2"/>
    </x:row>
    <x:row r="1984" ht="22" customHeight="1">
      <x:c r="A1984" s="2" t="n">
        <x:v>1978</x:v>
      </x:c>
      <x:c r="B1984" s="79" t="n">
        <x:v>1.3638147732349397</x:v>
      </x:c>
      <x:c r="C1984" s="46" t="n">
        <x:f>B1984^2</x:f>
        <x:v>1.85999073569387</x:v>
      </x:c>
      <x:c r="D1984" s="47" t="n">
        <x:f>'Datos'!$B$26^3/3</x:f>
        <x:v>0.3333333333333333</x:v>
      </x:c>
      <x:c r="E1984" s="46" t="n">
        <x:f>D1984*(C1984-1)</x:f>
        <x:v>0.2866635785646233</x:v>
      </x:c>
      <x:c r="F1984" s="2"/>
      <x:c r="G1984" s="2"/>
      <x:c r="H1984" s="2"/>
    </x:row>
    <x:row r="1985" ht="22" customHeight="1">
      <x:c r="A1985" s="2" t="n">
        <x:v>1979</x:v>
      </x:c>
      <x:c r="B1985" s="79" t="n">
        <x:v>-1.0022152057931712</x:v>
      </x:c>
      <x:c r="C1985" s="46" t="n">
        <x:f>B1985^2</x:f>
        <x:v>1.0044353187230486</x:v>
      </x:c>
      <x:c r="D1985" s="47" t="n">
        <x:f>'Datos'!$B$26^3/3</x:f>
        <x:v>0.3333333333333333</x:v>
      </x:c>
      <x:c r="E1985" s="46" t="n">
        <x:f>D1985*(C1985-1)</x:f>
        <x:v>0.0014784395743495289</x:v>
      </x:c>
      <x:c r="F1985" s="2"/>
      <x:c r="G1985" s="2"/>
      <x:c r="H1985" s="2"/>
    </x:row>
    <x:row r="1986" ht="22" customHeight="1">
      <x:c r="A1986" s="2" t="n">
        <x:v>1980</x:v>
      </x:c>
      <x:c r="B1986" s="79" t="n">
        <x:v>-0.6077506968345204</x:v>
      </x:c>
      <x:c r="C1986" s="46" t="n">
        <x:f>B1986^2</x:f>
        <x:v>0.36936090950284517</x:v>
      </x:c>
      <x:c r="D1986" s="47" t="n">
        <x:f>'Datos'!$B$26^3/3</x:f>
        <x:v>0.3333333333333333</x:v>
      </x:c>
      <x:c r="E1986" s="46" t="n">
        <x:f>D1986*(C1986-1)</x:f>
        <x:v>-0.21021303016571827</x:v>
      </x:c>
      <x:c r="F1986" s="2"/>
      <x:c r="G1986" s="2"/>
      <x:c r="H1986" s="2"/>
    </x:row>
    <x:row r="1987" ht="22" customHeight="1">
      <x:c r="A1987" s="2" t="n">
        <x:v>1981</x:v>
      </x:c>
      <x:c r="B1987" s="79" t="n">
        <x:v>-1.427067258931634</x:v>
      </x:c>
      <x:c r="C1987" s="46" t="n">
        <x:f>B1987^2</x:f>
        <x:v>2.0365209615146473</x:v>
      </x:c>
      <x:c r="D1987" s="47" t="n">
        <x:f>'Datos'!$B$26^3/3</x:f>
        <x:v>0.3333333333333333</x:v>
      </x:c>
      <x:c r="E1987" s="46" t="n">
        <x:f>D1987*(C1987-1)</x:f>
        <x:v>0.3455069871715491</x:v>
      </x:c>
      <x:c r="F1987" s="2"/>
      <x:c r="G1987" s="2"/>
      <x:c r="H1987" s="2"/>
    </x:row>
    <x:row r="1988" ht="22" customHeight="1">
      <x:c r="A1988" s="2" t="n">
        <x:v>1982</x:v>
      </x:c>
      <x:c r="B1988" s="79" t="n">
        <x:v>-1.1116445067735408</x:v>
      </x:c>
      <x:c r="C1988" s="46" t="n">
        <x:f>B1988^2</x:f>
        <x:v>1.2357535094397887</x:v>
      </x:c>
      <x:c r="D1988" s="47" t="n">
        <x:f>'Datos'!$B$26^3/3</x:f>
        <x:v>0.3333333333333333</x:v>
      </x:c>
      <x:c r="E1988" s="46" t="n">
        <x:f>D1988*(C1988-1)</x:f>
        <x:v>0.07858450314659622</x:v>
      </x:c>
      <x:c r="F1988" s="2"/>
      <x:c r="G1988" s="2"/>
      <x:c r="H1988" s="2"/>
    </x:row>
    <x:row r="1989" ht="22" customHeight="1">
      <x:c r="A1989" s="2" t="n">
        <x:v>1983</x:v>
      </x:c>
      <x:c r="B1989" s="79" t="n">
        <x:v>-1.3741441838165867</x:v>
      </x:c>
      <x:c r="C1989" s="46" t="n">
        <x:f>B1989^2</x:f>
        <x:v>1.888272237916953</x:v>
      </x:c>
      <x:c r="D1989" s="47" t="n">
        <x:f>'Datos'!$B$26^3/3</x:f>
        <x:v>0.3333333333333333</x:v>
      </x:c>
      <x:c r="E1989" s="46" t="n">
        <x:f>D1989*(C1989-1)</x:f>
        <x:v>0.29609074597231766</x:v>
      </x:c>
      <x:c r="F1989" s="2"/>
      <x:c r="G1989" s="2"/>
      <x:c r="H1989" s="2"/>
    </x:row>
    <x:row r="1990" ht="22" customHeight="1">
      <x:c r="A1990" s="2" t="n">
        <x:v>1984</x:v>
      </x:c>
      <x:c r="B1990" s="79" t="n">
        <x:v>1.2946385361406552</x:v>
      </x:c>
      <x:c r="C1990" s="46" t="n">
        <x:f>B1990^2</x:f>
        <x:v>1.6760889392604186</x:v>
      </x:c>
      <x:c r="D1990" s="47" t="n">
        <x:f>'Datos'!$B$26^3/3</x:f>
        <x:v>0.3333333333333333</x:v>
      </x:c>
      <x:c r="E1990" s="46" t="n">
        <x:f>D1990*(C1990-1)</x:f>
        <x:v>0.22536297975347286</x:v>
      </x:c>
      <x:c r="F1990" s="2"/>
      <x:c r="G1990" s="2"/>
      <x:c r="H1990" s="2"/>
    </x:row>
    <x:row r="1991" ht="22" customHeight="1">
      <x:c r="A1991" s="2" t="n">
        <x:v>1985</x:v>
      </x:c>
      <x:c r="B1991" s="79" t="n">
        <x:v>0.24649285053392542</x:v>
      </x:c>
      <x:c r="C1991" s="46" t="n">
        <x:f>B1991^2</x:f>
        <x:v>0.0607587253643401</x:v>
      </x:c>
      <x:c r="D1991" s="47" t="n">
        <x:f>'Datos'!$B$26^3/3</x:f>
        <x:v>0.3333333333333333</x:v>
      </x:c>
      <x:c r="E1991" s="46" t="n">
        <x:f>D1991*(C1991-1)</x:f>
        <x:v>-0.31308042487855325</x:v>
      </x:c>
      <x:c r="F1991" s="2"/>
      <x:c r="G1991" s="2"/>
      <x:c r="H1991" s="2"/>
    </x:row>
    <x:row r="1992" ht="22" customHeight="1">
      <x:c r="A1992" s="2" t="n">
        <x:v>1986</x:v>
      </x:c>
      <x:c r="B1992" s="79" t="n">
        <x:v>-0.011525598858265854</x:v>
      </x:c>
      <x:c r="C1992" s="46" t="n">
        <x:f>B1992^2</x:f>
        <x:v>0.00013283942904165915</x:v>
      </x:c>
      <x:c r="D1992" s="47" t="n">
        <x:f>'Datos'!$B$26^3/3</x:f>
        <x:v>0.3333333333333333</x:v>
      </x:c>
      <x:c r="E1992" s="46" t="n">
        <x:f>D1992*(C1992-1)</x:f>
        <x:v>-0.3332890535236528</x:v>
      </x:c>
      <x:c r="F1992" s="2"/>
      <x:c r="G1992" s="2"/>
      <x:c r="H1992" s="2"/>
    </x:row>
    <x:row r="1993" ht="22" customHeight="1">
      <x:c r="A1993" s="2" t="n">
        <x:v>1987</x:v>
      </x:c>
      <x:c r="B1993" s="79" t="n">
        <x:v>-0.9181903383030318</x:v>
      </x:c>
      <x:c r="C1993" s="46" t="n">
        <x:f>B1993^2</x:f>
        <x:v>0.8430734973530359</x:v>
      </x:c>
      <x:c r="D1993" s="47" t="n">
        <x:f>'Datos'!$B$26^3/3</x:f>
        <x:v>0.3333333333333333</x:v>
      </x:c>
      <x:c r="E1993" s="46" t="n">
        <x:f>D1993*(C1993-1)</x:f>
        <x:v>-0.05230883421565469</x:v>
      </x:c>
      <x:c r="F1993" s="2"/>
      <x:c r="G1993" s="2"/>
      <x:c r="H1993" s="2"/>
    </x:row>
    <x:row r="1994" ht="22" customHeight="1">
      <x:c r="A1994" s="2" t="n">
        <x:v>1988</x:v>
      </x:c>
      <x:c r="B1994" s="79" t="n">
        <x:v>-0.41869825332460714</x:v>
      </x:c>
      <x:c r="C1994" s="46" t="n">
        <x:f>B1994^2</x:f>
        <x:v>0.1753082273370769</x:v>
      </x:c>
      <x:c r="D1994" s="47" t="n">
        <x:f>'Datos'!$B$26^3/3</x:f>
        <x:v>0.3333333333333333</x:v>
      </x:c>
      <x:c r="E1994" s="46" t="n">
        <x:f>D1994*(C1994-1)</x:f>
        <x:v>-0.27489725755430766</x:v>
      </x:c>
      <x:c r="F1994" s="2"/>
      <x:c r="G1994" s="2"/>
      <x:c r="H1994" s="2"/>
    </x:row>
    <x:row r="1995" ht="22" customHeight="1">
      <x:c r="A1995" s="2" t="n">
        <x:v>1989</x:v>
      </x:c>
      <x:c r="B1995" s="79" t="n">
        <x:v>0.4323063984502515</x:v>
      </x:c>
      <x:c r="C1995" s="46" t="n">
        <x:f>B1995^2</x:f>
        <x:v>0.1868888221410276</x:v>
      </x:c>
      <x:c r="D1995" s="47" t="n">
        <x:f>'Datos'!$B$26^3/3</x:f>
        <x:v>0.3333333333333333</x:v>
      </x:c>
      <x:c r="E1995" s="46" t="n">
        <x:f>D1995*(C1995-1)</x:f>
        <x:v>-0.2710370592863241</x:v>
      </x:c>
      <x:c r="F1995" s="2"/>
      <x:c r="G1995" s="2"/>
      <x:c r="H1995" s="2"/>
    </x:row>
    <x:row r="1996" ht="22" customHeight="1">
      <x:c r="A1996" s="2" t="n">
        <x:v>1990</x:v>
      </x:c>
      <x:c r="B1996" s="79" t="n">
        <x:v>0.865364460196291</x:v>
      </x:c>
      <x:c r="C1996" s="46" t="n">
        <x:f>B1996^2</x:f>
        <x:v>0.7488556489708181</x:v>
      </x:c>
      <x:c r="D1996" s="47" t="n">
        <x:f>'Datos'!$B$26^3/3</x:f>
        <x:v>0.3333333333333333</x:v>
      </x:c>
      <x:c r="E1996" s="46" t="n">
        <x:f>D1996*(C1996-1)</x:f>
        <x:v>-0.08371478367639396</x:v>
      </x:c>
      <x:c r="F1996" s="2"/>
      <x:c r="G1996" s="2"/>
      <x:c r="H1996" s="2"/>
    </x:row>
    <x:row r="1997" ht="22" customHeight="1">
      <x:c r="A1997" s="2" t="n">
        <x:v>1991</x:v>
      </x:c>
      <x:c r="B1997" s="79" t="n">
        <x:v>-0.8729296902086543</x:v>
      </x:c>
      <x:c r="C1997" s="46" t="n">
        <x:f>B1997^2</x:f>
        <x:v>0.7620062440477772</x:v>
      </x:c>
      <x:c r="D1997" s="47" t="n">
        <x:f>'Datos'!$B$26^3/3</x:f>
        <x:v>0.3333333333333333</x:v>
      </x:c>
      <x:c r="E1997" s="46" t="n">
        <x:f>D1997*(C1997-1)</x:f>
        <x:v>-0.07933125198407427</x:v>
      </x:c>
      <x:c r="F1997" s="2"/>
      <x:c r="G1997" s="2"/>
      <x:c r="H1997" s="2"/>
    </x:row>
    <x:row r="1998" ht="22" customHeight="1">
      <x:c r="A1998" s="2" t="n">
        <x:v>1992</x:v>
      </x:c>
      <x:c r="B1998" s="79" t="n">
        <x:v>0.482924558550982</x:v>
      </x:c>
      <x:c r="C1998" s="46" t="n">
        <x:f>B1998^2</x:f>
        <x:v>0.23321612925166083</x:v>
      </x:c>
      <x:c r="D1998" s="47" t="n">
        <x:f>'Datos'!$B$26^3/3</x:f>
        <x:v>0.3333333333333333</x:v>
      </x:c>
      <x:c r="E1998" s="46" t="n">
        <x:f>D1998*(C1998-1)</x:f>
        <x:v>-0.25559462358277973</x:v>
      </x:c>
      <x:c r="F1998" s="2"/>
      <x:c r="G1998" s="2"/>
      <x:c r="H1998" s="2"/>
    </x:row>
    <x:row r="1999" ht="22" customHeight="1">
      <x:c r="A1999" s="2" t="n">
        <x:v>1993</x:v>
      </x:c>
      <x:c r="B1999" s="79" t="n">
        <x:v>0.7556008048463875</x:v>
      </x:c>
      <x:c r="C1999" s="46" t="n">
        <x:f>B1999^2</x:f>
        <x:v>0.5709325762845086</x:v>
      </x:c>
      <x:c r="D1999" s="47" t="n">
        <x:f>'Datos'!$B$26^3/3</x:f>
        <x:v>0.3333333333333333</x:v>
      </x:c>
      <x:c r="E1999" s="46" t="n">
        <x:f>D1999*(C1999-1)</x:f>
        <x:v>-0.14302247457183048</x:v>
      </x:c>
      <x:c r="F1999" s="2"/>
      <x:c r="G1999" s="2"/>
      <x:c r="H1999" s="2"/>
    </x:row>
    <x:row r="2000" ht="22" customHeight="1">
      <x:c r="A2000" s="2" t="n">
        <x:v>1994</x:v>
      </x:c>
      <x:c r="B2000" s="79" t="n">
        <x:v>-0.9350244242454462</x:v>
      </x:c>
      <x:c r="C2000" s="46" t="n">
        <x:f>B2000^2</x:f>
        <x:v>0.8742706739355282</x:v>
      </x:c>
      <x:c r="D2000" s="47" t="n">
        <x:f>'Datos'!$B$26^3/3</x:f>
        <x:v>0.3333333333333333</x:v>
      </x:c>
      <x:c r="E2000" s="46" t="n">
        <x:f>D2000*(C2000-1)</x:f>
        <x:v>-0.041909775354823944</x:v>
      </x:c>
      <x:c r="F2000" s="2"/>
      <x:c r="G2000" s="2"/>
      <x:c r="H2000" s="2"/>
    </x:row>
    <x:row r="2001" ht="22" customHeight="1">
      <x:c r="A2001" s="2" t="n">
        <x:v>1995</x:v>
      </x:c>
      <x:c r="B2001" s="79" t="n">
        <x:v>1.2218938576064462</x:v>
      </x:c>
      <x:c r="C2001" s="46" t="n">
        <x:f>B2001^2</x:f>
        <x:v>1.4930245992563622</x:v>
      </x:c>
      <x:c r="D2001" s="47" t="n">
        <x:f>'Datos'!$B$26^3/3</x:f>
        <x:v>0.3333333333333333</x:v>
      </x:c>
      <x:c r="E2001" s="46" t="n">
        <x:f>D2001*(C2001-1)</x:f>
        <x:v>0.16434153308545407</x:v>
      </x:c>
      <x:c r="F2001" s="2"/>
      <x:c r="G2001" s="2"/>
      <x:c r="H2001" s="2"/>
    </x:row>
    <x:row r="2002" ht="22" customHeight="1">
      <x:c r="A2002" s="2" t="n">
        <x:v>1996</x:v>
      </x:c>
      <x:c r="B2002" s="79" t="n">
        <x:v>0.39840104198889403</x:v>
      </x:c>
      <x:c r="C2002" s="46" t="n">
        <x:f>B2002^2</x:f>
        <x:v>0.1587233902578365</x:v>
      </x:c>
      <x:c r="D2002" s="47" t="n">
        <x:f>'Datos'!$B$26^3/3</x:f>
        <x:v>0.3333333333333333</x:v>
      </x:c>
      <x:c r="E2002" s="46" t="n">
        <x:f>D2002*(C2002-1)</x:f>
        <x:v>-0.28042553658072117</x:v>
      </x:c>
      <x:c r="F2002" s="2"/>
      <x:c r="G2002" s="2"/>
      <x:c r="H2002" s="2"/>
    </x:row>
    <x:row r="2003" ht="22" customHeight="1">
      <x:c r="A2003" s="2" t="n">
        <x:v>1997</x:v>
      </x:c>
      <x:c r="B2003" s="79" t="n">
        <x:v>-0.07698898726899325</x:v>
      </x:c>
      <x:c r="C2003" s="46" t="n">
        <x:f>B2003^2</x:f>
        <x:v>0.005927304160705205</x:v>
      </x:c>
      <x:c r="D2003" s="47" t="n">
        <x:f>'Datos'!$B$26^3/3</x:f>
        <x:v>0.3333333333333333</x:v>
      </x:c>
      <x:c r="E2003" s="46" t="n">
        <x:f>D2003*(C2003-1)</x:f>
        <x:v>-0.3313575652797649</x:v>
      </x:c>
      <x:c r="F2003" s="2"/>
      <x:c r="G2003" s="2"/>
      <x:c r="H2003" s="2"/>
    </x:row>
    <x:row r="2004" ht="22" customHeight="1">
      <x:c r="A2004" s="2" t="n">
        <x:v>1998</x:v>
      </x:c>
      <x:c r="B2004" s="79" t="n">
        <x:v>-0.6973945045669546</x:v>
      </x:c>
      <x:c r="C2004" s="46" t="n">
        <x:f>B2004^2</x:f>
        <x:v>0.4863590950001881</x:v>
      </x:c>
      <x:c r="D2004" s="47" t="n">
        <x:f>'Datos'!$B$26^3/3</x:f>
        <x:v>0.3333333333333333</x:v>
      </x:c>
      <x:c r="E2004" s="46" t="n">
        <x:f>D2004*(C2004-1)</x:f>
        <x:v>-0.17121363499993728</x:v>
      </x:c>
      <x:c r="F2004" s="2"/>
      <x:c r="G2004" s="2"/>
      <x:c r="H2004" s="2"/>
    </x:row>
    <x:row r="2005" ht="22" customHeight="1">
      <x:c r="A2005" s="2" t="n">
        <x:v>1999</x:v>
      </x:c>
      <x:c r="B2005" s="79" t="n">
        <x:v>0.16398361866144565</x:v>
      </x:c>
      <x:c r="C2005" s="46" t="n">
        <x:f>B2005^2</x:f>
        <x:v>0.026890627189302425</x:v>
      </x:c>
      <x:c r="D2005" s="47" t="n">
        <x:f>'Datos'!$B$26^3/3</x:f>
        <x:v>0.3333333333333333</x:v>
      </x:c>
      <x:c r="E2005" s="46" t="n">
        <x:f>D2005*(C2005-1)</x:f>
        <x:v>-0.32436979093689916</x:v>
      </x:c>
      <x:c r="F2005" s="2"/>
      <x:c r="G2005" s="2"/>
      <x:c r="H2005" s="2"/>
    </x:row>
    <x:row r="2006" ht="22" customHeight="1">
      <x:c r="A2006" s="2" t="n">
        <x:v>2000</x:v>
      </x:c>
      <x:c r="B2006" s="79" t="n">
        <x:v>-3.2505132828056262</x:v>
      </x:c>
      <x:c r="C2006" s="46" t="n">
        <x:f>B2006^2</x:f>
        <x:v>10.565836601695809</x:v>
      </x:c>
      <x:c r="D2006" s="47" t="n">
        <x:f>'Datos'!$B$26^3/3</x:f>
        <x:v>0.3333333333333333</x:v>
      </x:c>
      <x:c r="E2006" s="46" t="n">
        <x:f>D2006*(C2006-1)</x:f>
        <x:v>3.1886122005652693</x:v>
      </x:c>
      <x:c r="F2006" s="2"/>
      <x:c r="G2006" s="2"/>
      <x:c r="H2006" s="2"/>
    </x:row>
    <x:row r="2007" ht="22" customHeight="1">
      <x:c r="A2007" s="2" t="n">
        <x:v>2001</x:v>
      </x:c>
      <x:c r="B2007" s="79" t="n">
        <x:v>1.8472245136372782</x:v>
      </x:c>
      <x:c r="C2007" s="46" t="n">
        <x:f>B2007^2</x:f>
        <x:v>3.4122384037824793</x:v>
      </x:c>
      <x:c r="D2007" s="47" t="n">
        <x:f>'Datos'!$B$26^3/3</x:f>
        <x:v>0.3333333333333333</x:v>
      </x:c>
      <x:c r="E2007" s="46" t="n">
        <x:f>D2007*(C2007-1)</x:f>
        <x:v>0.8040794679274931</x:v>
      </x:c>
      <x:c r="F2007" s="2"/>
      <x:c r="G2007" s="2"/>
      <x:c r="H2007" s="2"/>
    </x:row>
    <x:row r="2008" ht="22" customHeight="1">
      <x:c r="A2008" s="2" t="n">
        <x:v>2002</x:v>
      </x:c>
      <x:c r="B2008" s="79" t="n">
        <x:v>0.09622096394611197</x:v>
      </x:c>
      <x:c r="C2008" s="46" t="n">
        <x:f>B2008^2</x:f>
        <x:v>0.00925847390271898</x:v>
      </x:c>
      <x:c r="D2008" s="47" t="n">
        <x:f>'Datos'!$B$26^3/3</x:f>
        <x:v>0.3333333333333333</x:v>
      </x:c>
      <x:c r="E2008" s="46" t="n">
        <x:f>D2008*(C2008-1)</x:f>
        <x:v>-0.3302471753657603</x:v>
      </x:c>
      <x:c r="F2008" s="2"/>
      <x:c r="G2008" s="2"/>
      <x:c r="H2008" s="2"/>
    </x:row>
    <x:row r="2009" ht="22" customHeight="1">
      <x:c r="A2009" s="2" t="n">
        <x:v>2003</x:v>
      </x:c>
      <x:c r="B2009" s="79" t="n">
        <x:v>-0.30118456579350866</x:v>
      </x:c>
      <x:c r="C2009" s="46" t="n">
        <x:f>B2009^2</x:f>
        <x:v>0.09071214267222436</x:v>
      </x:c>
      <x:c r="D2009" s="47" t="n">
        <x:f>'Datos'!$B$26^3/3</x:f>
        <x:v>0.3333333333333333</x:v>
      </x:c>
      <x:c r="E2009" s="46" t="n">
        <x:f>D2009*(C2009-1)</x:f>
        <x:v>-0.30309595244259185</x:v>
      </x:c>
      <x:c r="F2009" s="2"/>
      <x:c r="G2009" s="2"/>
      <x:c r="H2009" s="2"/>
    </x:row>
    <x:row r="2010" ht="22" customHeight="1">
      <x:c r="A2010" s="2" t="n">
        <x:v>2004</x:v>
      </x:c>
      <x:c r="B2010" s="79" t="n">
        <x:v>-0.4470528732836211</x:v>
      </x:c>
      <x:c r="C2010" s="46" t="n">
        <x:f>B2010^2</x:f>
        <x:v>0.19985627151114138</x:v>
      </x:c>
      <x:c r="D2010" s="47" t="n">
        <x:f>'Datos'!$B$26^3/3</x:f>
        <x:v>0.3333333333333333</x:v>
      </x:c>
      <x:c r="E2010" s="46" t="n">
        <x:f>D2010*(C2010-1)</x:f>
        <x:v>-0.26671457616295285</x:v>
      </x:c>
      <x:c r="F2010" s="2"/>
      <x:c r="G2010" s="2"/>
      <x:c r="H2010" s="2"/>
    </x:row>
    <x:row r="2011" ht="22" customHeight="1">
      <x:c r="A2011" s="2" t="n">
        <x:v>2005</x:v>
      </x:c>
      <x:c r="B2011" s="79" t="n">
        <x:v>2.2912877139310406</x:v>
      </x:c>
      <x:c r="C2011" s="46" t="n">
        <x:f>B2011^2</x:f>
        <x:v>5.249999388011334</x:v>
      </x:c>
      <x:c r="D2011" s="47" t="n">
        <x:f>'Datos'!$B$26^3/3</x:f>
        <x:v>0.3333333333333333</x:v>
      </x:c>
      <x:c r="E2011" s="46" t="n">
        <x:f>D2011*(C2011-1)</x:f>
        <x:v>1.4166664626704446</x:v>
      </x:c>
      <x:c r="F2011" s="2"/>
      <x:c r="G2011" s="2"/>
      <x:c r="H2011" s="2"/>
    </x:row>
    <x:row r="2012" ht="22" customHeight="1">
      <x:c r="A2012" s="2" t="n">
        <x:v>2006</x:v>
      </x:c>
      <x:c r="B2012" s="79" t="n">
        <x:v>1.025199181382579</x:v>
      </x:c>
      <x:c r="C2012" s="46" t="n">
        <x:f>B2012^2</x:f>
        <x:v>1.05103336150751</x:v>
      </x:c>
      <x:c r="D2012" s="47" t="n">
        <x:f>'Datos'!$B$26^3/3</x:f>
        <x:v>0.3333333333333333</x:v>
      </x:c>
      <x:c r="E2012" s="46" t="n">
        <x:f>D2012*(C2012-1)</x:f>
        <x:v>0.017011120502503342</x:v>
      </x:c>
      <x:c r="F2012" s="2"/>
      <x:c r="G2012" s="2"/>
      <x:c r="H2012" s="2"/>
    </x:row>
    <x:row r="2013" ht="22" customHeight="1">
      <x:c r="A2013" s="2" t="n">
        <x:v>2007</x:v>
      </x:c>
      <x:c r="B2013" s="79" t="n">
        <x:v>-1.02960850255101</x:v>
      </x:c>
      <x:c r="C2013" s="46" t="n">
        <x:f>B2013^2</x:f>
        <x:v>1.0600936685253333</x:v>
      </x:c>
      <x:c r="D2013" s="47" t="n">
        <x:f>'Datos'!$B$26^3/3</x:f>
        <x:v>0.3333333333333333</x:v>
      </x:c>
      <x:c r="E2013" s="46" t="n">
        <x:f>D2013*(C2013-1)</x:f>
        <x:v>0.020031222841777753</x:v>
      </x:c>
      <x:c r="F2013" s="2"/>
      <x:c r="G2013" s="2"/>
      <x:c r="H2013" s="2"/>
    </x:row>
    <x:row r="2014" ht="22" customHeight="1">
      <x:c r="A2014" s="2" t="n">
        <x:v>2008</x:v>
      </x:c>
      <x:c r="B2014" s="79" t="n">
        <x:v>0.14962682568433427</x:v>
      </x:c>
      <x:c r="C2014" s="46" t="n">
        <x:f>B2014^2</x:f>
        <x:v>0.022388186964370154</x:v>
      </x:c>
      <x:c r="D2014" s="47" t="n">
        <x:f>'Datos'!$B$26^3/3</x:f>
        <x:v>0.3333333333333333</x:v>
      </x:c>
      <x:c r="E2014" s="46" t="n">
        <x:f>D2014*(C2014-1)</x:f>
        <x:v>-0.3258706043452099</x:v>
      </x:c>
      <x:c r="F2014" s="2"/>
      <x:c r="G2014" s="2"/>
      <x:c r="H2014" s="2"/>
    </x:row>
    <x:row r="2015" ht="22" customHeight="1">
      <x:c r="A2015" s="2" t="n">
        <x:v>2009</x:v>
      </x:c>
      <x:c r="B2015" s="79" t="n">
        <x:v>0.8835771207982867</x:v>
      </x:c>
      <x:c r="C2015" s="46" t="n">
        <x:f>B2015^2</x:f>
        <x:v>0.78070852839819</x:v>
      </x:c>
      <x:c r="D2015" s="47" t="n">
        <x:f>'Datos'!$B$26^3/3</x:f>
        <x:v>0.3333333333333333</x:v>
      </x:c>
      <x:c r="E2015" s="46" t="n">
        <x:f>D2015*(C2015-1)</x:f>
        <x:v>-0.07309715720060331</x:v>
      </x:c>
      <x:c r="F2015" s="2"/>
      <x:c r="G2015" s="2"/>
      <x:c r="H2015" s="2"/>
    </x:row>
    <x:row r="2016" ht="22" customHeight="1">
      <x:c r="A2016" s="2" t="n">
        <x:v>2010</x:v>
      </x:c>
      <x:c r="B2016" s="79" t="n">
        <x:v>0.8768218443909881</x:v>
      </x:c>
      <x:c r="C2016" s="46" t="n">
        <x:f>B2016^2</x:f>
        <x:v>0.7688165468012141</x:v>
      </x:c>
      <x:c r="D2016" s="47" t="n">
        <x:f>'Datos'!$B$26^3/3</x:f>
        <x:v>0.3333333333333333</x:v>
      </x:c>
      <x:c r="E2016" s="46" t="n">
        <x:f>D2016*(C2016-1)</x:f>
        <x:v>-0.07706115106626195</x:v>
      </x:c>
      <x:c r="F2016" s="2"/>
      <x:c r="G2016" s="2"/>
      <x:c r="H2016" s="2"/>
    </x:row>
    <x:row r="2017" ht="22" customHeight="1">
      <x:c r="A2017" s="2" t="n">
        <x:v>2011</x:v>
      </x:c>
      <x:c r="B2017" s="79" t="n">
        <x:v>-0.27240131912484095</x:v>
      </x:c>
      <x:c r="C2017" s="46" t="n">
        <x:f>B2017^2</x:f>
        <x:v>0.07420247866095343</x:v>
      </x:c>
      <x:c r="D2017" s="47" t="n">
        <x:f>'Datos'!$B$26^3/3</x:f>
        <x:v>0.3333333333333333</x:v>
      </x:c>
      <x:c r="E2017" s="46" t="n">
        <x:f>D2017*(C2017-1)</x:f>
        <x:v>-0.30859917377968216</x:v>
      </x:c>
      <x:c r="F2017" s="2"/>
      <x:c r="G2017" s="2"/>
      <x:c r="H2017" s="2"/>
    </x:row>
    <x:row r="2018" ht="22" customHeight="1">
      <x:c r="A2018" s="2" t="n">
        <x:v>2012</x:v>
      </x:c>
      <x:c r="B2018" s="79" t="n">
        <x:v>0.19069897079071452</x:v>
      </x:c>
      <x:c r="C2018" s="46" t="n">
        <x:f>B2018^2</x:f>
        <x:v>0.03636609746063779</x:v>
      </x:c>
      <x:c r="D2018" s="47" t="n">
        <x:f>'Datos'!$B$26^3/3</x:f>
        <x:v>0.3333333333333333</x:v>
      </x:c>
      <x:c r="E2018" s="46" t="n">
        <x:f>D2018*(C2018-1)</x:f>
        <x:v>-0.32121130084645405</x:v>
      </x:c>
      <x:c r="F2018" s="2"/>
      <x:c r="G2018" s="2"/>
      <x:c r="H2018" s="2"/>
    </x:row>
    <x:row r="2019" ht="22" customHeight="1">
      <x:c r="A2019" s="2" t="n">
        <x:v>2013</x:v>
      </x:c>
      <x:c r="B2019" s="79" t="n">
        <x:v>-1.4049786649565361</x:v>
      </x:c>
      <x:c r="C2019" s="46" t="n">
        <x:f>B2019^2</x:f>
        <x:v>1.9739650489830505</x:v>
      </x:c>
      <x:c r="D2019" s="47" t="n">
        <x:f>'Datos'!$B$26^3/3</x:f>
        <x:v>0.3333333333333333</x:v>
      </x:c>
      <x:c r="E2019" s="46" t="n">
        <x:f>D2019*(C2019-1)</x:f>
        <x:v>0.32465501632768345</x:v>
      </x:c>
      <x:c r="F2019" s="2"/>
      <x:c r="G2019" s="2"/>
      <x:c r="H2019" s="2"/>
    </x:row>
    <x:row r="2020" ht="22" customHeight="1">
      <x:c r="A2020" s="2" t="n">
        <x:v>2014</x:v>
      </x:c>
      <x:c r="B2020" s="79" t="n">
        <x:v>-0.9666556305206468</x:v>
      </x:c>
      <x:c r="C2020" s="46" t="n">
        <x:f>B2020^2</x:f>
        <x:v>0.9344231080172694</x:v>
      </x:c>
      <x:c r="D2020" s="47" t="n">
        <x:f>'Datos'!$B$26^3/3</x:f>
        <x:v>0.3333333333333333</x:v>
      </x:c>
      <x:c r="E2020" s="46" t="n">
        <x:f>D2020*(C2020-1)</x:f>
        <x:v>-0.021858963994243547</x:v>
      </x:c>
      <x:c r="F2020" s="2"/>
      <x:c r="G2020" s="2"/>
      <x:c r="H2020" s="2"/>
    </x:row>
    <x:row r="2021" ht="22" customHeight="1">
      <x:c r="A2021" s="2" t="n">
        <x:v>2015</x:v>
      </x:c>
      <x:c r="B2021" s="79" t="n">
        <x:v>-0.25513572776472876</x:v>
      </x:c>
      <x:c r="C2021" s="46" t="n">
        <x:f>B2021^2</x:f>
        <x:v>0.06509423958203779</x:v>
      </x:c>
      <x:c r="D2021" s="47" t="n">
        <x:f>'Datos'!$B$26^3/3</x:f>
        <x:v>0.3333333333333333</x:v>
      </x:c>
      <x:c r="E2021" s="46" t="n">
        <x:f>D2021*(C2021-1)</x:f>
        <x:v>-0.3116352534726541</x:v>
      </x:c>
      <x:c r="F2021" s="2"/>
      <x:c r="G2021" s="2"/>
      <x:c r="H2021" s="2"/>
    </x:row>
    <x:row r="2022" ht="22" customHeight="1">
      <x:c r="A2022" s="2" t="n">
        <x:v>2016</x:v>
      </x:c>
      <x:c r="B2022" s="79" t="n">
        <x:v>0.2714246516171675</x:v>
      </x:c>
      <x:c r="C2022" s="46" t="n">
        <x:f>B2022^2</x:f>
        <x:v>0.07367134150550075</x:v>
      </x:c>
      <x:c r="D2022" s="47" t="n">
        <x:f>'Datos'!$B$26^3/3</x:f>
        <x:v>0.3333333333333333</x:v>
      </x:c>
      <x:c r="E2022" s="46" t="n">
        <x:f>D2022*(C2022-1)</x:f>
        <x:v>-0.30877621949816636</x:v>
      </x:c>
      <x:c r="F2022" s="2"/>
      <x:c r="G2022" s="2"/>
      <x:c r="H2022" s="2"/>
    </x:row>
    <x:row r="2023" ht="22" customHeight="1">
      <x:c r="A2023" s="2" t="n">
        <x:v>2017</x:v>
      </x:c>
      <x:c r="B2023" s="79" t="n">
        <x:v>-1.5080461532730476</x:v>
      </x:c>
      <x:c r="C2023" s="46" t="n">
        <x:f>B2023^2</x:f>
        <x:v>2.274203200401636</x:v>
      </x:c>
      <x:c r="D2023" s="47" t="n">
        <x:f>'Datos'!$B$26^3/3</x:f>
        <x:v>0.3333333333333333</x:v>
      </x:c>
      <x:c r="E2023" s="46" t="n">
        <x:f>D2023*(C2023-1)</x:f>
        <x:v>0.4247344001338787</x:v>
      </x:c>
      <x:c r="F2023" s="2"/>
      <x:c r="G2023" s="2"/>
      <x:c r="H2023" s="2"/>
    </x:row>
    <x:row r="2024" ht="22" customHeight="1">
      <x:c r="A2024" s="2" t="n">
        <x:v>2018</x:v>
      </x:c>
      <x:c r="B2024" s="79" t="n">
        <x:v>-1.334935364998865</x:v>
      </x:c>
      <x:c r="C2024" s="46" t="n">
        <x:f>B2024^2</x:f>
        <x:v>1.7820524287246526</x:v>
      </x:c>
      <x:c r="D2024" s="47" t="n">
        <x:f>'Datos'!$B$26^3/3</x:f>
        <x:v>0.3333333333333333</x:v>
      </x:c>
      <x:c r="E2024" s="46" t="n">
        <x:f>D2024*(C2024-1)</x:f>
        <x:v>0.2606841429082175</x:v>
      </x:c>
      <x:c r="F2024" s="2"/>
      <x:c r="G2024" s="2"/>
      <x:c r="H2024" s="2"/>
    </x:row>
    <x:row r="2025" ht="22" customHeight="1">
      <x:c r="A2025" s="2" t="n">
        <x:v>2019</x:v>
      </x:c>
      <x:c r="B2025" s="79" t="n">
        <x:v>0.5156124127674879</x:v>
      </x:c>
      <x:c r="C2025" s="46" t="n">
        <x:f>B2025^2</x:f>
        <x:v>0.2658561601999104</x:v>
      </x:c>
      <x:c r="D2025" s="47" t="n">
        <x:f>'Datos'!$B$26^3/3</x:f>
        <x:v>0.3333333333333333</x:v>
      </x:c>
      <x:c r="E2025" s="46" t="n">
        <x:f>D2025*(C2025-1)</x:f>
        <x:v>-0.24471461326669655</x:v>
      </x:c>
      <x:c r="F2025" s="2"/>
      <x:c r="G2025" s="2"/>
      <x:c r="H2025" s="2"/>
    </x:row>
    <x:row r="2026" ht="22" customHeight="1">
      <x:c r="A2026" s="2" t="n">
        <x:v>2020</x:v>
      </x:c>
      <x:c r="B2026" s="79" t="n">
        <x:v>-1.4063209164298724</x:v>
      </x:c>
      <x:c r="C2026" s="46" t="n">
        <x:f>B2026^2</x:f>
        <x:v>1.9777385199881563</x:v>
      </x:c>
      <x:c r="D2026" s="47" t="n">
        <x:f>'Datos'!$B$26^3/3</x:f>
        <x:v>0.3333333333333333</x:v>
      </x:c>
      <x:c r="E2026" s="46" t="n">
        <x:f>D2026*(C2026-1)</x:f>
        <x:v>0.3259128399960521</x:v>
      </x:c>
      <x:c r="F2026" s="2"/>
      <x:c r="G2026" s="2"/>
      <x:c r="H2026" s="2"/>
    </x:row>
    <x:row r="2027" ht="22" customHeight="1">
      <x:c r="A2027" s="2" t="n">
        <x:v>2021</x:v>
      </x:c>
      <x:c r="B2027" s="79" t="n">
        <x:v>-1.2622035204043964</x:v>
      </x:c>
      <x:c r="C2027" s="46" t="n">
        <x:f>B2027^2</x:f>
        <x:v>1.5931577269212516</x:v>
      </x:c>
      <x:c r="D2027" s="47" t="n">
        <x:f>'Datos'!$B$26^3/3</x:f>
        <x:v>0.3333333333333333</x:v>
      </x:c>
      <x:c r="E2027" s="46" t="n">
        <x:f>D2027*(C2027-1)</x:f>
        <x:v>0.19771924230708385</x:v>
      </x:c>
      <x:c r="F2027" s="2"/>
      <x:c r="G2027" s="2"/>
      <x:c r="H2027" s="2"/>
    </x:row>
    <x:row r="2028" ht="22" customHeight="1">
      <x:c r="A2028" s="2" t="n">
        <x:v>2022</x:v>
      </x:c>
      <x:c r="B2028" s="79" t="n">
        <x:v>0.23636472522347168</x:v>
      </x:c>
      <x:c r="C2028" s="46" t="n">
        <x:f>B2028^2</x:f>
        <x:v>0.055868283329967273</x:v>
      </x:c>
      <x:c r="D2028" s="47" t="n">
        <x:f>'Datos'!$B$26^3/3</x:f>
        <x:v>0.3333333333333333</x:v>
      </x:c>
      <x:c r="E2028" s="46" t="n">
        <x:f>D2028*(C2028-1)</x:f>
        <x:v>-0.3147105722233442</x:v>
      </x:c>
      <x:c r="F2028" s="2"/>
      <x:c r="G2028" s="2"/>
      <x:c r="H2028" s="2"/>
    </x:row>
    <x:row r="2029" ht="22" customHeight="1">
      <x:c r="A2029" s="2" t="n">
        <x:v>2023</x:v>
      </x:c>
      <x:c r="B2029" s="79" t="n">
        <x:v>0.04358640563442276</x:v>
      </x:c>
      <x:c r="C2029" s="46" t="n">
        <x:f>B2029^2</x:f>
        <x:v>0.00189977475612844</x:v>
      </x:c>
      <x:c r="D2029" s="47" t="n">
        <x:f>'Datos'!$B$26^3/3</x:f>
        <x:v>0.3333333333333333</x:v>
      </x:c>
      <x:c r="E2029" s="46" t="n">
        <x:f>D2029*(C2029-1)</x:f>
        <x:v>-0.3327000750812905</x:v>
      </x:c>
      <x:c r="F2029" s="2"/>
      <x:c r="G2029" s="2"/>
      <x:c r="H2029" s="2"/>
    </x:row>
    <x:row r="2030" ht="22" customHeight="1">
      <x:c r="A2030" s="2" t="n">
        <x:v>2024</x:v>
      </x:c>
      <x:c r="B2030" s="79" t="n">
        <x:v>-0.39157484501489864</x:v>
      </x:c>
      <x:c r="C2030" s="46" t="n">
        <x:f>B2030^2</x:f>
        <x:v>0.1533308592484419</x:v>
      </x:c>
      <x:c r="D2030" s="47" t="n">
        <x:f>'Datos'!$B$26^3/3</x:f>
        <x:v>0.3333333333333333</x:v>
      </x:c>
      <x:c r="E2030" s="46" t="n">
        <x:f>D2030*(C2030-1)</x:f>
        <x:v>-0.282223046917186</x:v>
      </x:c>
      <x:c r="F2030" s="2"/>
      <x:c r="G2030" s="2"/>
      <x:c r="H2030" s="2"/>
    </x:row>
    <x:row r="2031" ht="22" customHeight="1">
      <x:c r="A2031" s="2" t="n">
        <x:v>2025</x:v>
      </x:c>
      <x:c r="B2031" s="79" t="n">
        <x:v>0.42563034289894613</x:v>
      </x:c>
      <x:c r="C2031" s="46" t="n">
        <x:f>B2031^2</x:f>
        <x:v>0.18116118879627446</x:v>
      </x:c>
      <x:c r="D2031" s="47" t="n">
        <x:f>'Datos'!$B$26^3/3</x:f>
        <x:v>0.3333333333333333</x:v>
      </x:c>
      <x:c r="E2031" s="46" t="n">
        <x:f>D2031*(C2031-1)</x:f>
        <x:v>-0.2729462704012418</x:v>
      </x:c>
      <x:c r="F2031" s="2"/>
      <x:c r="G2031" s="2"/>
      <x:c r="H2031" s="2"/>
    </x:row>
    <x:row r="2032" ht="22" customHeight="1">
      <x:c r="A2032" s="2" t="n">
        <x:v>2026</x:v>
      </x:c>
      <x:c r="B2032" s="79" t="n">
        <x:v>-1.2969135869732094</x:v>
      </x:c>
      <x:c r="C2032" s="46" t="n">
        <x:f>B2032^2</x:f>
        <x:v>1.6819848520757164</x:v>
      </x:c>
      <x:c r="D2032" s="47" t="n">
        <x:f>'Datos'!$B$26^3/3</x:f>
        <x:v>0.3333333333333333</x:v>
      </x:c>
      <x:c r="E2032" s="46" t="n">
        <x:f>D2032*(C2032-1)</x:f>
        <x:v>0.22732828402523877</x:v>
      </x:c>
      <x:c r="F2032" s="2"/>
      <x:c r="G2032" s="2"/>
      <x:c r="H2032" s="2"/>
    </x:row>
    <x:row r="2033" ht="22" customHeight="1">
      <x:c r="A2033" s="2" t="n">
        <x:v>2027</x:v>
      </x:c>
      <x:c r="B2033" s="79" t="n">
        <x:v>0.20578251777653495</x:v>
      </x:c>
      <x:c r="C2033" s="46" t="n">
        <x:f>B2033^2</x:f>
        <x:v>0.04234644462244992</x:v>
      </x:c>
      <x:c r="D2033" s="47" t="n">
        <x:f>'Datos'!$B$26^3/3</x:f>
        <x:v>0.3333333333333333</x:v>
      </x:c>
      <x:c r="E2033" s="46" t="n">
        <x:f>D2033*(C2033-1)</x:f>
        <x:v>-0.31921785179251666</x:v>
      </x:c>
      <x:c r="F2033" s="2"/>
      <x:c r="G2033" s="2"/>
      <x:c r="H2033" s="2"/>
    </x:row>
    <x:row r="2034" ht="22" customHeight="1">
      <x:c r="A2034" s="2" t="n">
        <x:v>2028</x:v>
      </x:c>
      <x:c r="B2034" s="79" t="n">
        <x:v>1.2137857923917152</x:v>
      </x:c>
      <x:c r="C2034" s="46" t="n">
        <x:f>B2034^2</x:f>
        <x:v>1.473275949811984</x:v>
      </x:c>
      <x:c r="D2034" s="47" t="n">
        <x:f>'Datos'!$B$26^3/3</x:f>
        <x:v>0.3333333333333333</x:v>
      </x:c>
      <x:c r="E2034" s="46" t="n">
        <x:f>D2034*(C2034-1)</x:f>
        <x:v>0.15775864993732802</x:v>
      </x:c>
      <x:c r="F2034" s="2"/>
      <x:c r="G2034" s="2"/>
      <x:c r="H2034" s="2"/>
    </x:row>
    <x:row r="2035" ht="22" customHeight="1">
      <x:c r="A2035" s="2" t="n">
        <x:v>2029</x:v>
      </x:c>
      <x:c r="B2035" s="79" t="n">
        <x:v>-0.7055664763151579</x:v>
      </x:c>
      <x:c r="C2035" s="46" t="n">
        <x:f>B2035^2</x:f>
        <x:v>0.4978240524997883</x:v>
      </x:c>
      <x:c r="D2035" s="47" t="n">
        <x:f>'Datos'!$B$26^3/3</x:f>
        <x:v>0.3333333333333333</x:v>
      </x:c>
      <x:c r="E2035" s="46" t="n">
        <x:f>D2035*(C2035-1)</x:f>
        <x:v>-0.16739198250007054</x:v>
      </x:c>
      <x:c r="F2035" s="2"/>
      <x:c r="G2035" s="2"/>
      <x:c r="H2035" s="2"/>
    </x:row>
    <x:row r="2036" ht="22" customHeight="1">
      <x:c r="A2036" s="2" t="n">
        <x:v>2030</x:v>
      </x:c>
      <x:c r="B2036" s="79" t="n">
        <x:v>0.7567469037265493</x:v>
      </x:c>
      <x:c r="C2036" s="46" t="n">
        <x:f>B2036^2</x:f>
        <x:v>0.5726658762997192</x:v>
      </x:c>
      <x:c r="D2036" s="47" t="n">
        <x:f>'Datos'!$B$26^3/3</x:f>
        <x:v>0.3333333333333333</x:v>
      </x:c>
      <x:c r="E2036" s="46" t="n">
        <x:f>D2036*(C2036-1)</x:f>
        <x:v>-0.1424447079000936</x:v>
      </x:c>
      <x:c r="F2036" s="2"/>
      <x:c r="G2036" s="2"/>
      <x:c r="H2036" s="2"/>
    </x:row>
    <x:row r="2037" ht="22" customHeight="1">
      <x:c r="A2037" s="2" t="n">
        <x:v>2031</x:v>
      </x:c>
      <x:c r="B2037" s="79" t="n">
        <x:v>0.6220705825533678</x:v>
      </x:c>
      <x:c r="C2037" s="46" t="n">
        <x:f>B2037^2</x:f>
        <x:v>0.38697180967828637</x:v>
      </x:c>
      <x:c r="D2037" s="47" t="n">
        <x:f>'Datos'!$B$26^3/3</x:f>
        <x:v>0.3333333333333333</x:v>
      </x:c>
      <x:c r="E2037" s="46" t="n">
        <x:f>D2037*(C2037-1)</x:f>
        <x:v>-0.20434273010723786</x:v>
      </x:c>
      <x:c r="F2037" s="2"/>
      <x:c r="G2037" s="2"/>
      <x:c r="H2037" s="2"/>
    </x:row>
    <x:row r="2038" ht="22" customHeight="1">
      <x:c r="A2038" s="2" t="n">
        <x:v>2032</x:v>
      </x:c>
      <x:c r="B2038" s="79" t="n">
        <x:v>-0.7598263409944623</x:v>
      </x:c>
      <x:c r="C2038" s="46" t="n">
        <x:f>B2038^2</x:f>
        <x:v>0.577336068469033</x:v>
      </x:c>
      <x:c r="D2038" s="47" t="n">
        <x:f>'Datos'!$B$26^3/3</x:f>
        <x:v>0.3333333333333333</x:v>
      </x:c>
      <x:c r="E2038" s="46" t="n">
        <x:f>D2038*(C2038-1)</x:f>
        <x:v>-0.140887977176989</x:v>
      </x:c>
      <x:c r="F2038" s="2"/>
      <x:c r="G2038" s="2"/>
      <x:c r="H2038" s="2"/>
    </x:row>
    <x:row r="2039" ht="22" customHeight="1">
      <x:c r="A2039" s="2" t="n">
        <x:v>2033</x:v>
      </x:c>
      <x:c r="B2039" s="79" t="n">
        <x:v>0.9097337838531997</x:v>
      </x:c>
      <x:c r="C2039" s="46" t="n">
        <x:f>B2039^2</x:f>
        <x:v>0.8276155574838603</x:v>
      </x:c>
      <x:c r="D2039" s="47" t="n">
        <x:f>'Datos'!$B$26^3/3</x:f>
        <x:v>0.3333333333333333</x:v>
      </x:c>
      <x:c r="E2039" s="46" t="n">
        <x:f>D2039*(C2039-1)</x:f>
        <x:v>-0.05746148083871323</x:v>
      </x:c>
      <x:c r="F2039" s="2"/>
      <x:c r="G2039" s="2"/>
      <x:c r="H2039" s="2"/>
    </x:row>
    <x:row r="2040" ht="22" customHeight="1">
      <x:c r="A2040" s="2" t="n">
        <x:v>2034</x:v>
      </x:c>
      <x:c r="B2040" s="79" t="n">
        <x:v>-0.7776747115137168</x:v>
      </x:c>
      <x:c r="C2040" s="46" t="n">
        <x:f>B2040^2</x:f>
        <x:v>0.6047779569279427</x:v>
      </x:c>
      <x:c r="D2040" s="47" t="n">
        <x:f>'Datos'!$B$26^3/3</x:f>
        <x:v>0.3333333333333333</x:v>
      </x:c>
      <x:c r="E2040" s="46" t="n">
        <x:f>D2040*(C2040-1)</x:f>
        <x:v>-0.1317406810240191</x:v>
      </x:c>
      <x:c r="F2040" s="2"/>
      <x:c r="G2040" s="2"/>
      <x:c r="H2040" s="2"/>
    </x:row>
    <x:row r="2041" ht="22" customHeight="1">
      <x:c r="A2041" s="2" t="n">
        <x:v>2035</x:v>
      </x:c>
      <x:c r="B2041" s="79" t="n">
        <x:v>0.2368710399270118</x:v>
      </x:c>
      <x:c r="C2041" s="46" t="n">
        <x:f>B2041^2</x:f>
        <x:v>0.05610788955610402</x:v>
      </x:c>
      <x:c r="D2041" s="47" t="n">
        <x:f>'Datos'!$B$26^3/3</x:f>
        <x:v>0.3333333333333333</x:v>
      </x:c>
      <x:c r="E2041" s="46" t="n">
        <x:f>D2041*(C2041-1)</x:f>
        <x:v>-0.3146307034812986</x:v>
      </x:c>
      <x:c r="F2041" s="2"/>
      <x:c r="G2041" s="2"/>
      <x:c r="H2041" s="2"/>
    </x:row>
    <x:row r="2042" ht="22" customHeight="1">
      <x:c r="A2042" s="2" t="n">
        <x:v>2036</x:v>
      </x:c>
      <x:c r="B2042" s="79" t="n">
        <x:v>0.43698392389189306</x:v>
      </x:c>
      <x:c r="C2042" s="46" t="n">
        <x:f>B2042^2</x:f>
        <x:v>0.19095494973995578</x:v>
      </x:c>
      <x:c r="D2042" s="47" t="n">
        <x:f>'Datos'!$B$26^3/3</x:f>
        <x:v>0.3333333333333333</x:v>
      </x:c>
      <x:c r="E2042" s="46" t="n">
        <x:f>D2042*(C2042-1)</x:f>
        <x:v>-0.26968168342001475</x:v>
      </x:c>
      <x:c r="F2042" s="2"/>
      <x:c r="G2042" s="2"/>
      <x:c r="H2042" s="2"/>
    </x:row>
    <x:row r="2043" ht="22" customHeight="1">
      <x:c r="A2043" s="2" t="n">
        <x:v>2037</x:v>
      </x:c>
      <x:c r="B2043" s="79" t="n">
        <x:v>-1.5146351967430711</x:v>
      </x:c>
      <x:c r="C2043" s="46" t="n">
        <x:f>B2043^2</x:f>
        <x:v>2.294119779212922</x:v>
      </x:c>
      <x:c r="D2043" s="47" t="n">
        <x:f>'Datos'!$B$26^3/3</x:f>
        <x:v>0.3333333333333333</x:v>
      </x:c>
      <x:c r="E2043" s="46" t="n">
        <x:f>D2043*(C2043-1)</x:f>
        <x:v>0.4313732597376406</x:v>
      </x:c>
      <x:c r="F2043" s="2"/>
      <x:c r="G2043" s="2"/>
      <x:c r="H2043" s="2"/>
    </x:row>
    <x:row r="2044" ht="22" customHeight="1">
      <x:c r="A2044" s="2" t="n">
        <x:v>2038</x:v>
      </x:c>
      <x:c r="B2044" s="79" t="n">
        <x:v>-2.4884467206628784</x:v>
      </x:c>
      <x:c r="C2044" s="46" t="n">
        <x:f>B2044^2</x:f>
        <x:v>6.192367081577833</x:v>
      </x:c>
      <x:c r="D2044" s="47" t="n">
        <x:f>'Datos'!$B$26^3/3</x:f>
        <x:v>0.3333333333333333</x:v>
      </x:c>
      <x:c r="E2044" s="46" t="n">
        <x:f>D2044*(C2044-1)</x:f>
        <x:v>1.730789027192611</x:v>
      </x:c>
      <x:c r="F2044" s="2"/>
      <x:c r="G2044" s="2"/>
      <x:c r="H2044" s="2"/>
    </x:row>
    <x:row r="2045" ht="22" customHeight="1">
      <x:c r="A2045" s="2" t="n">
        <x:v>2039</x:v>
      </x:c>
      <x:c r="B2045" s="79" t="n">
        <x:v>-1.6412563084829466</x:v>
      </x:c>
      <x:c r="C2045" s="46" t="n">
        <x:f>B2045^2</x:f>
        <x:v>2.693722270135069</x:v>
      </x:c>
      <x:c r="D2045" s="47" t="n">
        <x:f>'Datos'!$B$26^3/3</x:f>
        <x:v>0.3333333333333333</x:v>
      </x:c>
      <x:c r="E2045" s="46" t="n">
        <x:f>D2045*(C2045-1)</x:f>
        <x:v>0.564574090045023</x:v>
      </x:c>
      <x:c r="F2045" s="2"/>
      <x:c r="G2045" s="2"/>
      <x:c r="H2045" s="2"/>
    </x:row>
    <x:row r="2046" ht="22" customHeight="1">
      <x:c r="A2046" s="2" t="n">
        <x:v>2040</x:v>
      </x:c>
      <x:c r="B2046" s="79" t="n">
        <x:v>-0.6202924503993519</x:v>
      </x:c>
      <x:c r="C2046" s="46" t="n">
        <x:f>B2046^2</x:f>
        <x:v>0.3847627240224324</x:v>
      </x:c>
      <x:c r="D2046" s="47" t="n">
        <x:f>'Datos'!$B$26^3/3</x:f>
        <x:v>0.3333333333333333</x:v>
      </x:c>
      <x:c r="E2046" s="46" t="n">
        <x:f>D2046*(C2046-1)</x:f>
        <x:v>-0.20507909199252253</x:v>
      </x:c>
      <x:c r="F2046" s="2"/>
      <x:c r="G2046" s="2"/>
      <x:c r="H2046" s="2"/>
    </x:row>
    <x:row r="2047" ht="22" customHeight="1">
      <x:c r="A2047" s="2" t="n">
        <x:v>2041</x:v>
      </x:c>
      <x:c r="B2047" s="79" t="n">
        <x:v>-0.7553797587966062</x:v>
      </x:c>
      <x:c r="C2047" s="46" t="n">
        <x:f>B2047^2</x:f>
        <x:v>0.570598579999619</x:v>
      </x:c>
      <x:c r="D2047" s="47" t="n">
        <x:f>'Datos'!$B$26^3/3</x:f>
        <x:v>0.3333333333333333</x:v>
      </x:c>
      <x:c r="E2047" s="46" t="n">
        <x:f>D2047*(C2047-1)</x:f>
        <x:v>-0.14313380666679365</x:v>
      </x:c>
      <x:c r="F2047" s="2"/>
      <x:c r="G2047" s="2"/>
      <x:c r="H2047" s="2"/>
    </x:row>
    <x:row r="2048" ht="22" customHeight="1">
      <x:c r="A2048" s="2" t="n">
        <x:v>2042</x:v>
      </x:c>
      <x:c r="B2048" s="79" t="n">
        <x:v>-1.5477864155852217</x:v>
      </x:c>
      <x:c r="C2048" s="46" t="n">
        <x:f>B2048^2</x:f>
        <x:v>2.3956427882701488</x:v>
      </x:c>
      <x:c r="D2048" s="47" t="n">
        <x:f>'Datos'!$B$26^3/3</x:f>
        <x:v>0.3333333333333333</x:v>
      </x:c>
      <x:c r="E2048" s="46" t="n">
        <x:f>D2048*(C2048-1)</x:f>
        <x:v>0.46521426275671623</x:v>
      </x:c>
      <x:c r="F2048" s="2"/>
      <x:c r="G2048" s="2"/>
      <x:c r="H2048" s="2"/>
    </x:row>
    <x:row r="2049" ht="22" customHeight="1">
      <x:c r="A2049" s="2" t="n">
        <x:v>2043</x:v>
      </x:c>
      <x:c r="B2049" s="79" t="n">
        <x:v>-1.2176783914482177</x:v>
      </x:c>
      <x:c r="C2049" s="46" t="n">
        <x:f>B2049^2</x:f>
        <x:v>1.4827406649999189</x:v>
      </x:c>
      <x:c r="D2049" s="47" t="n">
        <x:f>'Datos'!$B$26^3/3</x:f>
        <x:v>0.3333333333333333</x:v>
      </x:c>
      <x:c r="E2049" s="46" t="n">
        <x:f>D2049*(C2049-1)</x:f>
        <x:v>0.16091355499997295</x:v>
      </x:c>
      <x:c r="F2049" s="2"/>
      <x:c r="G2049" s="2"/>
      <x:c r="H2049" s="2"/>
    </x:row>
    <x:row r="2050" ht="22" customHeight="1">
      <x:c r="A2050" s="2" t="n">
        <x:v>2044</x:v>
      </x:c>
      <x:c r="B2050" s="79" t="n">
        <x:v>-0.5142469937007119</x:v>
      </x:c>
      <x:c r="C2050" s="46" t="n">
        <x:f>B2050^2</x:f>
        <x:v>0.26444997053022007</x:v>
      </x:c>
      <x:c r="D2050" s="47" t="n">
        <x:f>'Datos'!$B$26^3/3</x:f>
        <x:v>0.3333333333333333</x:v>
      </x:c>
      <x:c r="E2050" s="46" t="n">
        <x:f>D2050*(C2050-1)</x:f>
        <x:v>-0.2451833431565933</x:v>
      </x:c>
      <x:c r="F2050" s="2"/>
      <x:c r="G2050" s="2"/>
      <x:c r="H2050" s="2"/>
    </x:row>
    <x:row r="2051" ht="22" customHeight="1">
      <x:c r="A2051" s="2" t="n">
        <x:v>2045</x:v>
      </x:c>
      <x:c r="B2051" s="79" t="n">
        <x:v>1.2521857059357855</x:v>
      </x:c>
      <x:c r="C2051" s="46" t="n">
        <x:f>B2051^2</x:f>
        <x:v>1.5679690421499015</x:v>
      </x:c>
      <x:c r="D2051" s="47" t="n">
        <x:f>'Datos'!$B$26^3/3</x:f>
        <x:v>0.3333333333333333</x:v>
      </x:c>
      <x:c r="E2051" s="46" t="n">
        <x:f>D2051*(C2051-1)</x:f>
        <x:v>0.18932301404996715</x:v>
      </x:c>
      <x:c r="F2051" s="2"/>
      <x:c r="G2051" s="2"/>
      <x:c r="H2051" s="2"/>
    </x:row>
    <x:row r="2052" ht="22" customHeight="1">
      <x:c r="A2052" s="2" t="n">
        <x:v>2046</x:v>
      </x:c>
      <x:c r="B2052" s="79" t="n">
        <x:v>-1.779604697429033</x:v>
      </x:c>
      <x:c r="C2052" s="46" t="n">
        <x:f>B2052^2</x:f>
        <x:v>3.1669928791114796</x:v>
      </x:c>
      <x:c r="D2052" s="47" t="n">
        <x:f>'Datos'!$B$26^3/3</x:f>
        <x:v>0.3333333333333333</x:v>
      </x:c>
      <x:c r="E2052" s="46" t="n">
        <x:f>D2052*(C2052-1)</x:f>
        <x:v>0.7223309597038265</x:v>
      </x:c>
      <x:c r="F2052" s="2"/>
      <x:c r="G2052" s="2"/>
      <x:c r="H2052" s="2"/>
    </x:row>
    <x:row r="2053" ht="22" customHeight="1">
      <x:c r="A2053" s="2" t="n">
        <x:v>2047</x:v>
      </x:c>
      <x:c r="B2053" s="79" t="n">
        <x:v>-1.9643975508357296</x:v>
      </x:c>
      <x:c r="C2053" s="46" t="n">
        <x:f>B2053^2</x:f>
        <x:v>3.858857737729413</x:v>
      </x:c>
      <x:c r="D2053" s="47" t="n">
        <x:f>'Datos'!$B$26^3/3</x:f>
        <x:v>0.3333333333333333</x:v>
      </x:c>
      <x:c r="E2053" s="46" t="n">
        <x:f>D2053*(C2053-1)</x:f>
        <x:v>0.9529525792431377</x:v>
      </x:c>
      <x:c r="F2053" s="2"/>
      <x:c r="G2053" s="2"/>
      <x:c r="H2053" s="2"/>
    </x:row>
    <x:row r="2054" ht="22" customHeight="1">
      <x:c r="A2054" s="2" t="n">
        <x:v>2048</x:v>
      </x:c>
      <x:c r="B2054" s="79" t="n">
        <x:v>0.2644126400398848</x:v>
      </x:c>
      <x:c r="C2054" s="46" t="n">
        <x:f>B2054^2</x:f>
        <x:v>0.06991404421286168</x:v>
      </x:c>
      <x:c r="D2054" s="47" t="n">
        <x:f>'Datos'!$B$26^3/3</x:f>
        <x:v>0.3333333333333333</x:v>
      </x:c>
      <x:c r="E2054" s="46" t="n">
        <x:f>D2054*(C2054-1)</x:f>
        <x:v>-0.3100286519290461</x:v>
      </x:c>
      <x:c r="F2054" s="2"/>
      <x:c r="G2054" s="2"/>
      <x:c r="H2054" s="2"/>
    </x:row>
    <x:row r="2055" ht="22" customHeight="1">
      <x:c r="A2055" s="2" t="n">
        <x:v>2049</x:v>
      </x:c>
      <x:c r="B2055" s="79" t="n">
        <x:v>-0.47607717394022825</x:v>
      </x:c>
      <x:c r="C2055" s="46" t="n">
        <x:f>B2055^2</x:f>
        <x:v>0.22664947554691434</x:v>
      </x:c>
      <x:c r="D2055" s="47" t="n">
        <x:f>'Datos'!$B$26^3/3</x:f>
        <x:v>0.3333333333333333</x:v>
      </x:c>
      <x:c r="E2055" s="46" t="n">
        <x:f>D2055*(C2055-1)</x:f>
        <x:v>-0.2577835081510285</x:v>
      </x:c>
      <x:c r="F2055" s="2"/>
      <x:c r="G2055" s="2"/>
      <x:c r="H2055" s="2"/>
    </x:row>
    <x:row r="2056" ht="22" customHeight="1">
      <x:c r="A2056" s="2" t="n">
        <x:v>2050</x:v>
      </x:c>
      <x:c r="B2056" s="79" t="n">
        <x:v>0.027906981701821723</x:v>
      </x:c>
      <x:c r="C2056" s="46" t="n">
        <x:f>B2056^2</x:f>
        <x:v>0.0007787996277058125</x:v>
      </x:c>
      <x:c r="D2056" s="47" t="n">
        <x:f>'Datos'!$B$26^3/3</x:f>
        <x:v>0.3333333333333333</x:v>
      </x:c>
      <x:c r="E2056" s="46" t="n">
        <x:f>D2056*(C2056-1)</x:f>
        <x:v>-0.3330737334574314</x:v>
      </x:c>
      <x:c r="F2056" s="2"/>
      <x:c r="G2056" s="2"/>
      <x:c r="H2056" s="2"/>
    </x:row>
    <x:row r="2057" ht="22" customHeight="1">
      <x:c r="A2057" s="2" t="n">
        <x:v>2051</x:v>
      </x:c>
      <x:c r="B2057" s="79" t="n">
        <x:v>0.810540878560946</x:v>
      </x:c>
      <x:c r="C2057" s="46" t="n">
        <x:f>B2057^2</x:f>
        <x:v>0.6569765158183503</x:v>
      </x:c>
      <x:c r="D2057" s="47" t="n">
        <x:f>'Datos'!$B$26^3/3</x:f>
        <x:v>0.3333333333333333</x:v>
      </x:c>
      <x:c r="E2057" s="46" t="n">
        <x:f>D2057*(C2057-1)</x:f>
        <x:v>-0.11434116139388324</x:v>
      </x:c>
      <x:c r="F2057" s="2"/>
      <x:c r="G2057" s="2"/>
      <x:c r="H2057" s="2"/>
    </x:row>
    <x:row r="2058" ht="22" customHeight="1">
      <x:c r="A2058" s="2" t="n">
        <x:v>2052</x:v>
      </x:c>
      <x:c r="B2058" s="79" t="n">
        <x:v>1.0025559265698865</x:v>
      </x:c>
      <x:c r="C2058" s="46" t="n">
        <x:f>B2058^2</x:f>
        <x:v>1.0051183859004036</x:v>
      </x:c>
      <x:c r="D2058" s="47" t="n">
        <x:f>'Datos'!$B$26^3/3</x:f>
        <x:v>0.3333333333333333</x:v>
      </x:c>
      <x:c r="E2058" s="46" t="n">
        <x:f>D2058*(C2058-1)</x:f>
        <x:v>0.0017061286334678627</x:v>
      </x:c>
      <x:c r="F2058" s="2"/>
      <x:c r="G2058" s="2"/>
      <x:c r="H2058" s="2"/>
    </x:row>
    <x:row r="2059" ht="22" customHeight="1">
      <x:c r="A2059" s="2" t="n">
        <x:v>2053</x:v>
      </x:c>
      <x:c r="B2059" s="79" t="n">
        <x:v>0.3842850007796315</x:v>
      </x:c>
      <x:c r="C2059" s="46" t="n">
        <x:f>B2059^2</x:f>
        <x:v>0.1476749618242014</x:v>
      </x:c>
      <x:c r="D2059" s="47" t="n">
        <x:f>'Datos'!$B$26^3/3</x:f>
        <x:v>0.3333333333333333</x:v>
      </x:c>
      <x:c r="E2059" s="46" t="n">
        <x:f>D2059*(C2059-1)</x:f>
        <x:v>-0.2841083460585995</x:v>
      </x:c>
      <x:c r="F2059" s="2"/>
      <x:c r="G2059" s="2"/>
      <x:c r="H2059" s="2"/>
    </x:row>
    <x:row r="2060" ht="22" customHeight="1">
      <x:c r="A2060" s="2" t="n">
        <x:v>2054</x:v>
      </x:c>
      <x:c r="B2060" s="79" t="n">
        <x:v>-0.1231624725815137</x:v>
      </x:c>
      <x:c r="C2060" s="46" t="n">
        <x:f>B2060^2</x:f>
        <x:v>0.015168994652392112</x:v>
      </x:c>
      <x:c r="D2060" s="47" t="n">
        <x:f>'Datos'!$B$26^3/3</x:f>
        <x:v>0.3333333333333333</x:v>
      </x:c>
      <x:c r="E2060" s="46" t="n">
        <x:f>D2060*(C2060-1)</x:f>
        <x:v>-0.32827700178253594</x:v>
      </x:c>
      <x:c r="F2060" s="2"/>
      <x:c r="G2060" s="2"/>
      <x:c r="H2060" s="2"/>
    </x:row>
    <x:row r="2061" ht="22" customHeight="1">
      <x:c r="A2061" s="2" t="n">
        <x:v>2055</x:v>
      </x:c>
      <x:c r="B2061" s="79" t="n">
        <x:v>-0.16734104925801635</x:v>
      </x:c>
      <x:c r="C2061" s="46" t="n">
        <x:f>B2061^2</x:f>
        <x:v>0.028003026766773853</x:v>
      </x:c>
      <x:c r="D2061" s="47" t="n">
        <x:f>'Datos'!$B$26^3/3</x:f>
        <x:v>0.3333333333333333</x:v>
      </x:c>
      <x:c r="E2061" s="46" t="n">
        <x:f>D2061*(C2061-1)</x:f>
        <x:v>-0.323998991077742</x:v>
      </x:c>
      <x:c r="F2061" s="2"/>
      <x:c r="G2061" s="2"/>
      <x:c r="H2061" s="2"/>
    </x:row>
    <x:row r="2062" ht="22" customHeight="1">
      <x:c r="A2062" s="2" t="n">
        <x:v>2056</x:v>
      </x:c>
      <x:c r="B2062" s="79" t="n">
        <x:v>0.70720765096316</x:v>
      </x:c>
      <x:c r="C2062" s="46" t="n">
        <x:f>B2062^2</x:f>
        <x:v>0.5001426615808306</x:v>
      </x:c>
      <x:c r="D2062" s="47" t="n">
        <x:f>'Datos'!$B$26^3/3</x:f>
        <x:v>0.3333333333333333</x:v>
      </x:c>
      <x:c r="E2062" s="46" t="n">
        <x:f>D2062*(C2062-1)</x:f>
        <x:v>-0.16661911280638977</x:v>
      </x:c>
      <x:c r="F2062" s="2"/>
      <x:c r="G2062" s="2"/>
      <x:c r="H2062" s="2"/>
    </x:row>
    <x:row r="2063" ht="22" customHeight="1">
      <x:c r="A2063" s="2" t="n">
        <x:v>2057</x:v>
      </x:c>
      <x:c r="B2063" s="79" t="n">
        <x:v>0.37583943826754557</x:v>
      </x:c>
      <x:c r="C2063" s="46" t="n">
        <x:f>B2063^2</x:f>
        <x:v>0.1412552833572642</x:v>
      </x:c>
      <x:c r="D2063" s="47" t="n">
        <x:f>'Datos'!$B$26^3/3</x:f>
        <x:v>0.3333333333333333</x:v>
      </x:c>
      <x:c r="E2063" s="46" t="n">
        <x:f>D2063*(C2063-1)</x:f>
        <x:v>-0.2862482388809119</x:v>
      </x:c>
      <x:c r="F2063" s="2"/>
      <x:c r="G2063" s="2"/>
      <x:c r="H2063" s="2"/>
    </x:row>
    <x:row r="2064" ht="22" customHeight="1">
      <x:c r="A2064" s="2" t="n">
        <x:v>2058</x:v>
      </x:c>
      <x:c r="B2064" s="79" t="n">
        <x:v>0.7512229971681769</x:v>
      </x:c>
      <x:c r="C2064" s="46" t="n">
        <x:f>B2064^2</x:f>
        <x:v>0.5643359914743387</x:v>
      </x:c>
      <x:c r="D2064" s="47" t="n">
        <x:f>'Datos'!$B$26^3/3</x:f>
        <x:v>0.3333333333333333</x:v>
      </x:c>
      <x:c r="E2064" s="46" t="n">
        <x:f>D2064*(C2064-1)</x:f>
        <x:v>-0.14522133617522043</x:v>
      </x:c>
      <x:c r="F2064" s="2"/>
      <x:c r="G2064" s="2"/>
      <x:c r="H2064" s="2"/>
    </x:row>
    <x:row r="2065" ht="22" customHeight="1">
      <x:c r="A2065" s="2" t="n">
        <x:v>2059</x:v>
      </x:c>
      <x:c r="B2065" s="79" t="n">
        <x:v>-0.2705927267791886</x:v>
      </x:c>
      <x:c r="C2065" s="46" t="n">
        <x:f>B2065^2</x:f>
        <x:v>0.07322042378579662</x:v>
      </x:c>
      <x:c r="D2065" s="47" t="n">
        <x:f>'Datos'!$B$26^3/3</x:f>
        <x:v>0.3333333333333333</x:v>
      </x:c>
      <x:c r="E2065" s="46" t="n">
        <x:f>D2065*(C2065-1)</x:f>
        <x:v>-0.3089265254047344</x:v>
      </x:c>
      <x:c r="F2065" s="2"/>
      <x:c r="G2065" s="2"/>
      <x:c r="H2065" s="2"/>
    </x:row>
    <x:row r="2066" ht="22" customHeight="1">
      <x:c r="A2066" s="2" t="n">
        <x:v>2060</x:v>
      </x:c>
      <x:c r="B2066" s="79" t="n">
        <x:v>1.1832957531311792</x:v>
      </x:c>
      <x:c r="C2066" s="46" t="n">
        <x:f>B2066^2</x:f>
        <x:v>1.4001888393782846</x:v>
      </x:c>
      <x:c r="D2066" s="47" t="n">
        <x:f>'Datos'!$B$26^3/3</x:f>
        <x:v>0.3333333333333333</x:v>
      </x:c>
      <x:c r="E2066" s="46" t="n">
        <x:f>D2066*(C2066-1)</x:f>
        <x:v>0.13339627979276153</x:v>
      </x:c>
      <x:c r="F2066" s="2"/>
      <x:c r="G2066" s="2"/>
      <x:c r="H2066" s="2"/>
    </x:row>
    <x:row r="2067" ht="22" customHeight="1">
      <x:c r="A2067" s="2" t="n">
        <x:v>2061</x:v>
      </x:c>
      <x:c r="B2067" s="79" t="n">
        <x:v>-0.293539171282527</x:v>
      </x:c>
      <x:c r="C2067" s="46" t="n">
        <x:f>B2067^2</x:f>
        <x:v>0.08616524507723272</x:v>
      </x:c>
      <x:c r="D2067" s="47" t="n">
        <x:f>'Datos'!$B$26^3/3</x:f>
        <x:v>0.3333333333333333</x:v>
      </x:c>
      <x:c r="E2067" s="46" t="n">
        <x:f>D2067*(C2067-1)</x:f>
        <x:v>-0.3046115849742557</x:v>
      </x:c>
      <x:c r="F2067" s="2"/>
      <x:c r="G2067" s="2"/>
      <x:c r="H2067" s="2"/>
    </x:row>
    <x:row r="2068" ht="22" customHeight="1">
      <x:c r="A2068" s="2" t="n">
        <x:v>2062</x:v>
      </x:c>
      <x:c r="B2068" s="79" t="n">
        <x:v>-0.33010898158761204</x:v>
      </x:c>
      <x:c r="C2068" s="46" t="n">
        <x:f>B2068^2</x:f>
        <x:v>0.10897193972481038</x:v>
      </x:c>
      <x:c r="D2068" s="47" t="n">
        <x:f>'Datos'!$B$26^3/3</x:f>
        <x:v>0.3333333333333333</x:v>
      </x:c>
      <x:c r="E2068" s="46" t="n">
        <x:f>D2068*(C2068-1)</x:f>
        <x:v>-0.2970093534250632</x:v>
      </x:c>
      <x:c r="F2068" s="2"/>
      <x:c r="G2068" s="2"/>
      <x:c r="H2068" s="2"/>
    </x:row>
    <x:row r="2069" ht="22" customHeight="1">
      <x:c r="A2069" s="2" t="n">
        <x:v>2063</x:v>
      </x:c>
      <x:c r="B2069" s="79" t="n">
        <x:v>-1.943884601659931</x:v>
      </x:c>
      <x:c r="C2069" s="46" t="n">
        <x:f>B2069^2</x:f>
        <x:v>3.778687344570588</x:v>
      </x:c>
      <x:c r="D2069" s="47" t="n">
        <x:f>'Datos'!$B$26^3/3</x:f>
        <x:v>0.3333333333333333</x:v>
      </x:c>
      <x:c r="E2069" s="46" t="n">
        <x:f>D2069*(C2069-1)</x:f>
        <x:v>0.9262291148568627</x:v>
      </x:c>
      <x:c r="F2069" s="2"/>
      <x:c r="G2069" s="2"/>
      <x:c r="H2069" s="2"/>
    </x:row>
    <x:row r="2070" ht="22" customHeight="1">
      <x:c r="A2070" s="2" t="n">
        <x:v>2064</x:v>
      </x:c>
      <x:c r="B2070" s="79" t="n">
        <x:v>-0.4688693029441435</x:v>
      </x:c>
      <x:c r="C2070" s="46" t="n">
        <x:f>B2070^2</x:f>
        <x:v>0.21983842324332697</x:v>
      </x:c>
      <x:c r="D2070" s="47" t="n">
        <x:f>'Datos'!$B$26^3/3</x:f>
        <x:v>0.3333333333333333</x:v>
      </x:c>
      <x:c r="E2070" s="46" t="n">
        <x:f>D2070*(C2070-1)</x:f>
        <x:v>-0.260053858918891</x:v>
      </x:c>
      <x:c r="F2070" s="2"/>
      <x:c r="G2070" s="2"/>
      <x:c r="H2070" s="2"/>
    </x:row>
    <x:row r="2071" ht="22" customHeight="1">
      <x:c r="A2071" s="2" t="n">
        <x:v>2065</x:v>
      </x:c>
      <x:c r="B2071" s="79" t="n">
        <x:v>0.46804440013516485</x:v>
      </x:c>
      <x:c r="C2071" s="46" t="n">
        <x:f>B2071^2</x:f>
        <x:v>0.2190655604978863</x:v>
      </x:c>
      <x:c r="D2071" s="47" t="n">
        <x:f>'Datos'!$B$26^3/3</x:f>
        <x:v>0.3333333333333333</x:v>
      </x:c>
      <x:c r="E2071" s="46" t="n">
        <x:f>D2071*(C2071-1)</x:f>
        <x:v>-0.2603114798340379</x:v>
      </x:c>
      <x:c r="F2071" s="2"/>
      <x:c r="G2071" s="2"/>
      <x:c r="H2071" s="2"/>
    </x:row>
    <x:row r="2072" ht="22" customHeight="1">
      <x:c r="A2072" s="2" t="n">
        <x:v>2066</x:v>
      </x:c>
      <x:c r="B2072" s="79" t="n">
        <x:v>1.1693131868911033</x:v>
      </x:c>
      <x:c r="C2072" s="46" t="n">
        <x:f>B2072^2</x:f>
        <x:v>1.3672933290374283</x:v>
      </x:c>
      <x:c r="D2072" s="47" t="n">
        <x:f>'Datos'!$B$26^3/3</x:f>
        <x:v>0.3333333333333333</x:v>
      </x:c>
      <x:c r="E2072" s="46" t="n">
        <x:f>D2072*(C2072-1)</x:f>
        <x:v>0.12243110967914275</x:v>
      </x:c>
      <x:c r="F2072" s="2"/>
      <x:c r="G2072" s="2"/>
      <x:c r="H2072" s="2"/>
    </x:row>
    <x:row r="2073" ht="22" customHeight="1">
      <x:c r="A2073" s="2" t="n">
        <x:v>2067</x:v>
      </x:c>
      <x:c r="B2073" s="79" t="n">
        <x:v>-0.5784955040687063</x:v>
      </x:c>
      <x:c r="C2073" s="46" t="n">
        <x:f>B2073^2</x:f>
        <x:v>0.3346570482277066</x:v>
      </x:c>
      <x:c r="D2073" s="47" t="n">
        <x:f>'Datos'!$B$26^3/3</x:f>
        <x:v>0.3333333333333333</x:v>
      </x:c>
      <x:c r="E2073" s="46" t="n">
        <x:f>D2073*(C2073-1)</x:f>
        <x:v>-0.22178098392409779</x:v>
      </x:c>
      <x:c r="F2073" s="2"/>
      <x:c r="G2073" s="2"/>
      <x:c r="H2073" s="2"/>
    </x:row>
    <x:row r="2074" ht="22" customHeight="1">
      <x:c r="A2074" s="2" t="n">
        <x:v>2068</x:v>
      </x:c>
      <x:c r="B2074" s="79" t="n">
        <x:v>0.6049167515880882</x:v>
      </x:c>
      <x:c r="C2074" s="46" t="n">
        <x:f>B2074^2</x:f>
        <x:v>0.36592427635188485</x:v>
      </x:c>
      <x:c r="D2074" s="47" t="n">
        <x:f>'Datos'!$B$26^3/3</x:f>
        <x:v>0.3333333333333333</x:v>
      </x:c>
      <x:c r="E2074" s="46" t="n">
        <x:f>D2074*(C2074-1)</x:f>
        <x:v>-0.2113585745493717</x:v>
      </x:c>
      <x:c r="F2074" s="2"/>
      <x:c r="G2074" s="2"/>
      <x:c r="H2074" s="2"/>
    </x:row>
    <x:row r="2075" ht="22" customHeight="1">
      <x:c r="A2075" s="2" t="n">
        <x:v>2069</x:v>
      </x:c>
      <x:c r="B2075" s="79" t="n">
        <x:v>2.2199809644024198</x:v>
      </x:c>
      <x:c r="C2075" s="46" t="n">
        <x:f>B2075^2</x:f>
        <x:v>4.928315482309098</x:v>
      </x:c>
      <x:c r="D2075" s="47" t="n">
        <x:f>'Datos'!$B$26^3/3</x:f>
        <x:v>0.3333333333333333</x:v>
      </x:c>
      <x:c r="E2075" s="46" t="n">
        <x:f>D2075*(C2075-1)</x:f>
        <x:v>1.3094384941030326</x:v>
      </x:c>
      <x:c r="F2075" s="2"/>
      <x:c r="G2075" s="2"/>
      <x:c r="H2075" s="2"/>
    </x:row>
    <x:row r="2076" ht="22" customHeight="1">
      <x:c r="A2076" s="2" t="n">
        <x:v>2070</x:v>
      </x:c>
      <x:c r="B2076" s="79" t="n">
        <x:v>-0.20939319265922582</x:v>
      </x:c>
      <x:c r="C2076" s="46" t="n">
        <x:f>B2076^2</x:f>
        <x:v>0.04384550913202366</x:v>
      </x:c>
      <x:c r="D2076" s="47" t="n">
        <x:f>'Datos'!$B$26^3/3</x:f>
        <x:v>0.3333333333333333</x:v>
      </x:c>
      <x:c r="E2076" s="46" t="n">
        <x:f>D2076*(C2076-1)</x:f>
        <x:v>-0.31871816362265876</x:v>
      </x:c>
      <x:c r="F2076" s="2"/>
      <x:c r="G2076" s="2"/>
      <x:c r="H2076" s="2"/>
    </x:row>
    <x:row r="2077" ht="22" customHeight="1">
      <x:c r="A2077" s="2" t="n">
        <x:v>2071</x:v>
      </x:c>
      <x:c r="B2077" s="79" t="n">
        <x:v>0.15603209139325128</x:v>
      </x:c>
      <x:c r="C2077" s="46" t="n">
        <x:f>B2077^2</x:f>
        <x:v>0.02434601354455192</x:v>
      </x:c>
      <x:c r="D2077" s="47" t="n">
        <x:f>'Datos'!$B$26^3/3</x:f>
        <x:v>0.3333333333333333</x:v>
      </x:c>
      <x:c r="E2077" s="46" t="n">
        <x:f>D2077*(C2077-1)</x:f>
        <x:v>-0.32521799548514935</x:v>
      </x:c>
      <x:c r="F2077" s="2"/>
      <x:c r="G2077" s="2"/>
      <x:c r="H2077" s="2"/>
    </x:row>
    <x:row r="2078" ht="22" customHeight="1">
      <x:c r="A2078" s="2" t="n">
        <x:v>2072</x:v>
      </x:c>
      <x:c r="B2078" s="79" t="n">
        <x:v>-1.085536015156771</x:v>
      </x:c>
      <x:c r="C2078" s="46" t="n">
        <x:f>B2078^2</x:f>
        <x:v>1.1783884402024414</x:v>
      </x:c>
      <x:c r="D2078" s="47" t="n">
        <x:f>'Datos'!$B$26^3/3</x:f>
        <x:v>0.3333333333333333</x:v>
      </x:c>
      <x:c r="E2078" s="46" t="n">
        <x:f>D2078*(C2078-1)</x:f>
        <x:v>0.05946281340081379</x:v>
      </x:c>
      <x:c r="F2078" s="2"/>
      <x:c r="G2078" s="2"/>
      <x:c r="H2078" s="2"/>
    </x:row>
    <x:row r="2079" ht="22" customHeight="1">
      <x:c r="A2079" s="2" t="n">
        <x:v>2073</x:v>
      </x:c>
      <x:c r="B2079" s="79" t="n">
        <x:v>-0.15120857202925</x:v>
      </x:c>
      <x:c r="C2079" s="46" t="n">
        <x:f>B2079^2</x:f>
        <x:v>0.022864032255124886</x:v>
      </x:c>
      <x:c r="D2079" s="47" t="n">
        <x:f>'Datos'!$B$26^3/3</x:f>
        <x:v>0.3333333333333333</x:v>
      </x:c>
      <x:c r="E2079" s="46" t="n">
        <x:f>D2079*(C2079-1)</x:f>
        <x:v>-0.3257119892482917</x:v>
      </x:c>
      <x:c r="F2079" s="2"/>
      <x:c r="G2079" s="2"/>
      <x:c r="H2079" s="2"/>
    </x:row>
    <x:row r="2080" ht="22" customHeight="1">
      <x:c r="A2080" s="2" t="n">
        <x:v>2074</x:v>
      </x:c>
      <x:c r="B2080" s="79" t="n">
        <x:v>0.9359924431239646</x:v>
      </x:c>
      <x:c r="C2080" s="46" t="n">
        <x:f>B2080^2</x:f>
        <x:v>0.8760818535851681</x:v>
      </x:c>
      <x:c r="D2080" s="47" t="n">
        <x:f>'Datos'!$B$26^3/3</x:f>
        <x:v>0.3333333333333333</x:v>
      </x:c>
      <x:c r="E2080" s="46" t="n">
        <x:f>D2080*(C2080-1)</x:f>
        <x:v>-0.041306048804943964</x:v>
      </x:c>
      <x:c r="F2080" s="2"/>
      <x:c r="G2080" s="2"/>
      <x:c r="H2080" s="2"/>
    </x:row>
    <x:row r="2081" ht="22" customHeight="1">
      <x:c r="A2081" s="2" t="n">
        <x:v>2075</x:v>
      </x:c>
      <x:c r="B2081" s="79" t="n">
        <x:v>-0.15902751627924708</x:v>
      </x:c>
      <x:c r="C2081" s="46" t="n">
        <x:f>B2081^2</x:f>
        <x:v>0.025289750933946194</x:v>
      </x:c>
      <x:c r="D2081" s="47" t="n">
        <x:f>'Datos'!$B$26^3/3</x:f>
        <x:v>0.3333333333333333</x:v>
      </x:c>
      <x:c r="E2081" s="46" t="n">
        <x:f>D2081*(C2081-1)</x:f>
        <x:v>-0.32490341635535125</x:v>
      </x:c>
      <x:c r="F2081" s="2"/>
      <x:c r="G2081" s="2"/>
      <x:c r="H2081" s="2"/>
    </x:row>
    <x:row r="2082" ht="22" customHeight="1">
      <x:c r="A2082" s="2" t="n">
        <x:v>2076</x:v>
      </x:c>
      <x:c r="B2082" s="79" t="n">
        <x:v>-0.8370375344208422</x:v>
      </x:c>
      <x:c r="C2082" s="46" t="n">
        <x:f>B2082^2</x:f>
        <x:v>0.7006318340293225</x:v>
      </x:c>
      <x:c r="D2082" s="47" t="n">
        <x:f>'Datos'!$B$26^3/3</x:f>
        <x:v>0.3333333333333333</x:v>
      </x:c>
      <x:c r="E2082" s="46" t="n">
        <x:f>D2082*(C2082-1)</x:f>
        <x:v>-0.09978938865689249</x:v>
      </x:c>
      <x:c r="F2082" s="2"/>
      <x:c r="G2082" s="2"/>
      <x:c r="H2082" s="2"/>
    </x:row>
    <x:row r="2083" ht="22" customHeight="1">
      <x:c r="A2083" s="2" t="n">
        <x:v>2077</x:v>
      </x:c>
      <x:c r="B2083" s="79" t="n">
        <x:v>-0.11270980142250023</x:v>
      </x:c>
      <x:c r="C2083" s="46" t="n">
        <x:f>B2083^2</x:f>
        <x:v>0.012703499336699434</x:v>
      </x:c>
      <x:c r="D2083" s="47" t="n">
        <x:f>'Datos'!$B$26^3/3</x:f>
        <x:v>0.3333333333333333</x:v>
      </x:c>
      <x:c r="E2083" s="46" t="n">
        <x:f>D2083*(C2083-1)</x:f>
        <x:v>-0.3290988335544335</x:v>
      </x:c>
      <x:c r="F2083" s="2"/>
      <x:c r="G2083" s="2"/>
      <x:c r="H2083" s="2"/>
    </x:row>
    <x:row r="2084" ht="22" customHeight="1">
      <x:c r="A2084" s="2" t="n">
        <x:v>2078</x:v>
      </x:c>
      <x:c r="B2084" s="79" t="n">
        <x:v>-0.099554432809924</x:v>
      </x:c>
      <x:c r="C2084" s="46" t="n">
        <x:f>B2084^2</x:f>
        <x:v>0.009911085092105672</x:v>
      </x:c>
      <x:c r="D2084" s="47" t="n">
        <x:f>'Datos'!$B$26^3/3</x:f>
        <x:v>0.3333333333333333</x:v>
      </x:c>
      <x:c r="E2084" s="46" t="n">
        <x:f>D2084*(C2084-1)</x:f>
        <x:v>-0.33002963830263143</x:v>
      </x:c>
      <x:c r="F2084" s="2"/>
      <x:c r="G2084" s="2"/>
      <x:c r="H2084" s="2"/>
    </x:row>
    <x:row r="2085" ht="22" customHeight="1">
      <x:c r="A2085" s="2" t="n">
        <x:v>2079</x:v>
      </x:c>
      <x:c r="B2085" s="79" t="n">
        <x:v>-1.1444631848761038</x:v>
      </x:c>
      <x:c r="C2085" s="46" t="n">
        <x:f>B2085^2</x:f>
        <x:v>1.3097959815367548</x:v>
      </x:c>
      <x:c r="D2085" s="47" t="n">
        <x:f>'Datos'!$B$26^3/3</x:f>
        <x:v>0.3333333333333333</x:v>
      </x:c>
      <x:c r="E2085" s="46" t="n">
        <x:f>D2085*(C2085-1)</x:f>
        <x:v>0.10326532717891826</x:v>
      </x:c>
      <x:c r="F2085" s="2"/>
      <x:c r="G2085" s="2"/>
      <x:c r="H2085" s="2"/>
    </x:row>
    <x:row r="2086" ht="22" customHeight="1">
      <x:c r="A2086" s="2" t="n">
        <x:v>2080</x:v>
      </x:c>
      <x:c r="B2086" s="79" t="n">
        <x:v>0.41197902182834556</x:v>
      </x:c>
      <x:c r="C2086" s="46" t="n">
        <x:f>B2086^2</x:f>
        <x:v>0.16972671442664042</x:v>
      </x:c>
      <x:c r="D2086" s="47" t="n">
        <x:f>'Datos'!$B$26^3/3</x:f>
        <x:v>0.3333333333333333</x:v>
      </x:c>
      <x:c r="E2086" s="46" t="n">
        <x:f>D2086*(C2086-1)</x:f>
        <x:v>-0.2767577618577865</x:v>
      </x:c>
      <x:c r="F2086" s="2"/>
      <x:c r="G2086" s="2"/>
      <x:c r="H2086" s="2"/>
    </x:row>
    <x:row r="2087" ht="22" customHeight="1">
      <x:c r="A2087" s="2" t="n">
        <x:v>2081</x:v>
      </x:c>
      <x:c r="B2087" s="79" t="n">
        <x:v>1.1245126097578004</x:v>
      </x:c>
      <x:c r="C2087" s="46" t="n">
        <x:f>B2087^2</x:f>
        <x:v>1.2645286095042991</x:v>
      </x:c>
      <x:c r="D2087" s="47" t="n">
        <x:f>'Datos'!$B$26^3/3</x:f>
        <x:v>0.3333333333333333</x:v>
      </x:c>
      <x:c r="E2087" s="46" t="n">
        <x:f>D2087*(C2087-1)</x:f>
        <x:v>0.08817620316809971</x:v>
      </x:c>
      <x:c r="F2087" s="2"/>
      <x:c r="G2087" s="2"/>
      <x:c r="H2087" s="2"/>
    </x:row>
    <x:row r="2088" ht="22" customHeight="1">
      <x:c r="A2088" s="2" t="n">
        <x:v>2082</x:v>
      </x:c>
      <x:c r="B2088" s="79" t="n">
        <x:v>0.6136451061431595</x:v>
      </x:c>
      <x:c r="C2088" s="46" t="n">
        <x:f>B2088^2</x:f>
        <x:v>0.37656031629344944</x:v>
      </x:c>
      <x:c r="D2088" s="47" t="n">
        <x:f>'Datos'!$B$26^3/3</x:f>
        <x:v>0.3333333333333333</x:v>
      </x:c>
      <x:c r="E2088" s="46" t="n">
        <x:f>D2088*(C2088-1)</x:f>
        <x:v>-0.2078132279021835</x:v>
      </x:c>
      <x:c r="F2088" s="2"/>
      <x:c r="G2088" s="2"/>
      <x:c r="H2088" s="2"/>
    </x:row>
    <x:row r="2089" ht="22" customHeight="1">
      <x:c r="A2089" s="2" t="n">
        <x:v>2083</x:v>
      </x:c>
      <x:c r="B2089" s="79" t="n">
        <x:v>-0.7043584563854575</x:v>
      </x:c>
      <x:c r="C2089" s="46" t="n">
        <x:f>B2089^2</x:f>
        <x:v>0.4961208350817044</x:v>
      </x:c>
      <x:c r="D2089" s="47" t="n">
        <x:f>'Datos'!$B$26^3/3</x:f>
        <x:v>0.3333333333333333</x:v>
      </x:c>
      <x:c r="E2089" s="46" t="n">
        <x:f>D2089*(C2089-1)</x:f>
        <x:v>-0.16795972163943187</x:v>
      </x:c>
      <x:c r="F2089" s="2"/>
      <x:c r="G2089" s="2"/>
      <x:c r="H2089" s="2"/>
    </x:row>
    <x:row r="2090" ht="22" customHeight="1">
      <x:c r="A2090" s="2" t="n">
        <x:v>2084</x:v>
      </x:c>
      <x:c r="B2090" s="79" t="n">
        <x:v>-2.2173240080895518</x:v>
      </x:c>
      <x:c r="C2090" s="46" t="n">
        <x:f>B2090^2</x:f>
        <x:v>4.916525756850315</x:v>
      </x:c>
      <x:c r="D2090" s="47" t="n">
        <x:f>'Datos'!$B$26^3/3</x:f>
        <x:v>0.3333333333333333</x:v>
      </x:c>
      <x:c r="E2090" s="46" t="n">
        <x:f>D2090*(C2090-1)</x:f>
        <x:v>1.3055085856167716</x:v>
      </x:c>
      <x:c r="F2090" s="2"/>
      <x:c r="G2090" s="2"/>
      <x:c r="H2090" s="2"/>
    </x:row>
    <x:row r="2091" ht="22" customHeight="1">
      <x:c r="A2091" s="2" t="n">
        <x:v>2085</x:v>
      </x:c>
      <x:c r="B2091" s="79" t="n">
        <x:v>0.6411781801080588</x:v>
      </x:c>
      <x:c r="C2091" s="46" t="n">
        <x:f>B2091^2</x:f>
        <x:v>0.4111094586466823</x:v>
      </x:c>
      <x:c r="D2091" s="47" t="n">
        <x:f>'Datos'!$B$26^3/3</x:f>
        <x:v>0.3333333333333333</x:v>
      </x:c>
      <x:c r="E2091" s="46" t="n">
        <x:f>D2091*(C2091-1)</x:f>
        <x:v>-0.19629684711777254</x:v>
      </x:c>
      <x:c r="F2091" s="2"/>
      <x:c r="G2091" s="2"/>
      <x:c r="H2091" s="2"/>
    </x:row>
    <x:row r="2092" ht="22" customHeight="1">
      <x:c r="A2092" s="2" t="n">
        <x:v>2086</x:v>
      </x:c>
      <x:c r="B2092" s="79" t="n">
        <x:v>0.2038145325548598</x:v>
      </x:c>
      <x:c r="C2092" s="46" t="n">
        <x:f>B2092^2</x:f>
        <x:v>0.041540363680556004</x:v>
      </x:c>
      <x:c r="D2092" s="47" t="n">
        <x:f>'Datos'!$B$26^3/3</x:f>
        <x:v>0.3333333333333333</x:v>
      </x:c>
      <x:c r="E2092" s="46" t="n">
        <x:f>D2092*(C2092-1)</x:f>
        <x:v>-0.31948654543981464</x:v>
      </x:c>
      <x:c r="F2092" s="2"/>
      <x:c r="G2092" s="2"/>
      <x:c r="H2092" s="2"/>
    </x:row>
    <x:row r="2093" ht="22" customHeight="1">
      <x:c r="A2093" s="2" t="n">
        <x:v>2087</x:v>
      </x:c>
      <x:c r="B2093" s="79" t="n">
        <x:v>1.1217613924064327</x:v>
      </x:c>
      <x:c r="C2093" s="46" t="n">
        <x:f>B2093^2</x:f>
        <x:v>1.2583486214936186</x:v>
      </x:c>
      <x:c r="D2093" s="47" t="n">
        <x:f>'Datos'!$B$26^3/3</x:f>
        <x:v>0.3333333333333333</x:v>
      </x:c>
      <x:c r="E2093" s="46" t="n">
        <x:f>D2093*(C2093-1)</x:f>
        <x:v>0.08611620716453952</x:v>
      </x:c>
      <x:c r="F2093" s="2"/>
      <x:c r="G2093" s="2"/>
      <x:c r="H2093" s="2"/>
    </x:row>
    <x:row r="2094" ht="22" customHeight="1">
      <x:c r="A2094" s="2" t="n">
        <x:v>2088</x:v>
      </x:c>
      <x:c r="B2094" s="79" t="n">
        <x:v>0.579139994281423</x:v>
      </x:c>
      <x:c r="C2094" s="46" t="n">
        <x:f>B2094^2</x:f>
        <x:v>0.3354031329762867</x:v>
      </x:c>
      <x:c r="D2094" s="47" t="n">
        <x:f>'Datos'!$B$26^3/3</x:f>
        <x:v>0.3333333333333333</x:v>
      </x:c>
      <x:c r="E2094" s="46" t="n">
        <x:f>D2094*(C2094-1)</x:f>
        <x:v>-0.2215322890079044</x:v>
      </x:c>
      <x:c r="F2094" s="2"/>
      <x:c r="G2094" s="2"/>
      <x:c r="H2094" s="2"/>
    </x:row>
    <x:row r="2095" ht="22" customHeight="1">
      <x:c r="A2095" s="2" t="n">
        <x:v>2089</x:v>
      </x:c>
      <x:c r="B2095" s="79" t="n">
        <x:v>2.2112175546922157</x:v>
      </x:c>
      <x:c r="C2095" s="46" t="n">
        <x:f>B2095^2</x:f>
        <x:v>4.889483074179022</x:v>
      </x:c>
      <x:c r="D2095" s="47" t="n">
        <x:f>'Datos'!$B$26^3/3</x:f>
        <x:v>0.3333333333333333</x:v>
      </x:c>
      <x:c r="E2095" s="46" t="n">
        <x:f>D2095*(C2095-1)</x:f>
        <x:v>1.296494358059674</x:v>
      </x:c>
      <x:c r="F2095" s="2"/>
      <x:c r="G2095" s="2"/>
      <x:c r="H2095" s="2"/>
    </x:row>
    <x:row r="2096" ht="22" customHeight="1">
      <x:c r="A2096" s="2" t="n">
        <x:v>2090</x:v>
      </x:c>
      <x:c r="B2096" s="79" t="n">
        <x:v>0.2624332372028681</x:v>
      </x:c>
      <x:c r="C2096" s="46" t="n">
        <x:f>B2096^2</x:f>
        <x:v>0.06887120398877683</x:v>
      </x:c>
      <x:c r="D2096" s="47" t="n">
        <x:f>'Datos'!$B$26^3/3</x:f>
        <x:v>0.3333333333333333</x:v>
      </x:c>
      <x:c r="E2096" s="46" t="n">
        <x:f>D2096*(C2096-1)</x:f>
        <x:v>-0.31037626533707435</x:v>
      </x:c>
      <x:c r="F2096" s="2"/>
      <x:c r="G2096" s="2"/>
      <x:c r="H2096" s="2"/>
    </x:row>
    <x:row r="2097" ht="22" customHeight="1">
      <x:c r="A2097" s="2" t="n">
        <x:v>2091</x:v>
      </x:c>
      <x:c r="B2097" s="79" t="n">
        <x:v>0.14395210723666796</x:v>
      </x:c>
      <x:c r="C2097" s="46" t="n">
        <x:f>B2097^2</x:f>
        <x:v>0.020722209177877152</x:v>
      </x:c>
      <x:c r="D2097" s="47" t="n">
        <x:f>'Datos'!$B$26^3/3</x:f>
        <x:v>0.3333333333333333</x:v>
      </x:c>
      <x:c r="E2097" s="46" t="n">
        <x:f>D2097*(C2097-1)</x:f>
        <x:v>-0.32642593027404093</x:v>
      </x:c>
      <x:c r="F2097" s="2"/>
      <x:c r="G2097" s="2"/>
      <x:c r="H2097" s="2"/>
    </x:row>
    <x:row r="2098" ht="22" customHeight="1">
      <x:c r="A2098" s="2" t="n">
        <x:v>2092</x:v>
      </x:c>
      <x:c r="B2098" s="79" t="n">
        <x:v>0.5739960569583354</x:v>
      </x:c>
      <x:c r="C2098" s="46" t="n">
        <x:f>B2098^2</x:f>
        <x:v>0.3294714734037167</x:v>
      </x:c>
      <x:c r="D2098" s="47" t="n">
        <x:f>'Datos'!$B$26^3/3</x:f>
        <x:v>0.3333333333333333</x:v>
      </x:c>
      <x:c r="E2098" s="46" t="n">
        <x:f>D2098*(C2098-1)</x:f>
        <x:v>-0.22350950886542775</x:v>
      </x:c>
      <x:c r="F2098" s="2"/>
      <x:c r="G2098" s="2"/>
      <x:c r="H2098" s="2"/>
    </x:row>
    <x:row r="2099" ht="22" customHeight="1">
      <x:c r="A2099" s="2" t="n">
        <x:v>2093</x:v>
      </x:c>
      <x:c r="B2099" s="79" t="n">
        <x:v>0.6461380921275005</x:v>
      </x:c>
      <x:c r="C2099" s="46" t="n">
        <x:f>B2099^2</x:f>
        <x:v>0.41749443409816633</x:v>
      </x:c>
      <x:c r="D2099" s="47" t="n">
        <x:f>'Datos'!$B$26^3/3</x:f>
        <x:v>0.3333333333333333</x:v>
      </x:c>
      <x:c r="E2099" s="46" t="n">
        <x:f>D2099*(C2099-1)</x:f>
        <x:v>-0.19416852196727788</x:v>
      </x:c>
      <x:c r="F2099" s="2"/>
      <x:c r="G2099" s="2"/>
      <x:c r="H2099" s="2"/>
    </x:row>
    <x:row r="2100" ht="22" customHeight="1">
      <x:c r="A2100" s="2" t="n">
        <x:v>2094</x:v>
      </x:c>
      <x:c r="B2100" s="79" t="n">
        <x:v>1.0936680920395678</x:v>
      </x:c>
      <x:c r="C2100" s="46" t="n">
        <x:f>B2100^2</x:f>
        <x:v>1.1961098955454685</x:v>
      </x:c>
      <x:c r="D2100" s="47" t="n">
        <x:f>'Datos'!$B$26^3/3</x:f>
        <x:v>0.3333333333333333</x:v>
      </x:c>
      <x:c r="E2100" s="46" t="n">
        <x:f>D2100*(C2100-1)</x:f>
        <x:v>0.06536996518182284</x:v>
      </x:c>
      <x:c r="F2100" s="2"/>
      <x:c r="G2100" s="2"/>
      <x:c r="H2100" s="2"/>
    </x:row>
    <x:row r="2101" ht="22" customHeight="1">
      <x:c r="A2101" s="2" t="n">
        <x:v>2095</x:v>
      </x:c>
      <x:c r="B2101" s="79" t="n">
        <x:v>-0.8999950876071983</x:v>
      </x:c>
      <x:c r="C2101" s="46" t="n">
        <x:f>B2101^2</x:f>
        <x:v>0.8099911577170885</x:v>
      </x:c>
      <x:c r="D2101" s="47" t="n">
        <x:f>'Datos'!$B$26^3/3</x:f>
        <x:v>0.3333333333333333</x:v>
      </x:c>
      <x:c r="E2101" s="46" t="n">
        <x:f>D2101*(C2101-1)</x:f>
        <x:v>-0.06333628076097049</x:v>
      </x:c>
      <x:c r="F2101" s="2"/>
      <x:c r="G2101" s="2"/>
      <x:c r="H2101" s="2"/>
    </x:row>
    <x:row r="2102" ht="22" customHeight="1">
      <x:c r="A2102" s="2" t="n">
        <x:v>2096</x:v>
      </x:c>
      <x:c r="B2102" s="79" t="n">
        <x:v>0.953153896527193</x:v>
      </x:c>
      <x:c r="C2102" s="46" t="n">
        <x:f>B2102^2</x:f>
        <x:v>0.9085023504649709</x:v>
      </x:c>
      <x:c r="D2102" s="47" t="n">
        <x:f>'Datos'!$B$26^3/3</x:f>
        <x:v>0.3333333333333333</x:v>
      </x:c>
      <x:c r="E2102" s="46" t="n">
        <x:f>D2102*(C2102-1)</x:f>
        <x:v>-0.03049921651167638</x:v>
      </x:c>
      <x:c r="F2102" s="2"/>
      <x:c r="G2102" s="2"/>
      <x:c r="H2102" s="2"/>
    </x:row>
    <x:row r="2103" ht="22" customHeight="1">
      <x:c r="A2103" s="2" t="n">
        <x:v>2097</x:v>
      </x:c>
      <x:c r="B2103" s="79" t="n">
        <x:v>0.8811225145301438</x:v>
      </x:c>
      <x:c r="C2103" s="46" t="n">
        <x:f>B2103^2</x:f>
        <x:v>0.7763768856119234</x:v>
      </x:c>
      <x:c r="D2103" s="47" t="n">
        <x:f>'Datos'!$B$26^3/3</x:f>
        <x:v>0.3333333333333333</x:v>
      </x:c>
      <x:c r="E2103" s="46" t="n">
        <x:f>D2103*(C2103-1)</x:f>
        <x:v>-0.07454103812935886</x:v>
      </x:c>
      <x:c r="F2103" s="2"/>
      <x:c r="G2103" s="2"/>
      <x:c r="H2103" s="2"/>
    </x:row>
    <x:row r="2104" ht="22" customHeight="1">
      <x:c r="A2104" s="2" t="n">
        <x:v>2098</x:v>
      </x:c>
      <x:c r="B2104" s="79" t="n">
        <x:v>-0.41063353457539714</x:v>
      </x:c>
      <x:c r="C2104" s="46" t="n">
        <x:f>B2104^2</x:f>
        <x:v>0.16861989971788388</x:v>
      </x:c>
      <x:c r="D2104" s="47" t="n">
        <x:f>'Datos'!$B$26^3/3</x:f>
        <x:v>0.3333333333333333</x:v>
      </x:c>
      <x:c r="E2104" s="46" t="n">
        <x:f>D2104*(C2104-1)</x:f>
        <x:v>-0.2771267000940387</x:v>
      </x:c>
      <x:c r="F2104" s="2"/>
      <x:c r="G2104" s="2"/>
      <x:c r="H2104" s="2"/>
    </x:row>
    <x:row r="2105" ht="22" customHeight="1">
      <x:c r="A2105" s="2" t="n">
        <x:v>2099</x:v>
      </x:c>
      <x:c r="B2105" s="79" t="n">
        <x:v>-0.7052384625040579</x:v>
      </x:c>
      <x:c r="C2105" s="46" t="n">
        <x:f>B2105^2</x:f>
        <x:v>0.4973612889950874</x:v>
      </x:c>
      <x:c r="D2105" s="47" t="n">
        <x:f>'Datos'!$B$26^3/3</x:f>
        <x:v>0.3333333333333333</x:v>
      </x:c>
      <x:c r="E2105" s="46" t="n">
        <x:f>D2105*(C2105-1)</x:f>
        <x:v>-0.16754623700163754</x:v>
      </x:c>
      <x:c r="F2105" s="2"/>
      <x:c r="G2105" s="2"/>
      <x:c r="H2105" s="2"/>
    </x:row>
    <x:row r="2106" ht="22" customHeight="1">
      <x:c r="A2106" s="2" t="n">
        <x:v>2100</x:v>
      </x:c>
      <x:c r="B2106" s="79" t="n">
        <x:v>-0.5189181026356595</x:v>
      </x:c>
      <x:c r="C2106" s="46" t="n">
        <x:f>B2106^2</x:f>
        <x:v>0.26927599724299284</x:v>
      </x:c>
      <x:c r="D2106" s="47" t="n">
        <x:f>'Datos'!$B$26^3/3</x:f>
        <x:v>0.3333333333333333</x:v>
      </x:c>
      <x:c r="E2106" s="46" t="n">
        <x:f>D2106*(C2106-1)</x:f>
        <x:v>-0.24357466758566906</x:v>
      </x:c>
      <x:c r="F2106" s="2"/>
      <x:c r="G2106" s="2"/>
      <x:c r="H2106" s="2"/>
    </x:row>
    <x:row r="2107" ht="22" customHeight="1">
      <x:c r="A2107" s="2" t="n">
        <x:v>2101</x:v>
      </x:c>
      <x:c r="B2107" s="79" t="n">
        <x:v>0.009487073364363397</x:v>
      </x:c>
      <x:c r="C2107" s="46" t="n">
        <x:f>B2107^2</x:f>
        <x:v>0.00009000456102081344</x:v>
      </x:c>
      <x:c r="D2107" s="47" t="n">
        <x:f>'Datos'!$B$26^3/3</x:f>
        <x:v>0.3333333333333333</x:v>
      </x:c>
      <x:c r="E2107" s="46" t="n">
        <x:f>D2107*(C2107-1)</x:f>
        <x:v>-0.33330333181299304</x:v>
      </x:c>
      <x:c r="F2107" s="2"/>
      <x:c r="G2107" s="2"/>
      <x:c r="H2107" s="2"/>
    </x:row>
    <x:row r="2108" ht="22" customHeight="1">
      <x:c r="A2108" s="2" t="n">
        <x:v>2102</x:v>
      </x:c>
      <x:c r="B2108" s="79" t="n">
        <x:v>1.040242010315468</x:v>
      </x:c>
      <x:c r="C2108" s="46" t="n">
        <x:f>B2108^2</x:f>
        <x:v>1.0821034400251661</x:v>
      </x:c>
      <x:c r="D2108" s="47" t="n">
        <x:f>'Datos'!$B$26^3/3</x:f>
        <x:v>0.3333333333333333</x:v>
      </x:c>
      <x:c r="E2108" s="46" t="n">
        <x:f>D2108*(C2108-1)</x:f>
        <x:v>0.027367813341722037</x:v>
      </x:c>
      <x:c r="F2108" s="2"/>
      <x:c r="G2108" s="2"/>
      <x:c r="H2108" s="2"/>
    </x:row>
    <x:row r="2109" ht="22" customHeight="1">
      <x:c r="A2109" s="2" t="n">
        <x:v>2103</x:v>
      </x:c>
      <x:c r="B2109" s="79" t="n">
        <x:v>0.7790790632240949</x:v>
      </x:c>
      <x:c r="C2109" s="46" t="n">
        <x:f>B2109^2</x:f>
        <x:v>0.6069641867541333</x:v>
      </x:c>
      <x:c r="D2109" s="47" t="n">
        <x:f>'Datos'!$B$26^3/3</x:f>
        <x:v>0.3333333333333333</x:v>
      </x:c>
      <x:c r="E2109" s="46" t="n">
        <x:f>D2109*(C2109-1)</x:f>
        <x:v>-0.13101193774862221</x:v>
      </x:c>
      <x:c r="F2109" s="2"/>
      <x:c r="G2109" s="2"/>
      <x:c r="H2109" s="2"/>
    </x:row>
    <x:row r="2110" ht="22" customHeight="1">
      <x:c r="A2110" s="2" t="n">
        <x:v>2104</x:v>
      </x:c>
      <x:c r="B2110" s="79" t="n">
        <x:v>0.41416046254936545</x:v>
      </x:c>
      <x:c r="C2110" s="46" t="n">
        <x:f>B2110^2</x:f>
        <x:v>0.17152888873910435</x:v>
      </x:c>
      <x:c r="D2110" s="47" t="n">
        <x:f>'Datos'!$B$26^3/3</x:f>
        <x:v>0.3333333333333333</x:v>
      </x:c>
      <x:c r="E2110" s="46" t="n">
        <x:f>D2110*(C2110-1)</x:f>
        <x:v>-0.2761570370869652</x:v>
      </x:c>
      <x:c r="F2110" s="2"/>
      <x:c r="G2110" s="2"/>
      <x:c r="H2110" s="2"/>
    </x:row>
    <x:row r="2111" ht="22" customHeight="1">
      <x:c r="A2111" s="2" t="n">
        <x:v>2105</x:v>
      </x:c>
      <x:c r="B2111" s="79" t="n">
        <x:v>-0.49636094612039783</x:v>
      </x:c>
      <x:c r="C2111" s="46" t="n">
        <x:f>B2111^2</x:f>
        <x:v>0.24637418883353648</x:v>
      </x:c>
      <x:c r="D2111" s="47" t="n">
        <x:f>'Datos'!$B$26^3/3</x:f>
        <x:v>0.3333333333333333</x:v>
      </x:c>
      <x:c r="E2111" s="46" t="n">
        <x:f>D2111*(C2111-1)</x:f>
        <x:v>-0.2512086037221545</x:v>
      </x:c>
      <x:c r="F2111" s="2"/>
      <x:c r="G2111" s="2"/>
      <x:c r="H2111" s="2"/>
    </x:row>
    <x:row r="2112" ht="22" customHeight="1">
      <x:c r="A2112" s="2" t="n">
        <x:v>2106</x:v>
      </x:c>
      <x:c r="B2112" s="79" t="n">
        <x:v>0.818631338363202</x:v>
      </x:c>
      <x:c r="C2112" s="46" t="n">
        <x:f>B2112^2</x:f>
        <x:v>0.6701572681503274</x:v>
      </x:c>
      <x:c r="D2112" s="47" t="n">
        <x:f>'Datos'!$B$26^3/3</x:f>
        <x:v>0.3333333333333333</x:v>
      </x:c>
      <x:c r="E2112" s="46" t="n">
        <x:f>D2112*(C2112-1)</x:f>
        <x:v>-0.1099475772832242</x:v>
      </x:c>
      <x:c r="F2112" s="2"/>
      <x:c r="G2112" s="2"/>
      <x:c r="H2112" s="2"/>
    </x:row>
    <x:row r="2113" ht="22" customHeight="1">
      <x:c r="A2113" s="2" t="n">
        <x:v>2107</x:v>
      </x:c>
      <x:c r="B2113" s="79" t="n">
        <x:v>-0.5053679008384164</x:v>
      </x:c>
      <x:c r="C2113" s="46" t="n">
        <x:f>B2113^2</x:f>
        <x:v>0.2553967151978275</x:v>
      </x:c>
      <x:c r="D2113" s="47" t="n">
        <x:f>'Datos'!$B$26^3/3</x:f>
        <x:v>0.3333333333333333</x:v>
      </x:c>
      <x:c r="E2113" s="46" t="n">
        <x:f>D2113*(C2113-1)</x:f>
        <x:v>-0.2482010949340575</x:v>
      </x:c>
      <x:c r="F2113" s="2"/>
      <x:c r="G2113" s="2"/>
      <x:c r="H2113" s="2"/>
    </x:row>
    <x:row r="2114" ht="22" customHeight="1">
      <x:c r="A2114" s="2" t="n">
        <x:v>2108</x:v>
      </x:c>
      <x:c r="B2114" s="79" t="n">
        <x:v>1.3098565210543796</x:v>
      </x:c>
      <x:c r="C2114" s="46" t="n">
        <x:f>B2114^2</x:f>
        <x:v>1.7157241057486823</x:v>
      </x:c>
      <x:c r="D2114" s="47" t="n">
        <x:f>'Datos'!$B$26^3/3</x:f>
        <x:v>0.3333333333333333</x:v>
      </x:c>
      <x:c r="E2114" s="46" t="n">
        <x:f>D2114*(C2114-1)</x:f>
        <x:v>0.23857470191622743</x:v>
      </x:c>
      <x:c r="F2114" s="2"/>
      <x:c r="G2114" s="2"/>
      <x:c r="H2114" s="2"/>
    </x:row>
    <x:row r="2115" ht="22" customHeight="1">
      <x:c r="A2115" s="2" t="n">
        <x:v>2109</x:v>
      </x:c>
      <x:c r="B2115" s="79" t="n">
        <x:v>-0.655497340341389</x:v>
      </x:c>
      <x:c r="C2115" s="46" t="n">
        <x:f>B2115^2</x:f>
        <x:v>0.4296767631946347</x:v>
      </x:c>
      <x:c r="D2115" s="47" t="n">
        <x:f>'Datos'!$B$26^3/3</x:f>
        <x:v>0.3333333333333333</x:v>
      </x:c>
      <x:c r="E2115" s="46" t="n">
        <x:f>D2115*(C2115-1)</x:f>
        <x:v>-0.1901077456017884</x:v>
      </x:c>
      <x:c r="F2115" s="2"/>
      <x:c r="G2115" s="2"/>
      <x:c r="H2115" s="2"/>
    </x:row>
    <x:row r="2116" ht="22" customHeight="1">
      <x:c r="A2116" s="2" t="n">
        <x:v>2110</x:v>
      </x:c>
      <x:c r="B2116" s="79" t="n">
        <x:v>-0.43394326944724976</x:v>
      </x:c>
      <x:c r="C2116" s="46" t="n">
        <x:f>B2116^2</x:f>
        <x:v>0.1883067610985684</x:v>
      </x:c>
      <x:c r="D2116" s="47" t="n">
        <x:f>'Datos'!$B$26^3/3</x:f>
        <x:v>0.3333333333333333</x:v>
      </x:c>
      <x:c r="E2116" s="46" t="n">
        <x:f>D2116*(C2116-1)</x:f>
        <x:v>-0.27056441296714384</x:v>
      </x:c>
      <x:c r="F2116" s="2"/>
      <x:c r="G2116" s="2"/>
      <x:c r="H2116" s="2"/>
    </x:row>
    <x:row r="2117" ht="22" customHeight="1">
      <x:c r="A2117" s="2" t="n">
        <x:v>2111</x:v>
      </x:c>
      <x:c r="B2117" s="79" t="n">
        <x:v>1.1096465746137925</x:v>
      </x:c>
      <x:c r="C2117" s="46" t="n">
        <x:f>B2117^2</x:f>
        <x:v>1.231315520552123</x:v>
      </x:c>
      <x:c r="D2117" s="47" t="n">
        <x:f>'Datos'!$B$26^3/3</x:f>
        <x:v>0.3333333333333333</x:v>
      </x:c>
      <x:c r="E2117" s="46" t="n">
        <x:f>D2117*(C2117-1)</x:f>
        <x:v>0.0771051735173743</x:v>
      </x:c>
      <x:c r="F2117" s="2"/>
      <x:c r="G2117" s="2"/>
      <x:c r="H2117" s="2"/>
    </x:row>
    <x:row r="2118" ht="22" customHeight="1">
      <x:c r="A2118" s="2" t="n">
        <x:v>2112</x:v>
      </x:c>
      <x:c r="B2118" s="79" t="n">
        <x:v>0.5051111066282181</x:v>
      </x:c>
      <x:c r="C2118" s="46" t="n">
        <x:f>B2118^2</x:f>
        <x:v>0.25513723003918315</x:v>
      </x:c>
      <x:c r="D2118" s="47" t="n">
        <x:f>'Datos'!$B$26^3/3</x:f>
        <x:v>0.3333333333333333</x:v>
      </x:c>
      <x:c r="E2118" s="46" t="n">
        <x:f>D2118*(C2118-1)</x:f>
        <x:v>-0.24828758998693892</x:v>
      </x:c>
      <x:c r="F2118" s="2"/>
      <x:c r="G2118" s="2"/>
      <x:c r="H2118" s="2"/>
    </x:row>
    <x:row r="2119" ht="22" customHeight="1">
      <x:c r="A2119" s="2" t="n">
        <x:v>2113</x:v>
      </x:c>
      <x:c r="B2119" s="79" t="n">
        <x:v>-0.628638973987506</x:v>
      </x:c>
      <x:c r="C2119" s="46" t="n">
        <x:f>B2119^2</x:f>
        <x:v>0.39518695961606426</x:v>
      </x:c>
      <x:c r="D2119" s="47" t="n">
        <x:f>'Datos'!$B$26^3/3</x:f>
        <x:v>0.3333333333333333</x:v>
      </x:c>
      <x:c r="E2119" s="46" t="n">
        <x:f>D2119*(C2119-1)</x:f>
        <x:v>-0.20160434679464526</x:v>
      </x:c>
      <x:c r="F2119" s="2"/>
      <x:c r="G2119" s="2"/>
      <x:c r="H2119" s="2"/>
    </x:row>
    <x:row r="2120" ht="22" customHeight="1">
      <x:c r="A2120" s="2" t="n">
        <x:v>2114</x:v>
      </x:c>
      <x:c r="B2120" s="79" t="n">
        <x:v>-0.6042270683064317</x:v>
      </x:c>
      <x:c r="C2120" s="46" t="n">
        <x:f>B2120^2</x:f>
        <x:v>0.3650903500741853</x:v>
      </x:c>
      <x:c r="D2120" s="47" t="n">
        <x:f>'Datos'!$B$26^3/3</x:f>
        <x:v>0.3333333333333333</x:v>
      </x:c>
      <x:c r="E2120" s="46" t="n">
        <x:f>D2120*(C2120-1)</x:f>
        <x:v>-0.21163654997527154</x:v>
      </x:c>
      <x:c r="F2120" s="2"/>
      <x:c r="G2120" s="2"/>
      <x:c r="H2120" s="2"/>
    </x:row>
    <x:row r="2121" ht="22" customHeight="1">
      <x:c r="A2121" s="2" t="n">
        <x:v>2115</x:v>
      </x:c>
      <x:c r="B2121" s="79" t="n">
        <x:v>-0.21788696449275127</x:v>
      </x:c>
      <x:c r="C2121" s="46" t="n">
        <x:f>B2121^2</x:f>
        <x:v>0.04747472929586546</x:v>
      </x:c>
      <x:c r="D2121" s="47" t="n">
        <x:f>'Datos'!$B$26^3/3</x:f>
        <x:v>0.3333333333333333</x:v>
      </x:c>
      <x:c r="E2121" s="46" t="n">
        <x:f>D2121*(C2121-1)</x:f>
        <x:v>-0.3175084235680448</x:v>
      </x:c>
      <x:c r="F2121" s="2"/>
      <x:c r="G2121" s="2"/>
      <x:c r="H2121" s="2"/>
    </x:row>
    <x:row r="2122" ht="22" customHeight="1">
      <x:c r="A2122" s="2" t="n">
        <x:v>2116</x:v>
      </x:c>
      <x:c r="B2122" s="79" t="n">
        <x:v>1.3507901568014204</x:v>
      </x:c>
      <x:c r="C2122" s="46" t="n">
        <x:f>B2122^2</x:f>
        <x:v>1.824634047711606</x:v>
      </x:c>
      <x:c r="D2122" s="47" t="n">
        <x:f>'Datos'!$B$26^3/3</x:f>
        <x:v>0.3333333333333333</x:v>
      </x:c>
      <x:c r="E2122" s="46" t="n">
        <x:f>D2122*(C2122-1)</x:f>
        <x:v>0.2748780159038687</x:v>
      </x:c>
      <x:c r="F2122" s="2"/>
      <x:c r="G2122" s="2"/>
      <x:c r="H2122" s="2"/>
    </x:row>
    <x:row r="2123" ht="22" customHeight="1">
      <x:c r="A2123" s="2" t="n">
        <x:v>2117</x:v>
      </x:c>
      <x:c r="B2123" s="79" t="n">
        <x:v>0.8733245664828605</x:v>
      </x:c>
      <x:c r="C2123" s="46" t="n">
        <x:f>B2123^2</x:f>
        <x:v>0.7626957984224763</x:v>
      </x:c>
      <x:c r="D2123" s="47" t="n">
        <x:f>'Datos'!$B$26^3/3</x:f>
        <x:v>0.3333333333333333</x:v>
      </x:c>
      <x:c r="E2123" s="46" t="n">
        <x:f>D2123*(C2123-1)</x:f>
        <x:v>-0.07910140052584125</x:v>
      </x:c>
      <x:c r="F2123" s="2"/>
      <x:c r="G2123" s="2"/>
      <x:c r="H2123" s="2"/>
    </x:row>
    <x:row r="2124" ht="22" customHeight="1">
      <x:c r="A2124" s="2" t="n">
        <x:v>2118</x:v>
      </x:c>
      <x:c r="B2124" s="79" t="n">
        <x:v>0.10596699546864632</x:v>
      </x:c>
      <x:c r="C2124" s="46" t="n">
        <x:f>B2124^2</x:f>
        <x:v>0.01122900412865211</x:v>
      </x:c>
      <x:c r="D2124" s="47" t="n">
        <x:f>'Datos'!$B$26^3/3</x:f>
        <x:v>0.3333333333333333</x:v>
      </x:c>
      <x:c r="E2124" s="46" t="n">
        <x:f>D2124*(C2124-1)</x:f>
        <x:v>-0.32959033195711596</x:v>
      </x:c>
      <x:c r="F2124" s="2"/>
      <x:c r="G2124" s="2"/>
      <x:c r="H2124" s="2"/>
    </x:row>
    <x:row r="2125" ht="22" customHeight="1">
      <x:c r="A2125" s="2" t="n">
        <x:v>2119</x:v>
      </x:c>
      <x:c r="B2125" s="79" t="n">
        <x:v>1.4618080246479195</x:v>
      </x:c>
      <x:c r="C2125" s="46" t="n">
        <x:f>B2125^2</x:f>
        <x:v>2.136882700925052</x:v>
      </x:c>
      <x:c r="D2125" s="47" t="n">
        <x:f>'Datos'!$B$26^3/3</x:f>
        <x:v>0.3333333333333333</x:v>
      </x:c>
      <x:c r="E2125" s="46" t="n">
        <x:f>D2125*(C2125-1)</x:f>
        <x:v>0.3789609003083507</x:v>
      </x:c>
      <x:c r="F2125" s="2"/>
      <x:c r="G2125" s="2"/>
      <x:c r="H2125" s="2"/>
    </x:row>
    <x:row r="2126" ht="22" customHeight="1">
      <x:c r="A2126" s="2" t="n">
        <x:v>2120</x:v>
      </x:c>
      <x:c r="B2126" s="79" t="n">
        <x:v>-1.0648585583681143</x:v>
      </x:c>
      <x:c r="C2126" s="46" t="n">
        <x:f>B2126^2</x:f>
        <x:v>1.1339237493298187</x:v>
      </x:c>
      <x:c r="D2126" s="47" t="n">
        <x:f>'Datos'!$B$26^3/3</x:f>
        <x:v>0.3333333333333333</x:v>
      </x:c>
      <x:c r="E2126" s="46" t="n">
        <x:f>D2126*(C2126-1)</x:f>
        <x:v>0.04464124977660622</x:v>
      </x:c>
      <x:c r="F2126" s="2"/>
      <x:c r="G2126" s="2"/>
      <x:c r="H2126" s="2"/>
    </x:row>
    <x:row r="2127" ht="22" customHeight="1">
      <x:c r="A2127" s="2" t="n">
        <x:v>2121</x:v>
      </x:c>
      <x:c r="B2127" s="79" t="n">
        <x:v>-0.8258796766108635</x:v>
      </x:c>
      <x:c r="C2127" s="46" t="n">
        <x:f>B2127^2</x:f>
        <x:v>0.6820772402388644</x:v>
      </x:c>
      <x:c r="D2127" s="47" t="n">
        <x:f>'Datos'!$B$26^3/3</x:f>
        <x:v>0.3333333333333333</x:v>
      </x:c>
      <x:c r="E2127" s="46" t="n">
        <x:f>D2127*(C2127-1)</x:f>
        <x:v>-0.10597425325371186</x:v>
      </x:c>
      <x:c r="F2127" s="2"/>
      <x:c r="G2127" s="2"/>
      <x:c r="H2127" s="2"/>
    </x:row>
    <x:row r="2128" ht="22" customHeight="1">
      <x:c r="A2128" s="2" t="n">
        <x:v>2122</x:v>
      </x:c>
      <x:c r="B2128" s="79" t="n">
        <x:v>0.15065540172408406</x:v>
      </x:c>
      <x:c r="C2128" s="46" t="n">
        <x:f>B2128^2</x:f>
        <x:v>0.022697050068645152</x:v>
      </x:c>
      <x:c r="D2128" s="47" t="n">
        <x:f>'Datos'!$B$26^3/3</x:f>
        <x:v>0.3333333333333333</x:v>
      </x:c>
      <x:c r="E2128" s="46" t="n">
        <x:f>D2128*(C2128-1)</x:f>
        <x:v>-0.32576764997711827</x:v>
      </x:c>
      <x:c r="F2128" s="2"/>
      <x:c r="G2128" s="2"/>
      <x:c r="H2128" s="2"/>
    </x:row>
    <x:row r="2129" ht="22" customHeight="1">
      <x:c r="A2129" s="2" t="n">
        <x:v>2123</x:v>
      </x:c>
      <x:c r="B2129" s="79" t="n">
        <x:v>-2.057017355652844</x:v>
      </x:c>
      <x:c r="C2129" s="46" t="n">
        <x:f>B2129^2</x:f>
        <x:v>4.23132040145702</x:v>
      </x:c>
      <x:c r="D2129" s="47" t="n">
        <x:f>'Datos'!$B$26^3/3</x:f>
        <x:v>0.3333333333333333</x:v>
      </x:c>
      <x:c r="E2129" s="46" t="n">
        <x:f>D2129*(C2129-1)</x:f>
        <x:v>1.0771068004856732</x:v>
      </x:c>
      <x:c r="F2129" s="2"/>
      <x:c r="G2129" s="2"/>
      <x:c r="H2129" s="2"/>
    </x:row>
    <x:row r="2130" ht="22" customHeight="1">
      <x:c r="A2130" s="2" t="n">
        <x:v>2124</x:v>
      </x:c>
      <x:c r="B2130" s="79" t="n">
        <x:v>1.0568993309754064</x:v>
      </x:c>
      <x:c r="C2130" s="46" t="n">
        <x:f>B2130^2</x:f>
        <x:v>1.1170361958162618</x:v>
      </x:c>
      <x:c r="D2130" s="47" t="n">
        <x:f>'Datos'!$B$26^3/3</x:f>
        <x:v>0.3333333333333333</x:v>
      </x:c>
      <x:c r="E2130" s="46" t="n">
        <x:f>D2130*(C2130-1)</x:f>
        <x:v>0.03901206527208726</x:v>
      </x:c>
      <x:c r="F2130" s="2"/>
      <x:c r="G2130" s="2"/>
      <x:c r="H2130" s="2"/>
    </x:row>
    <x:row r="2131" ht="22" customHeight="1">
      <x:c r="A2131" s="2" t="n">
        <x:v>2125</x:v>
      </x:c>
      <x:c r="B2131" s="79" t="n">
        <x:v>-0.29831456793702094</x:v>
      </x:c>
      <x:c r="C2131" s="46" t="n">
        <x:f>B2131^2</x:f>
        <x:v>0.08899158144345148</x:v>
      </x:c>
      <x:c r="D2131" s="47" t="n">
        <x:f>'Datos'!$B$26^3/3</x:f>
        <x:v>0.3333333333333333</x:v>
      </x:c>
      <x:c r="E2131" s="46" t="n">
        <x:f>D2131*(C2131-1)</x:f>
        <x:v>-0.3036694728521828</x:v>
      </x:c>
      <x:c r="F2131" s="2"/>
      <x:c r="G2131" s="2"/>
      <x:c r="H2131" s="2"/>
    </x:row>
    <x:row r="2132" ht="22" customHeight="1">
      <x:c r="A2132" s="2" t="n">
        <x:v>2126</x:v>
      </x:c>
      <x:c r="B2132" s="79" t="n">
        <x:v>0.0018388895552169898</x:v>
      </x:c>
      <x:c r="C2132" s="46" t="n">
        <x:f>B2132^2</x:f>
        <x:v>0.0000033815147962861388</x:v>
      </x:c>
      <x:c r="D2132" s="47" t="n">
        <x:f>'Datos'!$B$26^3/3</x:f>
        <x:v>0.3333333333333333</x:v>
      </x:c>
      <x:c r="E2132" s="46" t="n">
        <x:f>D2132*(C2132-1)</x:f>
        <x:v>-0.33333220616173453</x:v>
      </x:c>
      <x:c r="F2132" s="2"/>
      <x:c r="G2132" s="2"/>
      <x:c r="H2132" s="2"/>
    </x:row>
    <x:row r="2133" ht="22" customHeight="1">
      <x:c r="A2133" s="2" t="n">
        <x:v>2127</x:v>
      </x:c>
      <x:c r="B2133" s="79" t="n">
        <x:v>-0.5460363105953888</x:v>
      </x:c>
      <x:c r="C2133" s="46" t="n">
        <x:f>B2133^2</x:f>
        <x:v>0.2981556524886239</x:v>
      </x:c>
      <x:c r="D2133" s="47" t="n">
        <x:f>'Datos'!$B$26^3/3</x:f>
        <x:v>0.3333333333333333</x:v>
      </x:c>
      <x:c r="E2133" s="46" t="n">
        <x:f>D2133*(C2133-1)</x:f>
        <x:v>-0.23394811583712533</x:v>
      </x:c>
      <x:c r="F2133" s="2"/>
      <x:c r="G2133" s="2"/>
      <x:c r="H2133" s="2"/>
    </x:row>
    <x:row r="2134" ht="22" customHeight="1">
      <x:c r="A2134" s="2" t="n">
        <x:v>2128</x:v>
      </x:c>
      <x:c r="B2134" s="79" t="n">
        <x:v>-0.5581046178542555</x:v>
      </x:c>
      <x:c r="C2134" s="46" t="n">
        <x:f>B2134^2</x:f>
        <x:v>0.31148076447024453</x:v>
      </x:c>
      <x:c r="D2134" s="47" t="n">
        <x:f>'Datos'!$B$26^3/3</x:f>
        <x:v>0.3333333333333333</x:v>
      </x:c>
      <x:c r="E2134" s="46" t="n">
        <x:f>D2134*(C2134-1)</x:f>
        <x:v>-0.22950641184325182</x:v>
      </x:c>
      <x:c r="F2134" s="2"/>
      <x:c r="G2134" s="2"/>
      <x:c r="H2134" s="2"/>
    </x:row>
    <x:row r="2135" ht="22" customHeight="1">
      <x:c r="A2135" s="2" t="n">
        <x:v>2129</x:v>
      </x:c>
      <x:c r="B2135" s="79" t="n">
        <x:v>0.6456661428150975</x:v>
      </x:c>
      <x:c r="C2135" s="46" t="n">
        <x:f>B2135^2</x:f>
        <x:v>0.4168847679777259</x:v>
      </x:c>
      <x:c r="D2135" s="47" t="n">
        <x:f>'Datos'!$B$26^3/3</x:f>
        <x:v>0.3333333333333333</x:v>
      </x:c>
      <x:c r="E2135" s="46" t="n">
        <x:f>D2135*(C2135-1)</x:f>
        <x:v>-0.19437174400742468</x:v>
      </x:c>
      <x:c r="F2135" s="2"/>
      <x:c r="G2135" s="2"/>
      <x:c r="H2135" s="2"/>
    </x:row>
    <x:row r="2136" ht="22" customHeight="1">
      <x:c r="A2136" s="2" t="n">
        <x:v>2130</x:v>
      </x:c>
      <x:c r="B2136" s="79" t="n">
        <x:v>0.6175772237098797</x:v>
      </x:c>
      <x:c r="C2136" s="46" t="n">
        <x:f>B2136^2</x:f>
        <x:v>0.38140162724520277</x:v>
      </x:c>
      <x:c r="D2136" s="47" t="n">
        <x:f>'Datos'!$B$26^3/3</x:f>
        <x:v>0.3333333333333333</x:v>
      </x:c>
      <x:c r="E2136" s="46" t="n">
        <x:f>D2136*(C2136-1)</x:f>
        <x:v>-0.2061994575849324</x:v>
      </x:c>
      <x:c r="F2136" s="2"/>
      <x:c r="G2136" s="2"/>
      <x:c r="H2136" s="2"/>
    </x:row>
    <x:row r="2137" ht="22" customHeight="1">
      <x:c r="A2137" s="2" t="n">
        <x:v>2131</x:v>
      </x:c>
      <x:c r="B2137" s="79" t="n">
        <x:v>-0.8262787869930701</x:v>
      </x:c>
      <x:c r="C2137" s="46" t="n">
        <x:f>B2137^2</x:f>
        <x:v>0.6827366338347394</x:v>
      </x:c>
      <x:c r="D2137" s="47" t="n">
        <x:f>'Datos'!$B$26^3/3</x:f>
        <x:v>0.3333333333333333</x:v>
      </x:c>
      <x:c r="E2137" s="46" t="n">
        <x:f>D2137*(C2137-1)</x:f>
        <x:v>-0.10575445538842021</x:v>
      </x:c>
      <x:c r="F2137" s="2"/>
      <x:c r="G2137" s="2"/>
      <x:c r="H2137" s="2"/>
    </x:row>
    <x:row r="2138" ht="22" customHeight="1">
      <x:c r="A2138" s="2" t="n">
        <x:v>2132</x:v>
      </x:c>
      <x:c r="B2138" s="79" t="n">
        <x:v>0.987977556083728</x:v>
      </x:c>
      <x:c r="C2138" s="46" t="n">
        <x:f>B2138^2</x:f>
        <x:v>0.9760996513251758</x:v>
      </x:c>
      <x:c r="D2138" s="47" t="n">
        <x:f>'Datos'!$B$26^3/3</x:f>
        <x:v>0.3333333333333333</x:v>
      </x:c>
      <x:c r="E2138" s="46" t="n">
        <x:f>D2138*(C2138-1)</x:f>
        <x:v>-0.007966782891608052</x:v>
      </x:c>
      <x:c r="F2138" s="2"/>
      <x:c r="G2138" s="2"/>
      <x:c r="H2138" s="2"/>
    </x:row>
    <x:row r="2139" ht="22" customHeight="1">
      <x:c r="A2139" s="2" t="n">
        <x:v>2133</x:v>
      </x:c>
      <x:c r="B2139" s="79" t="n">
        <x:v>0.09436148471073252</x:v>
      </x:c>
      <x:c r="C2139" s="46" t="n">
        <x:f>B2139^2</x:f>
        <x:v>0.008904089796813808</x:v>
      </x:c>
      <x:c r="D2139" s="47" t="n">
        <x:f>'Datos'!$B$26^3/3</x:f>
        <x:v>0.3333333333333333</x:v>
      </x:c>
      <x:c r="E2139" s="46" t="n">
        <x:f>D2139*(C2139-1)</x:f>
        <x:v>-0.33036530340106207</x:v>
      </x:c>
      <x:c r="F2139" s="2"/>
      <x:c r="G2139" s="2"/>
      <x:c r="H2139" s="2"/>
    </x:row>
    <x:row r="2140" ht="22" customHeight="1">
      <x:c r="A2140" s="2" t="n">
        <x:v>2134</x:v>
      </x:c>
      <x:c r="B2140" s="79" t="n">
        <x:v>0.4109712006388046</x:v>
      </x:c>
      <x:c r="C2140" s="46" t="n">
        <x:f>B2140^2</x:f>
        <x:v>0.1688973277545006</x:v>
      </x:c>
      <x:c r="D2140" s="47" t="n">
        <x:f>'Datos'!$B$26^3/3</x:f>
        <x:v>0.3333333333333333</x:v>
      </x:c>
      <x:c r="E2140" s="46" t="n">
        <x:f>D2140*(C2140-1)</x:f>
        <x:v>-0.2770342240818331</x:v>
      </x:c>
      <x:c r="F2140" s="2"/>
      <x:c r="G2140" s="2"/>
      <x:c r="H2140" s="2"/>
    </x:row>
    <x:row r="2141" ht="22" customHeight="1">
      <x:c r="A2141" s="2" t="n">
        <x:v>2135</x:v>
      </x:c>
      <x:c r="B2141" s="79" t="n">
        <x:v>-0.007541216255784949</x:v>
      </x:c>
      <x:c r="C2141" s="46" t="n">
        <x:f>B2141^2</x:f>
        <x:v>0.00005686994261651516</x:v>
      </x:c>
      <x:c r="D2141" s="47" t="n">
        <x:f>'Datos'!$B$26^3/3</x:f>
        <x:v>0.3333333333333333</x:v>
      </x:c>
      <x:c r="E2141" s="46" t="n">
        <x:f>D2141*(C2141-1)</x:f>
        <x:v>-0.33331437668579444</x:v>
      </x:c>
      <x:c r="F2141" s="2"/>
      <x:c r="G2141" s="2"/>
      <x:c r="H2141" s="2"/>
    </x:row>
    <x:row r="2142" ht="22" customHeight="1">
      <x:c r="A2142" s="2" t="n">
        <x:v>2136</x:v>
      </x:c>
      <x:c r="B2142" s="79" t="n">
        <x:v>-0.5326922891201179</x:v>
      </x:c>
      <x:c r="C2142" s="46" t="n">
        <x:f>B2142^2</x:f>
        <x:v>0.28376107488803126</x:v>
      </x:c>
      <x:c r="D2142" s="47" t="n">
        <x:f>'Datos'!$B$26^3/3</x:f>
        <x:v>0.3333333333333333</x:v>
      </x:c>
      <x:c r="E2142" s="46" t="n">
        <x:f>D2142*(C2142-1)</x:f>
        <x:v>-0.23874630837065625</x:v>
      </x:c>
      <x:c r="F2142" s="2"/>
      <x:c r="G2142" s="2"/>
      <x:c r="H2142" s="2"/>
    </x:row>
    <x:row r="2143" ht="22" customHeight="1">
      <x:c r="A2143" s="2" t="n">
        <x:v>2137</x:v>
      </x:c>
      <x:c r="B2143" s="79" t="n">
        <x:v>0.21426982704807657</x:v>
      </x:c>
      <x:c r="C2143" s="46" t="n">
        <x:f>B2143^2</x:f>
        <x:v>0.045911558783212646</x:v>
      </x:c>
      <x:c r="D2143" s="47" t="n">
        <x:f>'Datos'!$B$26^3/3</x:f>
        <x:v>0.3333333333333333</x:v>
      </x:c>
      <x:c r="E2143" s="46" t="n">
        <x:f>D2143*(C2143-1)</x:f>
        <x:v>-0.31802948040559575</x:v>
      </x:c>
      <x:c r="F2143" s="2"/>
      <x:c r="G2143" s="2"/>
      <x:c r="H2143" s="2"/>
    </x:row>
    <x:row r="2144" ht="22" customHeight="1">
      <x:c r="A2144" s="2" t="n">
        <x:v>2138</x:v>
      </x:c>
      <x:c r="B2144" s="79" t="n">
        <x:v>0.43574817878408156</x:v>
      </x:c>
      <x:c r="C2144" s="46" t="n">
        <x:f>B2144^2</x:f>
        <x:v>0.1898764753136439</x:v>
      </x:c>
      <x:c r="D2144" s="47" t="n">
        <x:f>'Datos'!$B$26^3/3</x:f>
        <x:v>0.3333333333333333</x:v>
      </x:c>
      <x:c r="E2144" s="46" t="n">
        <x:f>D2144*(C2144-1)</x:f>
        <x:v>-0.270041174895452</x:v>
      </x:c>
      <x:c r="F2144" s="2"/>
      <x:c r="G2144" s="2"/>
      <x:c r="H2144" s="2"/>
    </x:row>
    <x:row r="2145" ht="22" customHeight="1">
      <x:c r="A2145" s="2" t="n">
        <x:v>2139</x:v>
      </x:c>
      <x:c r="B2145" s="79" t="n">
        <x:v>-1.3939508845189426</x:v>
      </x:c>
      <x:c r="C2145" s="46" t="n">
        <x:f>B2145^2</x:f>
        <x:v>1.9430990684511422</x:v>
      </x:c>
      <x:c r="D2145" s="47" t="n">
        <x:f>'Datos'!$B$26^3/3</x:f>
        <x:v>0.3333333333333333</x:v>
      </x:c>
      <x:c r="E2145" s="46" t="n">
        <x:f>D2145*(C2145-1)</x:f>
        <x:v>0.3143663561503807</x:v>
      </x:c>
      <x:c r="F2145" s="2"/>
      <x:c r="G2145" s="2"/>
      <x:c r="H2145" s="2"/>
    </x:row>
    <x:row r="2146" ht="22" customHeight="1">
      <x:c r="A2146" s="2" t="n">
        <x:v>2140</x:v>
      </x:c>
      <x:c r="B2146" s="79" t="n">
        <x:v>-0.5975112272322771</x:v>
      </x:c>
      <x:c r="C2146" s="46" t="n">
        <x:f>B2146^2</x:f>
        <x:v>0.3570196666686219</x:v>
      </x:c>
      <x:c r="D2146" s="47" t="n">
        <x:f>'Datos'!$B$26^3/3</x:f>
        <x:v>0.3333333333333333</x:v>
      </x:c>
      <x:c r="E2146" s="46" t="n">
        <x:f>D2146*(C2146-1)</x:f>
        <x:v>-0.21432677777712605</x:v>
      </x:c>
      <x:c r="F2146" s="2"/>
      <x:c r="G2146" s="2"/>
      <x:c r="H2146" s="2"/>
    </x:row>
    <x:row r="2147" ht="22" customHeight="1">
      <x:c r="A2147" s="2" t="n">
        <x:v>2141</x:v>
      </x:c>
      <x:c r="B2147" s="79" t="n">
        <x:v>0.5338275775129385</x:v>
      </x:c>
      <x:c r="C2147" s="46" t="n">
        <x:f>B2147^2</x:f>
        <x:v>0.2849718825133324</x:v>
      </x:c>
      <x:c r="D2147" s="47" t="n">
        <x:f>'Datos'!$B$26^3/3</x:f>
        <x:v>0.3333333333333333</x:v>
      </x:c>
      <x:c r="E2147" s="46" t="n">
        <x:f>D2147*(C2147-1)</x:f>
        <x:v>-0.2383427058288892</x:v>
      </x:c>
      <x:c r="F2147" s="2"/>
      <x:c r="G2147" s="2"/>
      <x:c r="H2147" s="2"/>
    </x:row>
    <x:row r="2148" ht="22" customHeight="1">
      <x:c r="A2148" s="2" t="n">
        <x:v>2142</x:v>
      </x:c>
      <x:c r="B2148" s="79" t="n">
        <x:v>0.21167697469916566</x:v>
      </x:c>
      <x:c r="C2148" s="46" t="n">
        <x:f>B2148^2</x:f>
        <x:v>0.044807141617791216</x:v>
      </x:c>
      <x:c r="D2148" s="47" t="n">
        <x:f>'Datos'!$B$26^3/3</x:f>
        <x:v>0.3333333333333333</x:v>
      </x:c>
      <x:c r="E2148" s="46" t="n">
        <x:f>D2148*(C2148-1)</x:f>
        <x:v>-0.31839761946073625</x:v>
      </x:c>
      <x:c r="F2148" s="2"/>
      <x:c r="G2148" s="2"/>
      <x:c r="H2148" s="2"/>
    </x:row>
    <x:row r="2149" ht="22" customHeight="1">
      <x:c r="A2149" s="2" t="n">
        <x:v>2143</x:v>
      </x:c>
      <x:c r="B2149" s="79" t="n">
        <x:v>-0.5294936357016425</x:v>
      </x:c>
      <x:c r="C2149" s="46" t="n">
        <x:f>B2149^2</x:f>
        <x:v>0.2803635102485437</x:v>
      </x:c>
      <x:c r="D2149" s="47" t="n">
        <x:f>'Datos'!$B$26^3/3</x:f>
        <x:v>0.3333333333333333</x:v>
      </x:c>
      <x:c r="E2149" s="46" t="n">
        <x:f>D2149*(C2149-1)</x:f>
        <x:v>-0.23987882991715206</x:v>
      </x:c>
      <x:c r="F2149" s="2"/>
      <x:c r="G2149" s="2"/>
      <x:c r="H2149" s="2"/>
    </x:row>
    <x:row r="2150" ht="22" customHeight="1">
      <x:c r="A2150" s="2" t="n">
        <x:v>2144</x:v>
      </x:c>
      <x:c r="B2150" s="79" t="n">
        <x:v>-1.2903656119403788</x:v>
      </x:c>
      <x:c r="C2150" s="46" t="n">
        <x:f>B2150^2</x:f>
        <x:v>1.6650434124782683</x:v>
      </x:c>
      <x:c r="D2150" s="47" t="n">
        <x:f>'Datos'!$B$26^3/3</x:f>
        <x:v>0.3333333333333333</x:v>
      </x:c>
      <x:c r="E2150" s="46" t="n">
        <x:f>D2150*(C2150-1)</x:f>
        <x:v>0.2216811374927561</x:v>
      </x:c>
      <x:c r="F2150" s="2"/>
      <x:c r="G2150" s="2"/>
      <x:c r="H2150" s="2"/>
    </x:row>
    <x:row r="2151" ht="22" customHeight="1">
      <x:c r="A2151" s="2" t="n">
        <x:v>2145</x:v>
      </x:c>
      <x:c r="B2151" s="79" t="n">
        <x:v>1.1020333818019616</x:v>
      </x:c>
      <x:c r="C2151" s="46" t="n">
        <x:f>B2151^2</x:f>
        <x:v>1.2144775746058682</x:v>
      </x:c>
      <x:c r="D2151" s="47" t="n">
        <x:f>'Datos'!$B$26^3/3</x:f>
        <x:v>0.3333333333333333</x:v>
      </x:c>
      <x:c r="E2151" s="46" t="n">
        <x:f>D2151*(C2151-1)</x:f>
        <x:v>0.07149252486862274</x:v>
      </x:c>
      <x:c r="F2151" s="2"/>
      <x:c r="G2151" s="2"/>
      <x:c r="H2151" s="2"/>
    </x:row>
    <x:row r="2152" ht="22" customHeight="1">
      <x:c r="A2152" s="2" t="n">
        <x:v>2146</x:v>
      </x:c>
      <x:c r="B2152" s="79" t="n">
        <x:v>-0.39449673738032937</x:v>
      </x:c>
      <x:c r="C2152" s="46" t="n">
        <x:f>B2152^2</x:f>
        <x:v>0.15562767580372455</x:v>
      </x:c>
      <x:c r="D2152" s="47" t="n">
        <x:f>'Datos'!$B$26^3/3</x:f>
        <x:v>0.3333333333333333</x:v>
      </x:c>
      <x:c r="E2152" s="46" t="n">
        <x:f>D2152*(C2152-1)</x:f>
        <x:v>-0.2814574413987585</x:v>
      </x:c>
      <x:c r="F2152" s="2"/>
      <x:c r="G2152" s="2"/>
      <x:c r="H2152" s="2"/>
    </x:row>
    <x:row r="2153" ht="22" customHeight="1">
      <x:c r="A2153" s="2" t="n">
        <x:v>2147</x:v>
      </x:c>
      <x:c r="B2153" s="79" t="n">
        <x:v>1.1126195929871292</x:v>
      </x:c>
      <x:c r="C2153" s="46" t="n">
        <x:f>B2153^2</x:f>
        <x:v>1.237922358698845</x:v>
      </x:c>
      <x:c r="D2153" s="47" t="n">
        <x:f>'Datos'!$B$26^3/3</x:f>
        <x:v>0.3333333333333333</x:v>
      </x:c>
      <x:c r="E2153" s="46" t="n">
        <x:f>D2153*(C2153-1)</x:f>
        <x:v>0.07930745289961501</x:v>
      </x:c>
      <x:c r="F2153" s="2"/>
      <x:c r="G2153" s="2"/>
      <x:c r="H2153" s="2"/>
    </x:row>
    <x:row r="2154" ht="22" customHeight="1">
      <x:c r="A2154" s="2" t="n">
        <x:v>2148</x:v>
      </x:c>
      <x:c r="B2154" s="79" t="n">
        <x:v>0.45363027792219096</x:v>
      </x:c>
      <x:c r="C2154" s="46" t="n">
        <x:f>B2154^2</x:f>
        <x:v>0.20578042904776422</x:v>
      </x:c>
      <x:c r="D2154" s="47" t="n">
        <x:f>'Datos'!$B$26^3/3</x:f>
        <x:v>0.3333333333333333</x:v>
      </x:c>
      <x:c r="E2154" s="46" t="n">
        <x:f>D2154*(C2154-1)</x:f>
        <x:v>-0.26473985698407854</x:v>
      </x:c>
      <x:c r="F2154" s="2"/>
      <x:c r="G2154" s="2"/>
      <x:c r="H2154" s="2"/>
    </x:row>
    <x:row r="2155" ht="22" customHeight="1">
      <x:c r="A2155" s="2" t="n">
        <x:v>2149</x:v>
      </x:c>
      <x:c r="B2155" s="79" t="n">
        <x:v>1.3363844266316682</x:v>
      </x:c>
      <x:c r="C2155" s="46" t="n">
        <x:f>B2155^2</x:f>
        <x:v>1.7859233357436526</x:v>
      </x:c>
      <x:c r="D2155" s="47" t="n">
        <x:f>'Datos'!$B$26^3/3</x:f>
        <x:v>0.3333333333333333</x:v>
      </x:c>
      <x:c r="E2155" s="46" t="n">
        <x:f>D2155*(C2155-1)</x:f>
        <x:v>0.26197444524788416</x:v>
      </x:c>
      <x:c r="F2155" s="2"/>
      <x:c r="G2155" s="2"/>
      <x:c r="H2155" s="2"/>
    </x:row>
    <x:row r="2156" ht="22" customHeight="1">
      <x:c r="A2156" s="2" t="n">
        <x:v>2150</x:v>
      </x:c>
      <x:c r="B2156" s="79" t="n">
        <x:v>-1.1977669838404719</x:v>
      </x:c>
      <x:c r="C2156" s="46" t="n">
        <x:f>B2156^2</x:f>
        <x:v>1.4346457475783012</x:v>
      </x:c>
      <x:c r="D2156" s="47" t="n">
        <x:f>'Datos'!$B$26^3/3</x:f>
        <x:v>0.3333333333333333</x:v>
      </x:c>
      <x:c r="E2156" s="46" t="n">
        <x:f>D2156*(C2156-1)</x:f>
        <x:v>0.14488191585943372</x:v>
      </x:c>
      <x:c r="F2156" s="2"/>
      <x:c r="G2156" s="2"/>
      <x:c r="H2156" s="2"/>
    </x:row>
    <x:row r="2157" ht="22" customHeight="1">
      <x:c r="A2157" s="2" t="n">
        <x:v>2151</x:v>
      </x:c>
      <x:c r="B2157" s="79" t="n">
        <x:v>-0.8814644702491944</x:v>
      </x:c>
      <x:c r="C2157" s="46" t="n">
        <x:f>B2157^2</x:f>
        <x:v>0.7769796123116929</x:v>
      </x:c>
      <x:c r="D2157" s="47" t="n">
        <x:f>'Datos'!$B$26^3/3</x:f>
        <x:v>0.3333333333333333</x:v>
      </x:c>
      <x:c r="E2157" s="46" t="n">
        <x:f>D2157*(C2157-1)</x:f>
        <x:v>-0.0743401292294357</x:v>
      </x:c>
      <x:c r="F2157" s="2"/>
      <x:c r="G2157" s="2"/>
      <x:c r="H2157" s="2"/>
    </x:row>
    <x:row r="2158" ht="22" customHeight="1">
      <x:c r="A2158" s="2" t="n">
        <x:v>2152</x:v>
      </x:c>
      <x:c r="B2158" s="79" t="n">
        <x:v>-0.879524742811827</x:v>
      </x:c>
      <x:c r="C2158" s="46" t="n">
        <x:f>B2158^2</x:f>
        <x:v>0.7735637732182105</x:v>
      </x:c>
      <x:c r="D2158" s="47" t="n">
        <x:f>'Datos'!$B$26^3/3</x:f>
        <x:v>0.3333333333333333</x:v>
      </x:c>
      <x:c r="E2158" s="46" t="n">
        <x:f>D2158*(C2158-1)</x:f>
        <x:v>-0.0754787422605965</x:v>
      </x:c>
      <x:c r="F2158" s="2"/>
      <x:c r="G2158" s="2"/>
      <x:c r="H2158" s="2"/>
    </x:row>
    <x:row r="2159" ht="22" customHeight="1">
      <x:c r="A2159" s="2" t="n">
        <x:v>2153</x:v>
      </x:c>
      <x:c r="B2159" s="79" t="n">
        <x:v>0.3160992518729671</x:v>
      </x:c>
      <x:c r="C2159" s="46" t="n">
        <x:f>B2159^2</x:f>
        <x:v>0.0999187370346495</x:v>
      </x:c>
      <x:c r="D2159" s="47" t="n">
        <x:f>'Datos'!$B$26^3/3</x:f>
        <x:v>0.3333333333333333</x:v>
      </x:c>
      <x:c r="E2159" s="46" t="n">
        <x:f>D2159*(C2159-1)</x:f>
        <x:v>-0.3000270876551168</x:v>
      </x:c>
      <x:c r="F2159" s="2"/>
      <x:c r="G2159" s="2"/>
      <x:c r="H2159" s="2"/>
    </x:row>
    <x:row r="2160" ht="22" customHeight="1">
      <x:c r="A2160" s="2" t="n">
        <x:v>2154</x:v>
      </x:c>
      <x:c r="B2160" s="79" t="n">
        <x:v>1.1354775551257081</x:v>
      </x:c>
      <x:c r="C2160" s="46" t="n">
        <x:f>B2160^2</x:f>
        <x:v>1.2893092781942557</x:v>
      </x:c>
      <x:c r="D2160" s="47" t="n">
        <x:f>'Datos'!$B$26^3/3</x:f>
        <x:v>0.3333333333333333</x:v>
      </x:c>
      <x:c r="E2160" s="46" t="n">
        <x:f>D2160*(C2160-1)</x:f>
        <x:v>0.09643642606475189</x:v>
      </x:c>
      <x:c r="F2160" s="2"/>
      <x:c r="G2160" s="2"/>
      <x:c r="H2160" s="2"/>
    </x:row>
    <x:row r="2161" ht="22" customHeight="1">
      <x:c r="A2161" s="2" t="n">
        <x:v>2155</x:v>
      </x:c>
      <x:c r="B2161" s="79" t="n">
        <x:v>0.12173248398913053</x:v>
      </x:c>
      <x:c r="C2161" s="46" t="n">
        <x:f>B2161^2</x:f>
        <x:v>0.01481879765816392</x:v>
      </x:c>
      <x:c r="D2161" s="47" t="n">
        <x:f>'Datos'!$B$26^3/3</x:f>
        <x:v>0.3333333333333333</x:v>
      </x:c>
      <x:c r="E2161" s="46" t="n">
        <x:f>D2161*(C2161-1)</x:f>
        <x:v>-0.32839373411394535</x:v>
      </x:c>
      <x:c r="F2161" s="2"/>
      <x:c r="G2161" s="2"/>
      <x:c r="H2161" s="2"/>
    </x:row>
    <x:row r="2162" ht="22" customHeight="1">
      <x:c r="A2162" s="2" t="n">
        <x:v>2156</x:v>
      </x:c>
      <x:c r="B2162" s="79" t="n">
        <x:v>-0.1374015545025224</x:v>
      </x:c>
      <x:c r="C2162" s="46" t="n">
        <x:f>B2162^2</x:f>
        <x:v>0.01887918717970963</x:v>
      </x:c>
      <x:c r="D2162" s="47" t="n">
        <x:f>'Datos'!$B$26^3/3</x:f>
        <x:v>0.3333333333333333</x:v>
      </x:c>
      <x:c r="E2162" s="46" t="n">
        <x:f>D2162*(C2162-1)</x:f>
        <x:v>-0.3270402709400968</x:v>
      </x:c>
      <x:c r="F2162" s="2"/>
      <x:c r="G2162" s="2"/>
      <x:c r="H2162" s="2"/>
    </x:row>
    <x:row r="2163" ht="22" customHeight="1">
      <x:c r="A2163" s="2" t="n">
        <x:v>2157</x:v>
      </x:c>
      <x:c r="B2163" s="79" t="n">
        <x:v>-1.092942533822295</x:v>
      </x:c>
      <x:c r="C2163" s="46" t="n">
        <x:f>B2163^2</x:f>
        <x:v>1.1945233822378982</x:v>
      </x:c>
      <x:c r="D2163" s="47" t="n">
        <x:f>'Datos'!$B$26^3/3</x:f>
        <x:v>0.3333333333333333</x:v>
      </x:c>
      <x:c r="E2163" s="46" t="n">
        <x:f>D2163*(C2163-1)</x:f>
        <x:v>0.06484112741263273</x:v>
      </x:c>
      <x:c r="F2163" s="2"/>
      <x:c r="G2163" s="2"/>
      <x:c r="H2163" s="2"/>
    </x:row>
    <x:row r="2164" ht="22" customHeight="1">
      <x:c r="A2164" s="2" t="n">
        <x:v>2158</x:v>
      </x:c>
      <x:c r="B2164" s="79" t="n">
        <x:v>2.0775202523086884</x:v>
      </x:c>
      <x:c r="C2164" s="46" t="n">
        <x:f>B2164^2</x:f>
        <x:v>4.316090398752756</x:v>
      </x:c>
      <x:c r="D2164" s="47" t="n">
        <x:f>'Datos'!$B$26^3/3</x:f>
        <x:v>0.3333333333333333</x:v>
      </x:c>
      <x:c r="E2164" s="46" t="n">
        <x:f>D2164*(C2164-1)</x:f>
        <x:v>1.1053634662509186</x:v>
      </x:c>
      <x:c r="F2164" s="2"/>
      <x:c r="G2164" s="2"/>
      <x:c r="H2164" s="2"/>
    </x:row>
    <x:row r="2165" ht="22" customHeight="1">
      <x:c r="A2165" s="2" t="n">
        <x:v>2159</x:v>
      </x:c>
      <x:c r="B2165" s="79" t="n">
        <x:v>-1.1111102622676188</x:v>
      </x:c>
      <x:c r="C2165" s="46" t="n">
        <x:f>B2165^2</x:f>
        <x:v>1.2345660149164166</x:v>
      </x:c>
      <x:c r="D2165" s="47" t="n">
        <x:f>'Datos'!$B$26^3/3</x:f>
        <x:v>0.3333333333333333</x:v>
      </x:c>
      <x:c r="E2165" s="46" t="n">
        <x:f>D2165*(C2165-1)</x:f>
        <x:v>0.07818867163880552</x:v>
      </x:c>
      <x:c r="F2165" s="2"/>
      <x:c r="G2165" s="2"/>
      <x:c r="H2165" s="2"/>
    </x:row>
    <x:row r="2166" ht="22" customHeight="1">
      <x:c r="A2166" s="2" t="n">
        <x:v>2160</x:v>
      </x:c>
      <x:c r="B2166" s="79" t="n">
        <x:v>0.10748532527917529</x:v>
      </x:c>
      <x:c r="C2166" s="46" t="n">
        <x:f>B2166^2</x:f>
        <x:v>0.011553095150370118</x:v>
      </x:c>
      <x:c r="D2166" s="47" t="n">
        <x:f>'Datos'!$B$26^3/3</x:f>
        <x:v>0.3333333333333333</x:v>
      </x:c>
      <x:c r="E2166" s="46" t="n">
        <x:f>D2166*(C2166-1)</x:f>
        <x:v>-0.32948230161654324</x:v>
      </x:c>
      <x:c r="F2166" s="2"/>
      <x:c r="G2166" s="2"/>
      <x:c r="H2166" s="2"/>
    </x:row>
    <x:row r="2167" ht="22" customHeight="1">
      <x:c r="A2167" s="2" t="n">
        <x:v>2161</x:v>
      </x:c>
      <x:c r="B2167" s="79" t="n">
        <x:v>0.9059540598791084</x:v>
      </x:c>
      <x:c r="C2167" s="46" t="n">
        <x:f>B2167^2</x:f>
        <x:v>0.820752758611439</x:v>
      </x:c>
      <x:c r="D2167" s="47" t="n">
        <x:f>'Datos'!$B$26^3/3</x:f>
        <x:v>0.3333333333333333</x:v>
      </x:c>
      <x:c r="E2167" s="46" t="n">
        <x:f>D2167*(C2167-1)</x:f>
        <x:v>-0.059749080462853654</x:v>
      </x:c>
      <x:c r="F2167" s="2"/>
      <x:c r="G2167" s="2"/>
      <x:c r="H2167" s="2"/>
    </x:row>
    <x:row r="2168" ht="22" customHeight="1">
      <x:c r="A2168" s="2" t="n">
        <x:v>2162</x:v>
      </x:c>
      <x:c r="B2168" s="79" t="n">
        <x:v>0.08896229224359231</x:v>
      </x:c>
      <x:c r="C2168" s="46" t="n">
        <x:f>B2168^2</x:f>
        <x:v>0.007914289441234325</x:v>
      </x:c>
      <x:c r="D2168" s="47" t="n">
        <x:f>'Datos'!$B$26^3/3</x:f>
        <x:v>0.3333333333333333</x:v>
      </x:c>
      <x:c r="E2168" s="46" t="n">
        <x:f>D2168*(C2168-1)</x:f>
        <x:v>-0.3306952368529219</x:v>
      </x:c>
      <x:c r="F2168" s="2"/>
      <x:c r="G2168" s="2"/>
      <x:c r="H2168" s="2"/>
    </x:row>
    <x:row r="2169" ht="22" customHeight="1">
      <x:c r="A2169" s="2" t="n">
        <x:v>2163</x:v>
      </x:c>
      <x:c r="B2169" s="79" t="n">
        <x:v>-1.217412509566368</x:v>
      </x:c>
      <x:c r="C2169" s="46" t="n">
        <x:f>B2169^2</x:f>
        <x:v>1.482093218448682</x:v>
      </x:c>
      <x:c r="D2169" s="47" t="n">
        <x:f>'Datos'!$B$26^3/3</x:f>
        <x:v>0.3333333333333333</x:v>
      </x:c>
      <x:c r="E2169" s="46" t="n">
        <x:f>D2169*(C2169-1)</x:f>
        <x:v>0.16069773948289395</x:v>
      </x:c>
      <x:c r="F2169" s="2"/>
      <x:c r="G2169" s="2"/>
      <x:c r="H2169" s="2"/>
    </x:row>
    <x:row r="2170" ht="22" customHeight="1">
      <x:c r="A2170" s="2" t="n">
        <x:v>2164</x:v>
      </x:c>
      <x:c r="B2170" s="79" t="n">
        <x:v>-1.861342948258149</x:v>
      </x:c>
      <x:c r="C2170" s="46" t="n">
        <x:f>B2170^2</x:f>
        <x:v>3.464597571030338</x:v>
      </x:c>
      <x:c r="D2170" s="47" t="n">
        <x:f>'Datos'!$B$26^3/3</x:f>
        <x:v>0.3333333333333333</x:v>
      </x:c>
      <x:c r="E2170" s="46" t="n">
        <x:f>D2170*(C2170-1)</x:f>
        <x:v>0.8215325236767793</x:v>
      </x:c>
      <x:c r="F2170" s="2"/>
      <x:c r="G2170" s="2"/>
      <x:c r="H2170" s="2"/>
    </x:row>
    <x:row r="2171" ht="22" customHeight="1">
      <x:c r="A2171" s="2" t="n">
        <x:v>2165</x:v>
      </x:c>
      <x:c r="B2171" s="79" t="n">
        <x:v>-1.7038627354717375</x:v>
      </x:c>
      <x:c r="C2171" s="46" t="n">
        <x:f>B2171^2</x:f>
        <x:v>2.903148221329232</x:v>
      </x:c>
      <x:c r="D2171" s="47" t="n">
        <x:f>'Datos'!$B$26^3/3</x:f>
        <x:v>0.3333333333333333</x:v>
      </x:c>
      <x:c r="E2171" s="46" t="n">
        <x:f>D2171*(C2171-1)</x:f>
        <x:v>0.6343827404430773</x:v>
      </x:c>
      <x:c r="F2171" s="2"/>
      <x:c r="G2171" s="2"/>
      <x:c r="H2171" s="2"/>
    </x:row>
    <x:row r="2172" ht="22" customHeight="1">
      <x:c r="A2172" s="2" t="n">
        <x:v>2166</x:v>
      </x:c>
      <x:c r="B2172" s="79" t="n">
        <x:v>-0.15212588170038702</x:v>
      </x:c>
      <x:c r="C2172" s="46" t="n">
        <x:f>B2172^2</x:f>
        <x:v>0.023142283883120146</x:v>
      </x:c>
      <x:c r="D2172" s="47" t="n">
        <x:f>'Datos'!$B$26^3/3</x:f>
        <x:v>0.3333333333333333</x:v>
      </x:c>
      <x:c r="E2172" s="46" t="n">
        <x:f>D2172*(C2172-1)</x:f>
        <x:v>-0.3256192387056266</x:v>
      </x:c>
      <x:c r="F2172" s="2"/>
      <x:c r="G2172" s="2"/>
      <x:c r="H2172" s="2"/>
    </x:row>
    <x:row r="2173" ht="22" customHeight="1">
      <x:c r="A2173" s="2" t="n">
        <x:v>2167</x:v>
      </x:c>
      <x:c r="B2173" s="79" t="n">
        <x:v>-1.1607822133467807</x:v>
      </x:c>
      <x:c r="C2173" s="46" t="n">
        <x:f>B2173^2</x:f>
        <x:v>1.347415346822251</x:v>
      </x:c>
      <x:c r="D2173" s="47" t="n">
        <x:f>'Datos'!$B$26^3/3</x:f>
        <x:v>0.3333333333333333</x:v>
      </x:c>
      <x:c r="E2173" s="46" t="n">
        <x:f>D2173*(C2173-1)</x:f>
        <x:v>0.11580511560741698</x:v>
      </x:c>
      <x:c r="F2173" s="2"/>
      <x:c r="G2173" s="2"/>
      <x:c r="H2173" s="2"/>
    </x:row>
    <x:row r="2174" ht="22" customHeight="1">
      <x:c r="A2174" s="2" t="n">
        <x:v>2168</x:v>
      </x:c>
      <x:c r="B2174" s="79" t="n">
        <x:v>0.48883169763147705</x:v>
      </x:c>
      <x:c r="C2174" s="46" t="n">
        <x:f>B2174^2</x:f>
        <x:v>0.2389564286092718</x:v>
      </x:c>
      <x:c r="D2174" s="47" t="n">
        <x:f>'Datos'!$B$26^3/3</x:f>
        <x:v>0.3333333333333333</x:v>
      </x:c>
      <x:c r="E2174" s="46" t="n">
        <x:f>D2174*(C2174-1)</x:f>
        <x:v>-0.25368119046357607</x:v>
      </x:c>
      <x:c r="F2174" s="2"/>
      <x:c r="G2174" s="2"/>
      <x:c r="H2174" s="2"/>
    </x:row>
    <x:row r="2175" ht="22" customHeight="1">
      <x:c r="A2175" s="2" t="n">
        <x:v>2169</x:v>
      </x:c>
      <x:c r="B2175" s="79" t="n">
        <x:v>-0.31927223841914976</x:v>
      </x:c>
      <x:c r="C2175" s="46" t="n">
        <x:f>B2175^2</x:f>
        <x:v>0.1019347622251744</x:v>
      </x:c>
      <x:c r="D2175" s="47" t="n">
        <x:f>'Datos'!$B$26^3/3</x:f>
        <x:v>0.3333333333333333</x:v>
      </x:c>
      <x:c r="E2175" s="46" t="n">
        <x:f>D2175*(C2175-1)</x:f>
        <x:v>-0.2993550792582752</x:v>
      </x:c>
      <x:c r="F2175" s="2"/>
      <x:c r="G2175" s="2"/>
      <x:c r="H2175" s="2"/>
    </x:row>
    <x:row r="2176" ht="22" customHeight="1">
      <x:c r="A2176" s="2" t="n">
        <x:v>2170</x:v>
      </x:c>
      <x:c r="B2176" s="79" t="n">
        <x:v>0.03321835031324013</x:v>
      </x:c>
      <x:c r="C2176" s="46" t="n">
        <x:f>B2176^2</x:f>
        <x:v>0.0011034587975331405</x:v>
      </x:c>
      <x:c r="D2176" s="47" t="n">
        <x:f>'Datos'!$B$26^3/3</x:f>
        <x:v>0.3333333333333333</x:v>
      </x:c>
      <x:c r="E2176" s="46" t="n">
        <x:f>D2176*(C2176-1)</x:f>
        <x:v>-0.3329655137341556</x:v>
      </x:c>
      <x:c r="F2176" s="2"/>
      <x:c r="G2176" s="2"/>
      <x:c r="H2176" s="2"/>
    </x:row>
    <x:row r="2177" ht="22" customHeight="1">
      <x:c r="A2177" s="2" t="n">
        <x:v>2171</x:v>
      </x:c>
      <x:c r="B2177" s="79" t="n">
        <x:v>1.3082214281325644</x:v>
      </x:c>
      <x:c r="C2177" s="46" t="n">
        <x:f>B2177^2</x:f>
        <x:v>1.7114433050252063</x:v>
      </x:c>
      <x:c r="D2177" s="47" t="n">
        <x:f>'Datos'!$B$26^3/3</x:f>
        <x:v>0.3333333333333333</x:v>
      </x:c>
      <x:c r="E2177" s="46" t="n">
        <x:f>D2177*(C2177-1)</x:f>
        <x:v>0.2371477683417354</x:v>
      </x:c>
      <x:c r="F2177" s="2"/>
      <x:c r="G2177" s="2"/>
      <x:c r="H2177" s="2"/>
    </x:row>
    <x:row r="2178" ht="22" customHeight="1">
      <x:c r="A2178" s="2" t="n">
        <x:v>2172</x:v>
      </x:c>
      <x:c r="B2178" s="79" t="n">
        <x:v>0.48940945314794715</x:v>
      </x:c>
      <x:c r="C2178" s="46" t="n">
        <x:f>B2178^2</x:f>
        <x:v>0.2395216128305727</x:v>
      </x:c>
      <x:c r="D2178" s="47" t="n">
        <x:f>'Datos'!$B$26^3/3</x:f>
        <x:v>0.3333333333333333</x:v>
      </x:c>
      <x:c r="E2178" s="46" t="n">
        <x:f>D2178*(C2178-1)</x:f>
        <x:v>-0.25349279572314243</x:v>
      </x:c>
      <x:c r="F2178" s="2"/>
      <x:c r="G2178" s="2"/>
      <x:c r="H2178" s="2"/>
    </x:row>
    <x:row r="2179" ht="22" customHeight="1">
      <x:c r="A2179" s="2" t="n">
        <x:v>2173</x:v>
      </x:c>
      <x:c r="B2179" s="79" t="n">
        <x:v>-0.2376732963484268</x:v>
      </x:c>
      <x:c r="C2179" s="46" t="n">
        <x:f>B2179^2</x:f>
        <x:v>0.0564885957971271</x:v>
      </x:c>
      <x:c r="D2179" s="47" t="n">
        <x:f>'Datos'!$B$26^3/3</x:f>
        <x:v>0.3333333333333333</x:v>
      </x:c>
      <x:c r="E2179" s="46" t="n">
        <x:f>D2179*(C2179-1)</x:f>
        <x:v>-0.3145038014009576</x:v>
      </x:c>
      <x:c r="F2179" s="2"/>
      <x:c r="G2179" s="2"/>
      <x:c r="H2179" s="2"/>
    </x:row>
    <x:row r="2180" ht="22" customHeight="1">
      <x:c r="A2180" s="2" t="n">
        <x:v>2174</x:v>
      </x:c>
      <x:c r="B2180" s="79" t="n">
        <x:v>-0.7705915943036101</x:v>
      </x:c>
      <x:c r="C2180" s="46" t="n">
        <x:f>B2180^2</x:f>
        <x:v>0.5938114052113797</x:v>
      </x:c>
      <x:c r="D2180" s="47" t="n">
        <x:f>'Datos'!$B$26^3/3</x:f>
        <x:v>0.3333333333333333</x:v>
      </x:c>
      <x:c r="E2180" s="46" t="n">
        <x:f>D2180*(C2180-1)</x:f>
        <x:v>-0.13539619826287344</x:v>
      </x:c>
      <x:c r="F2180" s="2"/>
      <x:c r="G2180" s="2"/>
      <x:c r="H2180" s="2"/>
    </x:row>
    <x:row r="2181" ht="22" customHeight="1">
      <x:c r="A2181" s="2" t="n">
        <x:v>2175</x:v>
      </x:c>
      <x:c r="B2181" s="79" t="n">
        <x:v>-1.4271800625321625</x:v>
      </x:c>
      <x:c r="C2181" s="46" t="n">
        <x:f>B2181^2</x:f>
        <x:v>2.036842930889307</x:v>
      </x:c>
      <x:c r="D2181" s="47" t="n">
        <x:f>'Datos'!$B$26^3/3</x:f>
        <x:v>0.3333333333333333</x:v>
      </x:c>
      <x:c r="E2181" s="46" t="n">
        <x:f>D2181*(C2181-1)</x:f>
        <x:v>0.34561431029643563</x:v>
      </x:c>
      <x:c r="F2181" s="2"/>
      <x:c r="G2181" s="2"/>
      <x:c r="H2181" s="2"/>
    </x:row>
    <x:row r="2182" ht="22" customHeight="1">
      <x:c r="A2182" s="2" t="n">
        <x:v>2176</x:v>
      </x:c>
      <x:c r="B2182" s="79" t="n">
        <x:v>0.37041966361775197</x:v>
      </x:c>
      <x:c r="C2182" s="46" t="n">
        <x:f>B2182^2</x:f>
        <x:v>0.13721072719468852</x:v>
      </x:c>
      <x:c r="D2182" s="47" t="n">
        <x:f>'Datos'!$B$26^3/3</x:f>
        <x:v>0.3333333333333333</x:v>
      </x:c>
      <x:c r="E2182" s="46" t="n">
        <x:f>D2182*(C2182-1)</x:f>
        <x:v>-0.2875964242684371</x:v>
      </x:c>
      <x:c r="F2182" s="2"/>
      <x:c r="G2182" s="2"/>
      <x:c r="H2182" s="2"/>
    </x:row>
    <x:row r="2183" ht="22" customHeight="1">
      <x:c r="A2183" s="2" t="n">
        <x:v>2177</x:v>
      </x:c>
      <x:c r="B2183" s="79" t="n">
        <x:v>0.8482562450624554</x:v>
      </x:c>
      <x:c r="C2183" s="46" t="n">
        <x:f>B2183^2</x:f>
        <x:v>0.7195386572874565</x:v>
      </x:c>
      <x:c r="D2183" s="47" t="n">
        <x:f>'Datos'!$B$26^3/3</x:f>
        <x:v>0.3333333333333333</x:v>
      </x:c>
      <x:c r="E2183" s="46" t="n">
        <x:f>D2183*(C2183-1)</x:f>
        <x:v>-0.0934871142375145</x:v>
      </x:c>
      <x:c r="F2183" s="2"/>
      <x:c r="G2183" s="2"/>
      <x:c r="H2183" s="2"/>
    </x:row>
    <x:row r="2184" ht="22" customHeight="1">
      <x:c r="A2184" s="2" t="n">
        <x:v>2178</x:v>
      </x:c>
      <x:c r="B2184" s="79" t="n">
        <x:v>0.7942395295197497</x:v>
      </x:c>
      <x:c r="C2184" s="46" t="n">
        <x:f>B2184^2</x:f>
        <x:v>0.6308164302517534</x:v>
      </x:c>
      <x:c r="D2184" s="47" t="n">
        <x:f>'Datos'!$B$26^3/3</x:f>
        <x:v>0.3333333333333333</x:v>
      </x:c>
      <x:c r="E2184" s="46" t="n">
        <x:f>D2184*(C2184-1)</x:f>
        <x:v>-0.1230611899160822</x:v>
      </x:c>
      <x:c r="F2184" s="2"/>
      <x:c r="G2184" s="2"/>
      <x:c r="H2184" s="2"/>
    </x:row>
    <x:row r="2185" ht="22" customHeight="1">
      <x:c r="A2185" s="2" t="n">
        <x:v>2179</x:v>
      </x:c>
      <x:c r="B2185" s="79" t="n">
        <x:v>0.4589809446728144</x:v>
      </x:c>
      <x:c r="C2185" s="46" t="n">
        <x:f>B2185^2</x:f>
        <x:v>0.21066350757274913</x:v>
      </x:c>
      <x:c r="D2185" s="47" t="n">
        <x:f>'Datos'!$B$26^3/3</x:f>
        <x:v>0.3333333333333333</x:v>
      </x:c>
      <x:c r="E2185" s="46" t="n">
        <x:f>D2185*(C2185-1)</x:f>
        <x:v>-0.26311216414241695</x:v>
      </x:c>
      <x:c r="F2185" s="2"/>
      <x:c r="G2185" s="2"/>
      <x:c r="H2185" s="2"/>
    </x:row>
    <x:row r="2186" ht="22" customHeight="1">
      <x:c r="A2186" s="2" t="n">
        <x:v>2180</x:v>
      </x:c>
      <x:c r="B2186" s="79" t="n">
        <x:v>0.36958801211396675</x:v>
      </x:c>
      <x:c r="C2186" s="46" t="n">
        <x:f>B2186^2</x:f>
        <x:v>0.13659529869835363</x:v>
      </x:c>
      <x:c r="D2186" s="47" t="n">
        <x:f>'Datos'!$B$26^3/3</x:f>
        <x:v>0.3333333333333333</x:v>
      </x:c>
      <x:c r="E2186" s="46" t="n">
        <x:f>D2186*(C2186-1)</x:f>
        <x:v>-0.28780156710054877</x:v>
      </x:c>
      <x:c r="F2186" s="2"/>
      <x:c r="G2186" s="2"/>
      <x:c r="H2186" s="2"/>
    </x:row>
    <x:row r="2187" ht="22" customHeight="1">
      <x:c r="A2187" s="2" t="n">
        <x:v>2181</x:v>
      </x:c>
      <x:c r="B2187" s="79" t="n">
        <x:v>0.5887569230132685</x:v>
      </x:c>
      <x:c r="C2187" s="46" t="n">
        <x:f>B2187^2</x:f>
        <x:v>0.3466347143960518</x:v>
      </x:c>
      <x:c r="D2187" s="47" t="n">
        <x:f>'Datos'!$B$26^3/3</x:f>
        <x:v>0.3333333333333333</x:v>
      </x:c>
      <x:c r="E2187" s="46" t="n">
        <x:f>D2187*(C2187-1)</x:f>
        <x:v>-0.21778842853464941</x:v>
      </x:c>
      <x:c r="F2187" s="2"/>
      <x:c r="G2187" s="2"/>
      <x:c r="H2187" s="2"/>
    </x:row>
    <x:row r="2188" ht="22" customHeight="1">
      <x:c r="A2188" s="2" t="n">
        <x:v>2182</x:v>
      </x:c>
      <x:c r="B2188" s="79" t="n">
        <x:v>-1.5002666999979581</x:v>
      </x:c>
      <x:c r="C2188" s="46" t="n">
        <x:f>B2188^2</x:f>
        <x:v>2.2508001711227634</x:v>
      </x:c>
      <x:c r="D2188" s="47" t="n">
        <x:f>'Datos'!$B$26^3/3</x:f>
        <x:v>0.3333333333333333</x:v>
      </x:c>
      <x:c r="E2188" s="46" t="n">
        <x:f>D2188*(C2188-1)</x:f>
        <x:v>0.4169333903742545</x:v>
      </x:c>
      <x:c r="F2188" s="2"/>
      <x:c r="G2188" s="2"/>
      <x:c r="H2188" s="2"/>
    </x:row>
    <x:row r="2189" ht="22" customHeight="1">
      <x:c r="A2189" s="2" t="n">
        <x:v>2183</x:v>
      </x:c>
      <x:c r="B2189" s="79" t="n">
        <x:v>-0.0448100520127351</x:v>
      </x:c>
      <x:c r="C2189" s="46" t="n">
        <x:f>B2189^2</x:f>
        <x:v>0.002007940761384025</x:v>
      </x:c>
      <x:c r="D2189" s="47" t="n">
        <x:f>'Datos'!$B$26^3/3</x:f>
        <x:v>0.3333333333333333</x:v>
      </x:c>
      <x:c r="E2189" s="46" t="n">
        <x:f>D2189*(C2189-1)</x:f>
        <x:v>-0.3326640197462053</x:v>
      </x:c>
      <x:c r="F2189" s="2"/>
      <x:c r="G2189" s="2"/>
      <x:c r="H2189" s="2"/>
    </x:row>
    <x:row r="2190" ht="22" customHeight="1">
      <x:c r="A2190" s="2" t="n">
        <x:v>2184</x:v>
      </x:c>
      <x:c r="B2190" s="79" t="n">
        <x:v>-0.31721293972986925</x:v>
      </x:c>
      <x:c r="C2190" s="46" t="n">
        <x:f>B2190^2</x:f>
        <x:v>0.10062404913206566</x:v>
      </x:c>
      <x:c r="D2190" s="47" t="n">
        <x:f>'Datos'!$B$26^3/3</x:f>
        <x:v>0.3333333333333333</x:v>
      </x:c>
      <x:c r="E2190" s="46" t="n">
        <x:f>D2190*(C2190-1)</x:f>
        <x:v>-0.29979198362264475</x:v>
      </x:c>
      <x:c r="F2190" s="2"/>
      <x:c r="G2190" s="2"/>
      <x:c r="H2190" s="2"/>
    </x:row>
    <x:row r="2191" ht="22" customHeight="1">
      <x:c r="A2191" s="2" t="n">
        <x:v>2185</x:v>
      </x:c>
      <x:c r="B2191" s="79" t="n">
        <x:v>1.4467412442259242</x:v>
      </x:c>
      <x:c r="C2191" s="46" t="n">
        <x:f>B2191^2</x:f>
        <x:v>2.0930602277443753</x:v>
      </x:c>
      <x:c r="D2191" s="47" t="n">
        <x:f>'Datos'!$B$26^3/3</x:f>
        <x:v>0.3333333333333333</x:v>
      </x:c>
      <x:c r="E2191" s="46" t="n">
        <x:f>D2191*(C2191-1)</x:f>
        <x:v>0.3643534092481251</x:v>
      </x:c>
      <x:c r="F2191" s="2"/>
      <x:c r="G2191" s="2"/>
      <x:c r="H2191" s="2"/>
    </x:row>
    <x:row r="2192" ht="22" customHeight="1">
      <x:c r="A2192" s="2" t="n">
        <x:v>2186</x:v>
      </x:c>
      <x:c r="B2192" s="79" t="n">
        <x:v>0.8611863107911392</x:v>
      </x:c>
      <x:c r="C2192" s="46" t="n">
        <x:f>B2192^2</x:f>
        <x:v>0.7416418618940526</x:v>
      </x:c>
      <x:c r="D2192" s="47" t="n">
        <x:f>'Datos'!$B$26^3/3</x:f>
        <x:v>0.3333333333333333</x:v>
      </x:c>
      <x:c r="E2192" s="46" t="n">
        <x:f>D2192*(C2192-1)</x:f>
        <x:v>-0.08611937936864913</x:v>
      </x:c>
      <x:c r="F2192" s="2"/>
      <x:c r="G2192" s="2"/>
      <x:c r="H2192" s="2"/>
    </x:row>
    <x:row r="2193" ht="22" customHeight="1">
      <x:c r="A2193" s="2" t="n">
        <x:v>2187</x:v>
      </x:c>
      <x:c r="B2193" s="79" t="n">
        <x:v>0.4162897811539004</x:v>
      </x:c>
      <x:c r="C2193" s="46" t="n">
        <x:f>B2193^2</x:f>
        <x:v>0.17329718189316232</x:v>
      </x:c>
      <x:c r="D2193" s="47" t="n">
        <x:f>'Datos'!$B$26^3/3</x:f>
        <x:v>0.3333333333333333</x:v>
      </x:c>
      <x:c r="E2193" s="46" t="n">
        <x:f>D2193*(C2193-1)</x:f>
        <x:v>-0.27556760603561253</x:v>
      </x:c>
      <x:c r="F2193" s="2"/>
      <x:c r="G2193" s="2"/>
      <x:c r="H2193" s="2"/>
    </x:row>
    <x:row r="2194" ht="22" customHeight="1">
      <x:c r="A2194" s="2" t="n">
        <x:v>2188</x:v>
      </x:c>
      <x:c r="B2194" s="79" t="n">
        <x:v>0.017557195093282466</x:v>
      </x:c>
      <x:c r="C2194" s="46" t="n">
        <x:f>B2194^2</x:f>
        <x:v>0.0003082550995435819</x:v>
      </x:c>
      <x:c r="D2194" s="47" t="n">
        <x:f>'Datos'!$B$26^3/3</x:f>
        <x:v>0.3333333333333333</x:v>
      </x:c>
      <x:c r="E2194" s="46" t="n">
        <x:f>D2194*(C2194-1)</x:f>
        <x:v>-0.33323058163348546</x:v>
      </x:c>
      <x:c r="F2194" s="2"/>
      <x:c r="G2194" s="2"/>
      <x:c r="H2194" s="2"/>
    </x:row>
    <x:row r="2195" ht="22" customHeight="1">
      <x:c r="A2195" s="2" t="n">
        <x:v>2189</x:v>
      </x:c>
      <x:c r="B2195" s="79" t="n">
        <x:v>-0.5747022923871766</x:v>
      </x:c>
      <x:c r="C2195" s="46" t="n">
        <x:f>B2195^2</x:f>
        <x:v>0.3302827248750759</x:v>
      </x:c>
      <x:c r="D2195" s="47" t="n">
        <x:f>'Datos'!$B$26^3/3</x:f>
        <x:v>0.3333333333333333</x:v>
      </x:c>
      <x:c r="E2195" s="46" t="n">
        <x:f>D2195*(C2195-1)</x:f>
        <x:v>-0.22323909170830802</x:v>
      </x:c>
      <x:c r="F2195" s="2"/>
      <x:c r="G2195" s="2"/>
      <x:c r="H2195" s="2"/>
    </x:row>
    <x:row r="2196" ht="22" customHeight="1">
      <x:c r="A2196" s="2" t="n">
        <x:v>2190</x:v>
      </x:c>
      <x:c r="B2196" s="79" t="n">
        <x:v>1.8052739082448972</x:v>
      </x:c>
      <x:c r="C2196" s="46" t="n">
        <x:f>B2196^2</x:f>
        <x:v>3.2590138837898057</x:v>
      </x:c>
      <x:c r="D2196" s="47" t="n">
        <x:f>'Datos'!$B$26^3/3</x:f>
        <x:v>0.3333333333333333</x:v>
      </x:c>
      <x:c r="E2196" s="46" t="n">
        <x:f>D2196*(C2196-1)</x:f>
        <x:v>0.7530046279299352</x:v>
      </x:c>
      <x:c r="F2196" s="2"/>
      <x:c r="G2196" s="2"/>
      <x:c r="H2196" s="2"/>
    </x:row>
    <x:row r="2197" ht="22" customHeight="1">
      <x:c r="A2197" s="2" t="n">
        <x:v>2191</x:v>
      </x:c>
      <x:c r="B2197" s="79" t="n">
        <x:v>-0.6665379943617551</x:v>
      </x:c>
      <x:c r="C2197" s="46" t="n">
        <x:f>B2197^2</x:f>
        <x:v>0.44427289792779107</x:v>
      </x:c>
      <x:c r="D2197" s="47" t="n">
        <x:f>'Datos'!$B$26^3/3</x:f>
        <x:v>0.3333333333333333</x:v>
      </x:c>
      <x:c r="E2197" s="46" t="n">
        <x:f>D2197*(C2197-1)</x:f>
        <x:v>-0.185242367357403</x:v>
      </x:c>
      <x:c r="F2197" s="2"/>
      <x:c r="G2197" s="2"/>
      <x:c r="H2197" s="2"/>
    </x:row>
    <x:row r="2198" ht="22" customHeight="1">
      <x:c r="A2198" s="2" t="n">
        <x:v>2192</x:v>
      </x:c>
      <x:c r="B2198" s="79" t="n">
        <x:v>0.679455154740474</x:v>
      </x:c>
      <x:c r="C2198" s="46" t="n">
        <x:f>B2198^2</x:f>
        <x:v>0.4616593073034015</x:v>
      </x:c>
      <x:c r="D2198" s="47" t="n">
        <x:f>'Datos'!$B$26^3/3</x:f>
        <x:v>0.3333333333333333</x:v>
      </x:c>
      <x:c r="E2198" s="46" t="n">
        <x:f>D2198*(C2198-1)</x:f>
        <x:v>-0.17944689756553284</x:v>
      </x:c>
      <x:c r="F2198" s="2"/>
      <x:c r="G2198" s="2"/>
      <x:c r="H2198" s="2"/>
    </x:row>
    <x:row r="2199" ht="22" customHeight="1">
      <x:c r="A2199" s="2" t="n">
        <x:v>2193</x:v>
      </x:c>
      <x:c r="B2199" s="79" t="n">
        <x:v>-0.9744357703892733</x:v>
      </x:c>
      <x:c r="C2199" s="46" t="n">
        <x:f>B2199^2</x:f>
        <x:v>0.9495250706141366</x:v>
      </x:c>
      <x:c r="D2199" s="47" t="n">
        <x:f>'Datos'!$B$26^3/3</x:f>
        <x:v>0.3333333333333333</x:v>
      </x:c>
      <x:c r="E2199" s="46" t="n">
        <x:f>D2199*(C2199-1)</x:f>
        <x:v>-0.016824976461954466</x:v>
      </x:c>
      <x:c r="F2199" s="2"/>
      <x:c r="G2199" s="2"/>
      <x:c r="H2199" s="2"/>
    </x:row>
    <x:row r="2200" ht="22" customHeight="1">
      <x:c r="A2200" s="2" t="n">
        <x:v>2194</x:v>
      </x:c>
      <x:c r="B2200" s="79" t="n">
        <x:v>2.3593717331982984</x:v>
      </x:c>
      <x:c r="C2200" s="46" t="n">
        <x:f>B2200^2</x:f>
        <x:v>5.566634975415143</x:v>
      </x:c>
      <x:c r="D2200" s="47" t="n">
        <x:f>'Datos'!$B$26^3/3</x:f>
        <x:v>0.3333333333333333</x:v>
      </x:c>
      <x:c r="E2200" s="46" t="n">
        <x:f>D2200*(C2200-1)</x:f>
        <x:v>1.5222116584717142</x:v>
      </x:c>
      <x:c r="F2200" s="2"/>
      <x:c r="G2200" s="2"/>
      <x:c r="H2200" s="2"/>
    </x:row>
    <x:row r="2201" ht="22" customHeight="1">
      <x:c r="A2201" s="2" t="n">
        <x:v>2195</x:v>
      </x:c>
      <x:c r="B2201" s="79" t="n">
        <x:v>-1.0154388528988276</x:v>
      </x:c>
      <x:c r="C2201" s="46" t="n">
        <x:f>B2201^2</x:f>
        <x:v>1.031116063976487</x:v>
      </x:c>
      <x:c r="D2201" s="47" t="n">
        <x:f>'Datos'!$B$26^3/3</x:f>
        <x:v>0.3333333333333333</x:v>
      </x:c>
      <x:c r="E2201" s="46" t="n">
        <x:f>D2201*(C2201-1)</x:f>
        <x:v>0.01037202132549564</x:v>
      </x:c>
      <x:c r="F2201" s="2"/>
      <x:c r="G2201" s="2"/>
      <x:c r="H2201" s="2"/>
    </x:row>
    <x:row r="2202" ht="22" customHeight="1">
      <x:c r="A2202" s="2" t="n">
        <x:v>2196</x:v>
      </x:c>
      <x:c r="B2202" s="79" t="n">
        <x:v>-0.4687777874813154</x:v>
      </x:c>
      <x:c r="C2202" s="46" t="n">
        <x:f>B2202^2</x:f>
        <x:v>0.2197526140358773</x:v>
      </x:c>
      <x:c r="D2202" s="47" t="n">
        <x:f>'Datos'!$B$26^3/3</x:f>
        <x:v>0.3333333333333333</x:v>
      </x:c>
      <x:c r="E2202" s="46" t="n">
        <x:f>D2202*(C2202-1)</x:f>
        <x:v>-0.26008246198804086</x:v>
      </x:c>
      <x:c r="F2202" s="2"/>
      <x:c r="G2202" s="2"/>
      <x:c r="H2202" s="2"/>
    </x:row>
    <x:row r="2203" ht="22" customHeight="1">
      <x:c r="A2203" s="2" t="n">
        <x:v>2197</x:v>
      </x:c>
      <x:c r="B2203" s="79" t="n">
        <x:v>-0.5693073850447943</x:v>
      </x:c>
      <x:c r="C2203" s="46" t="n">
        <x:f>B2203^2</x:f>
        <x:v>0.32411089866654164</x:v>
      </x:c>
      <x:c r="D2203" s="47" t="n">
        <x:f>'Datos'!$B$26^3/3</x:f>
        <x:v>0.3333333333333333</x:v>
      </x:c>
      <x:c r="E2203" s="46" t="n">
        <x:f>D2203*(C2203-1)</x:f>
        <x:v>-0.22529636711115278</x:v>
      </x:c>
      <x:c r="F2203" s="2"/>
      <x:c r="G2203" s="2"/>
      <x:c r="H2203" s="2"/>
    </x:row>
    <x:row r="2204" ht="22" customHeight="1">
      <x:c r="A2204" s="2" t="n">
        <x:v>2198</x:v>
      </x:c>
      <x:c r="B2204" s="79" t="n">
        <x:v>-0.3663651372958271</x:v>
      </x:c>
      <x:c r="C2204" s="46" t="n">
        <x:f>B2204^2</x:f>
        <x:v>0.13422341382579023</x:v>
      </x:c>
      <x:c r="D2204" s="47" t="n">
        <x:f>'Datos'!$B$26^3/3</x:f>
        <x:v>0.3333333333333333</x:v>
      </x:c>
      <x:c r="E2204" s="46" t="n">
        <x:f>D2204*(C2204-1)</x:f>
        <x:v>-0.28859219539140324</x:v>
      </x:c>
      <x:c r="F2204" s="2"/>
      <x:c r="G2204" s="2"/>
      <x:c r="H2204" s="2"/>
    </x:row>
    <x:row r="2205" ht="22" customHeight="1">
      <x:c r="A2205" s="2" t="n">
        <x:v>2199</x:v>
      </x:c>
      <x:c r="B2205" s="79" t="n">
        <x:v>-0.3889226172902875</x:v>
      </x:c>
      <x:c r="C2205" s="46" t="n">
        <x:f>B2205^2</x:f>
        <x:v>0.15126080223992744</x:v>
      </x:c>
      <x:c r="D2205" s="47" t="n">
        <x:f>'Datos'!$B$26^3/3</x:f>
        <x:v>0.3333333333333333</x:v>
      </x:c>
      <x:c r="E2205" s="46" t="n">
        <x:f>D2205*(C2205-1)</x:f>
        <x:v>-0.2829130659200242</x:v>
      </x:c>
      <x:c r="F2205" s="2"/>
      <x:c r="G2205" s="2"/>
      <x:c r="H2205" s="2"/>
    </x:row>
    <x:row r="2206" ht="22" customHeight="1">
      <x:c r="A2206" s="2" t="n">
        <x:v>2200</x:v>
      </x:c>
      <x:c r="B2206" s="79" t="n">
        <x:v>-0.6179610399923992</x:v>
      </x:c>
      <x:c r="C2206" s="46" t="n">
        <x:f>B2206^2</x:f>
        <x:v>0.38187584694848753</x:v>
      </x:c>
      <x:c r="D2206" s="47" t="n">
        <x:f>'Datos'!$B$26^3/3</x:f>
        <x:v>0.3333333333333333</x:v>
      </x:c>
      <x:c r="E2206" s="46" t="n">
        <x:f>D2206*(C2206-1)</x:f>
        <x:v>-0.20604138435050415</x:v>
      </x:c>
      <x:c r="F2206" s="2"/>
      <x:c r="G2206" s="2"/>
      <x:c r="H2206" s="2"/>
    </x:row>
    <x:row r="2207" ht="22" customHeight="1">
      <x:c r="A2207" s="2" t="n">
        <x:v>2201</x:v>
      </x:c>
      <x:c r="B2207" s="79" t="n">
        <x:v>1.4680955446111987</x:v>
      </x:c>
      <x:c r="C2207" s="46" t="n">
        <x:f>B2207^2</x:f>
        <x:v>2.1553045281072523</x:v>
      </x:c>
      <x:c r="D2207" s="47" t="n">
        <x:f>'Datos'!$B$26^3/3</x:f>
        <x:v>0.3333333333333333</x:v>
      </x:c>
      <x:c r="E2207" s="46" t="n">
        <x:f>D2207*(C2207-1)</x:f>
        <x:v>0.38510150936908405</x:v>
      </x:c>
      <x:c r="F2207" s="2"/>
      <x:c r="G2207" s="2"/>
      <x:c r="H2207" s="2"/>
    </x:row>
    <x:row r="2208" ht="22" customHeight="1">
      <x:c r="A2208" s="2" t="n">
        <x:v>2202</x:v>
      </x:c>
      <x:c r="B2208" s="79" t="n">
        <x:v>-0.18415270754222451</x:v>
      </x:c>
      <x:c r="C2208" s="46" t="n">
        <x:f>B2208^2</x:f>
        <x:v>0.03391221969513207</x:v>
      </x:c>
      <x:c r="D2208" s="47" t="n">
        <x:f>'Datos'!$B$26^3/3</x:f>
        <x:v>0.3333333333333333</x:v>
      </x:c>
      <x:c r="E2208" s="46" t="n">
        <x:f>D2208*(C2208-1)</x:f>
        <x:v>-0.32202926010162264</x:v>
      </x:c>
      <x:c r="F2208" s="2"/>
      <x:c r="G2208" s="2"/>
      <x:c r="H2208" s="2"/>
    </x:row>
    <x:row r="2209" ht="22" customHeight="1">
      <x:c r="A2209" s="2" t="n">
        <x:v>2203</x:v>
      </x:c>
      <x:c r="B2209" s="79" t="n">
        <x:v>0.47951193322671637</x:v>
      </x:c>
      <x:c r="C2209" s="46" t="n">
        <x:f>B2209^2</x:f>
        <x:v>0.2299316941068229</x:v>
      </x:c>
      <x:c r="D2209" s="47" t="n">
        <x:f>'Datos'!$B$26^3/3</x:f>
        <x:v>0.3333333333333333</x:v>
      </x:c>
      <x:c r="E2209" s="46" t="n">
        <x:f>D2209*(C2209-1)</x:f>
        <x:v>-0.2566894352977257</x:v>
      </x:c>
      <x:c r="F2209" s="2"/>
      <x:c r="G2209" s="2"/>
      <x:c r="H2209" s="2"/>
    </x:row>
    <x:row r="2210" ht="22" customHeight="1">
      <x:c r="A2210" s="2" t="n">
        <x:v>2204</x:v>
      </x:c>
      <x:c r="B2210" s="79" t="n">
        <x:v>-1.037305656776221</x:v>
      </x:c>
      <x:c r="C2210" s="46" t="n">
        <x:f>B2210^2</x:f>
        <x:v>1.0760030255799475</x:v>
      </x:c>
      <x:c r="D2210" s="47" t="n">
        <x:f>'Datos'!$B$26^3/3</x:f>
        <x:v>0.3333333333333333</x:v>
      </x:c>
      <x:c r="E2210" s="46" t="n">
        <x:f>D2210*(C2210-1)</x:f>
        <x:v>0.025334341859982512</x:v>
      </x:c>
      <x:c r="F2210" s="2"/>
      <x:c r="G2210" s="2"/>
      <x:c r="H2210" s="2"/>
    </x:row>
    <x:row r="2211" ht="22" customHeight="1">
      <x:c r="A2211" s="2" t="n">
        <x:v>2205</x:v>
      </x:c>
      <x:c r="B2211" s="79" t="n">
        <x:v>-0.270513618143331</x:v>
      </x:c>
      <x:c r="C2211" s="46" t="n">
        <x:f>B2211^2</x:f>
        <x:v>0.0731776176009959</x:v>
      </x:c>
      <x:c r="D2211" s="47" t="n">
        <x:f>'Datos'!$B$26^3/3</x:f>
        <x:v>0.3333333333333333</x:v>
      </x:c>
      <x:c r="E2211" s="46" t="n">
        <x:f>D2211*(C2211-1)</x:f>
        <x:v>-0.30894079413300135</x:v>
      </x:c>
      <x:c r="F2211" s="2"/>
      <x:c r="G2211" s="2"/>
      <x:c r="H2211" s="2"/>
    </x:row>
    <x:row r="2212" ht="22" customHeight="1">
      <x:c r="A2212" s="2" t="n">
        <x:v>2206</x:v>
      </x:c>
      <x:c r="B2212" s="79" t="n">
        <x:v>1.0027744037513922</x:v>
      </x:c>
      <x:c r="C2212" s="46" t="n">
        <x:f>B2212^2</x:f>
        <x:v>1.00555650481896</x:v>
      </x:c>
      <x:c r="D2212" s="47" t="n">
        <x:f>'Datos'!$B$26^3/3</x:f>
        <x:v>0.3333333333333333</x:v>
      </x:c>
      <x:c r="E2212" s="46" t="n">
        <x:f>D2212*(C2212-1)</x:f>
        <x:v>0.0018521682729866946</x:v>
      </x:c>
      <x:c r="F2212" s="2"/>
      <x:c r="G2212" s="2"/>
      <x:c r="H2212" s="2"/>
    </x:row>
    <x:row r="2213" ht="22" customHeight="1">
      <x:c r="A2213" s="2" t="n">
        <x:v>2207</x:v>
      </x:c>
      <x:c r="B2213" s="79" t="n">
        <x:v>-1.4348571654972087</x:v>
      </x:c>
      <x:c r="C2213" s="46" t="n">
        <x:f>B2213^2</x:f>
        <x:v>2.058815085378684</x:v>
      </x:c>
      <x:c r="D2213" s="47" t="n">
        <x:f>'Datos'!$B$26^3/3</x:f>
        <x:v>0.3333333333333333</x:v>
      </x:c>
      <x:c r="E2213" s="46" t="n">
        <x:f>D2213*(C2213-1)</x:f>
        <x:v>0.35293836179289473</x:v>
      </x:c>
      <x:c r="F2213" s="2"/>
      <x:c r="G2213" s="2"/>
      <x:c r="H2213" s="2"/>
    </x:row>
    <x:row r="2214" ht="22" customHeight="1">
      <x:c r="A2214" s="2" t="n">
        <x:v>2208</x:v>
      </x:c>
      <x:c r="B2214" s="79" t="n">
        <x:v>-0.061376463102594626</x:v>
      </x:c>
      <x:c r="C2214" s="46" t="n">
        <x:f>B2214^2</x:f>
        <x:v>0.0037670702229841597</x:v>
      </x:c>
      <x:c r="D2214" s="47" t="n">
        <x:f>'Datos'!$B$26^3/3</x:f>
        <x:v>0.3333333333333333</x:v>
      </x:c>
      <x:c r="E2214" s="46" t="n">
        <x:f>D2214*(C2214-1)</x:f>
        <x:v>-0.33207764325900524</x:v>
      </x:c>
      <x:c r="F2214" s="2"/>
      <x:c r="G2214" s="2"/>
      <x:c r="H2214" s="2"/>
    </x:row>
    <x:row r="2215" ht="22" customHeight="1">
      <x:c r="A2215" s="2" t="n">
        <x:v>2209</x:v>
      </x:c>
      <x:c r="B2215" s="79" t="n">
        <x:v>1.5261415930994766</x:v>
      </x:c>
      <x:c r="C2215" s="46" t="n">
        <x:f>B2215^2</x:f>
        <x:v>2.3291081621882084</x:v>
      </x:c>
      <x:c r="D2215" s="47" t="n">
        <x:f>'Datos'!$B$26^3/3</x:f>
        <x:v>0.3333333333333333</x:v>
      </x:c>
      <x:c r="E2215" s="46" t="n">
        <x:f>D2215*(C2215-1)</x:f>
        <x:v>0.4430360540627361</x:v>
      </x:c>
      <x:c r="F2215" s="2"/>
      <x:c r="G2215" s="2"/>
      <x:c r="H2215" s="2"/>
    </x:row>
    <x:row r="2216" ht="22" customHeight="1">
      <x:c r="A2216" s="2" t="n">
        <x:v>2210</x:v>
      </x:c>
      <x:c r="B2216" s="79" t="n">
        <x:v>-0.01644082004762889</x:v>
      </x:c>
      <x:c r="C2216" s="46" t="n">
        <x:f>B2216^2</x:f>
        <x:v>0.000270300563838516</x:v>
      </x:c>
      <x:c r="D2216" s="47" t="n">
        <x:f>'Datos'!$B$26^3/3</x:f>
        <x:v>0.3333333333333333</x:v>
      </x:c>
      <x:c r="E2216" s="46" t="n">
        <x:f>D2216*(C2216-1)</x:f>
        <x:v>-0.3332432331453872</x:v>
      </x:c>
      <x:c r="F2216" s="2"/>
      <x:c r="G2216" s="2"/>
      <x:c r="H2216" s="2"/>
    </x:row>
    <x:row r="2217" ht="22" customHeight="1">
      <x:c r="A2217" s="2" t="n">
        <x:v>2211</x:v>
      </x:c>
      <x:c r="B2217" s="79" t="n">
        <x:v>-0.5403017251971881</x:v>
      </x:c>
      <x:c r="C2217" s="46" t="n">
        <x:f>B2217^2</x:f>
        <x:v>0.2919259542510578</x:v>
      </x:c>
      <x:c r="D2217" s="47" t="n">
        <x:f>'Datos'!$B$26^3/3</x:f>
        <x:v>0.3333333333333333</x:v>
      </x:c>
      <x:c r="E2217" s="46" t="n">
        <x:f>D2217*(C2217-1)</x:f>
        <x:v>-0.2360246819163141</x:v>
      </x:c>
      <x:c r="F2217" s="2"/>
      <x:c r="G2217" s="2"/>
      <x:c r="H2217" s="2"/>
    </x:row>
    <x:row r="2218" ht="22" customHeight="1">
      <x:c r="A2218" s="2" t="n">
        <x:v>2212</x:v>
      </x:c>
      <x:c r="B2218" s="79" t="n">
        <x:v>0.4355847509708567</x:v>
      </x:c>
      <x:c r="C2218" s="46" t="n">
        <x:f>B2218^2</x:f>
        <x:v>0.18973407527834324</x:v>
      </x:c>
      <x:c r="D2218" s="47" t="n">
        <x:f>'Datos'!$B$26^3/3</x:f>
        <x:v>0.3333333333333333</x:v>
      </x:c>
      <x:c r="E2218" s="46" t="n">
        <x:f>D2218*(C2218-1)</x:f>
        <x:v>-0.27008864157388557</x:v>
      </x:c>
      <x:c r="F2218" s="2"/>
      <x:c r="G2218" s="2"/>
      <x:c r="H2218" s="2"/>
    </x:row>
    <x:row r="2219" ht="22" customHeight="1">
      <x:c r="A2219" s="2" t="n">
        <x:v>2213</x:v>
      </x:c>
      <x:c r="B2219" s="79" t="n">
        <x:v>0.9432476659667133</x:v>
      </x:c>
      <x:c r="C2219" s="46" t="n">
        <x:f>B2219^2</x:f>
        <x:v>0.8897161593516523</x:v>
      </x:c>
      <x:c r="D2219" s="47" t="n">
        <x:f>'Datos'!$B$26^3/3</x:f>
        <x:v>0.3333333333333333</x:v>
      </x:c>
      <x:c r="E2219" s="46" t="n">
        <x:f>D2219*(C2219-1)</x:f>
        <x:v>-0.03676128021611591</x:v>
      </x:c>
      <x:c r="F2219" s="2"/>
      <x:c r="G2219" s="2"/>
      <x:c r="H2219" s="2"/>
    </x:row>
    <x:row r="2220" ht="22" customHeight="1">
      <x:c r="A2220" s="2" t="n">
        <x:v>2214</x:v>
      </x:c>
      <x:c r="B2220" s="79" t="n">
        <x:v>-0.7362056512865639</x:v>
      </x:c>
      <x:c r="C2220" s="46" t="n">
        <x:f>B2220^2</x:f>
        <x:v>0.5419987609862738</x:v>
      </x:c>
      <x:c r="D2220" s="47" t="n">
        <x:f>'Datos'!$B$26^3/3</x:f>
        <x:v>0.3333333333333333</x:v>
      </x:c>
      <x:c r="E2220" s="46" t="n">
        <x:f>D2220*(C2220-1)</x:f>
        <x:v>-0.15266707967124207</x:v>
      </x:c>
      <x:c r="F2220" s="2"/>
      <x:c r="G2220" s="2"/>
      <x:c r="H2220" s="2"/>
    </x:row>
    <x:row r="2221" ht="22" customHeight="1">
      <x:c r="A2221" s="2" t="n">
        <x:v>2215</x:v>
      </x:c>
      <x:c r="B2221" s="79" t="n">
        <x:v>-0.2669153978267797</x:v>
      </x:c>
      <x:c r="C2221" s="46" t="n">
        <x:f>B2221^2</x:f>
        <x:v>0.07124382959702807</x:v>
      </x:c>
      <x:c r="D2221" s="47" t="n">
        <x:f>'Datos'!$B$26^3/3</x:f>
        <x:v>0.3333333333333333</x:v>
      </x:c>
      <x:c r="E2221" s="46" t="n">
        <x:f>D2221*(C2221-1)</x:f>
        <x:v>-0.30958539013432396</x:v>
      </x:c>
      <x:c r="F2221" s="2"/>
      <x:c r="G2221" s="2"/>
      <x:c r="H2221" s="2"/>
    </x:row>
    <x:row r="2222" ht="22" customHeight="1">
      <x:c r="A2222" s="2" t="n">
        <x:v>2216</x:v>
      </x:c>
      <x:c r="B2222" s="79" t="n">
        <x:v>0.9315133123402125</x:v>
      </x:c>
      <x:c r="C2222" s="46" t="n">
        <x:f>B2222^2</x:f>
        <x:v>0.8677170510670343</x:v>
      </x:c>
      <x:c r="D2222" s="47" t="n">
        <x:f>'Datos'!$B$26^3/3</x:f>
        <x:v>0.3333333333333333</x:v>
      </x:c>
      <x:c r="E2222" s="46" t="n">
        <x:f>D2222*(C2222-1)</x:f>
        <x:v>-0.04409431631098855</x:v>
      </x:c>
      <x:c r="F2222" s="2"/>
      <x:c r="G2222" s="2"/>
      <x:c r="H2222" s="2"/>
    </x:row>
    <x:row r="2223" ht="22" customHeight="1">
      <x:c r="A2223" s="2" t="n">
        <x:v>2217</x:v>
      </x:c>
      <x:c r="B2223" s="79" t="n">
        <x:v>1.2238324249625465</x:v>
      </x:c>
      <x:c r="C2223" s="46" t="n">
        <x:f>B2223^2</x:f>
        <x:v>1.497765804389707</x:v>
      </x:c>
      <x:c r="D2223" s="47" t="n">
        <x:f>'Datos'!$B$26^3/3</x:f>
        <x:v>0.3333333333333333</x:v>
      </x:c>
      <x:c r="E2223" s="46" t="n">
        <x:f>D2223*(C2223-1)</x:f>
        <x:v>0.16592193479656903</x:v>
      </x:c>
      <x:c r="F2223" s="2"/>
      <x:c r="G2223" s="2"/>
      <x:c r="H2223" s="2"/>
    </x:row>
    <x:row r="2224" ht="22" customHeight="1">
      <x:c r="A2224" s="2" t="n">
        <x:v>2218</x:v>
      </x:c>
      <x:c r="B2224" s="79" t="n">
        <x:v>-0.3627846773796036</x:v>
      </x:c>
      <x:c r="C2224" s="46" t="n">
        <x:f>B2224^2</x:f>
        <x:v>0.13161272214142308</x:v>
      </x:c>
      <x:c r="D2224" s="47" t="n">
        <x:f>'Datos'!$B$26^3/3</x:f>
        <x:v>0.3333333333333333</x:v>
      </x:c>
      <x:c r="E2224" s="46" t="n">
        <x:f>D2224*(C2224-1)</x:f>
        <x:v>-0.289462425952859</x:v>
      </x:c>
      <x:c r="F2224" s="2"/>
      <x:c r="G2224" s="2"/>
      <x:c r="H2224" s="2"/>
    </x:row>
    <x:row r="2225" ht="22" customHeight="1">
      <x:c r="A2225" s="2" t="n">
        <x:v>2219</x:v>
      </x:c>
      <x:c r="B2225" s="79" t="n">
        <x:v>1.6829150535237194</x:v>
      </x:c>
      <x:c r="C2225" s="46" t="n">
        <x:f>B2225^2</x:f>
        <x:v>2.8322030773767435</x:v>
      </x:c>
      <x:c r="D2225" s="47" t="n">
        <x:f>'Datos'!$B$26^3/3</x:f>
        <x:v>0.3333333333333333</x:v>
      </x:c>
      <x:c r="E2225" s="46" t="n">
        <x:f>D2225*(C2225-1)</x:f>
        <x:v>0.6107343591255812</x:v>
      </x:c>
      <x:c r="F2225" s="2"/>
      <x:c r="G2225" s="2"/>
      <x:c r="H2225" s="2"/>
    </x:row>
    <x:row r="2226" ht="22" customHeight="1">
      <x:c r="A2226" s="2" t="n">
        <x:v>2220</x:v>
      </x:c>
      <x:c r="B2226" s="79" t="n">
        <x:v>0.5963658861205035</x:v>
      </x:c>
      <x:c r="C2226" s="46" t="n">
        <x:f>B2226^2</x:f>
        <x:v>0.3556522701282933</x:v>
      </x:c>
      <x:c r="D2226" s="47" t="n">
        <x:f>'Datos'!$B$26^3/3</x:f>
        <x:v>0.3333333333333333</x:v>
      </x:c>
      <x:c r="E2226" s="46" t="n">
        <x:f>D2226*(C2226-1)</x:f>
        <x:v>-0.2147825766239022</x:v>
      </x:c>
      <x:c r="F2226" s="2"/>
      <x:c r="G2226" s="2"/>
      <x:c r="H2226" s="2"/>
    </x:row>
    <x:row r="2227" ht="22" customHeight="1">
      <x:c r="A2227" s="2" t="n">
        <x:v>2221</x:v>
      </x:c>
      <x:c r="B2227" s="79" t="n">
        <x:v>1.1577113833230699</x:v>
      </x:c>
      <x:c r="C2227" s="46" t="n">
        <x:f>B2227^2</x:f>
        <x:v>1.340295647075816</x:v>
      </x:c>
      <x:c r="D2227" s="47" t="n">
        <x:f>'Datos'!$B$26^3/3</x:f>
        <x:v>0.3333333333333333</x:v>
      </x:c>
      <x:c r="E2227" s="46" t="n">
        <x:f>D2227*(C2227-1)</x:f>
        <x:v>0.11343188235860535</x:v>
      </x:c>
      <x:c r="F2227" s="2"/>
      <x:c r="G2227" s="2"/>
      <x:c r="H2227" s="2"/>
    </x:row>
    <x:row r="2228" ht="22" customHeight="1">
      <x:c r="A2228" s="2" t="n">
        <x:v>2222</x:v>
      </x:c>
      <x:c r="B2228" s="79" t="n">
        <x:v>1.4164028547801477</x:v>
      </x:c>
      <x:c r="C2228" s="46" t="n">
        <x:f>B2228^2</x:f>
        <x:v>2.006197047029352</x:v>
      </x:c>
      <x:c r="D2228" s="47" t="n">
        <x:f>'Datos'!$B$26^3/3</x:f>
        <x:v>0.3333333333333333</x:v>
      </x:c>
      <x:c r="E2228" s="46" t="n">
        <x:f>D2228*(C2228-1)</x:f>
        <x:v>0.3353990156764507</x:v>
      </x:c>
      <x:c r="F2228" s="2"/>
      <x:c r="G2228" s="2"/>
      <x:c r="H2228" s="2"/>
    </x:row>
    <x:row r="2229" ht="22" customHeight="1">
      <x:c r="A2229" s="2" t="n">
        <x:v>2223</x:v>
      </x:c>
      <x:c r="B2229" s="79" t="n">
        <x:v>1.171830072537496</x:v>
      </x:c>
      <x:c r="C2229" s="46" t="n">
        <x:f>B2229^2</x:f>
        <x:v>1.373185718903233</x:v>
      </x:c>
      <x:c r="D2229" s="47" t="n">
        <x:f>'Datos'!$B$26^3/3</x:f>
        <x:v>0.3333333333333333</x:v>
      </x:c>
      <x:c r="E2229" s="46" t="n">
        <x:f>D2229*(C2229-1)</x:f>
        <x:v>0.12439523963441101</x:v>
      </x:c>
      <x:c r="F2229" s="2"/>
      <x:c r="G2229" s="2"/>
      <x:c r="H2229" s="2"/>
    </x:row>
    <x:row r="2230" ht="22" customHeight="1">
      <x:c r="A2230" s="2" t="n">
        <x:v>2224</x:v>
      </x:c>
      <x:c r="B2230" s="79" t="n">
        <x:v>-0.2662038189030607</x:v>
      </x:c>
      <x:c r="C2230" s="46" t="n">
        <x:f>B2230^2</x:f>
        <x:v>0.07086447319857354</x:v>
      </x:c>
      <x:c r="D2230" s="47" t="n">
        <x:f>'Datos'!$B$26^3/3</x:f>
        <x:v>0.3333333333333333</x:v>
      </x:c>
      <x:c r="E2230" s="46" t="n">
        <x:f>D2230*(C2230-1)</x:f>
        <x:v>-0.3097118422671421</x:v>
      </x:c>
      <x:c r="F2230" s="2"/>
      <x:c r="G2230" s="2"/>
      <x:c r="H2230" s="2"/>
    </x:row>
    <x:row r="2231" ht="22" customHeight="1">
      <x:c r="A2231" s="2" t="n">
        <x:v>2225</x:v>
      </x:c>
      <x:c r="B2231" s="79" t="n">
        <x:v>-1.8029156205948016</x:v>
      </x:c>
      <x:c r="C2231" s="46" t="n">
        <x:f>B2231^2</x:f>
        <x:v>3.2505047349847387</x:v>
      </x:c>
      <x:c r="D2231" s="47" t="n">
        <x:f>'Datos'!$B$26^3/3</x:f>
        <x:v>0.3333333333333333</x:v>
      </x:c>
      <x:c r="E2231" s="46" t="n">
        <x:f>D2231*(C2231-1)</x:f>
        <x:v>0.7501682449949129</x:v>
      </x:c>
      <x:c r="F2231" s="2"/>
      <x:c r="G2231" s="2"/>
      <x:c r="H2231" s="2"/>
    </x:row>
    <x:row r="2232" ht="22" customHeight="1">
      <x:c r="A2232" s="2" t="n">
        <x:v>2226</x:v>
      </x:c>
      <x:c r="B2232" s="79" t="n">
        <x:v>0.9912154093644485</x:v>
      </x:c>
      <x:c r="C2232" s="46" t="n">
        <x:f>B2232^2</x:f>
        <x:v>0.9825079877615313</x:v>
      </x:c>
      <x:c r="D2232" s="47" t="n">
        <x:f>'Datos'!$B$26^3/3</x:f>
        <x:v>0.3333333333333333</x:v>
      </x:c>
      <x:c r="E2232" s="46" t="n">
        <x:f>D2232*(C2232-1)</x:f>
        <x:v>-0.005830670746156248</x:v>
      </x:c>
      <x:c r="F2232" s="2"/>
      <x:c r="G2232" s="2"/>
      <x:c r="H2232" s="2"/>
    </x:row>
    <x:row r="2233" ht="22" customHeight="1">
      <x:c r="A2233" s="2" t="n">
        <x:v>2227</x:v>
      </x:c>
      <x:c r="B2233" s="79" t="n">
        <x:v>-0.31569487323159784</x:v>
      </x:c>
      <x:c r="C2233" s="46" t="n">
        <x:f>B2233^2</x:f>
        <x:v>0.09966325298471462</x:v>
      </x:c>
      <x:c r="D2233" s="47" t="n">
        <x:f>'Datos'!$B$26^3/3</x:f>
        <x:v>0.3333333333333333</x:v>
      </x:c>
      <x:c r="E2233" s="46" t="n">
        <x:f>D2233*(C2233-1)</x:f>
        <x:v>-0.30011224900509514</x:v>
      </x:c>
      <x:c r="F2233" s="2"/>
      <x:c r="G2233" s="2"/>
      <x:c r="H2233" s="2"/>
    </x:row>
    <x:row r="2234" ht="22" customHeight="1">
      <x:c r="A2234" s="2" t="n">
        <x:v>2228</x:v>
      </x:c>
      <x:c r="B2234" s="79" t="n">
        <x:v>-0.07187088679035344</x:v>
      </x:c>
      <x:c r="C2234" s="46" t="n">
        <x:f>B2234^2</x:f>
        <x:v>0.005165424368031801</x:v>
      </x:c>
      <x:c r="D2234" s="47" t="n">
        <x:f>'Datos'!$B$26^3/3</x:f>
        <x:v>0.3333333333333333</x:v>
      </x:c>
      <x:c r="E2234" s="46" t="n">
        <x:f>D2234*(C2234-1)</x:f>
        <x:v>-0.33161152521065607</x:v>
      </x:c>
      <x:c r="F2234" s="2"/>
      <x:c r="G2234" s="2"/>
      <x:c r="H2234" s="2"/>
    </x:row>
    <x:row r="2235" ht="22" customHeight="1">
      <x:c r="A2235" s="2" t="n">
        <x:v>2229</x:v>
      </x:c>
      <x:c r="B2235" s="79" t="n">
        <x:v>-0.4557611028007325</x:v>
      </x:c>
      <x:c r="C2235" s="46" t="n">
        <x:f>B2235^2</x:f>
        <x:v>0.20771818282613988</x:v>
      </x:c>
      <x:c r="D2235" s="47" t="n">
        <x:f>'Datos'!$B$26^3/3</x:f>
        <x:v>0.3333333333333333</x:v>
      </x:c>
      <x:c r="E2235" s="46" t="n">
        <x:f>D2235*(C2235-1)</x:f>
        <x:v>-0.26409393905795336</x:v>
      </x:c>
      <x:c r="F2235" s="2"/>
      <x:c r="G2235" s="2"/>
      <x:c r="H2235" s="2"/>
    </x:row>
    <x:row r="2236" ht="22" customHeight="1">
      <x:c r="A2236" s="2" t="n">
        <x:v>2230</x:v>
      </x:c>
      <x:c r="B2236" s="79" t="n">
        <x:v>1.9525607719982858</x:v>
      </x:c>
      <x:c r="C2236" s="46" t="n">
        <x:f>B2236^2</x:f>
        <x:v>3.8124935683465417</x:v>
      </x:c>
      <x:c r="D2236" s="47" t="n">
        <x:f>'Datos'!$B$26^3/3</x:f>
        <x:v>0.3333333333333333</x:v>
      </x:c>
      <x:c r="E2236" s="46" t="n">
        <x:f>D2236*(C2236-1)</x:f>
        <x:v>0.9374978561155138</x:v>
      </x:c>
      <x:c r="F2236" s="2"/>
      <x:c r="G2236" s="2"/>
      <x:c r="H2236" s="2"/>
    </x:row>
    <x:row r="2237" ht="22" customHeight="1">
      <x:c r="A2237" s="2" t="n">
        <x:v>2231</x:v>
      </x:c>
      <x:c r="B2237" s="79" t="n">
        <x:v>0.7016662606383444</x:v>
      </x:c>
      <x:c r="C2237" s="46" t="n">
        <x:f>B2237^2</x:f>
        <x:v>0.492335541318197</x:v>
      </x:c>
      <x:c r="D2237" s="47" t="n">
        <x:f>'Datos'!$B$26^3/3</x:f>
        <x:v>0.3333333333333333</x:v>
      </x:c>
      <x:c r="E2237" s="46" t="n">
        <x:f>D2237*(C2237-1)</x:f>
        <x:v>-0.16922148622726765</x:v>
      </x:c>
      <x:c r="F2237" s="2"/>
      <x:c r="G2237" s="2"/>
      <x:c r="H2237" s="2"/>
    </x:row>
    <x:row r="2238" ht="22" customHeight="1">
      <x:c r="A2238" s="2" t="n">
        <x:v>2232</x:v>
      </x:c>
      <x:c r="B2238" s="79" t="n">
        <x:v>0.4335057265321568</x:v>
      </x:c>
      <x:c r="C2238" s="46" t="n">
        <x:f>B2238^2</x:f>
        <x:v>0.18792721493617312</x:v>
      </x:c>
      <x:c r="D2238" s="47" t="n">
        <x:f>'Datos'!$B$26^3/3</x:f>
        <x:v>0.3333333333333333</x:v>
      </x:c>
      <x:c r="E2238" s="46" t="n">
        <x:f>D2238*(C2238-1)</x:f>
        <x:v>-0.27069092835460895</x:v>
      </x:c>
      <x:c r="F2238" s="2"/>
      <x:c r="G2238" s="2"/>
      <x:c r="H2238" s="2"/>
    </x:row>
    <x:row r="2239" ht="22" customHeight="1">
      <x:c r="A2239" s="2" t="n">
        <x:v>2233</x:v>
      </x:c>
      <x:c r="B2239" s="79" t="n">
        <x:v>0.650294363245885</x:v>
      </x:c>
      <x:c r="C2239" s="46" t="n">
        <x:f>B2239^2</x:f>
        <x:v>0.422882758869371</x:v>
      </x:c>
      <x:c r="D2239" s="47" t="n">
        <x:f>'Datos'!$B$26^3/3</x:f>
        <x:v>0.3333333333333333</x:v>
      </x:c>
      <x:c r="E2239" s="46" t="n">
        <x:f>D2239*(C2239-1)</x:f>
        <x:v>-0.19237241371020966</x:v>
      </x:c>
      <x:c r="F2239" s="2"/>
      <x:c r="G2239" s="2"/>
      <x:c r="H2239" s="2"/>
    </x:row>
    <x:row r="2240" ht="22" customHeight="1">
      <x:c r="A2240" s="2" t="n">
        <x:v>2234</x:v>
      </x:c>
      <x:c r="B2240" s="79" t="n">
        <x:v>0.8554233591318959</x:v>
      </x:c>
      <x:c r="C2240" s="46" t="n">
        <x:f>B2240^2</x:f>
        <x:v>0.7317491233484966</x:v>
      </x:c>
      <x:c r="D2240" s="47" t="n">
        <x:f>'Datos'!$B$26^3/3</x:f>
        <x:v>0.3333333333333333</x:v>
      </x:c>
      <x:c r="E2240" s="46" t="n">
        <x:f>D2240*(C2240-1)</x:f>
        <x:v>-0.08941695888383445</x:v>
      </x:c>
      <x:c r="F2240" s="2"/>
      <x:c r="G2240" s="2"/>
      <x:c r="H2240" s="2"/>
    </x:row>
    <x:row r="2241" ht="22" customHeight="1">
      <x:c r="A2241" s="2" t="n">
        <x:v>2235</x:v>
      </x:c>
      <x:c r="B2241" s="79" t="n">
        <x:v>0.30575763254340416</x:v>
      </x:c>
      <x:c r="C2241" s="46" t="n">
        <x:f>B2241^2</x:f>
        <x:v>0.09348772985854736</x:v>
      </x:c>
      <x:c r="D2241" s="47" t="n">
        <x:f>'Datos'!$B$26^3/3</x:f>
        <x:v>0.3333333333333333</x:v>
      </x:c>
      <x:c r="E2241" s="46" t="n">
        <x:f>D2241*(C2241-1)</x:f>
        <x:v>-0.30217075671381755</x:v>
      </x:c>
      <x:c r="F2241" s="2"/>
      <x:c r="G2241" s="2"/>
      <x:c r="H2241" s="2"/>
    </x:row>
    <x:row r="2242" ht="22" customHeight="1">
      <x:c r="A2242" s="2" t="n">
        <x:v>2236</x:v>
      </x:c>
      <x:c r="B2242" s="79" t="n">
        <x:v>0.35597447740241694</x:v>
      </x:c>
      <x:c r="C2242" s="46" t="n">
        <x:f>B2242^2</x:f>
        <x:v>0.12671782856192385</x:v>
      </x:c>
      <x:c r="D2242" s="47" t="n">
        <x:f>'Datos'!$B$26^3/3</x:f>
        <x:v>0.3333333333333333</x:v>
      </x:c>
      <x:c r="E2242" s="46" t="n">
        <x:f>D2242*(C2242-1)</x:f>
        <x:v>-0.2910940571460254</x:v>
      </x:c>
      <x:c r="F2242" s="2"/>
      <x:c r="G2242" s="2"/>
      <x:c r="H2242" s="2"/>
    </x:row>
    <x:row r="2243" ht="22" customHeight="1">
      <x:c r="A2243" s="2" t="n">
        <x:v>2237</x:v>
      </x:c>
      <x:c r="B2243" s="79" t="n">
        <x:v>0.20672008508214837</x:v>
      </x:c>
      <x:c r="C2243" s="46" t="n">
        <x:f>B2243^2</x:f>
        <x:v>0.04273319357637066</x:v>
      </x:c>
      <x:c r="D2243" s="47" t="n">
        <x:f>'Datos'!$B$26^3/3</x:f>
        <x:v>0.3333333333333333</x:v>
      </x:c>
      <x:c r="E2243" s="46" t="n">
        <x:f>D2243*(C2243-1)</x:f>
        <x:v>-0.3190889354745431</x:v>
      </x:c>
      <x:c r="F2243" s="2"/>
      <x:c r="G2243" s="2"/>
      <x:c r="H2243" s="2"/>
    </x:row>
    <x:row r="2244" ht="22" customHeight="1">
      <x:c r="A2244" s="2" t="n">
        <x:v>2238</x:v>
      </x:c>
      <x:c r="B2244" s="79" t="n">
        <x:v>-0.9492967714153033</x:v>
      </x:c>
      <x:c r="C2244" s="46" t="n">
        <x:f>B2244^2</x:f>
        <x:v>0.9011643602195186</x:v>
      </x:c>
      <x:c r="D2244" s="47" t="n">
        <x:f>'Datos'!$B$26^3/3</x:f>
        <x:v>0.3333333333333333</x:v>
      </x:c>
      <x:c r="E2244" s="46" t="n">
        <x:f>D2244*(C2244-1)</x:f>
        <x:v>-0.03294521326016046</x:v>
      </x:c>
      <x:c r="F2244" s="2"/>
      <x:c r="G2244" s="2"/>
      <x:c r="H2244" s="2"/>
    </x:row>
    <x:row r="2245" ht="22" customHeight="1">
      <x:c r="A2245" s="2" t="n">
        <x:v>2239</x:v>
      </x:c>
      <x:c r="B2245" s="79" t="n">
        <x:v>0.5330429395329476</x:v>
      </x:c>
      <x:c r="C2245" s="46" t="n">
        <x:f>B2245^2</x:f>
        <x:v>0.2841347753859256</x:v>
      </x:c>
      <x:c r="D2245" s="47" t="n">
        <x:f>'Datos'!$B$26^3/3</x:f>
        <x:v>0.3333333333333333</x:v>
      </x:c>
      <x:c r="E2245" s="46" t="n">
        <x:f>D2245*(C2245-1)</x:f>
        <x:v>-0.2386217415380248</x:v>
      </x:c>
      <x:c r="F2245" s="2"/>
      <x:c r="G2245" s="2"/>
      <x:c r="H2245" s="2"/>
    </x:row>
    <x:row r="2246" ht="22" customHeight="1">
      <x:c r="A2246" s="2" t="n">
        <x:v>2240</x:v>
      </x:c>
      <x:c r="B2246" s="79" t="n">
        <x:v>0.11736007436694065</x:v>
      </x:c>
      <x:c r="C2246" s="46" t="n">
        <x:f>B2246^2</x:f>
        <x:v>0.01377338705541384</x:v>
      </x:c>
      <x:c r="D2246" s="47" t="n">
        <x:f>'Datos'!$B$26^3/3</x:f>
        <x:v>0.3333333333333333</x:v>
      </x:c>
      <x:c r="E2246" s="46" t="n">
        <x:f>D2246*(C2246-1)</x:f>
        <x:v>-0.328742204314862</x:v>
      </x:c>
      <x:c r="F2246" s="2"/>
      <x:c r="G2246" s="2"/>
      <x:c r="H2246" s="2"/>
    </x:row>
    <x:row r="2247" ht="22" customHeight="1">
      <x:c r="A2247" s="2" t="n">
        <x:v>2241</x:v>
      </x:c>
      <x:c r="B2247" s="79" t="n">
        <x:v>0.6469600617431909</x:v>
      </x:c>
      <x:c r="C2247" s="46" t="n">
        <x:f>B2247^2</x:f>
        <x:v>0.41855732149075336</x:v>
      </x:c>
      <x:c r="D2247" s="47" t="n">
        <x:f>'Datos'!$B$26^3/3</x:f>
        <x:v>0.3333333333333333</x:v>
      </x:c>
      <x:c r="E2247" s="46" t="n">
        <x:f>D2247*(C2247-1)</x:f>
        <x:v>-0.19381422616974886</x:v>
      </x:c>
      <x:c r="F2247" s="2"/>
      <x:c r="G2247" s="2"/>
      <x:c r="H2247" s="2"/>
    </x:row>
    <x:row r="2248" ht="22" customHeight="1">
      <x:c r="A2248" s="2" t="n">
        <x:v>2242</x:v>
      </x:c>
      <x:c r="B2248" s="79" t="n">
        <x:v>-0.6055240386390267</x:v>
      </x:c>
      <x:c r="C2248" s="46" t="n">
        <x:f>B2248^2</x:f>
        <x:v>0.3666593613697175</x:v>
      </x:c>
      <x:c r="D2248" s="47" t="n">
        <x:f>'Datos'!$B$26^3/3</x:f>
        <x:v>0.3333333333333333</x:v>
      </x:c>
      <x:c r="E2248" s="46" t="n">
        <x:f>D2248*(C2248-1)</x:f>
        <x:v>-0.21111354621009415</x:v>
      </x:c>
      <x:c r="F2248" s="2"/>
      <x:c r="G2248" s="2"/>
      <x:c r="H2248" s="2"/>
    </x:row>
    <x:row r="2249" ht="22" customHeight="1">
      <x:c r="A2249" s="2" t="n">
        <x:v>2243</x:v>
      </x:c>
      <x:c r="B2249" s="79" t="n">
        <x:v>-1.522521116622019</x:v>
      </x:c>
      <x:c r="C2249" s="46" t="n">
        <x:f>B2249^2</x:f>
        <x:v>2.3180705505599595</x:v>
      </x:c>
      <x:c r="D2249" s="47" t="n">
        <x:f>'Datos'!$B$26^3/3</x:f>
        <x:v>0.3333333333333333</x:v>
      </x:c>
      <x:c r="E2249" s="46" t="n">
        <x:f>D2249*(C2249-1)</x:f>
        <x:v>0.43935685018665316</x:v>
      </x:c>
      <x:c r="F2249" s="2"/>
      <x:c r="G2249" s="2"/>
      <x:c r="H2249" s="2"/>
    </x:row>
    <x:row r="2250" ht="22" customHeight="1">
      <x:c r="A2250" s="2" t="n">
        <x:v>2244</x:v>
      </x:c>
      <x:c r="B2250" s="79" t="n">
        <x:v>0.8566600876805611</x:v>
      </x:c>
      <x:c r="C2250" s="46" t="n">
        <x:f>B2250^2</x:f>
        <x:v>0.7338665058248667</x:v>
      </x:c>
      <x:c r="D2250" s="47" t="n">
        <x:f>'Datos'!$B$26^3/3</x:f>
        <x:v>0.3333333333333333</x:v>
      </x:c>
      <x:c r="E2250" s="46" t="n">
        <x:f>D2250*(C2250-1)</x:f>
        <x:v>-0.08871116472504444</x:v>
      </x:c>
      <x:c r="F2250" s="2"/>
      <x:c r="G2250" s="2"/>
      <x:c r="H2250" s="2"/>
    </x:row>
    <x:row r="2251" ht="22" customHeight="1">
      <x:c r="A2251" s="2" t="n">
        <x:v>2245</x:v>
      </x:c>
      <x:c r="B2251" s="79" t="n">
        <x:v>0.7111257787434743</x:v>
      </x:c>
      <x:c r="C2251" s="46" t="n">
        <x:f>B2251^2</x:f>
        <x:v>0.5056998731935127</x:v>
      </x:c>
      <x:c r="D2251" s="47" t="n">
        <x:f>'Datos'!$B$26^3/3</x:f>
        <x:v>0.3333333333333333</x:v>
      </x:c>
      <x:c r="E2251" s="46" t="n">
        <x:f>D2251*(C2251-1)</x:f>
        <x:v>-0.16476670893549575</x:v>
      </x:c>
      <x:c r="F2251" s="2"/>
      <x:c r="G2251" s="2"/>
      <x:c r="H2251" s="2"/>
    </x:row>
    <x:row r="2252" ht="22" customHeight="1">
      <x:c r="A2252" s="2" t="n">
        <x:v>2246</x:v>
      </x:c>
      <x:c r="B2252" s="79" t="n">
        <x:v>-1.1326396088671118</x:v>
      </x:c>
      <x:c r="C2252" s="46" t="n">
        <x:f>B2252^2</x:f>
        <x:v>1.282872483574644</x:v>
      </x:c>
      <x:c r="D2252" s="47" t="n">
        <x:f>'Datos'!$B$26^3/3</x:f>
        <x:v>0.3333333333333333</x:v>
      </x:c>
      <x:c r="E2252" s="46" t="n">
        <x:f>D2252*(C2252-1)</x:f>
        <x:v>0.09429082785821463</x:v>
      </x:c>
      <x:c r="F2252" s="2"/>
      <x:c r="G2252" s="2"/>
      <x:c r="H2252" s="2"/>
    </x:row>
    <x:row r="2253" ht="22" customHeight="1">
      <x:c r="A2253" s="2" t="n">
        <x:v>2247</x:v>
      </x:c>
      <x:c r="B2253" s="79" t="n">
        <x:v>1.982524542829962</x:v>
      </x:c>
      <x:c r="C2253" s="46" t="n">
        <x:f>B2253^2</x:f>
        <x:v>3.93040356292315</x:v>
      </x:c>
      <x:c r="D2253" s="47" t="n">
        <x:f>'Datos'!$B$26^3/3</x:f>
        <x:v>0.3333333333333333</x:v>
      </x:c>
      <x:c r="E2253" s="46" t="n">
        <x:f>D2253*(C2253-1)</x:f>
        <x:v>0.97680118764105</x:v>
      </x:c>
      <x:c r="F2253" s="2"/>
      <x:c r="G2253" s="2"/>
      <x:c r="H2253" s="2"/>
    </x:row>
    <x:row r="2254" ht="22" customHeight="1">
      <x:c r="A2254" s="2" t="n">
        <x:v>2248</x:v>
      </x:c>
      <x:c r="B2254" s="79" t="n">
        <x:v>-0.2216088400722217</x:v>
      </x:c>
      <x:c r="C2254" s="46" t="n">
        <x:f>B2254^2</x:f>
        <x:v>0.04911047799815554</x:v>
      </x:c>
      <x:c r="D2254" s="47" t="n">
        <x:f>'Datos'!$B$26^3/3</x:f>
        <x:v>0.3333333333333333</x:v>
      </x:c>
      <x:c r="E2254" s="46" t="n">
        <x:f>D2254*(C2254-1)</x:f>
        <x:v>-0.3169631740006148</x:v>
      </x:c>
      <x:c r="F2254" s="2"/>
      <x:c r="G2254" s="2"/>
      <x:c r="H2254" s="2"/>
    </x:row>
    <x:row r="2255" ht="22" customHeight="1">
      <x:c r="A2255" s="2" t="n">
        <x:v>2249</x:v>
      </x:c>
      <x:c r="B2255" s="79" t="n">
        <x:v>0.3028434736974707</x:v>
      </x:c>
      <x:c r="C2255" s="46" t="n">
        <x:f>B2255^2</x:f>
        <x:v>0.09171416956115064</x:v>
      </x:c>
      <x:c r="D2255" s="47" t="n">
        <x:f>'Datos'!$B$26^3/3</x:f>
        <x:v>0.3333333333333333</x:v>
      </x:c>
      <x:c r="E2255" s="46" t="n">
        <x:f>D2255*(C2255-1)</x:f>
        <x:v>-0.30276194347961644</x:v>
      </x:c>
      <x:c r="F2255" s="2"/>
      <x:c r="G2255" s="2"/>
      <x:c r="H2255" s="2"/>
    </x:row>
    <x:row r="2256" ht="22" customHeight="1">
      <x:c r="A2256" s="2" t="n">
        <x:v>2250</x:v>
      </x:c>
      <x:c r="B2256" s="79" t="n">
        <x:v>0.626527518889744</x:v>
      </x:c>
      <x:c r="C2256" s="46" t="n">
        <x:f>B2256^2</x:f>
        <x:v>0.3925367319261385</x:v>
      </x:c>
      <x:c r="D2256" s="47" t="n">
        <x:f>'Datos'!$B$26^3/3</x:f>
        <x:v>0.3333333333333333</x:v>
      </x:c>
      <x:c r="E2256" s="46" t="n">
        <x:f>D2256*(C2256-1)</x:f>
        <x:v>-0.20248775602462046</x:v>
      </x:c>
      <x:c r="F2256" s="2"/>
      <x:c r="G2256" s="2"/>
      <x:c r="H2256" s="2"/>
    </x:row>
    <x:row r="2257" ht="22" customHeight="1">
      <x:c r="A2257" s="2" t="n">
        <x:v>2251</x:v>
      </x:c>
      <x:c r="B2257" s="79" t="n">
        <x:v>-0.0663849353453592</x:v>
      </x:c>
      <x:c r="C2257" s="46" t="n">
        <x:f>B2257^2</x:f>
        <x:v>0.004406959640807522</x:v>
      </x:c>
      <x:c r="D2257" s="47" t="n">
        <x:f>'Datos'!$B$26^3/3</x:f>
        <x:v>0.3333333333333333</x:v>
      </x:c>
      <x:c r="E2257" s="46" t="n">
        <x:f>D2257*(C2257-1)</x:f>
        <x:v>-0.3318643467863975</x:v>
      </x:c>
      <x:c r="F2257" s="2"/>
      <x:c r="G2257" s="2"/>
      <x:c r="H2257" s="2"/>
    </x:row>
    <x:row r="2258" ht="22" customHeight="1">
      <x:c r="A2258" s="2" t="n">
        <x:v>2252</x:v>
      </x:c>
      <x:c r="B2258" s="79" t="n">
        <x:v>0.37283008941474916</x:v>
      </x:c>
      <x:c r="C2258" s="46" t="n">
        <x:f>B2258^2</x:f>
        <x:v>0.13900227557300984</x:v>
      </x:c>
      <x:c r="D2258" s="47" t="n">
        <x:f>'Datos'!$B$26^3/3</x:f>
        <x:v>0.3333333333333333</x:v>
      </x:c>
      <x:c r="E2258" s="46" t="n">
        <x:f>D2258*(C2258-1)</x:f>
        <x:v>-0.28699924147566336</x:v>
      </x:c>
      <x:c r="F2258" s="2"/>
      <x:c r="G2258" s="2"/>
      <x:c r="H2258" s="2"/>
    </x:row>
    <x:row r="2259" ht="22" customHeight="1">
      <x:c r="A2259" s="2" t="n">
        <x:v>2253</x:v>
      </x:c>
      <x:c r="B2259" s="79" t="n">
        <x:v>0.1457402634581626</x:v>
      </x:c>
      <x:c r="C2259" s="46" t="n">
        <x:f>B2259^2</x:f>
        <x:v>0.021240224392854643</x:v>
      </x:c>
      <x:c r="D2259" s="47" t="n">
        <x:f>'Datos'!$B$26^3/3</x:f>
        <x:v>0.3333333333333333</x:v>
      </x:c>
      <x:c r="E2259" s="46" t="n">
        <x:f>D2259*(C2259-1)</x:f>
        <x:v>-0.3262532585357151</x:v>
      </x:c>
      <x:c r="F2259" s="2"/>
      <x:c r="G2259" s="2"/>
      <x:c r="H2259" s="2"/>
    </x:row>
    <x:row r="2260" ht="22" customHeight="1">
      <x:c r="A2260" s="2" t="n">
        <x:v>2254</x:v>
      </x:c>
      <x:c r="B2260" s="79" t="n">
        <x:v>0.011446564695173002</x:v>
      </x:c>
      <x:c r="C2260" s="46" t="n">
        <x:f>B2260^2</x:f>
        <x:v>0.000131023843320781</x:v>
      </x:c>
      <x:c r="D2260" s="47" t="n">
        <x:f>'Datos'!$B$26^3/3</x:f>
        <x:v>0.3333333333333333</x:v>
      </x:c>
      <x:c r="E2260" s="46" t="n">
        <x:f>D2260*(C2260-1)</x:f>
        <x:v>-0.33328965871889304</x:v>
      </x:c>
      <x:c r="F2260" s="2"/>
      <x:c r="G2260" s="2"/>
      <x:c r="H2260" s="2"/>
    </x:row>
    <x:row r="2261" ht="22" customHeight="1">
      <x:c r="A2261" s="2" t="n">
        <x:v>2255</x:v>
      </x:c>
      <x:c r="B2261" s="79" t="n">
        <x:v>-0.539548686816048</x:v>
      </x:c>
      <x:c r="C2261" s="46" t="n">
        <x:f>B2261^2</x:f>
        <x:v>0.2911127854449218</x:v>
      </x:c>
      <x:c r="D2261" s="47" t="n">
        <x:f>'Datos'!$B$26^3/3</x:f>
        <x:v>0.3333333333333333</x:v>
      </x:c>
      <x:c r="E2261" s="46" t="n">
        <x:f>D2261*(C2261-1)</x:f>
        <x:v>-0.23629573818502606</x:v>
      </x:c>
      <x:c r="F2261" s="2"/>
      <x:c r="G2261" s="2"/>
      <x:c r="H2261" s="2"/>
    </x:row>
    <x:row r="2262" ht="22" customHeight="1">
      <x:c r="A2262" s="2" t="n">
        <x:v>2256</x:v>
      </x:c>
      <x:c r="B2262" s="79" t="n">
        <x:v>-0.7653357570508692</x:v>
      </x:c>
      <x:c r="C2262" s="46" t="n">
        <x:f>B2262^2</x:f>
        <x:v>0.5857388210206271</x:v>
      </x:c>
      <x:c r="D2262" s="47" t="n">
        <x:f>'Datos'!$B$26^3/3</x:f>
        <x:v>0.3333333333333333</x:v>
      </x:c>
      <x:c r="E2262" s="46" t="n">
        <x:f>D2262*(C2262-1)</x:f>
        <x:v>-0.13808705965979096</x:v>
      </x:c>
      <x:c r="F2262" s="2"/>
      <x:c r="G2262" s="2"/>
      <x:c r="H2262" s="2"/>
    </x:row>
    <x:row r="2263" ht="22" customHeight="1">
      <x:c r="A2263" s="2" t="n">
        <x:v>2257</x:v>
      </x:c>
      <x:c r="B2263" s="79" t="n">
        <x:v>0.620152938175956</x:v>
      </x:c>
      <x:c r="C2263" s="46" t="n">
        <x:f>B2263^2</x:f>
        <x:v>0.38458966672827105</x:v>
      </x:c>
      <x:c r="D2263" s="47" t="n">
        <x:f>'Datos'!$B$26^3/3</x:f>
        <x:v>0.3333333333333333</x:v>
      </x:c>
      <x:c r="E2263" s="46" t="n">
        <x:f>D2263*(C2263-1)</x:f>
        <x:v>-0.20513677775724296</x:v>
      </x:c>
      <x:c r="F2263" s="2"/>
      <x:c r="G2263" s="2"/>
      <x:c r="H2263" s="2"/>
    </x:row>
    <x:row r="2264" ht="22" customHeight="1">
      <x:c r="A2264" s="2" t="n">
        <x:v>2258</x:v>
      </x:c>
      <x:c r="B2264" s="79" t="n">
        <x:v>0.5260872156156275</x:v>
      </x:c>
      <x:c r="C2264" s="46" t="n">
        <x:f>B2264^2</x:f>
        <x:v>0.2767677584342038</x:v>
      </x:c>
      <x:c r="D2264" s="47" t="n">
        <x:f>'Datos'!$B$26^3/3</x:f>
        <x:v>0.3333333333333333</x:v>
      </x:c>
      <x:c r="E2264" s="46" t="n">
        <x:f>D2264*(C2264-1)</x:f>
        <x:v>-0.24107741385526538</x:v>
      </x:c>
      <x:c r="F2264" s="2"/>
      <x:c r="G2264" s="2"/>
      <x:c r="H2264" s="2"/>
    </x:row>
    <x:row r="2265" ht="22" customHeight="1">
      <x:c r="A2265" s="2" t="n">
        <x:v>2259</x:v>
      </x:c>
      <x:c r="B2265" s="79" t="n">
        <x:v>-1.3471526067726365</x:v>
      </x:c>
      <x:c r="C2265" s="46" t="n">
        <x:f>B2265^2</x:f>
        <x:v>1.8148201459343098</x:v>
      </x:c>
      <x:c r="D2265" s="47" t="n">
        <x:f>'Datos'!$B$26^3/3</x:f>
        <x:v>0.3333333333333333</x:v>
      </x:c>
      <x:c r="E2265" s="46" t="n">
        <x:f>D2265*(C2265-1)</x:f>
        <x:v>0.2716067153114366</x:v>
      </x:c>
      <x:c r="F2265" s="2"/>
      <x:c r="G2265" s="2"/>
      <x:c r="H2265" s="2"/>
    </x:row>
    <x:row r="2266" ht="22" customHeight="1">
      <x:c r="A2266" s="2" t="n">
        <x:v>2260</x:v>
      </x:c>
      <x:c r="B2266" s="79" t="n">
        <x:v>-1.967369703623807</x:v>
      </x:c>
      <x:c r="C2266" s="46" t="n">
        <x:f>B2266^2</x:f>
        <x:v>3.870543550736826</x:v>
      </x:c>
      <x:c r="D2266" s="47" t="n">
        <x:f>'Datos'!$B$26^3/3</x:f>
        <x:v>0.3333333333333333</x:v>
      </x:c>
      <x:c r="E2266" s="46" t="n">
        <x:f>D2266*(C2266-1)</x:f>
        <x:v>0.9568478502456086</x:v>
      </x:c>
      <x:c r="F2266" s="2"/>
      <x:c r="G2266" s="2"/>
      <x:c r="H2266" s="2"/>
    </x:row>
    <x:row r="2267" ht="22" customHeight="1">
      <x:c r="A2267" s="2" t="n">
        <x:v>2261</x:v>
      </x:c>
      <x:c r="B2267" s="79" t="n">
        <x:v>0.13844813268104122</x:v>
      </x:c>
      <x:c r="C2267" s="46" t="n">
        <x:f>B2267^2</x:f>
        <x:v>0.019167885442867197</x:v>
      </x:c>
      <x:c r="D2267" s="47" t="n">
        <x:f>'Datos'!$B$26^3/3</x:f>
        <x:v>0.3333333333333333</x:v>
      </x:c>
      <x:c r="E2267" s="46" t="n">
        <x:f>D2267*(C2267-1)</x:f>
        <x:v>-0.32694403818571094</x:v>
      </x:c>
      <x:c r="F2267" s="2"/>
      <x:c r="G2267" s="2"/>
      <x:c r="H2267" s="2"/>
    </x:row>
    <x:row r="2268" ht="22" customHeight="1">
      <x:c r="A2268" s="2" t="n">
        <x:v>2262</x:v>
      </x:c>
      <x:c r="B2268" s="79" t="n">
        <x:v>0.7336582054942994</x:v>
      </x:c>
      <x:c r="C2268" s="46" t="n">
        <x:f>B2268^2</x:f>
        <x:v>0.5382543624891156</x:v>
      </x:c>
      <x:c r="D2268" s="47" t="n">
        <x:f>'Datos'!$B$26^3/3</x:f>
        <x:v>0.3333333333333333</x:v>
      </x:c>
      <x:c r="E2268" s="46" t="n">
        <x:f>D2268*(C2268-1)</x:f>
        <x:v>-0.1539152125036281</x:v>
      </x:c>
      <x:c r="F2268" s="2"/>
      <x:c r="G2268" s="2"/>
      <x:c r="H2268" s="2"/>
    </x:row>
    <x:row r="2269" ht="22" customHeight="1">
      <x:c r="A2269" s="2" t="n">
        <x:v>2263</x:v>
      </x:c>
      <x:c r="B2269" s="79" t="n">
        <x:v>0.24121958365206186</x:v>
      </x:c>
      <x:c r="C2269" s="46" t="n">
        <x:f>B2269^2</x:f>
        <x:v>0.05818688753727407</x:v>
      </x:c>
      <x:c r="D2269" s="47" t="n">
        <x:f>'Datos'!$B$26^3/3</x:f>
        <x:v>0.3333333333333333</x:v>
      </x:c>
      <x:c r="E2269" s="46" t="n">
        <x:f>D2269*(C2269-1)</x:f>
        <x:v>-0.31393770415424194</x:v>
      </x:c>
      <x:c r="F2269" s="2"/>
      <x:c r="G2269" s="2"/>
      <x:c r="H2269" s="2"/>
    </x:row>
    <x:row r="2270" ht="22" customHeight="1">
      <x:c r="A2270" s="2" t="n">
        <x:v>2264</x:v>
      </x:c>
      <x:c r="B2270" s="79" t="n">
        <x:v>-0.34681618643944373</x:v>
      </x:c>
      <x:c r="C2270" s="46" t="n">
        <x:f>B2270^2</x:f>
        <x:v>0.120281467176399</x:v>
      </x:c>
      <x:c r="D2270" s="47" t="n">
        <x:f>'Datos'!$B$26^3/3</x:f>
        <x:v>0.3333333333333333</x:v>
      </x:c>
      <x:c r="E2270" s="46" t="n">
        <x:f>D2270*(C2270-1)</x:f>
        <x:v>-0.2932395109412003</x:v>
      </x:c>
      <x:c r="F2270" s="2"/>
      <x:c r="G2270" s="2"/>
      <x:c r="H2270" s="2"/>
    </x:row>
    <x:row r="2271" ht="22" customHeight="1">
      <x:c r="A2271" s="2" t="n">
        <x:v>2265</x:v>
      </x:c>
      <x:c r="B2271" s="79" t="n">
        <x:v>1.3292012695183784</x:v>
      </x:c>
      <x:c r="C2271" s="46" t="n">
        <x:f>B2271^2</x:f>
        <x:v>1.7667760148892686</x:v>
      </x:c>
      <x:c r="D2271" s="47" t="n">
        <x:f>'Datos'!$B$26^3/3</x:f>
        <x:v>0.3333333333333333</x:v>
      </x:c>
      <x:c r="E2271" s="46" t="n">
        <x:f>D2271*(C2271-1)</x:f>
        <x:v>0.25559200496308954</x:v>
      </x:c>
      <x:c r="F2271" s="2"/>
      <x:c r="G2271" s="2"/>
      <x:c r="H2271" s="2"/>
    </x:row>
    <x:row r="2272" ht="22" customHeight="1">
      <x:c r="A2272" s="2" t="n">
        <x:v>2266</x:v>
      </x:c>
      <x:c r="B2272" s="79" t="n">
        <x:v>-0.10755929920764952</x:v>
      </x:c>
      <x:c r="C2272" s="46" t="n">
        <x:f>B2272^2</x:f>
        <x:v>0.011569002846040675</x:v>
      </x:c>
      <x:c r="D2272" s="47" t="n">
        <x:f>'Datos'!$B$26^3/3</x:f>
        <x:v>0.3333333333333333</x:v>
      </x:c>
      <x:c r="E2272" s="46" t="n">
        <x:f>D2272*(C2272-1)</x:f>
        <x:v>-0.3294769990513198</x:v>
      </x:c>
      <x:c r="F2272" s="2"/>
      <x:c r="G2272" s="2"/>
      <x:c r="H2272" s="2"/>
    </x:row>
    <x:row r="2273" ht="22" customHeight="1">
      <x:c r="A2273" s="2" t="n">
        <x:v>2267</x:v>
      </x:c>
      <x:c r="B2273" s="79" t="n">
        <x:v>0.581713315774365</x:v>
      </x:c>
      <x:c r="C2273" s="46" t="n">
        <x:f>B2273^2</x:f>
        <x:v>0.3383903817492061</x:v>
      </x:c>
      <x:c r="D2273" s="47" t="n">
        <x:f>'Datos'!$B$26^3/3</x:f>
        <x:v>0.3333333333333333</x:v>
      </x:c>
      <x:c r="E2273" s="46" t="n">
        <x:f>D2273*(C2273-1)</x:f>
        <x:v>-0.2205365394169313</x:v>
      </x:c>
      <x:c r="F2273" s="2"/>
      <x:c r="G2273" s="2"/>
      <x:c r="H2273" s="2"/>
    </x:row>
    <x:row r="2274" ht="22" customHeight="1">
      <x:c r="A2274" s="2" t="n">
        <x:v>2268</x:v>
      </x:c>
      <x:c r="B2274" s="79" t="n">
        <x:v>0.05705388561960537</x:v>
      </x:c>
      <x:c r="C2274" s="46" t="n">
        <x:f>B2274^2</x:f>
        <x:v>0.003255145864295013</x:v>
      </x:c>
      <x:c r="D2274" s="47" t="n">
        <x:f>'Datos'!$B$26^3/3</x:f>
        <x:v>0.3333333333333333</x:v>
      </x:c>
      <x:c r="E2274" s="46" t="n">
        <x:f>D2274*(C2274-1)</x:f>
        <x:v>-0.33224828471190165</x:v>
      </x:c>
      <x:c r="F2274" s="2"/>
      <x:c r="G2274" s="2"/>
      <x:c r="H2274" s="2"/>
    </x:row>
    <x:row r="2275" ht="22" customHeight="1">
      <x:c r="A2275" s="2" t="n">
        <x:v>2269</x:v>
      </x:c>
      <x:c r="B2275" s="79" t="n">
        <x:v>0.34371303764588107</x:v>
      </x:c>
      <x:c r="C2275" s="46" t="n">
        <x:f>B2275^2</x:f>
        <x:v>0.11813865224775885</x:v>
      </x:c>
      <x:c r="D2275" s="47" t="n">
        <x:f>'Datos'!$B$26^3/3</x:f>
        <x:v>0.3333333333333333</x:v>
      </x:c>
      <x:c r="E2275" s="46" t="n">
        <x:f>D2275*(C2275-1)</x:f>
        <x:v>-0.29395378258408034</x:v>
      </x:c>
      <x:c r="F2275" s="2"/>
      <x:c r="G2275" s="2"/>
      <x:c r="H2275" s="2"/>
    </x:row>
    <x:row r="2276" ht="22" customHeight="1">
      <x:c r="A2276" s="2" t="n">
        <x:v>2270</x:v>
      </x:c>
      <x:c r="B2276" s="79" t="n">
        <x:v>-0.38831287322773445</x:v>
      </x:c>
      <x:c r="C2276" s="46" t="n">
        <x:f>B2276^2</x:f>
        <x:v>0.15078688751437858</x:v>
      </x:c>
      <x:c r="D2276" s="47" t="n">
        <x:f>'Datos'!$B$26^3/3</x:f>
        <x:v>0.3333333333333333</x:v>
      </x:c>
      <x:c r="E2276" s="46" t="n">
        <x:f>D2276*(C2276-1)</x:f>
        <x:v>-0.2830710374952071</x:v>
      </x:c>
      <x:c r="F2276" s="2"/>
      <x:c r="G2276" s="2"/>
      <x:c r="H2276" s="2"/>
    </x:row>
    <x:row r="2277" ht="22" customHeight="1">
      <x:c r="A2277" s="2" t="n">
        <x:v>2271</x:v>
      </x:c>
      <x:c r="B2277" s="79" t="n">
        <x:v>0.9431286903481483</x:v>
      </x:c>
      <x:c r="C2277" s="46" t="n">
        <x:f>B2277^2</x:f>
        <x:v>0.8894917265578134</x:v>
      </x:c>
      <x:c r="D2277" s="47" t="n">
        <x:f>'Datos'!$B$26^3/3</x:f>
        <x:v>0.3333333333333333</x:v>
      </x:c>
      <x:c r="E2277" s="46" t="n">
        <x:f>D2277*(C2277-1)</x:f>
        <x:v>-0.036836091147395535</x:v>
      </x:c>
      <x:c r="F2277" s="2"/>
      <x:c r="G2277" s="2"/>
      <x:c r="H2277" s="2"/>
    </x:row>
    <x:row r="2278" ht="22" customHeight="1">
      <x:c r="A2278" s="2" t="n">
        <x:v>2272</x:v>
      </x:c>
      <x:c r="B2278" s="79" t="n">
        <x:v>0.5043205739746471</x:v>
      </x:c>
      <x:c r="C2278" s="46" t="n">
        <x:f>B2278^2</x:f>
        <x:v>0.25433924133411756</x:v>
      </x:c>
      <x:c r="D2278" s="47" t="n">
        <x:f>'Datos'!$B$26^3/3</x:f>
        <x:v>0.3333333333333333</x:v>
      </x:c>
      <x:c r="E2278" s="46" t="n">
        <x:f>D2278*(C2278-1)</x:f>
        <x:v>-0.2485535862219608</x:v>
      </x:c>
      <x:c r="F2278" s="2"/>
      <x:c r="G2278" s="2"/>
      <x:c r="H2278" s="2"/>
    </x:row>
    <x:row r="2279" ht="22" customHeight="1">
      <x:c r="A2279" s="2" t="n">
        <x:v>2273</x:v>
      </x:c>
      <x:c r="B2279" s="79" t="n">
        <x:v>-1.202441656067267</x:v>
      </x:c>
      <x:c r="C2279" s="46" t="n">
        <x:f>B2279^2</x:f>
        <x:v>1.4458659362457917</x:v>
      </x:c>
      <x:c r="D2279" s="47" t="n">
        <x:f>'Datos'!$B$26^3/3</x:f>
        <x:v>0.3333333333333333</x:v>
      </x:c>
      <x:c r="E2279" s="46" t="n">
        <x:f>D2279*(C2279-1)</x:f>
        <x:v>0.14862197874859723</x:v>
      </x:c>
      <x:c r="F2279" s="2"/>
      <x:c r="G2279" s="2"/>
      <x:c r="H2279" s="2"/>
    </x:row>
    <x:row r="2280" ht="22" customHeight="1">
      <x:c r="A2280" s="2" t="n">
        <x:v>2274</x:v>
      </x:c>
      <x:c r="B2280" s="79" t="n">
        <x:v>-1.9377985372509194</x:v>
      </x:c>
      <x:c r="C2280" s="46" t="n">
        <x:f>B2280^2</x:f>
        <x:v>3.755063170971803</x:v>
      </x:c>
      <x:c r="D2280" s="47" t="n">
        <x:f>'Datos'!$B$26^3/3</x:f>
        <x:v>0.3333333333333333</x:v>
      </x:c>
      <x:c r="E2280" s="46" t="n">
        <x:f>D2280*(C2280-1)</x:f>
        <x:v>0.9183543903239344</x:v>
      </x:c>
      <x:c r="F2280" s="2"/>
      <x:c r="G2280" s="2"/>
      <x:c r="H2280" s="2"/>
    </x:row>
    <x:row r="2281" ht="22" customHeight="1">
      <x:c r="A2281" s="2" t="n">
        <x:v>2275</x:v>
      </x:c>
      <x:c r="B2281" s="79" t="n">
        <x:v>0.06576899124547121</x:v>
      </x:c>
      <x:c r="C2281" s="46" t="n">
        <x:f>B2281^2</x:f>
        <x:v>0.004325560209446869</x:v>
      </x:c>
      <x:c r="D2281" s="47" t="n">
        <x:f>'Datos'!$B$26^3/3</x:f>
        <x:v>0.3333333333333333</x:v>
      </x:c>
      <x:c r="E2281" s="46" t="n">
        <x:f>D2281*(C2281-1)</x:f>
        <x:v>-0.33189147993018436</x:v>
      </x:c>
      <x:c r="F2281" s="2"/>
      <x:c r="G2281" s="2"/>
      <x:c r="H2281" s="2"/>
    </x:row>
    <x:row r="2282" ht="22" customHeight="1">
      <x:c r="A2282" s="2" t="n">
        <x:v>2276</x:v>
      </x:c>
      <x:c r="B2282" s="79" t="n">
        <x:v>1.7305281761052047</x:v>
      </x:c>
      <x:c r="C2282" s="46" t="n">
        <x:f>B2282^2</x:f>
        <x:v>2.9947277682940063</x:v>
      </x:c>
      <x:c r="D2282" s="47" t="n">
        <x:f>'Datos'!$B$26^3/3</x:f>
        <x:v>0.3333333333333333</x:v>
      </x:c>
      <x:c r="E2282" s="46" t="n">
        <x:f>D2282*(C2282-1)</x:f>
        <x:v>0.6649092560980021</x:v>
      </x:c>
      <x:c r="F2282" s="2"/>
      <x:c r="G2282" s="2"/>
      <x:c r="H2282" s="2"/>
    </x:row>
    <x:row r="2283" ht="22" customHeight="1">
      <x:c r="A2283" s="2" t="n">
        <x:v>2277</x:v>
      </x:c>
      <x:c r="B2283" s="79" t="n">
        <x:v>-0.28244685672199354</x:v>
      </x:c>
      <x:c r="C2283" s="46" t="n">
        <x:f>B2283^2</x:f>
        <x:v>0.07977622687213436</x:v>
      </x:c>
      <x:c r="D2283" s="47" t="n">
        <x:f>'Datos'!$B$26^3/3</x:f>
        <x:v>0.3333333333333333</x:v>
      </x:c>
      <x:c r="E2283" s="46" t="n">
        <x:f>D2283*(C2283-1)</x:f>
        <x:v>-0.3067412577092885</x:v>
      </x:c>
      <x:c r="F2283" s="2"/>
      <x:c r="G2283" s="2"/>
      <x:c r="H2283" s="2"/>
    </x:row>
    <x:row r="2284" ht="22" customHeight="1">
      <x:c r="A2284" s="2" t="n">
        <x:v>2278</x:v>
      </x:c>
      <x:c r="B2284" s="79" t="n">
        <x:v>2.798563406304933</x:v>
      </x:c>
      <x:c r="C2284" s="46" t="n">
        <x:f>B2284^2</x:f>
        <x:v>7.831957139109069</x:v>
      </x:c>
      <x:c r="D2284" s="47" t="n">
        <x:f>'Datos'!$B$26^3/3</x:f>
        <x:v>0.3333333333333333</x:v>
      </x:c>
      <x:c r="E2284" s="46" t="n">
        <x:f>D2284*(C2284-1)</x:f>
        <x:v>2.2773190463696897</x:v>
      </x:c>
      <x:c r="F2284" s="2"/>
      <x:c r="G2284" s="2"/>
      <x:c r="H2284" s="2"/>
    </x:row>
    <x:row r="2285" ht="22" customHeight="1">
      <x:c r="A2285" s="2" t="n">
        <x:v>2279</x:v>
      </x:c>
      <x:c r="B2285" s="79" t="n">
        <x:v>0.5111713386941225</x:v>
      </x:c>
      <x:c r="C2285" s="46" t="n">
        <x:f>B2285^2</x:f>
        <x:v>0.26129613750234126</x:v>
      </x:c>
      <x:c r="D2285" s="47" t="n">
        <x:f>'Datos'!$B$26^3/3</x:f>
        <x:v>0.3333333333333333</x:v>
      </x:c>
      <x:c r="E2285" s="46" t="n">
        <x:f>D2285*(C2285-1)</x:f>
        <x:v>-0.2462346208325529</x:v>
      </x:c>
      <x:c r="F2285" s="2"/>
      <x:c r="G2285" s="2"/>
      <x:c r="H2285" s="2"/>
    </x:row>
    <x:row r="2286" ht="22" customHeight="1">
      <x:c r="A2286" s="2" t="n">
        <x:v>2280</x:v>
      </x:c>
      <x:c r="B2286" s="79" t="n">
        <x:v>0.14868231394384723</x:v>
      </x:c>
      <x:c r="C2286" s="46" t="n">
        <x:f>B2286^2</x:f>
        <x:v>0.02210643047969675</x:v>
      </x:c>
      <x:c r="D2286" s="47" t="n">
        <x:f>'Datos'!$B$26^3/3</x:f>
        <x:v>0.3333333333333333</x:v>
      </x:c>
      <x:c r="E2286" s="46" t="n">
        <x:f>D2286*(C2286-1)</x:f>
        <x:v>-0.3259645231734344</x:v>
      </x:c>
      <x:c r="F2286" s="2"/>
      <x:c r="G2286" s="2"/>
      <x:c r="H2286" s="2"/>
    </x:row>
    <x:row r="2287" ht="22" customHeight="1">
      <x:c r="A2287" s="2" t="n">
        <x:v>2281</x:v>
      </x:c>
      <x:c r="B2287" s="79" t="n">
        <x:v>0.36108218452881025</x:v>
      </x:c>
      <x:c r="C2287" s="46" t="n">
        <x:f>B2287^2</x:f>
        <x:v>0.13038034398409779</x:v>
      </x:c>
      <x:c r="D2287" s="47" t="n">
        <x:f>'Datos'!$B$26^3/3</x:f>
        <x:v>0.3333333333333333</x:v>
      </x:c>
      <x:c r="E2287" s="46" t="n">
        <x:f>D2287*(C2287-1)</x:f>
        <x:v>-0.28987321867196736</x:v>
      </x:c>
      <x:c r="F2287" s="2"/>
      <x:c r="G2287" s="2"/>
      <x:c r="H2287" s="2"/>
    </x:row>
    <x:row r="2288" ht="22" customHeight="1">
      <x:c r="A2288" s="2" t="n">
        <x:v>2282</x:v>
      </x:c>
      <x:c r="B2288" s="79" t="n">
        <x:v>-1.0936112699470586</x:v>
      </x:c>
      <x:c r="C2288" s="46" t="n">
        <x:f>B2288^2</x:f>
        <x:v>1.1959856097552182</x:v>
      </x:c>
      <x:c r="D2288" s="47" t="n">
        <x:f>'Datos'!$B$26^3/3</x:f>
        <x:v>0.3333333333333333</x:v>
      </x:c>
      <x:c r="E2288" s="46" t="n">
        <x:f>D2288*(C2288-1)</x:f>
        <x:v>0.06532853658507272</x:v>
      </x:c>
      <x:c r="F2288" s="2"/>
      <x:c r="G2288" s="2"/>
      <x:c r="H2288" s="2"/>
    </x:row>
    <x:row r="2289" ht="22" customHeight="1">
      <x:c r="A2289" s="2" t="n">
        <x:v>2283</x:v>
      </x:c>
      <x:c r="B2289" s="79" t="n">
        <x:v>0.17573395635902284</x:v>
      </x:c>
      <x:c r="C2289" s="46" t="n">
        <x:f>B2289^2</x:f>
        <x:v>0.030882423417594944</x:v>
      </x:c>
      <x:c r="D2289" s="47" t="n">
        <x:f>'Datos'!$B$26^3/3</x:f>
        <x:v>0.3333333333333333</x:v>
      </x:c>
      <x:c r="E2289" s="46" t="n">
        <x:f>D2289*(C2289-1)</x:f>
        <x:v>-0.323039192194135</x:v>
      </x:c>
      <x:c r="F2289" s="2"/>
      <x:c r="G2289" s="2"/>
      <x:c r="H2289" s="2"/>
    </x:row>
    <x:row r="2290" ht="22" customHeight="1">
      <x:c r="A2290" s="2" t="n">
        <x:v>2284</x:v>
      </x:c>
      <x:c r="B2290" s="79" t="n">
        <x:v>0.25962342797766935</x:v>
      </x:c>
      <x:c r="C2290" s="46" t="n">
        <x:f>B2290^2</x:f>
        <x:v>0.06740432435487606</x:v>
      </x:c>
      <x:c r="D2290" s="47" t="n">
        <x:f>'Datos'!$B$26^3/3</x:f>
        <x:v>0.3333333333333333</x:v>
      </x:c>
      <x:c r="E2290" s="46" t="n">
        <x:f>D2290*(C2290-1)</x:f>
        <x:v>-0.3108652252150413</x:v>
      </x:c>
      <x:c r="F2290" s="2"/>
      <x:c r="G2290" s="2"/>
      <x:c r="H2290" s="2"/>
    </x:row>
    <x:row r="2291" ht="22" customHeight="1">
      <x:c r="A2291" s="2" t="n">
        <x:v>2285</x:v>
      </x:c>
      <x:c r="B2291" s="79" t="n">
        <x:v>0.45450830839617384</x:v>
      </x:c>
      <x:c r="C2291" s="46" t="n">
        <x:f>B2291^2</x:f>
        <x:v>0.20657780240115148</x:v>
      </x:c>
      <x:c r="D2291" s="47" t="n">
        <x:f>'Datos'!$B$26^3/3</x:f>
        <x:v>0.3333333333333333</x:v>
      </x:c>
      <x:c r="E2291" s="46" t="n">
        <x:f>D2291*(C2291-1)</x:f>
        <x:v>-0.2644740658662828</x:v>
      </x:c>
      <x:c r="F2291" s="2"/>
      <x:c r="G2291" s="2"/>
      <x:c r="H2291" s="2"/>
    </x:row>
    <x:row r="2292" ht="22" customHeight="1">
      <x:c r="A2292" s="2" t="n">
        <x:v>2286</x:v>
      </x:c>
      <x:c r="B2292" s="79" t="n">
        <x:v>0.9007385199368666</x:v>
      </x:c>
      <x:c r="C2292" s="46" t="n">
        <x:f>B2292^2</x:f>
        <x:v>0.811329881298057</x:v>
      </x:c>
      <x:c r="D2292" s="47" t="n">
        <x:f>'Datos'!$B$26^3/3</x:f>
        <x:v>0.3333333333333333</x:v>
      </x:c>
      <x:c r="E2292" s="46" t="n">
        <x:f>D2292*(C2292-1)</x:f>
        <x:v>-0.06289003956731432</x:v>
      </x:c>
      <x:c r="F2292" s="2"/>
      <x:c r="G2292" s="2"/>
      <x:c r="H2292" s="2"/>
    </x:row>
    <x:row r="2293" ht="22" customHeight="1">
      <x:c r="A2293" s="2" t="n">
        <x:v>2287</x:v>
      </x:c>
      <x:c r="B2293" s="79" t="n">
        <x:v>0.9495869116251582</x:v>
      </x:c>
      <x:c r="C2293" s="46" t="n">
        <x:f>B2293^2</x:f>
        <x:v>0.9017153027298059</x:v>
      </x:c>
      <x:c r="D2293" s="47" t="n">
        <x:f>'Datos'!$B$26^3/3</x:f>
        <x:v>0.3333333333333333</x:v>
      </x:c>
      <x:c r="E2293" s="46" t="n">
        <x:f>D2293*(C2293-1)</x:f>
        <x:v>-0.03276156575673135</x:v>
      </x:c>
      <x:c r="F2293" s="2"/>
      <x:c r="G2293" s="2"/>
      <x:c r="H2293" s="2"/>
    </x:row>
    <x:row r="2294" ht="22" customHeight="1">
      <x:c r="A2294" s="2" t="n">
        <x:v>2288</x:v>
      </x:c>
      <x:c r="B2294" s="79" t="n">
        <x:v>0.38470454406300314</x:v>
      </x:c>
      <x:c r="C2294" s="46" t="n">
        <x:f>B2294^2</x:f>
        <x:v>0.14799758622272313</x:v>
      </x:c>
      <x:c r="D2294" s="47" t="n">
        <x:f>'Datos'!$B$26^3/3</x:f>
        <x:v>0.3333333333333333</x:v>
      </x:c>
      <x:c r="E2294" s="46" t="n">
        <x:f>D2294*(C2294-1)</x:f>
        <x:v>-0.2840008045924256</x:v>
      </x:c>
      <x:c r="F2294" s="2"/>
      <x:c r="G2294" s="2"/>
      <x:c r="H2294" s="2"/>
    </x:row>
    <x:row r="2295" ht="22" customHeight="1">
      <x:c r="A2295" s="2" t="n">
        <x:v>2289</x:v>
      </x:c>
      <x:c r="B2295" s="79" t="n">
        <x:v>1.2252802180716533</x:v>
      </x:c>
      <x:c r="C2295" s="46" t="n">
        <x:f>B2295^2</x:f>
        <x:v>1.5013116127977184</x:v>
      </x:c>
      <x:c r="D2295" s="47" t="n">
        <x:f>'Datos'!$B$26^3/3</x:f>
        <x:v>0.3333333333333333</x:v>
      </x:c>
      <x:c r="E2295" s="46" t="n">
        <x:f>D2295*(C2295-1)</x:f>
        <x:v>0.16710387093257278</x:v>
      </x:c>
      <x:c r="F2295" s="2"/>
      <x:c r="G2295" s="2"/>
      <x:c r="H2295" s="2"/>
    </x:row>
    <x:row r="2296" ht="22" customHeight="1">
      <x:c r="A2296" s="2" t="n">
        <x:v>2290</x:v>
      </x:c>
      <x:c r="B2296" s="79" t="n">
        <x:v>-0.5207738985246025</x:v>
      </x:c>
      <x:c r="C2296" s="46" t="n">
        <x:f>B2296^2</x:f>
        <x:v>0.271205453384513</x:v>
      </x:c>
      <x:c r="D2296" s="47" t="n">
        <x:f>'Datos'!$B$26^3/3</x:f>
        <x:v>0.3333333333333333</x:v>
      </x:c>
      <x:c r="E2296" s="46" t="n">
        <x:f>D2296*(C2296-1)</x:f>
        <x:v>-0.24293151553849568</x:v>
      </x:c>
      <x:c r="F2296" s="2"/>
      <x:c r="G2296" s="2"/>
      <x:c r="H2296" s="2"/>
    </x:row>
    <x:row r="2297" ht="22" customHeight="1">
      <x:c r="A2297" s="2" t="n">
        <x:v>2291</x:v>
      </x:c>
      <x:c r="B2297" s="79" t="n">
        <x:v>1.2902951602807575</x:v>
      </x:c>
      <x:c r="C2297" s="46" t="n">
        <x:f>B2297^2</x:f>
        <x:v>1.6648616006439458</x:v>
      </x:c>
      <x:c r="D2297" s="47" t="n">
        <x:f>'Datos'!$B$26^3/3</x:f>
        <x:v>0.3333333333333333</x:v>
      </x:c>
      <x:c r="E2297" s="46" t="n">
        <x:f>D2297*(C2297-1)</x:f>
        <x:v>0.22162053354798195</x:v>
      </x:c>
      <x:c r="F2297" s="2"/>
      <x:c r="G2297" s="2"/>
      <x:c r="H2297" s="2"/>
    </x:row>
    <x:row r="2298" ht="22" customHeight="1">
      <x:c r="A2298" s="2" t="n">
        <x:v>2292</x:v>
      </x:c>
      <x:c r="B2298" s="79" t="n">
        <x:v>0.09226777048813191</x:v>
      </x:c>
      <x:c r="C2298" s="46" t="n">
        <x:f>B2298^2</x:f>
        <x:v>0.008513341470850585</x:v>
      </x:c>
      <x:c r="D2298" s="47" t="n">
        <x:f>'Datos'!$B$26^3/3</x:f>
        <x:v>0.3333333333333333</x:v>
      </x:c>
      <x:c r="E2298" s="46" t="n">
        <x:f>D2298*(C2298-1)</x:f>
        <x:v>-0.33049555284304977</x:v>
      </x:c>
      <x:c r="F2298" s="2"/>
      <x:c r="G2298" s="2"/>
      <x:c r="H2298" s="2"/>
    </x:row>
    <x:row r="2299" ht="22" customHeight="1">
      <x:c r="A2299" s="2" t="n">
        <x:v>2293</x:v>
      </x:c>
      <x:c r="B2299" s="79" t="n">
        <x:v>-0.28424311569171284</x:v>
      </x:c>
      <x:c r="C2299" s="46" t="n">
        <x:f>B2299^2</x:f>
        <x:v>0.08079414881813245</x:v>
      </x:c>
      <x:c r="D2299" s="47" t="n">
        <x:f>'Datos'!$B$26^3/3</x:f>
        <x:v>0.3333333333333333</x:v>
      </x:c>
      <x:c r="E2299" s="46" t="n">
        <x:f>D2299*(C2299-1)</x:f>
        <x:v>-0.30640195039395585</x:v>
      </x:c>
      <x:c r="F2299" s="2"/>
      <x:c r="G2299" s="2"/>
      <x:c r="H2299" s="2"/>
    </x:row>
    <x:row r="2300" ht="22" customHeight="1">
      <x:c r="A2300" s="2" t="n">
        <x:v>2294</x:v>
      </x:c>
      <x:c r="B2300" s="79" t="n">
        <x:v>0.48310283236764395</x:v>
      </x:c>
      <x:c r="C2300" s="46" t="n">
        <x:f>B2300^2</x:f>
        <x:v>0.2333883466416399</x:v>
      </x:c>
      <x:c r="D2300" s="47" t="n">
        <x:f>'Datos'!$B$26^3/3</x:f>
        <x:v>0.3333333333333333</x:v>
      </x:c>
      <x:c r="E2300" s="46" t="n">
        <x:f>D2300*(C2300-1)</x:f>
        <x:v>-0.25553721778612004</x:v>
      </x:c>
      <x:c r="F2300" s="2"/>
      <x:c r="G2300" s="2"/>
      <x:c r="H2300" s="2"/>
    </x:row>
    <x:row r="2301" ht="22" customHeight="1">
      <x:c r="A2301" s="2" t="n">
        <x:v>2295</x:v>
      </x:c>
      <x:c r="B2301" s="79" t="n">
        <x:v>1.4805155122803513</x:v>
      </x:c>
      <x:c r="C2301" s="46" t="n">
        <x:f>B2301^2</x:f>
        <x:v>2.191926182102751</x:v>
      </x:c>
      <x:c r="D2301" s="47" t="n">
        <x:f>'Datos'!$B$26^3/3</x:f>
        <x:v>0.3333333333333333</x:v>
      </x:c>
      <x:c r="E2301" s="46" t="n">
        <x:f>D2301*(C2301-1)</x:f>
        <x:v>0.3973087273675837</x:v>
      </x:c>
      <x:c r="F2301" s="2"/>
      <x:c r="G2301" s="2"/>
      <x:c r="H2301" s="2"/>
    </x:row>
    <x:row r="2302" ht="22" customHeight="1">
      <x:c r="A2302" s="2" t="n">
        <x:v>2296</x:v>
      </x:c>
      <x:c r="B2302" s="79" t="n">
        <x:v>0.05030526208441682</x:v>
      </x:c>
      <x:c r="C2302" s="46" t="n">
        <x:f>B2302^2</x:f>
        <x:v>0.0025306193933818644</x:v>
      </x:c>
      <x:c r="D2302" s="47" t="n">
        <x:f>'Datos'!$B$26^3/3</x:f>
        <x:v>0.3333333333333333</x:v>
      </x:c>
      <x:c r="E2302" s="46" t="n">
        <x:f>D2302*(C2302-1)</x:f>
        <x:v>-0.33248979353553937</x:v>
      </x:c>
      <x:c r="F2302" s="2"/>
      <x:c r="G2302" s="2"/>
      <x:c r="H2302" s="2"/>
    </x:row>
    <x:row r="2303" ht="22" customHeight="1">
      <x:c r="A2303" s="2" t="n">
        <x:v>2297</x:v>
      </x:c>
      <x:c r="B2303" s="79" t="n">
        <x:v>0.11546491780964564</x:v>
      </x:c>
      <x:c r="C2303" s="46" t="n">
        <x:f>B2303^2</x:f>
        <x:v>0.013332147244788223</x:v>
      </x:c>
      <x:c r="D2303" s="47" t="n">
        <x:f>'Datos'!$B$26^3/3</x:f>
        <x:v>0.3333333333333333</x:v>
      </x:c>
      <x:c r="E2303" s="46" t="n">
        <x:f>D2303*(C2303-1)</x:f>
        <x:v>-0.32888928425173725</x:v>
      </x:c>
      <x:c r="F2303" s="2"/>
      <x:c r="G2303" s="2"/>
      <x:c r="H2303" s="2"/>
    </x:row>
    <x:row r="2304" ht="22" customHeight="1">
      <x:c r="A2304" s="2" t="n">
        <x:v>2298</x:v>
      </x:c>
      <x:c r="B2304" s="79" t="n">
        <x:v>0.7979835576131433</x:v>
      </x:c>
      <x:c r="C2304" s="46" t="n">
        <x:f>B2304^2</x:f>
        <x:v>0.6367777582209289</x:v>
      </x:c>
      <x:c r="D2304" s="47" t="n">
        <x:f>'Datos'!$B$26^3/3</x:f>
        <x:v>0.3333333333333333</x:v>
      </x:c>
      <x:c r="E2304" s="46" t="n">
        <x:f>D2304*(C2304-1)</x:f>
        <x:v>-0.12107408059302371</x:v>
      </x:c>
      <x:c r="F2304" s="2"/>
      <x:c r="G2304" s="2"/>
      <x:c r="H2304" s="2"/>
    </x:row>
    <x:row r="2305" ht="22" customHeight="1">
      <x:c r="A2305" s="2" t="n">
        <x:v>2299</x:v>
      </x:c>
      <x:c r="B2305" s="79" t="n">
        <x:v>-0.34213218134932705</x:v>
      </x:c>
      <x:c r="C2305" s="46" t="n">
        <x:f>B2305^2</x:f>
        <x:v>0.1170544295148488</x:v>
      </x:c>
      <x:c r="D2305" s="47" t="n">
        <x:f>'Datos'!$B$26^3/3</x:f>
        <x:v>0.3333333333333333</x:v>
      </x:c>
      <x:c r="E2305" s="46" t="n">
        <x:f>D2305*(C2305-1)</x:f>
        <x:v>-0.29431519016171703</x:v>
      </x:c>
      <x:c r="F2305" s="2"/>
      <x:c r="G2305" s="2"/>
      <x:c r="H2305" s="2"/>
    </x:row>
    <x:row r="2306" ht="22" customHeight="1">
      <x:c r="A2306" s="2" t="n">
        <x:v>2300</x:v>
      </x:c>
      <x:c r="B2306" s="79" t="n">
        <x:v>0.8894255655375257</x:v>
      </x:c>
      <x:c r="C2306" s="46" t="n">
        <x:f>B2306^2</x:f>
        <x:v>0.7910778366317475</x:v>
      </x:c>
      <x:c r="D2306" s="47" t="n">
        <x:f>'Datos'!$B$26^3/3</x:f>
        <x:v>0.3333333333333333</x:v>
      </x:c>
      <x:c r="E2306" s="46" t="n">
        <x:f>D2306*(C2306-1)</x:f>
        <x:v>-0.06964072112275084</x:v>
      </x:c>
      <x:c r="F2306" s="2"/>
      <x:c r="G2306" s="2"/>
      <x:c r="H2306" s="2"/>
    </x:row>
    <x:row r="2307" ht="22" customHeight="1">
      <x:c r="A2307" s="2" t="n">
        <x:v>2301</x:v>
      </x:c>
      <x:c r="B2307" s="79" t="n">
        <x:v>0.053596447541617</x:v>
      </x:c>
      <x:c r="C2307" s="46" t="n">
        <x:f>B2307^2</x:f>
        <x:v>0.002872579189081303</x:v>
      </x:c>
      <x:c r="D2307" s="47" t="n">
        <x:f>'Datos'!$B$26^3/3</x:f>
        <x:v>0.3333333333333333</x:v>
      </x:c>
      <x:c r="E2307" s="46" t="n">
        <x:f>D2307*(C2307-1)</x:f>
        <x:v>-0.3323758069369729</x:v>
      </x:c>
      <x:c r="F2307" s="2"/>
      <x:c r="G2307" s="2"/>
      <x:c r="H2307" s="2"/>
    </x:row>
    <x:row r="2308" ht="22" customHeight="1">
      <x:c r="A2308" s="2" t="n">
        <x:v>2302</x:v>
      </x:c>
      <x:c r="B2308" s="79" t="n">
        <x:v>-1.3053448987757859</x:v>
      </x:c>
      <x:c r="C2308" s="46" t="n">
        <x:f>B2308^2</x:f>
        <x:v>1.7039253047599667</x:v>
      </x:c>
      <x:c r="D2308" s="47" t="n">
        <x:f>'Datos'!$B$26^3/3</x:f>
        <x:v>0.3333333333333333</x:v>
      </x:c>
      <x:c r="E2308" s="46" t="n">
        <x:f>D2308*(C2308-1)</x:f>
        <x:v>0.23464176825332222</x:v>
      </x:c>
      <x:c r="F2308" s="2"/>
      <x:c r="G2308" s="2"/>
      <x:c r="H2308" s="2"/>
    </x:row>
    <x:row r="2309" ht="22" customHeight="1">
      <x:c r="A2309" s="2" t="n">
        <x:v>2303</x:v>
      </x:c>
      <x:c r="B2309" s="79" t="n">
        <x:v>-1.1980440482311754</x:v>
      </x:c>
      <x:c r="C2309" s="46" t="n">
        <x:f>B2309^2</x:f>
        <x:v>1.4353095415021428</x:v>
      </x:c>
      <x:c r="D2309" s="47" t="n">
        <x:f>'Datos'!$B$26^3/3</x:f>
        <x:v>0.3333333333333333</x:v>
      </x:c>
      <x:c r="E2309" s="46" t="n">
        <x:f>D2309*(C2309-1)</x:f>
        <x:v>0.14510318050071427</x:v>
      </x:c>
      <x:c r="F2309" s="2"/>
      <x:c r="G2309" s="2"/>
      <x:c r="H2309" s="2"/>
    </x:row>
    <x:row r="2310" ht="22" customHeight="1">
      <x:c r="A2310" s="2" t="n">
        <x:v>2304</x:v>
      </x:c>
      <x:c r="B2310" s="79" t="n">
        <x:v>-0.12453190170267536</x:v>
      </x:c>
      <x:c r="C2310" s="46" t="n">
        <x:f>B2310^2</x:f>
        <x:v>0.015508194541684799</x:v>
      </x:c>
      <x:c r="D2310" s="47" t="n">
        <x:f>'Datos'!$B$26^3/3</x:f>
        <x:v>0.3333333333333333</x:v>
      </x:c>
      <x:c r="E2310" s="46" t="n">
        <x:f>D2310*(C2310-1)</x:f>
        <x:v>-0.3281639351527717</x:v>
      </x:c>
      <x:c r="F2310" s="2"/>
      <x:c r="G2310" s="2"/>
      <x:c r="H2310" s="2"/>
    </x:row>
    <x:row r="2311" ht="22" customHeight="1">
      <x:c r="A2311" s="2" t="n">
        <x:v>2305</x:v>
      </x:c>
      <x:c r="B2311" s="79" t="n">
        <x:v>0.6042497524409223</x:v>
      </x:c>
      <x:c r="C2311" s="46" t="n">
        <x:f>B2311^2</x:f>
        <x:v>0.36511776332491586</x:v>
      </x:c>
      <x:c r="D2311" s="47" t="n">
        <x:f>'Datos'!$B$26^3/3</x:f>
        <x:v>0.3333333333333333</x:v>
      </x:c>
      <x:c r="E2311" s="46" t="n">
        <x:f>D2311*(C2311-1)</x:f>
        <x:v>-0.21162741222502804</x:v>
      </x:c>
      <x:c r="F2311" s="2"/>
      <x:c r="G2311" s="2"/>
      <x:c r="H2311" s="2"/>
    </x:row>
    <x:row r="2312" ht="22" customHeight="1">
      <x:c r="A2312" s="2" t="n">
        <x:v>2306</x:v>
      </x:c>
      <x:c r="B2312" s="79" t="n">
        <x:v>0.301814759286636</x:v>
      </x:c>
      <x:c r="C2312" s="46" t="n">
        <x:f>B2312^2</x:f>
        <x:v>0.09109214892325002</x:v>
      </x:c>
      <x:c r="D2312" s="47" t="n">
        <x:f>'Datos'!$B$26^3/3</x:f>
        <x:v>0.3333333333333333</x:v>
      </x:c>
      <x:c r="E2312" s="46" t="n">
        <x:f>D2312*(C2312-1)</x:f>
        <x:v>-0.30296928369224996</x:v>
      </x:c>
      <x:c r="F2312" s="2"/>
      <x:c r="G2312" s="2"/>
      <x:c r="H2312" s="2"/>
    </x:row>
    <x:row r="2313" ht="22" customHeight="1">
      <x:c r="A2313" s="2" t="n">
        <x:v>2307</x:v>
      </x:c>
      <x:c r="B2313" s="79" t="n">
        <x:v>-0.21589841714141633</x:v>
      </x:c>
      <x:c r="C2313" s="46" t="n">
        <x:f>B2313^2</x:f>
        <x:v>0.04661212652416901</x:v>
      </x:c>
      <x:c r="D2313" s="47" t="n">
        <x:f>'Datos'!$B$26^3/3</x:f>
        <x:v>0.3333333333333333</x:v>
      </x:c>
      <x:c r="E2313" s="46" t="n">
        <x:f>D2313*(C2313-1)</x:f>
        <x:v>-0.317795957825277</x:v>
      </x:c>
      <x:c r="F2313" s="2"/>
      <x:c r="G2313" s="2"/>
      <x:c r="H2313" s="2"/>
    </x:row>
    <x:row r="2314" ht="22" customHeight="1">
      <x:c r="A2314" s="2" t="n">
        <x:v>2308</x:v>
      </x:c>
      <x:c r="B2314" s="79" t="n">
        <x:v>-0.6021487459372868</x:v>
      </x:c>
      <x:c r="C2314" s="46" t="n">
        <x:f>B2314^2</x:f>
        <x:v>0.3625831122338472</x:v>
      </x:c>
      <x:c r="D2314" s="47" t="n">
        <x:f>'Datos'!$B$26^3/3</x:f>
        <x:v>0.3333333333333333</x:v>
      </x:c>
      <x:c r="E2314" s="46" t="n">
        <x:f>D2314*(C2314-1)</x:f>
        <x:v>-0.2124722959220509</x:v>
      </x:c>
      <x:c r="F2314" s="2"/>
      <x:c r="G2314" s="2"/>
      <x:c r="H2314" s="2"/>
    </x:row>
    <x:row r="2315" ht="22" customHeight="1">
      <x:c r="A2315" s="2" t="n">
        <x:v>2309</x:v>
      </x:c>
      <x:c r="B2315" s="79" t="n">
        <x:v>1.6450073334771138</x:v>
      </x:c>
      <x:c r="C2315" s="46" t="n">
        <x:f>B2315^2</x:f>
        <x:v>2.7060491271934843</x:v>
      </x:c>
      <x:c r="D2315" s="47" t="n">
        <x:f>'Datos'!$B$26^3/3</x:f>
        <x:v>0.3333333333333333</x:v>
      </x:c>
      <x:c r="E2315" s="46" t="n">
        <x:f>D2315*(C2315-1)</x:f>
        <x:v>0.5686830423978281</x:v>
      </x:c>
      <x:c r="F2315" s="2"/>
      <x:c r="G2315" s="2"/>
      <x:c r="H2315" s="2"/>
    </x:row>
    <x:row r="2316" ht="22" customHeight="1">
      <x:c r="A2316" s="2" t="n">
        <x:v>2310</x:v>
      </x:c>
      <x:c r="B2316" s="79" t="n">
        <x:v>0.3047049195400247</x:v>
      </x:c>
      <x:c r="C2316" s="46" t="n">
        <x:f>B2316^2</x:f>
        <x:v>0.09284508799189294</x:v>
      </x:c>
      <x:c r="D2316" s="47" t="n">
        <x:f>'Datos'!$B$26^3/3</x:f>
        <x:v>0.3333333333333333</x:v>
      </x:c>
      <x:c r="E2316" s="46" t="n">
        <x:f>D2316*(C2316-1)</x:f>
        <x:v>-0.302384970669369</x:v>
      </x:c>
      <x:c r="F2316" s="2"/>
      <x:c r="G2316" s="2"/>
      <x:c r="H2316" s="2"/>
    </x:row>
    <x:row r="2317" ht="22" customHeight="1">
      <x:c r="A2317" s="2" t="n">
        <x:v>2311</x:v>
      </x:c>
      <x:c r="B2317" s="79" t="n">
        <x:v>0.6661315345935163</x:v>
      </x:c>
      <x:c r="C2317" s="46" t="n">
        <x:f>B2317^2</x:f>
        <x:v>0.44373122137991294</x:v>
      </x:c>
      <x:c r="D2317" s="47" t="n">
        <x:f>'Datos'!$B$26^3/3</x:f>
        <x:v>0.3333333333333333</x:v>
      </x:c>
      <x:c r="E2317" s="46" t="n">
        <x:f>D2317*(C2317-1)</x:f>
        <x:v>-0.18542292620669568</x:v>
      </x:c>
      <x:c r="F2317" s="2"/>
      <x:c r="G2317" s="2"/>
      <x:c r="H2317" s="2"/>
    </x:row>
    <x:row r="2318" ht="22" customHeight="1">
      <x:c r="A2318" s="2" t="n">
        <x:v>2312</x:v>
      </x:c>
      <x:c r="B2318" s="79" t="n">
        <x:v>-1.2005628855960229</x:v>
      </x:c>
      <x:c r="C2318" s="46" t="n">
        <x:f>B2318^2</x:f>
        <x:v>1.4413512422706491</x:v>
      </x:c>
      <x:c r="D2318" s="47" t="n">
        <x:f>'Datos'!$B$26^3/3</x:f>
        <x:v>0.3333333333333333</x:v>
      </x:c>
      <x:c r="E2318" s="46" t="n">
        <x:f>D2318*(C2318-1)</x:f>
        <x:v>0.14711708075688304</x:v>
      </x:c>
      <x:c r="F2318" s="2"/>
      <x:c r="G2318" s="2"/>
      <x:c r="H2318" s="2"/>
    </x:row>
    <x:row r="2319" ht="22" customHeight="1">
      <x:c r="A2319" s="2" t="n">
        <x:v>2313</x:v>
      </x:c>
      <x:c r="B2319" s="79" t="n">
        <x:v>1.693296161875486</x:v>
      </x:c>
      <x:c r="C2319" s="46" t="n">
        <x:f>B2319^2</x:f>
        <x:v>2.867251891822252</x:v>
      </x:c>
      <x:c r="D2319" s="47" t="n">
        <x:f>'Datos'!$B$26^3/3</x:f>
        <x:v>0.3333333333333333</x:v>
      </x:c>
      <x:c r="E2319" s="46" t="n">
        <x:f>D2319*(C2319-1)</x:f>
        <x:v>0.622417297274084</x:v>
      </x:c>
      <x:c r="F2319" s="2"/>
      <x:c r="G2319" s="2"/>
      <x:c r="H2319" s="2"/>
    </x:row>
    <x:row r="2320" ht="22" customHeight="1">
      <x:c r="A2320" s="2" t="n">
        <x:v>2314</x:v>
      </x:c>
      <x:c r="B2320" s="79" t="n">
        <x:v>0.8338956759681319</x:v>
      </x:c>
      <x:c r="C2320" s="46" t="n">
        <x:f>B2320^2</x:f>
        <x:v>0.6953819983983476</x:v>
      </x:c>
      <x:c r="D2320" s="47" t="n">
        <x:f>'Datos'!$B$26^3/3</x:f>
        <x:v>0.3333333333333333</x:v>
      </x:c>
      <x:c r="E2320" s="46" t="n">
        <x:f>D2320*(C2320-1)</x:f>
        <x:v>-0.10153933386721747</x:v>
      </x:c>
      <x:c r="F2320" s="2"/>
      <x:c r="G2320" s="2"/>
      <x:c r="H2320" s="2"/>
    </x:row>
    <x:row r="2321" ht="22" customHeight="1">
      <x:c r="A2321" s="2" t="n">
        <x:v>2315</x:v>
      </x:c>
      <x:c r="B2321" s="79" t="n">
        <x:v>0.12713630236681792</x:v>
      </x:c>
      <x:c r="C2321" s="46" t="n">
        <x:f>B2321^2</x:f>
        <x:v>0.01616363937950695</x:v>
      </x:c>
      <x:c r="D2321" s="47" t="n">
        <x:f>'Datos'!$B$26^3/3</x:f>
        <x:v>0.3333333333333333</x:v>
      </x:c>
      <x:c r="E2321" s="46" t="n">
        <x:f>D2321*(C2321-1)</x:f>
        <x:v>-0.32794545354016436</x:v>
      </x:c>
      <x:c r="F2321" s="2"/>
      <x:c r="G2321" s="2"/>
      <x:c r="H2321" s="2"/>
    </x:row>
    <x:row r="2322" ht="22" customHeight="1">
      <x:c r="A2322" s="2" t="n">
        <x:v>2316</x:v>
      </x:c>
      <x:c r="B2322" s="79" t="n">
        <x:v>-0.11947202713208577</x:v>
      </x:c>
      <x:c r="C2322" s="46" t="n">
        <x:f>B2322^2</x:f>
        <x:v>0.014273565267049837</x:v>
      </x:c>
      <x:c r="D2322" s="47" t="n">
        <x:f>'Datos'!$B$26^3/3</x:f>
        <x:v>0.3333333333333333</x:v>
      </x:c>
      <x:c r="E2322" s="46" t="n">
        <x:f>D2322*(C2322-1)</x:f>
        <x:v>-0.3285754782443167</x:v>
      </x:c>
      <x:c r="F2322" s="2"/>
      <x:c r="G2322" s="2"/>
      <x:c r="H2322" s="2"/>
    </x:row>
    <x:row r="2323" ht="22" customHeight="1">
      <x:c r="A2323" s="2" t="n">
        <x:v>2317</x:v>
      </x:c>
      <x:c r="B2323" s="79" t="n">
        <x:v>1.2343061591241578</x:v>
      </x:c>
      <x:c r="C2323" s="46" t="n">
        <x:f>B2323^2</x:f>
        <x:v>1.5235116944518305</x:v>
      </x:c>
      <x:c r="D2323" s="47" t="n">
        <x:f>'Datos'!$B$26^3/3</x:f>
        <x:v>0.3333333333333333</x:v>
      </x:c>
      <x:c r="E2323" s="46" t="n">
        <x:f>D2323*(C2323-1)</x:f>
        <x:v>0.17450389815061018</x:v>
      </x:c>
      <x:c r="F2323" s="2"/>
      <x:c r="G2323" s="2"/>
      <x:c r="H2323" s="2"/>
    </x:row>
    <x:row r="2324" ht="22" customHeight="1">
      <x:c r="A2324" s="2" t="n">
        <x:v>2318</x:v>
      </x:c>
      <x:c r="B2324" s="79" t="n">
        <x:v>-1.469649012907361</x:v>
      </x:c>
      <x:c r="C2324" s="46" t="n">
        <x:f>B2324^2</x:f>
        <x:v>2.1598682211395803</x:v>
      </x:c>
      <x:c r="D2324" s="47" t="n">
        <x:f>'Datos'!$B$26^3/3</x:f>
        <x:v>0.3333333333333333</x:v>
      </x:c>
      <x:c r="E2324" s="46" t="n">
        <x:f>D2324*(C2324-1)</x:f>
        <x:v>0.3866227403798601</x:v>
      </x:c>
      <x:c r="F2324" s="2"/>
      <x:c r="G2324" s="2"/>
      <x:c r="H2324" s="2"/>
    </x:row>
    <x:row r="2325" ht="22" customHeight="1">
      <x:c r="A2325" s="2" t="n">
        <x:v>2319</x:v>
      </x:c>
      <x:c r="B2325" s="79" t="n">
        <x:v>-0.3503914075749956</x:v>
      </x:c>
      <x:c r="C2325" s="46" t="n">
        <x:f>B2325^2</x:f>
        <x:v>0.12277413850238668</x:v>
      </x:c>
      <x:c r="D2325" s="47" t="n">
        <x:f>'Datos'!$B$26^3/3</x:f>
        <x:v>0.3333333333333333</x:v>
      </x:c>
      <x:c r="E2325" s="46" t="n">
        <x:f>D2325*(C2325-1)</x:f>
        <x:v>-0.2924086204992044</x:v>
      </x:c>
      <x:c r="F2325" s="2"/>
      <x:c r="G2325" s="2"/>
      <x:c r="H2325" s="2"/>
    </x:row>
    <x:row r="2326" ht="22" customHeight="1">
      <x:c r="A2326" s="2" t="n">
        <x:v>2320</x:v>
      </x:c>
      <x:c r="B2326" s="79" t="n">
        <x:v>-1.5456282186019525</x:v>
      </x:c>
      <x:c r="C2326" s="46" t="n">
        <x:f>B2326^2</x:f>
        <x:v>2.388966590138645</x:v>
      </x:c>
      <x:c r="D2326" s="47" t="n">
        <x:f>'Datos'!$B$26^3/3</x:f>
        <x:v>0.3333333333333333</x:v>
      </x:c>
      <x:c r="E2326" s="46" t="n">
        <x:f>D2326*(C2326-1)</x:f>
        <x:v>0.4629888633795483</x:v>
      </x:c>
      <x:c r="F2326" s="2"/>
      <x:c r="G2326" s="2"/>
      <x:c r="H2326" s="2"/>
    </x:row>
    <x:row r="2327" ht="22" customHeight="1">
      <x:c r="A2327" s="2" t="n">
        <x:v>2321</x:v>
      </x:c>
      <x:c r="B2327" s="79" t="n">
        <x:v>-1.3682925694853751</x:v>
      </x:c>
      <x:c r="C2327" s="46" t="n">
        <x:f>B2327^2</x:f>
        <x:v>1.8722245557088901</x:v>
      </x:c>
      <x:c r="D2327" s="47" t="n">
        <x:f>'Datos'!$B$26^3/3</x:f>
        <x:v>0.3333333333333333</x:v>
      </x:c>
      <x:c r="E2327" s="46" t="n">
        <x:f>D2327*(C2327-1)</x:f>
        <x:v>0.29074151856963004</x:v>
      </x:c>
      <x:c r="F2327" s="2"/>
      <x:c r="G2327" s="2"/>
      <x:c r="H2327" s="2"/>
    </x:row>
    <x:row r="2328" ht="22" customHeight="1">
      <x:c r="A2328" s="2" t="n">
        <x:v>2322</x:v>
      </x:c>
      <x:c r="B2328" s="79" t="n">
        <x:v>1.8055072126148242</x:v>
      </x:c>
      <x:c r="C2328" s="46" t="n">
        <x:f>B2328^2</x:f>
        <x:v>3.259856294804152</x:v>
      </x:c>
      <x:c r="D2328" s="47" t="n">
        <x:f>'Datos'!$B$26^3/3</x:f>
        <x:v>0.3333333333333333</x:v>
      </x:c>
      <x:c r="E2328" s="46" t="n">
        <x:f>D2328*(C2328-1)</x:f>
        <x:v>0.753285431601384</x:v>
      </x:c>
      <x:c r="F2328" s="2"/>
      <x:c r="G2328" s="2"/>
      <x:c r="H2328" s="2"/>
    </x:row>
    <x:row r="2329" ht="22" customHeight="1">
      <x:c r="A2329" s="2" t="n">
        <x:v>2323</x:v>
      </x:c>
      <x:c r="B2329" s="79" t="n">
        <x:v>-1.3536658320734487</x:v>
      </x:c>
      <x:c r="C2329" s="46" t="n">
        <x:f>B2329^2</x:f>
        <x:v>1.8324111849231022</x:v>
      </x:c>
      <x:c r="D2329" s="47" t="n">
        <x:f>'Datos'!$B$26^3/3</x:f>
        <x:v>0.3333333333333333</x:v>
      </x:c>
      <x:c r="E2329" s="46" t="n">
        <x:f>D2329*(C2329-1)</x:f>
        <x:v>0.2774703949743674</x:v>
      </x:c>
      <x:c r="F2329" s="2"/>
      <x:c r="G2329" s="2"/>
      <x:c r="H2329" s="2"/>
    </x:row>
    <x:row r="2330" ht="22" customHeight="1">
      <x:c r="A2330" s="2" t="n">
        <x:v>2324</x:v>
      </x:c>
      <x:c r="B2330" s="79" t="n">
        <x:v>-0.6324446447833127</x:v>
      </x:c>
      <x:c r="C2330" s="46" t="n">
        <x:f>B2330^2</x:f>
        <x:v>0.39998622871509065</x:v>
      </x:c>
      <x:c r="D2330" s="47" t="n">
        <x:f>'Datos'!$B$26^3/3</x:f>
        <x:v>0.3333333333333333</x:v>
      </x:c>
      <x:c r="E2330" s="46" t="n">
        <x:f>D2330*(C2330-1)</x:f>
        <x:v>-0.20000459042830313</x:v>
      </x:c>
      <x:c r="F2330" s="2"/>
      <x:c r="G2330" s="2"/>
      <x:c r="H2330" s="2"/>
    </x:row>
    <x:row r="2331" ht="22" customHeight="1">
      <x:c r="A2331" s="2" t="n">
        <x:v>2325</x:v>
      </x:c>
      <x:c r="B2331" s="79" t="n">
        <x:v>-1.3911452956396488</x:v>
      </x:c>
      <x:c r="C2331" s="46" t="n">
        <x:f>B2331^2</x:f>
        <x:v>1.935285233580326</x:v>
      </x:c>
      <x:c r="D2331" s="47" t="n">
        <x:f>'Datos'!$B$26^3/3</x:f>
        <x:v>0.3333333333333333</x:v>
      </x:c>
      <x:c r="E2331" s="46" t="n">
        <x:f>D2331*(C2331-1)</x:f>
        <x:v>0.3117617445267753</x:v>
      </x:c>
      <x:c r="F2331" s="2"/>
      <x:c r="G2331" s="2"/>
      <x:c r="H2331" s="2"/>
    </x:row>
    <x:row r="2332" ht="22" customHeight="1">
      <x:c r="A2332" s="2" t="n">
        <x:v>2326</x:v>
      </x:c>
      <x:c r="B2332" s="79" t="n">
        <x:v>-0.6589266667699692</x:v>
      </x:c>
      <x:c r="C2332" s="46" t="n">
        <x:f>B2332^2</x:f>
        <x:v>0.4341843521805821</x:v>
      </x:c>
      <x:c r="D2332" s="47" t="n">
        <x:f>'Datos'!$B$26^3/3</x:f>
        <x:v>0.3333333333333333</x:v>
      </x:c>
      <x:c r="E2332" s="46" t="n">
        <x:f>D2332*(C2332-1)</x:f>
        <x:v>-0.18860521593980595</x:v>
      </x:c>
      <x:c r="F2332" s="2"/>
      <x:c r="G2332" s="2"/>
      <x:c r="H2332" s="2"/>
    </x:row>
    <x:row r="2333" ht="22" customHeight="1">
      <x:c r="A2333" s="2" t="n">
        <x:v>2327</x:v>
      </x:c>
      <x:c r="B2333" s="79" t="n">
        <x:v>-0.4088599769047755</x:v>
      </x:c>
      <x:c r="C2333" s="46" t="n">
        <x:f>B2333^2</x:f>
        <x:v>0.16716648071457355</x:v>
      </x:c>
      <x:c r="D2333" s="47" t="n">
        <x:f>'Datos'!$B$26^3/3</x:f>
        <x:v>0.3333333333333333</x:v>
      </x:c>
      <x:c r="E2333" s="46" t="n">
        <x:f>D2333*(C2333-1)</x:f>
        <x:v>-0.27761117309514216</x:v>
      </x:c>
      <x:c r="F2333" s="2"/>
      <x:c r="G2333" s="2"/>
      <x:c r="H2333" s="2"/>
    </x:row>
    <x:row r="2334" ht="22" customHeight="1">
      <x:c r="A2334" s="2" t="n">
        <x:v>2328</x:v>
      </x:c>
      <x:c r="B2334" s="79" t="n">
        <x:v>1.1453010381818347</x:v>
      </x:c>
      <x:c r="C2334" s="46" t="n">
        <x:f>B2334^2</x:f>
        <x:v>1.3117144680603885</x:v>
      </x:c>
      <x:c r="D2334" s="47" t="n">
        <x:f>'Datos'!$B$26^3/3</x:f>
        <x:v>0.3333333333333333</x:v>
      </x:c>
      <x:c r="E2334" s="46" t="n">
        <x:f>D2334*(C2334-1)</x:f>
        <x:v>0.10390482268679616</x:v>
      </x:c>
      <x:c r="F2334" s="2"/>
      <x:c r="G2334" s="2"/>
      <x:c r="H2334" s="2"/>
    </x:row>
    <x:row r="2335" ht="22" customHeight="1">
      <x:c r="A2335" s="2" t="n">
        <x:v>2329</x:v>
      </x:c>
      <x:c r="B2335" s="79" t="n">
        <x:v>-0.25442271890265195</x:v>
      </x:c>
      <x:c r="C2335" s="46" t="n">
        <x:f>B2335^2</x:f>
        <x:v>0.06473091989381785</x:v>
      </x:c>
      <x:c r="D2335" s="47" t="n">
        <x:f>'Datos'!$B$26^3/3</x:f>
        <x:v>0.3333333333333333</x:v>
      </x:c>
      <x:c r="E2335" s="46" t="n">
        <x:f>D2335*(C2335-1)</x:f>
        <x:v>-0.31175636003539403</x:v>
      </x:c>
      <x:c r="F2335" s="2"/>
      <x:c r="G2335" s="2"/>
      <x:c r="H2335" s="2"/>
    </x:row>
    <x:row r="2336" ht="22" customHeight="1">
      <x:c r="A2336" s="2" t="n">
        <x:v>2330</x:v>
      </x:c>
      <x:c r="B2336" s="79" t="n">
        <x:v>0.8797901841223422</x:v>
      </x:c>
      <x:c r="C2336" s="46" t="n">
        <x:f>B2336^2</x:f>
        <x:v>0.7740307680780248</x:v>
      </x:c>
      <x:c r="D2336" s="47" t="n">
        <x:f>'Datos'!$B$26^3/3</x:f>
        <x:v>0.3333333333333333</x:v>
      </x:c>
      <x:c r="E2336" s="46" t="n">
        <x:f>D2336*(C2336-1)</x:f>
        <x:v>-0.07532307730732504</x:v>
      </x:c>
      <x:c r="F2336" s="2"/>
      <x:c r="G2336" s="2"/>
      <x:c r="H2336" s="2"/>
    </x:row>
    <x:row r="2337" ht="22" customHeight="1">
      <x:c r="A2337" s="2" t="n">
        <x:v>2331</x:v>
      </x:c>
      <x:c r="B2337" s="79" t="n">
        <x:v>1.1095902163378135</x:v>
      </x:c>
      <x:c r="C2337" s="46" t="n">
        <x:f>B2337^2</x:f>
        <x:v>1.2311904481925957</x:v>
      </x:c>
      <x:c r="D2337" s="47" t="n">
        <x:f>'Datos'!$B$26^3/3</x:f>
        <x:v>0.3333333333333333</x:v>
      </x:c>
      <x:c r="E2337" s="46" t="n">
        <x:f>D2337*(C2337-1)</x:f>
        <x:v>0.07706348273086523</x:v>
      </x:c>
      <x:c r="F2337" s="2"/>
      <x:c r="G2337" s="2"/>
      <x:c r="H2337" s="2"/>
    </x:row>
    <x:row r="2338" ht="22" customHeight="1">
      <x:c r="A2338" s="2" t="n">
        <x:v>2332</x:v>
      </x:c>
      <x:c r="B2338" s="79" t="n">
        <x:v>1.8205147081283384</x:v>
      </x:c>
      <x:c r="C2338" s="46" t="n">
        <x:f>B2338^2</x:f>
        <x:v>3.314273802511609</x:v>
      </x:c>
      <x:c r="D2338" s="47" t="n">
        <x:f>'Datos'!$B$26^3/3</x:f>
        <x:v>0.3333333333333333</x:v>
      </x:c>
      <x:c r="E2338" s="46" t="n">
        <x:f>D2338*(C2338-1)</x:f>
        <x:v>0.771424600837203</x:v>
      </x:c>
      <x:c r="F2338" s="2"/>
      <x:c r="G2338" s="2"/>
      <x:c r="H2338" s="2"/>
    </x:row>
    <x:row r="2339" ht="22" customHeight="1">
      <x:c r="A2339" s="2" t="n">
        <x:v>2333</x:v>
      </x:c>
      <x:c r="B2339" s="79" t="n">
        <x:v>-0.8335385132951769</x:v>
      </x:c>
      <x:c r="C2339" s="46" t="n">
        <x:f>B2339^2</x:f>
        <x:v>0.6947864531463338</x:v>
      </x:c>
      <x:c r="D2339" s="47" t="n">
        <x:f>'Datos'!$B$26^3/3</x:f>
        <x:v>0.3333333333333333</x:v>
      </x:c>
      <x:c r="E2339" s="46" t="n">
        <x:f>D2339*(C2339-1)</x:f>
        <x:v>-0.10173784895122207</x:v>
      </x:c>
      <x:c r="F2339" s="2"/>
      <x:c r="G2339" s="2"/>
      <x:c r="H2339" s="2"/>
    </x:row>
    <x:row r="2340" ht="22" customHeight="1">
      <x:c r="A2340" s="2" t="n">
        <x:v>2334</x:v>
      </x:c>
      <x:c r="B2340" s="79" t="n">
        <x:v>0.11398787598053477</x:v>
      </x:c>
      <x:c r="C2340" s="46" t="n">
        <x:f>B2340^2</x:f>
        <x:v>0.012993235870553775</x:v>
      </x:c>
      <x:c r="D2340" s="47" t="n">
        <x:f>'Datos'!$B$26^3/3</x:f>
        <x:v>0.3333333333333333</x:v>
      </x:c>
      <x:c r="E2340" s="46" t="n">
        <x:f>D2340*(C2340-1)</x:f>
        <x:v>-0.32900225470981537</x:v>
      </x:c>
      <x:c r="F2340" s="2"/>
      <x:c r="G2340" s="2"/>
      <x:c r="H2340" s="2"/>
    </x:row>
    <x:row r="2341" ht="22" customHeight="1">
      <x:c r="A2341" s="2" t="n">
        <x:v>2335</x:v>
      </x:c>
      <x:c r="B2341" s="79" t="n">
        <x:v>1.2189266868130066</x:v>
      </x:c>
      <x:c r="C2341" s="46" t="n">
        <x:f>B2341^2</x:f>
        <x:v>1.4857822678249335</x:v>
      </x:c>
      <x:c r="D2341" s="47" t="n">
        <x:f>'Datos'!$B$26^3/3</x:f>
        <x:v>0.3333333333333333</x:v>
      </x:c>
      <x:c r="E2341" s="46" t="n">
        <x:f>D2341*(C2341-1)</x:f>
        <x:v>0.16192742260831117</x:v>
      </x:c>
      <x:c r="F2341" s="2"/>
      <x:c r="G2341" s="2"/>
      <x:c r="H2341" s="2"/>
    </x:row>
    <x:row r="2342" ht="22" customHeight="1">
      <x:c r="A2342" s="2" t="n">
        <x:v>2336</x:v>
      </x:c>
      <x:c r="B2342" s="79" t="n">
        <x:v>-1.5489362399853221</x:v>
      </x:c>
      <x:c r="C2342" s="46" t="n">
        <x:f>B2342^2</x:f>
        <x:v>2.3992034755398675</x:v>
      </x:c>
      <x:c r="D2342" s="47" t="n">
        <x:f>'Datos'!$B$26^3/3</x:f>
        <x:v>0.3333333333333333</x:v>
      </x:c>
      <x:c r="E2342" s="46" t="n">
        <x:f>D2342*(C2342-1)</x:f>
        <x:v>0.4664011585132891</x:v>
      </x:c>
      <x:c r="F2342" s="2"/>
      <x:c r="G2342" s="2"/>
      <x:c r="H2342" s="2"/>
    </x:row>
    <x:row r="2343" ht="22" customHeight="1">
      <x:c r="A2343" s="2" t="n">
        <x:v>2337</x:v>
      </x:c>
      <x:c r="B2343" s="79" t="n">
        <x:v>-0.8511956237045908</x:v>
      </x:c>
      <x:c r="C2343" s="46" t="n">
        <x:f>B2343^2</x:f>
        <x:v>0.7245339898138473</x:v>
      </x:c>
      <x:c r="D2343" s="47" t="n">
        <x:f>'Datos'!$B$26^3/3</x:f>
        <x:v>0.3333333333333333</x:v>
      </x:c>
      <x:c r="E2343" s="46" t="n">
        <x:f>D2343*(C2343-1)</x:f>
        <x:v>-0.09182200339538422</x:v>
      </x:c>
      <x:c r="F2343" s="2"/>
      <x:c r="G2343" s="2"/>
      <x:c r="H2343" s="2"/>
    </x:row>
    <x:row r="2344" ht="22" customHeight="1">
      <x:c r="A2344" s="2" t="n">
        <x:v>2338</x:v>
      </x:c>
      <x:c r="B2344" s="79" t="n">
        <x:v>-0.9321598527399085</x:v>
      </x:c>
      <x:c r="C2344" s="46" t="n">
        <x:f>B2344^2</x:f>
        <x:v>0.8689219910600879</x:v>
      </x:c>
      <x:c r="D2344" s="47" t="n">
        <x:f>'Datos'!$B$26^3/3</x:f>
        <x:v>0.3333333333333333</x:v>
      </x:c>
      <x:c r="E2344" s="46" t="n">
        <x:f>D2344*(C2344-1)</x:f>
        <x:v>-0.04369266964663735</x:v>
      </x:c>
      <x:c r="F2344" s="2"/>
      <x:c r="G2344" s="2"/>
      <x:c r="H2344" s="2"/>
    </x:row>
    <x:row r="2345" ht="22" customHeight="1">
      <x:c r="A2345" s="2" t="n">
        <x:v>2339</x:v>
      </x:c>
      <x:c r="B2345" s="79" t="n">
        <x:v>0.01574714278162416</x:v>
      </x:c>
      <x:c r="C2345" s="46" t="n">
        <x:f>B2345^2</x:f>
        <x:v>0.0002479725057848579</x:v>
      </x:c>
      <x:c r="D2345" s="47" t="n">
        <x:f>'Datos'!$B$26^3/3</x:f>
        <x:v>0.3333333333333333</x:v>
      </x:c>
      <x:c r="E2345" s="46" t="n">
        <x:f>D2345*(C2345-1)</x:f>
        <x:v>-0.333250675831405</x:v>
      </x:c>
      <x:c r="F2345" s="2"/>
      <x:c r="G2345" s="2"/>
      <x:c r="H2345" s="2"/>
    </x:row>
    <x:row r="2346" ht="22" customHeight="1">
      <x:c r="A2346" s="2" t="n">
        <x:v>2340</x:v>
      </x:c>
      <x:c r="B2346" s="79" t="n">
        <x:v>-0.1920345465425744</x:v>
      </x:c>
      <x:c r="C2346" s="46" t="n">
        <x:f>B2346^2</x:f>
        <x:v>0.03687726706581217</x:v>
      </x:c>
      <x:c r="D2346" s="47" t="n">
        <x:f>'Datos'!$B$26^3/3</x:f>
        <x:v>0.3333333333333333</x:v>
      </x:c>
      <x:c r="E2346" s="46" t="n">
        <x:f>D2346*(C2346-1)</x:f>
        <x:v>-0.3210409109780626</x:v>
      </x:c>
      <x:c r="F2346" s="2"/>
      <x:c r="G2346" s="2"/>
      <x:c r="H2346" s="2"/>
    </x:row>
    <x:row r="2347" ht="22" customHeight="1">
      <x:c r="A2347" s="2" t="n">
        <x:v>2341</x:v>
      </x:c>
      <x:c r="B2347" s="79" t="n">
        <x:v>-0.7576987499354044</x:v>
      </x:c>
      <x:c r="C2347" s="46" t="n">
        <x:f>B2347^2</x:f>
        <x:v>0.5741073956536745</x:v>
      </x:c>
      <x:c r="D2347" s="47" t="n">
        <x:f>'Datos'!$B$26^3/3</x:f>
        <x:v>0.3333333333333333</x:v>
      </x:c>
      <x:c r="E2347" s="46" t="n">
        <x:f>D2347*(C2347-1)</x:f>
        <x:v>-0.14196420144877514</x:v>
      </x:c>
      <x:c r="F2347" s="2"/>
      <x:c r="G2347" s="2"/>
      <x:c r="H2347" s="2"/>
    </x:row>
    <x:row r="2348" ht="22" customHeight="1">
      <x:c r="A2348" s="2" t="n">
        <x:v>2342</x:v>
      </x:c>
      <x:c r="B2348" s="79" t="n">
        <x:v>0.33916297979423116</x:v>
      </x:c>
      <x:c r="C2348" s="46" t="n">
        <x:f>B2348^2</x:f>
        <x:v>0.11503152686290205</x:v>
      </x:c>
      <x:c r="D2348" s="47" t="n">
        <x:f>'Datos'!$B$26^3/3</x:f>
        <x:v>0.3333333333333333</x:v>
      </x:c>
      <x:c r="E2348" s="46" t="n">
        <x:f>D2348*(C2348-1)</x:f>
        <x:v>-0.29498949104569927</x:v>
      </x:c>
      <x:c r="F2348" s="2"/>
      <x:c r="G2348" s="2"/>
      <x:c r="H2348" s="2"/>
    </x:row>
    <x:row r="2349" ht="22" customHeight="1">
      <x:c r="A2349" s="2" t="n">
        <x:v>2343</x:v>
      </x:c>
      <x:c r="B2349" s="79" t="n">
        <x:v>-0.5544602395460051</x:v>
      </x:c>
      <x:c r="C2349" s="46" t="n">
        <x:f>B2349^2</x:f>
        <x:v>0.30742615723741334</x:v>
      </x:c>
      <x:c r="D2349" s="47" t="n">
        <x:f>'Datos'!$B$26^3/3</x:f>
        <x:v>0.3333333333333333</x:v>
      </x:c>
      <x:c r="E2349" s="46" t="n">
        <x:f>D2349*(C2349-1)</x:f>
        <x:v>-0.2308579475875289</x:v>
      </x:c>
      <x:c r="F2349" s="2"/>
      <x:c r="G2349" s="2"/>
      <x:c r="H2349" s="2"/>
    </x:row>
    <x:row r="2350" ht="22" customHeight="1">
      <x:c r="A2350" s="2" t="n">
        <x:v>2344</x:v>
      </x:c>
      <x:c r="B2350" s="79" t="n">
        <x:v>-1.2228935742306133</x:v>
      </x:c>
      <x:c r="C2350" s="46" t="n">
        <x:f>B2350^2</x:f>
        <x:v>1.4954686938945245</x:v>
      </x:c>
      <x:c r="D2350" s="47" t="n">
        <x:f>'Datos'!$B$26^3/3</x:f>
        <x:v>0.3333333333333333</x:v>
      </x:c>
      <x:c r="E2350" s="46" t="n">
        <x:f>D2350*(C2350-1)</x:f>
        <x:v>0.16515623129817483</x:v>
      </x:c>
      <x:c r="F2350" s="2"/>
      <x:c r="G2350" s="2"/>
      <x:c r="H2350" s="2"/>
    </x:row>
    <x:row r="2351" ht="22" customHeight="1">
      <x:c r="A2351" s="2" t="n">
        <x:v>2345</x:v>
      </x:c>
      <x:c r="B2351" s="79" t="n">
        <x:v>-0.1608354604752676</x:v>
      </x:c>
      <x:c r="C2351" s="46" t="n">
        <x:f>B2351^2</x:f>
        <x:v>0.025868045346291363</x:v>
      </x:c>
      <x:c r="D2351" s="47" t="n">
        <x:f>'Datos'!$B$26^3/3</x:f>
        <x:v>0.3333333333333333</x:v>
      </x:c>
      <x:c r="E2351" s="46" t="n">
        <x:f>D2351*(C2351-1)</x:f>
        <x:v>-0.3247106515512362</x:v>
      </x:c>
      <x:c r="F2351" s="2"/>
      <x:c r="G2351" s="2"/>
      <x:c r="H2351" s="2"/>
    </x:row>
    <x:row r="2352" ht="22" customHeight="1">
      <x:c r="A2352" s="2" t="n">
        <x:v>2346</x:v>
      </x:c>
      <x:c r="B2352" s="79" t="n">
        <x:v>-0.931932835863754</x:v>
      </x:c>
      <x:c r="C2352" s="46" t="n">
        <x:f>B2352^2</x:f>
        <x:v>0.8684988105610586</x:v>
      </x:c>
      <x:c r="D2352" s="47" t="n">
        <x:f>'Datos'!$B$26^3/3</x:f>
        <x:v>0.3333333333333333</x:v>
      </x:c>
      <x:c r="E2352" s="46" t="n">
        <x:f>D2352*(C2352-1)</x:f>
        <x:v>-0.04383372981298046</x:v>
      </x:c>
      <x:c r="F2352" s="2"/>
      <x:c r="G2352" s="2"/>
      <x:c r="H2352" s="2"/>
    </x:row>
    <x:row r="2353" ht="22" customHeight="1">
      <x:c r="A2353" s="2" t="n">
        <x:v>2347</x:v>
      </x:c>
      <x:c r="B2353" s="79" t="n">
        <x:v>-0.9406886136466809</x:v>
      </x:c>
      <x:c r="C2353" s="46" t="n">
        <x:f>B2353^2</x:f>
        <x:v>0.8848950678445144</x:v>
      </x:c>
      <x:c r="D2353" s="47" t="n">
        <x:f>'Datos'!$B$26^3/3</x:f>
        <x:v>0.3333333333333333</x:v>
      </x:c>
      <x:c r="E2353" s="46" t="n">
        <x:f>D2353*(C2353-1)</x:f>
        <x:v>-0.03836831071849518</x:v>
      </x:c>
      <x:c r="F2353" s="2"/>
      <x:c r="G2353" s="2"/>
      <x:c r="H2353" s="2"/>
    </x:row>
    <x:row r="2354" ht="22" customHeight="1">
      <x:c r="A2354" s="2" t="n">
        <x:v>2348</x:v>
      </x:c>
      <x:c r="B2354" s="79" t="n">
        <x:v>-1.040006406779176</x:v>
      </x:c>
      <x:c r="C2354" s="46" t="n">
        <x:f>B2354^2</x:f>
        <x:v>1.0816133261417331</x:v>
      </x:c>
      <x:c r="D2354" s="47" t="n">
        <x:f>'Datos'!$B$26^3/3</x:f>
        <x:v>0.3333333333333333</x:v>
      </x:c>
      <x:c r="E2354" s="46" t="n">
        <x:f>D2354*(C2354-1)</x:f>
        <x:v>0.02720444204724437</x:v>
      </x:c>
      <x:c r="F2354" s="2"/>
      <x:c r="G2354" s="2"/>
      <x:c r="H2354" s="2"/>
    </x:row>
    <x:row r="2355" ht="22" customHeight="1">
      <x:c r="A2355" s="2" t="n">
        <x:v>2349</x:v>
      </x:c>
      <x:c r="B2355" s="79" t="n">
        <x:v>-0.7669645720521138</x:v>
      </x:c>
      <x:c r="C2355" s="46" t="n">
        <x:f>B2355^2</x:f>
        <x:v>0.588234654783082</x:v>
      </x:c>
      <x:c r="D2355" s="47" t="n">
        <x:f>'Datos'!$B$26^3/3</x:f>
        <x:v>0.3333333333333333</x:v>
      </x:c>
      <x:c r="E2355" s="46" t="n">
        <x:f>D2355*(C2355-1)</x:f>
        <x:v>-0.13725511507230598</x:v>
      </x:c>
      <x:c r="F2355" s="2"/>
      <x:c r="G2355" s="2"/>
      <x:c r="H2355" s="2"/>
    </x:row>
    <x:row r="2356" ht="22" customHeight="1">
      <x:c r="A2356" s="2" t="n">
        <x:v>2350</x:v>
      </x:c>
      <x:c r="B2356" s="79" t="n">
        <x:v>-1.9272327033103756</x:v>
      </x:c>
      <x:c r="C2356" s="46" t="n">
        <x:f>B2356^2</x:f>
        <x:v>3.714225892709018</x:v>
      </x:c>
      <x:c r="D2356" s="47" t="n">
        <x:f>'Datos'!$B$26^3/3</x:f>
        <x:v>0.3333333333333333</x:v>
      </x:c>
      <x:c r="E2356" s="46" t="n">
        <x:f>D2356*(C2356-1)</x:f>
        <x:v>0.9047419642363393</x:v>
      </x:c>
      <x:c r="F2356" s="2"/>
      <x:c r="G2356" s="2"/>
      <x:c r="H2356" s="2"/>
    </x:row>
    <x:row r="2357" ht="22" customHeight="1">
      <x:c r="A2357" s="2" t="n">
        <x:v>2351</x:v>
      </x:c>
      <x:c r="B2357" s="79" t="n">
        <x:v>0.3083779610776548</x:v>
      </x:c>
      <x:c r="C2357" s="46" t="n">
        <x:f>B2357^2</x:f>
        <x:v>0.09509696687841158</x:v>
      </x:c>
      <x:c r="D2357" s="47" t="n">
        <x:f>'Datos'!$B$26^3/3</x:f>
        <x:v>0.3333333333333333</x:v>
      </x:c>
      <x:c r="E2357" s="46" t="n">
        <x:f>D2357*(C2357-1)</x:f>
        <x:v>-0.3016343443738628</x:v>
      </x:c>
      <x:c r="F2357" s="2"/>
      <x:c r="G2357" s="2"/>
      <x:c r="H2357" s="2"/>
    </x:row>
    <x:row r="2358" ht="22" customHeight="1">
      <x:c r="A2358" s="2" t="n">
        <x:v>2352</x:v>
      </x:c>
      <x:c r="B2358" s="79" t="n">
        <x:v>0.8009425222298239</x:v>
      </x:c>
      <x:c r="C2358" s="46" t="n">
        <x:f>B2358^2</x:f>
        <x:v>0.6415089239158719</x:v>
      </x:c>
      <x:c r="D2358" s="47" t="n">
        <x:f>'Datos'!$B$26^3/3</x:f>
        <x:v>0.3333333333333333</x:v>
      </x:c>
      <x:c r="E2358" s="46" t="n">
        <x:f>D2358*(C2358-1)</x:f>
        <x:v>-0.11949702536137603</x:v>
      </x:c>
      <x:c r="F2358" s="2"/>
      <x:c r="G2358" s="2"/>
      <x:c r="H2358" s="2"/>
    </x:row>
    <x:row r="2359" ht="22" customHeight="1">
      <x:c r="A2359" s="2" t="n">
        <x:v>2353</x:v>
      </x:c>
      <x:c r="B2359" s="79" t="n">
        <x:v>0.0598898172924226</x:v>
      </x:c>
      <x:c r="C2359" s="46" t="n">
        <x:f>B2359^2</x:f>
        <x:v>0.003586790215319761</x:v>
      </x:c>
      <x:c r="D2359" s="47" t="n">
        <x:f>'Datos'!$B$26^3/3</x:f>
        <x:v>0.3333333333333333</x:v>
      </x:c>
      <x:c r="E2359" s="46" t="n">
        <x:f>D2359*(C2359-1)</x:f>
        <x:v>-0.33213773659489343</x:v>
      </x:c>
      <x:c r="F2359" s="2"/>
      <x:c r="G2359" s="2"/>
      <x:c r="H2359" s="2"/>
    </x:row>
    <x:row r="2360" ht="22" customHeight="1">
      <x:c r="A2360" s="2" t="n">
        <x:v>2354</x:v>
      </x:c>
      <x:c r="B2360" s="79" t="n">
        <x:v>-0.8937174717639712</x:v>
      </x:c>
      <x:c r="C2360" s="46" t="n">
        <x:f>B2360^2</x:f>
        <x:v>0.7987309193361847</x:v>
      </x:c>
      <x:c r="D2360" s="47" t="n">
        <x:f>'Datos'!$B$26^3/3</x:f>
        <x:v>0.3333333333333333</x:v>
      </x:c>
      <x:c r="E2360" s="46" t="n">
        <x:f>D2360*(C2360-1)</x:f>
        <x:v>-0.0670896935546051</x:v>
      </x:c>
      <x:c r="F2360" s="2"/>
      <x:c r="G2360" s="2"/>
      <x:c r="H2360" s="2"/>
    </x:row>
    <x:row r="2361" ht="22" customHeight="1">
      <x:c r="A2361" s="2" t="n">
        <x:v>2355</x:v>
      </x:c>
      <x:c r="B2361" s="79" t="n">
        <x:v>0.9600424326785952</x:v>
      </x:c>
      <x:c r="C2361" s="46" t="n">
        <x:f>B2361^2</x:f>
        <x:v>0.921681472543435</x:v>
      </x:c>
      <x:c r="D2361" s="47" t="n">
        <x:f>'Datos'!$B$26^3/3</x:f>
        <x:v>0.3333333333333333</x:v>
      </x:c>
      <x:c r="E2361" s="46" t="n">
        <x:f>D2361*(C2361-1)</x:f>
        <x:v>-0.026106175818854993</x:v>
      </x:c>
      <x:c r="F2361" s="2"/>
      <x:c r="G2361" s="2"/>
      <x:c r="H2361" s="2"/>
    </x:row>
    <x:row r="2362" ht="22" customHeight="1">
      <x:c r="A2362" s="2" t="n">
        <x:v>2356</x:v>
      </x:c>
      <x:c r="B2362" s="79" t="n">
        <x:v>-0.6013448226291755</x:v>
      </x:c>
      <x:c r="C2362" s="46" t="n">
        <x:f>B2362^2</x:f>
        <x:v>0.36161559570291457</x:v>
      </x:c>
      <x:c r="D2362" s="47" t="n">
        <x:f>'Datos'!$B$26^3/3</x:f>
        <x:v>0.3333333333333333</x:v>
      </x:c>
      <x:c r="E2362" s="46" t="n">
        <x:f>D2362*(C2362-1)</x:f>
        <x:v>-0.2127948014323618</x:v>
      </x:c>
      <x:c r="F2362" s="2"/>
      <x:c r="G2362" s="2"/>
      <x:c r="H2362" s="2"/>
    </x:row>
    <x:row r="2363" ht="22" customHeight="1">
      <x:c r="A2363" s="2" t="n">
        <x:v>2357</x:v>
      </x:c>
      <x:c r="B2363" s="79" t="n">
        <x:v>1.4463955447037693</x:v>
      </x:c>
      <x:c r="C2363" s="46" t="n">
        <x:f>B2363^2</x:f>
        <x:v>2.0920600717389135</x:v>
      </x:c>
      <x:c r="D2363" s="47" t="n">
        <x:f>'Datos'!$B$26^3/3</x:f>
        <x:v>0.3333333333333333</x:v>
      </x:c>
      <x:c r="E2363" s="46" t="n">
        <x:f>D2363*(C2363-1)</x:f>
        <x:v>0.36402002391297117</x:v>
      </x:c>
      <x:c r="F2363" s="2"/>
      <x:c r="G2363" s="2"/>
      <x:c r="H2363" s="2"/>
    </x:row>
    <x:row r="2364" ht="22" customHeight="1">
      <x:c r="A2364" s="2" t="n">
        <x:v>2358</x:v>
      </x:c>
      <x:c r="B2364" s="79" t="n">
        <x:v>1.7612382789507366</x:v>
      </x:c>
      <x:c r="C2364" s="46" t="n">
        <x:f>B2364^2</x:f>
        <x:v>3.1019602752413524</x:v>
      </x:c>
      <x:c r="D2364" s="47" t="n">
        <x:f>'Datos'!$B$26^3/3</x:f>
        <x:v>0.3333333333333333</x:v>
      </x:c>
      <x:c r="E2364" s="46" t="n">
        <x:f>D2364*(C2364-1)</x:f>
        <x:v>0.7006534250804508</x:v>
      </x:c>
      <x:c r="F2364" s="2"/>
      <x:c r="G2364" s="2"/>
      <x:c r="H2364" s="2"/>
    </x:row>
    <x:row r="2365" ht="22" customHeight="1">
      <x:c r="A2365" s="2" t="n">
        <x:v>2359</x:v>
      </x:c>
      <x:c r="B2365" s="79" t="n">
        <x:v>-1.0505748120271865</x:v>
      </x:c>
      <x:c r="C2365" s="46" t="n">
        <x:f>B2365^2</x:f>
        <x:v>1.1037074356659582</x:v>
      </x:c>
      <x:c r="D2365" s="47" t="n">
        <x:f>'Datos'!$B$26^3/3</x:f>
        <x:v>0.3333333333333333</x:v>
      </x:c>
      <x:c r="E2365" s="46" t="n">
        <x:f>D2365*(C2365-1)</x:f>
        <x:v>0.034569145221986064</x:v>
      </x:c>
      <x:c r="F2365" s="2"/>
      <x:c r="G2365" s="2"/>
      <x:c r="H2365" s="2"/>
    </x:row>
    <x:row r="2366" ht="22" customHeight="1">
      <x:c r="A2366" s="2" t="n">
        <x:v>2360</x:v>
      </x:c>
      <x:c r="B2366" s="79" t="n">
        <x:v>1.109813300768755</x:v>
      </x:c>
      <x:c r="C2366" s="46" t="n">
        <x:f>B2366^2</x:f>
        <x:v>1.231685562563239</x:v>
      </x:c>
      <x:c r="D2366" s="47" t="n">
        <x:f>'Datos'!$B$26^3/3</x:f>
        <x:v>0.3333333333333333</x:v>
      </x:c>
      <x:c r="E2366" s="46" t="n">
        <x:f>D2366*(C2366-1)</x:f>
        <x:v>0.07722852085441301</x:v>
      </x:c>
      <x:c r="F2366" s="2"/>
      <x:c r="G2366" s="2"/>
      <x:c r="H2366" s="2"/>
    </x:row>
    <x:row r="2367" ht="22" customHeight="1">
      <x:c r="A2367" s="2" t="n">
        <x:v>2361</x:v>
      </x:c>
      <x:c r="B2367" s="79" t="n">
        <x:v>1.2608865805171634</x:v>
      </x:c>
      <x:c r="C2367" s="46" t="n">
        <x:f>B2367^2</x:f>
        <x:v>1.5898349689282651</x:v>
      </x:c>
      <x:c r="D2367" s="47" t="n">
        <x:f>'Datos'!$B$26^3/3</x:f>
        <x:v>0.3333333333333333</x:v>
      </x:c>
      <x:c r="E2367" s="46" t="n">
        <x:f>D2367*(C2367-1)</x:f>
        <x:v>0.1966116563094217</x:v>
      </x:c>
      <x:c r="F2367" s="2"/>
      <x:c r="G2367" s="2"/>
      <x:c r="H2367" s="2"/>
    </x:row>
    <x:row r="2368" ht="22" customHeight="1">
      <x:c r="A2368" s="2" t="n">
        <x:v>2362</x:v>
      </x:c>
      <x:c r="B2368" s="79" t="n">
        <x:v>0.17536486926102285</x:v>
      </x:c>
      <x:c r="C2368" s="46" t="n">
        <x:f>B2368^2</x:f>
        <x:v>0.030752837370935638</x:v>
      </x:c>
      <x:c r="D2368" s="47" t="n">
        <x:f>'Datos'!$B$26^3/3</x:f>
        <x:v>0.3333333333333333</x:v>
      </x:c>
      <x:c r="E2368" s="46" t="n">
        <x:f>D2368*(C2368-1)</x:f>
        <x:v>-0.32308238754302143</x:v>
      </x:c>
      <x:c r="F2368" s="2"/>
      <x:c r="G2368" s="2"/>
      <x:c r="H2368" s="2"/>
    </x:row>
    <x:row r="2369" ht="22" customHeight="1">
      <x:c r="A2369" s="2" t="n">
        <x:v>2363</x:v>
      </x:c>
      <x:c r="B2369" s="79" t="n">
        <x:v>0.9867638505464419</x:v>
      </x:c>
      <x:c r="C2369" s="46" t="n">
        <x:f>B2369^2</x:f>
        <x:v>0.9737028967452407</x:v>
      </x:c>
      <x:c r="D2369" s="47" t="n">
        <x:f>'Datos'!$B$26^3/3</x:f>
        <x:v>0.3333333333333333</x:v>
      </x:c>
      <x:c r="E2369" s="46" t="n">
        <x:f>D2369*(C2369-1)</x:f>
        <x:v>-0.00876570108491977</x:v>
      </x:c>
      <x:c r="F2369" s="2"/>
      <x:c r="G2369" s="2"/>
      <x:c r="H2369" s="2"/>
    </x:row>
    <x:row r="2370" ht="22" customHeight="1">
      <x:c r="A2370" s="2" t="n">
        <x:v>2364</x:v>
      </x:c>
      <x:c r="B2370" s="79" t="n">
        <x:v>0.60517020955468</x:v>
      </x:c>
      <x:c r="C2370" s="46" t="n">
        <x:f>B2370^2</x:f>
        <x:v>0.36623098253245534</x:v>
      </x:c>
      <x:c r="D2370" s="47" t="n">
        <x:f>'Datos'!$B$26^3/3</x:f>
        <x:v>0.3333333333333333</x:v>
      </x:c>
      <x:c r="E2370" s="46" t="n">
        <x:f>D2370*(C2370-1)</x:f>
        <x:v>-0.2112563391558482</x:v>
      </x:c>
      <x:c r="F2370" s="2"/>
      <x:c r="G2370" s="2"/>
      <x:c r="H2370" s="2"/>
    </x:row>
    <x:row r="2371" ht="22" customHeight="1">
      <x:c r="A2371" s="2" t="n">
        <x:v>2365</x:v>
      </x:c>
      <x:c r="B2371" s="79" t="n">
        <x:v>0.0342383358081137</x:v>
      </x:c>
      <x:c r="C2371" s="46" t="n">
        <x:f>B2371^2</x:f>
        <x:v>0.001172263638909161</x:v>
      </x:c>
      <x:c r="D2371" s="47" t="n">
        <x:f>'Datos'!$B$26^3/3</x:f>
        <x:v>0.3333333333333333</x:v>
      </x:c>
      <x:c r="E2371" s="46" t="n">
        <x:f>D2371*(C2371-1)</x:f>
        <x:v>-0.33294257878703026</x:v>
      </x:c>
      <x:c r="F2371" s="2"/>
      <x:c r="G2371" s="2"/>
      <x:c r="H2371" s="2"/>
    </x:row>
    <x:row r="2372" ht="22" customHeight="1">
      <x:c r="A2372" s="2" t="n">
        <x:v>2366</x:v>
      </x:c>
      <x:c r="B2372" s="79" t="n">
        <x:v>-1.815139735798643</x:v>
      </x:c>
      <x:c r="C2372" s="46" t="n">
        <x:f>B2372^2</x:f>
        <x:v>3.2947322604751674</x:v>
      </x:c>
      <x:c r="D2372" s="47" t="n">
        <x:f>'Datos'!$B$26^3/3</x:f>
        <x:v>0.3333333333333333</x:v>
      </x:c>
      <x:c r="E2372" s="46" t="n">
        <x:f>D2372*(C2372-1)</x:f>
        <x:v>0.7649107534917224</x:v>
      </x:c>
      <x:c r="F2372" s="2"/>
      <x:c r="G2372" s="2"/>
      <x:c r="H2372" s="2"/>
    </x:row>
    <x:row r="2373" ht="22" customHeight="1">
      <x:c r="A2373" s="2" t="n">
        <x:v>2367</x:v>
      </x:c>
      <x:c r="B2373" s="79" t="n">
        <x:v>0.09791626880554509</x:v>
      </x:c>
      <x:c r="C2373" s="46" t="n">
        <x:f>B2373^2</x:f>
        <x:v>0.009587595696799763</x:v>
      </x:c>
      <x:c r="D2373" s="47" t="n">
        <x:f>'Datos'!$B$26^3/3</x:f>
        <x:v>0.3333333333333333</x:v>
      </x:c>
      <x:c r="E2373" s="46" t="n">
        <x:f>D2373*(C2373-1)</x:f>
        <x:v>-0.3301374681010667</x:v>
      </x:c>
      <x:c r="F2373" s="2"/>
      <x:c r="G2373" s="2"/>
      <x:c r="H2373" s="2"/>
    </x:row>
    <x:row r="2374" ht="22" customHeight="1">
      <x:c r="A2374" s="2" t="n">
        <x:v>2368</x:v>
      </x:c>
      <x:c r="B2374" s="79" t="n">
        <x:v>-1.5111694205433424</x:v>
      </x:c>
      <x:c r="C2374" s="46" t="n">
        <x:f>B2374^2</x:f>
        <x:v>2.2836330175853012</x:v>
      </x:c>
      <x:c r="D2374" s="47" t="n">
        <x:f>'Datos'!$B$26^3/3</x:f>
        <x:v>0.3333333333333333</x:v>
      </x:c>
      <x:c r="E2374" s="46" t="n">
        <x:f>D2374*(C2374-1)</x:f>
        <x:v>0.42787767252843373</x:v>
      </x:c>
      <x:c r="F2374" s="2"/>
      <x:c r="G2374" s="2"/>
      <x:c r="H2374" s="2"/>
    </x:row>
    <x:row r="2375" ht="22" customHeight="1">
      <x:c r="A2375" s="2" t="n">
        <x:v>2369</x:v>
      </x:c>
      <x:c r="B2375" s="79" t="n">
        <x:v>-1.006208767717874</x:v>
      </x:c>
      <x:c r="C2375" s="46" t="n">
        <x:f>B2375^2</x:f>
        <x:v>1.0124560842323225</x:v>
      </x:c>
      <x:c r="D2375" s="47" t="n">
        <x:f>'Datos'!$B$26^3/3</x:f>
        <x:v>0.3333333333333333</x:v>
      </x:c>
      <x:c r="E2375" s="46" t="n">
        <x:f>D2375*(C2375-1)</x:f>
        <x:v>0.004152028077440824</x:v>
      </x:c>
      <x:c r="F2375" s="2"/>
      <x:c r="G2375" s="2"/>
      <x:c r="H2375" s="2"/>
    </x:row>
    <x:row r="2376" ht="22" customHeight="1">
      <x:c r="A2376" s="2" t="n">
        <x:v>2370</x:v>
      </x:c>
      <x:c r="B2376" s="79" t="n">
        <x:v>-1.3055879928562588</x:v>
      </x:c>
      <x:c r="C2376" s="46" t="n">
        <x:f>B2376^2</x:f>
        <x:v>1.7045600070904345</x:v>
      </x:c>
      <x:c r="D2376" s="47" t="n">
        <x:f>'Datos'!$B$26^3/3</x:f>
        <x:v>0.3333333333333333</x:v>
      </x:c>
      <x:c r="E2376" s="46" t="n">
        <x:f>D2376*(C2376-1)</x:f>
        <x:v>0.2348533356968115</x:v>
      </x:c>
      <x:c r="F2376" s="2"/>
      <x:c r="G2376" s="2"/>
      <x:c r="H2376" s="2"/>
    </x:row>
    <x:row r="2377" ht="22" customHeight="1">
      <x:c r="A2377" s="2" t="n">
        <x:v>2371</x:v>
      </x:c>
      <x:c r="B2377" s="79" t="n">
        <x:v>0.8205159640245203</x:v>
      </x:c>
      <x:c r="C2377" s="46" t="n">
        <x:f>B2377^2</x:f>
        <x:v>0.6732464472190879</x:v>
      </x:c>
      <x:c r="D2377" s="47" t="n">
        <x:f>'Datos'!$B$26^3/3</x:f>
        <x:v>0.3333333333333333</x:v>
      </x:c>
      <x:c r="E2377" s="46" t="n">
        <x:f>D2377*(C2377-1)</x:f>
        <x:v>-0.1089178509269707</x:v>
      </x:c>
      <x:c r="F2377" s="2"/>
      <x:c r="G2377" s="2"/>
      <x:c r="H2377" s="2"/>
    </x:row>
    <x:row r="2378" ht="22" customHeight="1">
      <x:c r="A2378" s="2" t="n">
        <x:v>2372</x:v>
      </x:c>
      <x:c r="B2378" s="79" t="n">
        <x:v>-0.3402619467299213</x:v>
      </x:c>
      <x:c r="C2378" s="46" t="n">
        <x:f>B2378^2</x:f>
        <x:v>0.11577819239243582</x:v>
      </x:c>
      <x:c r="D2378" s="47" t="n">
        <x:f>'Datos'!$B$26^3/3</x:f>
        <x:v>0.3333333333333333</x:v>
      </x:c>
      <x:c r="E2378" s="46" t="n">
        <x:f>D2378*(C2378-1)</x:f>
        <x:v>-0.2947406025358547</x:v>
      </x:c>
      <x:c r="F2378" s="2"/>
      <x:c r="G2378" s="2"/>
      <x:c r="H2378" s="2"/>
    </x:row>
    <x:row r="2379" ht="22" customHeight="1">
      <x:c r="A2379" s="2" t="n">
        <x:v>2373</x:v>
      </x:c>
      <x:c r="B2379" s="79" t="n">
        <x:v>0.003851039011266916</x:v>
      </x:c>
      <x:c r="C2379" s="46" t="n">
        <x:f>B2379^2</x:f>
        <x:v>0.000014830501466299665</x:v>
      </x:c>
      <x:c r="D2379" s="47" t="n">
        <x:f>'Datos'!$B$26^3/3</x:f>
        <x:v>0.3333333333333333</x:v>
      </x:c>
      <x:c r="E2379" s="46" t="n">
        <x:f>D2379*(C2379-1)</x:f>
        <x:v>-0.3333283898328445</x:v>
      </x:c>
      <x:c r="F2379" s="2"/>
      <x:c r="G2379" s="2"/>
      <x:c r="H2379" s="2"/>
    </x:row>
    <x:row r="2380" ht="22" customHeight="1">
      <x:c r="A2380" s="2" t="n">
        <x:v>2374</x:v>
      </x:c>
      <x:c r="B2380" s="79" t="n">
        <x:v>0.9676629858427391</x:v>
      </x:c>
      <x:c r="C2380" s="46" t="n">
        <x:f>B2380^2</x:f>
        <x:v>0.9363716541700852</x:v>
      </x:c>
      <x:c r="D2380" s="47" t="n">
        <x:f>'Datos'!$B$26^3/3</x:f>
        <x:v>0.3333333333333333</x:v>
      </x:c>
      <x:c r="E2380" s="46" t="n">
        <x:f>D2380*(C2380-1)</x:f>
        <x:v>-0.02120944860997161</x:v>
      </x:c>
      <x:c r="F2380" s="2"/>
      <x:c r="G2380" s="2"/>
      <x:c r="H2380" s="2"/>
    </x:row>
    <x:row r="2381" ht="22" customHeight="1">
      <x:c r="A2381" s="2" t="n">
        <x:v>2375</x:v>
      </x:c>
      <x:c r="B2381" s="79" t="n">
        <x:v>0.1303927190825197</x:v>
      </x:c>
      <x:c r="C2381" s="46" t="n">
        <x:f>B2381^2</x:f>
        <x:v>0.017002261189732897</x:v>
      </x:c>
      <x:c r="D2381" s="47" t="n">
        <x:f>'Datos'!$B$26^3/3</x:f>
        <x:v>0.3333333333333333</x:v>
      </x:c>
      <x:c r="E2381" s="46" t="n">
        <x:f>D2381*(C2381-1)</x:f>
        <x:v>-0.3276659129367557</x:v>
      </x:c>
      <x:c r="F2381" s="2"/>
      <x:c r="G2381" s="2"/>
      <x:c r="H2381" s="2"/>
    </x:row>
    <x:row r="2382" ht="22" customHeight="1">
      <x:c r="A2382" s="2" t="n">
        <x:v>2376</x:v>
      </x:c>
      <x:c r="B2382" s="79" t="n">
        <x:v>0.029059673988045737</x:v>
      </x:c>
      <x:c r="C2382" s="46" t="n">
        <x:f>B2382^2</x:f>
        <x:v>0.000844464652291502</x:v>
      </x:c>
      <x:c r="D2382" s="47" t="n">
        <x:f>'Datos'!$B$26^3/3</x:f>
        <x:v>0.3333333333333333</x:v>
      </x:c>
      <x:c r="E2382" s="46" t="n">
        <x:f>D2382*(C2382-1)</x:f>
        <x:v>-0.3330518451159028</x:v>
      </x:c>
      <x:c r="F2382" s="2"/>
      <x:c r="G2382" s="2"/>
      <x:c r="H2382" s="2"/>
    </x:row>
    <x:row r="2383" ht="22" customHeight="1">
      <x:c r="A2383" s="2" t="n">
        <x:v>2377</x:v>
      </x:c>
      <x:c r="B2383" s="79" t="n">
        <x:v>-0.6198613870284602</x:v>
      </x:c>
      <x:c r="C2383" s="46" t="n">
        <x:f>B2383^2</x:f>
        <x:v>0.38422813912884646</x:v>
      </x:c>
      <x:c r="D2383" s="47" t="n">
        <x:f>'Datos'!$B$26^3/3</x:f>
        <x:v>0.3333333333333333</x:v>
      </x:c>
      <x:c r="E2383" s="46" t="n">
        <x:f>D2383*(C2383-1)</x:f>
        <x:v>-0.20525728695705117</x:v>
      </x:c>
      <x:c r="F2383" s="2"/>
      <x:c r="G2383" s="2"/>
      <x:c r="H2383" s="2"/>
    </x:row>
    <x:row r="2384" ht="22" customHeight="1">
      <x:c r="A2384" s="2" t="n">
        <x:v>2378</x:v>
      </x:c>
      <x:c r="B2384" s="79" t="n">
        <x:v>-0.5530441094423014</x:v>
      </x:c>
      <x:c r="C2384" s="46" t="n">
        <x:f>B2384^2</x:f>
        <x:v>0.30585778698882826</x:v>
      </x:c>
      <x:c r="D2384" s="47" t="n">
        <x:f>'Datos'!$B$26^3/3</x:f>
        <x:v>0.3333333333333333</x:v>
      </x:c>
      <x:c r="E2384" s="46" t="n">
        <x:f>D2384*(C2384-1)</x:f>
        <x:v>-0.23138073767039058</x:v>
      </x:c>
      <x:c r="F2384" s="2"/>
      <x:c r="G2384" s="2"/>
      <x:c r="H2384" s="2"/>
    </x:row>
    <x:row r="2385" ht="22" customHeight="1">
      <x:c r="A2385" s="2" t="n">
        <x:v>2379</x:v>
      </x:c>
      <x:c r="B2385" s="79" t="n">
        <x:v>-0.43234843844414156</x:v>
      </x:c>
      <x:c r="C2385" s="46" t="n">
        <x:f>B2385^2</x:f>
        <x:v>0.18692517222508767</x:v>
      </x:c>
      <x:c r="D2385" s="47" t="n">
        <x:f>'Datos'!$B$26^3/3</x:f>
        <x:v>0.3333333333333333</x:v>
      </x:c>
      <x:c r="E2385" s="46" t="n">
        <x:f>D2385*(C2385-1)</x:f>
        <x:v>-0.27102494259163745</x:v>
      </x:c>
      <x:c r="F2385" s="2"/>
      <x:c r="G2385" s="2"/>
      <x:c r="H2385" s="2"/>
    </x:row>
    <x:row r="2386" ht="22" customHeight="1">
      <x:c r="A2386" s="2" t="n">
        <x:v>2380</x:v>
      </x:c>
      <x:c r="B2386" s="79" t="n">
        <x:v>-0.06751240461274037</x:v>
      </x:c>
      <x:c r="C2386" s="46" t="n">
        <x:f>B2386^2</x:f>
        <x:v>0.0045579247765943675</x:v>
      </x:c>
      <x:c r="D2386" s="47" t="n">
        <x:f>'Datos'!$B$26^3/3</x:f>
        <x:v>0.3333333333333333</x:v>
      </x:c>
      <x:c r="E2386" s="46" t="n">
        <x:f>D2386*(C2386-1)</x:f>
        <x:v>-0.33181402507446855</x:v>
      </x:c>
      <x:c r="F2386" s="2"/>
      <x:c r="G2386" s="2"/>
      <x:c r="H2386" s="2"/>
    </x:row>
    <x:row r="2387" ht="22" customHeight="1">
      <x:c r="A2387" s="2" t="n">
        <x:v>2381</x:v>
      </x:c>
      <x:c r="B2387" s="79" t="n">
        <x:v>-1.2582240213195837</x:v>
      </x:c>
      <x:c r="C2387" s="46" t="n">
        <x:f>B2387^2</x:f>
        <x:v>1.5831276878256242</x:v>
      </x:c>
      <x:c r="D2387" s="47" t="n">
        <x:f>'Datos'!$B$26^3/3</x:f>
        <x:v>0.3333333333333333</x:v>
      </x:c>
      <x:c r="E2387" s="46" t="n">
        <x:f>D2387*(C2387-1)</x:f>
        <x:v>0.1943758959418747</x:v>
      </x:c>
      <x:c r="F2387" s="2"/>
      <x:c r="G2387" s="2"/>
      <x:c r="H2387" s="2"/>
    </x:row>
    <x:row r="2388" ht="22" customHeight="1">
      <x:c r="A2388" s="2" t="n">
        <x:v>2382</x:v>
      </x:c>
      <x:c r="B2388" s="79" t="n">
        <x:v>0.8675815895683139</x:v>
      </x:c>
      <x:c r="C2388" s="46" t="n">
        <x:f>B2388^2</x:f>
        <x:v>0.7526978145578822</x:v>
      </x:c>
      <x:c r="D2388" s="47" t="n">
        <x:f>'Datos'!$B$26^3/3</x:f>
        <x:v>0.3333333333333333</x:v>
      </x:c>
      <x:c r="E2388" s="46" t="n">
        <x:f>D2388*(C2388-1)</x:f>
        <x:v>-0.08243406181403926</x:v>
      </x:c>
      <x:c r="F2388" s="2"/>
      <x:c r="G2388" s="2"/>
      <x:c r="H2388" s="2"/>
    </x:row>
    <x:row r="2389" ht="22" customHeight="1">
      <x:c r="A2389" s="2" t="n">
        <x:v>2383</x:v>
      </x:c>
      <x:c r="B2389" s="79" t="n">
        <x:v>0.7536053842438514</x:v>
      </x:c>
      <x:c r="C2389" s="46" t="n">
        <x:f>B2389^2</x:f>
        <x:v>0.5679210751613228</x:v>
      </x:c>
      <x:c r="D2389" s="47" t="n">
        <x:f>'Datos'!$B$26^3/3</x:f>
        <x:v>0.3333333333333333</x:v>
      </x:c>
      <x:c r="E2389" s="46" t="n">
        <x:f>D2389*(C2389-1)</x:f>
        <x:v>-0.14402630827955903</x:v>
      </x:c>
      <x:c r="F2389" s="2"/>
      <x:c r="G2389" s="2"/>
      <x:c r="H2389" s="2"/>
    </x:row>
    <x:row r="2390" ht="22" customHeight="1">
      <x:c r="A2390" s="2" t="n">
        <x:v>2384</x:v>
      </x:c>
      <x:c r="B2390" s="79" t="n">
        <x:v>-0.496473089063328</x:v>
      </x:c>
      <x:c r="C2390" s="46" t="n">
        <x:f>B2390^2</x:f>
        <x:v>0.2464855281640832</x:v>
      </x:c>
      <x:c r="D2390" s="47" t="n">
        <x:f>'Datos'!$B$26^3/3</x:f>
        <x:v>0.3333333333333333</x:v>
      </x:c>
      <x:c r="E2390" s="46" t="n">
        <x:f>D2390*(C2390-1)</x:f>
        <x:v>-0.25117149061197225</x:v>
      </x:c>
      <x:c r="F2390" s="2"/>
      <x:c r="G2390" s="2"/>
      <x:c r="H2390" s="2"/>
    </x:row>
    <x:row r="2391" ht="22" customHeight="1">
      <x:c r="A2391" s="2" t="n">
        <x:v>2385</x:v>
      </x:c>
      <x:c r="B2391" s="79" t="n">
        <x:v>-0.9045050378829305</x:v>
      </x:c>
      <x:c r="C2391" s="46" t="n">
        <x:f>B2391^2</x:f>
        <x:v>0.8181293635556015</x:v>
      </x:c>
      <x:c r="D2391" s="47" t="n">
        <x:f>'Datos'!$B$26^3/3</x:f>
        <x:v>0.3333333333333333</x:v>
      </x:c>
      <x:c r="E2391" s="46" t="n">
        <x:f>D2391*(C2391-1)</x:f>
        <x:v>-0.06062354548146616</x:v>
      </x:c>
      <x:c r="F2391" s="2"/>
      <x:c r="G2391" s="2"/>
      <x:c r="H2391" s="2"/>
    </x:row>
    <x:row r="2392" ht="22" customHeight="1">
      <x:c r="A2392" s="2" t="n">
        <x:v>2386</x:v>
      </x:c>
      <x:c r="B2392" s="79" t="n">
        <x:v>-0.06856507474609791</x:v>
      </x:c>
      <x:c r="C2392" s="46" t="n">
        <x:f>B2392^2</x:f>
        <x:v>0.004701169474937993</x:v>
      </x:c>
      <x:c r="D2392" s="47" t="n">
        <x:f>'Datos'!$B$26^3/3</x:f>
        <x:v>0.3333333333333333</x:v>
      </x:c>
      <x:c r="E2392" s="46" t="n">
        <x:f>D2392*(C2392-1)</x:f>
        <x:v>-0.3317662768416873</x:v>
      </x:c>
      <x:c r="F2392" s="2"/>
      <x:c r="G2392" s="2"/>
      <x:c r="H2392" s="2"/>
    </x:row>
    <x:row r="2393" ht="22" customHeight="1">
      <x:c r="A2393" s="2" t="n">
        <x:v>2387</x:v>
      </x:c>
      <x:c r="B2393" s="79" t="n">
        <x:v>0.8831977564924796</x:v>
      </x:c>
      <x:c r="C2393" s="46" t="n">
        <x:f>B2393^2</x:f>
        <x:v>0.7800382770733492</x:v>
      </x:c>
      <x:c r="D2393" s="47" t="n">
        <x:f>'Datos'!$B$26^3/3</x:f>
        <x:v>0.3333333333333333</x:v>
      </x:c>
      <x:c r="E2393" s="46" t="n">
        <x:f>D2393*(C2393-1)</x:f>
        <x:v>-0.07332057430888361</x:v>
      </x:c>
      <x:c r="F2393" s="2"/>
      <x:c r="G2393" s="2"/>
      <x:c r="H2393" s="2"/>
    </x:row>
    <x:row r="2394" ht="22" customHeight="1">
      <x:c r="A2394" s="2" t="n">
        <x:v>2388</x:v>
      </x:c>
      <x:c r="B2394" s="79" t="n">
        <x:v>-0.6893227565079171</x:v>
      </x:c>
      <x:c r="C2394" s="46" t="n">
        <x:f>B2394^2</x:f>
        <x:v>0.47516586263967314</x:v>
      </x:c>
      <x:c r="D2394" s="47" t="n">
        <x:f>'Datos'!$B$26^3/3</x:f>
        <x:v>0.3333333333333333</x:v>
      </x:c>
      <x:c r="E2394" s="46" t="n">
        <x:f>D2394*(C2394-1)</x:f>
        <x:v>-0.17494471245344229</x:v>
      </x:c>
      <x:c r="F2394" s="2"/>
      <x:c r="G2394" s="2"/>
      <x:c r="H2394" s="2"/>
    </x:row>
    <x:row r="2395" ht="22" customHeight="1">
      <x:c r="A2395" s="2" t="n">
        <x:v>2389</x:v>
      </x:c>
      <x:c r="B2395" s="79" t="n">
        <x:v>-0.6318894731193649</x:v>
      </x:c>
      <x:c r="C2395" s="46" t="n">
        <x:f>B2395^2</x:f>
        <x:v>0.39928430623906863</x:v>
      </x:c>
      <x:c r="D2395" s="47" t="n">
        <x:f>'Datos'!$B$26^3/3</x:f>
        <x:v>0.3333333333333333</x:v>
      </x:c>
      <x:c r="E2395" s="46" t="n">
        <x:f>D2395*(C2395-1)</x:f>
        <x:v>-0.2002385645869771</x:v>
      </x:c>
      <x:c r="F2395" s="2"/>
      <x:c r="G2395" s="2"/>
      <x:c r="H2395" s="2"/>
    </x:row>
    <x:row r="2396" ht="22" customHeight="1">
      <x:c r="A2396" s="2" t="n">
        <x:v>2390</x:v>
      </x:c>
      <x:c r="B2396" s="79" t="n">
        <x:v>1.0211552463535347</x:v>
      </x:c>
      <x:c r="C2396" s="46" t="n">
        <x:f>B2396^2</x:f>
        <x:v>1.0427580371553482</x:v>
      </x:c>
      <x:c r="D2396" s="47" t="n">
        <x:f>'Datos'!$B$26^3/3</x:f>
        <x:v>0.3333333333333333</x:v>
      </x:c>
      <x:c r="E2396" s="46" t="n">
        <x:f>D2396*(C2396-1)</x:f>
        <x:v>0.014252679051782735</x:v>
      </x:c>
      <x:c r="F2396" s="2"/>
      <x:c r="G2396" s="2"/>
      <x:c r="H2396" s="2"/>
    </x:row>
    <x:row r="2397" ht="22" customHeight="1">
      <x:c r="A2397" s="2" t="n">
        <x:v>2391</x:v>
      </x:c>
      <x:c r="B2397" s="79" t="n">
        <x:v>-0.29090271020906083</x:v>
      </x:c>
      <x:c r="C2397" s="46" t="n">
        <x:f>B2397^2</x:f>
        <x:v>0.08462438680697683</x:v>
      </x:c>
      <x:c r="D2397" s="47" t="n">
        <x:f>'Datos'!$B$26^3/3</x:f>
        <x:v>0.3333333333333333</x:v>
      </x:c>
      <x:c r="E2397" s="46" t="n">
        <x:f>D2397*(C2397-1)</x:f>
        <x:v>-0.3051252043976744</x:v>
      </x:c>
      <x:c r="F2397" s="2"/>
      <x:c r="G2397" s="2"/>
      <x:c r="H2397" s="2"/>
    </x:row>
    <x:row r="2398" ht="22" customHeight="1">
      <x:c r="A2398" s="2" t="n">
        <x:v>2392</x:v>
      </x:c>
      <x:c r="B2398" s="79" t="n">
        <x:v>1.0737787630627962</x:v>
      </x:c>
      <x:c r="C2398" s="46" t="n">
        <x:f>B2398^2</x:f>
        <x:v>1.1530008320046685</x:v>
      </x:c>
      <x:c r="D2398" s="47" t="n">
        <x:f>'Datos'!$B$26^3/3</x:f>
        <x:v>0.3333333333333333</x:v>
      </x:c>
      <x:c r="E2398" s="46" t="n">
        <x:f>D2398*(C2398-1)</x:f>
        <x:v>0.0510002773348895</x:v>
      </x:c>
      <x:c r="F2398" s="2"/>
      <x:c r="G2398" s="2"/>
      <x:c r="H2398" s="2"/>
    </x:row>
    <x:row r="2399" ht="22" customHeight="1">
      <x:c r="A2399" s="2" t="n">
        <x:v>2393</x:v>
      </x:c>
      <x:c r="B2399" s="79" t="n">
        <x:v>1.1404098564359262</x:v>
      </x:c>
      <x:c r="C2399" s="46" t="n">
        <x:f>B2399^2</x:f>
        <x:v>1.3005346406562097</x:v>
      </x:c>
      <x:c r="D2399" s="47" t="n">
        <x:f>'Datos'!$B$26^3/3</x:f>
        <x:v>0.3333333333333333</x:v>
      </x:c>
      <x:c r="E2399" s="46" t="n">
        <x:f>D2399*(C2399-1)</x:f>
        <x:v>0.1001782135520699</x:v>
      </x:c>
      <x:c r="F2399" s="2"/>
      <x:c r="G2399" s="2"/>
      <x:c r="H2399" s="2"/>
    </x:row>
    <x:row r="2400" ht="22" customHeight="1">
      <x:c r="A2400" s="2" t="n">
        <x:v>2394</x:v>
      </x:c>
      <x:c r="B2400" s="79" t="n">
        <x:v>-1.0499387495822747</x:v>
      </x:c>
      <x:c r="C2400" s="46" t="n">
        <x:f>B2400^2</x:f>
        <x:v>1.1023713778743907</x:v>
      </x:c>
      <x:c r="D2400" s="47" t="n">
        <x:f>'Datos'!$B$26^3/3</x:f>
        <x:v>0.3333333333333333</x:v>
      </x:c>
      <x:c r="E2400" s="46" t="n">
        <x:f>D2400*(C2400-1)</x:f>
        <x:v>0.03412379262479688</x:v>
      </x:c>
      <x:c r="F2400" s="2"/>
      <x:c r="G2400" s="2"/>
      <x:c r="H2400" s="2"/>
    </x:row>
    <x:row r="2401" ht="22" customHeight="1">
      <x:c r="A2401" s="2" t="n">
        <x:v>2395</x:v>
      </x:c>
      <x:c r="B2401" s="79" t="n">
        <x:v>1.0540852641718153</x:v>
      </x:c>
      <x:c r="C2401" s="46" t="n">
        <x:f>B2401^2</x:f>
        <x:v>1.1110957441441656</x:v>
      </x:c>
      <x:c r="D2401" s="47" t="n">
        <x:f>'Datos'!$B$26^3/3</x:f>
        <x:v>0.3333333333333333</x:v>
      </x:c>
      <x:c r="E2401" s="46" t="n">
        <x:f>D2401*(C2401-1)</x:f>
        <x:v>0.03703191471472185</x:v>
      </x:c>
      <x:c r="F2401" s="2"/>
      <x:c r="G2401" s="2"/>
      <x:c r="H2401" s="2"/>
    </x:row>
    <x:row r="2402" ht="22" customHeight="1">
      <x:c r="A2402" s="2" t="n">
        <x:v>2396</x:v>
      </x:c>
      <x:c r="B2402" s="79" t="n">
        <x:v>0.06540120271407737</x:v>
      </x:c>
      <x:c r="C2402" s="46" t="n">
        <x:f>B2402^2</x:f>
        <x:v>0.004277317316447841</x:v>
      </x:c>
      <x:c r="D2402" s="47" t="n">
        <x:f>'Datos'!$B$26^3/3</x:f>
        <x:v>0.3333333333333333</x:v>
      </x:c>
      <x:c r="E2402" s="46" t="n">
        <x:f>D2402*(C2402-1)</x:f>
        <x:v>-0.33190756089451734</x:v>
      </x:c>
      <x:c r="F2402" s="2"/>
      <x:c r="G2402" s="2"/>
      <x:c r="H2402" s="2"/>
    </x:row>
    <x:row r="2403" ht="22" customHeight="1">
      <x:c r="A2403" s="2" t="n">
        <x:v>2397</x:v>
      </x:c>
      <x:c r="B2403" s="79" t="n">
        <x:v>0.9017600898091526</x:v>
      </x:c>
      <x:c r="C2403" s="46" t="n">
        <x:f>B2403^2</x:f>
        <x:v>0.8131712595726109</x:v>
      </x:c>
      <x:c r="D2403" s="47" t="n">
        <x:f>'Datos'!$B$26^3/3</x:f>
        <x:v>0.3333333333333333</x:v>
      </x:c>
      <x:c r="E2403" s="46" t="n">
        <x:f>D2403*(C2403-1)</x:f>
        <x:v>-0.06227624680912969</x:v>
      </x:c>
      <x:c r="F2403" s="2"/>
      <x:c r="G2403" s="2"/>
      <x:c r="H2403" s="2"/>
    </x:row>
    <x:row r="2404" ht="22" customHeight="1">
      <x:c r="A2404" s="2" t="n">
        <x:v>2398</x:v>
      </x:c>
      <x:c r="B2404" s="79" t="n">
        <x:v>-0.41571964105384573</x:v>
      </x:c>
      <x:c r="C2404" s="46" t="n">
        <x:f>B2404^2</x:f>
        <x:v>0.17282281995793833</x:v>
      </x:c>
      <x:c r="D2404" s="47" t="n">
        <x:f>'Datos'!$B$26^3/3</x:f>
        <x:v>0.3333333333333333</x:v>
      </x:c>
      <x:c r="E2404" s="46" t="n">
        <x:f>D2404*(C2404-1)</x:f>
        <x:v>-0.2757257266806872</x:v>
      </x:c>
      <x:c r="F2404" s="2"/>
      <x:c r="G2404" s="2"/>
      <x:c r="H2404" s="2"/>
    </x:row>
    <x:row r="2405" ht="22" customHeight="1">
      <x:c r="A2405" s="2" t="n">
        <x:v>2399</x:v>
      </x:c>
      <x:c r="B2405" s="79" t="n">
        <x:v>-0.11894759958976564</x:v>
      </x:c>
      <x:c r="C2405" s="46" t="n">
        <x:f>B2405^2</x:f>
        <x:v>0.014148531448167216</x:v>
      </x:c>
      <x:c r="D2405" s="47" t="n">
        <x:f>'Datos'!$B$26^3/3</x:f>
        <x:v>0.3333333333333333</x:v>
      </x:c>
      <x:c r="E2405" s="46" t="n">
        <x:f>D2405*(C2405-1)</x:f>
        <x:v>-0.32861715618394427</x:v>
      </x:c>
      <x:c r="F2405" s="2"/>
      <x:c r="G2405" s="2"/>
      <x:c r="H2405" s="2"/>
    </x:row>
    <x:row r="2406" ht="22" customHeight="1">
      <x:c r="A2406" s="2" t="n">
        <x:v>2400</x:v>
      </x:c>
      <x:c r="B2406" s="79" t="n">
        <x:v>1.2720181420535304</x:v>
      </x:c>
      <x:c r="C2406" s="46" t="n">
        <x:f>B2406^2</x:f>
        <x:v>1.6180301537133153</x:v>
      </x:c>
      <x:c r="D2406" s="47" t="n">
        <x:f>'Datos'!$B$26^3/3</x:f>
        <x:v>0.3333333333333333</x:v>
      </x:c>
      <x:c r="E2406" s="46" t="n">
        <x:f>D2406*(C2406-1)</x:f>
        <x:v>0.20601005123777175</x:v>
      </x:c>
      <x:c r="F2406" s="2"/>
      <x:c r="G2406" s="2"/>
      <x:c r="H2406" s="2"/>
    </x:row>
    <x:row r="2407" ht="22" customHeight="1">
      <x:c r="A2407" s="2" t="n">
        <x:v>2401</x:v>
      </x:c>
      <x:c r="B2407" s="79" t="n">
        <x:v>-0.7153266306988502</x:v>
      </x:c>
      <x:c r="C2407" s="46" t="n">
        <x:f>B2407^2</x:f>
        <x:v>0.5116921885869692</x:v>
      </x:c>
      <x:c r="D2407" s="47" t="n">
        <x:f>'Datos'!$B$26^3/3</x:f>
        <x:v>0.3333333333333333</x:v>
      </x:c>
      <x:c r="E2407" s="46" t="n">
        <x:f>D2407*(C2407-1)</x:f>
        <x:v>-0.16276927047101025</x:v>
      </x:c>
      <x:c r="F2407" s="2"/>
      <x:c r="G2407" s="2"/>
      <x:c r="H2407" s="2"/>
    </x:row>
    <x:row r="2408" ht="22" customHeight="1">
      <x:c r="A2408" s="2" t="n">
        <x:v>2402</x:v>
      </x:c>
      <x:c r="B2408" s="79" t="n">
        <x:v>-0.5559529040153572</x:v>
      </x:c>
      <x:c r="C2408" s="46" t="n">
        <x:f>B2408^2</x:f>
        <x:v>0.309083631483109</x:v>
      </x:c>
      <x:c r="D2408" s="47" t="n">
        <x:f>'Datos'!$B$26^3/3</x:f>
        <x:v>0.3333333333333333</x:v>
      </x:c>
      <x:c r="E2408" s="46" t="n">
        <x:f>D2408*(C2408-1)</x:f>
        <x:v>-0.23030545617229697</x:v>
      </x:c>
      <x:c r="F2408" s="2"/>
      <x:c r="G2408" s="2"/>
      <x:c r="H2408" s="2"/>
    </x:row>
    <x:row r="2409" ht="22" customHeight="1">
      <x:c r="A2409" s="2" t="n">
        <x:v>2403</x:v>
      </x:c>
      <x:c r="B2409" s="79" t="n">
        <x:v>1.2254269363037007</x:v>
      </x:c>
      <x:c r="C2409" s="46" t="n">
        <x:f>B2409^2</x:f>
        <x:v>1.501671176218674</x:v>
      </x:c>
      <x:c r="D2409" s="47" t="n">
        <x:f>'Datos'!$B$26^3/3</x:f>
        <x:v>0.3333333333333333</x:v>
      </x:c>
      <x:c r="E2409" s="46" t="n">
        <x:f>D2409*(C2409-1)</x:f>
        <x:v>0.16722372540622468</x:v>
      </x:c>
      <x:c r="F2409" s="2"/>
      <x:c r="G2409" s="2"/>
      <x:c r="H2409" s="2"/>
    </x:row>
    <x:row r="2410" ht="22" customHeight="1">
      <x:c r="A2410" s="2" t="n">
        <x:v>2404</x:v>
      </x:c>
      <x:c r="B2410" s="79" t="n">
        <x:v>-3.3390469825714773</x:v>
      </x:c>
      <x:c r="C2410" s="46" t="n">
        <x:f>B2410^2</x:f>
        <x:v>11.149234751819687</x:v>
      </x:c>
      <x:c r="D2410" s="47" t="n">
        <x:f>'Datos'!$B$26^3/3</x:f>
        <x:v>0.3333333333333333</x:v>
      </x:c>
      <x:c r="E2410" s="46" t="n">
        <x:f>D2410*(C2410-1)</x:f>
        <x:v>3.3830782506065624</x:v>
      </x:c>
      <x:c r="F2410" s="2"/>
      <x:c r="G2410" s="2"/>
      <x:c r="H2410" s="2"/>
    </x:row>
    <x:row r="2411" ht="22" customHeight="1">
      <x:c r="A2411" s="2" t="n">
        <x:v>2405</x:v>
      </x:c>
      <x:c r="B2411" s="79" t="n">
        <x:v>1.509789071022818</x:v>
      </x:c>
      <x:c r="C2411" s="46" t="n">
        <x:f>B2411^2</x:f>
        <x:v>2.2794630389799435</x:v>
      </x:c>
      <x:c r="D2411" s="47" t="n">
        <x:f>'Datos'!$B$26^3/3</x:f>
        <x:v>0.3333333333333333</x:v>
      </x:c>
      <x:c r="E2411" s="46" t="n">
        <x:f>D2411*(C2411-1)</x:f>
        <x:v>0.42648767965998113</x:v>
      </x:c>
      <x:c r="F2411" s="2"/>
      <x:c r="G2411" s="2"/>
      <x:c r="H2411" s="2"/>
    </x:row>
    <x:row r="2412" ht="22" customHeight="1">
      <x:c r="A2412" s="2" t="n">
        <x:v>2406</x:v>
      </x:c>
      <x:c r="B2412" s="79" t="n">
        <x:v>0.6832709445662273</x:v>
      </x:c>
      <x:c r="C2412" s="46" t="n">
        <x:f>B2412^2</x:f>
        <x:v>0.46685918368842444</x:v>
      </x:c>
      <x:c r="D2412" s="47" t="n">
        <x:f>'Datos'!$B$26^3/3</x:f>
        <x:v>0.3333333333333333</x:v>
      </x:c>
      <x:c r="E2412" s="46" t="n">
        <x:f>D2412*(C2412-1)</x:f>
        <x:v>-0.17771360543719186</x:v>
      </x:c>
      <x:c r="F2412" s="2"/>
      <x:c r="G2412" s="2"/>
      <x:c r="H2412" s="2"/>
    </x:row>
    <x:row r="2413" ht="22" customHeight="1">
      <x:c r="A2413" s="2" t="n">
        <x:v>2407</x:v>
      </x:c>
      <x:c r="B2413" s="79" t="n">
        <x:v>-0.5055110001099998</x:v>
      </x:c>
      <x:c r="C2413" s="46" t="n">
        <x:f>B2413^2</x:f>
        <x:v>0.25554137123221227</x:v>
      </x:c>
      <x:c r="D2413" s="47" t="n">
        <x:f>'Datos'!$B$26^3/3</x:f>
        <x:v>0.3333333333333333</x:v>
      </x:c>
      <x:c r="E2413" s="46" t="n">
        <x:f>D2413*(C2413-1)</x:f>
        <x:v>-0.24815287625592922</x:v>
      </x:c>
      <x:c r="F2413" s="2"/>
      <x:c r="G2413" s="2"/>
      <x:c r="H2413" s="2"/>
    </x:row>
    <x:row r="2414" ht="22" customHeight="1">
      <x:c r="A2414" s="2" t="n">
        <x:v>2408</x:v>
      </x:c>
      <x:c r="B2414" s="79" t="n">
        <x:v>2.1477929057460425</x:v>
      </x:c>
      <x:c r="C2414" s="46" t="n">
        <x:f>B2414^2</x:f>
        <x:v>4.6130143659730285</x:v>
      </x:c>
      <x:c r="D2414" s="47" t="n">
        <x:f>'Datos'!$B$26^3/3</x:f>
        <x:v>0.3333333333333333</x:v>
      </x:c>
      <x:c r="E2414" s="46" t="n">
        <x:f>D2414*(C2414-1)</x:f>
        <x:v>1.2043381219910094</x:v>
      </x:c>
      <x:c r="F2414" s="2"/>
      <x:c r="G2414" s="2"/>
      <x:c r="H2414" s="2"/>
    </x:row>
    <x:row r="2415" ht="22" customHeight="1">
      <x:c r="A2415" s="2" t="n">
        <x:v>2409</x:v>
      </x:c>
      <x:c r="B2415" s="79" t="n">
        <x:v>-0.5300083803913218</x:v>
      </x:c>
      <x:c r="C2415" s="46" t="n">
        <x:f>B2415^2</x:f>
        <x:v>0.28090888328503205</x:v>
      </x:c>
      <x:c r="D2415" s="47" t="n">
        <x:f>'Datos'!$B$26^3/3</x:f>
        <x:v>0.3333333333333333</x:v>
      </x:c>
      <x:c r="E2415" s="46" t="n">
        <x:f>D2415*(C2415-1)</x:f>
        <x:v>-0.2396970389049893</x:v>
      </x:c>
      <x:c r="F2415" s="2"/>
      <x:c r="G2415" s="2"/>
      <x:c r="H2415" s="2"/>
    </x:row>
    <x:row r="2416" ht="22" customHeight="1">
      <x:c r="A2416" s="2" t="n">
        <x:v>2410</x:v>
      </x:c>
      <x:c r="B2416" s="79" t="n">
        <x:v>2.6526277089743364</x:v>
      </x:c>
      <x:c r="C2416" s="46" t="n">
        <x:f>B2416^2</x:f>
        <x:v>7.0364337624184365</x:v>
      </x:c>
      <x:c r="D2416" s="47" t="n">
        <x:f>'Datos'!$B$26^3/3</x:f>
        <x:v>0.3333333333333333</x:v>
      </x:c>
      <x:c r="E2416" s="46" t="n">
        <x:f>D2416*(C2416-1)</x:f>
        <x:v>2.012144587472812</x:v>
      </x:c>
      <x:c r="F2416" s="2"/>
      <x:c r="G2416" s="2"/>
      <x:c r="H2416" s="2"/>
    </x:row>
    <x:row r="2417" ht="22" customHeight="1">
      <x:c r="A2417" s="2" t="n">
        <x:v>2411</x:v>
      </x:c>
      <x:c r="B2417" s="79" t="n">
        <x:v>-0.44114326562952383</x:v>
      </x:c>
      <x:c r="C2417" s="46" t="n">
        <x:f>B2417^2</x:f>
        <x:v>0.19460738081028062</x:v>
      </x:c>
      <x:c r="D2417" s="47" t="n">
        <x:f>'Datos'!$B$26^3/3</x:f>
        <x:v>0.3333333333333333</x:v>
      </x:c>
      <x:c r="E2417" s="46" t="n">
        <x:f>D2417*(C2417-1)</x:f>
        <x:v>-0.2684642063965731</x:v>
      </x:c>
      <x:c r="F2417" s="2"/>
      <x:c r="G2417" s="2"/>
      <x:c r="H2417" s="2"/>
    </x:row>
    <x:row r="2418" ht="22" customHeight="1">
      <x:c r="A2418" s="2" t="n">
        <x:v>2412</x:v>
      </x:c>
      <x:c r="B2418" s="79" t="n">
        <x:v>0.2501103889713306</x:v>
      </x:c>
      <x:c r="C2418" s="46" t="n">
        <x:f>B2418^2</x:f>
        <x:v>0.06255520667139028</x:v>
      </x:c>
      <x:c r="D2418" s="47" t="n">
        <x:f>'Datos'!$B$26^3/3</x:f>
        <x:v>0.3333333333333333</x:v>
      </x:c>
      <x:c r="E2418" s="46" t="n">
        <x:f>D2418*(C2418-1)</x:f>
        <x:v>-0.3124815977762032</x:v>
      </x:c>
      <x:c r="F2418" s="2"/>
      <x:c r="G2418" s="2"/>
      <x:c r="H2418" s="2"/>
    </x:row>
    <x:row r="2419" ht="22" customHeight="1">
      <x:c r="A2419" s="2" t="n">
        <x:v>2413</x:v>
      </x:c>
      <x:c r="B2419" s="79" t="n">
        <x:v>-0.05930196859878295</x:v>
      </x:c>
      <x:c r="C2419" s="46" t="n">
        <x:f>B2419^2</x:f>
        <x:v>0.003516723479691039</x:v>
      </x:c>
      <x:c r="D2419" s="47" t="n">
        <x:f>'Datos'!$B$26^3/3</x:f>
        <x:v>0.3333333333333333</x:v>
      </x:c>
      <x:c r="E2419" s="46" t="n">
        <x:f>D2419*(C2419-1)</x:f>
        <x:v>-0.3321610921734363</x:v>
      </x:c>
      <x:c r="F2419" s="2"/>
      <x:c r="G2419" s="2"/>
      <x:c r="H2419" s="2"/>
    </x:row>
    <x:row r="2420" ht="22" customHeight="1">
      <x:c r="A2420" s="2" t="n">
        <x:v>2414</x:v>
      </x:c>
      <x:c r="B2420" s="79" t="n">
        <x:v>-0.03531916062156116</x:v>
      </x:c>
      <x:c r="C2420" s="46" t="n">
        <x:f>B2420^2</x:f>
        <x:v>0.0012474431070116365</x:v>
      </x:c>
      <x:c r="D2420" s="47" t="n">
        <x:f>'Datos'!$B$26^3/3</x:f>
        <x:v>0.3333333333333333</x:v>
      </x:c>
      <x:c r="E2420" s="46" t="n">
        <x:f>D2420*(C2420-1)</x:f>
        <x:v>-0.3329175189643294</x:v>
      </x:c>
      <x:c r="F2420" s="2"/>
      <x:c r="G2420" s="2"/>
      <x:c r="H2420" s="2"/>
    </x:row>
    <x:row r="2421" ht="22" customHeight="1">
      <x:c r="A2421" s="2" t="n">
        <x:v>2415</x:v>
      </x:c>
      <x:c r="B2421" s="79" t="n">
        <x:v>0.3311625474056187</x:v>
      </x:c>
      <x:c r="C2421" s="46" t="n">
        <x:f>B2421^2</x:f>
        <x:v>0.10966863280417864</x:v>
      </x:c>
      <x:c r="D2421" s="47" t="n">
        <x:f>'Datos'!$B$26^3/3</x:f>
        <x:v>0.3333333333333333</x:v>
      </x:c>
      <x:c r="E2421" s="46" t="n">
        <x:f>D2421*(C2421-1)</x:f>
        <x:v>-0.2967771223986071</x:v>
      </x:c>
      <x:c r="F2421" s="2"/>
      <x:c r="G2421" s="2"/>
      <x:c r="H2421" s="2"/>
    </x:row>
    <x:row r="2422" ht="22" customHeight="1">
      <x:c r="A2422" s="2" t="n">
        <x:v>2416</x:v>
      </x:c>
      <x:c r="B2422" s="79" t="n">
        <x:v>0.6857354792707948</x:v>
      </x:c>
      <x:c r="C2422" s="46" t="n">
        <x:f>B2422^2</x:f>
        <x:v>0.4702331475307467</x:v>
      </x:c>
      <x:c r="D2422" s="47" t="n">
        <x:f>'Datos'!$B$26^3/3</x:f>
        <x:v>0.3333333333333333</x:v>
      </x:c>
      <x:c r="E2422" s="46" t="n">
        <x:f>D2422*(C2422-1)</x:f>
        <x:v>-0.17658895082308446</x:v>
      </x:c>
      <x:c r="F2422" s="2"/>
      <x:c r="G2422" s="2"/>
      <x:c r="H2422" s="2"/>
    </x:row>
    <x:row r="2423" ht="22" customHeight="1">
      <x:c r="A2423" s="2" t="n">
        <x:v>2417</x:v>
      </x:c>
      <x:c r="B2423" s="79" t="n">
        <x:v>0.41172651590614173</x:v>
      </x:c>
      <x:c r="C2423" s="46" t="n">
        <x:f>B2423^2</x:f>
        <x:v>0.1695187239002104</x:v>
      </x:c>
      <x:c r="D2423" s="47" t="n">
        <x:f>'Datos'!$B$26^3/3</x:f>
        <x:v>0.3333333333333333</x:v>
      </x:c>
      <x:c r="E2423" s="46" t="n">
        <x:f>D2423*(C2423-1)</x:f>
        <x:v>-0.27682709203326317</x:v>
      </x:c>
      <x:c r="F2423" s="2"/>
      <x:c r="G2423" s="2"/>
      <x:c r="H2423" s="2"/>
    </x:row>
    <x:row r="2424" ht="22" customHeight="1">
      <x:c r="A2424" s="2" t="n">
        <x:v>2418</x:v>
      </x:c>
      <x:c r="B2424" s="79" t="n">
        <x:v>0.0911098535833632</x:v>
      </x:c>
      <x:c r="C2424" s="46" t="n">
        <x:f>B2424^2</x:f>
        <x:v>0.00830100541998188</x:v>
      </x:c>
      <x:c r="D2424" s="47" t="n">
        <x:f>'Datos'!$B$26^3/3</x:f>
        <x:v>0.3333333333333333</x:v>
      </x:c>
      <x:c r="E2424" s="46" t="n">
        <x:f>D2424*(C2424-1)</x:f>
        <x:v>-0.3305663315266727</x:v>
      </x:c>
      <x:c r="F2424" s="2"/>
      <x:c r="G2424" s="2"/>
      <x:c r="H2424" s="2"/>
    </x:row>
    <x:row r="2425" ht="22" customHeight="1">
      <x:c r="A2425" s="2" t="n">
        <x:v>2419</x:v>
      </x:c>
      <x:c r="B2425" s="79" t="n">
        <x:v>-1.0903965439897703</x:v>
      </x:c>
      <x:c r="C2425" s="46" t="n">
        <x:f>B2425^2</x:f>
        <x:v>1.188964623144835</x:v>
      </x:c>
      <x:c r="D2425" s="47" t="n">
        <x:f>'Datos'!$B$26^3/3</x:f>
        <x:v>0.3333333333333333</x:v>
      </x:c>
      <x:c r="E2425" s="46" t="n">
        <x:f>D2425*(C2425-1)</x:f>
        <x:v>0.06298820771494498</x:v>
      </x:c>
      <x:c r="F2425" s="2"/>
      <x:c r="G2425" s="2"/>
      <x:c r="H2425" s="2"/>
    </x:row>
    <x:row r="2426" ht="22" customHeight="1">
      <x:c r="A2426" s="2" t="n">
        <x:v>2420</x:v>
      </x:c>
      <x:c r="B2426" s="79" t="n">
        <x:v>0.8199317168757839</x:v>
      </x:c>
      <x:c r="C2426" s="46" t="n">
        <x:f>B2426^2</x:f>
        <x:v>0.6722880203388707</x:v>
      </x:c>
      <x:c r="D2426" s="47" t="n">
        <x:f>'Datos'!$B$26^3/3</x:f>
        <x:v>0.3333333333333333</x:v>
      </x:c>
      <x:c r="E2426" s="46" t="n">
        <x:f>D2426*(C2426-1)</x:f>
        <x:v>-0.10923732655370977</x:v>
      </x:c>
      <x:c r="F2426" s="2"/>
      <x:c r="G2426" s="2"/>
      <x:c r="H2426" s="2"/>
    </x:row>
    <x:row r="2427" ht="22" customHeight="1">
      <x:c r="A2427" s="2" t="n">
        <x:v>2421</x:v>
      </x:c>
      <x:c r="B2427" s="79" t="n">
        <x:v>-0.21830387476532806</x:v>
      </x:c>
      <x:c r="C2427" s="46" t="n">
        <x:f>B2427^2</x:f>
        <x:v>0.04765658173755604</x:v>
      </x:c>
      <x:c r="D2427" s="47" t="n">
        <x:f>'Datos'!$B$26^3/3</x:f>
        <x:v>0.3333333333333333</x:v>
      </x:c>
      <x:c r="E2427" s="46" t="n">
        <x:f>D2427*(C2427-1)</x:f>
        <x:v>-0.3174478060874813</x:v>
      </x:c>
      <x:c r="F2427" s="2"/>
      <x:c r="G2427" s="2"/>
      <x:c r="H2427" s="2"/>
    </x:row>
    <x:row r="2428" ht="22" customHeight="1">
      <x:c r="A2428" s="2" t="n">
        <x:v>2422</x:v>
      </x:c>
      <x:c r="B2428" s="79" t="n">
        <x:v>1.0353896404228078</x:v>
      </x:c>
      <x:c r="C2428" s="46" t="n">
        <x:f>B2428^2</x:f>
        <x:v>1.0720317074948713</x:v>
      </x:c>
      <x:c r="D2428" s="47" t="n">
        <x:f>'Datos'!$B$26^3/3</x:f>
        <x:v>0.3333333333333333</x:v>
      </x:c>
      <x:c r="E2428" s="46" t="n">
        <x:f>D2428*(C2428-1)</x:f>
        <x:v>0.024010569164957103</x:v>
      </x:c>
      <x:c r="F2428" s="2"/>
      <x:c r="G2428" s="2"/>
      <x:c r="H2428" s="2"/>
    </x:row>
    <x:row r="2429" ht="22" customHeight="1">
      <x:c r="A2429" s="2" t="n">
        <x:v>2423</x:v>
      </x:c>
      <x:c r="B2429" s="79" t="n">
        <x:v>0.13346745826671627</x:v>
      </x:c>
      <x:c r="C2429" s="46" t="n">
        <x:f>B2429^2</x:f>
        <x:v>0.01781356241617765</x:v>
      </x:c>
      <x:c r="D2429" s="47" t="n">
        <x:f>'Datos'!$B$26^3/3</x:f>
        <x:v>0.3333333333333333</x:v>
      </x:c>
      <x:c r="E2429" s="46" t="n">
        <x:f>D2429*(C2429-1)</x:f>
        <x:v>-0.32739547919460743</x:v>
      </x:c>
      <x:c r="F2429" s="2"/>
      <x:c r="G2429" s="2"/>
      <x:c r="H2429" s="2"/>
    </x:row>
    <x:row r="2430" ht="22" customHeight="1">
      <x:c r="A2430" s="2" t="n">
        <x:v>2424</x:v>
      </x:c>
      <x:c r="B2430" s="79" t="n">
        <x:v>0.15269147743412032</x:v>
      </x:c>
      <x:c r="C2430" s="46" t="n">
        <x:f>B2430^2</x:f>
        <x:v>0.023314687281014473</x:v>
      </x:c>
      <x:c r="D2430" s="47" t="n">
        <x:f>'Datos'!$B$26^3/3</x:f>
        <x:v>0.3333333333333333</x:v>
      </x:c>
      <x:c r="E2430" s="46" t="n">
        <x:f>D2430*(C2430-1)</x:f>
        <x:v>-0.3255617709063285</x:v>
      </x:c>
      <x:c r="F2430" s="2"/>
      <x:c r="G2430" s="2"/>
      <x:c r="H2430" s="2"/>
    </x:row>
    <x:row r="2431" ht="22" customHeight="1">
      <x:c r="A2431" s="2" t="n">
        <x:v>2425</x:v>
      </x:c>
      <x:c r="B2431" s="79" t="n">
        <x:v>-0.13626820206078857</x:v>
      </x:c>
      <x:c r="C2431" s="46" t="n">
        <x:f>B2431^2</x:f>
        <x:v>0.018569022892879903</x:v>
      </x:c>
      <x:c r="D2431" s="47" t="n">
        <x:f>'Datos'!$B$26^3/3</x:f>
        <x:v>0.3333333333333333</x:v>
      </x:c>
      <x:c r="E2431" s="46" t="n">
        <x:f>D2431*(C2431-1)</x:f>
        <x:v>-0.3271436590357067</x:v>
      </x:c>
      <x:c r="F2431" s="2"/>
      <x:c r="G2431" s="2"/>
      <x:c r="H2431" s="2"/>
    </x:row>
    <x:row r="2432" ht="22" customHeight="1">
      <x:c r="A2432" s="2" t="n">
        <x:v>2426</x:v>
      </x:c>
      <x:c r="B2432" s="79" t="n">
        <x:v>1.0994490527449055</x:v>
      </x:c>
      <x:c r="C2432" s="46" t="n">
        <x:f>B2432^2</x:f>
        <x:v>1.20878821958167</x:v>
      </x:c>
      <x:c r="D2432" s="47" t="n">
        <x:f>'Datos'!$B$26^3/3</x:f>
        <x:v>0.3333333333333333</x:v>
      </x:c>
      <x:c r="E2432" s="46" t="n">
        <x:f>D2432*(C2432-1)</x:f>
        <x:v>0.06959607319388997</x:v>
      </x:c>
      <x:c r="F2432" s="2"/>
      <x:c r="G2432" s="2"/>
      <x:c r="H2432" s="2"/>
    </x:row>
    <x:row r="2433" ht="22" customHeight="1">
      <x:c r="A2433" s="2" t="n">
        <x:v>2427</x:v>
      </x:c>
      <x:c r="B2433" s="79" t="n">
        <x:v>1.5451633731518843</x:v>
      </x:c>
      <x:c r="C2433" s="46" t="n">
        <x:f>B2433^2</x:f>
        <x:v>2.387529849730109</x:v>
      </x:c>
      <x:c r="D2433" s="47" t="n">
        <x:f>'Datos'!$B$26^3/3</x:f>
        <x:v>0.3333333333333333</x:v>
      </x:c>
      <x:c r="E2433" s="46" t="n">
        <x:f>D2433*(C2433-1)</x:f>
        <x:v>0.46250994991003636</x:v>
      </x:c>
      <x:c r="F2433" s="2"/>
      <x:c r="G2433" s="2"/>
      <x:c r="H2433" s="2"/>
    </x:row>
    <x:row r="2434" ht="22" customHeight="1">
      <x:c r="A2434" s="2" t="n">
        <x:v>2428</x:v>
      </x:c>
      <x:c r="B2434" s="79" t="n">
        <x:v>1.953909322456998</x:v>
      </x:c>
      <x:c r="C2434" s="46" t="n">
        <x:f>B2434^2</x:f>
        <x:v>3.8177616403843655</x:v>
      </x:c>
      <x:c r="D2434" s="47" t="n">
        <x:f>'Datos'!$B$26^3/3</x:f>
        <x:v>0.3333333333333333</x:v>
      </x:c>
      <x:c r="E2434" s="46" t="n">
        <x:f>D2434*(C2434-1)</x:f>
        <x:v>0.9392538801281218</x:v>
      </x:c>
      <x:c r="F2434" s="2"/>
      <x:c r="G2434" s="2"/>
      <x:c r="H2434" s="2"/>
    </x:row>
    <x:row r="2435" ht="22" customHeight="1">
      <x:c r="A2435" s="2" t="n">
        <x:v>2429</x:v>
      </x:c>
      <x:c r="B2435" s="79" t="n">
        <x:v>0.7770469835507324</x:v>
      </x:c>
      <x:c r="C2435" s="46" t="n">
        <x:f>B2435^2</x:f>
        <x:v>0.6038020146452923</x:v>
      </x:c>
      <x:c r="D2435" s="47" t="n">
        <x:f>'Datos'!$B$26^3/3</x:f>
        <x:v>0.3333333333333333</x:v>
      </x:c>
      <x:c r="E2435" s="46" t="n">
        <x:f>D2435*(C2435-1)</x:f>
        <x:v>-0.1320659951182359</x:v>
      </x:c>
      <x:c r="F2435" s="2"/>
      <x:c r="G2435" s="2"/>
      <x:c r="H2435" s="2"/>
    </x:row>
    <x:row r="2436" ht="22" customHeight="1">
      <x:c r="A2436" s="2" t="n">
        <x:v>2430</x:v>
      </x:c>
      <x:c r="B2436" s="79" t="n">
        <x:v>-0.8200663053548508</x:v>
      </x:c>
      <x:c r="C2436" s="46" t="n">
        <x:f>B2436^2</x:f>
        <x:v>0.6725087451783555</x:v>
      </x:c>
      <x:c r="D2436" s="47" t="n">
        <x:f>'Datos'!$B$26^3/3</x:f>
        <x:v>0.3333333333333333</x:v>
      </x:c>
      <x:c r="E2436" s="46" t="n">
        <x:f>D2436*(C2436-1)</x:f>
        <x:v>-0.10916375160721484</x:v>
      </x:c>
      <x:c r="F2436" s="2"/>
      <x:c r="G2436" s="2"/>
      <x:c r="H2436" s="2"/>
    </x:row>
    <x:row r="2437" ht="22" customHeight="1">
      <x:c r="A2437" s="2" t="n">
        <x:v>2431</x:v>
      </x:c>
      <x:c r="B2437" s="79" t="n">
        <x:v>1.27825686198855</x:v>
      </x:c>
      <x:c r="C2437" s="46" t="n">
        <x:f>B2437^2</x:f>
        <x:v>1.6339406052208147</x:v>
      </x:c>
      <x:c r="D2437" s="47" t="n">
        <x:f>'Datos'!$B$26^3/3</x:f>
        <x:v>0.3333333333333333</x:v>
      </x:c>
      <x:c r="E2437" s="46" t="n">
        <x:f>D2437*(C2437-1)</x:f>
        <x:v>0.2113135350736049</x:v>
      </x:c>
      <x:c r="F2437" s="2"/>
      <x:c r="G2437" s="2"/>
      <x:c r="H2437" s="2"/>
    </x:row>
    <x:row r="2438" ht="22" customHeight="1">
      <x:c r="A2438" s="2" t="n">
        <x:v>2432</x:v>
      </x:c>
      <x:c r="B2438" s="79" t="n">
        <x:v>0.5296857154440088</x:v>
      </x:c>
      <x:c r="C2438" s="46" t="n">
        <x:f>B2438^2</x:f>
        <x:v>0.28056695714543145</x:v>
      </x:c>
      <x:c r="D2438" s="47" t="n">
        <x:f>'Datos'!$B$26^3/3</x:f>
        <x:v>0.3333333333333333</x:v>
      </x:c>
      <x:c r="E2438" s="46" t="n">
        <x:f>D2438*(C2438-1)</x:f>
        <x:v>-0.23981101428485618</x:v>
      </x:c>
      <x:c r="F2438" s="2"/>
      <x:c r="G2438" s="2"/>
      <x:c r="H2438" s="2"/>
    </x:row>
    <x:row r="2439" ht="22" customHeight="1">
      <x:c r="A2439" s="2" t="n">
        <x:v>2433</x:v>
      </x:c>
      <x:c r="B2439" s="79" t="n">
        <x:v>-0.3074141399371189</x:v>
      </x:c>
      <x:c r="C2439" s="46" t="n">
        <x:f>B2439^2</x:f>
        <x:v>0.09450345343327853</x:v>
      </x:c>
      <x:c r="D2439" s="47" t="n">
        <x:f>'Datos'!$B$26^3/3</x:f>
        <x:v>0.3333333333333333</x:v>
      </x:c>
      <x:c r="E2439" s="46" t="n">
        <x:f>D2439*(C2439-1)</x:f>
        <x:v>-0.30183218218890717</x:v>
      </x:c>
      <x:c r="F2439" s="2"/>
      <x:c r="G2439" s="2"/>
      <x:c r="H2439" s="2"/>
    </x:row>
    <x:row r="2440" ht="22" customHeight="1">
      <x:c r="A2440" s="2" t="n">
        <x:v>2434</x:v>
      </x:c>
      <x:c r="B2440" s="79" t="n">
        <x:v>-1.016103384805374</x:v>
      </x:c>
      <x:c r="C2440" s="46" t="n">
        <x:f>B2440^2</x:f>
        <x:v>1.032466088612938</x:v>
      </x:c>
      <x:c r="D2440" s="47" t="n">
        <x:f>'Datos'!$B$26^3/3</x:f>
        <x:v>0.3333333333333333</x:v>
      </x:c>
      <x:c r="E2440" s="46" t="n">
        <x:f>D2440*(C2440-1)</x:f>
        <x:v>0.010822029537645994</x:v>
      </x:c>
      <x:c r="F2440" s="2"/>
      <x:c r="G2440" s="2"/>
      <x:c r="H2440" s="2"/>
    </x:row>
    <x:row r="2441" ht="22" customHeight="1">
      <x:c r="A2441" s="2" t="n">
        <x:v>2435</x:v>
      </x:c>
      <x:c r="B2441" s="79" t="n">
        <x:v>0.7704245789526261</x:v>
      </x:c>
      <x:c r="C2441" s="46" t="n">
        <x:f>B2441^2</x:f>
        <x:v>0.5935540318543312</x:v>
      </x:c>
      <x:c r="D2441" s="47" t="n">
        <x:f>'Datos'!$B$26^3/3</x:f>
        <x:v>0.3333333333333333</x:v>
      </x:c>
      <x:c r="E2441" s="46" t="n">
        <x:f>D2441*(C2441-1)</x:f>
        <x:v>-0.1354819893818896</x:v>
      </x:c>
      <x:c r="F2441" s="2"/>
      <x:c r="G2441" s="2"/>
      <x:c r="H2441" s="2"/>
    </x:row>
    <x:row r="2442" ht="22" customHeight="1">
      <x:c r="A2442" s="2" t="n">
        <x:v>2436</x:v>
      </x:c>
      <x:c r="B2442" s="79" t="n">
        <x:v>-0.763969296706859</x:v>
      </x:c>
      <x:c r="C2442" s="46" t="n">
        <x:f>B2442^2</x:f>
        <x:v>0.5836490863107727</x:v>
      </x:c>
      <x:c r="D2442" s="47" t="n">
        <x:f>'Datos'!$B$26^3/3</x:f>
        <x:v>0.3333333333333333</x:v>
      </x:c>
      <x:c r="E2442" s="46" t="n">
        <x:f>D2442*(C2442-1)</x:f>
        <x:v>-0.13878363789640907</x:v>
      </x:c>
      <x:c r="F2442" s="2"/>
      <x:c r="G2442" s="2"/>
      <x:c r="H2442" s="2"/>
    </x:row>
    <x:row r="2443" ht="22" customHeight="1">
      <x:c r="A2443" s="2" t="n">
        <x:v>2437</x:v>
      </x:c>
      <x:c r="B2443" s="79" t="n">
        <x:v>0.5302970064107505</x:v>
      </x:c>
      <x:c r="C2443" s="46" t="n">
        <x:f>B2443^2</x:f>
        <x:v>0.28121491500820356</x:v>
      </x:c>
      <x:c r="D2443" s="47" t="n">
        <x:f>'Datos'!$B$26^3/3</x:f>
        <x:v>0.3333333333333333</x:v>
      </x:c>
      <x:c r="E2443" s="46" t="n">
        <x:f>D2443*(C2443-1)</x:f>
        <x:v>-0.2395950283305988</x:v>
      </x:c>
      <x:c r="F2443" s="2"/>
      <x:c r="G2443" s="2"/>
      <x:c r="H2443" s="2"/>
    </x:row>
    <x:row r="2444" ht="22" customHeight="1">
      <x:c r="A2444" s="2" t="n">
        <x:v>2438</x:v>
      </x:c>
      <x:c r="B2444" s="79" t="n">
        <x:v>-0.7325807904653254</x:v>
      </x:c>
      <x:c r="C2444" s="46" t="n">
        <x:f>B2444^2</x:f>
        <x:v>0.536674614558801</x:v>
      </x:c>
      <x:c r="D2444" s="47" t="n">
        <x:f>'Datos'!$B$26^3/3</x:f>
        <x:v>0.3333333333333333</x:v>
      </x:c>
      <x:c r="E2444" s="46" t="n">
        <x:f>D2444*(C2444-1)</x:f>
        <x:v>-0.1544417951470663</x:v>
      </x:c>
      <x:c r="F2444" s="2"/>
      <x:c r="G2444" s="2"/>
      <x:c r="H2444" s="2"/>
    </x:row>
    <x:row r="2445" ht="22" customHeight="1">
      <x:c r="A2445" s="2" t="n">
        <x:v>2439</x:v>
      </x:c>
      <x:c r="B2445" s="79" t="n">
        <x:v>-0.2186050359615212</x:v>
      </x:c>
      <x:c r="C2445" s="46" t="n">
        <x:f>B2445^2</x:f>
        <x:v>0.04778816174773798</x:v>
      </x:c>
      <x:c r="D2445" s="47" t="n">
        <x:f>'Datos'!$B$26^3/3</x:f>
        <x:v>0.3333333333333333</x:v>
      </x:c>
      <x:c r="E2445" s="46" t="n">
        <x:f>D2445*(C2445-1)</x:f>
        <x:v>-0.3174039460840873</x:v>
      </x:c>
      <x:c r="F2445" s="2"/>
      <x:c r="G2445" s="2"/>
      <x:c r="H2445" s="2"/>
    </x:row>
    <x:row r="2446" ht="22" customHeight="1">
      <x:c r="A2446" s="2" t="n">
        <x:v>2440</x:v>
      </x:c>
      <x:c r="B2446" s="79" t="n">
        <x:v>-0.015793208649597715</x:v>
      </x:c>
      <x:c r="C2446" s="46" t="n">
        <x:f>B2446^2</x:f>
        <x:v>0.0002494254394497281</x:v>
      </x:c>
      <x:c r="D2446" s="47" t="n">
        <x:f>'Datos'!$B$26^3/3</x:f>
        <x:v>0.3333333333333333</x:v>
      </x:c>
      <x:c r="E2446" s="46" t="n">
        <x:f>D2446*(C2446-1)</x:f>
        <x:v>-0.3332501915201834</x:v>
      </x:c>
      <x:c r="F2446" s="2"/>
      <x:c r="G2446" s="2"/>
      <x:c r="H2446" s="2"/>
    </x:row>
    <x:row r="2447" ht="22" customHeight="1">
      <x:c r="A2447" s="2" t="n">
        <x:v>2441</x:v>
      </x:c>
      <x:c r="B2447" s="79" t="n">
        <x:v>-0.7568540822768826</x:v>
      </x:c>
      <x:c r="C2447" s="46" t="n">
        <x:f>B2447^2</x:f>
        <x:v>0.5728281018591821</x:v>
      </x:c>
      <x:c r="D2447" s="47" t="n">
        <x:f>'Datos'!$B$26^3/3</x:f>
        <x:v>0.3333333333333333</x:v>
      </x:c>
      <x:c r="E2447" s="46" t="n">
        <x:f>D2447*(C2447-1)</x:f>
        <x:v>-0.14239063271360597</x:v>
      </x:c>
      <x:c r="F2447" s="2"/>
      <x:c r="G2447" s="2"/>
      <x:c r="H2447" s="2"/>
    </x:row>
    <x:row r="2448" ht="22" customHeight="1">
      <x:c r="A2448" s="2" t="n">
        <x:v>2442</x:v>
      </x:c>
      <x:c r="B2448" s="79" t="n">
        <x:v>0.9291492129736812</x:v>
      </x:c>
      <x:c r="C2448" s="46" t="n">
        <x:f>B2448^2</x:f>
        <x:v>0.8633182599696113</x:v>
      </x:c>
      <x:c r="D2448" s="47" t="n">
        <x:f>'Datos'!$B$26^3/3</x:f>
        <x:v>0.3333333333333333</x:v>
      </x:c>
      <x:c r="E2448" s="46" t="n">
        <x:f>D2448*(C2448-1)</x:f>
        <x:v>-0.04556058001012956</x:v>
      </x:c>
      <x:c r="F2448" s="2"/>
      <x:c r="G2448" s="2"/>
      <x:c r="H2448" s="2"/>
    </x:row>
    <x:row r="2449" ht="22" customHeight="1">
      <x:c r="A2449" s="2" t="n">
        <x:v>2443</x:v>
      </x:c>
      <x:c r="B2449" s="79" t="n">
        <x:v>-0.5048532593222061</x:v>
      </x:c>
      <x:c r="C2449" s="46" t="n">
        <x:f>B2449^2</x:f>
        <x:v>0.25487681344825475</x:v>
      </x:c>
      <x:c r="D2449" s="47" t="n">
        <x:f>'Datos'!$B$26^3/3</x:f>
        <x:v>0.3333333333333333</x:v>
      </x:c>
      <x:c r="E2449" s="46" t="n">
        <x:f>D2449*(C2449-1)</x:f>
        <x:v>-0.2483743955172484</x:v>
      </x:c>
      <x:c r="F2449" s="2"/>
      <x:c r="G2449" s="2"/>
      <x:c r="H2449" s="2"/>
    </x:row>
    <x:row r="2450" ht="22" customHeight="1">
      <x:c r="A2450" s="2" t="n">
        <x:v>2444</x:v>
      </x:c>
      <x:c r="B2450" s="79" t="n">
        <x:v>0.1377379474500671</x:v>
      </x:c>
      <x:c r="C2450" s="46" t="n">
        <x:f>B2450^2</x:f>
        <x:v>0.018971742167757443</x:v>
      </x:c>
      <x:c r="D2450" s="47" t="n">
        <x:f>'Datos'!$B$26^3/3</x:f>
        <x:v>0.3333333333333333</x:v>
      </x:c>
      <x:c r="E2450" s="46" t="n">
        <x:f>D2450*(C2450-1)</x:f>
        <x:v>-0.32700941927741417</x:v>
      </x:c>
      <x:c r="F2450" s="2"/>
      <x:c r="G2450" s="2"/>
      <x:c r="H2450" s="2"/>
    </x:row>
    <x:row r="2451" ht="22" customHeight="1">
      <x:c r="A2451" s="2" t="n">
        <x:v>2445</x:v>
      </x:c>
      <x:c r="B2451" s="79" t="n">
        <x:v>0.3489394582376114</x:v>
      </x:c>
      <x:c r="C2451" s="46" t="n">
        <x:f>B2451^2</x:f>
        <x:v>0.12175874551515775</x:v>
      </x:c>
      <x:c r="D2451" s="47" t="n">
        <x:f>'Datos'!$B$26^3/3</x:f>
        <x:v>0.3333333333333333</x:v>
      </x:c>
      <x:c r="E2451" s="46" t="n">
        <x:f>D2451*(C2451-1)</x:f>
        <x:v>-0.2927470848282807</x:v>
      </x:c>
      <x:c r="F2451" s="2"/>
      <x:c r="G2451" s="2"/>
      <x:c r="H2451" s="2"/>
    </x:row>
    <x:row r="2452" ht="22" customHeight="1">
      <x:c r="A2452" s="2" t="n">
        <x:v>2446</x:v>
      </x:c>
      <x:c r="B2452" s="79" t="n">
        <x:v>1.821490256576293</x:v>
      </x:c>
      <x:c r="C2452" s="46" t="n">
        <x:f>B2452^2</x:f>
        <x:v>3.3178267548023697</x:v>
      </x:c>
      <x:c r="D2452" s="47" t="n">
        <x:f>'Datos'!$B$26^3/3</x:f>
        <x:v>0.3333333333333333</x:v>
      </x:c>
      <x:c r="E2452" s="46" t="n">
        <x:f>D2452*(C2452-1)</x:f>
        <x:v>0.7726089182674565</x:v>
      </x:c>
      <x:c r="F2452" s="2"/>
      <x:c r="G2452" s="2"/>
      <x:c r="H2452" s="2"/>
    </x:row>
    <x:row r="2453" ht="22" customHeight="1">
      <x:c r="A2453" s="2" t="n">
        <x:v>2447</x:v>
      </x:c>
      <x:c r="B2453" s="79" t="n">
        <x:v>-0.4401867666242101</x:v>
      </x:c>
      <x:c r="C2453" s="46" t="n">
        <x:f>B2453^2</x:f>
        <x:v>0.1937643895110768</x:v>
      </x:c>
      <x:c r="D2453" s="47" t="n">
        <x:f>'Datos'!$B$26^3/3</x:f>
        <x:v>0.3333333333333333</x:v>
      </x:c>
      <x:c r="E2453" s="46" t="n">
        <x:f>D2453*(C2453-1)</x:f>
        <x:v>-0.2687452034963077</x:v>
      </x:c>
      <x:c r="F2453" s="2"/>
      <x:c r="G2453" s="2"/>
      <x:c r="H2453" s="2"/>
    </x:row>
    <x:row r="2454" ht="22" customHeight="1">
      <x:c r="A2454" s="2" t="n">
        <x:v>2448</x:v>
      </x:c>
      <x:c r="B2454" s="79" t="n">
        <x:v>0.0789691555183971</x:v>
      </x:c>
      <x:c r="C2454" s="46" t="n">
        <x:f>B2454^2</x:f>
        <x:v>0.0062361275232887875</x:v>
      </x:c>
      <x:c r="D2454" s="47" t="n">
        <x:f>'Datos'!$B$26^3/3</x:f>
        <x:v>0.3333333333333333</x:v>
      </x:c>
      <x:c r="E2454" s="46" t="n">
        <x:f>D2454*(C2454-1)</x:f>
        <x:v>-0.3312546241589037</x:v>
      </x:c>
      <x:c r="F2454" s="2"/>
      <x:c r="G2454" s="2"/>
      <x:c r="H2454" s="2"/>
    </x:row>
    <x:row r="2455" ht="22" customHeight="1">
      <x:c r="A2455" s="2" t="n">
        <x:v>2449</x:v>
      </x:c>
      <x:c r="B2455" s="79" t="n">
        <x:v>-0.9843240397377712</x:v>
      </x:c>
      <x:c r="C2455" s="46" t="n">
        <x:f>B2455^2</x:f>
        <x:v>0.9688938152056853</x:v>
      </x:c>
      <x:c r="D2455" s="47" t="n">
        <x:f>'Datos'!$B$26^3/3</x:f>
        <x:v>0.3333333333333333</x:v>
      </x:c>
      <x:c r="E2455" s="46" t="n">
        <x:f>D2455*(C2455-1)</x:f>
        <x:v>-0.010368728264771568</x:v>
      </x:c>
      <x:c r="F2455" s="2"/>
      <x:c r="G2455" s="2"/>
      <x:c r="H2455" s="2"/>
    </x:row>
    <x:row r="2456" ht="22" customHeight="1">
      <x:c r="A2456" s="2" t="n">
        <x:v>2450</x:v>
      </x:c>
      <x:c r="B2456" s="79" t="n">
        <x:v>-0.894855972037555</x:v>
      </x:c>
      <x:c r="C2456" s="46" t="n">
        <x:f>B2456^2</x:f>
        <x:v>0.8007672106912773</x:v>
      </x:c>
      <x:c r="D2456" s="47" t="n">
        <x:f>'Datos'!$B$26^3/3</x:f>
        <x:v>0.3333333333333333</x:v>
      </x:c>
      <x:c r="E2456" s="46" t="n">
        <x:f>D2456*(C2456-1)</x:f>
        <x:v>-0.06641092976957422</x:v>
      </x:c>
      <x:c r="F2456" s="2"/>
      <x:c r="G2456" s="2"/>
      <x:c r="H2456" s="2"/>
    </x:row>
    <x:row r="2457" ht="22" customHeight="1">
      <x:c r="A2457" s="2" t="n">
        <x:v>2451</x:v>
      </x:c>
      <x:c r="B2457" s="79" t="n">
        <x:v>0.016014477758112725</x:v>
      </x:c>
      <x:c r="C2457" s="46" t="n">
        <x:f>B2457^2</x:f>
        <x:v>0.00025646349786508717</x:v>
      </x:c>
      <x:c r="D2457" s="47" t="n">
        <x:f>'Datos'!$B$26^3/3</x:f>
        <x:v>0.3333333333333333</x:v>
      </x:c>
      <x:c r="E2457" s="46" t="n">
        <x:f>D2457*(C2457-1)</x:f>
        <x:v>-0.3332478455007116</x:v>
      </x:c>
      <x:c r="F2457" s="2"/>
      <x:c r="G2457" s="2"/>
      <x:c r="H2457" s="2"/>
    </x:row>
    <x:row r="2458" ht="22" customHeight="1">
      <x:c r="A2458" s="2" t="n">
        <x:v>2452</x:v>
      </x:c>
      <x:c r="B2458" s="79" t="n">
        <x:v>-2.1222487600373685</x:v>
      </x:c>
      <x:c r="C2458" s="46" t="n">
        <x:f>B2458^2</x:f>
        <x:v>4.503939799480148</x:v>
      </x:c>
      <x:c r="D2458" s="47" t="n">
        <x:f>'Datos'!$B$26^3/3</x:f>
        <x:v>0.3333333333333333</x:v>
      </x:c>
      <x:c r="E2458" s="46" t="n">
        <x:f>D2458*(C2458-1)</x:f>
        <x:v>1.167979933160049</x:v>
      </x:c>
      <x:c r="F2458" s="2"/>
      <x:c r="G2458" s="2"/>
      <x:c r="H2458" s="2"/>
    </x:row>
    <x:row r="2459" ht="22" customHeight="1">
      <x:c r="A2459" s="2" t="n">
        <x:v>2453</x:v>
      </x:c>
      <x:c r="B2459" s="79" t="n">
        <x:v>1.7870327486724604</x:v>
      </x:c>
      <x:c r="C2459" s="46" t="n">
        <x:f>B2459^2</x:f>
        <x:v>3.193486044827849</x:v>
      </x:c>
      <x:c r="D2459" s="47" t="n">
        <x:f>'Datos'!$B$26^3/3</x:f>
        <x:v>0.3333333333333333</x:v>
      </x:c>
      <x:c r="E2459" s="46" t="n">
        <x:f>D2459*(C2459-1)</x:f>
        <x:v>0.7311620149426163</x:v>
      </x:c>
      <x:c r="F2459" s="2"/>
      <x:c r="G2459" s="2"/>
      <x:c r="H2459" s="2"/>
    </x:row>
    <x:row r="2460" ht="22" customHeight="1">
      <x:c r="A2460" s="2" t="n">
        <x:v>2454</x:v>
      </x:c>
      <x:c r="B2460" s="79" t="n">
        <x:v>0.3963139263824423</x:v>
      </x:c>
      <x:c r="C2460" s="46" t="n">
        <x:f>B2460^2</x:f>
        <x:v>0.15706472824466788</x:v>
      </x:c>
      <x:c r="D2460" s="47" t="n">
        <x:f>'Datos'!$B$26^3/3</x:f>
        <x:v>0.3333333333333333</x:v>
      </x:c>
      <x:c r="E2460" s="46" t="n">
        <x:f>D2460*(C2460-1)</x:f>
        <x:v>-0.280978423918444</x:v>
      </x:c>
      <x:c r="F2460" s="2"/>
      <x:c r="G2460" s="2"/>
      <x:c r="H2460" s="2"/>
    </x:row>
    <x:row r="2461" ht="22" customHeight="1">
      <x:c r="A2461" s="2" t="n">
        <x:v>2455</x:v>
      </x:c>
      <x:c r="B2461" s="79" t="n">
        <x:v>1.7229406155536584</x:v>
      </x:c>
      <x:c r="C2461" s="46" t="n">
        <x:f>B2461^2</x:f>
        <x:v>2.9685243647244195</x:v>
      </x:c>
      <x:c r="D2461" s="47" t="n">
        <x:f>'Datos'!$B$26^3/3</x:f>
        <x:v>0.3333333333333333</x:v>
      </x:c>
      <x:c r="E2461" s="46" t="n">
        <x:f>D2461*(C2461-1)</x:f>
        <x:v>0.6561747882414731</x:v>
      </x:c>
      <x:c r="F2461" s="2"/>
      <x:c r="G2461" s="2"/>
      <x:c r="H2461" s="2"/>
    </x:row>
    <x:row r="2462" ht="22" customHeight="1">
      <x:c r="A2462" s="2" t="n">
        <x:v>2456</x:v>
      </x:c>
      <x:c r="B2462" s="79" t="n">
        <x:v>-1.3428415552151252</x:v>
      </x:c>
      <x:c r="C2462" s="46" t="n">
        <x:f>B2462^2</x:f>
        <x:v>1.803223442412576</x:v>
      </x:c>
      <x:c r="D2462" s="47" t="n">
        <x:f>'Datos'!$B$26^3/3</x:f>
        <x:v>0.3333333333333333</x:v>
      </x:c>
      <x:c r="E2462" s="46" t="n">
        <x:f>D2462*(C2462-1)</x:f>
        <x:v>0.26774114747085864</x:v>
      </x:c>
      <x:c r="F2462" s="2"/>
      <x:c r="G2462" s="2"/>
      <x:c r="H2462" s="2"/>
    </x:row>
    <x:row r="2463" ht="22" customHeight="1">
      <x:c r="A2463" s="2" t="n">
        <x:v>2457</x:v>
      </x:c>
      <x:c r="B2463" s="79" t="n">
        <x:v>-0.9706304468607806</x:v>
      </x:c>
      <x:c r="C2463" s="46" t="n">
        <x:f>B2463^2</x:f>
        <x:v>0.9421234643731586</x:v>
      </x:c>
      <x:c r="D2463" s="47" t="n">
        <x:f>'Datos'!$B$26^3/3</x:f>
        <x:v>0.3333333333333333</x:v>
      </x:c>
      <x:c r="E2463" s="46" t="n">
        <x:f>D2463*(C2463-1)</x:f>
        <x:v>-0.019292178542280453</x:v>
      </x:c>
      <x:c r="F2463" s="2"/>
      <x:c r="G2463" s="2"/>
      <x:c r="H2463" s="2"/>
    </x:row>
    <x:row r="2464" ht="22" customHeight="1">
      <x:c r="A2464" s="2" t="n">
        <x:v>2458</x:v>
      </x:c>
      <x:c r="B2464" s="79" t="n">
        <x:v>-0.6830240061958872</x:v>
      </x:c>
      <x:c r="C2464" s="46" t="n">
        <x:f>B2464^2</x:f>
        <x:v>0.4665217930398794</x:v>
      </x:c>
      <x:c r="D2464" s="47" t="n">
        <x:f>'Datos'!$B$26^3/3</x:f>
        <x:v>0.3333333333333333</x:v>
      </x:c>
      <x:c r="E2464" s="46" t="n">
        <x:f>D2464*(C2464-1)</x:f>
        <x:v>-0.17782606898670686</x:v>
      </x:c>
      <x:c r="F2464" s="2"/>
      <x:c r="G2464" s="2"/>
      <x:c r="H2464" s="2"/>
    </x:row>
    <x:row r="2465" ht="22" customHeight="1">
      <x:c r="A2465" s="2" t="n">
        <x:v>2459</x:v>
      </x:c>
      <x:c r="B2465" s="79" t="n">
        <x:v>-0.14437862081003497</x:v>
      </x:c>
      <x:c r="C2465" s="46" t="n">
        <x:f>B2465^2</x:f>
        <x:v>0.020845186147007862</x:v>
      </x:c>
      <x:c r="D2465" s="47" t="n">
        <x:f>'Datos'!$B$26^3/3</x:f>
        <x:v>0.3333333333333333</x:v>
      </x:c>
      <x:c r="E2465" s="46" t="n">
        <x:f>D2465*(C2465-1)</x:f>
        <x:v>-0.3263849379509974</x:v>
      </x:c>
      <x:c r="F2465" s="2"/>
      <x:c r="G2465" s="2"/>
      <x:c r="H2465" s="2"/>
    </x:row>
    <x:row r="2466" ht="22" customHeight="1">
      <x:c r="A2466" s="2" t="n">
        <x:v>2460</x:v>
      </x:c>
      <x:c r="B2466" s="79" t="n">
        <x:v>-0.9081904227028896</x:v>
      </x:c>
      <x:c r="C2466" s="46" t="n">
        <x:f>B2466^2</x:f>
        <x:v>0.8248098438892534</x:v>
      </x:c>
      <x:c r="D2466" s="47" t="n">
        <x:f>'Datos'!$B$26^3/3</x:f>
        <x:v>0.3333333333333333</x:v>
      </x:c>
      <x:c r="E2466" s="46" t="n">
        <x:f>D2466*(C2466-1)</x:f>
        <x:v>-0.05839671870358221</x:v>
      </x:c>
      <x:c r="F2466" s="2"/>
      <x:c r="G2466" s="2"/>
      <x:c r="H2466" s="2"/>
    </x:row>
    <x:row r="2467" ht="22" customHeight="1">
      <x:c r="A2467" s="2" t="n">
        <x:v>2461</x:v>
      </x:c>
      <x:c r="B2467" s="79" t="n">
        <x:v>-0.251343081541914</x:v>
      </x:c>
      <x:c r="C2467" s="46" t="n">
        <x:f>B2467^2</x:f>
        <x:v>0.06317334463898522</x:v>
      </x:c>
      <x:c r="D2467" s="47" t="n">
        <x:f>'Datos'!$B$26^3/3</x:f>
        <x:v>0.3333333333333333</x:v>
      </x:c>
      <x:c r="E2467" s="46" t="n">
        <x:f>D2467*(C2467-1)</x:f>
        <x:v>-0.3122755517870049</x:v>
      </x:c>
      <x:c r="F2467" s="2"/>
      <x:c r="G2467" s="2"/>
      <x:c r="H2467" s="2"/>
    </x:row>
    <x:row r="2468" ht="22" customHeight="1">
      <x:c r="A2468" s="2" t="n">
        <x:v>2462</x:v>
      </x:c>
      <x:c r="B2468" s="79" t="n">
        <x:v>-0.28825669631375817</x:v>
      </x:c>
      <x:c r="C2468" s="46" t="n">
        <x:f>B2468^2</x:f>
        <x:v>0.0830919229697222</x:v>
      </x:c>
      <x:c r="D2468" s="47" t="n">
        <x:f>'Datos'!$B$26^3/3</x:f>
        <x:v>0.3333333333333333</x:v>
      </x:c>
      <x:c r="E2468" s="46" t="n">
        <x:f>D2468*(C2468-1)</x:f>
        <x:v>-0.30563602567675924</x:v>
      </x:c>
      <x:c r="F2468" s="2"/>
      <x:c r="G2468" s="2"/>
      <x:c r="H2468" s="2"/>
    </x:row>
    <x:row r="2469" ht="22" customHeight="1">
      <x:c r="A2469" s="2" t="n">
        <x:v>2463</x:v>
      </x:c>
      <x:c r="B2469" s="79" t="n">
        <x:v>0.10195802239886241</x:v>
      </x:c>
      <x:c r="C2469" s="46" t="n">
        <x:f>B2469^2</x:f>
        <x:v>0.01039543833148693</x:v>
      </x:c>
      <x:c r="D2469" s="47" t="n">
        <x:f>'Datos'!$B$26^3/3</x:f>
        <x:v>0.3333333333333333</x:v>
      </x:c>
      <x:c r="E2469" s="46" t="n">
        <x:f>D2469*(C2469-1)</x:f>
        <x:v>-0.32986818722283767</x:v>
      </x:c>
      <x:c r="F2469" s="2"/>
      <x:c r="G2469" s="2"/>
      <x:c r="H2469" s="2"/>
    </x:row>
    <x:row r="2470" ht="22" customHeight="1">
      <x:c r="A2470" s="2" t="n">
        <x:v>2464</x:v>
      </x:c>
      <x:c r="B2470" s="79" t="n">
        <x:v>-0.3756387398386051</x:v>
      </x:c>
      <x:c r="C2470" s="46" t="n">
        <x:f>B2470^2</x:f>
        <x:v>0.14110446286753522</x:v>
      </x:c>
      <x:c r="D2470" s="47" t="n">
        <x:f>'Datos'!$B$26^3/3</x:f>
        <x:v>0.3333333333333333</x:v>
      </x:c>
      <x:c r="E2470" s="46" t="n">
        <x:f>D2470*(C2470-1)</x:f>
        <x:v>-0.28629851237748827</x:v>
      </x:c>
      <x:c r="F2470" s="2"/>
      <x:c r="G2470" s="2"/>
      <x:c r="H2470" s="2"/>
    </x:row>
    <x:row r="2471" ht="22" customHeight="1">
      <x:c r="A2471" s="2" t="n">
        <x:v>2465</x:v>
      </x:c>
      <x:c r="B2471" s="79" t="n">
        <x:v>0.6049468281023462</x:v>
      </x:c>
      <x:c r="C2471" s="46" t="n">
        <x:f>B2471^2</x:f>
        <x:v>0.36596066483108963</x:v>
      </x:c>
      <x:c r="D2471" s="47" t="n">
        <x:f>'Datos'!$B$26^3/3</x:f>
        <x:v>0.3333333333333333</x:v>
      </x:c>
      <x:c r="E2471" s="46" t="n">
        <x:f>D2471*(C2471-1)</x:f>
        <x:v>-0.21134644505630346</x:v>
      </x:c>
      <x:c r="F2471" s="2"/>
      <x:c r="G2471" s="2"/>
      <x:c r="H2471" s="2"/>
    </x:row>
    <x:row r="2472" ht="22" customHeight="1">
      <x:c r="A2472" s="2" t="n">
        <x:v>2466</x:v>
      </x:c>
      <x:c r="B2472" s="79" t="n">
        <x:v>-0.4735429270349927</x:v>
      </x:c>
      <x:c r="C2472" s="46" t="n">
        <x:f>B2472^2</x:f>
        <x:v>0.2242429037448684</x:v>
      </x:c>
      <x:c r="D2472" s="47" t="n">
        <x:f>'Datos'!$B$26^3/3</x:f>
        <x:v>0.3333333333333333</x:v>
      </x:c>
      <x:c r="E2472" s="46" t="n">
        <x:f>D2472*(C2472-1)</x:f>
        <x:v>-0.2585856987517105</x:v>
      </x:c>
      <x:c r="F2472" s="2"/>
      <x:c r="G2472" s="2"/>
      <x:c r="H2472" s="2"/>
    </x:row>
    <x:row r="2473" ht="22" customHeight="1">
      <x:c r="A2473" s="2" t="n">
        <x:v>2467</x:v>
      </x:c>
      <x:c r="B2473" s="79" t="n">
        <x:v>-0.1622770020883562</x:v>
      </x:c>
      <x:c r="C2473" s="46" t="n">
        <x:f>B2473^2</x:f>
        <x:v>0.026333825406784358</x:v>
      </x:c>
      <x:c r="D2473" s="47" t="n">
        <x:f>'Datos'!$B$26^3/3</x:f>
        <x:v>0.3333333333333333</x:v>
      </x:c>
      <x:c r="E2473" s="46" t="n">
        <x:f>D2473*(C2473-1)</x:f>
        <x:v>-0.3245553915310719</x:v>
      </x:c>
      <x:c r="F2473" s="2"/>
      <x:c r="G2473" s="2"/>
      <x:c r="H2473" s="2"/>
    </x:row>
    <x:row r="2474" ht="22" customHeight="1">
      <x:c r="A2474" s="2" t="n">
        <x:v>2468</x:v>
      </x:c>
      <x:c r="B2474" s="79" t="n">
        <x:v>1.7166091472722742</x:v>
      </x:c>
      <x:c r="C2474" s="46" t="n">
        <x:f>B2474^2</x:f>
        <x:v>2.9467469644988444</x:v>
      </x:c>
      <x:c r="D2474" s="47" t="n">
        <x:f>'Datos'!$B$26^3/3</x:f>
        <x:v>0.3333333333333333</x:v>
      </x:c>
      <x:c r="E2474" s="46" t="n">
        <x:f>D2474*(C2474-1)</x:f>
        <x:v>0.6489156548329481</x:v>
      </x:c>
      <x:c r="F2474" s="2"/>
      <x:c r="G2474" s="2"/>
      <x:c r="H2474" s="2"/>
    </x:row>
    <x:row r="2475" ht="22" customHeight="1">
      <x:c r="A2475" s="2" t="n">
        <x:v>2469</x:v>
      </x:c>
      <x:c r="B2475" s="79" t="n">
        <x:v>0.7557995229145106</x:v>
      </x:c>
      <x:c r="C2475" s="46" t="n">
        <x:f>B2475^2</x:f>
        <x:v>0.5712329188378018</x:v>
      </x:c>
      <x:c r="D2475" s="47" t="n">
        <x:f>'Datos'!$B$26^3/3</x:f>
        <x:v>0.3333333333333333</x:v>
      </x:c>
      <x:c r="E2475" s="46" t="n">
        <x:f>D2475*(C2475-1)</x:f>
        <x:v>-0.1429223603873994</x:v>
      </x:c>
      <x:c r="F2475" s="2"/>
      <x:c r="G2475" s="2"/>
      <x:c r="H2475" s="2"/>
    </x:row>
    <x:row r="2476" ht="22" customHeight="1">
      <x:c r="A2476" s="2" t="n">
        <x:v>2470</x:v>
      </x:c>
      <x:c r="B2476" s="79" t="n">
        <x:v>1.9279742177904793</x:v>
      </x:c>
      <x:c r="C2476" s="46" t="n">
        <x:f>B2476^2</x:f>
        <x:v>3.7170845844648106</x:v>
      </x:c>
      <x:c r="D2476" s="47" t="n">
        <x:f>'Datos'!$B$26^3/3</x:f>
        <x:v>0.3333333333333333</x:v>
      </x:c>
      <x:c r="E2476" s="46" t="n">
        <x:f>D2476*(C2476-1)</x:f>
        <x:v>0.9056948614882702</x:v>
      </x:c>
      <x:c r="F2476" s="2"/>
      <x:c r="G2476" s="2"/>
      <x:c r="H2476" s="2"/>
    </x:row>
    <x:row r="2477" ht="22" customHeight="1">
      <x:c r="A2477" s="2" t="n">
        <x:v>2471</x:v>
      </x:c>
      <x:c r="B2477" s="79" t="n">
        <x:v>-1.2124121192131667</x:v>
      </x:c>
      <x:c r="C2477" s="46" t="n">
        <x:f>B2477^2</x:f>
        <x:v>1.469943146814962</x:v>
      </x:c>
      <x:c r="D2477" s="47" t="n">
        <x:f>'Datos'!$B$26^3/3</x:f>
        <x:v>0.3333333333333333</x:v>
      </x:c>
      <x:c r="E2477" s="46" t="n">
        <x:f>D2477*(C2477-1)</x:f>
        <x:v>0.1566477156049873</x:v>
      </x:c>
      <x:c r="F2477" s="2"/>
      <x:c r="G2477" s="2"/>
      <x:c r="H2477" s="2"/>
    </x:row>
    <x:row r="2478" ht="22" customHeight="1">
      <x:c r="A2478" s="2" t="n">
        <x:v>2472</x:v>
      </x:c>
      <x:c r="B2478" s="79" t="n">
        <x:v>-0.4361667025819176</x:v>
      </x:c>
      <x:c r="C2478" s="46" t="n">
        <x:f>B2478^2</x:f>
        <x:v>0.19024139244118296</x:v>
      </x:c>
      <x:c r="D2478" s="47" t="n">
        <x:f>'Datos'!$B$26^3/3</x:f>
        <x:v>0.3333333333333333</x:v>
      </x:c>
      <x:c r="E2478" s="46" t="n">
        <x:f>D2478*(C2478-1)</x:f>
        <x:v>-0.269919535852939</x:v>
      </x:c>
      <x:c r="F2478" s="2"/>
      <x:c r="G2478" s="2"/>
      <x:c r="H2478" s="2"/>
    </x:row>
    <x:row r="2479" ht="22" customHeight="1">
      <x:c r="A2479" s="2" t="n">
        <x:v>2473</x:v>
      </x:c>
      <x:c r="B2479" s="79" t="n">
        <x:v>-1.9971978948295457</x:v>
      </x:c>
      <x:c r="C2479" s="46" t="n">
        <x:f>B2479^2</x:f>
        <x:v>3.988799431111569</x:v>
      </x:c>
      <x:c r="D2479" s="47" t="n">
        <x:f>'Datos'!$B$26^3/3</x:f>
        <x:v>0.3333333333333333</x:v>
      </x:c>
      <x:c r="E2479" s="46" t="n">
        <x:f>D2479*(C2479-1)</x:f>
        <x:v>0.9962664770371896</x:v>
      </x:c>
      <x:c r="F2479" s="2"/>
      <x:c r="G2479" s="2"/>
      <x:c r="H2479" s="2"/>
    </x:row>
    <x:row r="2480" ht="22" customHeight="1">
      <x:c r="A2480" s="2" t="n">
        <x:v>2474</x:v>
      </x:c>
      <x:c r="B2480" s="79" t="n">
        <x:v>-0.9673911947098693</x:v>
      </x:c>
      <x:c r="C2480" s="46" t="n">
        <x:f>B2480^2</x:f>
        <x:v>0.9358457236021883</x:v>
      </x:c>
      <x:c r="D2480" s="47" t="n">
        <x:f>'Datos'!$B$26^3/3</x:f>
        <x:v>0.3333333333333333</x:v>
      </x:c>
      <x:c r="E2480" s="46" t="n">
        <x:f>D2480*(C2480-1)</x:f>
        <x:v>-0.02138475879927056</x:v>
      </x:c>
      <x:c r="F2480" s="2"/>
      <x:c r="G2480" s="2"/>
      <x:c r="H2480" s="2"/>
    </x:row>
    <x:row r="2481" ht="22" customHeight="1">
      <x:c r="A2481" s="2" t="n">
        <x:v>2475</x:v>
      </x:c>
      <x:c r="B2481" s="79" t="n">
        <x:v>-0.4479073373234487</x:v>
      </x:c>
      <x:c r="C2481" s="46" t="n">
        <x:f>B2481^2</x:f>
        <x:v>0.20062098282818164</x:v>
      </x:c>
      <x:c r="D2481" s="47" t="n">
        <x:f>'Datos'!$B$26^3/3</x:f>
        <x:v>0.3333333333333333</x:v>
      </x:c>
      <x:c r="E2481" s="46" t="n">
        <x:f>D2481*(C2481-1)</x:f>
        <x:v>-0.2664596723906061</x:v>
      </x:c>
      <x:c r="F2481" s="2"/>
      <x:c r="G2481" s="2"/>
      <x:c r="H2481" s="2"/>
    </x:row>
    <x:row r="2482" ht="22" customHeight="1">
      <x:c r="A2482" s="2" t="n">
        <x:v>2476</x:v>
      </x:c>
      <x:c r="B2482" s="79" t="n">
        <x:v>1.5105420842898456</x:v>
      </x:c>
      <x:c r="C2482" s="46" t="n">
        <x:f>B2482^2</x:f>
        <x:v>2.281737388410711</x:v>
      </x:c>
      <x:c r="D2482" s="47" t="n">
        <x:f>'Datos'!$B$26^3/3</x:f>
        <x:v>0.3333333333333333</x:v>
      </x:c>
      <x:c r="E2482" s="46" t="n">
        <x:f>D2482*(C2482-1)</x:f>
        <x:v>0.4272457961369036</x:v>
      </x:c>
      <x:c r="F2482" s="2"/>
      <x:c r="G2482" s="2"/>
      <x:c r="H2482" s="2"/>
    </x:row>
    <x:row r="2483" ht="22" customHeight="1">
      <x:c r="A2483" s="2" t="n">
        <x:v>2477</x:v>
      </x:c>
      <x:c r="B2483" s="79" t="n">
        <x:v>-0.4646257804525302</x:v>
      </x:c>
      <x:c r="C2483" s="46" t="n">
        <x:f>B2483^2</x:f>
        <x:v>0.21587711586112282</x:v>
      </x:c>
      <x:c r="D2483" s="47" t="n">
        <x:f>'Datos'!$B$26^3/3</x:f>
        <x:v>0.3333333333333333</x:v>
      </x:c>
      <x:c r="E2483" s="46" t="n">
        <x:f>D2483*(C2483-1)</x:f>
        <x:v>-0.26137429471295903</x:v>
      </x:c>
      <x:c r="F2483" s="2"/>
      <x:c r="G2483" s="2"/>
      <x:c r="H2483" s="2"/>
    </x:row>
    <x:row r="2484" ht="22" customHeight="1">
      <x:c r="A2484" s="2" t="n">
        <x:v>2478</x:v>
      </x:c>
      <x:c r="B2484" s="79" t="n">
        <x:v>0.48467513436004867</x:v>
      </x:c>
      <x:c r="C2484" s="46" t="n">
        <x:f>B2484^2</x:f>
        <x:v>0.23490998586693124</x:v>
      </x:c>
      <x:c r="D2484" s="47" t="n">
        <x:f>'Datos'!$B$26^3/3</x:f>
        <x:v>0.3333333333333333</x:v>
      </x:c>
      <x:c r="E2484" s="46" t="n">
        <x:f>D2484*(C2484-1)</x:f>
        <x:v>-0.2550300047110229</x:v>
      </x:c>
      <x:c r="F2484" s="2"/>
      <x:c r="G2484" s="2"/>
      <x:c r="H2484" s="2"/>
    </x:row>
    <x:row r="2485" ht="22" customHeight="1">
      <x:c r="A2485" s="2" t="n">
        <x:v>2479</x:v>
      </x:c>
      <x:c r="B2485" s="79" t="n">
        <x:v>-0.03336955918071612</x:v>
      </x:c>
      <x:c r="C2485" s="46" t="n">
        <x:f>B2485^2</x:f>
        <x:v>0.0011135274799153156</x:v>
      </x:c>
      <x:c r="D2485" s="47" t="n">
        <x:f>'Datos'!$B$26^3/3</x:f>
        <x:v>0.3333333333333333</x:v>
      </x:c>
      <x:c r="E2485" s="46" t="n">
        <x:f>D2485*(C2485-1)</x:f>
        <x:v>-0.3329621575066949</x:v>
      </x:c>
      <x:c r="F2485" s="2"/>
      <x:c r="G2485" s="2"/>
      <x:c r="H2485" s="2"/>
    </x:row>
    <x:row r="2486" ht="22" customHeight="1">
      <x:c r="A2486" s="2" t="n">
        <x:v>2480</x:v>
      </x:c>
      <x:c r="B2486" s="79" t="n">
        <x:v>2.7437106802614797</x:v>
      </x:c>
      <x:c r="C2486" s="46" t="n">
        <x:f>B2486^2</x:f>
        <x:v>7.527948296980911</x:v>
      </x:c>
      <x:c r="D2486" s="47" t="n">
        <x:f>'Datos'!$B$26^3/3</x:f>
        <x:v>0.3333333333333333</x:v>
      </x:c>
      <x:c r="E2486" s="46" t="n">
        <x:f>D2486*(C2486-1)</x:f>
        <x:v>2.1759827656603035</x:v>
      </x:c>
      <x:c r="F2486" s="2"/>
      <x:c r="G2486" s="2"/>
      <x:c r="H2486" s="2"/>
    </x:row>
    <x:row r="2487" ht="22" customHeight="1">
      <x:c r="A2487" s="2" t="n">
        <x:v>2481</x:v>
      </x:c>
      <x:c r="B2487" s="79" t="n">
        <x:v>-0.8427352627939246</x:v>
      </x:c>
      <x:c r="C2487" s="46" t="n">
        <x:f>B2487^2</x:f>
        <x:v>0.7102027231563453</x:v>
      </x:c>
      <x:c r="D2487" s="47" t="n">
        <x:f>'Datos'!$B$26^3/3</x:f>
        <x:v>0.3333333333333333</x:v>
      </x:c>
      <x:c r="E2487" s="46" t="n">
        <x:f>D2487*(C2487-1)</x:f>
        <x:v>-0.09659909228121824</x:v>
      </x:c>
      <x:c r="F2487" s="2"/>
      <x:c r="G2487" s="2"/>
      <x:c r="H2487" s="2"/>
    </x:row>
    <x:row r="2488" ht="22" customHeight="1">
      <x:c r="A2488" s="2" t="n">
        <x:v>2482</x:v>
      </x:c>
      <x:c r="B2488" s="79" t="n">
        <x:v>-0.21554240301788227</x:v>
      </x:c>
      <x:c r="C2488" s="46" t="n">
        <x:f>B2488^2</x:f>
        <x:v>0.04645852749872319</x:v>
      </x:c>
      <x:c r="D2488" s="47" t="n">
        <x:f>'Datos'!$B$26^3/3</x:f>
        <x:v>0.3333333333333333</x:v>
      </x:c>
      <x:c r="E2488" s="46" t="n">
        <x:f>D2488*(C2488-1)</x:f>
        <x:v>-0.3178471575004256</x:v>
      </x:c>
      <x:c r="F2488" s="2"/>
      <x:c r="G2488" s="2"/>
      <x:c r="H2488" s="2"/>
    </x:row>
    <x:row r="2489" ht="22" customHeight="1">
      <x:c r="A2489" s="2" t="n">
        <x:v>2483</x:v>
      </x:c>
      <x:c r="B2489" s="79" t="n">
        <x:v>-1.3418284633688335</x:v>
      </x:c>
      <x:c r="C2489" s="46" t="n">
        <x:f>B2489^2</x:f>
        <x:v>1.800503625106765</x:v>
      </x:c>
      <x:c r="D2489" s="47" t="n">
        <x:f>'Datos'!$B$26^3/3</x:f>
        <x:v>0.3333333333333333</x:v>
      </x:c>
      <x:c r="E2489" s="46" t="n">
        <x:f>D2489*(C2489-1)</x:f>
        <x:v>0.26683454170225496</x:v>
      </x:c>
      <x:c r="F2489" s="2"/>
      <x:c r="G2489" s="2"/>
      <x:c r="H2489" s="2"/>
    </x:row>
    <x:row r="2490" ht="22" customHeight="1">
      <x:c r="A2490" s="2" t="n">
        <x:v>2484</x:v>
      </x:c>
      <x:c r="B2490" s="79" t="n">
        <x:v>-1.8261789732289526</x:v>
      </x:c>
      <x:c r="C2490" s="46" t="n">
        <x:f>B2490^2</x:f>
        <x:v>3.3349296422635515</x:v>
      </x:c>
      <x:c r="D2490" s="47" t="n">
        <x:f>'Datos'!$B$26^3/3</x:f>
        <x:v>0.3333333333333333</x:v>
      </x:c>
      <x:c r="E2490" s="46" t="n">
        <x:f>D2490*(C2490-1)</x:f>
        <x:v>0.7783098807545171</x:v>
      </x:c>
      <x:c r="F2490" s="2"/>
      <x:c r="G2490" s="2"/>
      <x:c r="H2490" s="2"/>
    </x:row>
    <x:row r="2491" ht="22" customHeight="1">
      <x:c r="A2491" s="2" t="n">
        <x:v>2485</x:v>
      </x:c>
      <x:c r="B2491" s="79" t="n">
        <x:v>-0.20780700944727615</x:v>
      </x:c>
      <x:c r="C2491" s="46" t="n">
        <x:f>B2491^2</x:f>
        <x:v>0.043183753175420315</x:v>
      </x:c>
      <x:c r="D2491" s="47" t="n">
        <x:f>'Datos'!$B$26^3/3</x:f>
        <x:v>0.3333333333333333</x:v>
      </x:c>
      <x:c r="E2491" s="46" t="n">
        <x:f>D2491*(C2491-1)</x:f>
        <x:v>-0.3189387489415265</x:v>
      </x:c>
      <x:c r="F2491" s="2"/>
      <x:c r="G2491" s="2"/>
      <x:c r="H2491" s="2"/>
    </x:row>
    <x:row r="2492" ht="22" customHeight="1">
      <x:c r="A2492" s="2" t="n">
        <x:v>2486</x:v>
      </x:c>
      <x:c r="B2492" s="79" t="n">
        <x:v>-1.5721048602111343</x:v>
      </x:c>
      <x:c r="C2492" s="46" t="n">
        <x:f>B2492^2</x:f>
        <x:v>2.47151369149947</x:v>
      </x:c>
      <x:c r="D2492" s="47" t="n">
        <x:f>'Datos'!$B$26^3/3</x:f>
        <x:v>0.3333333333333333</x:v>
      </x:c>
      <x:c r="E2492" s="46" t="n">
        <x:f>D2492*(C2492-1)</x:f>
        <x:v>0.49050456383315666</x:v>
      </x:c>
      <x:c r="F2492" s="2"/>
      <x:c r="G2492" s="2"/>
      <x:c r="H2492" s="2"/>
    </x:row>
    <x:row r="2493" ht="22" customHeight="1">
      <x:c r="A2493" s="2" t="n">
        <x:v>2487</x:v>
      </x:c>
      <x:c r="B2493" s="79" t="n">
        <x:v>-0.6888313160939612</x:v>
      </x:c>
      <x:c r="C2493" s="46" t="n">
        <x:f>B2493^2</x:f>
        <x:v>0.4744885820317387</x:v>
      </x:c>
      <x:c r="D2493" s="47" t="n">
        <x:f>'Datos'!$B$26^3/3</x:f>
        <x:v>0.3333333333333333</x:v>
      </x:c>
      <x:c r="E2493" s="46" t="n">
        <x:f>D2493*(C2493-1)</x:f>
        <x:v>-0.1751704726560871</x:v>
      </x:c>
      <x:c r="F2493" s="2"/>
      <x:c r="G2493" s="2"/>
      <x:c r="H2493" s="2"/>
    </x:row>
    <x:row r="2494" ht="22" customHeight="1">
      <x:c r="A2494" s="2" t="n">
        <x:v>2488</x:v>
      </x:c>
      <x:c r="B2494" s="79" t="n">
        <x:v>1.5949041356944007</x:v>
      </x:c>
      <x:c r="C2494" s="46" t="n">
        <x:f>B2494^2</x:f>
        <x:v>2.543719202055103</x:v>
      </x:c>
      <x:c r="D2494" s="47" t="n">
        <x:f>'Datos'!$B$26^3/3</x:f>
        <x:v>0.3333333333333333</x:v>
      </x:c>
      <x:c r="E2494" s="46" t="n">
        <x:f>D2494*(C2494-1)</x:f>
        <x:v>0.514573067351701</x:v>
      </x:c>
      <x:c r="F2494" s="2"/>
      <x:c r="G2494" s="2"/>
      <x:c r="H2494" s="2"/>
    </x:row>
    <x:row r="2495" ht="22" customHeight="1">
      <x:c r="A2495" s="2" t="n">
        <x:v>2489</x:v>
      </x:c>
      <x:c r="B2495" s="79" t="n">
        <x:v>-1.9933790484788856</x:v>
      </x:c>
      <x:c r="C2495" s="46" t="n">
        <x:f>B2495^2</x:f>
        <x:v>3.9735600309145873</x:v>
      </x:c>
      <x:c r="D2495" s="47" t="n">
        <x:f>'Datos'!$B$26^3/3</x:f>
        <x:v>0.3333333333333333</x:v>
      </x:c>
      <x:c r="E2495" s="46" t="n">
        <x:f>D2495*(C2495-1)</x:f>
        <x:v>0.9911866769715291</x:v>
      </x:c>
      <x:c r="F2495" s="2"/>
      <x:c r="G2495" s="2"/>
      <x:c r="H2495" s="2"/>
    </x:row>
    <x:row r="2496" ht="22" customHeight="1">
      <x:c r="A2496" s="2" t="n">
        <x:v>2490</x:v>
      </x:c>
      <x:c r="B2496" s="79" t="n">
        <x:v>0.7138279726407756</x:v>
      </x:c>
      <x:c r="C2496" s="46" t="n">
        <x:f>B2496^2</x:f>
        <x:v>0.5095503745244399</x:v>
      </x:c>
      <x:c r="D2496" s="47" t="n">
        <x:f>'Datos'!$B$26^3/3</x:f>
        <x:v>0.3333333333333333</x:v>
      </x:c>
      <x:c r="E2496" s="46" t="n">
        <x:f>D2496*(C2496-1)</x:f>
        <x:v>-0.16348320849185338</x:v>
      </x:c>
      <x:c r="F2496" s="2"/>
      <x:c r="G2496" s="2"/>
      <x:c r="H2496" s="2"/>
    </x:row>
    <x:row r="2497" ht="22" customHeight="1">
      <x:c r="A2497" s="2" t="n">
        <x:v>2491</x:v>
      </x:c>
      <x:c r="B2497" s="79" t="n">
        <x:v>0.5585052117818455</x:v>
      </x:c>
      <x:c r="C2497" s="46" t="n">
        <x:f>B2497^2</x:f>
        <x:v>0.31192807158748415</x:v>
      </x:c>
      <x:c r="D2497" s="47" t="n">
        <x:f>'Datos'!$B$26^3/3</x:f>
        <x:v>0.3333333333333333</x:v>
      </x:c>
      <x:c r="E2497" s="46" t="n">
        <x:f>D2497*(C2497-1)</x:f>
        <x:v>-0.2293573094708386</x:v>
      </x:c>
      <x:c r="F2497" s="2"/>
      <x:c r="G2497" s="2"/>
      <x:c r="H2497" s="2"/>
    </x:row>
    <x:row r="2498" ht="22" customHeight="1">
      <x:c r="A2498" s="2" t="n">
        <x:v>2492</x:v>
      </x:c>
      <x:c r="B2498" s="79" t="n">
        <x:v>-0.6855881860314375</x:v>
      </x:c>
      <x:c r="C2498" s="46" t="n">
        <x:f>B2498^2</x:f>
        <x:v>0.47003116082587687</x:v>
      </x:c>
      <x:c r="D2498" s="47" t="n">
        <x:f>'Datos'!$B$26^3/3</x:f>
        <x:v>0.3333333333333333</x:v>
      </x:c>
      <x:c r="E2498" s="46" t="n">
        <x:f>D2498*(C2498-1)</x:f>
        <x:v>-0.17665627972470768</x:v>
      </x:c>
      <x:c r="F2498" s="2"/>
      <x:c r="G2498" s="2"/>
      <x:c r="H2498" s="2"/>
    </x:row>
    <x:row r="2499" ht="22" customHeight="1">
      <x:c r="A2499" s="2" t="n">
        <x:v>2493</x:v>
      </x:c>
      <x:c r="B2499" s="79" t="n">
        <x:v>0.4856799585048541</x:v>
      </x:c>
      <x:c r="C2499" s="46" t="n">
        <x:f>B2499^2</x:f>
        <x:v>0.23588502209327683</x:v>
      </x:c>
      <x:c r="D2499" s="47" t="n">
        <x:f>'Datos'!$B$26^3/3</x:f>
        <x:v>0.3333333333333333</x:v>
      </x:c>
      <x:c r="E2499" s="46" t="n">
        <x:f>D2499*(C2499-1)</x:f>
        <x:v>-0.25470499263557433</x:v>
      </x:c>
      <x:c r="F2499" s="2"/>
      <x:c r="G2499" s="2"/>
      <x:c r="H2499" s="2"/>
    </x:row>
    <x:row r="2500" ht="22" customHeight="1">
      <x:c r="A2500" s="2" t="n">
        <x:v>2494</x:v>
      </x:c>
      <x:c r="B2500" s="79" t="n">
        <x:v>1.1355950435729278</x:v>
      </x:c>
      <x:c r="C2500" s="46" t="n">
        <x:f>B2500^2</x:f>
        <x:v>1.2895761029873998</x:v>
      </x:c>
      <x:c r="D2500" s="47" t="n">
        <x:f>'Datos'!$B$26^3/3</x:f>
        <x:v>0.3333333333333333</x:v>
      </x:c>
      <x:c r="E2500" s="46" t="n">
        <x:f>D2500*(C2500-1)</x:f>
        <x:v>0.09652536766246658</x:v>
      </x:c>
      <x:c r="F2500" s="2"/>
      <x:c r="G2500" s="2"/>
      <x:c r="H2500" s="2"/>
    </x:row>
    <x:row r="2501" ht="22" customHeight="1">
      <x:c r="A2501" s="2" t="n">
        <x:v>2495</x:v>
      </x:c>
      <x:c r="B2501" s="79" t="n">
        <x:v>0.9871614140848359</x:v>
      </x:c>
      <x:c r="C2501" s="46" t="n">
        <x:f>B2501^2</x:f>
        <x:v>0.9744876574579729</x:v>
      </x:c>
      <x:c r="D2501" s="47" t="n">
        <x:f>'Datos'!$B$26^3/3</x:f>
        <x:v>0.3333333333333333</x:v>
      </x:c>
      <x:c r="E2501" s="46" t="n">
        <x:f>D2501*(C2501-1)</x:f>
        <x:v>-0.008504114180675685</x:v>
      </x:c>
      <x:c r="F2501" s="2"/>
      <x:c r="G2501" s="2"/>
      <x:c r="H2501" s="2"/>
    </x:row>
    <x:row r="2502" ht="22" customHeight="1">
      <x:c r="A2502" s="2" t="n">
        <x:v>2496</x:v>
      </x:c>
      <x:c r="B2502" s="79" t="n">
        <x:v>-0.5783744781590173</x:v>
      </x:c>
      <x:c r="C2502" s="46" t="n">
        <x:f>B2502^2</x:f>
        <x:v>0.3345170369857156</x:v>
      </x:c>
      <x:c r="D2502" s="47" t="n">
        <x:f>'Datos'!$B$26^3/3</x:f>
        <x:v>0.3333333333333333</x:v>
      </x:c>
      <x:c r="E2502" s="46" t="n">
        <x:f>D2502*(C2502-1)</x:f>
        <x:v>-0.22182765433809482</x:v>
      </x:c>
      <x:c r="F2502" s="2"/>
      <x:c r="G2502" s="2"/>
      <x:c r="H2502" s="2"/>
    </x:row>
    <x:row r="2503" ht="22" customHeight="1">
      <x:c r="A2503" s="2" t="n">
        <x:v>2497</x:v>
      </x:c>
      <x:c r="B2503" s="79" t="n">
        <x:v>0.19518902831773588</x:v>
      </x:c>
      <x:c r="C2503" s="46" t="n">
        <x:f>B2503^2</x:f>
        <x:v>0.0380987567756219</x:v>
      </x:c>
      <x:c r="D2503" s="47" t="n">
        <x:f>'Datos'!$B$26^3/3</x:f>
        <x:v>0.3333333333333333</x:v>
      </x:c>
      <x:c r="E2503" s="46" t="n">
        <x:f>D2503*(C2503-1)</x:f>
        <x:v>-0.32063374774145936</x:v>
      </x:c>
      <x:c r="F2503" s="2"/>
      <x:c r="G2503" s="2"/>
      <x:c r="H2503" s="2"/>
    </x:row>
    <x:row r="2504" ht="22" customHeight="1">
      <x:c r="A2504" s="2" t="n">
        <x:v>2498</x:v>
      </x:c>
      <x:c r="B2504" s="79" t="n">
        <x:v>-0.6158295228270109</x:v>
      </x:c>
      <x:c r="C2504" s="46" t="n">
        <x:f>B2504^2</x:f>
        <x:v>0.3792460011853439</x:v>
      </x:c>
      <x:c r="D2504" s="47" t="n">
        <x:f>'Datos'!$B$26^3/3</x:f>
        <x:v>0.3333333333333333</x:v>
      </x:c>
      <x:c r="E2504" s="46" t="n">
        <x:f>D2504*(C2504-1)</x:f>
        <x:v>-0.20691799960488536</x:v>
      </x:c>
      <x:c r="F2504" s="2"/>
      <x:c r="G2504" s="2"/>
      <x:c r="H2504" s="2"/>
    </x:row>
    <x:row r="2505" ht="22" customHeight="1">
      <x:c r="A2505" s="2" t="n">
        <x:v>2499</x:v>
      </x:c>
      <x:c r="B2505" s="79" t="n">
        <x:v>-0.7046548500864956</x:v>
      </x:c>
      <x:c r="C2505" s="46" t="n">
        <x:f>B2505^2</x:f>
        <x:v>0.49653845775042166</x:v>
      </x:c>
      <x:c r="D2505" s="47" t="n">
        <x:f>'Datos'!$B$26^3/3</x:f>
        <x:v>0.3333333333333333</x:v>
      </x:c>
      <x:c r="E2505" s="46" t="n">
        <x:f>D2505*(C2505-1)</x:f>
        <x:v>-0.16782051408319276</x:v>
      </x:c>
      <x:c r="F2505" s="2"/>
      <x:c r="G2505" s="2"/>
      <x:c r="H2505" s="2"/>
    </x:row>
    <x:row r="2506" ht="22" customHeight="1">
      <x:c r="A2506" s="2" t="n">
        <x:v>2500</x:v>
      </x:c>
      <x:c r="B2506" s="79" t="n">
        <x:v>-2.2571429209075724</x:v>
      </x:c>
      <x:c r="C2506" s="46" t="n">
        <x:f>B2506^2</x:f>
        <x:v>5.094694165403167</x:v>
      </x:c>
      <x:c r="D2506" s="47" t="n">
        <x:f>'Datos'!$B$26^3/3</x:f>
        <x:v>0.3333333333333333</x:v>
      </x:c>
      <x:c r="E2506" s="46" t="n">
        <x:f>D2506*(C2506-1)</x:f>
        <x:v>1.364898055134389</x:v>
      </x:c>
      <x:c r="F2506" s="2"/>
      <x:c r="G2506" s="2"/>
      <x:c r="H2506" s="2"/>
    </x:row>
    <x:row r="2507" ht="22" customHeight="1">
      <x:c r="A2507" s="2" t="n">
        <x:v>2501</x:v>
      </x:c>
      <x:c r="B2507" s="79" t="n">
        <x:v>-1.71520560703019</x:v>
      </x:c>
      <x:c r="C2507" s="46" t="n">
        <x:f>B2507^2</x:f>
        <x:v>2.9419302743878024</x:v>
      </x:c>
      <x:c r="D2507" s="47" t="n">
        <x:f>'Datos'!$B$26^3/3</x:f>
        <x:v>0.3333333333333333</x:v>
      </x:c>
      <x:c r="E2507" s="46" t="n">
        <x:f>D2507*(C2507-1)</x:f>
        <x:v>0.6473100914626008</x:v>
      </x:c>
      <x:c r="F2507" s="2"/>
      <x:c r="G2507" s="2"/>
      <x:c r="H2507" s="2"/>
    </x:row>
    <x:row r="2508" ht="22" customHeight="1">
      <x:c r="A2508" s="2" t="n">
        <x:v>2502</x:v>
      </x:c>
      <x:c r="B2508" s="79" t="n">
        <x:v>-0.630088780760406</x:v>
      </x:c>
      <x:c r="C2508" s="46" t="n">
        <x:f>B2508^2</x:f>
        <x:v>0.39701187164013496</x:v>
      </x:c>
      <x:c r="D2508" s="47" t="n">
        <x:f>'Datos'!$B$26^3/3</x:f>
        <x:v>0.3333333333333333</x:v>
      </x:c>
      <x:c r="E2508" s="46" t="n">
        <x:f>D2508*(C2508-1)</x:f>
        <x:v>-0.20099604278662167</x:v>
      </x:c>
      <x:c r="F2508" s="2"/>
      <x:c r="G2508" s="2"/>
      <x:c r="H2508" s="2"/>
    </x:row>
    <x:row r="2509" ht="22" customHeight="1">
      <x:c r="A2509" s="2" t="n">
        <x:v>2503</x:v>
      </x:c>
      <x:c r="B2509" s="79" t="n">
        <x:v>-0.12291664461788128</x:v>
      </x:c>
      <x:c r="C2509" s="46" t="n">
        <x:f>B2509^2</x:f>
        <x:v>0.015108501524118523</x:v>
      </x:c>
      <x:c r="D2509" s="47" t="n">
        <x:f>'Datos'!$B$26^3/3</x:f>
        <x:v>0.3333333333333333</x:v>
      </x:c>
      <x:c r="E2509" s="46" t="n">
        <x:f>D2509*(C2509-1)</x:f>
        <x:v>-0.32829716615862714</x:v>
      </x:c>
      <x:c r="F2509" s="2"/>
      <x:c r="G2509" s="2"/>
      <x:c r="H2509" s="2"/>
    </x:row>
    <x:row r="2510" ht="22" customHeight="1">
      <x:c r="A2510" s="2" t="n">
        <x:v>2504</x:v>
      </x:c>
      <x:c r="B2510" s="79" t="n">
        <x:v>-0.36724040316015794</x:v>
      </x:c>
      <x:c r="C2510" s="46" t="n">
        <x:f>B2510^2</x:f>
        <x:v>0.13486551371323535</x:v>
      </x:c>
      <x:c r="D2510" s="47" t="n">
        <x:f>'Datos'!$B$26^3/3</x:f>
        <x:v>0.3333333333333333</x:v>
      </x:c>
      <x:c r="E2510" s="46" t="n">
        <x:f>D2510*(C2510-1)</x:f>
        <x:v>-0.2883781620955882</x:v>
      </x:c>
      <x:c r="F2510" s="2"/>
      <x:c r="G2510" s="2"/>
      <x:c r="H2510" s="2"/>
    </x:row>
    <x:row r="2511" ht="22" customHeight="1">
      <x:c r="A2511" s="2" t="n">
        <x:v>2505</x:v>
      </x:c>
      <x:c r="B2511" s="79" t="n">
        <x:v>-0.33147223123794</x:v>
      </x:c>
      <x:c r="C2511" s="46" t="n">
        <x:f>B2511^2</x:f>
        <x:v>0.10987384008185837</x:v>
      </x:c>
      <x:c r="D2511" s="47" t="n">
        <x:f>'Datos'!$B$26^3/3</x:f>
        <x:v>0.3333333333333333</x:v>
      </x:c>
      <x:c r="E2511" s="46" t="n">
        <x:f>D2511*(C2511-1)</x:f>
        <x:v>-0.29670871997271386</x:v>
      </x:c>
      <x:c r="F2511" s="2"/>
      <x:c r="G2511" s="2"/>
      <x:c r="H2511" s="2"/>
    </x:row>
    <x:row r="2512" ht="22" customHeight="1">
      <x:c r="A2512" s="2" t="n">
        <x:v>2506</x:v>
      </x:c>
      <x:c r="B2512" s="79" t="n">
        <x:v>-0.7838104024085889</x:v>
      </x:c>
      <x:c r="C2512" s="46" t="n">
        <x:f>B2512^2</x:f>
        <x:v>0.614358746923914</x:v>
      </x:c>
      <x:c r="D2512" s="47" t="n">
        <x:f>'Datos'!$B$26^3/3</x:f>
        <x:v>0.3333333333333333</x:v>
      </x:c>
      <x:c r="E2512" s="46" t="n">
        <x:f>D2512*(C2512-1)</x:f>
        <x:v>-0.12854708435869533</x:v>
      </x:c>
      <x:c r="F2512" s="2"/>
      <x:c r="G2512" s="2"/>
      <x:c r="H2512" s="2"/>
    </x:row>
    <x:row r="2513" ht="22" customHeight="1">
      <x:c r="A2513" s="2" t="n">
        <x:v>2507</x:v>
      </x:c>
      <x:c r="B2513" s="79" t="n">
        <x:v>-1.3645825389851467</x:v>
      </x:c>
      <x:c r="C2513" s="46" t="n">
        <x:f>B2513^2</x:f>
        <x:v>1.8620855057031493</x:v>
      </x:c>
      <x:c r="D2513" s="47" t="n">
        <x:f>'Datos'!$B$26^3/3</x:f>
        <x:v>0.3333333333333333</x:v>
      </x:c>
      <x:c r="E2513" s="46" t="n">
        <x:f>D2513*(C2513-1)</x:f>
        <x:v>0.2873618352343831</x:v>
      </x:c>
      <x:c r="F2513" s="2"/>
      <x:c r="G2513" s="2"/>
      <x:c r="H2513" s="2"/>
    </x:row>
    <x:row r="2514" ht="22" customHeight="1">
      <x:c r="A2514" s="2" t="n">
        <x:v>2508</x:v>
      </x:c>
      <x:c r="B2514" s="79" t="n">
        <x:v>0.621279124083273</x:v>
      </x:c>
      <x:c r="C2514" s="46" t="n">
        <x:f>B2514^2</x:f>
        <x:v>0.38598775002167895</x:v>
      </x:c>
      <x:c r="D2514" s="47" t="n">
        <x:f>'Datos'!$B$26^3/3</x:f>
        <x:v>0.3333333333333333</x:v>
      </x:c>
      <x:c r="E2514" s="46" t="n">
        <x:f>D2514*(C2514-1)</x:f>
        <x:v>-0.20467074999277368</x:v>
      </x:c>
      <x:c r="F2514" s="2"/>
      <x:c r="G2514" s="2"/>
      <x:c r="H2514" s="2"/>
    </x:row>
    <x:row r="2515" ht="22" customHeight="1">
      <x:c r="A2515" s="2" t="n">
        <x:v>2509</x:v>
      </x:c>
      <x:c r="B2515" s="79" t="n">
        <x:v>-1.2724186565746152</x:v>
      </x:c>
      <x:c r="C2515" s="46" t="n">
        <x:f>B2515^2</x:f>
        <x:v>1.6190492375991485</x:v>
      </x:c>
      <x:c r="D2515" s="47" t="n">
        <x:f>'Datos'!$B$26^3/3</x:f>
        <x:v>0.3333333333333333</x:v>
      </x:c>
      <x:c r="E2515" s="46" t="n">
        <x:f>D2515*(C2515-1)</x:f>
        <x:v>0.20634974586638283</x:v>
      </x:c>
      <x:c r="F2515" s="2"/>
      <x:c r="G2515" s="2"/>
      <x:c r="H2515" s="2"/>
    </x:row>
    <x:row r="2516" ht="22" customHeight="1">
      <x:c r="A2516" s="2" t="n">
        <x:v>2510</x:v>
      </x:c>
      <x:c r="B2516" s="79" t="n">
        <x:v>-1.5944763389793382</x:v>
      </x:c>
      <x:c r="C2516" s="46" t="n">
        <x:f>B2516^2</x:f>
        <x:v>2.5423547955649535</x:v>
      </x:c>
      <x:c r="D2516" s="47" t="n">
        <x:f>'Datos'!$B$26^3/3</x:f>
        <x:v>0.3333333333333333</x:v>
      </x:c>
      <x:c r="E2516" s="46" t="n">
        <x:f>D2516*(C2516-1)</x:f>
        <x:v>0.5141182651883178</x:v>
      </x:c>
      <x:c r="F2516" s="2"/>
      <x:c r="G2516" s="2"/>
      <x:c r="H2516" s="2"/>
    </x:row>
    <x:row r="2517" ht="22" customHeight="1">
      <x:c r="A2517" s="2" t="n">
        <x:v>2511</x:v>
      </x:c>
      <x:c r="B2517" s="79" t="n">
        <x:v>-0.7809349477575874</x:v>
      </x:c>
      <x:c r="C2517" s="46" t="n">
        <x:f>B2517^2</x:f>
        <x:v>0.6098593926291458</x:v>
      </x:c>
      <x:c r="D2517" s="47" t="n">
        <x:f>'Datos'!$B$26^3/3</x:f>
        <x:v>0.3333333333333333</x:v>
      </x:c>
      <x:c r="E2517" s="46" t="n">
        <x:f>D2517*(C2517-1)</x:f>
        <x:v>-0.13004686912361807</x:v>
      </x:c>
      <x:c r="F2517" s="2"/>
      <x:c r="G2517" s="2"/>
      <x:c r="H2517" s="2"/>
    </x:row>
    <x:row r="2518" ht="22" customHeight="1">
      <x:c r="A2518" s="2" t="n">
        <x:v>2512</x:v>
      </x:c>
      <x:c r="B2518" s="79" t="n">
        <x:v>0.5314868739609374</x:v>
      </x:c>
      <x:c r="C2518" s="46" t="n">
        <x:f>B2518^2</x:f>
        <x:v>0.28247829719276935</x:v>
      </x:c>
      <x:c r="D2518" s="47" t="n">
        <x:f>'Datos'!$B$26^3/3</x:f>
        <x:v>0.3333333333333333</x:v>
      </x:c>
      <x:c r="E2518" s="46" t="n">
        <x:f>D2518*(C2518-1)</x:f>
        <x:v>-0.23917390093574356</x:v>
      </x:c>
      <x:c r="F2518" s="2"/>
      <x:c r="G2518" s="2"/>
      <x:c r="H2518" s="2"/>
    </x:row>
    <x:row r="2519" ht="22" customHeight="1">
      <x:c r="A2519" s="2" t="n">
        <x:v>2513</x:v>
      </x:c>
      <x:c r="B2519" s="79" t="n">
        <x:v>-1.2031284919380978</x:v>
      </x:c>
      <x:c r="C2519" s="46" t="n">
        <x:f>B2519^2</x:f>
        <x:v>1.4475181681132414</x:v>
      </x:c>
      <x:c r="D2519" s="47" t="n">
        <x:f>'Datos'!$B$26^3/3</x:f>
        <x:v>0.3333333333333333</x:v>
      </x:c>
      <x:c r="E2519" s="46" t="n">
        <x:f>D2519*(C2519-1)</x:f>
        <x:v>0.14917272270441378</x:v>
      </x:c>
      <x:c r="F2519" s="2"/>
      <x:c r="G2519" s="2"/>
      <x:c r="H2519" s="2"/>
    </x:row>
    <x:row r="2520" ht="22" customHeight="1">
      <x:c r="A2520" s="2" t="n">
        <x:v>2514</x:v>
      </x:c>
      <x:c r="B2520" s="79" t="n">
        <x:v>-1.9544960527030248</x:v>
      </x:c>
      <x:c r="C2520" s="46" t="n">
        <x:f>B2520^2</x:f>
        <x:v>3.8200548200317055</x:v>
      </x:c>
      <x:c r="D2520" s="47" t="n">
        <x:f>'Datos'!$B$26^3/3</x:f>
        <x:v>0.3333333333333333</x:v>
      </x:c>
      <x:c r="E2520" s="46" t="n">
        <x:f>D2520*(C2520-1)</x:f>
        <x:v>0.9400182733439018</x:v>
      </x:c>
      <x:c r="F2520" s="2"/>
      <x:c r="G2520" s="2"/>
      <x:c r="H2520" s="2"/>
    </x:row>
    <x:row r="2521" ht="22" customHeight="1">
      <x:c r="A2521" s="2" t="n">
        <x:v>2515</x:v>
      </x:c>
      <x:c r="B2521" s="79" t="n">
        <x:v>-0.016384324074615927</x:v>
      </x:c>
      <x:c r="C2521" s="46" t="n">
        <x:f>B2521^2</x:f>
        <x:v>0.00026844607538203903</x:v>
      </x:c>
      <x:c r="D2521" s="47" t="n">
        <x:f>'Datos'!$B$26^3/3</x:f>
        <x:v>0.3333333333333333</x:v>
      </x:c>
      <x:c r="E2521" s="46" t="n">
        <x:f>D2521*(C2521-1)</x:f>
        <x:v>-0.333243851308206</x:v>
      </x:c>
      <x:c r="F2521" s="2"/>
      <x:c r="G2521" s="2"/>
      <x:c r="H2521" s="2"/>
    </x:row>
    <x:row r="2522" ht="22" customHeight="1">
      <x:c r="A2522" s="2" t="n">
        <x:v>2516</x:v>
      </x:c>
      <x:c r="B2522" s="79" t="n">
        <x:v>0.1327796747046932</x:v>
      </x:c>
      <x:c r="C2522" s="46" t="n">
        <x:f>B2522^2</x:f>
        <x:v>0.017630442014684146</x:v>
      </x:c>
      <x:c r="D2522" s="47" t="n">
        <x:f>'Datos'!$B$26^3/3</x:f>
        <x:v>0.3333333333333333</x:v>
      </x:c>
      <x:c r="E2522" s="46" t="n">
        <x:f>D2522*(C2522-1)</x:f>
        <x:v>-0.3274565193284386</x:v>
      </x:c>
      <x:c r="F2522" s="2"/>
      <x:c r="G2522" s="2"/>
      <x:c r="H2522" s="2"/>
    </x:row>
    <x:row r="2523" ht="22" customHeight="1">
      <x:c r="A2523" s="2" t="n">
        <x:v>2517</x:v>
      </x:c>
      <x:c r="B2523" s="79" t="n">
        <x:v>-0.3110604585244675</x:v>
      </x:c>
      <x:c r="C2523" s="46" t="n">
        <x:f>B2523^2</x:f>
        <x:v>0.09675860885745197</x:v>
      </x:c>
      <x:c r="D2523" s="47" t="n">
        <x:f>'Datos'!$B$26^3/3</x:f>
        <x:v>0.3333333333333333</x:v>
      </x:c>
      <x:c r="E2523" s="46" t="n">
        <x:f>D2523*(C2523-1)</x:f>
        <x:v>-0.3010804637141827</x:v>
      </x:c>
      <x:c r="F2523" s="2"/>
      <x:c r="G2523" s="2"/>
      <x:c r="H2523" s="2"/>
    </x:row>
    <x:row r="2524" ht="22" customHeight="1">
      <x:c r="A2524" s="2" t="n">
        <x:v>2518</x:v>
      </x:c>
      <x:c r="B2524" s="79" t="n">
        <x:v>-0.2946691911798395</x:v>
      </x:c>
      <x:c r="C2524" s="46" t="n">
        <x:f>B2524^2</x:f>
        <x:v>0.08682993223058079</x:v>
      </x:c>
      <x:c r="D2524" s="47" t="n">
        <x:f>'Datos'!$B$26^3/3</x:f>
        <x:v>0.3333333333333333</x:v>
      </x:c>
      <x:c r="E2524" s="46" t="n">
        <x:f>D2524*(C2524-1)</x:f>
        <x:v>-0.3043900225898064</x:v>
      </x:c>
      <x:c r="F2524" s="2"/>
      <x:c r="G2524" s="2"/>
      <x:c r="H2524" s="2"/>
    </x:row>
    <x:row r="2525" ht="22" customHeight="1">
      <x:c r="A2525" s="2" t="n">
        <x:v>2519</x:v>
      </x:c>
      <x:c r="B2525" s="79" t="n">
        <x:v>0.7544399238009731</x:v>
      </x:c>
      <x:c r="C2525" s="46" t="n">
        <x:f>B2525^2</x:f>
        <x:v>0.5691795986248182</x:v>
      </x:c>
      <x:c r="D2525" s="47" t="n">
        <x:f>'Datos'!$B$26^3/3</x:f>
        <x:v>0.3333333333333333</x:v>
      </x:c>
      <x:c r="E2525" s="46" t="n">
        <x:f>D2525*(C2525-1)</x:f>
        <x:v>-0.14360680045839394</x:v>
      </x:c>
      <x:c r="F2525" s="2"/>
      <x:c r="G2525" s="2"/>
      <x:c r="H2525" s="2"/>
    </x:row>
    <x:row r="2526" ht="22" customHeight="1">
      <x:c r="A2526" s="2" t="n">
        <x:v>2520</x:v>
      </x:c>
      <x:c r="B2526" s="79" t="n">
        <x:v>1.3766459472212702</x:v>
      </x:c>
      <x:c r="C2526" s="46" t="n">
        <x:f>B2526^2</x:f>
        <x:v>1.8951540640007483</x:v>
      </x:c>
      <x:c r="D2526" s="47" t="n">
        <x:f>'Datos'!$B$26^3/3</x:f>
        <x:v>0.3333333333333333</x:v>
      </x:c>
      <x:c r="E2526" s="46" t="n">
        <x:f>D2526*(C2526-1)</x:f>
        <x:v>0.2983846880002494</x:v>
      </x:c>
      <x:c r="F2526" s="2"/>
      <x:c r="G2526" s="2"/>
      <x:c r="H2526" s="2"/>
    </x:row>
    <x:row r="2527" ht="22" customHeight="1">
      <x:c r="A2527" s="2" t="n">
        <x:v>2521</x:v>
      </x:c>
      <x:c r="B2527" s="79" t="n">
        <x:v>1.8895976229258367</x:v>
      </x:c>
      <x:c r="C2527" s="46" t="n">
        <x:f>B2527^2</x:f>
        <x:v>3.5705791765669725</x:v>
      </x:c>
      <x:c r="D2527" s="47" t="n">
        <x:f>'Datos'!$B$26^3/3</x:f>
        <x:v>0.3333333333333333</x:v>
      </x:c>
      <x:c r="E2527" s="46" t="n">
        <x:f>D2527*(C2527-1)</x:f>
        <x:v>0.8568597255223241</x:v>
      </x:c>
      <x:c r="F2527" s="2"/>
      <x:c r="G2527" s="2"/>
      <x:c r="H2527" s="2"/>
    </x:row>
    <x:row r="2528" ht="22" customHeight="1">
      <x:c r="A2528" s="2" t="n">
        <x:v>2522</x:v>
      </x:c>
      <x:c r="B2528" s="79" t="n">
        <x:v>-0.7797822545471624</x:v>
      </x:c>
      <x:c r="C2528" s="46" t="n">
        <x:f>B2528^2</x:f>
        <x:v>0.6080603645066557</x:v>
      </x:c>
      <x:c r="D2528" s="47" t="n">
        <x:f>'Datos'!$B$26^3/3</x:f>
        <x:v>0.3333333333333333</x:v>
      </x:c>
      <x:c r="E2528" s="46" t="n">
        <x:f>D2528*(C2528-1)</x:f>
        <x:v>-0.1306465451644481</x:v>
      </x:c>
      <x:c r="F2528" s="2"/>
      <x:c r="G2528" s="2"/>
      <x:c r="H2528" s="2"/>
    </x:row>
    <x:row r="2529" ht="22" customHeight="1">
      <x:c r="A2529" s="2" t="n">
        <x:v>2523</x:v>
      </x:c>
      <x:c r="B2529" s="79" t="n">
        <x:v>2.3159763399261615</x:v>
      </x:c>
      <x:c r="C2529" s="46" t="n">
        <x:f>B2529^2</x:f>
        <x:v>5.363746407097779</x:v>
      </x:c>
      <x:c r="D2529" s="47" t="n">
        <x:f>'Datos'!$B$26^3/3</x:f>
        <x:v>0.3333333333333333</x:v>
      </x:c>
      <x:c r="E2529" s="46" t="n">
        <x:f>D2529*(C2529-1)</x:f>
        <x:v>1.4545821356992596</x:v>
      </x:c>
      <x:c r="F2529" s="2"/>
      <x:c r="G2529" s="2"/>
      <x:c r="H2529" s="2"/>
    </x:row>
    <x:row r="2530" ht="22" customHeight="1">
      <x:c r="A2530" s="2" t="n">
        <x:v>2524</x:v>
      </x:c>
      <x:c r="B2530" s="79" t="n">
        <x:v>-0.8540328619264883</x:v>
      </x:c>
      <x:c r="C2530" s="46" t="n">
        <x:f>B2530^2</x:f>
        <x:v>0.7293721292503482</x:v>
      </x:c>
      <x:c r="D2530" s="47" t="n">
        <x:f>'Datos'!$B$26^3/3</x:f>
        <x:v>0.3333333333333333</x:v>
      </x:c>
      <x:c r="E2530" s="46" t="n">
        <x:f>D2530*(C2530-1)</x:f>
        <x:v>-0.09020929024988392</x:v>
      </x:c>
      <x:c r="F2530" s="2"/>
      <x:c r="G2530" s="2"/>
      <x:c r="H2530" s="2"/>
    </x:row>
    <x:row r="2531" ht="22" customHeight="1">
      <x:c r="A2531" s="2" t="n">
        <x:v>2525</x:v>
      </x:c>
      <x:c r="B2531" s="79" t="n">
        <x:v>1.3893576070424432</x:v>
      </x:c>
      <x:c r="C2531" s="46" t="n">
        <x:f>B2531^2</x:f>
        <x:v>1.9303145602467038</x:v>
      </x:c>
      <x:c r="D2531" s="47" t="n">
        <x:f>'Datos'!$B$26^3/3</x:f>
        <x:v>0.3333333333333333</x:v>
      </x:c>
      <x:c r="E2531" s="46" t="n">
        <x:f>D2531*(C2531-1)</x:f>
        <x:v>0.3101048534155679</x:v>
      </x:c>
      <x:c r="F2531" s="2"/>
      <x:c r="G2531" s="2"/>
      <x:c r="H2531" s="2"/>
    </x:row>
    <x:row r="2532" ht="22" customHeight="1">
      <x:c r="A2532" s="2" t="n">
        <x:v>2526</x:v>
      </x:c>
      <x:c r="B2532" s="79" t="n">
        <x:v>1.5635647171100542</x:v>
      </x:c>
      <x:c r="C2532" s="46" t="n">
        <x:f>B2532^2</x:f>
        <x:v>2.444734624591444</x:v>
      </x:c>
      <x:c r="D2532" s="47" t="n">
        <x:f>'Datos'!$B$26^3/3</x:f>
        <x:v>0.3333333333333333</x:v>
      </x:c>
      <x:c r="E2532" s="46" t="n">
        <x:f>D2532*(C2532-1)</x:f>
        <x:v>0.4815782081971479</x:v>
      </x:c>
      <x:c r="F2532" s="2"/>
      <x:c r="G2532" s="2"/>
      <x:c r="H2532" s="2"/>
    </x:row>
    <x:row r="2533" ht="22" customHeight="1">
      <x:c r="A2533" s="2" t="n">
        <x:v>2527</x:v>
      </x:c>
      <x:c r="B2533" s="79" t="n">
        <x:v>0.29183277543531877</x:v>
      </x:c>
      <x:c r="C2533" s="46" t="n">
        <x:f>B2533^2</x:f>
        <x:v>0.0851663688182812</x:v>
      </x:c>
      <x:c r="D2533" s="47" t="n">
        <x:f>'Datos'!$B$26^3/3</x:f>
        <x:v>0.3333333333333333</x:v>
      </x:c>
      <x:c r="E2533" s="46" t="n">
        <x:f>D2533*(C2533-1)</x:f>
        <x:v>-0.30494454372723956</x:v>
      </x:c>
      <x:c r="F2533" s="2"/>
      <x:c r="G2533" s="2"/>
      <x:c r="H2533" s="2"/>
    </x:row>
    <x:row r="2534" ht="22" customHeight="1">
      <x:c r="A2534" s="2" t="n">
        <x:v>2528</x:v>
      </x:c>
      <x:c r="B2534" s="79" t="n">
        <x:v>-2.381172437292392</x:v>
      </x:c>
      <x:c r="C2534" s="46" t="n">
        <x:f>B2534^2</x:f>
        <x:v>5.66998217612099</x:v>
      </x:c>
      <x:c r="D2534" s="47" t="n">
        <x:f>'Datos'!$B$26^3/3</x:f>
        <x:v>0.3333333333333333</x:v>
      </x:c>
      <x:c r="E2534" s="46" t="n">
        <x:f>D2534*(C2534-1)</x:f>
        <x:v>1.5566607253736633</x:v>
      </x:c>
      <x:c r="F2534" s="2"/>
      <x:c r="G2534" s="2"/>
      <x:c r="H2534" s="2"/>
    </x:row>
    <x:row r="2535" ht="22" customHeight="1">
      <x:c r="A2535" s="2" t="n">
        <x:v>2529</x:v>
      </x:c>
      <x:c r="B2535" s="79" t="n">
        <x:v>-1.5707045654756902</x:v>
      </x:c>
      <x:c r="C2535" s="46" t="n">
        <x:f>B2535^2</x:f>
        <x:v>2.4671128320061766</x:v>
      </x:c>
      <x:c r="D2535" s="47" t="n">
        <x:f>'Datos'!$B$26^3/3</x:f>
        <x:v>0.3333333333333333</x:v>
      </x:c>
      <x:c r="E2535" s="46" t="n">
        <x:f>D2535*(C2535-1)</x:f>
        <x:v>0.48903761066872553</x:v>
      </x:c>
      <x:c r="F2535" s="2"/>
      <x:c r="G2535" s="2"/>
      <x:c r="H2535" s="2"/>
    </x:row>
    <x:row r="2536" ht="22" customHeight="1">
      <x:c r="A2536" s="2" t="n">
        <x:v>2530</x:v>
      </x:c>
      <x:c r="B2536" s="79" t="n">
        <x:v>-0.5401644317522317</x:v>
      </x:c>
      <x:c r="C2536" s="46" t="n">
        <x:f>B2536^2</x:f>
        <x:v>0.2917776133302114</x:v>
      </x:c>
      <x:c r="D2536" s="47" t="n">
        <x:f>'Datos'!$B$26^3/3</x:f>
        <x:v>0.3333333333333333</x:v>
      </x:c>
      <x:c r="E2536" s="46" t="n">
        <x:f>D2536*(C2536-1)</x:f>
        <x:v>-0.2360741288899295</x:v>
      </x:c>
      <x:c r="F2536" s="2"/>
      <x:c r="G2536" s="2"/>
      <x:c r="H2536" s="2"/>
    </x:row>
    <x:row r="2537" ht="22" customHeight="1">
      <x:c r="A2537" s="2" t="n">
        <x:v>2531</x:v>
      </x:c>
      <x:c r="B2537" s="79" t="n">
        <x:v>-2.7562936532058564</x:v>
      </x:c>
      <x:c r="C2537" s="46" t="n">
        <x:f>B2537^2</x:f>
        <x:v>7.597154702702886</x:v>
      </x:c>
      <x:c r="D2537" s="47" t="n">
        <x:f>'Datos'!$B$26^3/3</x:f>
        <x:v>0.3333333333333333</x:v>
      </x:c>
      <x:c r="E2537" s="46" t="n">
        <x:f>D2537*(C2537-1)</x:f>
        <x:v>2.1990515675676283</x:v>
      </x:c>
      <x:c r="F2537" s="2"/>
      <x:c r="G2537" s="2"/>
      <x:c r="H2537" s="2"/>
    </x:row>
    <x:row r="2538" ht="22" customHeight="1">
      <x:c r="A2538" s="2" t="n">
        <x:v>2532</x:v>
      </x:c>
      <x:c r="B2538" s="79" t="n">
        <x:v>-1.046735234408916</x:v>
      </x:c>
      <x:c r="C2538" s="46" t="n">
        <x:f>B2538^2</x:f>
        <x:v>1.0956546509530884</x:v>
      </x:c>
      <x:c r="D2538" s="47" t="n">
        <x:f>'Datos'!$B$26^3/3</x:f>
        <x:v>0.3333333333333333</x:v>
      </x:c>
      <x:c r="E2538" s="46" t="n">
        <x:f>D2538*(C2538-1)</x:f>
        <x:v>0.03188488365102948</x:v>
      </x:c>
      <x:c r="F2538" s="2"/>
      <x:c r="G2538" s="2"/>
      <x:c r="H2538" s="2"/>
    </x:row>
    <x:row r="2539" ht="22" customHeight="1">
      <x:c r="A2539" s="2" t="n">
        <x:v>2533</x:v>
      </x:c>
      <x:c r="B2539" s="79" t="n">
        <x:v>-0.5660631103559303</x:v>
      </x:c>
      <x:c r="C2539" s="46" t="n">
        <x:f>B2539^2</x:f>
        <x:v>0.3204274449058301</x:v>
      </x:c>
      <x:c r="D2539" s="47" t="n">
        <x:f>'Datos'!$B$26^3/3</x:f>
        <x:v>0.3333333333333333</x:v>
      </x:c>
      <x:c r="E2539" s="46" t="n">
        <x:f>D2539*(C2539-1)</x:f>
        <x:v>-0.22652418503138996</x:v>
      </x:c>
      <x:c r="F2539" s="2"/>
      <x:c r="G2539" s="2"/>
      <x:c r="H2539" s="2"/>
    </x:row>
    <x:row r="2540" ht="22" customHeight="1">
      <x:c r="A2540" s="2" t="n">
        <x:v>2534</x:v>
      </x:c>
      <x:c r="B2540" s="79" t="n">
        <x:v>-0.31433307511127334</x:v>
      </x:c>
      <x:c r="C2540" s="46" t="n">
        <x:f>B2540^2</x:f>
        <x:v>0.0988052821089094</x:v>
      </x:c>
      <x:c r="D2540" s="47" t="n">
        <x:f>'Datos'!$B$26^3/3</x:f>
        <x:v>0.3333333333333333</x:v>
      </x:c>
      <x:c r="E2540" s="46" t="n">
        <x:f>D2540*(C2540-1)</x:f>
        <x:v>-0.3003982392970302</x:v>
      </x:c>
      <x:c r="F2540" s="2"/>
      <x:c r="G2540" s="2"/>
      <x:c r="H2540" s="2"/>
    </x:row>
    <x:row r="2541" ht="22" customHeight="1">
      <x:c r="A2541" s="2" t="n">
        <x:v>2535</x:v>
      </x:c>
      <x:c r="B2541" s="79" t="n">
        <x:v>-0.06797807875015767</x:v>
      </x:c>
      <x:c r="C2541" s="46" t="n">
        <x:f>B2541^2</x:f>
        <x:v>0.004621019190562637</x:v>
      </x:c>
      <x:c r="D2541" s="47" t="n">
        <x:f>'Datos'!$B$26^3/3</x:f>
        <x:v>0.3333333333333333</x:v>
      </x:c>
      <x:c r="E2541" s="46" t="n">
        <x:f>D2541*(C2541-1)</x:f>
        <x:v>-0.33179299360314574</x:v>
      </x:c>
      <x:c r="F2541" s="2"/>
      <x:c r="G2541" s="2"/>
      <x:c r="H2541" s="2"/>
    </x:row>
    <x:row r="2542" ht="22" customHeight="1">
      <x:c r="A2542" s="2" t="n">
        <x:v>2536</x:v>
      </x:c>
      <x:c r="B2542" s="79" t="n">
        <x:v>0.11530437640264415</x:v>
      </x:c>
      <x:c r="C2542" s="46" t="n">
        <x:f>B2542^2</x:f>
        <x:v>0.013295099217602642</x:v>
      </x:c>
      <x:c r="D2542" s="47" t="n">
        <x:f>'Datos'!$B$26^3/3</x:f>
        <x:v>0.3333333333333333</x:v>
      </x:c>
      <x:c r="E2542" s="46" t="n">
        <x:f>D2542*(C2542-1)</x:f>
        <x:v>-0.32890163359413244</x:v>
      </x:c>
      <x:c r="F2542" s="2"/>
      <x:c r="G2542" s="2"/>
      <x:c r="H2542" s="2"/>
    </x:row>
    <x:row r="2543" ht="22" customHeight="1">
      <x:c r="A2543" s="2" t="n">
        <x:v>2537</x:v>
      </x:c>
      <x:c r="B2543" s="79" t="n">
        <x:v>0.19532827847787035</x:v>
      </x:c>
      <x:c r="C2543" s="46" t="n">
        <x:f>B2543^2</x:f>
        <x:v>0.03815313637312847</x:v>
      </x:c>
      <x:c r="D2543" s="47" t="n">
        <x:f>'Datos'!$B$26^3/3</x:f>
        <x:v>0.3333333333333333</x:v>
      </x:c>
      <x:c r="E2543" s="46" t="n">
        <x:f>D2543*(C2543-1)</x:f>
        <x:v>-0.32061562120895715</x:v>
      </x:c>
      <x:c r="F2543" s="2"/>
      <x:c r="G2543" s="2"/>
      <x:c r="H2543" s="2"/>
    </x:row>
    <x:row r="2544" ht="22" customHeight="1">
      <x:c r="A2544" s="2" t="n">
        <x:v>2538</x:v>
      </x:c>
      <x:c r="B2544" s="79" t="n">
        <x:v>-0.5060408481918497</x:v>
      </x:c>
      <x:c r="C2544" s="46" t="n">
        <x:f>B2544^2</x:f>
        <x:v>0.2560773400387267</x:v>
      </x:c>
      <x:c r="D2544" s="47" t="n">
        <x:f>'Datos'!$B$26^3/3</x:f>
        <x:v>0.3333333333333333</x:v>
      </x:c>
      <x:c r="E2544" s="46" t="n">
        <x:f>D2544*(C2544-1)</x:f>
        <x:v>-0.24797421998709113</x:v>
      </x:c>
      <x:c r="F2544" s="2"/>
      <x:c r="G2544" s="2"/>
      <x:c r="H2544" s="2"/>
    </x:row>
    <x:row r="2545" ht="22" customHeight="1">
      <x:c r="A2545" s="2" t="n">
        <x:v>2539</x:v>
      </x:c>
      <x:c r="B2545" s="79" t="n">
        <x:v>-0.5593881790230302</x:v>
      </x:c>
      <x:c r="C2545" s="46" t="n">
        <x:f>B2545^2</x:f>
        <x:v>0.31291513483070166</x:v>
      </x:c>
      <x:c r="D2545" s="47" t="n">
        <x:f>'Datos'!$B$26^3/3</x:f>
        <x:v>0.3333333333333333</x:v>
      </x:c>
      <x:c r="E2545" s="46" t="n">
        <x:f>D2545*(C2545-1)</x:f>
        <x:v>-0.2290282883897661</x:v>
      </x:c>
      <x:c r="F2545" s="2"/>
      <x:c r="G2545" s="2"/>
      <x:c r="H2545" s="2"/>
    </x:row>
    <x:row r="2546" ht="22" customHeight="1">
      <x:c r="A2546" s="2" t="n">
        <x:v>2540</x:v>
      </x:c>
      <x:c r="B2546" s="79" t="n">
        <x:v>-0.5187322789235731</x:v>
      </x:c>
      <x:c r="C2546" s="46" t="n">
        <x:f>B2546^2</x:f>
        <x:v>0.2690831771972436</x:v>
      </x:c>
      <x:c r="D2546" s="47" t="n">
        <x:f>'Datos'!$B$26^3/3</x:f>
        <x:v>0.3333333333333333</x:v>
      </x:c>
      <x:c r="E2546" s="46" t="n">
        <x:f>D2546*(C2546-1)</x:f>
        <x:v>-0.24363894093425212</x:v>
      </x:c>
      <x:c r="F2546" s="2"/>
      <x:c r="G2546" s="2"/>
      <x:c r="H2546" s="2"/>
    </x:row>
    <x:row r="2547" ht="22" customHeight="1">
      <x:c r="A2547" s="2" t="n">
        <x:v>2541</x:v>
      </x:c>
      <x:c r="B2547" s="79" t="n">
        <x:v>0.38029598483141475</x:v>
      </x:c>
      <x:c r="C2547" s="46" t="n">
        <x:f>B2547^2</x:f>
        <x:v>0.14462503607889562</x:v>
      </x:c>
      <x:c r="D2547" s="47" t="n">
        <x:f>'Datos'!$B$26^3/3</x:f>
        <x:v>0.3333333333333333</x:v>
      </x:c>
      <x:c r="E2547" s="46" t="n">
        <x:f>D2547*(C2547-1)</x:f>
        <x:v>-0.28512498797370145</x:v>
      </x:c>
      <x:c r="F2547" s="2"/>
      <x:c r="G2547" s="2"/>
      <x:c r="H2547" s="2"/>
    </x:row>
    <x:row r="2548" ht="22" customHeight="1">
      <x:c r="A2548" s="2" t="n">
        <x:v>2542</x:v>
      </x:c>
      <x:c r="B2548" s="79" t="n">
        <x:v>-2.0629345633145255</x:v>
      </x:c>
      <x:c r="C2548" s="46" t="n">
        <x:f>B2548^2</x:f>
        <x:v>4.255699012517692</x:v>
      </x:c>
      <x:c r="D2548" s="47" t="n">
        <x:f>'Datos'!$B$26^3/3</x:f>
        <x:v>0.3333333333333333</x:v>
      </x:c>
      <x:c r="E2548" s="46" t="n">
        <x:f>D2548*(C2548-1)</x:f>
        <x:v>1.0852330041725637</x:v>
      </x:c>
      <x:c r="F2548" s="2"/>
      <x:c r="G2548" s="2"/>
      <x:c r="H2548" s="2"/>
    </x:row>
    <x:row r="2549" ht="22" customHeight="1">
      <x:c r="A2549" s="2" t="n">
        <x:v>2543</x:v>
      </x:c>
      <x:c r="B2549" s="79" t="n">
        <x:v>0.18167289028362596</x:v>
      </x:c>
      <x:c r="C2549" s="46" t="n">
        <x:f>B2549^2</x:f>
        <x:v>0.0330050390640064</x:v>
      </x:c>
      <x:c r="D2549" s="47" t="n">
        <x:f>'Datos'!$B$26^3/3</x:f>
        <x:v>0.3333333333333333</x:v>
      </x:c>
      <x:c r="E2549" s="46" t="n">
        <x:f>D2549*(C2549-1)</x:f>
        <x:v>-0.3223316536453312</x:v>
      </x:c>
      <x:c r="F2549" s="2"/>
      <x:c r="G2549" s="2"/>
      <x:c r="H2549" s="2"/>
    </x:row>
    <x:row r="2550" ht="22" customHeight="1">
      <x:c r="A2550" s="2" t="n">
        <x:v>2544</x:v>
      </x:c>
      <x:c r="B2550" s="79" t="n">
        <x:v>-1.6679224741187297</x:v>
      </x:c>
      <x:c r="C2550" s="46" t="n">
        <x:f>B2550^2</x:f>
        <x:v>2.7819653796703445</x:v>
      </x:c>
      <x:c r="D2550" s="47" t="n">
        <x:f>'Datos'!$B$26^3/3</x:f>
        <x:v>0.3333333333333333</x:v>
      </x:c>
      <x:c r="E2550" s="46" t="n">
        <x:f>D2550*(C2550-1)</x:f>
        <x:v>0.5939884598901148</x:v>
      </x:c>
      <x:c r="F2550" s="2"/>
      <x:c r="G2550" s="2"/>
      <x:c r="H2550" s="2"/>
    </x:row>
    <x:row r="2551" ht="22" customHeight="1">
      <x:c r="A2551" s="2" t="n">
        <x:v>2545</x:v>
      </x:c>
      <x:c r="B2551" s="79" t="n">
        <x:v>1.3705607730954785</x:v>
      </x:c>
      <x:c r="C2551" s="46" t="n">
        <x:f>B2551^2</x:f>
        <x:v>1.8784368327480758</x:v>
      </x:c>
      <x:c r="D2551" s="47" t="n">
        <x:f>'Datos'!$B$26^3/3</x:f>
        <x:v>0.3333333333333333</x:v>
      </x:c>
      <x:c r="E2551" s="46" t="n">
        <x:f>D2551*(C2551-1)</x:f>
        <x:v>0.2928122775826919</x:v>
      </x:c>
      <x:c r="F2551" s="2"/>
      <x:c r="G2551" s="2"/>
      <x:c r="H2551" s="2"/>
    </x:row>
    <x:row r="2552" ht="22" customHeight="1">
      <x:c r="A2552" s="2" t="n">
        <x:v>2546</x:v>
      </x:c>
      <x:c r="B2552" s="79" t="n">
        <x:v>-0.2384864774768359</x:v>
      </x:c>
      <x:c r="C2552" s="46" t="n">
        <x:f>B2552^2</x:f>
        <x:v>0.05687579993930936</x:v>
      </x:c>
      <x:c r="D2552" s="47" t="n">
        <x:f>'Datos'!$B$26^3/3</x:f>
        <x:v>0.3333333333333333</x:v>
      </x:c>
      <x:c r="E2552" s="46" t="n">
        <x:f>D2552*(C2552-1)</x:f>
        <x:v>-0.31437473335356353</x:v>
      </x:c>
      <x:c r="F2552" s="2"/>
      <x:c r="G2552" s="2"/>
      <x:c r="H2552" s="2"/>
    </x:row>
    <x:row r="2553" ht="22" customHeight="1">
      <x:c r="A2553" s="2" t="n">
        <x:v>2547</x:v>
      </x:c>
      <x:c r="B2553" s="79" t="n">
        <x:v>1.179382352031753</x:v>
      </x:c>
      <x:c r="C2553" s="46" t="n">
        <x:f>B2553^2</x:f>
        <x:v>1.3909427322839498</x:v>
      </x:c>
      <x:c r="D2553" s="47" t="n">
        <x:f>'Datos'!$B$26^3/3</x:f>
        <x:v>0.3333333333333333</x:v>
      </x:c>
      <x:c r="E2553" s="46" t="n">
        <x:f>D2553*(C2553-1)</x:f>
        <x:v>0.13031424409464992</x:v>
      </x:c>
      <x:c r="F2553" s="2"/>
      <x:c r="G2553" s="2"/>
      <x:c r="H2553" s="2"/>
    </x:row>
    <x:row r="2554" ht="22" customHeight="1">
      <x:c r="A2554" s="2" t="n">
        <x:v>2548</x:v>
      </x:c>
      <x:c r="B2554" s="79" t="n">
        <x:v>1.1713703658245576</x:v>
      </x:c>
      <x:c r="C2554" s="46" t="n">
        <x:f>B2554^2</x:f>
        <x:v>1.3721085339319579</x:v>
      </x:c>
      <x:c r="D2554" s="47" t="n">
        <x:f>'Datos'!$B$26^3/3</x:f>
        <x:v>0.3333333333333333</x:v>
      </x:c>
      <x:c r="E2554" s="46" t="n">
        <x:f>D2554*(C2554-1)</x:f>
        <x:v>0.12403617797731928</x:v>
      </x:c>
      <x:c r="F2554" s="2"/>
      <x:c r="G2554" s="2"/>
      <x:c r="H2554" s="2"/>
    </x:row>
    <x:row r="2555" ht="22" customHeight="1">
      <x:c r="A2555" s="2" t="n">
        <x:v>2549</x:v>
      </x:c>
      <x:c r="B2555" s="79" t="n">
        <x:v>-1.0512348288721367</x:v>
      </x:c>
      <x:c r="C2555" s="46" t="n">
        <x:f>B2555^2</x:f>
        <x:v>1.1050946654338305</x:v>
      </x:c>
      <x:c r="D2555" s="47" t="n">
        <x:f>'Datos'!$B$26^3/3</x:f>
        <x:v>0.3333333333333333</x:v>
      </x:c>
      <x:c r="E2555" s="46" t="n">
        <x:f>D2555*(C2555-1)</x:f>
        <x:v>0.03503155514461016</x:v>
      </x:c>
      <x:c r="F2555" s="2"/>
      <x:c r="G2555" s="2"/>
      <x:c r="H2555" s="2"/>
    </x:row>
    <x:row r="2556" ht="22" customHeight="1">
      <x:c r="A2556" s="2" t="n">
        <x:v>2550</x:v>
      </x:c>
      <x:c r="B2556" s="79" t="n">
        <x:v>-0.27998033974162617</x:v>
      </x:c>
      <x:c r="C2556" s="46" t="n">
        <x:f>B2556^2</x:f>
        <x:v>0.07838899064183641</x:v>
      </x:c>
      <x:c r="D2556" s="47" t="n">
        <x:f>'Datos'!$B$26^3/3</x:f>
        <x:v>0.3333333333333333</x:v>
      </x:c>
      <x:c r="E2556" s="46" t="n">
        <x:f>D2556*(C2556-1)</x:f>
        <x:v>-0.3072036697860545</x:v>
      </x:c>
      <x:c r="F2556" s="2"/>
      <x:c r="G2556" s="2"/>
      <x:c r="H2556" s="2"/>
    </x:row>
    <x:row r="2557" ht="22" customHeight="1">
      <x:c r="A2557" s="2" t="n">
        <x:v>2551</x:v>
      </x:c>
      <x:c r="B2557" s="79" t="n">
        <x:v>-2.3962232521978537</x:v>
      </x:c>
      <x:c r="C2557" s="46" t="n">
        <x:f>B2557^2</x:f>
        <x:v>5.741885874373659</x:v>
      </x:c>
      <x:c r="D2557" s="47" t="n">
        <x:f>'Datos'!$B$26^3/3</x:f>
        <x:v>0.3333333333333333</x:v>
      </x:c>
      <x:c r="E2557" s="46" t="n">
        <x:f>D2557*(C2557-1)</x:f>
        <x:v>1.5806286247912196</x:v>
      </x:c>
      <x:c r="F2557" s="2"/>
      <x:c r="G2557" s="2"/>
      <x:c r="H2557" s="2"/>
    </x:row>
    <x:row r="2558" ht="22" customHeight="1">
      <x:c r="A2558" s="2" t="n">
        <x:v>2552</x:v>
      </x:c>
      <x:c r="B2558" s="79" t="n">
        <x:v>1.4345930851395952</x:v>
      </x:c>
      <x:c r="C2558" s="46" t="n">
        <x:f>B2558^2</x:f>
        <x:v>2.0580573199303416</x:v>
      </x:c>
      <x:c r="D2558" s="47" t="n">
        <x:f>'Datos'!$B$26^3/3</x:f>
        <x:v>0.3333333333333333</x:v>
      </x:c>
      <x:c r="E2558" s="46" t="n">
        <x:f>D2558*(C2558-1)</x:f>
        <x:v>0.35268577331011386</x:v>
      </x:c>
      <x:c r="F2558" s="2"/>
      <x:c r="G2558" s="2"/>
      <x:c r="H2558" s="2"/>
    </x:row>
    <x:row r="2559" ht="22" customHeight="1">
      <x:c r="A2559" s="2" t="n">
        <x:v>2553</x:v>
      </x:c>
      <x:c r="B2559" s="79" t="n">
        <x:v>-0.12008781284312707</x:v>
      </x:c>
      <x:c r="C2559" s="46" t="n">
        <x:f>B2559^2</x:f>
        <x:v>0.014421082793445915</x:v>
      </x:c>
      <x:c r="D2559" s="47" t="n">
        <x:f>'Datos'!$B$26^3/3</x:f>
        <x:v>0.3333333333333333</x:v>
      </x:c>
      <x:c r="E2559" s="46" t="n">
        <x:f>D2559*(C2559-1)</x:f>
        <x:v>-0.328526305735518</x:v>
      </x:c>
      <x:c r="F2559" s="2"/>
      <x:c r="G2559" s="2"/>
      <x:c r="H2559" s="2"/>
    </x:row>
    <x:row r="2560" ht="22" customHeight="1">
      <x:c r="A2560" s="2" t="n">
        <x:v>2554</x:v>
      </x:c>
      <x:c r="B2560" s="79" t="n">
        <x:v>-0.8954952419060037</x:v>
      </x:c>
      <x:c r="C2560" s="46" t="n">
        <x:f>B2560^2</x:f>
        <x:v>0.8019117282762921</x:v>
      </x:c>
      <x:c r="D2560" s="47" t="n">
        <x:f>'Datos'!$B$26^3/3</x:f>
        <x:v>0.3333333333333333</x:v>
      </x:c>
      <x:c r="E2560" s="46" t="n">
        <x:f>D2560*(C2560-1)</x:f>
        <x:v>-0.06602942390790263</x:v>
      </x:c>
      <x:c r="F2560" s="2"/>
      <x:c r="G2560" s="2"/>
      <x:c r="H2560" s="2"/>
    </x:row>
    <x:row r="2561" ht="22" customHeight="1">
      <x:c r="A2561" s="2" t="n">
        <x:v>2555</x:v>
      </x:c>
      <x:c r="B2561" s="79" t="n">
        <x:v>0.9496914601623655</x:v>
      </x:c>
      <x:c r="C2561" s="46" t="n">
        <x:f>B2561^2</x:f>
        <x:v>0.9019138695053258</x:v>
      </x:c>
      <x:c r="D2561" s="47" t="n">
        <x:f>'Datos'!$B$26^3/3</x:f>
        <x:v>0.3333333333333333</x:v>
      </x:c>
      <x:c r="E2561" s="46" t="n">
        <x:f>D2561*(C2561-1)</x:f>
        <x:v>-0.03269537683155806</x:v>
      </x:c>
      <x:c r="F2561" s="2"/>
      <x:c r="G2561" s="2"/>
      <x:c r="H2561" s="2"/>
    </x:row>
    <x:row r="2562" ht="22" customHeight="1">
      <x:c r="A2562" s="2" t="n">
        <x:v>2556</x:v>
      </x:c>
      <x:c r="B2562" s="79" t="n">
        <x:v>-0.17531803953477448</x:v>
      </x:c>
      <x:c r="C2562" s="46" t="n">
        <x:f>B2562^2</x:f>
        <x:v>0.030736414986316747</x:v>
      </x:c>
      <x:c r="D2562" s="47" t="n">
        <x:f>'Datos'!$B$26^3/3</x:f>
        <x:v>0.3333333333333333</x:v>
      </x:c>
      <x:c r="E2562" s="46" t="n">
        <x:f>D2562*(C2562-1)</x:f>
        <x:v>-0.3230878616712277</x:v>
      </x:c>
      <x:c r="F2562" s="2"/>
      <x:c r="G2562" s="2"/>
      <x:c r="H2562" s="2"/>
    </x:row>
    <x:row r="2563" ht="22" customHeight="1">
      <x:c r="A2563" s="2" t="n">
        <x:v>2557</x:v>
      </x:c>
      <x:c r="B2563" s="79" t="n">
        <x:v>-0.8240604831764496</x:v>
      </x:c>
      <x:c r="C2563" s="46" t="n">
        <x:f>B2563^2</x:f>
        <x:v>0.6790756799330037</x:v>
      </x:c>
      <x:c r="D2563" s="47" t="n">
        <x:f>'Datos'!$B$26^3/3</x:f>
        <x:v>0.3333333333333333</x:v>
      </x:c>
      <x:c r="E2563" s="46" t="n">
        <x:f>D2563*(C2563-1)</x:f>
        <x:v>-0.10697477335566544</x:v>
      </x:c>
      <x:c r="F2563" s="2"/>
      <x:c r="G2563" s="2"/>
      <x:c r="H2563" s="2"/>
    </x:row>
    <x:row r="2564" ht="22" customHeight="1">
      <x:c r="A2564" s="2" t="n">
        <x:v>2558</x:v>
      </x:c>
      <x:c r="B2564" s="79" t="n">
        <x:v>1.2390819197252136</x:v>
      </x:c>
      <x:c r="C2564" s="46" t="n">
        <x:f>B2564^2</x:f>
        <x:v>1.5353240037899207</x:v>
      </x:c>
      <x:c r="D2564" s="47" t="n">
        <x:f>'Datos'!$B$26^3/3</x:f>
        <x:v>0.3333333333333333</x:v>
      </x:c>
      <x:c r="E2564" s="46" t="n">
        <x:f>D2564*(C2564-1)</x:f>
        <x:v>0.17844133459664024</x:v>
      </x:c>
      <x:c r="F2564" s="2"/>
      <x:c r="G2564" s="2"/>
      <x:c r="H2564" s="2"/>
    </x:row>
    <x:row r="2565" ht="22" customHeight="1">
      <x:c r="A2565" s="2" t="n">
        <x:v>2559</x:v>
      </x:c>
      <x:c r="B2565" s="79" t="n">
        <x:v>0.36061928721314207</x:v>
      </x:c>
      <x:c r="C2565" s="46" t="n">
        <x:f>B2565^2</x:f>
        <x:v>0.13004627031011465</x:v>
      </x:c>
      <x:c r="D2565" s="47" t="n">
        <x:f>'Datos'!$B$26^3/3</x:f>
        <x:v>0.3333333333333333</x:v>
      </x:c>
      <x:c r="E2565" s="46" t="n">
        <x:f>D2565*(C2565-1)</x:f>
        <x:v>-0.2899845765632951</x:v>
      </x:c>
      <x:c r="F2565" s="2"/>
      <x:c r="G2565" s="2"/>
      <x:c r="H2565" s="2"/>
    </x:row>
    <x:row r="2566" ht="22" customHeight="1">
      <x:c r="A2566" s="2" t="n">
        <x:v>2560</x:v>
      </x:c>
      <x:c r="B2566" s="79" t="n">
        <x:v>-0.37283044794155684</x:v>
      </x:c>
      <x:c r="C2566" s="46" t="n">
        <x:f>B2566^2</x:f>
        <x:v>0.13900254291230194</x:v>
      </x:c>
      <x:c r="D2566" s="47" t="n">
        <x:f>'Datos'!$B$26^3/3</x:f>
        <x:v>0.3333333333333333</x:v>
      </x:c>
      <x:c r="E2566" s="46" t="n">
        <x:f>D2566*(C2566-1)</x:f>
        <x:v>-0.286999152362566</x:v>
      </x:c>
      <x:c r="F2566" s="2"/>
      <x:c r="G2566" s="2"/>
      <x:c r="H2566" s="2"/>
    </x:row>
    <x:row r="2567" ht="22" customHeight="1">
      <x:c r="A2567" s="2" t="n">
        <x:v>2561</x:v>
      </x:c>
      <x:c r="B2567" s="79" t="n">
        <x:v>-0.12376610741766966</x:v>
      </x:c>
      <x:c r="C2567" s="46" t="n">
        <x:f>B2567^2</x:f>
        <x:v>0.015318049345322146</x:v>
      </x:c>
      <x:c r="D2567" s="47" t="n">
        <x:f>'Datos'!$B$26^3/3</x:f>
        <x:v>0.3333333333333333</x:v>
      </x:c>
      <x:c r="E2567" s="46" t="n">
        <x:f>D2567*(C2567-1)</x:f>
        <x:v>-0.3282273168848926</x:v>
      </x:c>
      <x:c r="F2567" s="2"/>
      <x:c r="G2567" s="2"/>
      <x:c r="H2567" s="2"/>
    </x:row>
    <x:row r="2568" ht="22" customHeight="1">
      <x:c r="A2568" s="2" t="n">
        <x:v>2562</x:v>
      </x:c>
      <x:c r="B2568" s="79" t="n">
        <x:v>-0.527565572375358</x:v>
      </x:c>
      <x:c r="C2568" s="46" t="n">
        <x:f>B2568^2</x:f>
        <x:v>0.27832543315573904</x:v>
      </x:c>
      <x:c r="D2568" s="47" t="n">
        <x:f>'Datos'!$B$26^3/3</x:f>
        <x:v>0.3333333333333333</x:v>
      </x:c>
      <x:c r="E2568" s="46" t="n">
        <x:f>D2568*(C2568-1)</x:f>
        <x:v>-0.240558188948087</x:v>
      </x:c>
      <x:c r="F2568" s="2"/>
      <x:c r="G2568" s="2"/>
      <x:c r="H2568" s="2"/>
    </x:row>
    <x:row r="2569" ht="22" customHeight="1">
      <x:c r="A2569" s="2" t="n">
        <x:v>2563</x:v>
      </x:c>
      <x:c r="B2569" s="79" t="n">
        <x:v>1.1828873630017098</x:v>
      </x:c>
      <x:c r="C2569" s="46" t="n">
        <x:f>B2569^2</x:f>
        <x:v>1.3992225135491387</x:v>
      </x:c>
      <x:c r="D2569" s="47" t="n">
        <x:f>'Datos'!$B$26^3/3</x:f>
        <x:v>0.3333333333333333</x:v>
      </x:c>
      <x:c r="E2569" s="46" t="n">
        <x:f>D2569*(C2569-1)</x:f>
        <x:v>0.13307417118304624</x:v>
      </x:c>
      <x:c r="F2569" s="2"/>
      <x:c r="G2569" s="2"/>
      <x:c r="H2569" s="2"/>
    </x:row>
    <x:row r="2570" ht="22" customHeight="1">
      <x:c r="A2570" s="2" t="n">
        <x:v>2564</x:v>
      </x:c>
      <x:c r="B2570" s="79" t="n">
        <x:v>0.5873634554539727</x:v>
      </x:c>
      <x:c r="C2570" s="46" t="n">
        <x:f>B2570^2</x:f>
        <x:v>0.34499582880283103</x:v>
      </x:c>
      <x:c r="D2570" s="47" t="n">
        <x:f>'Datos'!$B$26^3/3</x:f>
        <x:v>0.3333333333333333</x:v>
      </x:c>
      <x:c r="E2570" s="46" t="n">
        <x:f>D2570*(C2570-1)</x:f>
        <x:v>-0.21833472373238966</x:v>
      </x:c>
      <x:c r="F2570" s="2"/>
      <x:c r="G2570" s="2"/>
      <x:c r="H2570" s="2"/>
    </x:row>
    <x:row r="2571" ht="22" customHeight="1">
      <x:c r="A2571" s="2" t="n">
        <x:v>2565</x:v>
      </x:c>
      <x:c r="B2571" s="79" t="n">
        <x:v>0.25592926281335393</x:v>
      </x:c>
      <x:c r="C2571" s="46" t="n">
        <x:f>B2571^2</x:f>
        <x:v>0.06549978756418678</x:v>
      </x:c>
      <x:c r="D2571" s="47" t="n">
        <x:f>'Datos'!$B$26^3/3</x:f>
        <x:v>0.3333333333333333</x:v>
      </x:c>
      <x:c r="E2571" s="46" t="n">
        <x:f>D2571*(C2571-1)</x:f>
        <x:v>-0.31150007081193776</x:v>
      </x:c>
      <x:c r="F2571" s="2"/>
      <x:c r="G2571" s="2"/>
      <x:c r="H2571" s="2"/>
    </x:row>
    <x:row r="2572" ht="22" customHeight="1">
      <x:c r="A2572" s="2" t="n">
        <x:v>2566</x:v>
      </x:c>
      <x:c r="B2572" s="79" t="n">
        <x:v>-0.794471435659031</x:v>
      </x:c>
      <x:c r="C2572" s="46" t="n">
        <x:f>B2572^2</x:f>
        <x:v>0.6311848620781219</x:v>
      </x:c>
      <x:c r="D2572" s="47" t="n">
        <x:f>'Datos'!$B$26^3/3</x:f>
        <x:v>0.3333333333333333</x:v>
      </x:c>
      <x:c r="E2572" s="46" t="n">
        <x:f>D2572*(C2572-1)</x:f>
        <x:v>-0.1229383793072927</x:v>
      </x:c>
      <x:c r="F2572" s="2"/>
      <x:c r="G2572" s="2"/>
      <x:c r="H2572" s="2"/>
    </x:row>
    <x:row r="2573" ht="22" customHeight="1">
      <x:c r="A2573" s="2" t="n">
        <x:v>2567</x:v>
      </x:c>
      <x:c r="B2573" s="79" t="n">
        <x:v>0.6557223550941995</x:v>
      </x:c>
      <x:c r="C2573" s="46" t="n">
        <x:f>B2573^2</x:f>
        <x:v>0.4299718069702835</x:v>
      </x:c>
      <x:c r="D2573" s="47" t="n">
        <x:f>'Datos'!$B$26^3/3</x:f>
        <x:v>0.3333333333333333</x:v>
      </x:c>
      <x:c r="E2573" s="46" t="n">
        <x:f>D2573*(C2573-1)</x:f>
        <x:v>-0.19000939767657216</x:v>
      </x:c>
      <x:c r="F2573" s="2"/>
      <x:c r="G2573" s="2"/>
      <x:c r="H2573" s="2"/>
    </x:row>
    <x:row r="2574" ht="22" customHeight="1">
      <x:c r="A2574" s="2" t="n">
        <x:v>2568</x:v>
      </x:c>
      <x:c r="B2574" s="79" t="n">
        <x:v>0.04494598036744343</x:v>
      </x:c>
      <x:c r="C2574" s="46" t="n">
        <x:f>B2574^2</x:f>
        <x:v>0.0020201411511906104</x:v>
      </x:c>
      <x:c r="D2574" s="47" t="n">
        <x:f>'Datos'!$B$26^3/3</x:f>
        <x:v>0.3333333333333333</x:v>
      </x:c>
      <x:c r="E2574" s="46" t="n">
        <x:f>D2574*(C2574-1)</x:f>
        <x:v>-0.3326599529496031</x:v>
      </x:c>
      <x:c r="F2574" s="2"/>
      <x:c r="G2574" s="2"/>
      <x:c r="H2574" s="2"/>
    </x:row>
    <x:row r="2575" ht="22" customHeight="1">
      <x:c r="A2575" s="2" t="n">
        <x:v>2569</x:v>
      </x:c>
      <x:c r="B2575" s="79" t="n">
        <x:v>-0.09453194229464766</x:v>
      </x:c>
      <x:c r="C2575" s="46" t="n">
        <x:f>B2575^2</x:f>
        <x:v>0.008936288113998596</x:v>
      </x:c>
      <x:c r="D2575" s="47" t="n">
        <x:f>'Datos'!$B$26^3/3</x:f>
        <x:v>0.3333333333333333</x:v>
      </x:c>
      <x:c r="E2575" s="46" t="n">
        <x:f>D2575*(C2575-1)</x:f>
        <x:v>-0.33035457062866713</x:v>
      </x:c>
      <x:c r="F2575" s="2"/>
      <x:c r="G2575" s="2"/>
      <x:c r="H2575" s="2"/>
    </x:row>
    <x:row r="2576" ht="22" customHeight="1">
      <x:c r="A2576" s="2" t="n">
        <x:v>2570</x:v>
      </x:c>
      <x:c r="B2576" s="79" t="n">
        <x:v>2.291886501303772</x:v>
      </x:c>
      <x:c r="C2576" s="46" t="n">
        <x:f>B2576^2</x:f>
        <x:v>5.252743734858446</x:v>
      </x:c>
      <x:c r="D2576" s="47" t="n">
        <x:f>'Datos'!$B$26^3/3</x:f>
        <x:v>0.3333333333333333</x:v>
      </x:c>
      <x:c r="E2576" s="46" t="n">
        <x:f>D2576*(C2576-1)</x:f>
        <x:v>1.4175812449528151</x:v>
      </x:c>
      <x:c r="F2576" s="2"/>
      <x:c r="G2576" s="2"/>
      <x:c r="H2576" s="2"/>
    </x:row>
    <x:row r="2577" ht="22" customHeight="1">
      <x:c r="A2577" s="2" t="n">
        <x:v>2571</x:v>
      </x:c>
      <x:c r="B2577" s="79" t="n">
        <x:v>-0.15503895814916266</x:v>
      </x:c>
      <x:c r="C2577" s="46" t="n">
        <x:f>B2577^2</x:f>
        <x:v>0.02403707854397781</x:v>
      </x:c>
      <x:c r="D2577" s="47" t="n">
        <x:f>'Datos'!$B$26^3/3</x:f>
        <x:v>0.3333333333333333</x:v>
      </x:c>
      <x:c r="E2577" s="46" t="n">
        <x:f>D2577*(C2577-1)</x:f>
        <x:v>-0.32532097381867403</x:v>
      </x:c>
      <x:c r="F2577" s="2"/>
      <x:c r="G2577" s="2"/>
      <x:c r="H2577" s="2"/>
    </x:row>
    <x:row r="2578" ht="22" customHeight="1">
      <x:c r="A2578" s="2" t="n">
        <x:v>2572</x:v>
      </x:c>
      <x:c r="B2578" s="79" t="n">
        <x:v>-1.775423280814507</x:v>
      </x:c>
      <x:c r="C2578" s="46" t="n">
        <x:f>B2578^2</x:f>
        <x:v>3.152127826058148</x:v>
      </x:c>
      <x:c r="D2578" s="47" t="n">
        <x:f>'Datos'!$B$26^3/3</x:f>
        <x:v>0.3333333333333333</x:v>
      </x:c>
      <x:c r="E2578" s="46" t="n">
        <x:f>D2578*(C2578-1)</x:f>
        <x:v>0.7173759420193826</x:v>
      </x:c>
      <x:c r="F2578" s="2"/>
      <x:c r="G2578" s="2"/>
      <x:c r="H2578" s="2"/>
    </x:row>
    <x:row r="2579" ht="22" customHeight="1">
      <x:c r="A2579" s="2" t="n">
        <x:v>2573</x:v>
      </x:c>
      <x:c r="B2579" s="79" t="n">
        <x:v>1.09743942063385</x:v>
      </x:c>
      <x:c r="C2579" s="46" t="n">
        <x:f>B2579^2</x:f>
        <x:v>1.2043732819611603</x:v>
      </x:c>
      <x:c r="D2579" s="47" t="n">
        <x:f>'Datos'!$B$26^3/3</x:f>
        <x:v>0.3333333333333333</x:v>
      </x:c>
      <x:c r="E2579" s="46" t="n">
        <x:f>D2579*(C2579-1)</x:f>
        <x:v>0.06812442732038677</x:v>
      </x:c>
      <x:c r="F2579" s="2"/>
      <x:c r="G2579" s="2"/>
      <x:c r="H2579" s="2"/>
    </x:row>
    <x:row r="2580" ht="22" customHeight="1">
      <x:c r="A2580" s="2" t="n">
        <x:v>2574</x:v>
      </x:c>
      <x:c r="B2580" s="79" t="n">
        <x:v>0.6568837652787255</x:v>
      </x:c>
      <x:c r="C2580" s="46" t="n">
        <x:f>B2580^2</x:f>
        <x:v>0.43149628108675575</x:v>
      </x:c>
      <x:c r="D2580" s="47" t="n">
        <x:f>'Datos'!$B$26^3/3</x:f>
        <x:v>0.3333333333333333</x:v>
      </x:c>
      <x:c r="E2580" s="46" t="n">
        <x:f>D2580*(C2580-1)</x:f>
        <x:v>-0.18950123963774806</x:v>
      </x:c>
      <x:c r="F2580" s="2"/>
      <x:c r="G2580" s="2"/>
      <x:c r="H2580" s="2"/>
    </x:row>
    <x:row r="2581" ht="22" customHeight="1">
      <x:c r="A2581" s="2" t="n">
        <x:v>2575</x:v>
      </x:c>
      <x:c r="B2581" s="79" t="n">
        <x:v>1.1096567735023293</x:v>
      </x:c>
      <x:c r="C2581" s="46" t="n">
        <x:f>B2581^2</x:f>
        <x:v>1.2313381549795996</x:v>
      </x:c>
      <x:c r="D2581" s="47" t="n">
        <x:f>'Datos'!$B$26^3/3</x:f>
        <x:v>0.3333333333333333</x:v>
      </x:c>
      <x:c r="E2581" s="46" t="n">
        <x:f>D2581*(C2581-1)</x:f>
        <x:v>0.07711271832653321</x:v>
      </x:c>
      <x:c r="F2581" s="2"/>
      <x:c r="G2581" s="2"/>
      <x:c r="H2581" s="2"/>
    </x:row>
    <x:row r="2582" ht="22" customHeight="1">
      <x:c r="A2582" s="2" t="n">
        <x:v>2576</x:v>
      </x:c>
      <x:c r="B2582" s="79" t="n">
        <x:v>1.2369601468149434</x:v>
      </x:c>
      <x:c r="C2582" s="46" t="n">
        <x:f>B2582^2</x:f>
        <x:v>1.5300704048084464</x:v>
      </x:c>
      <x:c r="D2582" s="47" t="n">
        <x:f>'Datos'!$B$26^3/3</x:f>
        <x:v>0.3333333333333333</x:v>
      </x:c>
      <x:c r="E2582" s="46" t="n">
        <x:f>D2582*(C2582-1)</x:f>
        <x:v>0.17669013493614877</x:v>
      </x:c>
      <x:c r="F2582" s="2"/>
      <x:c r="G2582" s="2"/>
      <x:c r="H2582" s="2"/>
    </x:row>
    <x:row r="2583" ht="22" customHeight="1">
      <x:c r="A2583" s="2" t="n">
        <x:v>2577</x:v>
      </x:c>
      <x:c r="B2583" s="79" t="n">
        <x:v>0.5788195151223867</x:v>
      </x:c>
      <x:c r="C2583" s="46" t="n">
        <x:f>B2583^2</x:f>
        <x:v>0.33503203108651486</x:v>
      </x:c>
      <x:c r="D2583" s="47" t="n">
        <x:f>'Datos'!$B$26^3/3</x:f>
        <x:v>0.3333333333333333</x:v>
      </x:c>
      <x:c r="E2583" s="46" t="n">
        <x:f>D2583*(C2583-1)</x:f>
        <x:v>-0.22165598963782834</x:v>
      </x:c>
      <x:c r="F2583" s="2"/>
      <x:c r="G2583" s="2"/>
      <x:c r="H2583" s="2"/>
    </x:row>
    <x:row r="2584" ht="22" customHeight="1">
      <x:c r="A2584" s="2" t="n">
        <x:v>2578</x:v>
      </x:c>
      <x:c r="B2584" s="79" t="n">
        <x:v>1.1573047901084639</x:v>
      </x:c>
      <x:c r="C2584" s="46" t="n">
        <x:f>B2584^2</x:f>
        <x:v>1.3393543772079957</x:v>
      </x:c>
      <x:c r="D2584" s="47" t="n">
        <x:f>'Datos'!$B$26^3/3</x:f>
        <x:v>0.3333333333333333</x:v>
      </x:c>
      <x:c r="E2584" s="46" t="n">
        <x:f>D2584*(C2584-1)</x:f>
        <x:v>0.11311812573599855</x:v>
      </x:c>
      <x:c r="F2584" s="2"/>
      <x:c r="G2584" s="2"/>
      <x:c r="H2584" s="2"/>
    </x:row>
    <x:row r="2585" ht="22" customHeight="1">
      <x:c r="A2585" s="2" t="n">
        <x:v>2579</x:v>
      </x:c>
      <x:c r="B2585" s="79" t="n">
        <x:v>1.3855229600547787</x:v>
      </x:c>
      <x:c r="C2585" s="46" t="n">
        <x:f>B2585^2</x:f>
        <x:v>1.919673872838956</x:v>
      </x:c>
      <x:c r="D2585" s="47" t="n">
        <x:f>'Datos'!$B$26^3/3</x:f>
        <x:v>0.3333333333333333</x:v>
      </x:c>
      <x:c r="E2585" s="46" t="n">
        <x:f>D2585*(C2585-1)</x:f>
        <x:v>0.3065579576129853</x:v>
      </x:c>
      <x:c r="F2585" s="2"/>
      <x:c r="G2585" s="2"/>
      <x:c r="H2585" s="2"/>
    </x:row>
    <x:row r="2586" ht="22" customHeight="1">
      <x:c r="A2586" s="2" t="n">
        <x:v>2580</x:v>
      </x:c>
      <x:c r="B2586" s="79" t="n">
        <x:v>-1.1645695286602284</x:v>
      </x:c>
      <x:c r="C2586" s="46" t="n">
        <x:f>B2586^2</x:f>
        <x:v>1.3562221870839066</x:v>
      </x:c>
      <x:c r="D2586" s="47" t="n">
        <x:f>'Datos'!$B$26^3/3</x:f>
        <x:v>0.3333333333333333</x:v>
      </x:c>
      <x:c r="E2586" s="46" t="n">
        <x:f>D2586*(C2586-1)</x:f>
        <x:v>0.11874072902796887</x:v>
      </x:c>
      <x:c r="F2586" s="2"/>
      <x:c r="G2586" s="2"/>
      <x:c r="H2586" s="2"/>
    </x:row>
    <x:row r="2587" ht="22" customHeight="1">
      <x:c r="A2587" s="2" t="n">
        <x:v>2581</x:v>
      </x:c>
      <x:c r="B2587" s="79" t="n">
        <x:v>0.8349052417647084</x:v>
      </x:c>
      <x:c r="C2587" s="46" t="n">
        <x:f>B2587^2</x:f>
        <x:v>0.6970667627261862</x:v>
      </x:c>
      <x:c r="D2587" s="47" t="n">
        <x:f>'Datos'!$B$26^3/3</x:f>
        <x:v>0.3333333333333333</x:v>
      </x:c>
      <x:c r="E2587" s="46" t="n">
        <x:f>D2587*(C2587-1)</x:f>
        <x:v>-0.10097774575793794</x:v>
      </x:c>
      <x:c r="F2587" s="2"/>
      <x:c r="G2587" s="2"/>
      <x:c r="H2587" s="2"/>
    </x:row>
    <x:row r="2588" ht="22" customHeight="1">
      <x:c r="A2588" s="2" t="n">
        <x:v>2582</x:v>
      </x:c>
      <x:c r="B2588" s="79" t="n">
        <x:v>0.6793928921958373</x:v>
      </x:c>
      <x:c r="C2588" s="46" t="n">
        <x:f>B2588^2</x:f>
        <x:v>0.46157470196622463</x:v>
      </x:c>
      <x:c r="D2588" s="47" t="n">
        <x:f>'Datos'!$B$26^3/3</x:f>
        <x:v>0.3333333333333333</x:v>
      </x:c>
      <x:c r="E2588" s="46" t="n">
        <x:f>D2588*(C2588-1)</x:f>
        <x:v>-0.17947509934459177</x:v>
      </x:c>
      <x:c r="F2588" s="2"/>
      <x:c r="G2588" s="2"/>
      <x:c r="H2588" s="2"/>
    </x:row>
    <x:row r="2589" ht="22" customHeight="1">
      <x:c r="A2589" s="2" t="n">
        <x:v>2583</x:v>
      </x:c>
      <x:c r="B2589" s="79" t="n">
        <x:v>1.6350735126128355</x:v>
      </x:c>
      <x:c r="C2589" s="46" t="n">
        <x:f>B2589^2</x:f>
        <x:v>2.6734653916480764</x:v>
      </x:c>
      <x:c r="D2589" s="47" t="n">
        <x:f>'Datos'!$B$26^3/3</x:f>
        <x:v>0.3333333333333333</x:v>
      </x:c>
      <x:c r="E2589" s="46" t="n">
        <x:f>D2589*(C2589-1)</x:f>
        <x:v>0.5578217972160254</x:v>
      </x:c>
      <x:c r="F2589" s="2"/>
      <x:c r="G2589" s="2"/>
      <x:c r="H2589" s="2"/>
    </x:row>
    <x:row r="2590" ht="22" customHeight="1">
      <x:c r="A2590" s="2" t="n">
        <x:v>2584</x:v>
      </x:c>
      <x:c r="B2590" s="79" t="n">
        <x:v>0.2671007976503309</x:v>
      </x:c>
      <x:c r="C2590" s="46" t="n">
        <x:f>B2590^2</x:f>
        <x:v>0.07134283610544301</x:v>
      </x:c>
      <x:c r="D2590" s="47" t="n">
        <x:f>'Datos'!$B$26^3/3</x:f>
        <x:v>0.3333333333333333</x:v>
      </x:c>
      <x:c r="E2590" s="46" t="n">
        <x:f>D2590*(C2590-1)</x:f>
        <x:v>-0.3095523879648523</x:v>
      </x:c>
      <x:c r="F2590" s="2"/>
      <x:c r="G2590" s="2"/>
      <x:c r="H2590" s="2"/>
    </x:row>
    <x:row r="2591" ht="22" customHeight="1">
      <x:c r="A2591" s="2" t="n">
        <x:v>2585</x:v>
      </x:c>
      <x:c r="B2591" s="79" t="n">
        <x:v>-1.077703177358197</x:v>
      </x:c>
      <x:c r="C2591" s="46" t="n">
        <x:f>B2591^2</x:f>
        <x:v>1.1614441384879537</x:v>
      </x:c>
      <x:c r="D2591" s="47" t="n">
        <x:f>'Datos'!$B$26^3/3</x:f>
        <x:v>0.3333333333333333</x:v>
      </x:c>
      <x:c r="E2591" s="46" t="n">
        <x:f>D2591*(C2591-1)</x:f>
        <x:v>0.05381471282931789</x:v>
      </x:c>
      <x:c r="F2591" s="2"/>
      <x:c r="G2591" s="2"/>
      <x:c r="H2591" s="2"/>
    </x:row>
    <x:row r="2592" ht="22" customHeight="1">
      <x:c r="A2592" s="2" t="n">
        <x:v>2586</x:v>
      </x:c>
      <x:c r="B2592" s="79" t="n">
        <x:v>1.422788725093991</x:v>
      </x:c>
      <x:c r="C2592" s="46" t="n">
        <x:f>B2592^2</x:f>
        <x:v>2.0243277562545843</x:v>
      </x:c>
      <x:c r="D2592" s="47" t="n">
        <x:f>'Datos'!$B$26^3/3</x:f>
        <x:v>0.3333333333333333</x:v>
      </x:c>
      <x:c r="E2592" s="46" t="n">
        <x:f>D2592*(C2592-1)</x:f>
        <x:v>0.3414425854181947</x:v>
      </x:c>
      <x:c r="F2592" s="2"/>
      <x:c r="G2592" s="2"/>
      <x:c r="H2592" s="2"/>
    </x:row>
    <x:row r="2593" ht="22" customHeight="1">
      <x:c r="A2593" s="2" t="n">
        <x:v>2587</x:v>
      </x:c>
      <x:c r="B2593" s="79" t="n">
        <x:v>0.1047876279852622</x:v>
      </x:c>
      <x:c r="C2593" s="46" t="n">
        <x:f>B2593^2</x:f>
        <x:v>0.010980446978777706</x:v>
      </x:c>
      <x:c r="D2593" s="47" t="n">
        <x:f>'Datos'!$B$26^3/3</x:f>
        <x:v>0.3333333333333333</x:v>
      </x:c>
      <x:c r="E2593" s="46" t="n">
        <x:f>D2593*(C2593-1)</x:f>
        <x:v>-0.3296731843404074</x:v>
      </x:c>
      <x:c r="F2593" s="2"/>
      <x:c r="G2593" s="2"/>
      <x:c r="H2593" s="2"/>
    </x:row>
    <x:row r="2594" ht="22" customHeight="1">
      <x:c r="A2594" s="2" t="n">
        <x:v>2588</x:v>
      </x:c>
      <x:c r="B2594" s="79" t="n">
        <x:v>0.21828876535945263</x:v>
      </x:c>
      <x:c r="C2594" s="46" t="n">
        <x:f>B2594^2</x:f>
        <x:v>0.047649985082154164</x:v>
      </x:c>
      <x:c r="D2594" s="47" t="n">
        <x:f>'Datos'!$B$26^3/3</x:f>
        <x:v>0.3333333333333333</x:v>
      </x:c>
      <x:c r="E2594" s="46" t="n">
        <x:f>D2594*(C2594-1)</x:f>
        <x:v>-0.3174500049726153</x:v>
      </x:c>
      <x:c r="F2594" s="2"/>
      <x:c r="G2594" s="2"/>
      <x:c r="H2594" s="2"/>
    </x:row>
    <x:row r="2595" ht="22" customHeight="1">
      <x:c r="A2595" s="2" t="n">
        <x:v>2589</x:v>
      </x:c>
      <x:c r="B2595" s="79" t="n">
        <x:v>-1.073486653526324</x:v>
      </x:c>
      <x:c r="C2595" s="46" t="n">
        <x:f>B2595^2</x:f>
        <x:v>1.1523735952991463</x:v>
      </x:c>
      <x:c r="D2595" s="47" t="n">
        <x:f>'Datos'!$B$26^3/3</x:f>
        <x:v>0.3333333333333333</x:v>
      </x:c>
      <x:c r="E2595" s="46" t="n">
        <x:f>D2595*(C2595-1)</x:f>
        <x:v>0.05079119843304876</x:v>
      </x:c>
      <x:c r="F2595" s="2"/>
      <x:c r="G2595" s="2"/>
      <x:c r="H2595" s="2"/>
    </x:row>
    <x:row r="2596" ht="22" customHeight="1">
      <x:c r="A2596" s="2" t="n">
        <x:v>2590</x:v>
      </x:c>
      <x:c r="B2596" s="79" t="n">
        <x:v>1.1487948548756173</x:v>
      </x:c>
      <x:c r="C2596" s="46" t="n">
        <x:f>B2596^2</x:f>
        <x:v>1.3197296185886906</x:v>
      </x:c>
      <x:c r="D2596" s="47" t="n">
        <x:f>'Datos'!$B$26^3/3</x:f>
        <x:v>0.3333333333333333</x:v>
      </x:c>
      <x:c r="E2596" s="46" t="n">
        <x:f>D2596*(C2596-1)</x:f>
        <x:v>0.10657653952956354</x:v>
      </x:c>
      <x:c r="F2596" s="2"/>
      <x:c r="G2596" s="2"/>
      <x:c r="H2596" s="2"/>
    </x:row>
    <x:row r="2597" ht="22" customHeight="1">
      <x:c r="A2597" s="2" t="n">
        <x:v>2591</x:v>
      </x:c>
      <x:c r="B2597" s="79" t="n">
        <x:v>0.9657643763749434</x:v>
      </x:c>
      <x:c r="C2597" s="46" t="n">
        <x:f>B2597^2</x:f>
        <x:v>0.9327008306748833</x:v>
      </x:c>
      <x:c r="D2597" s="47" t="n">
        <x:f>'Datos'!$B$26^3/3</x:f>
        <x:v>0.3333333333333333</x:v>
      </x:c>
      <x:c r="E2597" s="46" t="n">
        <x:f>D2597*(C2597-1)</x:f>
        <x:v>-0.022433056441705568</x:v>
      </x:c>
      <x:c r="F2597" s="2"/>
      <x:c r="G2597" s="2"/>
      <x:c r="H2597" s="2"/>
    </x:row>
    <x:row r="2598" ht="22" customHeight="1">
      <x:c r="A2598" s="2" t="n">
        <x:v>2592</x:v>
      </x:c>
      <x:c r="B2598" s="79" t="n">
        <x:v>-1.4575366394389329</x:v>
      </x:c>
      <x:c r="C2598" s="46" t="n">
        <x:f>B2598^2</x:f>
        <x:v>2.124413055306938</x:v>
      </x:c>
      <x:c r="D2598" s="47" t="n">
        <x:f>'Datos'!$B$26^3/3</x:f>
        <x:v>0.3333333333333333</x:v>
      </x:c>
      <x:c r="E2598" s="46" t="n">
        <x:f>D2598*(C2598-1)</x:f>
        <x:v>0.37480435176897925</x:v>
      </x:c>
      <x:c r="F2598" s="2"/>
      <x:c r="G2598" s="2"/>
      <x:c r="H2598" s="2"/>
    </x:row>
    <x:row r="2599" ht="22" customHeight="1">
      <x:c r="A2599" s="2" t="n">
        <x:v>2593</x:v>
      </x:c>
      <x:c r="B2599" s="79" t="n">
        <x:v>0.8265686896100564</x:v>
      </x:c>
      <x:c r="C2599" s="46" t="n">
        <x:f>B2599^2</x:f>
        <x:v>0.6832157986436856</x:v>
      </x:c>
      <x:c r="D2599" s="47" t="n">
        <x:f>'Datos'!$B$26^3/3</x:f>
        <x:v>0.3333333333333333</x:v>
      </x:c>
      <x:c r="E2599" s="46" t="n">
        <x:f>D2599*(C2599-1)</x:f>
        <x:v>-0.10559473378543811</x:v>
      </x:c>
      <x:c r="F2599" s="2"/>
      <x:c r="G2599" s="2"/>
      <x:c r="H2599" s="2"/>
    </x:row>
    <x:row r="2600" ht="22" customHeight="1">
      <x:c r="A2600" s="2" t="n">
        <x:v>2594</x:v>
      </x:c>
      <x:c r="B2600" s="79" t="n">
        <x:v>0.13427034113735153</x:v>
      </x:c>
      <x:c r="C2600" s="46" t="n">
        <x:f>B2600^2</x:f>
        <x:v>0.018028524509140754</x:v>
      </x:c>
      <x:c r="D2600" s="47" t="n">
        <x:f>'Datos'!$B$26^3/3</x:f>
        <x:v>0.3333333333333333</x:v>
      </x:c>
      <x:c r="E2600" s="46" t="n">
        <x:f>D2600*(C2600-1)</x:f>
        <x:v>-0.32732382516361974</x:v>
      </x:c>
      <x:c r="F2600" s="2"/>
      <x:c r="G2600" s="2"/>
      <x:c r="H2600" s="2"/>
    </x:row>
    <x:row r="2601" ht="22" customHeight="1">
      <x:c r="A2601" s="2" t="n">
        <x:v>2595</x:v>
      </x:c>
      <x:c r="B2601" s="79" t="n">
        <x:v>-0.43806888274178685</x:v>
      </x:c>
      <x:c r="C2601" s="46" t="n">
        <x:f>B2601^2</x:f>
        <x:v>0.1919043460266374</x:v>
      </x:c>
      <x:c r="D2601" s="47" t="n">
        <x:f>'Datos'!$B$26^3/3</x:f>
        <x:v>0.3333333333333333</x:v>
      </x:c>
      <x:c r="E2601" s="46" t="n">
        <x:f>D2601*(C2601-1)</x:f>
        <x:v>-0.26936521799112084</x:v>
      </x:c>
      <x:c r="F2601" s="2"/>
      <x:c r="G2601" s="2"/>
      <x:c r="H2601" s="2"/>
    </x:row>
    <x:row r="2602" ht="22" customHeight="1">
      <x:c r="A2602" s="2" t="n">
        <x:v>2596</x:v>
      </x:c>
      <x:c r="B2602" s="79" t="n">
        <x:v>-0.6107818167770046</x:v>
      </x:c>
      <x:c r="C2602" s="46" t="n">
        <x:f>B2602^2</x:f>
        <x:v>0.3730544277054184</x:v>
      </x:c>
      <x:c r="D2602" s="47" t="n">
        <x:f>'Datos'!$B$26^3/3</x:f>
        <x:v>0.3333333333333333</x:v>
      </x:c>
      <x:c r="E2602" s="46" t="n">
        <x:f>D2602*(C2602-1)</x:f>
        <x:v>-0.2089818574315272</x:v>
      </x:c>
      <x:c r="F2602" s="2"/>
      <x:c r="G2602" s="2"/>
      <x:c r="H2602" s="2"/>
    </x:row>
    <x:row r="2603" ht="22" customHeight="1">
      <x:c r="A2603" s="2" t="n">
        <x:v>2597</x:v>
      </x:c>
      <x:c r="B2603" s="79" t="n">
        <x:v>-0.6349652076948834</x:v>
      </x:c>
      <x:c r="C2603" s="46" t="n">
        <x:f>B2603^2</x:f>
        <x:v>0.4031808149830064</x:v>
      </x:c>
      <x:c r="D2603" s="47" t="n">
        <x:f>'Datos'!$B$26^3/3</x:f>
        <x:v>0.3333333333333333</x:v>
      </x:c>
      <x:c r="E2603" s="46" t="n">
        <x:f>D2603*(C2603-1)</x:f>
        <x:v>-0.19893972833899787</x:v>
      </x:c>
      <x:c r="F2603" s="2"/>
      <x:c r="G2603" s="2"/>
      <x:c r="H2603" s="2"/>
    </x:row>
    <x:row r="2604" ht="22" customHeight="1">
      <x:c r="A2604" s="2" t="n">
        <x:v>2598</x:v>
      </x:c>
      <x:c r="B2604" s="79" t="n">
        <x:v>0.8619965733173051</x:v>
      </x:c>
      <x:c r="C2604" s="46" t="n">
        <x:f>B2604^2</x:f>
        <x:v>0.7430380924107761</x:v>
      </x:c>
      <x:c r="D2604" s="47" t="n">
        <x:f>'Datos'!$B$26^3/3</x:f>
        <x:v>0.3333333333333333</x:v>
      </x:c>
      <x:c r="E2604" s="46" t="n">
        <x:f>D2604*(C2604-1)</x:f>
        <x:v>-0.08565396919640796</x:v>
      </x:c>
      <x:c r="F2604" s="2"/>
      <x:c r="G2604" s="2"/>
      <x:c r="H2604" s="2"/>
    </x:row>
    <x:row r="2605" ht="22" customHeight="1">
      <x:c r="A2605" s="2" t="n">
        <x:v>2599</x:v>
      </x:c>
      <x:c r="B2605" s="79" t="n">
        <x:v>0.16507443534163288</x:v>
      </x:c>
      <x:c r="C2605" s="46" t="n">
        <x:f>B2605^2</x:f>
        <x:v>0.027249569203358935</x:v>
      </x:c>
      <x:c r="D2605" s="47" t="n">
        <x:f>'Datos'!$B$26^3/3</x:f>
        <x:v>0.3333333333333333</x:v>
      </x:c>
      <x:c r="E2605" s="46" t="n">
        <x:f>D2605*(C2605-1)</x:f>
        <x:v>-0.3242501435988803</x:v>
      </x:c>
      <x:c r="F2605" s="2"/>
      <x:c r="G2605" s="2"/>
      <x:c r="H2605" s="2"/>
    </x:row>
    <x:row r="2606" ht="22" customHeight="1">
      <x:c r="A2606" s="2" t="n">
        <x:v>2600</x:v>
      </x:c>
      <x:c r="B2606" s="79" t="n">
        <x:v>1.9536066019517355</x:v>
      </x:c>
      <x:c r="C2606" s="46" t="n">
        <x:f>B2606^2</x:f>
        <x:v>3.816578755189407</x:v>
      </x:c>
      <x:c r="D2606" s="47" t="n">
        <x:f>'Datos'!$B$26^3/3</x:f>
        <x:v>0.3333333333333333</x:v>
      </x:c>
      <x:c r="E2606" s="46" t="n">
        <x:f>D2606*(C2606-1)</x:f>
        <x:v>0.9388595850631356</x:v>
      </x:c>
      <x:c r="F2606" s="2"/>
      <x:c r="G2606" s="2"/>
      <x:c r="H2606" s="2"/>
    </x:row>
    <x:row r="2607" ht="22" customHeight="1">
      <x:c r="A2607" s="2" t="n">
        <x:v>2601</x:v>
      </x:c>
      <x:c r="B2607" s="79" t="n">
        <x:v>0.5656137867773774</x:v>
      </x:c>
      <x:c r="C2607" s="46" t="n">
        <x:f>B2607^2</x:f>
        <x:v>0.3199189557926445</x:v>
      </x:c>
      <x:c r="D2607" s="47" t="n">
        <x:f>'Datos'!$B$26^3/3</x:f>
        <x:v>0.3333333333333333</x:v>
      </x:c>
      <x:c r="E2607" s="46" t="n">
        <x:f>D2607*(C2607-1)</x:f>
        <x:v>-0.22669368140245183</x:v>
      </x:c>
      <x:c r="F2607" s="2"/>
      <x:c r="G2607" s="2"/>
      <x:c r="H2607" s="2"/>
    </x:row>
    <x:row r="2608" ht="22" customHeight="1">
      <x:c r="A2608" s="2" t="n">
        <x:v>2602</x:v>
      </x:c>
      <x:c r="B2608" s="79" t="n">
        <x:v>1.6993341359298468</x:v>
      </x:c>
      <x:c r="C2608" s="46" t="n">
        <x:f>B2608^2</x:f>
        <x:v>2.8877365055364392</x:v>
      </x:c>
      <x:c r="D2608" s="47" t="n">
        <x:f>'Datos'!$B$26^3/3</x:f>
        <x:v>0.3333333333333333</x:v>
      </x:c>
      <x:c r="E2608" s="46" t="n">
        <x:f>D2608*(C2608-1)</x:f>
        <x:v>0.6292455018454797</x:v>
      </x:c>
      <x:c r="F2608" s="2"/>
      <x:c r="G2608" s="2"/>
      <x:c r="H2608" s="2"/>
    </x:row>
    <x:row r="2609" ht="22" customHeight="1">
      <x:c r="A2609" s="2" t="n">
        <x:v>2603</x:v>
      </x:c>
      <x:c r="B2609" s="79" t="n">
        <x:v>-0.4010030385328753</x:v>
      </x:c>
      <x:c r="C2609" s="46" t="n">
        <x:f>B2609^2</x:f>
        <x:v>0.16080343691259866</x:v>
      </x:c>
      <x:c r="D2609" s="47" t="n">
        <x:f>'Datos'!$B$26^3/3</x:f>
        <x:v>0.3333333333333333</x:v>
      </x:c>
      <x:c r="E2609" s="46" t="n">
        <x:f>D2609*(C2609-1)</x:f>
        <x:v>-0.27973218769580044</x:v>
      </x:c>
      <x:c r="F2609" s="2"/>
      <x:c r="G2609" s="2"/>
      <x:c r="H2609" s="2"/>
    </x:row>
    <x:row r="2610" ht="22" customHeight="1">
      <x:c r="A2610" s="2" t="n">
        <x:v>2604</x:v>
      </x:c>
      <x:c r="B2610" s="79" t="n">
        <x:v>-0.537135046167979</x:v>
      </x:c>
      <x:c r="C2610" s="46" t="n">
        <x:f>B2610^2</x:f>
        <x:v>0.28851405782187695</x:v>
      </x:c>
      <x:c r="D2610" s="47" t="n">
        <x:f>'Datos'!$B$26^3/3</x:f>
        <x:v>0.3333333333333333</x:v>
      </x:c>
      <x:c r="E2610" s="46" t="n">
        <x:f>D2610*(C2610-1)</x:f>
        <x:v>-0.237161980726041</x:v>
      </x:c>
      <x:c r="F2610" s="2"/>
      <x:c r="G2610" s="2"/>
      <x:c r="H2610" s="2"/>
    </x:row>
    <x:row r="2611" ht="22" customHeight="1">
      <x:c r="A2611" s="2" t="n">
        <x:v>2605</x:v>
      </x:c>
      <x:c r="B2611" s="79" t="n">
        <x:v>-0.1589699735524636</x:v>
      </x:c>
      <x:c r="C2611" s="46" t="n">
        <x:f>B2611^2</x:f>
        <x:v>0.02527145249127097</x:v>
      </x:c>
      <x:c r="D2611" s="47" t="n">
        <x:f>'Datos'!$B$26^3/3</x:f>
        <x:v>0.3333333333333333</x:v>
      </x:c>
      <x:c r="E2611" s="46" t="n">
        <x:f>D2611*(C2611-1)</x:f>
        <x:v>-0.324909515836243</x:v>
      </x:c>
      <x:c r="F2611" s="2"/>
      <x:c r="G2611" s="2"/>
      <x:c r="H2611" s="2"/>
    </x:row>
    <x:row r="2612" ht="22" customHeight="1">
      <x:c r="A2612" s="2" t="n">
        <x:v>2606</x:v>
      </x:c>
      <x:c r="B2612" s="79" t="n">
        <x:v>-0.77524696246624</x:v>
      </x:c>
      <x:c r="C2612" s="46" t="n">
        <x:f>B2612^2</x:f>
        <x:v>0.6010078528131317</x:v>
      </x:c>
      <x:c r="D2612" s="47" t="n">
        <x:f>'Datos'!$B$26^3/3</x:f>
        <x:v>0.3333333333333333</x:v>
      </x:c>
      <x:c r="E2612" s="46" t="n">
        <x:f>D2612*(C2612-1)</x:f>
        <x:v>-0.13299738239562275</x:v>
      </x:c>
      <x:c r="F2612" s="2"/>
      <x:c r="G2612" s="2"/>
      <x:c r="H2612" s="2"/>
    </x:row>
    <x:row r="2613" ht="22" customHeight="1">
      <x:c r="A2613" s="2" t="n">
        <x:v>2607</x:v>
      </x:c>
      <x:c r="B2613" s="79" t="n">
        <x:v>-2.304591831426169</x:v>
      </x:c>
      <x:c r="C2613" s="46" t="n">
        <x:f>B2613^2</x:f>
        <x:v>5.311143509476224</x:v>
      </x:c>
      <x:c r="D2613" s="47" t="n">
        <x:f>'Datos'!$B$26^3/3</x:f>
        <x:v>0.3333333333333333</x:v>
      </x:c>
      <x:c r="E2613" s="46" t="n">
        <x:f>D2613*(C2613-1)</x:f>
        <x:v>1.4370478364920747</x:v>
      </x:c>
      <x:c r="F2613" s="2"/>
      <x:c r="G2613" s="2"/>
      <x:c r="H2613" s="2"/>
    </x:row>
    <x:row r="2614" ht="22" customHeight="1">
      <x:c r="A2614" s="2" t="n">
        <x:v>2608</x:v>
      </x:c>
      <x:c r="B2614" s="79" t="n">
        <x:v>0.4294700360055528</x:v>
      </x:c>
      <x:c r="C2614" s="46" t="n">
        <x:f>B2614^2</x:f>
        <x:v>0.1844445118266108</x:v>
      </x:c>
      <x:c r="D2614" s="47" t="n">
        <x:f>'Datos'!$B$26^3/3</x:f>
        <x:v>0.3333333333333333</x:v>
      </x:c>
      <x:c r="E2614" s="46" t="n">
        <x:f>D2614*(C2614-1)</x:f>
        <x:v>-0.27185182939112973</x:v>
      </x:c>
      <x:c r="F2614" s="2"/>
      <x:c r="G2614" s="2"/>
      <x:c r="H2614" s="2"/>
    </x:row>
    <x:row r="2615" ht="22" customHeight="1">
      <x:c r="A2615" s="2" t="n">
        <x:v>2609</x:v>
      </x:c>
      <x:c r="B2615" s="79" t="n">
        <x:v>0.17970748941692555</x:v>
      </x:c>
      <x:c r="C2615" s="46" t="n">
        <x:f>B2615^2</x:f>
        <x:v>0.032294781752534404</x:v>
      </x:c>
      <x:c r="D2615" s="47" t="n">
        <x:f>'Datos'!$B$26^3/3</x:f>
        <x:v>0.3333333333333333</x:v>
      </x:c>
      <x:c r="E2615" s="46" t="n">
        <x:f>D2615*(C2615-1)</x:f>
        <x:v>-0.3225684060824885</x:v>
      </x:c>
      <x:c r="F2615" s="2"/>
      <x:c r="G2615" s="2"/>
      <x:c r="H2615" s="2"/>
    </x:row>
    <x:row r="2616" ht="22" customHeight="1">
      <x:c r="A2616" s="2" t="n">
        <x:v>2610</x:v>
      </x:c>
      <x:c r="B2616" s="79" t="n">
        <x:v>-0.4064105278458137</x:v>
      </x:c>
      <x:c r="C2616" s="46" t="n">
        <x:f>B2616^2</x:f>
        <x:v>0.16516951714391293</x:v>
      </x:c>
      <x:c r="D2616" s="47" t="n">
        <x:f>'Datos'!$B$26^3/3</x:f>
        <x:v>0.3333333333333333</x:v>
      </x:c>
      <x:c r="E2616" s="46" t="n">
        <x:f>D2616*(C2616-1)</x:f>
        <x:v>-0.27827682761869565</x:v>
      </x:c>
      <x:c r="F2616" s="2"/>
      <x:c r="G2616" s="2"/>
      <x:c r="H2616" s="2"/>
    </x:row>
    <x:row r="2617" ht="22" customHeight="1">
      <x:c r="A2617" s="2" t="n">
        <x:v>2611</x:v>
      </x:c>
      <x:c r="B2617" s="79" t="n">
        <x:v>-0.25968875271549335</x:v>
      </x:c>
      <x:c r="C2617" s="46" t="n">
        <x:f>B2617^2</x:f>
        <x:v>0.06743824828692865</x:v>
      </x:c>
      <x:c r="D2617" s="47" t="n">
        <x:f>'Datos'!$B$26^3/3</x:f>
        <x:v>0.3333333333333333</x:v>
      </x:c>
      <x:c r="E2617" s="46" t="n">
        <x:f>D2617*(C2617-1)</x:f>
        <x:v>-0.3108539172376904</x:v>
      </x:c>
      <x:c r="F2617" s="2"/>
      <x:c r="G2617" s="2"/>
      <x:c r="H2617" s="2"/>
    </x:row>
    <x:row r="2618" ht="22" customHeight="1">
      <x:c r="A2618" s="2" t="n">
        <x:v>2612</x:v>
      </x:c>
      <x:c r="B2618" s="79" t="n">
        <x:v>-2.539690217447023</x:v>
      </x:c>
      <x:c r="C2618" s="46" t="n">
        <x:f>B2618^2</x:f>
        <x:v>6.450026400596106</x:v>
      </x:c>
      <x:c r="D2618" s="47" t="n">
        <x:f>'Datos'!$B$26^3/3</x:f>
        <x:v>0.3333333333333333</x:v>
      </x:c>
      <x:c r="E2618" s="46" t="n">
        <x:f>D2618*(C2618-1)</x:f>
        <x:v>1.8166754668653686</x:v>
      </x:c>
      <x:c r="F2618" s="2"/>
      <x:c r="G2618" s="2"/>
      <x:c r="H2618" s="2"/>
    </x:row>
    <x:row r="2619" ht="22" customHeight="1">
      <x:c r="A2619" s="2" t="n">
        <x:v>2613</x:v>
      </x:c>
      <x:c r="B2619" s="79" t="n">
        <x:v>-0.35603962312242715</x:v>
      </x:c>
      <x:c r="C2619" s="46" t="n">
        <x:f>B2619^2</x:f>
        <x:v>0.12676421323315995</x:v>
      </x:c>
      <x:c r="D2619" s="47" t="n">
        <x:f>'Datos'!$B$26^3/3</x:f>
        <x:v>0.3333333333333333</x:v>
      </x:c>
      <x:c r="E2619" s="46" t="n">
        <x:f>D2619*(C2619-1)</x:f>
        <x:v>-0.29107859558894666</x:v>
      </x:c>
      <x:c r="F2619" s="2"/>
      <x:c r="G2619" s="2"/>
      <x:c r="H2619" s="2"/>
    </x:row>
    <x:row r="2620" ht="22" customHeight="1">
      <x:c r="A2620" s="2" t="n">
        <x:v>2614</x:v>
      </x:c>
      <x:c r="B2620" s="79" t="n">
        <x:v>-0.5116249544880291</x:v>
      </x:c>
      <x:c r="C2620" s="46" t="n">
        <x:f>B2620^2</x:f>
        <x:v>0.2617600940548779</x:v>
      </x:c>
      <x:c r="D2620" s="47" t="n">
        <x:f>'Datos'!$B$26^3/3</x:f>
        <x:v>0.3333333333333333</x:v>
      </x:c>
      <x:c r="E2620" s="46" t="n">
        <x:f>D2620*(C2620-1)</x:f>
        <x:v>-0.24607996864837403</x:v>
      </x:c>
      <x:c r="F2620" s="2"/>
      <x:c r="G2620" s="2"/>
      <x:c r="H2620" s="2"/>
    </x:row>
    <x:row r="2621" ht="22" customHeight="1">
      <x:c r="A2621" s="2" t="n">
        <x:v>2615</x:v>
      </x:c>
      <x:c r="B2621" s="79" t="n">
        <x:v>2.4181473736027645</x:v>
      </x:c>
      <x:c r="C2621" s="46" t="n">
        <x:f>B2621^2</x:f>
        <x:v>5.847436720461948</x:v>
      </x:c>
      <x:c r="D2621" s="47" t="n">
        <x:f>'Datos'!$B$26^3/3</x:f>
        <x:v>0.3333333333333333</x:v>
      </x:c>
      <x:c r="E2621" s="46" t="n">
        <x:f>D2621*(C2621-1)</x:f>
        <x:v>1.6158122401539825</x:v>
      </x:c>
      <x:c r="F2621" s="2"/>
      <x:c r="G2621" s="2"/>
      <x:c r="H2621" s="2"/>
    </x:row>
    <x:row r="2622" ht="22" customHeight="1">
      <x:c r="A2622" s="2" t="n">
        <x:v>2616</x:v>
      </x:c>
      <x:c r="B2622" s="79" t="n">
        <x:v>2.2483793198897173</x:v>
      </x:c>
      <x:c r="C2622" s="46" t="n">
        <x:f>B2622^2</x:f>
        <x:v>5.055209566107748</x:v>
      </x:c>
      <x:c r="D2622" s="47" t="n">
        <x:f>'Datos'!$B$26^3/3</x:f>
        <x:v>0.3333333333333333</x:v>
      </x:c>
      <x:c r="E2622" s="46" t="n">
        <x:f>D2622*(C2622-1)</x:f>
        <x:v>1.3517365220359159</x:v>
      </x:c>
      <x:c r="F2622" s="2"/>
      <x:c r="G2622" s="2"/>
      <x:c r="H2622" s="2"/>
    </x:row>
    <x:row r="2623" ht="22" customHeight="1">
      <x:c r="A2623" s="2" t="n">
        <x:v>2617</x:v>
      </x:c>
      <x:c r="B2623" s="79" t="n">
        <x:v>1.3302644806260566</x:v>
      </x:c>
      <x:c r="C2623" s="46" t="n">
        <x:f>B2623^2</x:f>
        <x:v>1.769603588415312</x:v>
      </x:c>
      <x:c r="D2623" s="47" t="n">
        <x:f>'Datos'!$B$26^3/3</x:f>
        <x:v>0.3333333333333333</x:v>
      </x:c>
      <x:c r="E2623" s="46" t="n">
        <x:f>D2623*(C2623-1)</x:f>
        <x:v>0.2565345294717707</x:v>
      </x:c>
      <x:c r="F2623" s="2"/>
      <x:c r="G2623" s="2"/>
      <x:c r="H2623" s="2"/>
    </x:row>
    <x:row r="2624" ht="22" customHeight="1">
      <x:c r="A2624" s="2" t="n">
        <x:v>2618</x:v>
      </x:c>
      <x:c r="B2624" s="79" t="n">
        <x:v>-1.124531901397412</x:v>
      </x:c>
      <x:c r="C2624" s="46" t="n">
        <x:f>B2624^2</x:f>
        <x:v>1.2645719972604788</x:v>
      </x:c>
      <x:c r="D2624" s="47" t="n">
        <x:f>'Datos'!$B$26^3/3</x:f>
        <x:v>0.3333333333333333</x:v>
      </x:c>
      <x:c r="E2624" s="46" t="n">
        <x:f>D2624*(C2624-1)</x:f>
        <x:v>0.08819066575349291</x:v>
      </x:c>
      <x:c r="F2624" s="2"/>
      <x:c r="G2624" s="2"/>
      <x:c r="H2624" s="2"/>
    </x:row>
    <x:row r="2625" ht="22" customHeight="1">
      <x:c r="A2625" s="2" t="n">
        <x:v>2619</x:v>
      </x:c>
      <x:c r="B2625" s="79" t="n">
        <x:v>0.26642376007541757</x:v>
      </x:c>
      <x:c r="C2625" s="46" t="n">
        <x:f>B2625^2</x:f>
        <x:v>0.07098161993272367</x:v>
      </x:c>
      <x:c r="D2625" s="47" t="n">
        <x:f>'Datos'!$B$26^3/3</x:f>
        <x:v>0.3333333333333333</x:v>
      </x:c>
      <x:c r="E2625" s="46" t="n">
        <x:f>D2625*(C2625-1)</x:f>
        <x:v>-0.30967279335575876</x:v>
      </x:c>
      <x:c r="F2625" s="2"/>
      <x:c r="G2625" s="2"/>
      <x:c r="H2625" s="2"/>
    </x:row>
    <x:row r="2626" ht="22" customHeight="1">
      <x:c r="A2626" s="2" t="n">
        <x:v>2620</x:v>
      </x:c>
      <x:c r="B2626" s="79" t="n">
        <x:v>-2.059803319112638</x:v>
      </x:c>
      <x:c r="C2626" s="46" t="n">
        <x:f>B2626^2</x:f>
        <x:v>4.242789713427441</x:v>
      </x:c>
      <x:c r="D2626" s="47" t="n">
        <x:f>'Datos'!$B$26^3/3</x:f>
        <x:v>0.3333333333333333</x:v>
      </x:c>
      <x:c r="E2626" s="46" t="n">
        <x:f>D2626*(C2626-1)</x:f>
        <x:v>1.0809299044758136</x:v>
      </x:c>
      <x:c r="F2626" s="2"/>
      <x:c r="G2626" s="2"/>
      <x:c r="H2626" s="2"/>
    </x:row>
    <x:row r="2627" ht="22" customHeight="1">
      <x:c r="A2627" s="2" t="n">
        <x:v>2621</x:v>
      </x:c>
      <x:c r="B2627" s="79" t="n">
        <x:v>1.3961119051841184</x:v>
      </x:c>
      <x:c r="C2627" s="46" t="n">
        <x:f>B2627^2</x:f>
        <x:v>1.9491284517968288</x:v>
      </x:c>
      <x:c r="D2627" s="47" t="n">
        <x:f>'Datos'!$B$26^3/3</x:f>
        <x:v>0.3333333333333333</x:v>
      </x:c>
      <x:c r="E2627" s="46" t="n">
        <x:f>D2627*(C2627-1)</x:f>
        <x:v>0.3163761505989429</x:v>
      </x:c>
      <x:c r="F2627" s="2"/>
      <x:c r="G2627" s="2"/>
      <x:c r="H2627" s="2"/>
    </x:row>
    <x:row r="2628" ht="22" customHeight="1">
      <x:c r="A2628" s="2" t="n">
        <x:v>2622</x:v>
      </x:c>
      <x:c r="B2628" s="79" t="n">
        <x:v>-0.22143767622048682</x:v>
      </x:c>
      <x:c r="C2628" s="46" t="n">
        <x:f>B2628^2</x:f>
        <x:v>0.04903464444992916</x:v>
      </x:c>
      <x:c r="D2628" s="47" t="n">
        <x:f>'Datos'!$B$26^3/3</x:f>
        <x:v>0.3333333333333333</x:v>
      </x:c>
      <x:c r="E2628" s="46" t="n">
        <x:f>D2628*(C2628-1)</x:f>
        <x:v>-0.3169884518500236</x:v>
      </x:c>
      <x:c r="F2628" s="2"/>
      <x:c r="G2628" s="2"/>
      <x:c r="H2628" s="2"/>
    </x:row>
    <x:row r="2629" ht="22" customHeight="1">
      <x:c r="A2629" s="2" t="n">
        <x:v>2623</x:v>
      </x:c>
      <x:c r="B2629" s="79" t="n">
        <x:v>1.3068840386644691</x:v>
      </x:c>
      <x:c r="C2629" s="46" t="n">
        <x:f>B2629^2</x:f>
        <x:v>1.7079458905159537</x:v>
      </x:c>
      <x:c r="D2629" s="47" t="n">
        <x:f>'Datos'!$B$26^3/3</x:f>
        <x:v>0.3333333333333333</x:v>
      </x:c>
      <x:c r="E2629" s="46" t="n">
        <x:f>D2629*(C2629-1)</x:f>
        <x:v>0.2359819635053179</x:v>
      </x:c>
      <x:c r="F2629" s="2"/>
      <x:c r="G2629" s="2"/>
      <x:c r="H2629" s="2"/>
    </x:row>
    <x:row r="2630" ht="22" customHeight="1">
      <x:c r="A2630" s="2" t="n">
        <x:v>2624</x:v>
      </x:c>
      <x:c r="B2630" s="79" t="n">
        <x:v>-0.7183808666549822</x:v>
      </x:c>
      <x:c r="C2630" s="46" t="n">
        <x:f>B2630^2</x:f>
        <x:v>0.5160710695759634</x:v>
      </x:c>
      <x:c r="D2630" s="47" t="n">
        <x:f>'Datos'!$B$26^3/3</x:f>
        <x:v>0.3333333333333333</x:v>
      </x:c>
      <x:c r="E2630" s="46" t="n">
        <x:f>D2630*(C2630-1)</x:f>
        <x:v>-0.16130964347467885</x:v>
      </x:c>
      <x:c r="F2630" s="2"/>
      <x:c r="G2630" s="2"/>
      <x:c r="H2630" s="2"/>
    </x:row>
    <x:row r="2631" ht="22" customHeight="1">
      <x:c r="A2631" s="2" t="n">
        <x:v>2625</x:v>
      </x:c>
      <x:c r="B2631" s="79" t="n">
        <x:v>-0.818374110853884</x:v>
      </x:c>
      <x:c r="C2631" s="46" t="n">
        <x:f>B2631^2</x:f>
        <x:v>0.6697361853158852</x:v>
      </x:c>
      <x:c r="D2631" s="47" t="n">
        <x:f>'Datos'!$B$26^3/3</x:f>
        <x:v>0.3333333333333333</x:v>
      </x:c>
      <x:c r="E2631" s="46" t="n">
        <x:f>D2631*(C2631-1)</x:f>
        <x:v>-0.11008793822803827</x:v>
      </x:c>
      <x:c r="F2631" s="2"/>
      <x:c r="G2631" s="2"/>
      <x:c r="H2631" s="2"/>
    </x:row>
    <x:row r="2632" ht="22" customHeight="1">
      <x:c r="A2632" s="2" t="n">
        <x:v>2626</x:v>
      </x:c>
      <x:c r="B2632" s="79" t="n">
        <x:v>-0.738216715995146</x:v>
      </x:c>
      <x:c r="C2632" s="46" t="n">
        <x:f>B2632^2</x:f>
        <x:v>0.5449639197746581</x:v>
      </x:c>
      <x:c r="D2632" s="47" t="n">
        <x:f>'Datos'!$B$26^3/3</x:f>
        <x:v>0.3333333333333333</x:v>
      </x:c>
      <x:c r="E2632" s="46" t="n">
        <x:f>D2632*(C2632-1)</x:f>
        <x:v>-0.1516786934084473</x:v>
      </x:c>
      <x:c r="F2632" s="2"/>
      <x:c r="G2632" s="2"/>
      <x:c r="H2632" s="2"/>
    </x:row>
    <x:row r="2633" ht="22" customHeight="1">
      <x:c r="A2633" s="2" t="n">
        <x:v>2627</x:v>
      </x:c>
      <x:c r="B2633" s="79" t="n">
        <x:v>-2.081673325790542</x:v>
      </x:c>
      <x:c r="C2633" s="46" t="n">
        <x:f>B2633^2</x:f>
        <x:v>4.333363835307856</x:v>
      </x:c>
      <x:c r="D2633" s="47" t="n">
        <x:f>'Datos'!$B$26^3/3</x:f>
        <x:v>0.3333333333333333</x:v>
      </x:c>
      <x:c r="E2633" s="46" t="n">
        <x:f>D2633*(C2633-1)</x:f>
        <x:v>1.1111212784359519</x:v>
      </x:c>
      <x:c r="F2633" s="2"/>
      <x:c r="G2633" s="2"/>
      <x:c r="H2633" s="2"/>
    </x:row>
    <x:row r="2634" ht="22" customHeight="1">
      <x:c r="A2634" s="2" t="n">
        <x:v>2628</x:v>
      </x:c>
      <x:c r="B2634" s="79" t="n">
        <x:v>0.2485156228008651</x:v>
      </x:c>
      <x:c r="C2634" s="46" t="n">
        <x:f>B2634^2</x:f>
        <x:v>0.06176001477610186</x:v>
      </x:c>
      <x:c r="D2634" s="47" t="n">
        <x:f>'Datos'!$B$26^3/3</x:f>
        <x:v>0.3333333333333333</x:v>
      </x:c>
      <x:c r="E2634" s="46" t="n">
        <x:f>D2634*(C2634-1)</x:f>
        <x:v>-0.3127466617412994</x:v>
      </x:c>
      <x:c r="F2634" s="2"/>
      <x:c r="G2634" s="2"/>
      <x:c r="H2634" s="2"/>
    </x:row>
    <x:row r="2635" ht="22" customHeight="1">
      <x:c r="A2635" s="2" t="n">
        <x:v>2629</x:v>
      </x:c>
      <x:c r="B2635" s="79" t="n">
        <x:v>-1.3169454644461944</x:v>
      </x:c>
      <x:c r="C2635" s="46" t="n">
        <x:f>B2635^2</x:f>
        <x:v>1.7343453563254028</x:v>
      </x:c>
      <x:c r="D2635" s="47" t="n">
        <x:f>'Datos'!$B$26^3/3</x:f>
        <x:v>0.3333333333333333</x:v>
      </x:c>
      <x:c r="E2635" s="46" t="n">
        <x:f>D2635*(C2635-1)</x:f>
        <x:v>0.2447817854418009</x:v>
      </x:c>
      <x:c r="F2635" s="2"/>
      <x:c r="G2635" s="2"/>
      <x:c r="H2635" s="2"/>
    </x:row>
    <x:row r="2636" ht="22" customHeight="1">
      <x:c r="A2636" s="2" t="n">
        <x:v>2630</x:v>
      </x:c>
      <x:c r="B2636" s="79" t="n">
        <x:v>-0.6137290510436259</x:v>
      </x:c>
      <x:c r="C2636" s="46" t="n">
        <x:f>B2636^2</x:f>
        <x:v>0.3766633480949095</x:v>
      </x:c>
      <x:c r="D2636" s="47" t="n">
        <x:f>'Datos'!$B$26^3/3</x:f>
        <x:v>0.3333333333333333</x:v>
      </x:c>
      <x:c r="E2636" s="46" t="n">
        <x:f>D2636*(C2636-1)</x:f>
        <x:v>-0.20777888396836347</x:v>
      </x:c>
      <x:c r="F2636" s="2"/>
      <x:c r="G2636" s="2"/>
      <x:c r="H2636" s="2"/>
    </x:row>
    <x:row r="2637" ht="22" customHeight="1">
      <x:c r="A2637" s="2" t="n">
        <x:v>2631</x:v>
      </x:c>
      <x:c r="B2637" s="79" t="n">
        <x:v>0.8524652609525498</x:v>
      </x:c>
      <x:c r="C2637" s="46" t="n">
        <x:f>B2637^2</x:f>
        <x:v>0.7266970211308988</x:v>
      </x:c>
      <x:c r="D2637" s="47" t="n">
        <x:f>'Datos'!$B$26^3/3</x:f>
        <x:v>0.3333333333333333</x:v>
      </x:c>
      <x:c r="E2637" s="46" t="n">
        <x:f>D2637*(C2637-1)</x:f>
        <x:v>-0.09110099295636705</x:v>
      </x:c>
      <x:c r="F2637" s="2"/>
      <x:c r="G2637" s="2"/>
      <x:c r="H2637" s="2"/>
    </x:row>
    <x:row r="2638" ht="22" customHeight="1">
      <x:c r="A2638" s="2" t="n">
        <x:v>2632</x:v>
      </x:c>
      <x:c r="B2638" s="79" t="n">
        <x:v>1.0484918400586571</x:v>
      </x:c>
      <x:c r="C2638" s="46" t="n">
        <x:f>B2638^2</x:f>
        <x:v>1.0993351386695887</x:v>
      </x:c>
      <x:c r="D2638" s="47" t="n">
        <x:f>'Datos'!$B$26^3/3</x:f>
        <x:v>0.3333333333333333</x:v>
      </x:c>
      <x:c r="E2638" s="46" t="n">
        <x:f>D2638*(C2638-1)</x:f>
        <x:v>0.03311171288986288</x:v>
      </x:c>
      <x:c r="F2638" s="2"/>
      <x:c r="G2638" s="2"/>
      <x:c r="H2638" s="2"/>
    </x:row>
    <x:row r="2639" ht="22" customHeight="1">
      <x:c r="A2639" s="2" t="n">
        <x:v>2633</x:v>
      </x:c>
      <x:c r="B2639" s="79" t="n">
        <x:v>1.9808230125935917</x:v>
      </x:c>
      <x:c r="C2639" s="46" t="n">
        <x:f>B2639^2</x:f>
        <x:v>3.9236598072203526</x:v>
      </x:c>
      <x:c r="D2639" s="47" t="n">
        <x:f>'Datos'!$B$26^3/3</x:f>
        <x:v>0.3333333333333333</x:v>
      </x:c>
      <x:c r="E2639" s="46" t="n">
        <x:f>D2639*(C2639-1)</x:f>
        <x:v>0.9745532690734509</x:v>
      </x:c>
      <x:c r="F2639" s="2"/>
      <x:c r="G2639" s="2"/>
      <x:c r="H2639" s="2"/>
    </x:row>
    <x:row r="2640" ht="22" customHeight="1">
      <x:c r="A2640" s="2" t="n">
        <x:v>2634</x:v>
      </x:c>
      <x:c r="B2640" s="79" t="n">
        <x:v>0.6813462062726288</x:v>
      </x:c>
      <x:c r="C2640" s="46" t="n">
        <x:f>B2640^2</x:f>
        <x:v>0.4642326528021036</x:v>
      </x:c>
      <x:c r="D2640" s="47" t="n">
        <x:f>'Datos'!$B$26^3/3</x:f>
        <x:v>0.3333333333333333</x:v>
      </x:c>
      <x:c r="E2640" s="46" t="n">
        <x:f>D2640*(C2640-1)</x:f>
        <x:v>-0.17858911573263214</x:v>
      </x:c>
      <x:c r="F2640" s="2"/>
      <x:c r="G2640" s="2"/>
      <x:c r="H2640" s="2"/>
    </x:row>
    <x:row r="2641" ht="22" customHeight="1">
      <x:c r="A2641" s="2" t="n">
        <x:v>2635</x:v>
      </x:c>
      <x:c r="B2641" s="79" t="n">
        <x:v>0.06064144670332605</x:v>
      </x:c>
      <x:c r="C2641" s="46" t="n">
        <x:f>B2641^2</x:f>
        <x:v>0.003677385058272334</x:v>
      </x:c>
      <x:c r="D2641" s="47" t="n">
        <x:f>'Datos'!$B$26^3/3</x:f>
        <x:v>0.3333333333333333</x:v>
      </x:c>
      <x:c r="E2641" s="46" t="n">
        <x:f>D2641*(C2641-1)</x:f>
        <x:v>-0.3321075383139092</x:v>
      </x:c>
      <x:c r="F2641" s="2"/>
      <x:c r="G2641" s="2"/>
      <x:c r="H2641" s="2"/>
    </x:row>
    <x:row r="2642" ht="22" customHeight="1">
      <x:c r="A2642" s="2" t="n">
        <x:v>2636</x:v>
      </x:c>
      <x:c r="B2642" s="79" t="n">
        <x:v>1.067148473443598</x:v>
      </x:c>
      <x:c r="C2642" s="46" t="n">
        <x:f>B2642^2</x:f>
        <x:v>1.1388058643730017</x:v>
      </x:c>
      <x:c r="D2642" s="47" t="n">
        <x:f>'Datos'!$B$26^3/3</x:f>
        <x:v>0.3333333333333333</x:v>
      </x:c>
      <x:c r="E2642" s="46" t="n">
        <x:f>D2642*(C2642-1)</x:f>
        <x:v>0.046268621457667226</x:v>
      </x:c>
      <x:c r="F2642" s="2"/>
      <x:c r="G2642" s="2"/>
      <x:c r="H2642" s="2"/>
    </x:row>
    <x:row r="2643" ht="22" customHeight="1">
      <x:c r="A2643" s="2" t="n">
        <x:v>2637</x:v>
      </x:c>
      <x:c r="B2643" s="79" t="n">
        <x:v>0.7871406009418261</x:v>
      </x:c>
      <x:c r="C2643" s="46" t="n">
        <x:f>B2643^2</x:f>
        <x:v>0.6195903256510592</x:v>
      </x:c>
      <x:c r="D2643" s="47" t="n">
        <x:f>'Datos'!$B$26^3/3</x:f>
        <x:v>0.3333333333333333</x:v>
      </x:c>
      <x:c r="E2643" s="46" t="n">
        <x:f>D2643*(C2643-1)</x:f>
        <x:v>-0.12680322478298026</x:v>
      </x:c>
      <x:c r="F2643" s="2"/>
      <x:c r="G2643" s="2"/>
      <x:c r="H2643" s="2"/>
    </x:row>
    <x:row r="2644" ht="22" customHeight="1">
      <x:c r="A2644" s="2" t="n">
        <x:v>2638</x:v>
      </x:c>
      <x:c r="B2644" s="79" t="n">
        <x:v>0.09487543051106886</x:v>
      </x:c>
      <x:c r="C2644" s="46" t="n">
        <x:f>B2644^2</x:f>
        <x:v>0.009001347314660657</x:v>
      </x:c>
      <x:c r="D2644" s="47" t="n">
        <x:f>'Datos'!$B$26^3/3</x:f>
        <x:v>0.3333333333333333</x:v>
      </x:c>
      <x:c r="E2644" s="46" t="n">
        <x:f>D2644*(C2644-1)</x:f>
        <x:v>-0.3303328842284464</x:v>
      </x:c>
      <x:c r="F2644" s="2"/>
      <x:c r="G2644" s="2"/>
      <x:c r="H2644" s="2"/>
    </x:row>
    <x:row r="2645" ht="22" customHeight="1">
      <x:c r="A2645" s="2" t="n">
        <x:v>2639</x:v>
      </x:c>
      <x:c r="B2645" s="79" t="n">
        <x:v>-0.2673602477500487</x:v>
      </x:c>
      <x:c r="C2645" s="46" t="n">
        <x:f>B2645^2</x:f>
        <x:v>0.07148150207696741</x:v>
      </x:c>
      <x:c r="D2645" s="47" t="n">
        <x:f>'Datos'!$B$26^3/3</x:f>
        <x:v>0.3333333333333333</x:v>
      </x:c>
      <x:c r="E2645" s="46" t="n">
        <x:f>D2645*(C2645-1)</x:f>
        <x:v>-0.30950616597434416</x:v>
      </x:c>
      <x:c r="F2645" s="2"/>
      <x:c r="G2645" s="2"/>
      <x:c r="H2645" s="2"/>
    </x:row>
    <x:row r="2646" ht="22" customHeight="1">
      <x:c r="A2646" s="2" t="n">
        <x:v>2640</x:v>
      </x:c>
      <x:c r="B2646" s="79" t="n">
        <x:v>1.2293394572982763</x:v>
      </x:c>
      <x:c r="C2646" s="46" t="n">
        <x:f>B2646^2</x:f>
        <x:v>1.5112755012704204</x:v>
      </x:c>
      <x:c r="D2646" s="47" t="n">
        <x:f>'Datos'!$B$26^3/3</x:f>
        <x:v>0.3333333333333333</x:v>
      </x:c>
      <x:c r="E2646" s="46" t="n">
        <x:f>D2646*(C2646-1)</x:f>
        <x:v>0.17042516709014013</x:v>
      </x:c>
      <x:c r="F2646" s="2"/>
      <x:c r="G2646" s="2"/>
      <x:c r="H2646" s="2"/>
    </x:row>
    <x:row r="2647" ht="22" customHeight="1">
      <x:c r="A2647" s="2" t="n">
        <x:v>2641</x:v>
      </x:c>
      <x:c r="B2647" s="79" t="n">
        <x:v>-0.043392732913496795</x:v>
      </x:c>
      <x:c r="C2647" s="46" t="n">
        <x:f>B2647^2</x:f>
        <x:v>0.0018829292697020682</x:v>
      </x:c>
      <x:c r="D2647" s="47" t="n">
        <x:f>'Datos'!$B$26^3/3</x:f>
        <x:v>0.3333333333333333</x:v>
      </x:c>
      <x:c r="E2647" s="46" t="n">
        <x:f>D2647*(C2647-1)</x:f>
        <x:v>-0.33270569024343266</x:v>
      </x:c>
      <x:c r="F2647" s="2"/>
      <x:c r="G2647" s="2"/>
      <x:c r="H2647" s="2"/>
    </x:row>
    <x:row r="2648" ht="22" customHeight="1">
      <x:c r="A2648" s="2" t="n">
        <x:v>2642</x:v>
      </x:c>
      <x:c r="B2648" s="79" t="n">
        <x:v>-0.11240220760807627</x:v>
      </x:c>
      <x:c r="C2648" s="46" t="n">
        <x:f>B2648^2</x:f>
        <x:v>0.01263425627516908</x:v>
      </x:c>
      <x:c r="D2648" s="47" t="n">
        <x:f>'Datos'!$B$26^3/3</x:f>
        <x:v>0.3333333333333333</x:v>
      </x:c>
      <x:c r="E2648" s="46" t="n">
        <x:f>D2648*(C2648-1)</x:f>
        <x:v>-0.3291219145749436</x:v>
      </x:c>
      <x:c r="F2648" s="2"/>
      <x:c r="G2648" s="2"/>
      <x:c r="H2648" s="2"/>
    </x:row>
    <x:row r="2649" ht="22" customHeight="1">
      <x:c r="A2649" s="2" t="n">
        <x:v>2643</x:v>
      </x:c>
      <x:c r="B2649" s="79" t="n">
        <x:v>0.4673734416460151</x:v>
      </x:c>
      <x:c r="C2649" s="46" t="n">
        <x:f>B2649^2</x:f>
        <x:v>0.21843793395604105</x:v>
      </x:c>
      <x:c r="D2649" s="47" t="n">
        <x:f>'Datos'!$B$26^3/3</x:f>
        <x:v>0.3333333333333333</x:v>
      </x:c>
      <x:c r="E2649" s="46" t="n">
        <x:f>D2649*(C2649-1)</x:f>
        <x:v>-0.2605206886813196</x:v>
      </x:c>
      <x:c r="F2649" s="2"/>
      <x:c r="G2649" s="2"/>
      <x:c r="H2649" s="2"/>
    </x:row>
    <x:row r="2650" ht="22" customHeight="1">
      <x:c r="A2650" s="2" t="n">
        <x:v>2644</x:v>
      </x:c>
      <x:c r="B2650" s="79" t="n">
        <x:v>1.113678488127403</x:v>
      </x:c>
      <x:c r="C2650" s="46" t="n">
        <x:f>B2650^2</x:f>
        <x:v>1.2402797749177383</x:v>
      </x:c>
      <x:c r="D2650" s="47" t="n">
        <x:f>'Datos'!$B$26^3/3</x:f>
        <x:v>0.3333333333333333</x:v>
      </x:c>
      <x:c r="E2650" s="46" t="n">
        <x:f>D2650*(C2650-1)</x:f>
        <x:v>0.08009325830591277</x:v>
      </x:c>
      <x:c r="F2650" s="2"/>
      <x:c r="G2650" s="2"/>
      <x:c r="H2650" s="2"/>
    </x:row>
    <x:row r="2651" ht="22" customHeight="1">
      <x:c r="A2651" s="2" t="n">
        <x:v>2645</x:v>
      </x:c>
      <x:c r="B2651" s="79" t="n">
        <x:v>-0.7893925536140949</x:v>
      </x:c>
      <x:c r="C2651" s="46" t="n">
        <x:f>B2651^2</x:f>
        <x:v>0.6231406037013817</x:v>
      </x:c>
      <x:c r="D2651" s="47" t="n">
        <x:f>'Datos'!$B$26^3/3</x:f>
        <x:v>0.3333333333333333</x:v>
      </x:c>
      <x:c r="E2651" s="46" t="n">
        <x:f>D2651*(C2651-1)</x:f>
        <x:v>-0.1256197987662061</x:v>
      </x:c>
      <x:c r="F2651" s="2"/>
      <x:c r="G2651" s="2"/>
      <x:c r="H2651" s="2"/>
    </x:row>
    <x:row r="2652" ht="22" customHeight="1">
      <x:c r="A2652" s="2" t="n">
        <x:v>2646</x:v>
      </x:c>
      <x:c r="B2652" s="79" t="n">
        <x:v>-1.0501489598183569</x:v>
      </x:c>
      <x:c r="C2652" s="46" t="n">
        <x:f>B2652^2</x:f>
        <x:v>1.102812837807577</x:v>
      </x:c>
      <x:c r="D2652" s="47" t="n">
        <x:f>'Datos'!$B$26^3/3</x:f>
        <x:v>0.3333333333333333</x:v>
      </x:c>
      <x:c r="E2652" s="46" t="n">
        <x:f>D2652*(C2652-1)</x:f>
        <x:v>0.034270945935859</x:v>
      </x:c>
      <x:c r="F2652" s="2"/>
      <x:c r="G2652" s="2"/>
      <x:c r="H2652" s="2"/>
    </x:row>
    <x:row r="2653" ht="22" customHeight="1">
      <x:c r="A2653" s="2" t="n">
        <x:v>2647</x:v>
      </x:c>
      <x:c r="B2653" s="79" t="n">
        <x:v>1.1331101571108735</x:v>
      </x:c>
      <x:c r="C2653" s="46" t="n">
        <x:f>B2653^2</x:f>
        <x:v>1.2839386281478284</x:v>
      </x:c>
      <x:c r="D2653" s="47" t="n">
        <x:f>'Datos'!$B$26^3/3</x:f>
        <x:v>0.3333333333333333</x:v>
      </x:c>
      <x:c r="E2653" s="46" t="n">
        <x:f>D2653*(C2653-1)</x:f>
        <x:v>0.09464620938260948</x:v>
      </x:c>
      <x:c r="F2653" s="2"/>
      <x:c r="G2653" s="2"/>
      <x:c r="H2653" s="2"/>
    </x:row>
    <x:row r="2654" ht="22" customHeight="1">
      <x:c r="A2654" s="2" t="n">
        <x:v>2648</x:v>
      </x:c>
      <x:c r="B2654" s="79" t="n">
        <x:v>-0.8297350665533668</x:v>
      </x:c>
      <x:c r="C2654" s="46" t="n">
        <x:f>B2654^2</x:f>
        <x:v>0.6884602806683201</x:v>
      </x:c>
      <x:c r="D2654" s="47" t="n">
        <x:f>'Datos'!$B$26^3/3</x:f>
        <x:v>0.3333333333333333</x:v>
      </x:c>
      <x:c r="E2654" s="46" t="n">
        <x:f>D2654*(C2654-1)</x:f>
        <x:v>-0.10384657311055996</x:v>
      </x:c>
      <x:c r="F2654" s="2"/>
      <x:c r="G2654" s="2"/>
      <x:c r="H2654" s="2"/>
    </x:row>
    <x:row r="2655" ht="22" customHeight="1">
      <x:c r="A2655" s="2" t="n">
        <x:v>2649</x:v>
      </x:c>
      <x:c r="B2655" s="79" t="n">
        <x:v>-0.5386130894096214</x:v>
      </x:c>
      <x:c r="C2655" s="46" t="n">
        <x:f>B2655^2</x:f>
        <x:v>0.2901040600833768</x:v>
      </x:c>
      <x:c r="D2655" s="47" t="n">
        <x:f>'Datos'!$B$26^3/3</x:f>
        <x:v>0.3333333333333333</x:v>
      </x:c>
      <x:c r="E2655" s="46" t="n">
        <x:f>D2655*(C2655-1)</x:f>
        <x:v>-0.2366319799722077</x:v>
      </x:c>
      <x:c r="F2655" s="2"/>
      <x:c r="G2655" s="2"/>
      <x:c r="H2655" s="2"/>
    </x:row>
    <x:row r="2656" ht="22" customHeight="1">
      <x:c r="A2656" s="2" t="n">
        <x:v>2650</x:v>
      </x:c>
      <x:c r="B2656" s="79" t="n">
        <x:v>0.18673415527075135</x:v>
      </x:c>
      <x:c r="C2656" s="46" t="n">
        <x:f>B2656^2</x:f>
        <x:v>0.03486964474468107</x:v>
      </x:c>
      <x:c r="D2656" s="47" t="n">
        <x:f>'Datos'!$B$26^3/3</x:f>
        <x:v>0.3333333333333333</x:v>
      </x:c>
      <x:c r="E2656" s="46" t="n">
        <x:f>D2656*(C2656-1)</x:f>
        <x:v>-0.32171011841843966</x:v>
      </x:c>
      <x:c r="F2656" s="2"/>
      <x:c r="G2656" s="2"/>
      <x:c r="H2656" s="2"/>
    </x:row>
    <x:row r="2657" ht="22" customHeight="1">
      <x:c r="A2657" s="2" t="n">
        <x:v>2651</x:v>
      </x:c>
      <x:c r="B2657" s="79" t="n">
        <x:v>1.1913317390952436</x:v>
      </x:c>
      <x:c r="C2657" s="46" t="n">
        <x:f>B2657^2</x:f>
        <x:v>1.4192713125756975</x:v>
      </x:c>
      <x:c r="D2657" s="47" t="n">
        <x:f>'Datos'!$B$26^3/3</x:f>
        <x:v>0.3333333333333333</x:v>
      </x:c>
      <x:c r="E2657" s="46" t="n">
        <x:f>D2657*(C2657-1)</x:f>
        <x:v>0.13975710419189916</x:v>
      </x:c>
      <x:c r="F2657" s="2"/>
      <x:c r="G2657" s="2"/>
      <x:c r="H2657" s="2"/>
    </x:row>
    <x:row r="2658" ht="22" customHeight="1">
      <x:c r="A2658" s="2" t="n">
        <x:v>2652</x:v>
      </x:c>
      <x:c r="B2658" s="79" t="n">
        <x:v>-0.9601075182260789</x:v>
      </x:c>
      <x:c r="C2658" s="46" t="n">
        <x:f>B2658^2</x:f>
        <x:v>0.9218064465542404</x:v>
      </x:c>
      <x:c r="D2658" s="47" t="n">
        <x:f>'Datos'!$B$26^3/3</x:f>
        <x:v>0.3333333333333333</x:v>
      </x:c>
      <x:c r="E2658" s="46" t="n">
        <x:f>D2658*(C2658-1)</x:f>
        <x:v>-0.026064517815253208</x:v>
      </x:c>
      <x:c r="F2658" s="2"/>
      <x:c r="G2658" s="2"/>
      <x:c r="H2658" s="2"/>
    </x:row>
    <x:row r="2659" ht="22" customHeight="1">
      <x:c r="A2659" s="2" t="n">
        <x:v>2653</x:v>
      </x:c>
      <x:c r="B2659" s="79" t="n">
        <x:v>-1.0522352731333056</x:v>
      </x:c>
      <x:c r="C2659" s="46" t="n">
        <x:f>B2659^2</x:f>
        <x:v>1.1071990700259222</x:v>
      </x:c>
      <x:c r="D2659" s="47" t="n">
        <x:f>'Datos'!$B$26^3/3</x:f>
        <x:v>0.3333333333333333</x:v>
      </x:c>
      <x:c r="E2659" s="46" t="n">
        <x:f>D2659*(C2659-1)</x:f>
        <x:v>0.03573302334197407</x:v>
      </x:c>
      <x:c r="F2659" s="2"/>
      <x:c r="G2659" s="2"/>
      <x:c r="H2659" s="2"/>
    </x:row>
    <x:row r="2660" ht="22" customHeight="1">
      <x:c r="A2660" s="2" t="n">
        <x:v>2654</x:v>
      </x:c>
      <x:c r="B2660" s="79" t="n">
        <x:v>-0.22181345676018716</x:v>
      </x:c>
      <x:c r="C2660" s="46" t="n">
        <x:f>B2660^2</x:f>
        <x:v>0.049201209599903414</x:v>
      </x:c>
      <x:c r="D2660" s="47" t="n">
        <x:f>'Datos'!$B$26^3/3</x:f>
        <x:v>0.3333333333333333</x:v>
      </x:c>
      <x:c r="E2660" s="46" t="n">
        <x:f>D2660*(C2660-1)</x:f>
        <x:v>-0.31693293013336554</x:v>
      </x:c>
      <x:c r="F2660" s="2"/>
      <x:c r="G2660" s="2"/>
      <x:c r="H2660" s="2"/>
    </x:row>
    <x:row r="2661" ht="22" customHeight="1">
      <x:c r="A2661" s="2" t="n">
        <x:v>2655</x:v>
      </x:c>
      <x:c r="B2661" s="79" t="n">
        <x:v>-1.6859444270938468</x:v>
      </x:c>
      <x:c r="C2661" s="46" t="n">
        <x:f>B2661^2</x:f>
        <x:v>2.8424086112487994</x:v>
      </x:c>
      <x:c r="D2661" s="47" t="n">
        <x:f>'Datos'!$B$26^3/3</x:f>
        <x:v>0.3333333333333333</x:v>
      </x:c>
      <x:c r="E2661" s="46" t="n">
        <x:f>D2661*(C2661-1)</x:f>
        <x:v>0.6141362037495998</x:v>
      </x:c>
      <x:c r="F2661" s="2"/>
      <x:c r="G2661" s="2"/>
      <x:c r="H2661" s="2"/>
    </x:row>
    <x:row r="2662" ht="22" customHeight="1">
      <x:c r="A2662" s="2" t="n">
        <x:v>2656</x:v>
      </x:c>
      <x:c r="B2662" s="79" t="n">
        <x:v>-0.26761775655666764</x:v>
      </x:c>
      <x:c r="C2662" s="46" t="n">
        <x:f>B2662^2</x:f>
        <x:v>0.07161926362442382</x:v>
      </x:c>
      <x:c r="D2662" s="47" t="n">
        <x:f>'Datos'!$B$26^3/3</x:f>
        <x:v>0.3333333333333333</x:v>
      </x:c>
      <x:c r="E2662" s="46" t="n">
        <x:f>D2662*(C2662-1)</x:f>
        <x:v>-0.30946024545852535</x:v>
      </x:c>
      <x:c r="F2662" s="2"/>
      <x:c r="G2662" s="2"/>
      <x:c r="H2662" s="2"/>
    </x:row>
    <x:row r="2663" ht="22" customHeight="1">
      <x:c r="A2663" s="2" t="n">
        <x:v>2657</x:v>
      </x:c>
      <x:c r="B2663" s="79" t="n">
        <x:v>0.28262419497626523</x:v>
      </x:c>
      <x:c r="C2663" s="46" t="n">
        <x:f>B2663^2</x:f>
        <x:v>0.07987643558598198</x:v>
      </x:c>
      <x:c r="D2663" s="47" t="n">
        <x:f>'Datos'!$B$26^3/3</x:f>
        <x:v>0.3333333333333333</x:v>
      </x:c>
      <x:c r="E2663" s="46" t="n">
        <x:f>D2663*(C2663-1)</x:f>
        <x:v>-0.30670785480467266</x:v>
      </x:c>
      <x:c r="F2663" s="2"/>
      <x:c r="G2663" s="2"/>
      <x:c r="H2663" s="2"/>
    </x:row>
    <x:row r="2664" ht="22" customHeight="1">
      <x:c r="A2664" s="2" t="n">
        <x:v>2658</x:v>
      </x:c>
      <x:c r="B2664" s="79" t="n">
        <x:v>-0.3189661423109068</x:v>
      </x:c>
      <x:c r="C2664" s="46" t="n">
        <x:f>B2664^2</x:f>
        <x:v>0.10173939994070165</x:v>
      </x:c>
      <x:c r="D2664" s="47" t="n">
        <x:f>'Datos'!$B$26^3/3</x:f>
        <x:v>0.3333333333333333</x:v>
      </x:c>
      <x:c r="E2664" s="46" t="n">
        <x:f>D2664*(C2664-1)</x:f>
        <x:v>-0.2994202000197661</x:v>
      </x:c>
      <x:c r="F2664" s="2"/>
      <x:c r="G2664" s="2"/>
      <x:c r="H2664" s="2"/>
    </x:row>
    <x:row r="2665" ht="22" customHeight="1">
      <x:c r="A2665" s="2" t="n">
        <x:v>2659</x:v>
      </x:c>
      <x:c r="B2665" s="79" t="n">
        <x:v>1.9480031522228496</x:v>
      </x:c>
      <x:c r="C2665" s="46" t="n">
        <x:f>B2665^2</x:f>
        <x:v>3.7947162810701585</x:v>
      </x:c>
      <x:c r="D2665" s="47" t="n">
        <x:f>'Datos'!$B$26^3/3</x:f>
        <x:v>0.3333333333333333</x:v>
      </x:c>
      <x:c r="E2665" s="46" t="n">
        <x:f>D2665*(C2665-1)</x:f>
        <x:v>0.9315720936900528</x:v>
      </x:c>
      <x:c r="F2665" s="2"/>
      <x:c r="G2665" s="2"/>
      <x:c r="H2665" s="2"/>
    </x:row>
    <x:row r="2666" ht="22" customHeight="1">
      <x:c r="A2666" s="2" t="n">
        <x:v>2660</x:v>
      </x:c>
      <x:c r="B2666" s="79" t="n">
        <x:v>-0.16078165656402296</x:v>
      </x:c>
      <x:c r="C2666" s="46" t="n">
        <x:f>B2666^2</x:f>
        <x:v>0.02585074108747143</x:v>
      </x:c>
      <x:c r="D2666" s="47" t="n">
        <x:f>'Datos'!$B$26^3/3</x:f>
        <x:v>0.3333333333333333</x:v>
      </x:c>
      <x:c r="E2666" s="46" t="n">
        <x:f>D2666*(C2666-1)</x:f>
        <x:v>-0.3247164196375095</x:v>
      </x:c>
      <x:c r="F2666" s="2"/>
      <x:c r="G2666" s="2"/>
      <x:c r="H2666" s="2"/>
    </x:row>
    <x:row r="2667" ht="22" customHeight="1">
      <x:c r="A2667" s="2" t="n">
        <x:v>2661</x:v>
      </x:c>
      <x:c r="B2667" s="79" t="n">
        <x:v>0.9682467309912363</x:v>
      </x:c>
      <x:c r="C2667" s="46" t="n">
        <x:f>B2667^2</x:f>
        <x:v>0.9375017320752155</x:v>
      </x:c>
      <x:c r="D2667" s="47" t="n">
        <x:f>'Datos'!$B$26^3/3</x:f>
        <x:v>0.3333333333333333</x:v>
      </x:c>
      <x:c r="E2667" s="46" t="n">
        <x:f>D2667*(C2667-1)</x:f>
        <x:v>-0.020832755974928174</x:v>
      </x:c>
      <x:c r="F2667" s="2"/>
      <x:c r="G2667" s="2"/>
      <x:c r="H2667" s="2"/>
    </x:row>
    <x:row r="2668" ht="22" customHeight="1">
      <x:c r="A2668" s="2" t="n">
        <x:v>2662</x:v>
      </x:c>
      <x:c r="B2668" s="79" t="n">
        <x:v>0.5511832989297223</x:v>
      </x:c>
      <x:c r="C2668" s="46" t="n">
        <x:f>B2668^2</x:f>
        <x:v>0.3038030290190516</x:v>
      </x:c>
      <x:c r="D2668" s="47" t="n">
        <x:f>'Datos'!$B$26^3/3</x:f>
        <x:v>0.3333333333333333</x:v>
      </x:c>
      <x:c r="E2668" s="46" t="n">
        <x:f>D2668*(C2668-1)</x:f>
        <x:v>-0.23206565699364945</x:v>
      </x:c>
      <x:c r="F2668" s="2"/>
      <x:c r="G2668" s="2"/>
      <x:c r="H2668" s="2"/>
    </x:row>
    <x:row r="2669" ht="22" customHeight="1">
      <x:c r="A2669" s="2" t="n">
        <x:v>2663</x:v>
      </x:c>
      <x:c r="B2669" s="79" t="n">
        <x:v>0.03301714864033638</x:v>
      </x:c>
      <x:c r="C2669" s="46" t="n">
        <x:f>B2669^2</x:f>
        <x:v>0.0010901321043380663</x:v>
      </x:c>
      <x:c r="D2669" s="47" t="n">
        <x:f>'Datos'!$B$26^3/3</x:f>
        <x:v>0.3333333333333333</x:v>
      </x:c>
      <x:c r="E2669" s="46" t="n">
        <x:f>D2669*(C2669-1)</x:f>
        <x:v>-0.3329699559652206</x:v>
      </x:c>
      <x:c r="F2669" s="2"/>
      <x:c r="G2669" s="2"/>
      <x:c r="H2669" s="2"/>
    </x:row>
    <x:row r="2670" ht="22" customHeight="1">
      <x:c r="A2670" s="2" t="n">
        <x:v>2664</x:v>
      </x:c>
      <x:c r="B2670" s="79" t="n">
        <x:v>0.31994478166645585</x:v>
      </x:c>
      <x:c r="C2670" s="46" t="n">
        <x:f>B2670^2</x:f>
        <x:v>0.1023646633155961</x:v>
      </x:c>
      <x:c r="D2670" s="47" t="n">
        <x:f>'Datos'!$B$26^3/3</x:f>
        <x:v>0.3333333333333333</x:v>
      </x:c>
      <x:c r="E2670" s="46" t="n">
        <x:f>D2670*(C2670-1)</x:f>
        <x:v>-0.2992117788948013</x:v>
      </x:c>
      <x:c r="F2670" s="2"/>
      <x:c r="G2670" s="2"/>
      <x:c r="H2670" s="2"/>
    </x:row>
    <x:row r="2671" ht="22" customHeight="1">
      <x:c r="A2671" s="2" t="n">
        <x:v>2665</x:v>
      </x:c>
      <x:c r="B2671" s="79" t="n">
        <x:v>0.05927292792871301</x:v>
      </x:c>
      <x:c r="C2671" s="46" t="n">
        <x:f>B2671^2</x:f>
        <x:v>0.003513279985242407</x:v>
      </x:c>
      <x:c r="D2671" s="47" t="n">
        <x:f>'Datos'!$B$26^3/3</x:f>
        <x:v>0.3333333333333333</x:v>
      </x:c>
      <x:c r="E2671" s="46" t="n">
        <x:f>D2671*(C2671-1)</x:f>
        <x:v>-0.3321622400049192</x:v>
      </x:c>
      <x:c r="F2671" s="2"/>
      <x:c r="G2671" s="2"/>
      <x:c r="H2671" s="2"/>
    </x:row>
    <x:row r="2672" ht="22" customHeight="1">
      <x:c r="A2672" s="2" t="n">
        <x:v>2666</x:v>
      </x:c>
      <x:c r="B2672" s="79" t="n">
        <x:v>-0.11194946138769249</x:v>
      </x:c>
      <x:c r="C2672" s="46" t="n">
        <x:f>B2672^2</x:f>
        <x:v>0.012532681904994451</x:v>
      </x:c>
      <x:c r="D2672" s="47" t="n">
        <x:f>'Datos'!$B$26^3/3</x:f>
        <x:v>0.3333333333333333</x:v>
      </x:c>
      <x:c r="E2672" s="46" t="n">
        <x:f>D2672*(C2672-1)</x:f>
        <x:v>-0.3291557726983352</x:v>
      </x:c>
      <x:c r="F2672" s="2"/>
      <x:c r="G2672" s="2"/>
      <x:c r="H2672" s="2"/>
    </x:row>
    <x:row r="2673" ht="22" customHeight="1">
      <x:c r="A2673" s="2" t="n">
        <x:v>2667</x:v>
      </x:c>
      <x:c r="B2673" s="79" t="n">
        <x:v>0.8562141217026502</x:v>
      </x:c>
      <x:c r="C2673" s="46" t="n">
        <x:f>B2673^2</x:f>
        <x:v>0.7331026222030407</x:v>
      </x:c>
      <x:c r="D2673" s="47" t="n">
        <x:f>'Datos'!$B$26^3/3</x:f>
        <x:v>0.3333333333333333</x:v>
      </x:c>
      <x:c r="E2673" s="46" t="n">
        <x:f>D2673*(C2673-1)</x:f>
        <x:v>-0.08896579259898643</x:v>
      </x:c>
      <x:c r="F2673" s="2"/>
      <x:c r="G2673" s="2"/>
      <x:c r="H2673" s="2"/>
    </x:row>
    <x:row r="2674" ht="22" customHeight="1">
      <x:c r="A2674" s="2" t="n">
        <x:v>2668</x:v>
      </x:c>
      <x:c r="B2674" s="79" t="n">
        <x:v>0.3817001032113924</x:v>
      </x:c>
      <x:c r="C2674" s="46" t="n">
        <x:f>B2674^2</x:f>
        <x:v>0.14569496879158764</x:v>
      </x:c>
      <x:c r="D2674" s="47" t="n">
        <x:f>'Datos'!$B$26^3/3</x:f>
        <x:v>0.3333333333333333</x:v>
      </x:c>
      <x:c r="E2674" s="46" t="n">
        <x:f>D2674*(C2674-1)</x:f>
        <x:v>-0.28476834373613746</x:v>
      </x:c>
      <x:c r="F2674" s="2"/>
      <x:c r="G2674" s="2"/>
      <x:c r="H2674" s="2"/>
    </x:row>
    <x:row r="2675" ht="22" customHeight="1">
      <x:c r="A2675" s="2" t="n">
        <x:v>2669</x:v>
      </x:c>
      <x:c r="B2675" s="79" t="n">
        <x:v>2.161287142876419</x:v>
      </x:c>
      <x:c r="C2675" s="46" t="n">
        <x:f>B2675^2</x:f>
        <x:v>4.671162113962914</x:v>
      </x:c>
      <x:c r="D2675" s="47" t="n">
        <x:f>'Datos'!$B$26^3/3</x:f>
        <x:v>0.3333333333333333</x:v>
      </x:c>
      <x:c r="E2675" s="46" t="n">
        <x:f>D2675*(C2675-1)</x:f>
        <x:v>1.2237207046543044</x:v>
      </x:c>
      <x:c r="F2675" s="2"/>
      <x:c r="G2675" s="2"/>
      <x:c r="H2675" s="2"/>
    </x:row>
    <x:row r="2676" ht="22" customHeight="1">
      <x:c r="A2676" s="2" t="n">
        <x:v>2670</x:v>
      </x:c>
      <x:c r="B2676" s="79" t="n">
        <x:v>-2.0376078687464894</x:v>
      </x:c>
      <x:c r="C2676" s="46" t="n">
        <x:f>B2676^2</x:f>
        <x:v>4.151845826777611</x:v>
      </x:c>
      <x:c r="D2676" s="47" t="n">
        <x:f>'Datos'!$B$26^3/3</x:f>
        <x:v>0.3333333333333333</x:v>
      </x:c>
      <x:c r="E2676" s="46" t="n">
        <x:f>D2676*(C2676-1)</x:f>
        <x:v>1.0506152755925369</x:v>
      </x:c>
      <x:c r="F2676" s="2"/>
      <x:c r="G2676" s="2"/>
      <x:c r="H2676" s="2"/>
    </x:row>
    <x:row r="2677" ht="22" customHeight="1">
      <x:c r="A2677" s="2" t="n">
        <x:v>2671</x:v>
      </x:c>
      <x:c r="B2677" s="79" t="n">
        <x:v>-1.092403407636951</x:v>
      </x:c>
      <x:c r="C2677" s="46" t="n">
        <x:f>B2677^2</x:f>
        <x:v>1.1933452050168227</x:v>
      </x:c>
      <x:c r="D2677" s="47" t="n">
        <x:f>'Datos'!$B$26^3/3</x:f>
        <x:v>0.3333333333333333</x:v>
      </x:c>
      <x:c r="E2677" s="46" t="n">
        <x:f>D2677*(C2677-1)</x:f>
        <x:v>0.06444840167227424</x:v>
      </x:c>
      <x:c r="F2677" s="2"/>
      <x:c r="G2677" s="2"/>
      <x:c r="H2677" s="2"/>
    </x:row>
    <x:row r="2678" ht="22" customHeight="1">
      <x:c r="A2678" s="2" t="n">
        <x:v>2672</x:v>
      </x:c>
      <x:c r="B2678" s="79" t="n">
        <x:v>0.17730898079598995</x:v>
      </x:c>
      <x:c r="C2678" s="46" t="n">
        <x:f>B2678^2</x:f>
        <x:v>0.03143847467091273</x:v>
      </x:c>
      <x:c r="D2678" s="47" t="n">
        <x:f>'Datos'!$B$26^3/3</x:f>
        <x:v>0.3333333333333333</x:v>
      </x:c>
      <x:c r="E2678" s="46" t="n">
        <x:f>D2678*(C2678-1)</x:f>
        <x:v>-0.3228538417763624</x:v>
      </x:c>
      <x:c r="F2678" s="2"/>
      <x:c r="G2678" s="2"/>
      <x:c r="H2678" s="2"/>
    </x:row>
    <x:row r="2679" ht="22" customHeight="1">
      <x:c r="A2679" s="2" t="n">
        <x:v>2673</x:v>
      </x:c>
      <x:c r="B2679" s="79" t="n">
        <x:v>-0.36461447407865627</x:v>
      </x:c>
      <x:c r="C2679" s="46" t="n">
        <x:f>B2679^2</x:f>
        <x:v>0.1329437147076551</x:v>
      </x:c>
      <x:c r="D2679" s="47" t="n">
        <x:f>'Datos'!$B$26^3/3</x:f>
        <x:v>0.3333333333333333</x:v>
      </x:c>
      <x:c r="E2679" s="46" t="n">
        <x:f>D2679*(C2679-1)</x:f>
        <x:v>-0.28901876176411495</x:v>
      </x:c>
      <x:c r="F2679" s="2"/>
      <x:c r="G2679" s="2"/>
      <x:c r="H2679" s="2"/>
    </x:row>
    <x:row r="2680" ht="22" customHeight="1">
      <x:c r="A2680" s="2" t="n">
        <x:v>2674</x:v>
      </x:c>
      <x:c r="B2680" s="79" t="n">
        <x:v>-1.8696296635308476</x:v>
      </x:c>
      <x:c r="C2680" s="46" t="n">
        <x:f>B2680^2</x:f>
        <x:v>3.49551507875447</x:v>
      </x:c>
      <x:c r="D2680" s="47" t="n">
        <x:f>'Datos'!$B$26^3/3</x:f>
        <x:v>0.3333333333333333</x:v>
      </x:c>
      <x:c r="E2680" s="46" t="n">
        <x:f>D2680*(C2680-1)</x:f>
        <x:v>0.8318383595848233</x:v>
      </x:c>
      <x:c r="F2680" s="2"/>
      <x:c r="G2680" s="2"/>
      <x:c r="H2680" s="2"/>
    </x:row>
    <x:row r="2681" ht="22" customHeight="1">
      <x:c r="A2681" s="2" t="n">
        <x:v>2675</x:v>
      </x:c>
      <x:c r="B2681" s="79" t="n">
        <x:v>-1.2483647851943698</x:v>
      </x:c>
      <x:c r="C2681" s="46" t="n">
        <x:f>B2681^2</x:f>
        <x:v>1.5584146369133849</x:v>
      </x:c>
      <x:c r="D2681" s="47" t="n">
        <x:f>'Datos'!$B$26^3/3</x:f>
        <x:v>0.3333333333333333</x:v>
      </x:c>
      <x:c r="E2681" s="46" t="n">
        <x:f>D2681*(C2681-1)</x:f>
        <x:v>0.18613821230446162</x:v>
      </x:c>
      <x:c r="F2681" s="2"/>
      <x:c r="G2681" s="2"/>
      <x:c r="H2681" s="2"/>
    </x:row>
    <x:row r="2682" ht="22" customHeight="1">
      <x:c r="A2682" s="2" t="n">
        <x:v>2676</x:v>
      </x:c>
      <x:c r="B2682" s="79" t="n">
        <x:v>0.4450453412850645</x:v>
      </x:c>
      <x:c r="C2682" s="46" t="n">
        <x:f>B2682^2</x:f>
        <x:v>0.19806535579953954</x:v>
      </x:c>
      <x:c r="D2682" s="47" t="n">
        <x:f>'Datos'!$B$26^3/3</x:f>
        <x:v>0.3333333333333333</x:v>
      </x:c>
      <x:c r="E2682" s="46" t="n">
        <x:f>D2682*(C2682-1)</x:f>
        <x:v>-0.2673115480668201</x:v>
      </x:c>
      <x:c r="F2682" s="2"/>
      <x:c r="G2682" s="2"/>
      <x:c r="H2682" s="2"/>
    </x:row>
    <x:row r="2683" ht="22" customHeight="1">
      <x:c r="A2683" s="2" t="n">
        <x:v>2677</x:v>
      </x:c>
      <x:c r="B2683" s="79" t="n">
        <x:v>0.6644688946103628</x:v>
      </x:c>
      <x:c r="C2683" s="46" t="n">
        <x:f>B2683^2</x:f>
        <x:v>0.4415189119047175</x:v>
      </x:c>
      <x:c r="D2683" s="47" t="n">
        <x:f>'Datos'!$B$26^3/3</x:f>
        <x:v>0.3333333333333333</x:v>
      </x:c>
      <x:c r="E2683" s="46" t="n">
        <x:f>D2683*(C2683-1)</x:f>
        <x:v>-0.1861603626984275</x:v>
      </x:c>
      <x:c r="F2683" s="2"/>
      <x:c r="G2683" s="2"/>
      <x:c r="H2683" s="2"/>
    </x:row>
    <x:row r="2684" ht="22" customHeight="1">
      <x:c r="A2684" s="2" t="n">
        <x:v>2678</x:v>
      </x:c>
      <x:c r="B2684" s="79" t="n">
        <x:v>0.6003743523579754</x:v>
      </x:c>
      <x:c r="C2684" s="46" t="n">
        <x:f>B2684^2</x:f>
        <x:v>0.36044936296925845</x:v>
      </x:c>
      <x:c r="D2684" s="47" t="n">
        <x:f>'Datos'!$B$26^3/3</x:f>
        <x:v>0.3333333333333333</x:v>
      </x:c>
      <x:c r="E2684" s="46" t="n">
        <x:f>D2684*(C2684-1)</x:f>
        <x:v>-0.21318354567691383</x:v>
      </x:c>
      <x:c r="F2684" s="2"/>
      <x:c r="G2684" s="2"/>
      <x:c r="H2684" s="2"/>
    </x:row>
    <x:row r="2685" ht="22" customHeight="1">
      <x:c r="A2685" s="2" t="n">
        <x:v>2679</x:v>
      </x:c>
      <x:c r="B2685" s="79" t="n">
        <x:v>-0.5143348685994393</x:v>
      </x:c>
      <x:c r="C2685" s="46" t="n">
        <x:f>B2685^2</x:f>
        <x:v>0.2645403570572025</x:v>
      </x:c>
      <x:c r="D2685" s="47" t="n">
        <x:f>'Datos'!$B$26^3/3</x:f>
        <x:v>0.3333333333333333</x:v>
      </x:c>
      <x:c r="E2685" s="46" t="n">
        <x:f>D2685*(C2685-1)</x:f>
        <x:v>-0.24515321431426584</x:v>
      </x:c>
      <x:c r="F2685" s="2"/>
      <x:c r="G2685" s="2"/>
      <x:c r="H2685" s="2"/>
    </x:row>
    <x:row r="2686" ht="22" customHeight="1">
      <x:c r="A2686" s="2" t="n">
        <x:v>2680</x:v>
      </x:c>
      <x:c r="B2686" s="79" t="n">
        <x:v>-1.1957919095416656</x:v>
      </x:c>
      <x:c r="C2686" s="46" t="n">
        <x:f>B2686^2</x:f>
        <x:v>1.429918290925303</x:v>
      </x:c>
      <x:c r="D2686" s="47" t="n">
        <x:f>'Datos'!$B$26^3/3</x:f>
        <x:v>0.3333333333333333</x:v>
      </x:c>
      <x:c r="E2686" s="46" t="n">
        <x:f>D2686*(C2686-1)</x:f>
        <x:v>0.143306096975101</x:v>
      </x:c>
      <x:c r="F2686" s="2"/>
      <x:c r="G2686" s="2"/>
      <x:c r="H2686" s="2"/>
    </x:row>
    <x:row r="2687" ht="22" customHeight="1">
      <x:c r="A2687" s="2" t="n">
        <x:v>2681</x:v>
      </x:c>
      <x:c r="B2687" s="79" t="n">
        <x:v>1.3380041599920531</x:v>
      </x:c>
      <x:c r="C2687" s="46" t="n">
        <x:f>B2687^2</x:f>
        <x:v>1.7902551321560398</x:v>
      </x:c>
      <x:c r="D2687" s="47" t="n">
        <x:f>'Datos'!$B$26^3/3</x:f>
        <x:v>0.3333333333333333</x:v>
      </x:c>
      <x:c r="E2687" s="46" t="n">
        <x:f>D2687*(C2687-1)</x:f>
        <x:v>0.26341837738534657</x:v>
      </x:c>
      <x:c r="F2687" s="2"/>
      <x:c r="G2687" s="2"/>
      <x:c r="H2687" s="2"/>
    </x:row>
    <x:row r="2688" ht="22" customHeight="1">
      <x:c r="A2688" s="2" t="n">
        <x:v>2682</x:v>
      </x:c>
      <x:c r="B2688" s="79" t="n">
        <x:v>0.4877366561818115</x:v>
      </x:c>
      <x:c r="C2688" s="46" t="n">
        <x:f>B2688^2</x:f>
        <x:v>0.2378870457834146</x:v>
      </x:c>
      <x:c r="D2688" s="47" t="n">
        <x:f>'Datos'!$B$26^3/3</x:f>
        <x:v>0.3333333333333333</x:v>
      </x:c>
      <x:c r="E2688" s="46" t="n">
        <x:f>D2688*(C2688-1)</x:f>
        <x:v>-0.2540376514055285</x:v>
      </x:c>
      <x:c r="F2688" s="2"/>
      <x:c r="G2688" s="2"/>
      <x:c r="H2688" s="2"/>
    </x:row>
    <x:row r="2689" ht="22" customHeight="1">
      <x:c r="A2689" s="2" t="n">
        <x:v>2683</x:v>
      </x:c>
      <x:c r="B2689" s="79" t="n">
        <x:v>-1.18385779897521</x:v>
      </x:c>
      <x:c r="C2689" s="46" t="n">
        <x:f>B2689^2</x:f>
        <x:v>1.4015192881944285</x:v>
      </x:c>
      <x:c r="D2689" s="47" t="n">
        <x:f>'Datos'!$B$26^3/3</x:f>
        <x:v>0.3333333333333333</x:v>
      </x:c>
      <x:c r="E2689" s="46" t="n">
        <x:f>D2689*(C2689-1)</x:f>
        <x:v>0.13383976273147616</x:v>
      </x:c>
      <x:c r="F2689" s="2"/>
      <x:c r="G2689" s="2"/>
      <x:c r="H2689" s="2"/>
    </x:row>
    <x:row r="2690" ht="22" customHeight="1">
      <x:c r="A2690" s="2" t="n">
        <x:v>2684</x:v>
      </x:c>
      <x:c r="B2690" s="79" t="n">
        <x:v>-0.9701399102653302</x:v>
      </x:c>
      <x:c r="C2690" s="46" t="n">
        <x:f>B2690^2</x:f>
        <x:v>0.941171445489623</x:v>
      </x:c>
      <x:c r="D2690" s="47" t="n">
        <x:f>'Datos'!$B$26^3/3</x:f>
        <x:v>0.3333333333333333</x:v>
      </x:c>
      <x:c r="E2690" s="46" t="n">
        <x:f>D2690*(C2690-1)</x:f>
        <x:v>-0.019609518170125684</x:v>
      </x:c>
      <x:c r="F2690" s="2"/>
      <x:c r="G2690" s="2"/>
      <x:c r="H2690" s="2"/>
    </x:row>
    <x:row r="2691" ht="22" customHeight="1">
      <x:c r="A2691" s="2" t="n">
        <x:v>2685</x:v>
      </x:c>
      <x:c r="B2691" s="79" t="n">
        <x:v>-1.5274029744957491</x:v>
      </x:c>
      <x:c r="C2691" s="46" t="n">
        <x:f>B2691^2</x:f>
        <x:v>2.332959846498462</x:v>
      </x:c>
      <x:c r="D2691" s="47" t="n">
        <x:f>'Datos'!$B$26^3/3</x:f>
        <x:v>0.3333333333333333</x:v>
      </x:c>
      <x:c r="E2691" s="46" t="n">
        <x:f>D2691*(C2691-1)</x:f>
        <x:v>0.4443199488328207</x:v>
      </x:c>
      <x:c r="F2691" s="2"/>
      <x:c r="G2691" s="2"/>
      <x:c r="H2691" s="2"/>
    </x:row>
    <x:row r="2692" ht="22" customHeight="1">
      <x:c r="A2692" s="2" t="n">
        <x:v>2686</x:v>
      </x:c>
      <x:c r="B2692" s="79" t="n">
        <x:v>0.9174814412016206</x:v>
      </x:c>
      <x:c r="C2692" s="46" t="n">
        <x:f>B2692^2</x:f>
        <x:v>0.8417721949494027</x:v>
      </x:c>
      <x:c r="D2692" s="47" t="n">
        <x:f>'Datos'!$B$26^3/3</x:f>
        <x:v>0.3333333333333333</x:v>
      </x:c>
      <x:c r="E2692" s="46" t="n">
        <x:f>D2692*(C2692-1)</x:f>
        <x:v>-0.05274260168353243</x:v>
      </x:c>
      <x:c r="F2692" s="2"/>
      <x:c r="G2692" s="2"/>
      <x:c r="H2692" s="2"/>
    </x:row>
    <x:row r="2693" ht="22" customHeight="1">
      <x:c r="A2693" s="2" t="n">
        <x:v>2687</x:v>
      </x:c>
      <x:c r="B2693" s="79" t="n">
        <x:v>-0.9861560179882009</x:v>
      </x:c>
      <x:c r="C2693" s="46" t="n">
        <x:f>B2693^2</x:f>
        <x:v>0.9725036918143447</x:v>
      </x:c>
      <x:c r="D2693" s="47" t="n">
        <x:f>'Datos'!$B$26^3/3</x:f>
        <x:v>0.3333333333333333</x:v>
      </x:c>
      <x:c r="E2693" s="46" t="n">
        <x:f>D2693*(C2693-1)</x:f>
        <x:v>-0.009165436061885097</x:v>
      </x:c>
      <x:c r="F2693" s="2"/>
      <x:c r="G2693" s="2"/>
      <x:c r="H2693" s="2"/>
    </x:row>
    <x:row r="2694" ht="22" customHeight="1">
      <x:c r="A2694" s="2" t="n">
        <x:v>2688</x:v>
      </x:c>
      <x:c r="B2694" s="79" t="n">
        <x:v>-0.15836194770907344</x:v>
      </x:c>
      <x:c r="C2694" s="46" t="n">
        <x:f>B2694^2</x:f>
        <x:v>0.02507850648221131</x:v>
      </x:c>
      <x:c r="D2694" s="47" t="n">
        <x:f>'Datos'!$B$26^3/3</x:f>
        <x:v>0.3333333333333333</x:v>
      </x:c>
      <x:c r="E2694" s="46" t="n">
        <x:f>D2694*(C2694-1)</x:f>
        <x:v>-0.3249738311725962</x:v>
      </x:c>
      <x:c r="F2694" s="2"/>
      <x:c r="G2694" s="2"/>
      <x:c r="H2694" s="2"/>
    </x:row>
    <x:row r="2695" ht="22" customHeight="1">
      <x:c r="A2695" s="2" t="n">
        <x:v>2689</x:v>
      </x:c>
      <x:c r="B2695" s="79" t="n">
        <x:v>-0.20002580610822632</x:v>
      </x:c>
      <x:c r="C2695" s="46" t="n">
        <x:f>B2695^2</x:f>
        <x:v>0.04001032310924575</x:v>
      </x:c>
      <x:c r="D2695" s="47" t="n">
        <x:f>'Datos'!$B$26^3/3</x:f>
        <x:v>0.3333333333333333</x:v>
      </x:c>
      <x:c r="E2695" s="46" t="n">
        <x:f>D2695*(C2695-1)</x:f>
        <x:v>-0.3199965589635847</x:v>
      </x:c>
      <x:c r="F2695" s="2"/>
      <x:c r="G2695" s="2"/>
      <x:c r="H2695" s="2"/>
    </x:row>
    <x:row r="2696" ht="22" customHeight="1">
      <x:c r="A2696" s="2" t="n">
        <x:v>2690</x:v>
      </x:c>
      <x:c r="B2696" s="79" t="n">
        <x:v>1.2738167585507612</x:v>
      </x:c>
      <x:c r="C2696" s="46" t="n">
        <x:f>B2696^2</x:f>
        <x:v>1.6226091343647682</x:v>
      </x:c>
      <x:c r="D2696" s="47" t="n">
        <x:f>'Datos'!$B$26^3/3</x:f>
        <x:v>0.3333333333333333</x:v>
      </x:c>
      <x:c r="E2696" s="46" t="n">
        <x:f>D2696*(C2696-1)</x:f>
        <x:v>0.20753637812158937</x:v>
      </x:c>
      <x:c r="F2696" s="2"/>
      <x:c r="G2696" s="2"/>
      <x:c r="H2696" s="2"/>
    </x:row>
    <x:row r="2697" ht="22" customHeight="1">
      <x:c r="A2697" s="2" t="n">
        <x:v>2691</x:v>
      </x:c>
      <x:c r="B2697" s="79" t="n">
        <x:v>1.5300953461779228</x:v>
      </x:c>
      <x:c r="C2697" s="46" t="n">
        <x:f>B2697^2</x:f>
        <x:v>2.3411917683953374</x:v>
      </x:c>
      <x:c r="D2697" s="47" t="n">
        <x:f>'Datos'!$B$26^3/3</x:f>
        <x:v>0.3333333333333333</x:v>
      </x:c>
      <x:c r="E2697" s="46" t="n">
        <x:f>D2697*(C2697-1)</x:f>
        <x:v>0.44706392279844576</x:v>
      </x:c>
      <x:c r="F2697" s="2"/>
      <x:c r="G2697" s="2"/>
      <x:c r="H2697" s="2"/>
    </x:row>
    <x:row r="2698" ht="22" customHeight="1">
      <x:c r="A2698" s="2" t="n">
        <x:v>2692</x:v>
      </x:c>
      <x:c r="B2698" s="79" t="n">
        <x:v>0.8431953088377452</x:v>
      </x:c>
      <x:c r="C2698" s="46" t="n">
        <x:f>B2698^2</x:f>
        <x:v>0.7109783288459804</x:v>
      </x:c>
      <x:c r="D2698" s="47" t="n">
        <x:f>'Datos'!$B$26^3/3</x:f>
        <x:v>0.3333333333333333</x:v>
      </x:c>
      <x:c r="E2698" s="46" t="n">
        <x:f>D2698*(C2698-1)</x:f>
        <x:v>-0.09634055705133984</x:v>
      </x:c>
      <x:c r="F2698" s="2"/>
      <x:c r="G2698" s="2"/>
      <x:c r="H2698" s="2"/>
    </x:row>
    <x:row r="2699" ht="22" customHeight="1">
      <x:c r="A2699" s="2" t="n">
        <x:v>2693</x:v>
      </x:c>
      <x:c r="B2699" s="79" t="n">
        <x:v>0.20602878479141412</x:v>
      </x:c>
      <x:c r="C2699" s="46" t="n">
        <x:f>B2699^2</x:f>
        <x:v>0.04244786016262683</x:v>
      </x:c>
      <x:c r="D2699" s="47" t="n">
        <x:f>'Datos'!$B$26^3/3</x:f>
        <x:v>0.3333333333333333</x:v>
      </x:c>
      <x:c r="E2699" s="46" t="n">
        <x:f>D2699*(C2699-1)</x:f>
        <x:v>-0.3191840466124577</x:v>
      </x:c>
      <x:c r="F2699" s="2"/>
      <x:c r="G2699" s="2"/>
      <x:c r="H2699" s="2"/>
    </x:row>
    <x:row r="2700" ht="22" customHeight="1">
      <x:c r="A2700" s="2" t="n">
        <x:v>2694</x:v>
      </x:c>
      <x:c r="B2700" s="79" t="n">
        <x:v>-1.5593002434973795</x:v>
      </x:c>
      <x:c r="C2700" s="46" t="n">
        <x:f>B2700^2</x:f>
        <x:v>2.431417249370987</x:v>
      </x:c>
      <x:c r="D2700" s="47" t="n">
        <x:f>'Datos'!$B$26^3/3</x:f>
        <x:v>0.3333333333333333</x:v>
      </x:c>
      <x:c r="E2700" s="46" t="n">
        <x:f>D2700*(C2700-1)</x:f>
        <x:v>0.4771390831236624</x:v>
      </x:c>
      <x:c r="F2700" s="2"/>
      <x:c r="G2700" s="2"/>
      <x:c r="H2700" s="2"/>
    </x:row>
    <x:row r="2701" ht="22" customHeight="1">
      <x:c r="A2701" s="2" t="n">
        <x:v>2695</x:v>
      </x:c>
      <x:c r="B2701" s="79" t="n">
        <x:v>-0.5013513205767491</x:v>
      </x:c>
      <x:c r="C2701" s="46" t="n">
        <x:f>B2701^2</x:f>
        <x:v>0.2513531466440503</x:v>
      </x:c>
      <x:c r="D2701" s="47" t="n">
        <x:f>'Datos'!$B$26^3/3</x:f>
        <x:v>0.3333333333333333</x:v>
      </x:c>
      <x:c r="E2701" s="46" t="n">
        <x:f>D2701*(C2701-1)</x:f>
        <x:v>-0.2495489511186499</x:v>
      </x:c>
      <x:c r="F2701" s="2"/>
      <x:c r="G2701" s="2"/>
      <x:c r="H2701" s="2"/>
    </x:row>
    <x:row r="2702" ht="22" customHeight="1">
      <x:c r="A2702" s="2" t="n">
        <x:v>2696</x:v>
      </x:c>
      <x:c r="B2702" s="79" t="n">
        <x:v>-0.06239749672326676</x:v>
      </x:c>
      <x:c r="C2702" s="46" t="n">
        <x:f>B2702^2</x:f>
        <x:v>0.0038934475973300864</x:v>
      </x:c>
      <x:c r="D2702" s="47" t="n">
        <x:f>'Datos'!$B$26^3/3</x:f>
        <x:v>0.3333333333333333</x:v>
      </x:c>
      <x:c r="E2702" s="46" t="n">
        <x:f>D2702*(C2702-1)</x:f>
        <x:v>-0.3320355174675566</x:v>
      </x:c>
      <x:c r="F2702" s="2"/>
      <x:c r="G2702" s="2"/>
      <x:c r="H2702" s="2"/>
    </x:row>
    <x:row r="2703" ht="22" customHeight="1">
      <x:c r="A2703" s="2" t="n">
        <x:v>2697</x:v>
      </x:c>
      <x:c r="B2703" s="79" t="n">
        <x:v>0.3408248580461208</x:v>
      </x:c>
      <x:c r="C2703" s="46" t="n">
        <x:f>B2703^2</x:f>
        <x:v>0.11616158386215839</x:v>
      </x:c>
      <x:c r="D2703" s="47" t="n">
        <x:f>'Datos'!$B$26^3/3</x:f>
        <x:v>0.3333333333333333</x:v>
      </x:c>
      <x:c r="E2703" s="46" t="n">
        <x:f>D2703*(C2703-1)</x:f>
        <x:v>-0.29461280537928053</x:v>
      </x:c>
      <x:c r="F2703" s="2"/>
      <x:c r="G2703" s="2"/>
      <x:c r="H2703" s="2"/>
    </x:row>
    <x:row r="2704" ht="22" customHeight="1">
      <x:c r="A2704" s="2" t="n">
        <x:v>2698</x:v>
      </x:c>
      <x:c r="B2704" s="79" t="n">
        <x:v>1.18016023345703</x:v>
      </x:c>
      <x:c r="C2704" s="46" t="n">
        <x:f>B2704^2</x:f>
        <x:v>1.3927781766333516</x:v>
      </x:c>
      <x:c r="D2704" s="47" t="n">
        <x:f>'Datos'!$B$26^3/3</x:f>
        <x:v>0.3333333333333333</x:v>
      </x:c>
      <x:c r="E2704" s="46" t="n">
        <x:f>D2704*(C2704-1)</x:f>
        <x:v>0.13092605887778386</x:v>
      </x:c>
      <x:c r="F2704" s="2"/>
      <x:c r="G2704" s="2"/>
      <x:c r="H2704" s="2"/>
    </x:row>
    <x:row r="2705" ht="22" customHeight="1">
      <x:c r="A2705" s="2" t="n">
        <x:v>2699</x:v>
      </x:c>
      <x:c r="B2705" s="79" t="n">
        <x:v>0.1855265609105291</x:v>
      </x:c>
      <x:c r="C2705" s="46" t="n">
        <x:f>B2705^2</x:f>
        <x:v>0.03442010480328826</x:v>
      </x:c>
      <x:c r="D2705" s="47" t="n">
        <x:f>'Datos'!$B$26^3/3</x:f>
        <x:v>0.3333333333333333</x:v>
      </x:c>
      <x:c r="E2705" s="46" t="n">
        <x:f>D2705*(C2705-1)</x:f>
        <x:v>-0.3218599650655706</x:v>
      </x:c>
      <x:c r="F2705" s="2"/>
      <x:c r="G2705" s="2"/>
      <x:c r="H2705" s="2"/>
    </x:row>
    <x:row r="2706" ht="22" customHeight="1">
      <x:c r="A2706" s="2" t="n">
        <x:v>2700</x:v>
      </x:c>
      <x:c r="B2706" s="79" t="n">
        <x:v>-1.1290007064319745</x:v>
      </x:c>
      <x:c r="C2706" s="46" t="n">
        <x:f>B2706^2</x:f>
        <x:v>1.2746425951238973</x:v>
      </x:c>
      <x:c r="D2706" s="47" t="n">
        <x:f>'Datos'!$B$26^3/3</x:f>
        <x:v>0.3333333333333333</x:v>
      </x:c>
      <x:c r="E2706" s="46" t="n">
        <x:f>D2706*(C2706-1)</x:f>
        <x:v>0.09154753170796577</x:v>
      </x:c>
      <x:c r="F2706" s="2"/>
      <x:c r="G2706" s="2"/>
      <x:c r="H2706" s="2"/>
    </x:row>
    <x:row r="2707" ht="22" customHeight="1">
      <x:c r="A2707" s="2" t="n">
        <x:v>2701</x:v>
      </x:c>
      <x:c r="B2707" s="79" t="n">
        <x:v>-1.5233148665100529</x:v>
      </x:c>
      <x:c r="C2707" s="46" t="n">
        <x:f>B2707^2</x:f>
        <x:v>2.32048818253054</x:v>
      </x:c>
      <x:c r="D2707" s="47" t="n">
        <x:f>'Datos'!$B$26^3/3</x:f>
        <x:v>0.3333333333333333</x:v>
      </x:c>
      <x:c r="E2707" s="46" t="n">
        <x:f>D2707*(C2707-1)</x:f>
        <x:v>0.44016272751018004</x:v>
      </x:c>
      <x:c r="F2707" s="2"/>
      <x:c r="G2707" s="2"/>
      <x:c r="H2707" s="2"/>
    </x:row>
    <x:row r="2708" ht="22" customHeight="1">
      <x:c r="A2708" s="2" t="n">
        <x:v>2702</x:v>
      </x:c>
      <x:c r="B2708" s="79" t="n">
        <x:v>-0.5799211193936753</x:v>
      </x:c>
      <x:c r="C2708" s="46" t="n">
        <x:f>B2708^2</x:f>
        <x:v>0.3363085047188134</x:v>
      </x:c>
      <x:c r="D2708" s="47" t="n">
        <x:f>'Datos'!$B$26^3/3</x:f>
        <x:v>0.3333333333333333</x:v>
      </x:c>
      <x:c r="E2708" s="46" t="n">
        <x:f>D2708*(C2708-1)</x:f>
        <x:v>-0.22123049842706216</x:v>
      </x:c>
      <x:c r="F2708" s="2"/>
      <x:c r="G2708" s="2"/>
      <x:c r="H2708" s="2"/>
    </x:row>
    <x:row r="2709" ht="22" customHeight="1">
      <x:c r="A2709" s="2" t="n">
        <x:v>2703</x:v>
      </x:c>
      <x:c r="B2709" s="79" t="n">
        <x:v>0.8173219789141021</x:v>
      </x:c>
      <x:c r="C2709" s="46" t="n">
        <x:f>B2709^2</x:f>
        <x:v>0.6680152172160639</x:v>
      </x:c>
      <x:c r="D2709" s="47" t="n">
        <x:f>'Datos'!$B$26^3/3</x:f>
        <x:v>0.3333333333333333</x:v>
      </x:c>
      <x:c r="E2709" s="46" t="n">
        <x:f>D2709*(C2709-1)</x:f>
        <x:v>-0.11066159426131202</x:v>
      </x:c>
      <x:c r="F2709" s="2"/>
      <x:c r="G2709" s="2"/>
      <x:c r="H2709" s="2"/>
    </x:row>
    <x:row r="2710" ht="22" customHeight="1">
      <x:c r="A2710" s="2" t="n">
        <x:v>2704</x:v>
      </x:c>
      <x:c r="B2710" s="79" t="n">
        <x:v>1.8904562199174364</x:v>
      </x:c>
      <x:c r="C2710" s="46" t="n">
        <x:f>B2710^2</x:f>
        <x:v>3.5738247194245227</x:v>
      </x:c>
      <x:c r="D2710" s="47" t="n">
        <x:f>'Datos'!$B$26^3/3</x:f>
        <x:v>0.3333333333333333</x:v>
      </x:c>
      <x:c r="E2710" s="46" t="n">
        <x:f>D2710*(C2710-1)</x:f>
        <x:v>0.8579415731415075</x:v>
      </x:c>
      <x:c r="F2710" s="2"/>
      <x:c r="G2710" s="2"/>
      <x:c r="H2710" s="2"/>
    </x:row>
    <x:row r="2711" ht="22" customHeight="1">
      <x:c r="A2711" s="2" t="n">
        <x:v>2705</x:v>
      </x:c>
      <x:c r="B2711" s="79" t="n">
        <x:v>-0.3001414786339558</x:v>
      </x:c>
      <x:c r="C2711" s="46" t="n">
        <x:f>B2711^2</x:f>
        <x:v>0.09008490719657734</x:v>
      </x:c>
      <x:c r="D2711" s="47" t="n">
        <x:f>'Datos'!$B$26^3/3</x:f>
        <x:v>0.3333333333333333</x:v>
      </x:c>
      <x:c r="E2711" s="46" t="n">
        <x:f>D2711*(C2711-1)</x:f>
        <x:v>-0.3033050309344742</x:v>
      </x:c>
      <x:c r="F2711" s="2"/>
      <x:c r="G2711" s="2"/>
      <x:c r="H2711" s="2"/>
    </x:row>
    <x:row r="2712" ht="22" customHeight="1">
      <x:c r="A2712" s="2" t="n">
        <x:v>2706</x:v>
      </x:c>
      <x:c r="B2712" s="79" t="n">
        <x:v>1.135340625296857</x:v>
      </x:c>
      <x:c r="C2712" s="46" t="n">
        <x:f>B2712^2</x:f>
        <x:v>1.2889983354494583</x:v>
      </x:c>
      <x:c r="D2712" s="47" t="n">
        <x:f>'Datos'!$B$26^3/3</x:f>
        <x:v>0.3333333333333333</x:v>
      </x:c>
      <x:c r="E2712" s="46" t="n">
        <x:f>D2712*(C2712-1)</x:f>
        <x:v>0.09633277848315276</x:v>
      </x:c>
      <x:c r="F2712" s="2"/>
      <x:c r="G2712" s="2"/>
      <x:c r="H2712" s="2"/>
    </x:row>
    <x:row r="2713" ht="22" customHeight="1">
      <x:c r="A2713" s="2" t="n">
        <x:v>2707</x:v>
      </x:c>
      <x:c r="B2713" s="79" t="n">
        <x:v>-0.9032119780213421</x:v>
      </x:c>
      <x:c r="C2713" s="46" t="n">
        <x:f>B2713^2</x:f>
        <x:v>0.8157918772412254</x:v>
      </x:c>
      <x:c r="D2713" s="47" t="n">
        <x:f>'Datos'!$B$26^3/3</x:f>
        <x:v>0.3333333333333333</x:v>
      </x:c>
      <x:c r="E2713" s="46" t="n">
        <x:f>D2713*(C2713-1)</x:f>
        <x:v>-0.06140270758625821</x:v>
      </x:c>
      <x:c r="F2713" s="2"/>
      <x:c r="G2713" s="2"/>
      <x:c r="H2713" s="2"/>
    </x:row>
    <x:row r="2714" ht="22" customHeight="1">
      <x:c r="A2714" s="2" t="n">
        <x:v>2708</x:v>
      </x:c>
      <x:c r="B2714" s="79" t="n">
        <x:v>-0.675485586056827</x:v>
      </x:c>
      <x:c r="C2714" s="46" t="n">
        <x:f>B2714^2</x:f>
        <x:v>0.456280776970535</x:v>
      </x:c>
      <x:c r="D2714" s="47" t="n">
        <x:f>'Datos'!$B$26^3/3</x:f>
        <x:v>0.3333333333333333</x:v>
      </x:c>
      <x:c r="E2714" s="46" t="n">
        <x:f>D2714*(C2714-1)</x:f>
        <x:v>-0.18123974100982165</x:v>
      </x:c>
      <x:c r="F2714" s="2"/>
      <x:c r="G2714" s="2"/>
      <x:c r="H2714" s="2"/>
    </x:row>
    <x:row r="2715" ht="22" customHeight="1">
      <x:c r="A2715" s="2" t="n">
        <x:v>2709</x:v>
      </x:c>
      <x:c r="B2715" s="79" t="n">
        <x:v>-0.15267985334179526</x:v>
      </x:c>
      <x:c r="C2715" s="46" t="n">
        <x:f>B2715^2</x:f>
        <x:v>0.02331113761647211</x:v>
      </x:c>
      <x:c r="D2715" s="47" t="n">
        <x:f>'Datos'!$B$26^3/3</x:f>
        <x:v>0.3333333333333333</x:v>
      </x:c>
      <x:c r="E2715" s="46" t="n">
        <x:f>D2715*(C2715-1)</x:f>
        <x:v>-0.32556295412784264</x:v>
      </x:c>
      <x:c r="F2715" s="2"/>
      <x:c r="G2715" s="2"/>
      <x:c r="H2715" s="2"/>
    </x:row>
    <x:row r="2716" ht="22" customHeight="1">
      <x:c r="A2716" s="2" t="n">
        <x:v>2710</x:v>
      </x:c>
      <x:c r="B2716" s="79" t="n">
        <x:v>0.3197088576849027</x:v>
      </x:c>
      <x:c r="C2716" s="46" t="n">
        <x:f>B2716^2</x:f>
        <x:v>0.10221375368218537</x:v>
      </x:c>
      <x:c r="D2716" s="47" t="n">
        <x:f>'Datos'!$B$26^3/3</x:f>
        <x:v>0.3333333333333333</x:v>
      </x:c>
      <x:c r="E2716" s="46" t="n">
        <x:f>D2716*(C2716-1)</x:f>
        <x:v>-0.2992620821059382</x:v>
      </x:c>
      <x:c r="F2716" s="2"/>
      <x:c r="G2716" s="2"/>
      <x:c r="H2716" s="2"/>
    </x:row>
    <x:row r="2717" ht="22" customHeight="1">
      <x:c r="A2717" s="2" t="n">
        <x:v>2711</x:v>
      </x:c>
      <x:c r="B2717" s="79" t="n">
        <x:v>0.4211997887261841</x:v>
      </x:c>
      <x:c r="C2717" s="46" t="n">
        <x:f>B2717^2</x:f>
        <x:v>0.1774092620229821</x:v>
      </x:c>
      <x:c r="D2717" s="47" t="n">
        <x:f>'Datos'!$B$26^3/3</x:f>
        <x:v>0.3333333333333333</x:v>
      </x:c>
      <x:c r="E2717" s="46" t="n">
        <x:f>D2717*(C2717-1)</x:f>
        <x:v>-0.2741969126590059</x:v>
      </x:c>
      <x:c r="F2717" s="2"/>
      <x:c r="G2717" s="2"/>
      <x:c r="H2717" s="2"/>
    </x:row>
    <x:row r="2718" ht="22" customHeight="1">
      <x:c r="A2718" s="2" t="n">
        <x:v>2712</x:v>
      </x:c>
      <x:c r="B2718" s="79" t="n">
        <x:v>-1.0770149015799884</x:v>
      </x:c>
      <x:c r="C2718" s="46" t="n">
        <x:f>B2718^2</x:f>
        <x:v>1.159961098225352</x:v>
      </x:c>
      <x:c r="D2718" s="47" t="n">
        <x:f>'Datos'!$B$26^3/3</x:f>
        <x:v>0.3333333333333333</x:v>
      </x:c>
      <x:c r="E2718" s="46" t="n">
        <x:f>D2718*(C2718-1)</x:f>
        <x:v>0.053320366075117365</x:v>
      </x:c>
      <x:c r="F2718" s="2"/>
      <x:c r="G2718" s="2"/>
      <x:c r="H2718" s="2"/>
    </x:row>
    <x:row r="2719" ht="22" customHeight="1">
      <x:c r="A2719" s="2" t="n">
        <x:v>2713</x:v>
      </x:c>
      <x:c r="B2719" s="79" t="n">
        <x:v>-1.1483833101787142</x:v>
      </x:c>
      <x:c r="C2719" s="46" t="n">
        <x:f>B2719^2</x:f>
        <x:v>1.318784227097021</x:v>
      </x:c>
      <x:c r="D2719" s="47" t="n">
        <x:f>'Datos'!$B$26^3/3</x:f>
        <x:v>0.3333333333333333</x:v>
      </x:c>
      <x:c r="E2719" s="46" t="n">
        <x:f>D2719*(C2719-1)</x:f>
        <x:v>0.1062614090323403</x:v>
      </x:c>
      <x:c r="F2719" s="2"/>
      <x:c r="G2719" s="2"/>
      <x:c r="H2719" s="2"/>
    </x:row>
    <x:row r="2720" ht="22" customHeight="1">
      <x:c r="A2720" s="2" t="n">
        <x:v>2714</x:v>
      </x:c>
      <x:c r="B2720" s="79" t="n">
        <x:v>0.8070843518017287</x:v>
      </x:c>
      <x:c r="C2720" s="46" t="n">
        <x:f>B2720^2</x:f>
        <x:v>0.6513851509232165</x:v>
      </x:c>
      <x:c r="D2720" s="47" t="n">
        <x:f>'Datos'!$B$26^3/3</x:f>
        <x:v>0.3333333333333333</x:v>
      </x:c>
      <x:c r="E2720" s="46" t="n">
        <x:f>D2720*(C2720-1)</x:f>
        <x:v>-0.11620494969226117</x:v>
      </x:c>
      <x:c r="F2720" s="2"/>
      <x:c r="G2720" s="2"/>
      <x:c r="H2720" s="2"/>
    </x:row>
    <x:row r="2721" ht="22" customHeight="1">
      <x:c r="A2721" s="2" t="n">
        <x:v>2715</x:v>
      </x:c>
      <x:c r="B2721" s="79" t="n">
        <x:v>-2.6222087575030892</x:v>
      </x:c>
      <x:c r="C2721" s="46" t="n">
        <x:f>B2721^2</x:f>
        <x:v>6.875978767925895</x:v>
      </x:c>
      <x:c r="D2721" s="47" t="n">
        <x:f>'Datos'!$B$26^3/3</x:f>
        <x:v>0.3333333333333333</x:v>
      </x:c>
      <x:c r="E2721" s="46" t="n">
        <x:f>D2721*(C2721-1)</x:f>
        <x:v>1.9586595893086316</x:v>
      </x:c>
      <x:c r="F2721" s="2"/>
      <x:c r="G2721" s="2"/>
      <x:c r="H2721" s="2"/>
    </x:row>
    <x:row r="2722" ht="22" customHeight="1">
      <x:c r="A2722" s="2" t="n">
        <x:v>2716</x:v>
      </x:c>
      <x:c r="B2722" s="79" t="n">
        <x:v>-0.15134947259854187</x:v>
      </x:c>
      <x:c r="C2722" s="46" t="n">
        <x:f>B2722^2</x:f>
        <x:v>0.022906662855856776</x:v>
      </x:c>
      <x:c r="D2722" s="47" t="n">
        <x:f>'Datos'!$B$26^3/3</x:f>
        <x:v>0.3333333333333333</x:v>
      </x:c>
      <x:c r="E2722" s="46" t="n">
        <x:f>D2722*(C2722-1)</x:f>
        <x:v>-0.32569777904804775</x:v>
      </x:c>
      <x:c r="F2722" s="2"/>
      <x:c r="G2722" s="2"/>
      <x:c r="H2722" s="2"/>
    </x:row>
    <x:row r="2723" ht="22" customHeight="1">
      <x:c r="A2723" s="2" t="n">
        <x:v>2717</x:v>
      </x:c>
      <x:c r="B2723" s="79" t="n">
        <x:v>-1.4858344112212059</x:v>
      </x:c>
      <x:c r="C2723" s="46" t="n">
        <x:f>B2723^2</x:f>
        <x:v>2.2077038975690675</x:v>
      </x:c>
      <x:c r="D2723" s="47" t="n">
        <x:f>'Datos'!$B$26^3/3</x:f>
        <x:v>0.3333333333333333</x:v>
      </x:c>
      <x:c r="E2723" s="46" t="n">
        <x:f>D2723*(C2723-1)</x:f>
        <x:v>0.4025679658563558</x:v>
      </x:c>
      <x:c r="F2723" s="2"/>
      <x:c r="G2723" s="2"/>
      <x:c r="H2723" s="2"/>
    </x:row>
    <x:row r="2724" ht="22" customHeight="1">
      <x:c r="A2724" s="2" t="n">
        <x:v>2718</x:v>
      </x:c>
      <x:c r="B2724" s="79" t="n">
        <x:v>0.25373322182446617</x:v>
      </x:c>
      <x:c r="C2724" s="46" t="n">
        <x:f>B2724^2</x:f>
        <x:v>0.06438054785742375</x:v>
      </x:c>
      <x:c r="D2724" s="47" t="n">
        <x:f>'Datos'!$B$26^3/3</x:f>
        <x:v>0.3333333333333333</x:v>
      </x:c>
      <x:c r="E2724" s="46" t="n">
        <x:f>D2724*(C2724-1)</x:f>
        <x:v>-0.3118731507141921</x:v>
      </x:c>
      <x:c r="F2724" s="2"/>
      <x:c r="G2724" s="2"/>
      <x:c r="H2724" s="2"/>
    </x:row>
    <x:row r="2725" ht="22" customHeight="1">
      <x:c r="A2725" s="2" t="n">
        <x:v>2719</x:v>
      </x:c>
      <x:c r="B2725" s="79" t="n">
        <x:v>0.06093618880871517</x:v>
      </x:c>
      <x:c r="C2725" s="46" t="n">
        <x:f>B2725^2</x:f>
        <x:v>0.003713219106531384</x:v>
      </x:c>
      <x:c r="D2725" s="47" t="n">
        <x:f>'Datos'!$B$26^3/3</x:f>
        <x:v>0.3333333333333333</x:v>
      </x:c>
      <x:c r="E2725" s="46" t="n">
        <x:f>D2725*(C2725-1)</x:f>
        <x:v>-0.3320955936311562</x:v>
      </x:c>
      <x:c r="F2725" s="2"/>
      <x:c r="G2725" s="2"/>
      <x:c r="H2725" s="2"/>
    </x:row>
    <x:row r="2726" ht="22" customHeight="1">
      <x:c r="A2726" s="2" t="n">
        <x:v>2720</x:v>
      </x:c>
      <x:c r="B2726" s="79" t="n">
        <x:v>-0.3378775307017609</x:v>
      </x:c>
      <x:c r="C2726" s="46" t="n">
        <x:f>B2726^2</x:f>
        <x:v>0.11416122575311939</x:v>
      </x:c>
      <x:c r="D2726" s="47" t="n">
        <x:f>'Datos'!$B$26^3/3</x:f>
        <x:v>0.3333333333333333</x:v>
      </x:c>
      <x:c r="E2726" s="46" t="n">
        <x:f>D2726*(C2726-1)</x:f>
        <x:v>-0.2952795914156269</x:v>
      </x:c>
      <x:c r="F2726" s="2"/>
      <x:c r="G2726" s="2"/>
      <x:c r="H2726" s="2"/>
    </x:row>
    <x:row r="2727" ht="22" customHeight="1">
      <x:c r="A2727" s="2" t="n">
        <x:v>2721</x:v>
      </x:c>
      <x:c r="B2727" s="79" t="n">
        <x:v>-0.2851737097507294</x:v>
      </x:c>
      <x:c r="C2727" s="46" t="n">
        <x:f>B2727^2</x:f>
        <x:v>0.08132404473299326</x:v>
      </x:c>
      <x:c r="D2727" s="47" t="n">
        <x:f>'Datos'!$B$26^3/3</x:f>
        <x:v>0.3333333333333333</x:v>
      </x:c>
      <x:c r="E2727" s="46" t="n">
        <x:f>D2727*(C2727-1)</x:f>
        <x:v>-0.3062253184223356</x:v>
      </x:c>
      <x:c r="F2727" s="2"/>
      <x:c r="G2727" s="2"/>
      <x:c r="H2727" s="2"/>
    </x:row>
    <x:row r="2728" ht="22" customHeight="1">
      <x:c r="A2728" s="2" t="n">
        <x:v>2722</x:v>
      </x:c>
      <x:c r="B2728" s="79" t="n">
        <x:v>-0.28454164170761026</x:v>
      </x:c>
      <x:c r="C2728" s="46" t="n">
        <x:f>B2728^2</x:f>
        <x:v>0.08096394586566205</x:v>
      </x:c>
      <x:c r="D2728" s="47" t="n">
        <x:f>'Datos'!$B$26^3/3</x:f>
        <x:v>0.3333333333333333</x:v>
      </x:c>
      <x:c r="E2728" s="46" t="n">
        <x:f>D2728*(C2728-1)</x:f>
        <x:v>-0.30634535137811264</x:v>
      </x:c>
      <x:c r="F2728" s="2"/>
      <x:c r="G2728" s="2"/>
      <x:c r="H2728" s="2"/>
    </x:row>
    <x:row r="2729" ht="22" customHeight="1">
      <x:c r="A2729" s="2" t="n">
        <x:v>2723</x:v>
      </x:c>
      <x:c r="B2729" s="79" t="n">
        <x:v>-0.9163448160959305</x:v>
      </x:c>
      <x:c r="C2729" s="46" t="n">
        <x:f>B2729^2</x:f>
        <x:v>0.8396878219858848</x:v>
      </x:c>
      <x:c r="D2729" s="47" t="n">
        <x:f>'Datos'!$B$26^3/3</x:f>
        <x:v>0.3333333333333333</x:v>
      </x:c>
      <x:c r="E2729" s="46" t="n">
        <x:f>D2729*(C2729-1)</x:f>
        <x:v>-0.05343739267137174</x:v>
      </x:c>
      <x:c r="F2729" s="2"/>
      <x:c r="G2729" s="2"/>
      <x:c r="H2729" s="2"/>
    </x:row>
    <x:row r="2730" ht="22" customHeight="1">
      <x:c r="A2730" s="2" t="n">
        <x:v>2724</x:v>
      </x:c>
      <x:c r="B2730" s="79" t="n">
        <x:v>0.06290920670462798</x:v>
      </x:c>
      <x:c r="C2730" s="46" t="n">
        <x:f>B2730^2</x:f>
        <x:v>0.003957568288205609</x:v>
      </x:c>
      <x:c r="D2730" s="47" t="n">
        <x:f>'Datos'!$B$26^3/3</x:f>
        <x:v>0.3333333333333333</x:v>
      </x:c>
      <x:c r="E2730" s="46" t="n">
        <x:f>D2730*(C2730-1)</x:f>
        <x:v>-0.33201414390393147</x:v>
      </x:c>
      <x:c r="F2730" s="2"/>
      <x:c r="G2730" s="2"/>
      <x:c r="H2730" s="2"/>
    </x:row>
    <x:row r="2731" ht="22" customHeight="1">
      <x:c r="A2731" s="2" t="n">
        <x:v>2725</x:v>
      </x:c>
      <x:c r="B2731" s="79" t="n">
        <x:v>-0.7311455997007895</x:v>
      </x:c>
      <x:c r="C2731" s="46" t="n">
        <x:f>B2731^2</x:f>
        <x:v>0.5345738879618271</x:v>
      </x:c>
      <x:c r="D2731" s="47" t="n">
        <x:f>'Datos'!$B$26^3/3</x:f>
        <x:v>0.3333333333333333</x:v>
      </x:c>
      <x:c r="E2731" s="46" t="n">
        <x:f>D2731*(C2731-1)</x:f>
        <x:v>-0.1551420373460576</x:v>
      </x:c>
      <x:c r="F2731" s="2"/>
      <x:c r="G2731" s="2"/>
      <x:c r="H2731" s="2"/>
    </x:row>
    <x:row r="2732" ht="22" customHeight="1">
      <x:c r="A2732" s="2" t="n">
        <x:v>2726</x:v>
      </x:c>
      <x:c r="B2732" s="79" t="n">
        <x:v>1.3368283846726998</x:v>
      </x:c>
      <x:c r="C2732" s="46" t="n">
        <x:f>B2732^2</x:f>
        <x:v>1.78711013006662</x:v>
      </x:c>
      <x:c r="D2732" s="47" t="n">
        <x:f>'Datos'!$B$26^3/3</x:f>
        <x:v>0.3333333333333333</x:v>
      </x:c>
      <x:c r="E2732" s="46" t="n">
        <x:f>D2732*(C2732-1)</x:f>
        <x:v>0.26237004335553993</x:v>
      </x:c>
      <x:c r="F2732" s="2"/>
      <x:c r="G2732" s="2"/>
      <x:c r="H2732" s="2"/>
    </x:row>
    <x:row r="2733" ht="22" customHeight="1">
      <x:c r="A2733" s="2" t="n">
        <x:v>2727</x:v>
      </x:c>
      <x:c r="B2733" s="79" t="n">
        <x:v>1.7069321485174356</x:v>
      </x:c>
      <x:c r="C2733" s="46" t="n">
        <x:f>B2733^2</x:f>
        <x:v>2.9136173596423487</x:v>
      </x:c>
      <x:c r="D2733" s="47" t="n">
        <x:f>'Datos'!$B$26^3/3</x:f>
        <x:v>0.3333333333333333</x:v>
      </x:c>
      <x:c r="E2733" s="46" t="n">
        <x:f>D2733*(C2733-1)</x:f>
        <x:v>0.6378724532141162</x:v>
      </x:c>
      <x:c r="F2733" s="2"/>
      <x:c r="G2733" s="2"/>
      <x:c r="H2733" s="2"/>
    </x:row>
    <x:row r="2734" ht="22" customHeight="1">
      <x:c r="A2734" s="2" t="n">
        <x:v>2728</x:v>
      </x:c>
      <x:c r="B2734" s="79" t="n">
        <x:v>0.00542028503619531</x:v>
      </x:c>
      <x:c r="C2734" s="46" t="n">
        <x:f>B2734^2</x:f>
        <x:v>0.000029379489873602794</x:v>
      </x:c>
      <x:c r="D2734" s="47" t="n">
        <x:f>'Datos'!$B$26^3/3</x:f>
        <x:v>0.3333333333333333</x:v>
      </x:c>
      <x:c r="E2734" s="46" t="n">
        <x:f>D2734*(C2734-1)</x:f>
        <x:v>-0.3333235401700421</x:v>
      </x:c>
      <x:c r="F2734" s="2"/>
      <x:c r="G2734" s="2"/>
      <x:c r="H2734" s="2"/>
    </x:row>
    <x:row r="2735" ht="22" customHeight="1">
      <x:c r="A2735" s="2" t="n">
        <x:v>2729</x:v>
      </x:c>
      <x:c r="B2735" s="79" t="n">
        <x:v>-0.01983403793728953</x:v>
      </x:c>
      <x:c r="C2735" s="46" t="n">
        <x:f>B2735^2</x:f>
        <x:v>0.0003933890608978403</x:v>
      </x:c>
      <x:c r="D2735" s="47" t="n">
        <x:f>'Datos'!$B$26^3/3</x:f>
        <x:v>0.3333333333333333</x:v>
      </x:c>
      <x:c r="E2735" s="46" t="n">
        <x:f>D2735*(C2735-1)</x:f>
        <x:v>-0.3332022036463674</x:v>
      </x:c>
      <x:c r="F2735" s="2"/>
      <x:c r="G2735" s="2"/>
      <x:c r="H2735" s="2"/>
    </x:row>
    <x:row r="2736" ht="22" customHeight="1">
      <x:c r="A2736" s="2" t="n">
        <x:v>2730</x:v>
      </x:c>
      <x:c r="B2736" s="79" t="n">
        <x:v>0.012073597734094367</x:v>
      </x:c>
      <x:c r="C2736" s="46" t="n">
        <x:f>B2736^2</x:f>
        <x:v>0.00014577176224472862</x:v>
      </x:c>
      <x:c r="D2736" s="47" t="n">
        <x:f>'Datos'!$B$26^3/3</x:f>
        <x:v>0.3333333333333333</x:v>
      </x:c>
      <x:c r="E2736" s="46" t="n">
        <x:f>D2736*(C2736-1)</x:f>
        <x:v>-0.3332847427459184</x:v>
      </x:c>
      <x:c r="F2736" s="2"/>
      <x:c r="G2736" s="2"/>
      <x:c r="H2736" s="2"/>
    </x:row>
    <x:row r="2737" ht="22" customHeight="1">
      <x:c r="A2737" s="2" t="n">
        <x:v>2731</x:v>
      </x:c>
      <x:c r="B2737" s="79" t="n">
        <x:v>-1.423187711434714</x:v>
      </x:c>
      <x:c r="C2737" s="46" t="n">
        <x:f>B2737^2</x:f>
        <x:v>2.025463261978779</x:v>
      </x:c>
      <x:c r="D2737" s="47" t="n">
        <x:f>'Datos'!$B$26^3/3</x:f>
        <x:v>0.3333333333333333</x:v>
      </x:c>
      <x:c r="E2737" s="46" t="n">
        <x:f>D2737*(C2737-1)</x:f>
        <x:v>0.3418210873262596</x:v>
      </x:c>
      <x:c r="F2737" s="2"/>
      <x:c r="G2737" s="2"/>
      <x:c r="H2737" s="2"/>
    </x:row>
    <x:row r="2738" ht="22" customHeight="1">
      <x:c r="A2738" s="2" t="n">
        <x:v>2732</x:v>
      </x:c>
      <x:c r="B2738" s="79" t="n">
        <x:v>0.3493589873362857</x:v>
      </x:c>
      <x:c r="C2738" s="46" t="n">
        <x:f>B2738^2</x:f>
        <x:v>0.12205170203263502</x:v>
      </x:c>
      <x:c r="D2738" s="47" t="n">
        <x:f>'Datos'!$B$26^3/3</x:f>
        <x:v>0.3333333333333333</x:v>
      </x:c>
      <x:c r="E2738" s="46" t="n">
        <x:f>D2738*(C2738-1)</x:f>
        <x:v>-0.2926494326557883</x:v>
      </x:c>
      <x:c r="F2738" s="2"/>
      <x:c r="G2738" s="2"/>
      <x:c r="H2738" s="2"/>
    </x:row>
    <x:row r="2739" ht="22" customHeight="1">
      <x:c r="A2739" s="2" t="n">
        <x:v>2733</x:v>
      </x:c>
      <x:c r="B2739" s="79" t="n">
        <x:v>-0.5732211561952526</x:v>
      </x:c>
      <x:c r="C2739" s="46" t="n">
        <x:f>B2739^2</x:f>
        <x:v>0.3285824939098222</x:v>
      </x:c>
      <x:c r="D2739" s="47" t="n">
        <x:f>'Datos'!$B$26^3/3</x:f>
        <x:v>0.3333333333333333</x:v>
      </x:c>
      <x:c r="E2739" s="46" t="n">
        <x:f>D2739*(C2739-1)</x:f>
        <x:v>-0.2238058353633926</x:v>
      </x:c>
      <x:c r="F2739" s="2"/>
      <x:c r="G2739" s="2"/>
      <x:c r="H2739" s="2"/>
    </x:row>
    <x:row r="2740" ht="22" customHeight="1">
      <x:c r="A2740" s="2" t="n">
        <x:v>2734</x:v>
      </x:c>
      <x:c r="B2740" s="79" t="n">
        <x:v>-1.421824222140935</x:v>
      </x:c>
      <x:c r="C2740" s="46" t="n">
        <x:f>B2740^2</x:f>
        <x:v>2.0215841186666745</x:v>
      </x:c>
      <x:c r="D2740" s="47" t="n">
        <x:f>'Datos'!$B$26^3/3</x:f>
        <x:v>0.3333333333333333</x:v>
      </x:c>
      <x:c r="E2740" s="46" t="n">
        <x:f>D2740*(C2740-1)</x:f>
        <x:v>0.34052803955555816</x:v>
      </x:c>
      <x:c r="F2740" s="2"/>
      <x:c r="G2740" s="2"/>
      <x:c r="H2740" s="2"/>
    </x:row>
    <x:row r="2741" ht="22" customHeight="1">
      <x:c r="A2741" s="2" t="n">
        <x:v>2735</x:v>
      </x:c>
      <x:c r="B2741" s="79" t="n">
        <x:v>0.1773962832645485</x:v>
      </x:c>
      <x:c r="C2741" s="46" t="n">
        <x:f>B2741^2</x:f>
        <x:v>0.03146944131607594</x:v>
      </x:c>
      <x:c r="D2741" s="47" t="n">
        <x:f>'Datos'!$B$26^3/3</x:f>
        <x:v>0.3333333333333333</x:v>
      </x:c>
      <x:c r="E2741" s="46" t="n">
        <x:f>D2741*(C2741-1)</x:f>
        <x:v>-0.32284351956130797</x:v>
      </x:c>
      <x:c r="F2741" s="2"/>
      <x:c r="G2741" s="2"/>
      <x:c r="H2741" s="2"/>
    </x:row>
    <x:row r="2742" ht="22" customHeight="1">
      <x:c r="A2742" s="2" t="n">
        <x:v>2736</x:v>
      </x:c>
      <x:c r="B2742" s="79" t="n">
        <x:v>-1.0942175228463256</x:v>
      </x:c>
      <x:c r="C2742" s="46" t="n">
        <x:f>B2742^2</x:f>
        <x:v>1.197311987303949</x:v>
      </x:c>
      <x:c r="D2742" s="47" t="n">
        <x:f>'Datos'!$B$26^3/3</x:f>
        <x:v>0.3333333333333333</x:v>
      </x:c>
      <x:c r="E2742" s="46" t="n">
        <x:f>D2742*(C2742-1)</x:f>
        <x:v>0.06577066243464968</x:v>
      </x:c>
      <x:c r="F2742" s="2"/>
      <x:c r="G2742" s="2"/>
      <x:c r="H2742" s="2"/>
    </x:row>
    <x:row r="2743" ht="22" customHeight="1">
      <x:c r="A2743" s="2" t="n">
        <x:v>2737</x:v>
      </x:c>
      <x:c r="B2743" s="79" t="n">
        <x:v>1.6026536834542882</x:v>
      </x:c>
      <x:c r="C2743" s="46" t="n">
        <x:f>B2743^2</x:f>
        <x:v>2.568498829089598</x:v>
      </x:c>
      <x:c r="D2743" s="47" t="n">
        <x:f>'Datos'!$B$26^3/3</x:f>
        <x:v>0.3333333333333333</x:v>
      </x:c>
      <x:c r="E2743" s="46" t="n">
        <x:f>D2743*(C2743-1)</x:f>
        <x:v>0.5228329430298659</x:v>
      </x:c>
      <x:c r="F2743" s="2"/>
      <x:c r="G2743" s="2"/>
      <x:c r="H2743" s="2"/>
    </x:row>
    <x:row r="2744" ht="22" customHeight="1">
      <x:c r="A2744" s="2" t="n">
        <x:v>2738</x:v>
      </x:c>
      <x:c r="B2744" s="79" t="n">
        <x:v>1.2036235695023614</x:v>
      </x:c>
      <x:c r="C2744" s="46" t="n">
        <x:f>B2744^2</x:f>
        <x:v>1.4487096970616058</x:v>
      </x:c>
      <x:c r="D2744" s="47" t="n">
        <x:f>'Datos'!$B$26^3/3</x:f>
        <x:v>0.3333333333333333</x:v>
      </x:c>
      <x:c r="E2744" s="46" t="n">
        <x:f>D2744*(C2744-1)</x:f>
        <x:v>0.14956989902053525</x:v>
      </x:c>
      <x:c r="F2744" s="2"/>
      <x:c r="G2744" s="2"/>
      <x:c r="H2744" s="2"/>
    </x:row>
    <x:row r="2745" ht="22" customHeight="1">
      <x:c r="A2745" s="2" t="n">
        <x:v>2739</x:v>
      </x:c>
      <x:c r="B2745" s="79" t="n">
        <x:v>0.49013478023850376</x:v>
      </x:c>
      <x:c r="C2745" s="46" t="n">
        <x:f>B2745^2</x:f>
        <x:v>0.24023210279944637</x:v>
      </x:c>
      <x:c r="D2745" s="47" t="n">
        <x:f>'Datos'!$B$26^3/3</x:f>
        <x:v>0.3333333333333333</x:v>
      </x:c>
      <x:c r="E2745" s="46" t="n">
        <x:f>D2745*(C2745-1)</x:f>
        <x:v>-0.25325596573351783</x:v>
      </x:c>
      <x:c r="F2745" s="2"/>
      <x:c r="G2745" s="2"/>
      <x:c r="H2745" s="2"/>
    </x:row>
    <x:row r="2746" ht="22" customHeight="1">
      <x:c r="A2746" s="2" t="n">
        <x:v>2740</x:v>
      </x:c>
      <x:c r="B2746" s="79" t="n">
        <x:v>0.26170688539728165</x:v>
      </x:c>
      <x:c r="C2746" s="46" t="n">
        <x:f>B2746^2</x:f>
        <x:v>0.06849049386434591</x:v>
      </x:c>
      <x:c r="D2746" s="47" t="n">
        <x:f>'Datos'!$B$26^3/3</x:f>
        <x:v>0.3333333333333333</x:v>
      </x:c>
      <x:c r="E2746" s="46" t="n">
        <x:f>D2746*(C2746-1)</x:f>
        <x:v>-0.31050316871188466</x:v>
      </x:c>
      <x:c r="F2746" s="2"/>
      <x:c r="G2746" s="2"/>
      <x:c r="H2746" s="2"/>
    </x:row>
    <x:row r="2747" ht="22" customHeight="1">
      <x:c r="A2747" s="2" t="n">
        <x:v>2741</x:v>
      </x:c>
      <x:c r="B2747" s="79" t="n">
        <x:v>-0.06928726333204156</x:v>
      </x:c>
      <x:c r="C2747" s="46" t="n">
        <x:f>B2747^2</x:f>
        <x:v>0.004800724860043671</x:v>
      </x:c>
      <x:c r="D2747" s="47" t="n">
        <x:f>'Datos'!$B$26^3/3</x:f>
        <x:v>0.3333333333333333</x:v>
      </x:c>
      <x:c r="E2747" s="46" t="n">
        <x:f>D2747*(C2747-1)</x:f>
        <x:v>-0.3317330917133188</x:v>
      </x:c>
      <x:c r="F2747" s="2"/>
      <x:c r="G2747" s="2"/>
      <x:c r="H2747" s="2"/>
    </x:row>
    <x:row r="2748" ht="22" customHeight="1">
      <x:c r="A2748" s="2" t="n">
        <x:v>2742</x:v>
      </x:c>
      <x:c r="B2748" s="79" t="n">
        <x:v>-2.8864782826861304</x:v>
      </x:c>
      <x:c r="C2748" s="46" t="n">
        <x:f>B2748^2</x:f>
        <x:v>8.331756876418673</x:v>
      </x:c>
      <x:c r="D2748" s="47" t="n">
        <x:f>'Datos'!$B$26^3/3</x:f>
        <x:v>0.3333333333333333</x:v>
      </x:c>
      <x:c r="E2748" s="46" t="n">
        <x:f>D2748*(C2748-1)</x:f>
        <x:v>2.4439189588062242</x:v>
      </x:c>
      <x:c r="F2748" s="2"/>
      <x:c r="G2748" s="2"/>
      <x:c r="H2748" s="2"/>
    </x:row>
    <x:row r="2749" ht="22" customHeight="1">
      <x:c r="A2749" s="2" t="n">
        <x:v>2743</x:v>
      </x:c>
      <x:c r="B2749" s="79" t="n">
        <x:v>-0.9335747387989992</x:v>
      </x:c>
      <x:c r="C2749" s="46" t="n">
        <x:f>B2749^2</x:f>
        <x:v>0.8715617929236196</x:v>
      </x:c>
      <x:c r="D2749" s="47" t="n">
        <x:f>'Datos'!$B$26^3/3</x:f>
        <x:v>0.3333333333333333</x:v>
      </x:c>
      <x:c r="E2749" s="46" t="n">
        <x:f>D2749*(C2749-1)</x:f>
        <x:v>-0.042812735692126805</x:v>
      </x:c>
      <x:c r="F2749" s="2"/>
      <x:c r="G2749" s="2"/>
      <x:c r="H2749" s="2"/>
    </x:row>
    <x:row r="2750" ht="22" customHeight="1">
      <x:c r="A2750" s="2" t="n">
        <x:v>2744</x:v>
      </x:c>
      <x:c r="B2750" s="79" t="n">
        <x:v>-2.3640135505969213</x:v>
      </x:c>
      <x:c r="C2750" s="46" t="n">
        <x:f>B2750^2</x:f>
        <x:v>5.588560067405862</x:v>
      </x:c>
      <x:c r="D2750" s="47" t="n">
        <x:f>'Datos'!$B$26^3/3</x:f>
        <x:v>0.3333333333333333</x:v>
      </x:c>
      <x:c r="E2750" s="46" t="n">
        <x:f>D2750*(C2750-1)</x:f>
        <x:v>1.5295200224686207</x:v>
      </x:c>
      <x:c r="F2750" s="2"/>
      <x:c r="G2750" s="2"/>
      <x:c r="H2750" s="2"/>
    </x:row>
    <x:row r="2751" ht="22" customHeight="1">
      <x:c r="A2751" s="2" t="n">
        <x:v>2745</x:v>
      </x:c>
      <x:c r="B2751" s="79" t="n">
        <x:v>0.20462116051410767</x:v>
      </x:c>
      <x:c r="C2751" s="46" t="n">
        <x:f>B2751^2</x:f>
        <x:v>0.041869819330140216</x:v>
      </x:c>
      <x:c r="D2751" s="47" t="n">
        <x:f>'Datos'!$B$26^3/3</x:f>
        <x:v>0.3333333333333333</x:v>
      </x:c>
      <x:c r="E2751" s="46" t="n">
        <x:f>D2751*(C2751-1)</x:f>
        <x:v>-0.3193767268899532</x:v>
      </x:c>
      <x:c r="F2751" s="2"/>
      <x:c r="G2751" s="2"/>
      <x:c r="H2751" s="2"/>
    </x:row>
    <x:row r="2752" ht="22" customHeight="1">
      <x:c r="A2752" s="2" t="n">
        <x:v>2746</x:v>
      </x:c>
      <x:c r="B2752" s="79" t="n">
        <x:v>-0.46965908380911553</x:v>
      </x:c>
      <x:c r="C2752" s="46" t="n">
        <x:f>B2752^2</x:f>
        <x:v>0.2205796550044178</x:v>
      </x:c>
      <x:c r="D2752" s="47" t="n">
        <x:f>'Datos'!$B$26^3/3</x:f>
        <x:v>0.3333333333333333</x:v>
      </x:c>
      <x:c r="E2752" s="46" t="n">
        <x:f>D2752*(C2752-1)</x:f>
        <x:v>-0.25980678166519405</x:v>
      </x:c>
      <x:c r="F2752" s="2"/>
      <x:c r="G2752" s="2"/>
      <x:c r="H2752" s="2"/>
    </x:row>
    <x:row r="2753" ht="22" customHeight="1">
      <x:c r="A2753" s="2" t="n">
        <x:v>2747</x:v>
      </x:c>
      <x:c r="B2753" s="79" t="n">
        <x:v>-1.3335431009187526</x:v>
      </x:c>
      <x:c r="C2753" s="46" t="n">
        <x:f>B2753^2</x:f>
        <x:v>1.7783372020080024</x:v>
      </x:c>
      <x:c r="D2753" s="47" t="n">
        <x:f>'Datos'!$B$26^3/3</x:f>
        <x:v>0.3333333333333333</x:v>
      </x:c>
      <x:c r="E2753" s="46" t="n">
        <x:f>D2753*(C2753-1)</x:f>
        <x:v>0.25944573400266746</x:v>
      </x:c>
      <x:c r="F2753" s="2"/>
      <x:c r="G2753" s="2"/>
      <x:c r="H2753" s="2"/>
    </x:row>
    <x:row r="2754" ht="22" customHeight="1">
      <x:c r="A2754" s="2" t="n">
        <x:v>2748</x:v>
      </x:c>
      <x:c r="B2754" s="79" t="n">
        <x:v>-0.17060078554780003</x:v>
      </x:c>
      <x:c r="C2754" s="46" t="n">
        <x:f>B2754^2</x:f>
        <x:v>0.029104628029526458</x:v>
      </x:c>
      <x:c r="D2754" s="47" t="n">
        <x:f>'Datos'!$B$26^3/3</x:f>
        <x:v>0.3333333333333333</x:v>
      </x:c>
      <x:c r="E2754" s="46" t="n">
        <x:f>D2754*(C2754-1)</x:f>
        <x:v>-0.3236317906568245</x:v>
      </x:c>
      <x:c r="F2754" s="2"/>
      <x:c r="G2754" s="2"/>
      <x:c r="H2754" s="2"/>
    </x:row>
    <x:row r="2755" ht="22" customHeight="1">
      <x:c r="A2755" s="2" t="n">
        <x:v>2749</x:v>
      </x:c>
      <x:c r="B2755" s="79" t="n">
        <x:v>-1.6183290720422676</x:v>
      </x:c>
      <x:c r="C2755" s="46" t="n">
        <x:f>B2755^2</x:f>
        <x:v>2.618988985417187</x:v>
      </x:c>
      <x:c r="D2755" s="47" t="n">
        <x:f>'Datos'!$B$26^3/3</x:f>
        <x:v>0.3333333333333333</x:v>
      </x:c>
      <x:c r="E2755" s="46" t="n">
        <x:f>D2755*(C2755-1)</x:f>
        <x:v>0.5396629951390622</x:v>
      </x:c>
      <x:c r="F2755" s="2"/>
      <x:c r="G2755" s="2"/>
      <x:c r="H2755" s="2"/>
    </x:row>
    <x:row r="2756" ht="22" customHeight="1">
      <x:c r="A2756" s="2" t="n">
        <x:v>2750</x:v>
      </x:c>
      <x:c r="B2756" s="79" t="n">
        <x:v>-0.3144642141856709</x:v>
      </x:c>
      <x:c r="C2756" s="46" t="n">
        <x:f>B2756^2</x:f>
        <x:v>0.0988877420034115</x:v>
      </x:c>
      <x:c r="D2756" s="47" t="n">
        <x:f>'Datos'!$B$26^3/3</x:f>
        <x:v>0.3333333333333333</x:v>
      </x:c>
      <x:c r="E2756" s="46" t="n">
        <x:f>D2756*(C2756-1)</x:f>
        <x:v>-0.3003707526655295</x:v>
      </x:c>
      <x:c r="F2756" s="2"/>
      <x:c r="G2756" s="2"/>
      <x:c r="H2756" s="2"/>
    </x:row>
    <x:row r="2757" ht="22" customHeight="1">
      <x:c r="A2757" s="2" t="n">
        <x:v>2751</x:v>
      </x:c>
      <x:c r="B2757" s="79" t="n">
        <x:v>-0.9649074433277742</x:v>
      </x:c>
      <x:c r="C2757" s="46" t="n">
        <x:f>B2757^2</x:f>
        <x:v>0.9310463741893419</x:v>
      </x:c>
      <x:c r="D2757" s="47" t="n">
        <x:f>'Datos'!$B$26^3/3</x:f>
        <x:v>0.3333333333333333</x:v>
      </x:c>
      <x:c r="E2757" s="46" t="n">
        <x:f>D2757*(C2757-1)</x:f>
        <x:v>-0.022984541936886038</x:v>
      </x:c>
      <x:c r="F2757" s="2"/>
      <x:c r="G2757" s="2"/>
      <x:c r="H2757" s="2"/>
    </x:row>
    <x:row r="2758" ht="22" customHeight="1">
      <x:c r="A2758" s="2" t="n">
        <x:v>2752</x:v>
      </x:c>
      <x:c r="B2758" s="79" t="n">
        <x:v>-0.42609080858862686</x:v>
      </x:c>
      <x:c r="C2758" s="46" t="n">
        <x:f>B2758^2</x:f>
        <x:v>0.18155337716370984</x:v>
      </x:c>
      <x:c r="D2758" s="47" t="n">
        <x:f>'Datos'!$B$26^3/3</x:f>
        <x:v>0.3333333333333333</x:v>
      </x:c>
      <x:c r="E2758" s="46" t="n">
        <x:f>D2758*(C2758-1)</x:f>
        <x:v>-0.27281554094543004</x:v>
      </x:c>
      <x:c r="F2758" s="2"/>
      <x:c r="G2758" s="2"/>
      <x:c r="H2758" s="2"/>
    </x:row>
    <x:row r="2759" ht="22" customHeight="1">
      <x:c r="A2759" s="2" t="n">
        <x:v>2753</x:v>
      </x:c>
      <x:c r="B2759" s="79" t="n">
        <x:v>-1.4409001294718553</x:v>
      </x:c>
      <x:c r="C2759" s="46" t="n">
        <x:f>B2759^2</x:f>
        <x:v>2.0761931831120095</x:v>
      </x:c>
      <x:c r="D2759" s="47" t="n">
        <x:f>'Datos'!$B$26^3/3</x:f>
        <x:v>0.3333333333333333</x:v>
      </x:c>
      <x:c r="E2759" s="46" t="n">
        <x:f>D2759*(C2759-1)</x:f>
        <x:v>0.3587310610373365</x:v>
      </x:c>
      <x:c r="F2759" s="2"/>
      <x:c r="G2759" s="2"/>
      <x:c r="H2759" s="2"/>
    </x:row>
    <x:row r="2760" ht="22" customHeight="1">
      <x:c r="A2760" s="2" t="n">
        <x:v>2754</x:v>
      </x:c>
      <x:c r="B2760" s="79" t="n">
        <x:v>-0.5028721705027842</x:v>
      </x:c>
      <x:c r="C2760" s="46" t="n">
        <x:f>B2760^2</x:f>
        <x:v>0.25288041986618126</x:v>
      </x:c>
      <x:c r="D2760" s="47" t="n">
        <x:f>'Datos'!$B$26^3/3</x:f>
        <x:v>0.3333333333333333</x:v>
      </x:c>
      <x:c r="E2760" s="46" t="n">
        <x:f>D2760*(C2760-1)</x:f>
        <x:v>-0.24903986004460624</x:v>
      </x:c>
      <x:c r="F2760" s="2"/>
      <x:c r="G2760" s="2"/>
      <x:c r="H2760" s="2"/>
    </x:row>
    <x:row r="2761" ht="22" customHeight="1">
      <x:c r="A2761" s="2" t="n">
        <x:v>2755</x:v>
      </x:c>
      <x:c r="B2761" s="79" t="n">
        <x:v>-0.7362139563835768</x:v>
      </x:c>
      <x:c r="C2761" s="46" t="n">
        <x:f>B2761^2</x:f>
        <x:v>0.5420109895739591</x:v>
      </x:c>
      <x:c r="D2761" s="47" t="n">
        <x:f>'Datos'!$B$26^3/3</x:f>
        <x:v>0.3333333333333333</x:v>
      </x:c>
      <x:c r="E2761" s="46" t="n">
        <x:f>D2761*(C2761-1)</x:f>
        <x:v>-0.15266300347534695</x:v>
      </x:c>
      <x:c r="F2761" s="2"/>
      <x:c r="G2761" s="2"/>
      <x:c r="H2761" s="2"/>
    </x:row>
    <x:row r="2762" ht="22" customHeight="1">
      <x:c r="A2762" s="2" t="n">
        <x:v>2756</x:v>
      </x:c>
      <x:c r="B2762" s="79" t="n">
        <x:v>-1.1326344173667218</x:v>
      </x:c>
      <x:c r="C2762" s="46" t="n">
        <x:f>B2762^2</x:f>
        <x:v>1.2828607234036533</x:v>
      </x:c>
      <x:c r="D2762" s="47" t="n">
        <x:f>'Datos'!$B$26^3/3</x:f>
        <x:v>0.3333333333333333</x:v>
      </x:c>
      <x:c r="E2762" s="46" t="n">
        <x:f>D2762*(C2762-1)</x:f>
        <x:v>0.09428690780121776</x:v>
      </x:c>
      <x:c r="F2762" s="2"/>
      <x:c r="G2762" s="2"/>
      <x:c r="H2762" s="2"/>
    </x:row>
    <x:row r="2763" ht="22" customHeight="1">
      <x:c r="A2763" s="2" t="n">
        <x:v>2757</x:v>
      </x:c>
      <x:c r="B2763" s="79" t="n">
        <x:v>0.7769569904759883</x:v>
      </x:c>
      <x:c r="C2763" s="46" t="n">
        <x:f>B2763^2</x:f>
        <x:v>0.603662165049505</x:v>
      </x:c>
      <x:c r="D2763" s="47" t="n">
        <x:f>'Datos'!$B$26^3/3</x:f>
        <x:v>0.3333333333333333</x:v>
      </x:c>
      <x:c r="E2763" s="46" t="n">
        <x:f>D2763*(C2763-1)</x:f>
        <x:v>-0.132112611650165</x:v>
      </x:c>
      <x:c r="F2763" s="2"/>
      <x:c r="G2763" s="2"/>
      <x:c r="H2763" s="2"/>
    </x:row>
    <x:row r="2764" ht="22" customHeight="1">
      <x:c r="A2764" s="2" t="n">
        <x:v>2758</x:v>
      </x:c>
      <x:c r="B2764" s="79" t="n">
        <x:v>1.3076786662329982</x:v>
      </x:c>
      <x:c r="C2764" s="46" t="n">
        <x:f>B2764^2</x:f>
        <x:v>1.7100234941209131</x:v>
      </x:c>
      <x:c r="D2764" s="47" t="n">
        <x:f>'Datos'!$B$26^3/3</x:f>
        <x:v>0.3333333333333333</x:v>
      </x:c>
      <x:c r="E2764" s="46" t="n">
        <x:f>D2764*(C2764-1)</x:f>
        <x:v>0.23667449804030438</x:v>
      </x:c>
      <x:c r="F2764" s="2"/>
      <x:c r="G2764" s="2"/>
      <x:c r="H2764" s="2"/>
    </x:row>
    <x:row r="2765" ht="22" customHeight="1">
      <x:c r="A2765" s="2" t="n">
        <x:v>2759</x:v>
      </x:c>
      <x:c r="B2765" s="79" t="n">
        <x:v>-1.1180254278043655</x:v>
      </x:c>
      <x:c r="C2765" s="46" t="n">
        <x:f>B2765^2</x:f>
        <x:v>1.2499808572171345</x:v>
      </x:c>
      <x:c r="D2765" s="47" t="n">
        <x:f>'Datos'!$B$26^3/3</x:f>
        <x:v>0.3333333333333333</x:v>
      </x:c>
      <x:c r="E2765" s="46" t="n">
        <x:f>D2765*(C2765-1)</x:f>
        <x:v>0.08332695240571149</x:v>
      </x:c>
      <x:c r="F2765" s="2"/>
      <x:c r="G2765" s="2"/>
      <x:c r="H2765" s="2"/>
    </x:row>
    <x:row r="2766" ht="22" customHeight="1">
      <x:c r="A2766" s="2" t="n">
        <x:v>2760</x:v>
      </x:c>
      <x:c r="B2766" s="79" t="n">
        <x:v>0.49135559141962964</x:v>
      </x:c>
      <x:c r="C2766" s="46" t="n">
        <x:f>B2766^2</x:f>
        <x:v>0.24143031721933403</x:v>
      </x:c>
      <x:c r="D2766" s="47" t="n">
        <x:f>'Datos'!$B$26^3/3</x:f>
        <x:v>0.3333333333333333</x:v>
      </x:c>
      <x:c r="E2766" s="46" t="n">
        <x:f>D2766*(C2766-1)</x:f>
        <x:v>-0.25285656092688863</x:v>
      </x:c>
      <x:c r="F2766" s="2"/>
      <x:c r="G2766" s="2"/>
      <x:c r="H2766" s="2"/>
    </x:row>
    <x:row r="2767" ht="22" customHeight="1">
      <x:c r="A2767" s="2" t="n">
        <x:v>2761</x:v>
      </x:c>
      <x:c r="B2767" s="79" t="n">
        <x:v>0.9946056095788578</x:v>
      </x:c>
      <x:c r="C2767" s="46" t="n">
        <x:f>B2767^2</x:f>
        <x:v>0.9892403186057313</x:v>
      </x:c>
      <x:c r="D2767" s="47" t="n">
        <x:f>'Datos'!$B$26^3/3</x:f>
        <x:v>0.3333333333333333</x:v>
      </x:c>
      <x:c r="E2767" s="46" t="n">
        <x:f>D2767*(C2767-1)</x:f>
        <x:v>-0.00358656046475625</x:v>
      </x:c>
      <x:c r="F2767" s="2"/>
      <x:c r="G2767" s="2"/>
      <x:c r="H2767" s="2"/>
    </x:row>
    <x:row r="2768" ht="22" customHeight="1">
      <x:c r="A2768" s="2" t="n">
        <x:v>2762</x:v>
      </x:c>
      <x:c r="B2768" s="79" t="n">
        <x:v>0.4968802811937423</x:v>
      </x:c>
      <x:c r="C2768" s="46" t="n">
        <x:f>B2768^2</x:f>
        <x:v>0.2468900138391724</x:v>
      </x:c>
      <x:c r="D2768" s="47" t="n">
        <x:f>'Datos'!$B$26^3/3</x:f>
        <x:v>0.3333333333333333</x:v>
      </x:c>
      <x:c r="E2768" s="46" t="n">
        <x:f>D2768*(C2768-1)</x:f>
        <x:v>-0.2510366620536092</x:v>
      </x:c>
      <x:c r="F2768" s="2"/>
      <x:c r="G2768" s="2"/>
      <x:c r="H2768" s="2"/>
    </x:row>
    <x:row r="2769" ht="22" customHeight="1">
      <x:c r="A2769" s="2" t="n">
        <x:v>2763</x:v>
      </x:c>
      <x:c r="B2769" s="79" t="n">
        <x:v>-2.1655975347471577</x:v>
      </x:c>
      <x:c r="C2769" s="46" t="n">
        <x:f>B2769^2</x:f>
        <x:v>4.689812682502967</x:v>
      </x:c>
      <x:c r="D2769" s="47" t="n">
        <x:f>'Datos'!$B$26^3/3</x:f>
        <x:v>0.3333333333333333</x:v>
      </x:c>
      <x:c r="E2769" s="46" t="n">
        <x:f>D2769*(C2769-1)</x:f>
        <x:v>1.2299375608343222</x:v>
      </x:c>
      <x:c r="F2769" s="2"/>
      <x:c r="G2769" s="2"/>
      <x:c r="H2769" s="2"/>
    </x:row>
    <x:row r="2770" ht="22" customHeight="1">
      <x:c r="A2770" s="2" t="n">
        <x:v>2764</x:v>
      </x:c>
      <x:c r="B2770" s="79" t="n">
        <x:v>-1.1902025482528364</x:v>
      </x:c>
      <x:c r="C2770" s="46" t="n">
        <x:f>B2770^2</x:f>
        <x:v>1.4165821058675454</x:v>
      </x:c>
      <x:c r="D2770" s="47" t="n">
        <x:f>'Datos'!$B$26^3/3</x:f>
        <x:v>0.3333333333333333</x:v>
      </x:c>
      <x:c r="E2770" s="46" t="n">
        <x:f>D2770*(C2770-1)</x:f>
        <x:v>0.13886070195584846</x:v>
      </x:c>
      <x:c r="F2770" s="2"/>
      <x:c r="G2770" s="2"/>
      <x:c r="H2770" s="2"/>
    </x:row>
    <x:row r="2771" ht="22" customHeight="1">
      <x:c r="A2771" s="2" t="n">
        <x:v>2765</x:v>
      </x:c>
      <x:c r="B2771" s="79" t="n">
        <x:v>0.047965978892184916</x:v>
      </x:c>
      <x:c r="C2771" s="46" t="n">
        <x:f>B2771^2</x:f>
        <x:v>0.0023007351310855286</x:v>
      </x:c>
      <x:c r="D2771" s="47" t="n">
        <x:f>'Datos'!$B$26^3/3</x:f>
        <x:v>0.3333333333333333</x:v>
      </x:c>
      <x:c r="E2771" s="46" t="n">
        <x:f>D2771*(C2771-1)</x:f>
        <x:v>-0.33256642162297145</x:v>
      </x:c>
      <x:c r="F2771" s="2"/>
      <x:c r="G2771" s="2"/>
      <x:c r="H2771" s="2"/>
    </x:row>
    <x:row r="2772" ht="22" customHeight="1">
      <x:c r="A2772" s="2" t="n">
        <x:v>2766</x:v>
      </x:c>
      <x:c r="B2772" s="79" t="n">
        <x:v>-0.4108862931134103</x:v>
      </x:c>
      <x:c r="C2772" s="46" t="n">
        <x:f>B2772^2</x:f>
        <x:v>0.1688275458684793</x:v>
      </x:c>
      <x:c r="D2772" s="47" t="n">
        <x:f>'Datos'!$B$26^3/3</x:f>
        <x:v>0.3333333333333333</x:v>
      </x:c>
      <x:c r="E2772" s="46" t="n">
        <x:f>D2772*(C2772-1)</x:f>
        <x:v>-0.27705748471050684</x:v>
      </x:c>
      <x:c r="F2772" s="2"/>
      <x:c r="G2772" s="2"/>
      <x:c r="H2772" s="2"/>
    </x:row>
    <x:row r="2773" ht="22" customHeight="1">
      <x:c r="A2773" s="2" t="n">
        <x:v>2767</x:v>
      </x:c>
      <x:c r="B2773" s="79" t="n">
        <x:v>-0.42936507672739105</x:v>
      </x:c>
      <x:c r="C2773" s="46" t="n">
        <x:f>B2773^2</x:f>
        <x:v>0.1843543691131184</x:v>
      </x:c>
      <x:c r="D2773" s="47" t="n">
        <x:f>'Datos'!$B$26^3/3</x:f>
        <x:v>0.3333333333333333</x:v>
      </x:c>
      <x:c r="E2773" s="46" t="n">
        <x:f>D2773*(C2773-1)</x:f>
        <x:v>-0.2718818769622938</x:v>
      </x:c>
      <x:c r="F2773" s="2"/>
      <x:c r="G2773" s="2"/>
      <x:c r="H2773" s="2"/>
    </x:row>
    <x:row r="2774" ht="22" customHeight="1">
      <x:c r="A2774" s="2" t="n">
        <x:v>2768</x:v>
      </x:c>
      <x:c r="B2774" s="79" t="n">
        <x:v>-1.4522054256681236</x:v>
      </x:c>
      <x:c r="C2774" s="46" t="n">
        <x:f>B2774^2</x:f>
        <x:v>2.108900598339936</x:v>
      </x:c>
      <x:c r="D2774" s="47" t="n">
        <x:f>'Datos'!$B$26^3/3</x:f>
        <x:v>0.3333333333333333</x:v>
      </x:c>
      <x:c r="E2774" s="46" t="n">
        <x:f>D2774*(C2774-1)</x:f>
        <x:v>0.3696335327799787</x:v>
      </x:c>
      <x:c r="F2774" s="2"/>
      <x:c r="G2774" s="2"/>
      <x:c r="H2774" s="2"/>
    </x:row>
    <x:row r="2775" ht="22" customHeight="1">
      <x:c r="A2775" s="2" t="n">
        <x:v>2769</x:v>
      </x:c>
      <x:c r="B2775" s="79" t="n">
        <x:v>0.44736116493152556</x:v>
      </x:c>
      <x:c r="C2775" s="46" t="n">
        <x:f>B2775^2</x:f>
        <x:v>0.2001320118888916</x:v>
      </x:c>
      <x:c r="D2775" s="47" t="n">
        <x:f>'Datos'!$B$26^3/3</x:f>
        <x:v>0.3333333333333333</x:v>
      </x:c>
      <x:c r="E2775" s="46" t="n">
        <x:f>D2775*(C2775-1)</x:f>
        <x:v>-0.2666226627037028</x:v>
      </x:c>
      <x:c r="F2775" s="2"/>
      <x:c r="G2775" s="2"/>
      <x:c r="H2775" s="2"/>
    </x:row>
    <x:row r="2776" ht="22" customHeight="1">
      <x:c r="A2776" s="2" t="n">
        <x:v>2770</x:v>
      </x:c>
      <x:c r="B2776" s="79" t="n">
        <x:v>0.20780167663029533</x:v>
      </x:c>
      <x:c r="C2776" s="46" t="n">
        <x:f>B2776^2</x:f>
        <x:v>0.04318153681036183</x:v>
      </x:c>
      <x:c r="D2776" s="47" t="n">
        <x:f>'Datos'!$B$26^3/3</x:f>
        <x:v>0.3333333333333333</x:v>
      </x:c>
      <x:c r="E2776" s="46" t="n">
        <x:f>D2776*(C2776-1)</x:f>
        <x:v>-0.31893948772987935</x:v>
      </x:c>
      <x:c r="F2776" s="2"/>
      <x:c r="G2776" s="2"/>
      <x:c r="H2776" s="2"/>
    </x:row>
    <x:row r="2777" ht="22" customHeight="1">
      <x:c r="A2777" s="2" t="n">
        <x:v>2771</x:v>
      </x:c>
      <x:c r="B2777" s="79" t="n">
        <x:v>-2.4561260197142936</x:v>
      </x:c>
      <x:c r="C2777" s="46" t="n">
        <x:f>B2777^2</x:f>
        <x:v>6.0325550247175785</x:v>
      </x:c>
      <x:c r="D2777" s="47" t="n">
        <x:f>'Datos'!$B$26^3/3</x:f>
        <x:v>0.3333333333333333</x:v>
      </x:c>
      <x:c r="E2777" s="46" t="n">
        <x:f>D2777*(C2777-1)</x:f>
        <x:v>1.677518341572526</x:v>
      </x:c>
      <x:c r="F2777" s="2"/>
      <x:c r="G2777" s="2"/>
      <x:c r="H2777" s="2"/>
    </x:row>
    <x:row r="2778" ht="22" customHeight="1">
      <x:c r="A2778" s="2" t="n">
        <x:v>2772</x:v>
      </x:c>
      <x:c r="B2778" s="79" t="n">
        <x:v>-1.427055378550422</x:v>
      </x:c>
      <x:c r="C2778" s="46" t="n">
        <x:f>B2778^2</x:f>
        <x:v>2.0364870534496884</x:v>
      </x:c>
      <x:c r="D2778" s="47" t="n">
        <x:f>'Datos'!$B$26^3/3</x:f>
        <x:v>0.3333333333333333</x:v>
      </x:c>
      <x:c r="E2778" s="46" t="n">
        <x:f>D2778*(C2778-1)</x:f>
        <x:v>0.3454956844832294</x:v>
      </x:c>
      <x:c r="F2778" s="2"/>
      <x:c r="G2778" s="2"/>
      <x:c r="H2778" s="2"/>
    </x:row>
    <x:row r="2779" ht="22" customHeight="1">
      <x:c r="A2779" s="2" t="n">
        <x:v>2773</x:v>
      </x:c>
      <x:c r="B2779" s="79" t="n">
        <x:v>-0.08730002204188579</x:v>
      </x:c>
      <x:c r="C2779" s="46" t="n">
        <x:f>B2779^2</x:f>
        <x:v>0.007621293848513745</x:v>
      </x:c>
      <x:c r="D2779" s="47" t="n">
        <x:f>'Datos'!$B$26^3/3</x:f>
        <x:v>0.3333333333333333</x:v>
      </x:c>
      <x:c r="E2779" s="46" t="n">
        <x:f>D2779*(C2779-1)</x:f>
        <x:v>-0.3307929020504954</x:v>
      </x:c>
      <x:c r="F2779" s="2"/>
      <x:c r="G2779" s="2"/>
      <x:c r="H2779" s="2"/>
    </x:row>
    <x:row r="2780" ht="22" customHeight="1">
      <x:c r="A2780" s="2" t="n">
        <x:v>2774</x:v>
      </x:c>
      <x:c r="B2780" s="79" t="n">
        <x:v>1.4299551086556617</x:v>
      </x:c>
      <x:c r="C2780" s="46" t="n">
        <x:f>B2780^2</x:f>
        <x:v>2.044771612770425</x:v>
      </x:c>
      <x:c r="D2780" s="47" t="n">
        <x:f>'Datos'!$B$26^3/3</x:f>
        <x:v>0.3333333333333333</x:v>
      </x:c>
      <x:c r="E2780" s="46" t="n">
        <x:f>D2780*(C2780-1)</x:f>
        <x:v>0.3482572042568083</x:v>
      </x:c>
      <x:c r="F2780" s="2"/>
      <x:c r="G2780" s="2"/>
      <x:c r="H2780" s="2"/>
    </x:row>
    <x:row r="2781" ht="22" customHeight="1">
      <x:c r="A2781" s="2" t="n">
        <x:v>2775</x:v>
      </x:c>
      <x:c r="B2781" s="79" t="n">
        <x:v>0.7636601516505279</x:v>
      </x:c>
      <x:c r="C2781" s="46" t="n">
        <x:f>B2781^2</x:f>
        <x:v>0.5831768272189073</x:v>
      </x:c>
      <x:c r="D2781" s="47" t="n">
        <x:f>'Datos'!$B$26^3/3</x:f>
        <x:v>0.3333333333333333</x:v>
      </x:c>
      <x:c r="E2781" s="46" t="n">
        <x:f>D2781*(C2781-1)</x:f>
        <x:v>-0.13894105759369757</x:v>
      </x:c>
      <x:c r="F2781" s="2"/>
      <x:c r="G2781" s="2"/>
      <x:c r="H2781" s="2"/>
    </x:row>
    <x:row r="2782" ht="22" customHeight="1">
      <x:c r="A2782" s="2" t="n">
        <x:v>2776</x:v>
      </x:c>
      <x:c r="B2782" s="79" t="n">
        <x:v>-0.18915196807364526</x:v>
      </x:c>
      <x:c r="C2782" s="46" t="n">
        <x:f>B2782^2</x:f>
        <x:v>0.03577846702613332</x:v>
      </x:c>
      <x:c r="D2782" s="47" t="n">
        <x:f>'Datos'!$B$26^3/3</x:f>
        <x:v>0.3333333333333333</x:v>
      </x:c>
      <x:c r="E2782" s="46" t="n">
        <x:f>D2782*(C2782-1)</x:f>
        <x:v>-0.32140717765795557</x:v>
      </x:c>
      <x:c r="F2782" s="2"/>
      <x:c r="G2782" s="2"/>
      <x:c r="H2782" s="2"/>
    </x:row>
    <x:row r="2783" ht="22" customHeight="1">
      <x:c r="A2783" s="2" t="n">
        <x:v>2777</x:v>
      </x:c>
      <x:c r="B2783" s="79" t="n">
        <x:v>0.0548295876145758</x:v>
      </x:c>
      <x:c r="C2783" s="46" t="n">
        <x:f>B2783^2</x:f>
        <x:v>0.003006283677984444</x:v>
      </x:c>
      <x:c r="D2783" s="47" t="n">
        <x:f>'Datos'!$B$26^3/3</x:f>
        <x:v>0.3333333333333333</x:v>
      </x:c>
      <x:c r="E2783" s="46" t="n">
        <x:f>D2783*(C2783-1)</x:f>
        <x:v>-0.33233123877400517</x:v>
      </x:c>
      <x:c r="F2783" s="2"/>
      <x:c r="G2783" s="2"/>
      <x:c r="H2783" s="2"/>
    </x:row>
    <x:row r="2784" ht="22" customHeight="1">
      <x:c r="A2784" s="2" t="n">
        <x:v>2778</x:v>
      </x:c>
      <x:c r="B2784" s="79" t="n">
        <x:v>1.190697919935902</x:v>
      </x:c>
      <x:c r="C2784" s="46" t="n">
        <x:f>B2784^2</x:f>
        <x:v>1.4177615365396836</x:v>
      </x:c>
      <x:c r="D2784" s="47" t="n">
        <x:f>'Datos'!$B$26^3/3</x:f>
        <x:v>0.3333333333333333</x:v>
      </x:c>
      <x:c r="E2784" s="46" t="n">
        <x:f>D2784*(C2784-1)</x:f>
        <x:v>0.13925384551322786</x:v>
      </x:c>
      <x:c r="F2784" s="2"/>
      <x:c r="G2784" s="2"/>
      <x:c r="H2784" s="2"/>
    </x:row>
    <x:row r="2785" ht="22" customHeight="1">
      <x:c r="A2785" s="2" t="n">
        <x:v>2779</x:v>
      </x:c>
      <x:c r="B2785" s="79" t="n">
        <x:v>-0.6447483428503505</x:v>
      </x:c>
      <x:c r="C2785" s="46" t="n">
        <x:f>B2785^2</x:f>
        <x:v>0.4157004256082732</x:v>
      </x:c>
      <x:c r="D2785" s="47" t="n">
        <x:f>'Datos'!$B$26^3/3</x:f>
        <x:v>0.3333333333333333</x:v>
      </x:c>
      <x:c r="E2785" s="46" t="n">
        <x:f>D2785*(C2785-1)</x:f>
        <x:v>-0.19476652479724224</x:v>
      </x:c>
      <x:c r="F2785" s="2"/>
      <x:c r="G2785" s="2"/>
      <x:c r="H2785" s="2"/>
    </x:row>
    <x:row r="2786" ht="22" customHeight="1">
      <x:c r="A2786" s="2" t="n">
        <x:v>2780</x:v>
      </x:c>
      <x:c r="B2786" s="79" t="n">
        <x:v>-1.118847844490783</x:v>
      </x:c>
      <x:c r="C2786" s="46" t="n">
        <x:f>B2786^2</x:f>
        <x:v>1.2518204991216713</x:v>
      </x:c>
      <x:c r="D2786" s="47" t="n">
        <x:f>'Datos'!$B$26^3/3</x:f>
        <x:v>0.3333333333333333</x:v>
      </x:c>
      <x:c r="E2786" s="46" t="n">
        <x:f>D2786*(C2786-1)</x:f>
        <x:v>0.08394016637389042</x:v>
      </x:c>
      <x:c r="F2786" s="2"/>
      <x:c r="G2786" s="2"/>
      <x:c r="H2786" s="2"/>
    </x:row>
    <x:row r="2787" ht="22" customHeight="1">
      <x:c r="A2787" s="2" t="n">
        <x:v>2781</x:v>
      </x:c>
      <x:c r="B2787" s="79" t="n">
        <x:v>1.4813589856405696</x:v>
      </x:c>
      <x:c r="C2787" s="46" t="n">
        <x:f>B2787^2</x:f>
        <x:v>2.194424444338057</x:v>
      </x:c>
      <x:c r="D2787" s="47" t="n">
        <x:f>'Datos'!$B$26^3/3</x:f>
        <x:v>0.3333333333333333</x:v>
      </x:c>
      <x:c r="E2787" s="46" t="n">
        <x:f>D2787*(C2787-1)</x:f>
        <x:v>0.398141481446019</x:v>
      </x:c>
      <x:c r="F2787" s="2"/>
      <x:c r="G2787" s="2"/>
      <x:c r="H2787" s="2"/>
    </x:row>
    <x:row r="2788" ht="22" customHeight="1">
      <x:c r="A2788" s="2" t="n">
        <x:v>2782</x:v>
      </x:c>
      <x:c r="B2788" s="79" t="n">
        <x:v>-0.7266514431045594</x:v>
      </x:c>
      <x:c r="C2788" s="46" t="n">
        <x:f>B2788^2</x:f>
        <x:v>0.5280223197659387</x:v>
      </x:c>
      <x:c r="D2788" s="47" t="n">
        <x:f>'Datos'!$B$26^3/3</x:f>
        <x:v>0.3333333333333333</x:v>
      </x:c>
      <x:c r="E2788" s="46" t="n">
        <x:f>D2788*(C2788-1)</x:f>
        <x:v>-0.15732589341135375</x:v>
      </x:c>
      <x:c r="F2788" s="2"/>
      <x:c r="G2788" s="2"/>
      <x:c r="H2788" s="2"/>
    </x:row>
    <x:row r="2789" ht="22" customHeight="1">
      <x:c r="A2789" s="2" t="n">
        <x:v>2783</x:v>
      </x:c>
      <x:c r="B2789" s="79" t="n">
        <x:v>0.6292712767009124</x:v>
      </x:c>
      <x:c r="C2789" s="46" t="n">
        <x:f>B2789^2</x:f>
        <x:v>0.39598233968079627</x:v>
      </x:c>
      <x:c r="D2789" s="47" t="n">
        <x:f>'Datos'!$B$26^3/3</x:f>
        <x:v>0.3333333333333333</x:v>
      </x:c>
      <x:c r="E2789" s="46" t="n">
        <x:f>D2789*(C2789-1)</x:f>
        <x:v>-0.20133922010640126</x:v>
      </x:c>
      <x:c r="F2789" s="2"/>
      <x:c r="G2789" s="2"/>
      <x:c r="H2789" s="2"/>
    </x:row>
    <x:row r="2790" ht="22" customHeight="1">
      <x:c r="A2790" s="2" t="n">
        <x:v>2784</x:v>
      </x:c>
      <x:c r="B2790" s="79" t="n">
        <x:v>1.4665114061651243</x:v>
      </x:c>
      <x:c r="C2790" s="46" t="n">
        <x:f>B2790^2</x:f>
        <x:v>2.15065570441241</x:v>
      </x:c>
      <x:c r="D2790" s="47" t="n">
        <x:f>'Datos'!$B$26^3/3</x:f>
        <x:v>0.3333333333333333</x:v>
      </x:c>
      <x:c r="E2790" s="46" t="n">
        <x:f>D2790*(C2790-1)</x:f>
        <x:v>0.38355190147080337</x:v>
      </x:c>
      <x:c r="F2790" s="2"/>
      <x:c r="G2790" s="2"/>
      <x:c r="H2790" s="2"/>
    </x:row>
    <x:row r="2791" ht="22" customHeight="1">
      <x:c r="A2791" s="2" t="n">
        <x:v>2785</x:v>
      </x:c>
      <x:c r="B2791" s="79" t="n">
        <x:v>-0.4991058188218872</x:v>
      </x:c>
      <x:c r="C2791" s="46" t="n">
        <x:f>B2791^2</x:f>
        <x:v>0.24910661838186648</x:v>
      </x:c>
      <x:c r="D2791" s="47" t="n">
        <x:f>'Datos'!$B$26^3/3</x:f>
        <x:v>0.3333333333333333</x:v>
      </x:c>
      <x:c r="E2791" s="46" t="n">
        <x:f>D2791*(C2791-1)</x:f>
        <x:v>-0.25029779387271117</x:v>
      </x:c>
      <x:c r="F2791" s="2"/>
      <x:c r="G2791" s="2"/>
      <x:c r="H2791" s="2"/>
    </x:row>
    <x:row r="2792" ht="22" customHeight="1">
      <x:c r="A2792" s="2" t="n">
        <x:v>2786</x:v>
      </x:c>
      <x:c r="B2792" s="79" t="n">
        <x:v>0.02223778746939109</x:v>
      </x:c>
      <x:c r="C2792" s="46" t="n">
        <x:f>B2792^2</x:f>
        <x:v>0.0004945191915338074</x:v>
      </x:c>
      <x:c r="D2792" s="47" t="n">
        <x:f>'Datos'!$B$26^3/3</x:f>
        <x:v>0.3333333333333333</x:v>
      </x:c>
      <x:c r="E2792" s="46" t="n">
        <x:f>D2792*(C2792-1)</x:f>
        <x:v>-0.3331684936028221</x:v>
      </x:c>
      <x:c r="F2792" s="2"/>
      <x:c r="G2792" s="2"/>
      <x:c r="H2792" s="2"/>
    </x:row>
    <x:row r="2793" ht="22" customHeight="1">
      <x:c r="A2793" s="2" t="n">
        <x:v>2787</x:v>
      </x:c>
      <x:c r="B2793" s="79" t="n">
        <x:v>-0.6394823998146457</x:v>
      </x:c>
      <x:c r="C2793" s="46" t="n">
        <x:f>B2793^2</x:f>
        <x:v>0.4089377396726984</x:v>
      </x:c>
      <x:c r="D2793" s="47" t="n">
        <x:f>'Datos'!$B$26^3/3</x:f>
        <x:v>0.3333333333333333</x:v>
      </x:c>
      <x:c r="E2793" s="46" t="n">
        <x:f>D2793*(C2793-1)</x:f>
        <x:v>-0.19702075344243386</x:v>
      </x:c>
      <x:c r="F2793" s="2"/>
      <x:c r="G2793" s="2"/>
      <x:c r="H2793" s="2"/>
    </x:row>
    <x:row r="2794" ht="22" customHeight="1">
      <x:c r="A2794" s="2" t="n">
        <x:v>2788</x:v>
      </x:c>
      <x:c r="B2794" s="79" t="n">
        <x:v>0.5406541520274725</x:v>
      </x:c>
      <x:c r="C2794" s="46" t="n">
        <x:f>B2794^2</x:f>
        <x:v>0.2923069121045453</x:v>
      </x:c>
      <x:c r="D2794" s="47" t="n">
        <x:f>'Datos'!$B$26^3/3</x:f>
        <x:v>0.3333333333333333</x:v>
      </x:c>
      <x:c r="E2794" s="46" t="n">
        <x:f>D2794*(C2794-1)</x:f>
        <x:v>-0.23589769596515156</x:v>
      </x:c>
      <x:c r="F2794" s="2"/>
      <x:c r="G2794" s="2"/>
      <x:c r="H2794" s="2"/>
    </x:row>
    <x:row r="2795" ht="22" customHeight="1">
      <x:c r="A2795" s="2" t="n">
        <x:v>2789</x:v>
      </x:c>
      <x:c r="B2795" s="79" t="n">
        <x:v>-0.3796950155474721</x:v>
      </x:c>
      <x:c r="C2795" s="46" t="n">
        <x:f>B2795^2</x:f>
        <x:v>0.14416830483159507</x:v>
      </x:c>
      <x:c r="D2795" s="47" t="n">
        <x:f>'Datos'!$B$26^3/3</x:f>
        <x:v>0.3333333333333333</x:v>
      </x:c>
      <x:c r="E2795" s="46" t="n">
        <x:f>D2795*(C2795-1)</x:f>
        <x:v>-0.2852772317228016</x:v>
      </x:c>
      <x:c r="F2795" s="2"/>
      <x:c r="G2795" s="2"/>
      <x:c r="H2795" s="2"/>
    </x:row>
    <x:row r="2796" ht="22" customHeight="1">
      <x:c r="A2796" s="2" t="n">
        <x:v>2790</x:v>
      </x:c>
      <x:c r="B2796" s="79" t="n">
        <x:v>-0.5272287388943743</x:v>
      </x:c>
      <x:c r="C2796" s="46" t="n">
        <x:f>B2796^2</x:f>
        <x:v>0.27797014311615226</x:v>
      </x:c>
      <x:c r="D2796" s="47" t="n">
        <x:f>'Datos'!$B$26^3/3</x:f>
        <x:v>0.3333333333333333</x:v>
      </x:c>
      <x:c r="E2796" s="46" t="n">
        <x:f>D2796*(C2796-1)</x:f>
        <x:v>-0.24067661896128256</x:v>
      </x:c>
      <x:c r="F2796" s="2"/>
      <x:c r="G2796" s="2"/>
      <x:c r="H2796" s="2"/>
    </x:row>
    <x:row r="2797" ht="22" customHeight="1">
      <x:c r="A2797" s="2" t="n">
        <x:v>2791</x:v>
      </x:c>
      <x:c r="B2797" s="79" t="n">
        <x:v>1.318780962049804</x:v>
      </x:c>
      <x:c r="C2797" s="46" t="n">
        <x:f>B2797^2</x:f>
        <x:v>1.7391832258650068</x:v>
      </x:c>
      <x:c r="D2797" s="47" t="n">
        <x:f>'Datos'!$B$26^3/3</x:f>
        <x:v>0.3333333333333333</x:v>
      </x:c>
      <x:c r="E2797" s="46" t="n">
        <x:f>D2797*(C2797-1)</x:f>
        <x:v>0.24639440862166895</x:v>
      </x:c>
      <x:c r="F2797" s="2"/>
      <x:c r="G2797" s="2"/>
      <x:c r="H2797" s="2"/>
    </x:row>
    <x:row r="2798" ht="22" customHeight="1">
      <x:c r="A2798" s="2" t="n">
        <x:v>2792</x:v>
      </x:c>
      <x:c r="B2798" s="79" t="n">
        <x:v>-0.06217232267015516</x:v>
      </x:c>
      <x:c r="C2798" s="46" t="n">
        <x:f>B2798^2</x:f>
        <x:v>0.0038653977062018895</x:v>
      </x:c>
      <x:c r="D2798" s="47" t="n">
        <x:f>'Datos'!$B$26^3/3</x:f>
        <x:v>0.3333333333333333</x:v>
      </x:c>
      <x:c r="E2798" s="46" t="n">
        <x:f>D2798*(C2798-1)</x:f>
        <x:v>-0.33204486743126604</x:v>
      </x:c>
      <x:c r="F2798" s="2"/>
      <x:c r="G2798" s="2"/>
      <x:c r="H2798" s="2"/>
    </x:row>
    <x:row r="2799" ht="22" customHeight="1">
      <x:c r="A2799" s="2" t="n">
        <x:v>2793</x:v>
      </x:c>
      <x:c r="B2799" s="79" t="n">
        <x:v>-0.9650904064071002</x:v>
      </x:c>
      <x:c r="C2799" s="46" t="n">
        <x:f>B2799^2</x:f>
        <x:v>0.9313994925390219</x:v>
      </x:c>
      <x:c r="D2799" s="47" t="n">
        <x:f>'Datos'!$B$26^3/3</x:f>
        <x:v>0.3333333333333333</x:v>
      </x:c>
      <x:c r="E2799" s="46" t="n">
        <x:f>D2799*(C2799-1)</x:f>
        <x:v>-0.02286683582032604</x:v>
      </x:c>
      <x:c r="F2799" s="2"/>
      <x:c r="G2799" s="2"/>
      <x:c r="H2799" s="2"/>
    </x:row>
    <x:row r="2800" ht="22" customHeight="1">
      <x:c r="A2800" s="2" t="n">
        <x:v>2794</x:v>
      </x:c>
      <x:c r="B2800" s="79" t="n">
        <x:v>0.7036177246482405</x:v>
      </x:c>
      <x:c r="C2800" s="46" t="n">
        <x:f>B2800^2</x:f>
        <x:v>0.4950779024391671</x:v>
      </x:c>
      <x:c r="D2800" s="47" t="n">
        <x:f>'Datos'!$B$26^3/3</x:f>
        <x:v>0.3333333333333333</x:v>
      </x:c>
      <x:c r="E2800" s="46" t="n">
        <x:f>D2800*(C2800-1)</x:f>
        <x:v>-0.16830736585361095</x:v>
      </x:c>
      <x:c r="F2800" s="2"/>
      <x:c r="G2800" s="2"/>
      <x:c r="H2800" s="2"/>
    </x:row>
    <x:row r="2801" ht="22" customHeight="1">
      <x:c r="A2801" s="2" t="n">
        <x:v>2795</x:v>
      </x:c>
      <x:c r="B2801" s="79" t="n">
        <x:v>0.4778135572698764</x:v>
      </x:c>
      <x:c r="C2801" s="46" t="n">
        <x:f>B2801^2</x:f>
        <x:v>0.22830579551089344</x:v>
      </x:c>
      <x:c r="D2801" s="47" t="n">
        <x:f>'Datos'!$B$26^3/3</x:f>
        <x:v>0.3333333333333333</x:v>
      </x:c>
      <x:c r="E2801" s="46" t="n">
        <x:f>D2801*(C2801-1)</x:f>
        <x:v>-0.2572314014963688</x:v>
      </x:c>
      <x:c r="F2801" s="2"/>
      <x:c r="G2801" s="2"/>
      <x:c r="H2801" s="2"/>
    </x:row>
    <x:row r="2802" ht="22" customHeight="1">
      <x:c r="A2802" s="2" t="n">
        <x:v>2796</x:v>
      </x:c>
      <x:c r="B2802" s="79" t="n">
        <x:v>0.9056146462358607</x:v>
      </x:c>
      <x:c r="C2802" s="46" t="n">
        <x:f>B2802^2</x:f>
        <x:v>0.8201378874769032</x:v>
      </x:c>
      <x:c r="D2802" s="47" t="n">
        <x:f>'Datos'!$B$26^3/3</x:f>
        <x:v>0.3333333333333333</x:v>
      </x:c>
      <x:c r="E2802" s="46" t="n">
        <x:f>D2802*(C2802-1)</x:f>
        <x:v>-0.05995403750769893</x:v>
      </x:c>
      <x:c r="F2802" s="2"/>
      <x:c r="G2802" s="2"/>
      <x:c r="H2802" s="2"/>
    </x:row>
    <x:row r="2803" ht="22" customHeight="1">
      <x:c r="A2803" s="2" t="n">
        <x:v>2797</x:v>
      </x:c>
      <x:c r="B2803" s="79" t="n">
        <x:v>-0.08327734593377877</x:v>
      </x:c>
      <x:c r="C2803" s="46" t="n">
        <x:f>B2803^2</x:f>
        <x:v>0.006935116345774259</x:v>
      </x:c>
      <x:c r="D2803" s="47" t="n">
        <x:f>'Datos'!$B$26^3/3</x:f>
        <x:v>0.3333333333333333</x:v>
      </x:c>
      <x:c r="E2803" s="46" t="n">
        <x:f>D2803*(C2803-1)</x:f>
        <x:v>-0.3310216278847419</x:v>
      </x:c>
      <x:c r="F2803" s="2"/>
      <x:c r="G2803" s="2"/>
      <x:c r="H2803" s="2"/>
    </x:row>
    <x:row r="2804" ht="22" customHeight="1">
      <x:c r="A2804" s="2" t="n">
        <x:v>2798</x:v>
      </x:c>
      <x:c r="B2804" s="79" t="n">
        <x:v>-1.335814031221698</x:v>
      </x:c>
      <x:c r="C2804" s="46" t="n">
        <x:f>B2804^2</x:f>
        <x:v>1.7843991260087635</x:v>
      </x:c>
      <x:c r="D2804" s="47" t="n">
        <x:f>'Datos'!$B$26^3/3</x:f>
        <x:v>0.3333333333333333</x:v>
      </x:c>
      <x:c r="E2804" s="46" t="n">
        <x:f>D2804*(C2804-1)</x:f>
        <x:v>0.2614663753362545</x:v>
      </x:c>
      <x:c r="F2804" s="2"/>
      <x:c r="G2804" s="2"/>
      <x:c r="H2804" s="2"/>
    </x:row>
    <x:row r="2805" ht="22" customHeight="1">
      <x:c r="A2805" s="2" t="n">
        <x:v>2799</x:v>
      </x:c>
      <x:c r="B2805" s="79" t="n">
        <x:v>0.9695042464965064</x:v>
      </x:c>
      <x:c r="C2805" s="46" t="n">
        <x:f>B2805^2</x:f>
        <x:v>0.9399384839747585</x:v>
      </x:c>
      <x:c r="D2805" s="47" t="n">
        <x:f>'Datos'!$B$26^3/3</x:f>
        <x:v>0.3333333333333333</x:v>
      </x:c>
      <x:c r="E2805" s="46" t="n">
        <x:f>D2805*(C2805-1)</x:f>
        <x:v>-0.020020505341747152</x:v>
      </x:c>
      <x:c r="F2805" s="2"/>
      <x:c r="G2805" s="2"/>
      <x:c r="H2805" s="2"/>
    </x:row>
    <x:row r="2806" ht="22" customHeight="1">
      <x:c r="A2806" s="2" t="n">
        <x:v>2800</x:v>
      </x:c>
      <x:c r="B2806" s="79" t="n">
        <x:v>-1.1516312167947556</x:v>
      </x:c>
      <x:c r="C2806" s="46" t="n">
        <x:f>B2806^2</x:f>
        <x:v>1.3262544594961692</x:v>
      </x:c>
      <x:c r="D2806" s="47" t="n">
        <x:f>'Datos'!$B$26^3/3</x:f>
        <x:v>0.3333333333333333</x:v>
      </x:c>
      <x:c r="E2806" s="46" t="n">
        <x:f>D2806*(C2806-1)</x:f>
        <x:v>0.10875148649872304</x:v>
      </x:c>
      <x:c r="F2806" s="2"/>
      <x:c r="G2806" s="2"/>
      <x:c r="H2806" s="2"/>
    </x:row>
    <x:row r="2807" ht="22" customHeight="1">
      <x:c r="A2807" s="2" t="n">
        <x:v>2801</x:v>
      </x:c>
      <x:c r="B2807" s="79" t="n">
        <x:v>-1.4709509758904384</x:v>
      </x:c>
      <x:c r="C2807" s="46" t="n">
        <x:f>B2807^2</x:f>
        <x:v>2.163696773473033</x:v>
      </x:c>
      <x:c r="D2807" s="47" t="n">
        <x:f>'Datos'!$B$26^3/3</x:f>
        <x:v>0.3333333333333333</x:v>
      </x:c>
      <x:c r="E2807" s="46" t="n">
        <x:f>D2807*(C2807-1)</x:f>
        <x:v>0.387898924491011</x:v>
      </x:c>
      <x:c r="F2807" s="2"/>
      <x:c r="G2807" s="2"/>
      <x:c r="H2807" s="2"/>
    </x:row>
    <x:row r="2808" ht="22" customHeight="1">
      <x:c r="A2808" s="2" t="n">
        <x:v>2802</x:v>
      </x:c>
      <x:c r="B2808" s="79" t="n">
        <x:v>-0.49503122704386987</x:v>
      </x:c>
      <x:c r="C2808" s="46" t="n">
        <x:f>B2808^2</x:f>
        <x:v>0.24505591574855945</x:v>
      </x:c>
      <x:c r="D2808" s="47" t="n">
        <x:f>'Datos'!$B$26^3/3</x:f>
        <x:v>0.3333333333333333</x:v>
      </x:c>
      <x:c r="E2808" s="46" t="n">
        <x:f>D2808*(C2808-1)</x:f>
        <x:v>-0.2516480280838135</x:v>
      </x:c>
      <x:c r="F2808" s="2"/>
      <x:c r="G2808" s="2"/>
      <x:c r="H2808" s="2"/>
    </x:row>
    <x:row r="2809" ht="22" customHeight="1">
      <x:c r="A2809" s="2" t="n">
        <x:v>2803</x:v>
      </x:c>
      <x:c r="B2809" s="79" t="n">
        <x:v>0.06530344532997662</x:v>
      </x:c>
      <x:c r="C2809" s="46" t="n">
        <x:f>B2809^2</x:f>
        <x:v>0.004264539971965245</x:v>
      </x:c>
      <x:c r="D2809" s="47" t="n">
        <x:f>'Datos'!$B$26^3/3</x:f>
        <x:v>0.3333333333333333</x:v>
      </x:c>
      <x:c r="E2809" s="46" t="n">
        <x:f>D2809*(C2809-1)</x:f>
        <x:v>-0.3319118200093449</x:v>
      </x:c>
      <x:c r="F2809" s="2"/>
      <x:c r="G2809" s="2"/>
      <x:c r="H2809" s="2"/>
    </x:row>
    <x:row r="2810" ht="22" customHeight="1">
      <x:c r="A2810" s="2" t="n">
        <x:v>2804</x:v>
      </x:c>
      <x:c r="B2810" s="79" t="n">
        <x:v>-0.5594453871320139</x:v>
      </x:c>
      <x:c r="C2810" s="46" t="n">
        <x:f>B2810^2</x:f>
        <x:v>0.31297914118328884</x:v>
      </x:c>
      <x:c r="D2810" s="47" t="n">
        <x:f>'Datos'!$B$26^3/3</x:f>
        <x:v>0.3333333333333333</x:v>
      </x:c>
      <x:c r="E2810" s="46" t="n">
        <x:f>D2810*(C2810-1)</x:f>
        <x:v>-0.22900695293890372</x:v>
      </x:c>
      <x:c r="F2810" s="2"/>
      <x:c r="G2810" s="2"/>
      <x:c r="H2810" s="2"/>
    </x:row>
    <x:row r="2811" ht="22" customHeight="1">
      <x:c r="A2811" s="2" t="n">
        <x:v>2805</x:v>
      </x:c>
      <x:c r="B2811" s="79" t="n">
        <x:v>-0.16234905743551195</x:v>
      </x:c>
      <x:c r="C2811" s="46" t="n">
        <x:f>B2811^2</x:f>
        <x:v>0.02635721645019916</x:v>
      </x:c>
      <x:c r="D2811" s="47" t="n">
        <x:f>'Datos'!$B$26^3/3</x:f>
        <x:v>0.3333333333333333</x:v>
      </x:c>
      <x:c r="E2811" s="46" t="n">
        <x:f>D2811*(C2811-1)</x:f>
        <x:v>-0.32454759451660026</x:v>
      </x:c>
      <x:c r="F2811" s="2"/>
      <x:c r="G2811" s="2"/>
      <x:c r="H2811" s="2"/>
    </x:row>
    <x:row r="2812" ht="22" customHeight="1">
      <x:c r="A2812" s="2" t="n">
        <x:v>2806</x:v>
      </x:c>
      <x:c r="B2812" s="79" t="n">
        <x:v>-0.26205556458437007</x:v>
      </x:c>
      <x:c r="C2812" s="46" t="n">
        <x:f>B2812^2</x:f>
        <x:v>0.06867311892963296</x:v>
      </x:c>
      <x:c r="D2812" s="47" t="n">
        <x:f>'Datos'!$B$26^3/3</x:f>
        <x:v>0.3333333333333333</x:v>
      </x:c>
      <x:c r="E2812" s="46" t="n">
        <x:f>D2812*(C2812-1)</x:f>
        <x:v>-0.31044229369012233</x:v>
      </x:c>
      <x:c r="F2812" s="2"/>
      <x:c r="G2812" s="2"/>
      <x:c r="H2812" s="2"/>
    </x:row>
    <x:row r="2813" ht="22" customHeight="1">
      <x:c r="A2813" s="2" t="n">
        <x:v>2807</x:v>
      </x:c>
      <x:c r="B2813" s="79" t="n">
        <x:v>0.20851628558280713</x:v>
      </x:c>
      <x:c r="C2813" s="46" t="n">
        <x:f>B2813^2</x:f>
        <x:v>0.04347904135325078</x:v>
      </x:c>
      <x:c r="D2813" s="47" t="n">
        <x:f>'Datos'!$B$26^3/3</x:f>
        <x:v>0.3333333333333333</x:v>
      </x:c>
      <x:c r="E2813" s="46" t="n">
        <x:f>D2813*(C2813-1)</x:f>
        <x:v>-0.3188403195489164</x:v>
      </x:c>
      <x:c r="F2813" s="2"/>
      <x:c r="G2813" s="2"/>
      <x:c r="H2813" s="2"/>
    </x:row>
    <x:row r="2814" ht="22" customHeight="1">
      <x:c r="A2814" s="2" t="n">
        <x:v>2808</x:v>
      </x:c>
      <x:c r="B2814" s="79" t="n">
        <x:v>-0.7318065928239995</x:v>
      </x:c>
      <x:c r="C2814" s="46" t="n">
        <x:f>B2814^2</x:f>
        <x:v>0.535540889300671</x:v>
      </x:c>
      <x:c r="D2814" s="47" t="n">
        <x:f>'Datos'!$B$26^3/3</x:f>
        <x:v>0.3333333333333333</x:v>
      </x:c>
      <x:c r="E2814" s="46" t="n">
        <x:f>D2814*(C2814-1)</x:f>
        <x:v>-0.15481970356644298</x:v>
      </x:c>
      <x:c r="F2814" s="2"/>
      <x:c r="G2814" s="2"/>
      <x:c r="H2814" s="2"/>
    </x:row>
    <x:row r="2815" ht="22" customHeight="1">
      <x:c r="A2815" s="2" t="n">
        <x:v>2809</x:v>
      </x:c>
      <x:c r="B2815" s="79" t="n">
        <x:v>-0.5823657675098417</x:v>
      </x:c>
      <x:c r="C2815" s="46" t="n">
        <x:f>B2815^2</x:f>
        <x:v>0.339149887167327</x:v>
      </x:c>
      <x:c r="D2815" s="47" t="n">
        <x:f>'Datos'!$B$26^3/3</x:f>
        <x:v>0.3333333333333333</x:v>
      </x:c>
      <x:c r="E2815" s="46" t="n">
        <x:f>D2815*(C2815-1)</x:f>
        <x:v>-0.2202833709442243</x:v>
      </x:c>
      <x:c r="F2815" s="2"/>
      <x:c r="G2815" s="2"/>
      <x:c r="H2815" s="2"/>
    </x:row>
    <x:row r="2816" ht="22" customHeight="1">
      <x:c r="A2816" s="2" t="n">
        <x:v>2810</x:v>
      </x:c>
      <x:c r="B2816" s="79" t="n">
        <x:v>1.4262434932760595</x:v>
      </x:c>
      <x:c r="C2816" s="46" t="n">
        <x:f>B2816^2</x:f>
        <x:v>2.034170502112297</x:v>
      </x:c>
      <x:c r="D2816" s="47" t="n">
        <x:f>'Datos'!$B$26^3/3</x:f>
        <x:v>0.3333333333333333</x:v>
      </x:c>
      <x:c r="E2816" s="46" t="n">
        <x:f>D2816*(C2816-1)</x:f>
        <x:v>0.344723500704099</x:v>
      </x:c>
      <x:c r="F2816" s="2"/>
      <x:c r="G2816" s="2"/>
      <x:c r="H2816" s="2"/>
    </x:row>
    <x:row r="2817" ht="22" customHeight="1">
      <x:c r="A2817" s="2" t="n">
        <x:v>2811</x:v>
      </x:c>
      <x:c r="B2817" s="79" t="n">
        <x:v>0.06233049257731847</x:v>
      </x:c>
      <x:c r="C2817" s="46" t="n">
        <x:f>B2817^2</x:f>
        <x:v>0.003885090304931153</x:v>
      </x:c>
      <x:c r="D2817" s="47" t="n">
        <x:f>'Datos'!$B$26^3/3</x:f>
        <x:v>0.3333333333333333</x:v>
      </x:c>
      <x:c r="E2817" s="46" t="n">
        <x:f>D2817*(C2817-1)</x:f>
        <x:v>-0.3320383032316896</x:v>
      </x:c>
      <x:c r="F2817" s="2"/>
      <x:c r="G2817" s="2"/>
      <x:c r="H2817" s="2"/>
    </x:row>
    <x:row r="2818" ht="22" customHeight="1">
      <x:c r="A2818" s="2" t="n">
        <x:v>2812</x:v>
      </x:c>
      <x:c r="B2818" s="79" t="n">
        <x:v>0.42841037921898867</x:v>
      </x:c>
      <x:c r="C2818" s="46" t="n">
        <x:f>B2818^2</x:f>
        <x:v>0.18353545302255767</x:v>
      </x:c>
      <x:c r="D2818" s="47" t="n">
        <x:f>'Datos'!$B$26^3/3</x:f>
        <x:v>0.3333333333333333</x:v>
      </x:c>
      <x:c r="E2818" s="46" t="n">
        <x:f>D2818*(C2818-1)</x:f>
        <x:v>-0.27215484899248077</x:v>
      </x:c>
      <x:c r="F2818" s="2"/>
      <x:c r="G2818" s="2"/>
      <x:c r="H2818" s="2"/>
    </x:row>
    <x:row r="2819" ht="22" customHeight="1">
      <x:c r="A2819" s="2" t="n">
        <x:v>2813</x:v>
      </x:c>
      <x:c r="B2819" s="79" t="n">
        <x:v>-0.6215667666091501</x:v>
      </x:c>
      <x:c r="C2819" s="46" t="n">
        <x:f>B2819^2</x:f>
        <x:v>0.38634524535295367</x:v>
      </x:c>
      <x:c r="D2819" s="47" t="n">
        <x:f>'Datos'!$B$26^3/3</x:f>
        <x:v>0.3333333333333333</x:v>
      </x:c>
      <x:c r="E2819" s="46" t="n">
        <x:f>D2819*(C2819-1)</x:f>
        <x:v>-0.20455158488234876</x:v>
      </x:c>
      <x:c r="F2819" s="2"/>
      <x:c r="G2819" s="2"/>
      <x:c r="H2819" s="2"/>
    </x:row>
    <x:row r="2820" ht="22" customHeight="1">
      <x:c r="A2820" s="2" t="n">
        <x:v>2814</x:v>
      </x:c>
      <x:c r="B2820" s="79" t="n">
        <x:v>-0.09644779275993032</x:v>
      </x:c>
      <x:c r="C2820" s="46" t="n">
        <x:f>B2820^2</x:f>
        <x:v>0.009302176728262466</x:v>
      </x:c>
      <x:c r="D2820" s="47" t="n">
        <x:f>'Datos'!$B$26^3/3</x:f>
        <x:v>0.3333333333333333</x:v>
      </x:c>
      <x:c r="E2820" s="46" t="n">
        <x:f>D2820*(C2820-1)</x:f>
        <x:v>-0.33023260775724583</x:v>
      </x:c>
      <x:c r="F2820" s="2"/>
      <x:c r="G2820" s="2"/>
      <x:c r="H2820" s="2"/>
    </x:row>
    <x:row r="2821" ht="22" customHeight="1">
      <x:c r="A2821" s="2" t="n">
        <x:v>2815</x:v>
      </x:c>
      <x:c r="B2821" s="79" t="n">
        <x:v>0.5423792239011169</x:v>
      </x:c>
      <x:c r="C2821" s="46" t="n">
        <x:f>B2821^2</x:f>
        <x:v>0.29417522251957795</x:v>
      </x:c>
      <x:c r="D2821" s="47" t="n">
        <x:f>'Datos'!$B$26^3/3</x:f>
        <x:v>0.3333333333333333</x:v>
      </x:c>
      <x:c r="E2821" s="46" t="n">
        <x:f>D2821*(C2821-1)</x:f>
        <x:v>-0.23527492582680734</x:v>
      </x:c>
      <x:c r="F2821" s="2"/>
      <x:c r="G2821" s="2"/>
      <x:c r="H2821" s="2"/>
    </x:row>
    <x:row r="2822" ht="22" customHeight="1">
      <x:c r="A2822" s="2" t="n">
        <x:v>2816</x:v>
      </x:c>
      <x:c r="B2822" s="79" t="n">
        <x:v>-1.4382648622109904</x:v>
      </x:c>
      <x:c r="C2822" s="46" t="n">
        <x:f>B2822^2</x:f>
        <x:v>2.068605813870799</x:v>
      </x:c>
      <x:c r="D2822" s="47" t="n">
        <x:f>'Datos'!$B$26^3/3</x:f>
        <x:v>0.3333333333333333</x:v>
      </x:c>
      <x:c r="E2822" s="46" t="n">
        <x:f>D2822*(C2822-1)</x:f>
        <x:v>0.356201937956933</x:v>
      </x:c>
      <x:c r="F2822" s="2"/>
      <x:c r="G2822" s="2"/>
      <x:c r="H2822" s="2"/>
    </x:row>
    <x:row r="2823" ht="22" customHeight="1">
      <x:c r="A2823" s="2" t="n">
        <x:v>2817</x:v>
      </x:c>
      <x:c r="B2823" s="79" t="n">
        <x:v>-0.27638789892729726</x:v>
      </x:c>
      <x:c r="C2823" s="46" t="n">
        <x:f>B2823^2</x:f>
        <x:v>0.07639027067344589</x:v>
      </x:c>
      <x:c r="D2823" s="47" t="n">
        <x:f>'Datos'!$B$26^3/3</x:f>
        <x:v>0.3333333333333333</x:v>
      </x:c>
      <x:c r="E2823" s="46" t="n">
        <x:f>D2823*(C2823-1)</x:f>
        <x:v>-0.30786990977551804</x:v>
      </x:c>
      <x:c r="F2823" s="2"/>
      <x:c r="G2823" s="2"/>
      <x:c r="H2823" s="2"/>
    </x:row>
    <x:row r="2824" ht="22" customHeight="1">
      <x:c r="A2824" s="2" t="n">
        <x:v>2818</x:v>
      </x:c>
      <x:c r="B2824" s="79" t="n">
        <x:v>-0.9816066060760722</x:v>
      </x:c>
      <x:c r="C2824" s="46" t="n">
        <x:f>B2824^2</x:f>
        <x:v>0.9635515290921852</x:v>
      </x:c>
      <x:c r="D2824" s="47" t="n">
        <x:f>'Datos'!$B$26^3/3</x:f>
        <x:v>0.3333333333333333</x:v>
      </x:c>
      <x:c r="E2824" s="46" t="n">
        <x:f>D2824*(C2824-1)</x:f>
        <x:v>-0.012149490302604926</x:v>
      </x:c>
      <x:c r="F2824" s="2"/>
      <x:c r="G2824" s="2"/>
      <x:c r="H2824" s="2"/>
    </x:row>
    <x:row r="2825" ht="22" customHeight="1">
      <x:c r="A2825" s="2" t="n">
        <x:v>2819</x:v>
      </x:c>
      <x:c r="B2825" s="79" t="n">
        <x:v>-1.6844822501224923</x:v>
      </x:c>
      <x:c r="C2825" s="46" t="n">
        <x:f>B2825^2</x:f>
        <x:v>2.837480450977735</x:v>
      </x:c>
      <x:c r="D2825" s="47" t="n">
        <x:f>'Datos'!$B$26^3/3</x:f>
        <x:v>0.3333333333333333</x:v>
      </x:c>
      <x:c r="E2825" s="46" t="n">
        <x:f>D2825*(C2825-1)</x:f>
        <x:v>0.6124934836592449</x:v>
      </x:c>
      <x:c r="F2825" s="2"/>
      <x:c r="G2825" s="2"/>
      <x:c r="H2825" s="2"/>
    </x:row>
    <x:row r="2826" ht="22" customHeight="1">
      <x:c r="A2826" s="2" t="n">
        <x:v>2820</x:v>
      </x:c>
      <x:c r="B2826" s="79" t="n">
        <x:v>-1.5412111727023399</x:v>
      </x:c>
      <x:c r="C2826" s="46" t="n">
        <x:f>B2826^2</x:f>
        <x:v>2.3753318788625215</x:v>
      </x:c>
      <x:c r="D2826" s="47" t="n">
        <x:f>'Datos'!$B$26^3/3</x:f>
        <x:v>0.3333333333333333</x:v>
      </x:c>
      <x:c r="E2826" s="46" t="n">
        <x:f>D2826*(C2826-1)</x:f>
        <x:v>0.4584439596208405</x:v>
      </x:c>
      <x:c r="F2826" s="2"/>
      <x:c r="G2826" s="2"/>
      <x:c r="H2826" s="2"/>
    </x:row>
    <x:row r="2827" ht="22" customHeight="1">
      <x:c r="A2827" s="2" t="n">
        <x:v>2821</x:v>
      </x:c>
      <x:c r="B2827" s="79" t="n">
        <x:v>0.18981529702540742</x:v>
      </x:c>
      <x:c r="C2827" s="46" t="n">
        <x:f>B2827^2</x:f>
        <x:v>0.03602984698484364</x:v>
      </x:c>
      <x:c r="D2827" s="47" t="n">
        <x:f>'Datos'!$B$26^3/3</x:f>
        <x:v>0.3333333333333333</x:v>
      </x:c>
      <x:c r="E2827" s="46" t="n">
        <x:f>D2827*(C2827-1)</x:f>
        <x:v>-0.3213233843383854</x:v>
      </x:c>
      <x:c r="F2827" s="2"/>
      <x:c r="G2827" s="2"/>
      <x:c r="H2827" s="2"/>
    </x:row>
    <x:row r="2828" ht="22" customHeight="1">
      <x:c r="A2828" s="2" t="n">
        <x:v>2822</x:v>
      </x:c>
      <x:c r="B2828" s="79" t="n">
        <x:v>0.5783146577326</x:v>
      </x:c>
      <x:c r="C2828" s="46" t="n">
        <x:f>B2828^2</x:f>
        <x:v>0.33444784334837435</x:v>
      </x:c>
      <x:c r="D2828" s="47" t="n">
        <x:f>'Datos'!$B$26^3/3</x:f>
        <x:v>0.3333333333333333</x:v>
      </x:c>
      <x:c r="E2828" s="46" t="n">
        <x:f>D2828*(C2828-1)</x:f>
        <x:v>-0.2218507188838752</x:v>
      </x:c>
      <x:c r="F2828" s="2"/>
      <x:c r="G2828" s="2"/>
      <x:c r="H2828" s="2"/>
    </x:row>
    <x:row r="2829" ht="22" customHeight="1">
      <x:c r="A2829" s="2" t="n">
        <x:v>2823</x:v>
      </x:c>
      <x:c r="B2829" s="79" t="n">
        <x:v>0.5089837912128944</x:v>
      </x:c>
      <x:c r="C2829" s="46" t="n">
        <x:f>B2829^2</x:f>
        <x:v>0.25906449971745127</x:v>
      </x:c>
      <x:c r="D2829" s="47" t="n">
        <x:f>'Datos'!$B$26^3/3</x:f>
        <x:v>0.3333333333333333</x:v>
      </x:c>
      <x:c r="E2829" s="46" t="n">
        <x:f>D2829*(C2829-1)</x:f>
        <x:v>-0.2469785000941829</x:v>
      </x:c>
      <x:c r="F2829" s="2"/>
      <x:c r="G2829" s="2"/>
      <x:c r="H2829" s="2"/>
    </x:row>
    <x:row r="2830" ht="22" customHeight="1">
      <x:c r="A2830" s="2" t="n">
        <x:v>2824</x:v>
      </x:c>
      <x:c r="B2830" s="79" t="n">
        <x:v>-0.7941831461982818</x:v>
      </x:c>
      <x:c r="C2830" s="46" t="n">
        <x:f>B2830^2</x:f>
        <x:v>0.6307268697054014</x:v>
      </x:c>
      <x:c r="D2830" s="47" t="n">
        <x:f>'Datos'!$B$26^3/3</x:f>
        <x:v>0.3333333333333333</x:v>
      </x:c>
      <x:c r="E2830" s="46" t="n">
        <x:f>D2830*(C2830-1)</x:f>
        <x:v>-0.12309104343153288</x:v>
      </x:c>
      <x:c r="F2830" s="2"/>
      <x:c r="G2830" s="2"/>
      <x:c r="H2830" s="2"/>
    </x:row>
    <x:row r="2831" ht="22" customHeight="1">
      <x:c r="A2831" s="2" t="n">
        <x:v>2825</x:v>
      </x:c>
      <x:c r="B2831" s="79" t="n">
        <x:v>0.5296734026425358</x:v>
      </x:c>
      <x:c r="C2831" s="46" t="n">
        <x:f>B2831^2</x:f>
        <x:v>0.2805539134669219</x:v>
      </x:c>
      <x:c r="D2831" s="47" t="n">
        <x:f>'Datos'!$B$26^3/3</x:f>
        <x:v>0.3333333333333333</x:v>
      </x:c>
      <x:c r="E2831" s="46" t="n">
        <x:f>D2831*(C2831-1)</x:f>
        <x:v>-0.23981536217769267</x:v>
      </x:c>
      <x:c r="F2831" s="2"/>
      <x:c r="G2831" s="2"/>
      <x:c r="H2831" s="2"/>
    </x:row>
    <x:row r="2832" ht="22" customHeight="1">
      <x:c r="A2832" s="2" t="n">
        <x:v>2826</x:v>
      </x:c>
      <x:c r="B2832" s="79" t="n">
        <x:v>0.4155116664027118</x:v>
      </x:c>
      <x:c r="C2832" s="46" t="n">
        <x:f>B2832^2</x:f>
        <x:v>0.17264994491675847</x:v>
      </x:c>
      <x:c r="D2832" s="47" t="n">
        <x:f>'Datos'!$B$26^3/3</x:f>
        <x:v>0.3333333333333333</x:v>
      </x:c>
      <x:c r="E2832" s="46" t="n">
        <x:f>D2832*(C2832-1)</x:f>
        <x:v>-0.2757833516944138</x:v>
      </x:c>
      <x:c r="F2832" s="2"/>
      <x:c r="G2832" s="2"/>
      <x:c r="H2832" s="2"/>
    </x:row>
    <x:row r="2833" ht="22" customHeight="1">
      <x:c r="A2833" s="2" t="n">
        <x:v>2827</x:v>
      </x:c>
      <x:c r="B2833" s="79" t="n">
        <x:v>0.22462242208016636</x:v>
      </x:c>
      <x:c r="C2833" s="46" t="n">
        <x:f>B2833^2</x:f>
        <x:v>0.05045523250116041</x:v>
      </x:c>
      <x:c r="D2833" s="47" t="n">
        <x:f>'Datos'!$B$26^3/3</x:f>
        <x:v>0.3333333333333333</x:v>
      </x:c>
      <x:c r="E2833" s="46" t="n">
        <x:f>D2833*(C2833-1)</x:f>
        <x:v>-0.31651492249961316</x:v>
      </x:c>
      <x:c r="F2833" s="2"/>
      <x:c r="G2833" s="2"/>
      <x:c r="H2833" s="2"/>
    </x:row>
    <x:row r="2834" ht="22" customHeight="1">
      <x:c r="A2834" s="2" t="n">
        <x:v>2828</x:v>
      </x:c>
      <x:c r="B2834" s="79" t="n">
        <x:v>1.084111931025482</x:v>
      </x:c>
      <x:c r="C2834" s="46" t="n">
        <x:f>B2834^2</x:f>
        <x:v>1.1752986789917996</x:v>
      </x:c>
      <x:c r="D2834" s="47" t="n">
        <x:f>'Datos'!$B$26^3/3</x:f>
        <x:v>0.3333333333333333</x:v>
      </x:c>
      <x:c r="E2834" s="46" t="n">
        <x:f>D2834*(C2834-1)</x:f>
        <x:v>0.05843289299726654</x:v>
      </x:c>
      <x:c r="F2834" s="2"/>
      <x:c r="G2834" s="2"/>
      <x:c r="H2834" s="2"/>
    </x:row>
    <x:row r="2835" ht="22" customHeight="1">
      <x:c r="A2835" s="2" t="n">
        <x:v>2829</x:v>
      </x:c>
      <x:c r="B2835" s="79" t="n">
        <x:v>0.26208000081643906</x:v>
      </x:c>
      <x:c r="C2835" s="46" t="n">
        <x:f>B2835^2</x:f>
        <x:v>0.0686859268279447</x:v>
      </x:c>
      <x:c r="D2835" s="47" t="n">
        <x:f>'Datos'!$B$26^3/3</x:f>
        <x:v>0.3333333333333333</x:v>
      </x:c>
      <x:c r="E2835" s="46" t="n">
        <x:f>D2835*(C2835-1)</x:f>
        <x:v>-0.3104380243906851</x:v>
      </x:c>
      <x:c r="F2835" s="2"/>
      <x:c r="G2835" s="2"/>
      <x:c r="H2835" s="2"/>
    </x:row>
    <x:row r="2836" ht="22" customHeight="1">
      <x:c r="A2836" s="2" t="n">
        <x:v>2830</x:v>
      </x:c>
      <x:c r="B2836" s="79" t="n">
        <x:v>0.09909744512157427</x:v>
      </x:c>
      <x:c r="C2836" s="46" t="n">
        <x:f>B2836^2</x:f>
        <x:v>0.009820303629623424</x:v>
      </x:c>
      <x:c r="D2836" s="47" t="n">
        <x:f>'Datos'!$B$26^3/3</x:f>
        <x:v>0.3333333333333333</x:v>
      </x:c>
      <x:c r="E2836" s="46" t="n">
        <x:f>D2836*(C2836-1)</x:f>
        <x:v>-0.33005989879012554</x:v>
      </x:c>
      <x:c r="F2836" s="2"/>
      <x:c r="G2836" s="2"/>
      <x:c r="H2836" s="2"/>
    </x:row>
    <x:row r="2837" ht="22" customHeight="1">
      <x:c r="A2837" s="2" t="n">
        <x:v>2831</x:v>
      </x:c>
      <x:c r="B2837" s="79" t="n">
        <x:v>0.10249845395872577</x:v>
      </x:c>
      <x:c r="C2837" s="46" t="n">
        <x:f>B2837^2</x:f>
        <x:v>0.010505933063929026</x:v>
      </x:c>
      <x:c r="D2837" s="47" t="n">
        <x:f>'Datos'!$B$26^3/3</x:f>
        <x:v>0.3333333333333333</x:v>
      </x:c>
      <x:c r="E2837" s="46" t="n">
        <x:f>D2837*(C2837-1)</x:f>
        <x:v>-0.329831355645357</x:v>
      </x:c>
      <x:c r="F2837" s="2"/>
      <x:c r="G2837" s="2"/>
      <x:c r="H2837" s="2"/>
    </x:row>
    <x:row r="2838" ht="22" customHeight="1">
      <x:c r="A2838" s="2" t="n">
        <x:v>2832</x:v>
      </x:c>
      <x:c r="B2838" s="79" t="n">
        <x:v>-0.20164010504613375</x:v>
      </x:c>
      <x:c r="C2838" s="46" t="n">
        <x:f>B2838^2</x:f>
        <x:v>0.04065873196301585</x:v>
      </x:c>
      <x:c r="D2838" s="47" t="n">
        <x:f>'Datos'!$B$26^3/3</x:f>
        <x:v>0.3333333333333333</x:v>
      </x:c>
      <x:c r="E2838" s="46" t="n">
        <x:f>D2838*(C2838-1)</x:f>
        <x:v>-0.3197804226789947</x:v>
      </x:c>
      <x:c r="F2838" s="2"/>
      <x:c r="G2838" s="2"/>
      <x:c r="H2838" s="2"/>
    </x:row>
    <x:row r="2839" ht="22" customHeight="1">
      <x:c r="A2839" s="2" t="n">
        <x:v>2833</x:v>
      </x:c>
      <x:c r="B2839" s="79" t="n">
        <x:v>-0.1000133302760861</x:v>
      </x:c>
      <x:c r="C2839" s="46" t="n">
        <x:f>B2839^2</x:f>
        <x:v>0.01000266623291348</x:v>
      </x:c>
      <x:c r="D2839" s="47" t="n">
        <x:f>'Datos'!$B$26^3/3</x:f>
        <x:v>0.3333333333333333</x:v>
      </x:c>
      <x:c r="E2839" s="46" t="n">
        <x:f>D2839*(C2839-1)</x:f>
        <x:v>-0.3299991112556955</x:v>
      </x:c>
      <x:c r="F2839" s="2"/>
      <x:c r="G2839" s="2"/>
      <x:c r="H2839" s="2"/>
    </x:row>
    <x:row r="2840" ht="22" customHeight="1">
      <x:c r="A2840" s="2" t="n">
        <x:v>2834</x:v>
      </x:c>
      <x:c r="B2840" s="79" t="n">
        <x:v>-1.5598969291461064</x:v>
      </x:c>
      <x:c r="C2840" s="46" t="n">
        <x:f>B2840^2</x:f>
        <x:v>2.433278429559453</x:v>
      </x:c>
      <x:c r="D2840" s="47" t="n">
        <x:f>'Datos'!$B$26^3/3</x:f>
        <x:v>0.3333333333333333</x:v>
      </x:c>
      <x:c r="E2840" s="46" t="n">
        <x:f>D2840*(C2840-1)</x:f>
        <x:v>0.47775947651981765</x:v>
      </x:c>
      <x:c r="F2840" s="2"/>
      <x:c r="G2840" s="2"/>
      <x:c r="H2840" s="2"/>
    </x:row>
    <x:row r="2841" ht="22" customHeight="1">
      <x:c r="A2841" s="2" t="n">
        <x:v>2835</x:v>
      </x:c>
      <x:c r="B2841" s="79" t="n">
        <x:v>-1.6439615152268228</x:v>
      </x:c>
      <x:c r="C2841" s="46" t="n">
        <x:f>B2841^2</x:f>
        <x:v>2.702609463546871</x:v>
      </x:c>
      <x:c r="D2841" s="47" t="n">
        <x:f>'Datos'!$B$26^3/3</x:f>
        <x:v>0.3333333333333333</x:v>
      </x:c>
      <x:c r="E2841" s="46" t="n">
        <x:f>D2841*(C2841-1)</x:f>
        <x:v>0.5675364878489569</x:v>
      </x:c>
      <x:c r="F2841" s="2"/>
      <x:c r="G2841" s="2"/>
      <x:c r="H2841" s="2"/>
    </x:row>
    <x:row r="2842" ht="22" customHeight="1">
      <x:c r="A2842" s="2" t="n">
        <x:v>2836</x:v>
      </x:c>
      <x:c r="B2842" s="79" t="n">
        <x:v>0.00272122167714664</x:v>
      </x:c>
      <x:c r="C2842" s="46" t="n">
        <x:f>B2842^2</x:f>
        <x:v>0.000007405047416172773</x:v>
      </x:c>
      <x:c r="D2842" s="47" t="n">
        <x:f>'Datos'!$B$26^3/3</x:f>
        <x:v>0.3333333333333333</x:v>
      </x:c>
      <x:c r="E2842" s="46" t="n">
        <x:f>D2842*(C2842-1)</x:f>
        <x:v>-0.3333308649841946</x:v>
      </x:c>
      <x:c r="F2842" s="2"/>
      <x:c r="G2842" s="2"/>
      <x:c r="H2842" s="2"/>
    </x:row>
    <x:row r="2843" ht="22" customHeight="1">
      <x:c r="A2843" s="2" t="n">
        <x:v>2837</x:v>
      </x:c>
      <x:c r="B2843" s="79" t="n">
        <x:v>0.051409006146838424</x:v>
      </x:c>
      <x:c r="C2843" s="46" t="n">
        <x:f>B2843^2</x:f>
        <x:v>0.002642885913005671</x:v>
      </x:c>
      <x:c r="D2843" s="47" t="n">
        <x:f>'Datos'!$B$26^3/3</x:f>
        <x:v>0.3333333333333333</x:v>
      </x:c>
      <x:c r="E2843" s="46" t="n">
        <x:f>D2843*(C2843-1)</x:f>
        <x:v>-0.3324523713623314</x:v>
      </x:c>
      <x:c r="F2843" s="2"/>
      <x:c r="G2843" s="2"/>
      <x:c r="H2843" s="2"/>
    </x:row>
    <x:row r="2844" ht="22" customHeight="1">
      <x:c r="A2844" s="2" t="n">
        <x:v>2838</x:v>
      </x:c>
      <x:c r="B2844" s="79" t="n">
        <x:v>0.6282980156877624</x:v>
      </x:c>
      <x:c r="C2844" s="46" t="n">
        <x:f>B2844^2</x:f>
        <x:v>0.3947583965171798</x:v>
      </x:c>
      <x:c r="D2844" s="47" t="n">
        <x:f>'Datos'!$B$26^3/3</x:f>
        <x:v>0.3333333333333333</x:v>
      </x:c>
      <x:c r="E2844" s="46" t="n">
        <x:f>D2844*(C2844-1)</x:f>
        <x:v>-0.20174720116094005</x:v>
      </x:c>
      <x:c r="F2844" s="2"/>
      <x:c r="G2844" s="2"/>
      <x:c r="H2844" s="2"/>
    </x:row>
    <x:row r="2845" ht="22" customHeight="1">
      <x:c r="A2845" s="2" t="n">
        <x:v>2839</x:v>
      </x:c>
      <x:c r="B2845" s="79" t="n">
        <x:v>2.0301895587606915</x:v>
      </x:c>
      <x:c r="C2845" s="46" t="n">
        <x:f>B2845^2</x:f>
        <x:v>4.1216696445009315</x:v>
      </x:c>
      <x:c r="D2845" s="47" t="n">
        <x:f>'Datos'!$B$26^3/3</x:f>
        <x:v>0.3333333333333333</x:v>
      </x:c>
      <x:c r="E2845" s="46" t="n">
        <x:f>D2845*(C2845-1)</x:f>
        <x:v>1.0405565481669772</x:v>
      </x:c>
      <x:c r="F2845" s="2"/>
      <x:c r="G2845" s="2"/>
      <x:c r="H2845" s="2"/>
    </x:row>
    <x:row r="2846" ht="22" customHeight="1">
      <x:c r="A2846" s="2" t="n">
        <x:v>2840</x:v>
      </x:c>
      <x:c r="B2846" s="79" t="n">
        <x:v>-0.5537573388122584</x:v>
      </x:c>
      <x:c r="C2846" s="46" t="n">
        <x:f>B2846^2</x:f>
        <x:v>0.30664719028843435</x:v>
      </x:c>
      <x:c r="D2846" s="47" t="n">
        <x:f>'Datos'!$B$26^3/3</x:f>
        <x:v>0.3333333333333333</x:v>
      </x:c>
      <x:c r="E2846" s="46" t="n">
        <x:f>D2846*(C2846-1)</x:f>
        <x:v>-0.23111760323718855</x:v>
      </x:c>
      <x:c r="F2846" s="2"/>
      <x:c r="G2846" s="2"/>
      <x:c r="H2846" s="2"/>
    </x:row>
    <x:row r="2847" ht="22" customHeight="1">
      <x:c r="A2847" s="2" t="n">
        <x:v>2841</x:v>
      </x:c>
      <x:c r="B2847" s="79" t="n">
        <x:v>-0.036097110695545685</x:v>
      </x:c>
      <x:c r="C2847" s="46" t="n">
        <x:f>B2847^2</x:f>
        <x:v>0.0013030014005664787</x:v>
      </x:c>
      <x:c r="D2847" s="47" t="n">
        <x:f>'Datos'!$B$26^3/3</x:f>
        <x:v>0.3333333333333333</x:v>
      </x:c>
      <x:c r="E2847" s="46" t="n">
        <x:f>D2847*(C2847-1)</x:f>
        <x:v>-0.3328989995331445</x:v>
      </x:c>
      <x:c r="F2847" s="2"/>
      <x:c r="G2847" s="2"/>
      <x:c r="H2847" s="2"/>
    </x:row>
    <x:row r="2848" ht="22" customHeight="1">
      <x:c r="A2848" s="2" t="n">
        <x:v>2842</x:v>
      </x:c>
      <x:c r="B2848" s="79" t="n">
        <x:v>-0.612700843368277</x:v>
      </x:c>
      <x:c r="C2848" s="46" t="n">
        <x:f>B2848^2</x:f>
        <x:v>0.37540232346419794</x:v>
      </x:c>
      <x:c r="D2848" s="47" t="n">
        <x:f>'Datos'!$B$26^3/3</x:f>
        <x:v>0.3333333333333333</x:v>
      </x:c>
      <x:c r="E2848" s="46" t="n">
        <x:f>D2848*(C2848-1)</x:f>
        <x:v>-0.20819922551193404</x:v>
      </x:c>
      <x:c r="F2848" s="2"/>
      <x:c r="G2848" s="2"/>
      <x:c r="H2848" s="2"/>
    </x:row>
    <x:row r="2849" ht="22" customHeight="1">
      <x:c r="A2849" s="2" t="n">
        <x:v>2843</x:v>
      </x:c>
      <x:c r="B2849" s="79" t="n">
        <x:v>0.9582885636270646</x:v>
      </x:c>
      <x:c r="C2849" s="46" t="n">
        <x:f>B2849^2</x:f>
        <x:v>0.9183169711784226</x:v>
      </x:c>
      <x:c r="D2849" s="47" t="n">
        <x:f>'Datos'!$B$26^3/3</x:f>
        <x:v>0.3333333333333333</x:v>
      </x:c>
      <x:c r="E2849" s="46" t="n">
        <x:f>D2849*(C2849-1)</x:f>
        <x:v>-0.027227676273859136</x:v>
      </x:c>
      <x:c r="F2849" s="2"/>
      <x:c r="G2849" s="2"/>
      <x:c r="H2849" s="2"/>
    </x:row>
    <x:row r="2850" ht="22" customHeight="1">
      <x:c r="A2850" s="2" t="n">
        <x:v>2844</x:v>
      </x:c>
      <x:c r="B2850" s="79" t="n">
        <x:v>-0.7142884539734723</x:v>
      </x:c>
      <x:c r="C2850" s="46" t="n">
        <x:f>B2850^2</x:f>
        <x:v>0.5102079954798132</x:v>
      </x:c>
      <x:c r="D2850" s="47" t="n">
        <x:f>'Datos'!$B$26^3/3</x:f>
        <x:v>0.3333333333333333</x:v>
      </x:c>
      <x:c r="E2850" s="46" t="n">
        <x:f>D2850*(C2850-1)</x:f>
        <x:v>-0.16326400150672893</x:v>
      </x:c>
      <x:c r="F2850" s="2"/>
      <x:c r="G2850" s="2"/>
      <x:c r="H2850" s="2"/>
    </x:row>
    <x:row r="2851" ht="22" customHeight="1">
      <x:c r="A2851" s="2" t="n">
        <x:v>2845</x:v>
      </x:c>
      <x:c r="B2851" s="79" t="n">
        <x:v>-0.2043626618784537</x:v>
      </x:c>
      <x:c r="C2851" s="46" t="n">
        <x:f>B2851^2</x:f>
        <x:v>0.04176409757004719</x:v>
      </x:c>
      <x:c r="D2851" s="47" t="n">
        <x:f>'Datos'!$B$26^3/3</x:f>
        <x:v>0.3333333333333333</x:v>
      </x:c>
      <x:c r="E2851" s="46" t="n">
        <x:f>D2851*(C2851-1)</x:f>
        <x:v>-0.3194119674766509</x:v>
      </x:c>
      <x:c r="F2851" s="2"/>
      <x:c r="G2851" s="2"/>
      <x:c r="H2851" s="2"/>
    </x:row>
    <x:row r="2852" ht="22" customHeight="1">
      <x:c r="A2852" s="2" t="n">
        <x:v>2846</x:v>
      </x:c>
      <x:c r="B2852" s="79" t="n">
        <x:v>-0.6040498872276985</x:v>
      </x:c>
      <x:c r="C2852" s="46" t="n">
        <x:f>B2852^2</x:f>
        <x:v>0.36487626625979525</x:v>
      </x:c>
      <x:c r="D2852" s="47" t="n">
        <x:f>'Datos'!$B$26^3/3</x:f>
        <x:v>0.3333333333333333</x:v>
      </x:c>
      <x:c r="E2852" s="46" t="n">
        <x:f>D2852*(C2852-1)</x:f>
        <x:v>-0.21170791124673488</x:v>
      </x:c>
      <x:c r="F2852" s="2"/>
      <x:c r="G2852" s="2"/>
      <x:c r="H2852" s="2"/>
    </x:row>
    <x:row r="2853" ht="22" customHeight="1">
      <x:c r="A2853" s="2" t="n">
        <x:v>2847</x:v>
      </x:c>
      <x:c r="B2853" s="79" t="n">
        <x:v>0.632172295193324</x:v>
      </x:c>
      <x:c r="C2853" s="46" t="n">
        <x:f>B2853^2</x:f>
        <x:v>0.3996418108099951</x:v>
      </x:c>
      <x:c r="D2853" s="47" t="n">
        <x:f>'Datos'!$B$26^3/3</x:f>
        <x:v>0.3333333333333333</x:v>
      </x:c>
      <x:c r="E2853" s="46" t="n">
        <x:f>D2853*(C2853-1)</x:f>
        <x:v>-0.20011939639666831</x:v>
      </x:c>
      <x:c r="F2853" s="2"/>
      <x:c r="G2853" s="2"/>
      <x:c r="H2853" s="2"/>
    </x:row>
    <x:row r="2854" ht="22" customHeight="1">
      <x:c r="A2854" s="2" t="n">
        <x:v>2848</x:v>
      </x:c>
      <x:c r="B2854" s="79" t="n">
        <x:v>0.23822019474180195</x:v>
      </x:c>
      <x:c r="C2854" s="46" t="n">
        <x:f>B2854^2</x:f>
        <x:v>0.05674886118282205</x:v>
      </x:c>
      <x:c r="D2854" s="47" t="n">
        <x:f>'Datos'!$B$26^3/3</x:f>
        <x:v>0.3333333333333333</x:v>
      </x:c>
      <x:c r="E2854" s="46" t="n">
        <x:f>D2854*(C2854-1)</x:f>
        <x:v>-0.31441704627239264</x:v>
      </x:c>
      <x:c r="F2854" s="2"/>
      <x:c r="G2854" s="2"/>
      <x:c r="H2854" s="2"/>
    </x:row>
    <x:row r="2855" ht="22" customHeight="1">
      <x:c r="A2855" s="2" t="n">
        <x:v>2849</x:v>
      </x:c>
      <x:c r="B2855" s="79" t="n">
        <x:v>-1.4215158967140926</x:v>
      </x:c>
      <x:c r="C2855" s="46" t="n">
        <x:f>B2855^2</x:f>
        <x:v>2.020707444610871</x:v>
      </x:c>
      <x:c r="D2855" s="47" t="n">
        <x:f>'Datos'!$B$26^3/3</x:f>
        <x:v>0.3333333333333333</x:v>
      </x:c>
      <x:c r="E2855" s="46" t="n">
        <x:f>D2855*(C2855-1)</x:f>
        <x:v>0.3402358148702903</x:v>
      </x:c>
      <x:c r="F2855" s="2"/>
      <x:c r="G2855" s="2"/>
      <x:c r="H2855" s="2"/>
    </x:row>
    <x:row r="2856" ht="22" customHeight="1">
      <x:c r="A2856" s="2" t="n">
        <x:v>2850</x:v>
      </x:c>
      <x:c r="B2856" s="79" t="n">
        <x:v>0.3669657167575765</x:v>
      </x:c>
      <x:c r="C2856" s="46" t="n">
        <x:f>B2856^2</x:f>
        <x:v>0.13466383727540185</x:v>
      </x:c>
      <x:c r="D2856" s="47" t="n">
        <x:f>'Datos'!$B$26^3/3</x:f>
        <x:v>0.3333333333333333</x:v>
      </x:c>
      <x:c r="E2856" s="46" t="n">
        <x:f>D2856*(C2856-1)</x:f>
        <x:v>-0.28844538757486604</x:v>
      </x:c>
      <x:c r="F2856" s="2"/>
      <x:c r="G2856" s="2"/>
      <x:c r="H2856" s="2"/>
    </x:row>
    <x:row r="2857" ht="22" customHeight="1">
      <x:c r="A2857" s="2" t="n">
        <x:v>2851</x:v>
      </x:c>
      <x:c r="B2857" s="79" t="n">
        <x:v>0.05907564235034411</x:v>
      </x:c>
      <x:c r="C2857" s="46" t="n">
        <x:f>B2857^2</x:f>
        <x:v>0.003489931519105771</x:v>
      </x:c>
      <x:c r="D2857" s="47" t="n">
        <x:f>'Datos'!$B$26^3/3</x:f>
        <x:v>0.3333333333333333</x:v>
      </x:c>
      <x:c r="E2857" s="46" t="n">
        <x:f>D2857*(C2857-1)</x:f>
        <x:v>-0.33217002282696473</x:v>
      </x:c>
      <x:c r="F2857" s="2"/>
      <x:c r="G2857" s="2"/>
      <x:c r="H2857" s="2"/>
    </x:row>
    <x:row r="2858" ht="22" customHeight="1">
      <x:c r="A2858" s="2" t="n">
        <x:v>2852</x:v>
      </x:c>
      <x:c r="B2858" s="79" t="n">
        <x:v>0.6298558895013175</x:v>
      </x:c>
      <x:c r="C2858" s="46" t="n">
        <x:f>B2858^2</x:f>
        <x:v>0.3967184415394959</x:v>
      </x:c>
      <x:c r="D2858" s="47" t="n">
        <x:f>'Datos'!$B$26^3/3</x:f>
        <x:v>0.3333333333333333</x:v>
      </x:c>
      <x:c r="E2858" s="46" t="n">
        <x:f>D2858*(C2858-1)</x:f>
        <x:v>-0.201093852820168</x:v>
      </x:c>
      <x:c r="F2858" s="2"/>
      <x:c r="G2858" s="2"/>
      <x:c r="H2858" s="2"/>
    </x:row>
    <x:row r="2859" ht="22" customHeight="1">
      <x:c r="A2859" s="2" t="n">
        <x:v>2853</x:v>
      </x:c>
      <x:c r="B2859" s="79" t="n">
        <x:v>-0.9368059014464016</x:v>
      </x:c>
      <x:c r="C2859" s="46" t="n">
        <x:f>B2859^2</x:f>
        <x:v>0.8776052969848052</x:v>
      </x:c>
      <x:c r="D2859" s="47" t="n">
        <x:f>'Datos'!$B$26^3/3</x:f>
        <x:v>0.3333333333333333</x:v>
      </x:c>
      <x:c r="E2859" s="46" t="n">
        <x:f>D2859*(C2859-1)</x:f>
        <x:v>-0.04079823433839828</x:v>
      </x:c>
      <x:c r="F2859" s="2"/>
      <x:c r="G2859" s="2"/>
      <x:c r="H2859" s="2"/>
    </x:row>
    <x:row r="2860" ht="22" customHeight="1">
      <x:c r="A2860" s="2" t="n">
        <x:v>2854</x:v>
      </x:c>
      <x:c r="B2860" s="79" t="n">
        <x:v>0.28184749669839104</x:v>
      </x:c>
      <x:c r="C2860" s="46" t="n">
        <x:f>B2860^2</x:f>
        <x:v>0.07943801139514955</x:v>
      </x:c>
      <x:c r="D2860" s="47" t="n">
        <x:f>'Datos'!$B$26^3/3</x:f>
        <x:v>0.3333333333333333</x:v>
      </x:c>
      <x:c r="E2860" s="46" t="n">
        <x:f>D2860*(C2860-1)</x:f>
        <x:v>-0.3068539962016168</x:v>
      </x:c>
      <x:c r="F2860" s="2"/>
      <x:c r="G2860" s="2"/>
      <x:c r="H2860" s="2"/>
    </x:row>
    <x:row r="2861" ht="22" customHeight="1">
      <x:c r="A2861" s="2" t="n">
        <x:v>2855</x:v>
      </x:c>
      <x:c r="B2861" s="79" t="n">
        <x:v>-0.8409122080654827</x:v>
      </x:c>
      <x:c r="C2861" s="46" t="n">
        <x:f>B2861^2</x:f>
        <x:v>0.7071333416735657</x:v>
      </x:c>
      <x:c r="D2861" s="47" t="n">
        <x:f>'Datos'!$B$26^3/3</x:f>
        <x:v>0.3333333333333333</x:v>
      </x:c>
      <x:c r="E2861" s="46" t="n">
        <x:f>D2861*(C2861-1)</x:f>
        <x:v>-0.09762221944214478</x:v>
      </x:c>
      <x:c r="F2861" s="2"/>
      <x:c r="G2861" s="2"/>
      <x:c r="H2861" s="2"/>
    </x:row>
    <x:row r="2862" ht="22" customHeight="1">
      <x:c r="A2862" s="2" t="n">
        <x:v>2856</x:v>
      </x:c>
      <x:c r="B2862" s="79" t="n">
        <x:v>0.28392245905393637</x:v>
      </x:c>
      <x:c r="C2862" s="46" t="n">
        <x:f>B2862^2</x:f>
        <x:v>0.08061196275523418</x:v>
      </x:c>
      <x:c r="D2862" s="47" t="n">
        <x:f>'Datos'!$B$26^3/3</x:f>
        <x:v>0.3333333333333333</x:v>
      </x:c>
      <x:c r="E2862" s="46" t="n">
        <x:f>D2862*(C2862-1)</x:f>
        <x:v>-0.3064626790815886</x:v>
      </x:c>
      <x:c r="F2862" s="2"/>
      <x:c r="G2862" s="2"/>
      <x:c r="H2862" s="2"/>
    </x:row>
    <x:row r="2863" ht="22" customHeight="1">
      <x:c r="A2863" s="2" t="n">
        <x:v>2857</x:v>
      </x:c>
      <x:c r="B2863" s="79" t="n">
        <x:v>-0.1857497901205149</x:v>
      </x:c>
      <x:c r="C2863" s="46" t="n">
        <x:f>B2863^2</x:f>
        <x:v>0.03450298452981534</x:v>
      </x:c>
      <x:c r="D2863" s="47" t="n">
        <x:f>'Datos'!$B$26^3/3</x:f>
        <x:v>0.3333333333333333</x:v>
      </x:c>
      <x:c r="E2863" s="46" t="n">
        <x:f>D2863*(C2863-1)</x:f>
        <x:v>-0.32183233849006154</x:v>
      </x:c>
      <x:c r="F2863" s="2"/>
      <x:c r="G2863" s="2"/>
      <x:c r="H2863" s="2"/>
    </x:row>
    <x:row r="2864" ht="22" customHeight="1">
      <x:c r="A2864" s="2" t="n">
        <x:v>2858</x:v>
      </x:c>
      <x:c r="B2864" s="79" t="n">
        <x:v>0.8976269428461644</x:v>
      </x:c>
      <x:c r="C2864" s="46" t="n">
        <x:f>B2864^2</x:f>
        <x:v>0.8057341285233512</x:v>
      </x:c>
      <x:c r="D2864" s="47" t="n">
        <x:f>'Datos'!$B$26^3/3</x:f>
        <x:v>0.3333333333333333</x:v>
      </x:c>
      <x:c r="E2864" s="46" t="n">
        <x:f>D2864*(C2864-1)</x:f>
        <x:v>-0.06475529049221625</x:v>
      </x:c>
      <x:c r="F2864" s="2"/>
      <x:c r="G2864" s="2"/>
      <x:c r="H2864" s="2"/>
    </x:row>
    <x:row r="2865" ht="22" customHeight="1">
      <x:c r="A2865" s="2" t="n">
        <x:v>2859</x:v>
      </x:c>
      <x:c r="B2865" s="79" t="n">
        <x:v>0.6829369214497536</x:v>
      </x:c>
      <x:c r="C2865" s="46" t="n">
        <x:f>B2865^2</x:f>
        <x:v>0.4664028386792669</x:v>
      </x:c>
      <x:c r="D2865" s="47" t="n">
        <x:f>'Datos'!$B$26^3/3</x:f>
        <x:v>0.3333333333333333</x:v>
      </x:c>
      <x:c r="E2865" s="46" t="n">
        <x:f>D2865*(C2865-1)</x:f>
        <x:v>-0.17786572044024435</x:v>
      </x:c>
      <x:c r="F2865" s="2"/>
      <x:c r="G2865" s="2"/>
      <x:c r="H2865" s="2"/>
    </x:row>
    <x:row r="2866" ht="22" customHeight="1">
      <x:c r="A2866" s="2" t="n">
        <x:v>2860</x:v>
      </x:c>
      <x:c r="B2866" s="79" t="n">
        <x:v>0.9881300509407704</x:v>
      </x:c>
      <x:c r="C2866" s="46" t="n">
        <x:f>B2866^2</x:f>
        <x:v>0.9764009975722096</x:v>
      </x:c>
      <x:c r="D2866" s="47" t="n">
        <x:f>'Datos'!$B$26^3/3</x:f>
        <x:v>0.3333333333333333</x:v>
      </x:c>
      <x:c r="E2866" s="46" t="n">
        <x:f>D2866*(C2866-1)</x:f>
        <x:v>-0.007866334142596815</x:v>
      </x:c>
      <x:c r="F2866" s="2"/>
      <x:c r="G2866" s="2"/>
      <x:c r="H2866" s="2"/>
    </x:row>
    <x:row r="2867" ht="22" customHeight="1">
      <x:c r="A2867" s="2" t="n">
        <x:v>2861</x:v>
      </x:c>
      <x:c r="B2867" s="79" t="n">
        <x:v>1.4462423454576188</x:v>
      </x:c>
      <x:c r="C2867" s="46" t="n">
        <x:f>B2867^2</x:f>
        <x:v>2.0916169217947544</x:v>
      </x:c>
      <x:c r="D2867" s="47" t="n">
        <x:f>'Datos'!$B$26^3/3</x:f>
        <x:v>0.3333333333333333</x:v>
      </x:c>
      <x:c r="E2867" s="46" t="n">
        <x:f>D2867*(C2867-1)</x:f>
        <x:v>0.36387230726491815</x:v>
      </x:c>
      <x:c r="F2867" s="2"/>
      <x:c r="G2867" s="2"/>
      <x:c r="H2867" s="2"/>
    </x:row>
    <x:row r="2868" ht="22" customHeight="1">
      <x:c r="A2868" s="2" t="n">
        <x:v>2862</x:v>
      </x:c>
      <x:c r="B2868" s="79" t="n">
        <x:v>-0.38134690950500655</x:v>
      </x:c>
      <x:c r="C2868" s="46" t="n">
        <x:f>B2868^2</x:f>
        <x:v>0.14542546538901965</x:v>
      </x:c>
      <x:c r="D2868" s="47" t="n">
        <x:f>'Datos'!$B$26^3/3</x:f>
        <x:v>0.3333333333333333</x:v>
      </x:c>
      <x:c r="E2868" s="46" t="n">
        <x:f>D2868*(C2868-1)</x:f>
        <x:v>-0.2848581782036601</x:v>
      </x:c>
      <x:c r="F2868" s="2"/>
      <x:c r="G2868" s="2"/>
      <x:c r="H2868" s="2"/>
    </x:row>
    <x:row r="2869" ht="22" customHeight="1">
      <x:c r="A2869" s="2" t="n">
        <x:v>2863</x:v>
      </x:c>
      <x:c r="B2869" s="79" t="n">
        <x:v>-0.45544237655690434</x:v>
      </x:c>
      <x:c r="C2869" s="46" t="n">
        <x:f>B2869^2</x:f>
        <x:v>0.20742775836380103</x:v>
      </x:c>
      <x:c r="D2869" s="47" t="n">
        <x:f>'Datos'!$B$26^3/3</x:f>
        <x:v>0.3333333333333333</x:v>
      </x:c>
      <x:c r="E2869" s="46" t="n">
        <x:f>D2869*(C2869-1)</x:f>
        <x:v>-0.2641907472120663</x:v>
      </x:c>
      <x:c r="F2869" s="2"/>
      <x:c r="G2869" s="2"/>
      <x:c r="H2869" s="2"/>
    </x:row>
    <x:row r="2870" ht="22" customHeight="1">
      <x:c r="A2870" s="2" t="n">
        <x:v>2864</x:v>
      </x:c>
      <x:c r="B2870" s="79" t="n">
        <x:v>-2.4705029620027084</x:v>
      </x:c>
      <x:c r="C2870" s="46" t="n">
        <x:f>B2870^2</x:f>
        <x:v>6.1033848852641555</x:v>
      </x:c>
      <x:c r="D2870" s="47" t="n">
        <x:f>'Datos'!$B$26^3/3</x:f>
        <x:v>0.3333333333333333</x:v>
      </x:c>
      <x:c r="E2870" s="46" t="n">
        <x:f>D2870*(C2870-1)</x:f>
        <x:v>1.7011282950880517</x:v>
      </x:c>
      <x:c r="F2870" s="2"/>
      <x:c r="G2870" s="2"/>
      <x:c r="H2870" s="2"/>
    </x:row>
    <x:row r="2871" ht="22" customHeight="1">
      <x:c r="A2871" s="2" t="n">
        <x:v>2865</x:v>
      </x:c>
      <x:c r="B2871" s="79" t="n">
        <x:v>0.2260126405348973</x:v>
      </x:c>
      <x:c r="C2871" s="46" t="n">
        <x:f>B2871^2</x:f>
        <x:v>0.05108171368155671</x:v>
      </x:c>
      <x:c r="D2871" s="47" t="n">
        <x:f>'Datos'!$B$26^3/3</x:f>
        <x:v>0.3333333333333333</x:v>
      </x:c>
      <x:c r="E2871" s="46" t="n">
        <x:f>D2871*(C2871-1)</x:f>
        <x:v>-0.31630609543948107</x:v>
      </x:c>
      <x:c r="F2871" s="2"/>
      <x:c r="G2871" s="2"/>
      <x:c r="H2871" s="2"/>
    </x:row>
    <x:row r="2872" ht="22" customHeight="1">
      <x:c r="A2872" s="2" t="n">
        <x:v>2866</x:v>
      </x:c>
      <x:c r="B2872" s="79" t="n">
        <x:v>0.23756965610614375</x:v>
      </x:c>
      <x:c r="C2872" s="46" t="n">
        <x:f>B2872^2</x:f>
        <x:v>0.0564393415023914</x:v>
      </x:c>
      <x:c r="D2872" s="47" t="n">
        <x:f>'Datos'!$B$26^3/3</x:f>
        <x:v>0.3333333333333333</x:v>
      </x:c>
      <x:c r="E2872" s="46" t="n">
        <x:f>D2872*(C2872-1)</x:f>
        <x:v>-0.31452021949920284</x:v>
      </x:c>
      <x:c r="F2872" s="2"/>
      <x:c r="G2872" s="2"/>
      <x:c r="H2872" s="2"/>
    </x:row>
    <x:row r="2873" ht="22" customHeight="1">
      <x:c r="A2873" s="2" t="n">
        <x:v>2867</x:v>
      </x:c>
      <x:c r="B2873" s="79" t="n">
        <x:v>0.2818179957307915</x:v>
      </x:c>
      <x:c r="C2873" s="46" t="n">
        <x:f>B2873^2</x:f>
        <x:v>0.07942138271772044</x:v>
      </x:c>
      <x:c r="D2873" s="47" t="n">
        <x:f>'Datos'!$B$26^3/3</x:f>
        <x:v>0.3333333333333333</x:v>
      </x:c>
      <x:c r="E2873" s="46" t="n">
        <x:f>D2873*(C2873-1)</x:f>
        <x:v>-0.30685953909409314</x:v>
      </x:c>
      <x:c r="F2873" s="2"/>
      <x:c r="G2873" s="2"/>
      <x:c r="H2873" s="2"/>
    </x:row>
    <x:row r="2874" ht="22" customHeight="1">
      <x:c r="A2874" s="2" t="n">
        <x:v>2868</x:v>
      </x:c>
      <x:c r="B2874" s="79" t="n">
        <x:v>-0.999014981880328</x:v>
      </x:c>
      <x:c r="C2874" s="46" t="n">
        <x:f>B2874^2</x:f>
        <x:v>0.9980309340213521</x:v>
      </x:c>
      <x:c r="D2874" s="47" t="n">
        <x:f>'Datos'!$B$26^3/3</x:f>
        <x:v>0.3333333333333333</x:v>
      </x:c>
      <x:c r="E2874" s="46" t="n">
        <x:f>D2874*(C2874-1)</x:f>
        <x:v>-0.0006563553262159589</x:v>
      </x:c>
      <x:c r="F2874" s="2"/>
      <x:c r="G2874" s="2"/>
      <x:c r="H2874" s="2"/>
    </x:row>
    <x:row r="2875" ht="22" customHeight="1">
      <x:c r="A2875" s="2" t="n">
        <x:v>2869</x:v>
      </x:c>
      <x:c r="B2875" s="79" t="n">
        <x:v>-0.37956304348283293</x:v>
      </x:c>
      <x:c r="C2875" s="46" t="n">
        <x:f>B2875^2</x:f>
        <x:v>0.14406810397795092</x:v>
      </x:c>
      <x:c r="D2875" s="47" t="n">
        <x:f>'Datos'!$B$26^3/3</x:f>
        <x:v>0.3333333333333333</x:v>
      </x:c>
      <x:c r="E2875" s="46" t="n">
        <x:f>D2875*(C2875-1)</x:f>
        <x:v>-0.2853106320073497</x:v>
      </x:c>
      <x:c r="F2875" s="2"/>
      <x:c r="G2875" s="2"/>
      <x:c r="H2875" s="2"/>
    </x:row>
    <x:row r="2876" ht="22" customHeight="1">
      <x:c r="A2876" s="2" t="n">
        <x:v>2870</x:v>
      </x:c>
      <x:c r="B2876" s="79" t="n">
        <x:v>-0.09192791361994541</x:v>
      </x:c>
      <x:c r="C2876" s="46" t="n">
        <x:f>B2876^2</x:f>
        <x:v>0.008450741302516145</x:v>
      </x:c>
      <x:c r="D2876" s="47" t="n">
        <x:f>'Datos'!$B$26^3/3</x:f>
        <x:v>0.3333333333333333</x:v>
      </x:c>
      <x:c r="E2876" s="46" t="n">
        <x:f>D2876*(C2876-1)</x:f>
        <x:v>-0.33051641956582795</x:v>
      </x:c>
      <x:c r="F2876" s="2"/>
      <x:c r="G2876" s="2"/>
      <x:c r="H2876" s="2"/>
    </x:row>
    <x:row r="2877" ht="22" customHeight="1">
      <x:c r="A2877" s="2" t="n">
        <x:v>2871</x:v>
      </x:c>
      <x:c r="B2877" s="79" t="n">
        <x:v>1.6679503389998478</x:v>
      </x:c>
      <x:c r="C2877" s="46" t="n">
        <x:f>B2877^2</x:f>
        <x:v>2.782058333369707</x:v>
      </x:c>
      <x:c r="D2877" s="47" t="n">
        <x:f>'Datos'!$B$26^3/3</x:f>
        <x:v>0.3333333333333333</x:v>
      </x:c>
      <x:c r="E2877" s="46" t="n">
        <x:f>D2877*(C2877-1)</x:f>
        <x:v>0.594019444456569</x:v>
      </x:c>
      <x:c r="F2877" s="2"/>
      <x:c r="G2877" s="2"/>
      <x:c r="H2877" s="2"/>
    </x:row>
    <x:row r="2878" ht="22" customHeight="1">
      <x:c r="A2878" s="2" t="n">
        <x:v>2872</x:v>
      </x:c>
      <x:c r="B2878" s="79" t="n">
        <x:v>1.3632806944947495</x:v>
      </x:c>
      <x:c r="C2878" s="46" t="n">
        <x:f>B2878^2</x:f>
        <x:v>1.8585342519820867</x:v>
      </x:c>
      <x:c r="D2878" s="47" t="n">
        <x:f>'Datos'!$B$26^3/3</x:f>
        <x:v>0.3333333333333333</x:v>
      </x:c>
      <x:c r="E2878" s="46" t="n">
        <x:f>D2878*(C2878-1)</x:f>
        <x:v>0.2861780839940289</x:v>
      </x:c>
      <x:c r="F2878" s="2"/>
      <x:c r="G2878" s="2"/>
      <x:c r="H2878" s="2"/>
    </x:row>
    <x:row r="2879" ht="22" customHeight="1">
      <x:c r="A2879" s="2" t="n">
        <x:v>2873</x:v>
      </x:c>
      <x:c r="B2879" s="79" t="n">
        <x:v>-0.2665368474291853</x:v>
      </x:c>
      <x:c r="C2879" s="46" t="n">
        <x:f>B2879^2</x:f>
        <x:v>0.07104189103748881</x:v>
      </x:c>
      <x:c r="D2879" s="47" t="n">
        <x:f>'Datos'!$B$26^3/3</x:f>
        <x:v>0.3333333333333333</x:v>
      </x:c>
      <x:c r="E2879" s="46" t="n">
        <x:f>D2879*(C2879-1)</x:f>
        <x:v>-0.3096527029875037</x:v>
      </x:c>
      <x:c r="F2879" s="2"/>
      <x:c r="G2879" s="2"/>
      <x:c r="H2879" s="2"/>
    </x:row>
    <x:row r="2880" ht="22" customHeight="1">
      <x:c r="A2880" s="2" t="n">
        <x:v>2874</x:v>
      </x:c>
      <x:c r="B2880" s="79" t="n">
        <x:v>-1.2677253706304314</x:v>
      </x:c>
      <x:c r="C2880" s="46" t="n">
        <x:f>B2880^2</x:f>
        <x:v>1.6071276153400649</x:v>
      </x:c>
      <x:c r="D2880" s="47" t="n">
        <x:f>'Datos'!$B$26^3/3</x:f>
        <x:v>0.3333333333333333</x:v>
      </x:c>
      <x:c r="E2880" s="46" t="n">
        <x:f>D2880*(C2880-1)</x:f>
        <x:v>0.20237587178002162</x:v>
      </x:c>
      <x:c r="F2880" s="2"/>
      <x:c r="G2880" s="2"/>
      <x:c r="H2880" s="2"/>
    </x:row>
    <x:row r="2881" ht="22" customHeight="1">
      <x:c r="A2881" s="2" t="n">
        <x:v>2875</x:v>
      </x:c>
      <x:c r="B2881" s="79" t="n">
        <x:v>0.31557574789158854</x:v>
      </x:c>
      <x:c r="C2881" s="46" t="n">
        <x:f>B2881^2</x:f>
        <x:v>0.09958805265733545</x:v>
      </x:c>
      <x:c r="D2881" s="47" t="n">
        <x:f>'Datos'!$B$26^3/3</x:f>
        <x:v>0.3333333333333333</x:v>
      </x:c>
      <x:c r="E2881" s="46" t="n">
        <x:f>D2881*(C2881-1)</x:f>
        <x:v>-0.3001373157808882</x:v>
      </x:c>
      <x:c r="F2881" s="2"/>
      <x:c r="G2881" s="2"/>
      <x:c r="H2881" s="2"/>
    </x:row>
    <x:row r="2882" ht="22" customHeight="1">
      <x:c r="A2882" s="2" t="n">
        <x:v>2876</x:v>
      </x:c>
      <x:c r="B2882" s="79" t="n">
        <x:v>0.7144452131231568</x:v>
      </x:c>
      <x:c r="C2882" s="46" t="n">
        <x:f>B2882^2</x:f>
        <x:v>0.5104319625545929</x:v>
      </x:c>
      <x:c r="D2882" s="47" t="n">
        <x:f>'Datos'!$B$26^3/3</x:f>
        <x:v>0.3333333333333333</x:v>
      </x:c>
      <x:c r="E2882" s="46" t="n">
        <x:f>D2882*(C2882-1)</x:f>
        <x:v>-0.1631893458151357</x:v>
      </x:c>
      <x:c r="F2882" s="2"/>
      <x:c r="G2882" s="2"/>
      <x:c r="H2882" s="2"/>
    </x:row>
    <x:row r="2883" ht="22" customHeight="1">
      <x:c r="A2883" s="2" t="n">
        <x:v>2877</x:v>
      </x:c>
      <x:c r="B2883" s="79" t="n">
        <x:v>1.067606353597912</x:v>
      </x:c>
      <x:c r="C2883" s="46" t="n">
        <x:f>B2883^2</x:f>
        <x:v>1.1397833262426298</x:v>
      </x:c>
      <x:c r="D2883" s="47" t="n">
        <x:f>'Datos'!$B$26^3/3</x:f>
        <x:v>0.3333333333333333</x:v>
      </x:c>
      <x:c r="E2883" s="46" t="n">
        <x:f>D2883*(C2883-1)</x:f>
        <x:v>0.0465944420808766</x:v>
      </x:c>
      <x:c r="F2883" s="2"/>
      <x:c r="G2883" s="2"/>
      <x:c r="H2883" s="2"/>
    </x:row>
    <x:row r="2884" ht="22" customHeight="1">
      <x:c r="A2884" s="2" t="n">
        <x:v>2878</x:v>
      </x:c>
      <x:c r="B2884" s="79" t="n">
        <x:v>-0.6920683248314343</x:v>
      </x:c>
      <x:c r="C2884" s="46" t="n">
        <x:f>B2884^2</x:f>
        <x:v>0.47895856623498767</x:v>
      </x:c>
      <x:c r="D2884" s="47" t="n">
        <x:f>'Datos'!$B$26^3/3</x:f>
        <x:v>0.3333333333333333</x:v>
      </x:c>
      <x:c r="E2884" s="46" t="n">
        <x:f>D2884*(C2884-1)</x:f>
        <x:v>-0.17368047792167077</x:v>
      </x:c>
      <x:c r="F2884" s="2"/>
      <x:c r="G2884" s="2"/>
      <x:c r="H2884" s="2"/>
    </x:row>
    <x:row r="2885" ht="22" customHeight="1">
      <x:c r="A2885" s="2" t="n">
        <x:v>2879</x:v>
      </x:c>
      <x:c r="B2885" s="79" t="n">
        <x:v>0.674355808423512</x:v>
      </x:c>
      <x:c r="C2885" s="46" t="n">
        <x:f>B2885^2</x:f>
        <x:v>0.45475575635452836</x:v>
      </x:c>
      <x:c r="D2885" s="47" t="n">
        <x:f>'Datos'!$B$26^3/3</x:f>
        <x:v>0.3333333333333333</x:v>
      </x:c>
      <x:c r="E2885" s="46" t="n">
        <x:f>D2885*(C2885-1)</x:f>
        <x:v>-0.1817480812151572</x:v>
      </x:c>
      <x:c r="F2885" s="2"/>
      <x:c r="G2885" s="2"/>
      <x:c r="H2885" s="2"/>
    </x:row>
    <x:row r="2886" ht="22" customHeight="1">
      <x:c r="A2886" s="2" t="n">
        <x:v>2880</x:v>
      </x:c>
      <x:c r="B2886" s="79" t="n">
        <x:v>0.21574289446476838</x:v>
      </x:c>
      <x:c r="C2886" s="46" t="n">
        <x:f>B2886^2</x:f>
        <x:v>0.04654499651203619</x:v>
      </x:c>
      <x:c r="D2886" s="47" t="n">
        <x:f>'Datos'!$B$26^3/3</x:f>
        <x:v>0.3333333333333333</x:v>
      </x:c>
      <x:c r="E2886" s="46" t="n">
        <x:f>D2886*(C2886-1)</x:f>
        <x:v>-0.31781833449598795</x:v>
      </x:c>
      <x:c r="F2886" s="2"/>
      <x:c r="G2886" s="2"/>
      <x:c r="H2886" s="2"/>
    </x:row>
    <x:row r="2887" ht="22" customHeight="1">
      <x:c r="A2887" s="2" t="n">
        <x:v>2881</x:v>
      </x:c>
      <x:c r="B2887" s="79" t="n">
        <x:v>-0.7824865219124721</x:v>
      </x:c>
      <x:c r="C2887" s="46" t="n">
        <x:f>B2887^2</x:f>
        <x:v>0.6122851569746778</x:v>
      </x:c>
      <x:c r="D2887" s="47" t="n">
        <x:f>'Datos'!$B$26^3/3</x:f>
        <x:v>0.3333333333333333</x:v>
      </x:c>
      <x:c r="E2887" s="46" t="n">
        <x:f>D2887*(C2887-1)</x:f>
        <x:v>-0.12923828100844073</x:v>
      </x:c>
      <x:c r="F2887" s="2"/>
      <x:c r="G2887" s="2"/>
      <x:c r="H2887" s="2"/>
    </x:row>
    <x:row r="2888" ht="22" customHeight="1">
      <x:c r="A2888" s="2" t="n">
        <x:v>2882</x:v>
      </x:c>
      <x:c r="B2888" s="79" t="n">
        <x:v>1.4490398597488239</x:v>
      </x:c>
      <x:c r="C2888" s="46" t="n">
        <x:f>B2888^2</x:f>
        <x:v>2.099716515140891</x:v>
      </x:c>
      <x:c r="D2888" s="47" t="n">
        <x:f>'Datos'!$B$26^3/3</x:f>
        <x:v>0.3333333333333333</x:v>
      </x:c>
      <x:c r="E2888" s="46" t="n">
        <x:f>D2888*(C2888-1)</x:f>
        <x:v>0.3665721717136304</x:v>
      </x:c>
      <x:c r="F2888" s="2"/>
      <x:c r="G2888" s="2"/>
      <x:c r="H2888" s="2"/>
    </x:row>
    <x:row r="2889" ht="22" customHeight="1">
      <x:c r="A2889" s="2" t="n">
        <x:v>2883</x:v>
      </x:c>
      <x:c r="B2889" s="79" t="n">
        <x:v>0.2111750067517434</x:v>
      </x:c>
      <x:c r="C2889" s="46" t="n">
        <x:f>B2889^2</x:f>
        <x:v>0.044594883476598866</x:v>
      </x:c>
      <x:c r="D2889" s="47" t="n">
        <x:f>'Datos'!$B$26^3/3</x:f>
        <x:v>0.3333333333333333</x:v>
      </x:c>
      <x:c r="E2889" s="46" t="n">
        <x:f>D2889*(C2889-1)</x:f>
        <x:v>-0.318468372174467</x:v>
      </x:c>
      <x:c r="F2889" s="2"/>
      <x:c r="G2889" s="2"/>
      <x:c r="H2889" s="2"/>
    </x:row>
    <x:row r="2890" ht="22" customHeight="1">
      <x:c r="A2890" s="2" t="n">
        <x:v>2884</x:v>
      </x:c>
      <x:c r="B2890" s="79" t="n">
        <x:v>-0.22313512605925703</x:v>
      </x:c>
      <x:c r="C2890" s="46" t="n">
        <x:f>B2890^2</x:f>
        <x:v>0.049789284481480525</x:v>
      </x:c>
      <x:c r="D2890" s="47" t="n">
        <x:f>'Datos'!$B$26^3/3</x:f>
        <x:v>0.3333333333333333</x:v>
      </x:c>
      <x:c r="E2890" s="46" t="n">
        <x:f>D2890*(C2890-1)</x:f>
        <x:v>-0.3167369051728398</x:v>
      </x:c>
      <x:c r="F2890" s="2"/>
      <x:c r="G2890" s="2"/>
      <x:c r="H2890" s="2"/>
    </x:row>
    <x:row r="2891" ht="22" customHeight="1">
      <x:c r="A2891" s="2" t="n">
        <x:v>2885</x:v>
      </x:c>
      <x:c r="B2891" s="79" t="n">
        <x:v>-1.035500611782541</x:v>
      </x:c>
      <x:c r="C2891" s="46" t="n">
        <x:f>B2891^2</x:f>
        <x:v>1.0722615170020167</x:v>
      </x:c>
      <x:c r="D2891" s="47" t="n">
        <x:f>'Datos'!$B$26^3/3</x:f>
        <x:v>0.3333333333333333</x:v>
      </x:c>
      <x:c r="E2891" s="46" t="n">
        <x:f>D2891*(C2891-1)</x:f>
        <x:v>0.024087172334005553</x:v>
      </x:c>
      <x:c r="F2891" s="2"/>
      <x:c r="G2891" s="2"/>
      <x:c r="H2891" s="2"/>
    </x:row>
    <x:row r="2892" ht="22" customHeight="1">
      <x:c r="A2892" s="2" t="n">
        <x:v>2886</x:v>
      </x:c>
      <x:c r="B2892" s="79" t="n">
        <x:v>-1.4490315597083772</x:v>
      </x:c>
      <x:c r="C2892" s="46" t="n">
        <x:f>B2892^2</x:f>
        <x:v>2.0996924610308922</x:v>
      </x:c>
      <x:c r="D2892" s="47" t="n">
        <x:f>'Datos'!$B$26^3/3</x:f>
        <x:v>0.3333333333333333</x:v>
      </x:c>
      <x:c r="E2892" s="46" t="n">
        <x:f>D2892*(C2892-1)</x:f>
        <x:v>0.36656415367696404</x:v>
      </x:c>
      <x:c r="F2892" s="2"/>
      <x:c r="G2892" s="2"/>
      <x:c r="H2892" s="2"/>
    </x:row>
    <x:row r="2893" ht="22" customHeight="1">
      <x:c r="A2893" s="2" t="n">
        <x:v>2887</x:v>
      </x:c>
      <x:c r="B2893" s="79" t="n">
        <x:v>-0.13063335960197142</x:v>
      </x:c>
      <x:c r="C2893" s="46" t="n">
        <x:f>B2893^2</x:f>
        <x:v>0.01706507464089798</x:v>
      </x:c>
      <x:c r="D2893" s="47" t="n">
        <x:f>'Datos'!$B$26^3/3</x:f>
        <x:v>0.3333333333333333</x:v>
      </x:c>
      <x:c r="E2893" s="46" t="n">
        <x:f>D2893*(C2893-1)</x:f>
        <x:v>-0.32764497511970064</x:v>
      </x:c>
      <x:c r="F2893" s="2"/>
      <x:c r="G2893" s="2"/>
      <x:c r="H2893" s="2"/>
    </x:row>
    <x:row r="2894" ht="22" customHeight="1">
      <x:c r="A2894" s="2" t="n">
        <x:v>2888</x:v>
      </x:c>
      <x:c r="B2894" s="79" t="n">
        <x:v>-0.514022109324754</x:v>
      </x:c>
      <x:c r="C2894" s="46" t="n">
        <x:f>B2894^2</x:f>
        <x:v>0.26421872887466935</x:v>
      </x:c>
      <x:c r="D2894" s="47" t="n">
        <x:f>'Datos'!$B$26^3/3</x:f>
        <x:v>0.3333333333333333</x:v>
      </x:c>
      <x:c r="E2894" s="46" t="n">
        <x:f>D2894*(C2894-1)</x:f>
        <x:v>-0.24526042370844353</x:v>
      </x:c>
      <x:c r="F2894" s="2"/>
      <x:c r="G2894" s="2"/>
      <x:c r="H2894" s="2"/>
    </x:row>
    <x:row r="2895" ht="22" customHeight="1">
      <x:c r="A2895" s="2" t="n">
        <x:v>2889</x:v>
      </x:c>
      <x:c r="B2895" s="79" t="n">
        <x:v>0.9406059720527334</x:v>
      </x:c>
      <x:c r="C2895" s="46" t="n">
        <x:f>B2895^2</x:f>
        <x:v>0.8847395946612676</x:v>
      </x:c>
      <x:c r="D2895" s="47" t="n">
        <x:f>'Datos'!$B$26^3/3</x:f>
        <x:v>0.3333333333333333</x:v>
      </x:c>
      <x:c r="E2895" s="46" t="n">
        <x:f>D2895*(C2895-1)</x:f>
        <x:v>-0.03842013511291079</x:v>
      </x:c>
      <x:c r="F2895" s="2"/>
      <x:c r="G2895" s="2"/>
      <x:c r="H2895" s="2"/>
    </x:row>
    <x:row r="2896" ht="22" customHeight="1">
      <x:c r="A2896" s="2" t="n">
        <x:v>2890</x:v>
      </x:c>
      <x:c r="B2896" s="79" t="n">
        <x:v>-0.7644640038398308</x:v>
      </x:c>
      <x:c r="C2896" s="46" t="n">
        <x:f>B2896^2</x:f>
        <x:v>0.5844052131668249</x:v>
      </x:c>
      <x:c r="D2896" s="47" t="n">
        <x:f>'Datos'!$B$26^3/3</x:f>
        <x:v>0.3333333333333333</x:v>
      </x:c>
      <x:c r="E2896" s="46" t="n">
        <x:f>D2896*(C2896-1)</x:f>
        <x:v>-0.13853159561105835</x:v>
      </x:c>
      <x:c r="F2896" s="2"/>
      <x:c r="G2896" s="2"/>
      <x:c r="H2896" s="2"/>
    </x:row>
    <x:row r="2897" ht="22" customHeight="1">
      <x:c r="A2897" s="2" t="n">
        <x:v>2891</x:v>
      </x:c>
      <x:c r="B2897" s="79" t="n">
        <x:v>0.33855505584787926</x:v>
      </x:c>
      <x:c r="C2897" s="46" t="n">
        <x:f>B2897^2</x:f>
        <x:v>0.11461952584016065</x:v>
      </x:c>
      <x:c r="D2897" s="47" t="n">
        <x:f>'Datos'!$B$26^3/3</x:f>
        <x:v>0.3333333333333333</x:v>
      </x:c>
      <x:c r="E2897" s="46" t="n">
        <x:f>D2897*(C2897-1)</x:f>
        <x:v>-0.29512682471994645</x:v>
      </x:c>
      <x:c r="F2897" s="2"/>
      <x:c r="G2897" s="2"/>
      <x:c r="H2897" s="2"/>
    </x:row>
    <x:row r="2898" ht="22" customHeight="1">
      <x:c r="A2898" s="2" t="n">
        <x:v>2892</x:v>
      </x:c>
      <x:c r="B2898" s="79" t="n">
        <x:v>-1.3924359192070042</x:v>
      </x:c>
      <x:c r="C2898" s="46" t="n">
        <x:f>B2898^2</x:f>
        <x:v>1.9388777890978546</x:v>
      </x:c>
      <x:c r="D2898" s="47" t="n">
        <x:f>'Datos'!$B$26^3/3</x:f>
        <x:v>0.3333333333333333</x:v>
      </x:c>
      <x:c r="E2898" s="46" t="n">
        <x:f>D2898*(C2898-1)</x:f>
        <x:v>0.3129592630326182</x:v>
      </x:c>
      <x:c r="F2898" s="2"/>
      <x:c r="G2898" s="2"/>
      <x:c r="H2898" s="2"/>
    </x:row>
    <x:row r="2899" ht="22" customHeight="1">
      <x:c r="A2899" s="2" t="n">
        <x:v>2893</x:v>
      </x:c>
      <x:c r="B2899" s="79" t="n">
        <x:v>-1.3367550877608774</x:v>
      </x:c>
      <x:c r="C2899" s="46" t="n">
        <x:f>B2899^2</x:f>
        <x:v>1.786914164654591</x:v>
      </x:c>
      <x:c r="D2899" s="47" t="n">
        <x:f>'Datos'!$B$26^3/3</x:f>
        <x:v>0.3333333333333333</x:v>
      </x:c>
      <x:c r="E2899" s="46" t="n">
        <x:f>D2899*(C2899-1)</x:f>
        <x:v>0.2623047215515303</x:v>
      </x:c>
      <x:c r="F2899" s="2"/>
      <x:c r="G2899" s="2"/>
      <x:c r="H2899" s="2"/>
    </x:row>
    <x:row r="2900" ht="22" customHeight="1">
      <x:c r="A2900" s="2" t="n">
        <x:v>2894</x:v>
      </x:c>
      <x:c r="B2900" s="79" t="n">
        <x:v>-0.9722561663395858</x:v>
      </x:c>
      <x:c r="C2900" s="46" t="n">
        <x:f>B2900^2</x:f>
        <x:v>0.9452820529853483</x:v>
      </x:c>
      <x:c r="D2900" s="47" t="n">
        <x:f>'Datos'!$B$26^3/3</x:f>
        <x:v>0.3333333333333333</x:v>
      </x:c>
      <x:c r="E2900" s="46" t="n">
        <x:f>D2900*(C2900-1)</x:f>
        <x:v>-0.01823931567155057</x:v>
      </x:c>
      <x:c r="F2900" s="2"/>
      <x:c r="G2900" s="2"/>
      <x:c r="H2900" s="2"/>
    </x:row>
    <x:row r="2901" ht="22" customHeight="1">
      <x:c r="A2901" s="2" t="n">
        <x:v>2895</x:v>
      </x:c>
      <x:c r="B2901" s="79" t="n">
        <x:v>-1.8193550558531424</x:v>
      </x:c>
      <x:c r="C2901" s="46" t="n">
        <x:f>B2901^2</x:f>
        <x:v>3.3100528192583907</x:v>
      </x:c>
      <x:c r="D2901" s="47" t="n">
        <x:f>'Datos'!$B$26^3/3</x:f>
        <x:v>0.3333333333333333</x:v>
      </x:c>
      <x:c r="E2901" s="46" t="n">
        <x:f>D2901*(C2901-1)</x:f>
        <x:v>0.7700176064194635</x:v>
      </x:c>
      <x:c r="F2901" s="2"/>
      <x:c r="G2901" s="2"/>
      <x:c r="H2901" s="2"/>
    </x:row>
    <x:row r="2902" ht="22" customHeight="1">
      <x:c r="A2902" s="2" t="n">
        <x:v>2896</x:v>
      </x:c>
      <x:c r="B2902" s="79" t="n">
        <x:v>-0.19346141018827584</x:v>
      </x:c>
      <x:c r="C2902" s="46" t="n">
        <x:f>B2902^2</x:f>
        <x:v>0.03742731723203632</x:v>
      </x:c>
      <x:c r="D2902" s="47" t="n">
        <x:f>'Datos'!$B$26^3/3</x:f>
        <x:v>0.3333333333333333</x:v>
      </x:c>
      <x:c r="E2902" s="46" t="n">
        <x:f>D2902*(C2902-1)</x:f>
        <x:v>-0.32085756092265455</x:v>
      </x:c>
      <x:c r="F2902" s="2"/>
      <x:c r="G2902" s="2"/>
      <x:c r="H2902" s="2"/>
    </x:row>
    <x:row r="2903" ht="22" customHeight="1">
      <x:c r="A2903" s="2" t="n">
        <x:v>2897</x:v>
      </x:c>
      <x:c r="B2903" s="79" t="n">
        <x:v>0.1562094311306155</x:v>
      </x:c>
      <x:c r="C2903" s="46" t="n">
        <x:f>B2903^2</x:f>
        <x:v>0.024401386374150506</x:v>
      </x:c>
      <x:c r="D2903" s="47" t="n">
        <x:f>'Datos'!$B$26^3/3</x:f>
        <x:v>0.3333333333333333</x:v>
      </x:c>
      <x:c r="E2903" s="46" t="n">
        <x:f>D2903*(C2903-1)</x:f>
        <x:v>-0.32519953787528316</x:v>
      </x:c>
      <x:c r="F2903" s="2"/>
      <x:c r="G2903" s="2"/>
      <x:c r="H2903" s="2"/>
    </x:row>
    <x:row r="2904" ht="22" customHeight="1">
      <x:c r="A2904" s="2" t="n">
        <x:v>2898</x:v>
      </x:c>
      <x:c r="B2904" s="79" t="n">
        <x:v>-1.1833566840462812</x:v>
      </x:c>
      <x:c r="C2904" s="46" t="n">
        <x:f>B2904^2</x:f>
        <x:v>1.4003330416770103</x:v>
      </x:c>
      <x:c r="D2904" s="47" t="n">
        <x:f>'Datos'!$B$26^3/3</x:f>
        <x:v>0.3333333333333333</x:v>
      </x:c>
      <x:c r="E2904" s="46" t="n">
        <x:f>D2904*(C2904-1)</x:f>
        <x:v>0.1334443472256701</x:v>
      </x:c>
      <x:c r="F2904" s="2"/>
      <x:c r="G2904" s="2"/>
      <x:c r="H2904" s="2"/>
    </x:row>
    <x:row r="2905" ht="22" customHeight="1">
      <x:c r="A2905" s="2" t="n">
        <x:v>2899</x:v>
      </x:c>
      <x:c r="B2905" s="79" t="n">
        <x:v>-0.7716016386250819</x:v>
      </x:c>
      <x:c r="C2905" s="46" t="n">
        <x:f>B2905^2</x:f>
        <x:v>0.5953690887289115</x:v>
      </x:c>
      <x:c r="D2905" s="47" t="n">
        <x:f>'Datos'!$B$26^3/3</x:f>
        <x:v>0.3333333333333333</x:v>
      </x:c>
      <x:c r="E2905" s="46" t="n">
        <x:f>D2905*(C2905-1)</x:f>
        <x:v>-0.13487697042369617</x:v>
      </x:c>
      <x:c r="F2905" s="2"/>
      <x:c r="G2905" s="2"/>
      <x:c r="H2905" s="2"/>
    </x:row>
    <x:row r="2906" ht="22" customHeight="1">
      <x:c r="A2906" s="2" t="n">
        <x:v>2900</x:v>
      </x:c>
      <x:c r="B2906" s="79" t="n">
        <x:v>-1.9155018171524107</x:v>
      </x:c>
      <x:c r="C2906" s="46" t="n">
        <x:f>B2906^2</x:f>
        <x:v>3.6691472115141877</x:v>
      </x:c>
      <x:c r="D2906" s="47" t="n">
        <x:f>'Datos'!$B$26^3/3</x:f>
        <x:v>0.3333333333333333</x:v>
      </x:c>
      <x:c r="E2906" s="46" t="n">
        <x:f>D2906*(C2906-1)</x:f>
        <x:v>0.8897157371713958</x:v>
      </x:c>
      <x:c r="F2906" s="2"/>
      <x:c r="G2906" s="2"/>
      <x:c r="H2906" s="2"/>
    </x:row>
    <x:row r="2907" ht="22" customHeight="1">
      <x:c r="A2907" s="2" t="n">
        <x:v>2901</x:v>
      </x:c>
      <x:c r="B2907" s="79" t="n">
        <x:v>-0.17394842389156678</x:v>
      </x:c>
      <x:c r="C2907" s="46" t="n">
        <x:f>B2907^2</x:f>
        <x:v>0.030258054174360203</x:v>
      </x:c>
      <x:c r="D2907" s="47" t="n">
        <x:f>'Datos'!$B$26^3/3</x:f>
        <x:v>0.3333333333333333</x:v>
      </x:c>
      <x:c r="E2907" s="46" t="n">
        <x:f>D2907*(C2907-1)</x:f>
        <x:v>-0.3232473152752132</x:v>
      </x:c>
      <x:c r="F2907" s="2"/>
      <x:c r="G2907" s="2"/>
      <x:c r="H2907" s="2"/>
    </x:row>
    <x:row r="2908" ht="22" customHeight="1">
      <x:c r="A2908" s="2" t="n">
        <x:v>2902</x:v>
      </x:c>
      <x:c r="B2908" s="79" t="n">
        <x:v>1.4698954424610629</x:v>
      </x:c>
      <x:c r="C2908" s="46" t="n">
        <x:f>B2908^2</x:f>
        <x:v>2.160592611767804</x:v>
      </x:c>
      <x:c r="D2908" s="47" t="n">
        <x:f>'Datos'!$B$26^3/3</x:f>
        <x:v>0.3333333333333333</x:v>
      </x:c>
      <x:c r="E2908" s="46" t="n">
        <x:f>D2908*(C2908-1)</x:f>
        <x:v>0.38686420392260124</x:v>
      </x:c>
      <x:c r="F2908" s="2"/>
      <x:c r="G2908" s="2"/>
      <x:c r="H2908" s="2"/>
    </x:row>
    <x:row r="2909" ht="22" customHeight="1">
      <x:c r="A2909" s="2" t="n">
        <x:v>2903</x:v>
      </x:c>
      <x:c r="B2909" s="79" t="n">
        <x:v>-0.9440281864302247</x:v>
      </x:c>
      <x:c r="C2909" s="46" t="n">
        <x:f>B2909^2</x:f>
        <x:v>0.8911892167747391</x:v>
      </x:c>
      <x:c r="D2909" s="47" t="n">
        <x:f>'Datos'!$B$26^3/3</x:f>
        <x:v>0.3333333333333333</x:v>
      </x:c>
      <x:c r="E2909" s="46" t="n">
        <x:f>D2909*(C2909-1)</x:f>
        <x:v>-0.036270261075086976</x:v>
      </x:c>
      <x:c r="F2909" s="2"/>
      <x:c r="G2909" s="2"/>
      <x:c r="H2909" s="2"/>
    </x:row>
    <x:row r="2910" ht="22" customHeight="1">
      <x:c r="A2910" s="2" t="n">
        <x:v>2904</x:v>
      </x:c>
      <x:c r="B2910" s="79" t="n">
        <x:v>-2.2332853998015203</x:v>
      </x:c>
      <x:c r="C2910" s="46" t="n">
        <x:f>B2910^2</x:f>
        <x:v>4.987563676966636</x:v>
      </x:c>
      <x:c r="D2910" s="47" t="n">
        <x:f>'Datos'!$B$26^3/3</x:f>
        <x:v>0.3333333333333333</x:v>
      </x:c>
      <x:c r="E2910" s="46" t="n">
        <x:f>D2910*(C2910-1)</x:f>
        <x:v>1.329187892322212</x:v>
      </x:c>
      <x:c r="F2910" s="2"/>
      <x:c r="G2910" s="2"/>
      <x:c r="H2910" s="2"/>
    </x:row>
    <x:row r="2911" ht="22" customHeight="1">
      <x:c r="A2911" s="2" t="n">
        <x:v>2905</x:v>
      </x:c>
      <x:c r="B2911" s="79" t="n">
        <x:v>1.4094375910494206</x:v>
      </x:c>
      <x:c r="C2911" s="46" t="n">
        <x:f>B2911^2</x:f>
        <x:v>1.9865143230631936</x:v>
      </x:c>
      <x:c r="D2911" s="47" t="n">
        <x:f>'Datos'!$B$26^3/3</x:f>
        <x:v>0.3333333333333333</x:v>
      </x:c>
      <x:c r="E2911" s="46" t="n">
        <x:f>D2911*(C2911-1)</x:f>
        <x:v>0.3288381076877312</x:v>
      </x:c>
      <x:c r="F2911" s="2"/>
      <x:c r="G2911" s="2"/>
      <x:c r="H2911" s="2"/>
    </x:row>
    <x:row r="2912" ht="22" customHeight="1">
      <x:c r="A2912" s="2" t="n">
        <x:v>2906</x:v>
      </x:c>
      <x:c r="B2912" s="79" t="n">
        <x:v>-0.25388517131988003</x:v>
      </x:c>
      <x:c r="C2912" s="46" t="n">
        <x:f>B2912^2</x:f>
        <x:v>0.06445768021612483</x:v>
      </x:c>
      <x:c r="D2912" s="47" t="n">
        <x:f>'Datos'!$B$26^3/3</x:f>
        <x:v>0.3333333333333333</x:v>
      </x:c>
      <x:c r="E2912" s="46" t="n">
        <x:f>D2912*(C2912-1)</x:f>
        <x:v>-0.3118474399279584</x:v>
      </x:c>
      <x:c r="F2912" s="2"/>
      <x:c r="G2912" s="2"/>
      <x:c r="H2912" s="2"/>
    </x:row>
    <x:row r="2913" ht="22" customHeight="1">
      <x:c r="A2913" s="2" t="n">
        <x:v>2907</x:v>
      </x:c>
      <x:c r="B2913" s="79" t="n">
        <x:v>0.6018824901765009</x:v>
      </x:c>
      <x:c r="C2913" s="46" t="n">
        <x:f>B2913^2</x:f>
        <x:v>0.36226253198106567</x:v>
      </x:c>
      <x:c r="D2913" s="47" t="n">
        <x:f>'Datos'!$B$26^3/3</x:f>
        <x:v>0.3333333333333333</x:v>
      </x:c>
      <x:c r="E2913" s="46" t="n">
        <x:f>D2913*(C2913-1)</x:f>
        <x:v>-0.21257915600631141</x:v>
      </x:c>
      <x:c r="F2913" s="2"/>
      <x:c r="G2913" s="2"/>
      <x:c r="H2913" s="2"/>
    </x:row>
    <x:row r="2914" ht="22" customHeight="1">
      <x:c r="A2914" s="2" t="n">
        <x:v>2908</x:v>
      </x:c>
      <x:c r="B2914" s="79" t="n">
        <x:v>-0.41785720922526476</x:v>
      </x:c>
      <x:c r="C2914" s="46" t="n">
        <x:f>B2914^2</x:f>
        <x:v>0.1746046473015267</x:v>
      </x:c>
      <x:c r="D2914" s="47" t="n">
        <x:f>'Datos'!$B$26^3/3</x:f>
        <x:v>0.3333333333333333</x:v>
      </x:c>
      <x:c r="E2914" s="46" t="n">
        <x:f>D2914*(C2914-1)</x:f>
        <x:v>-0.2751317842328244</x:v>
      </x:c>
      <x:c r="F2914" s="2"/>
      <x:c r="G2914" s="2"/>
      <x:c r="H2914" s="2"/>
    </x:row>
    <x:row r="2915" ht="22" customHeight="1">
      <x:c r="A2915" s="2" t="n">
        <x:v>2909</x:v>
      </x:c>
      <x:c r="B2915" s="79" t="n">
        <x:v>0.16482230834495773</x:v>
      </x:c>
      <x:c r="C2915" s="46" t="n">
        <x:f>B2915^2</x:f>
        <x:v>0.027166393328160322</x:v>
      </x:c>
      <x:c r="D2915" s="47" t="n">
        <x:f>'Datos'!$B$26^3/3</x:f>
        <x:v>0.3333333333333333</x:v>
      </x:c>
      <x:c r="E2915" s="46" t="n">
        <x:f>D2915*(C2915-1)</x:f>
        <x:v>-0.3242778688906132</x:v>
      </x:c>
      <x:c r="F2915" s="2"/>
      <x:c r="G2915" s="2"/>
      <x:c r="H2915" s="2"/>
    </x:row>
    <x:row r="2916" ht="22" customHeight="1">
      <x:c r="A2916" s="2" t="n">
        <x:v>2910</x:v>
      </x:c>
      <x:c r="B2916" s="79" t="n">
        <x:v>0.07107965645409765</x:v>
      </x:c>
      <x:c r="C2916" s="46" t="n">
        <x:f>B2916^2</x:f>
        <x:v>0.005052317561632546</x:v>
      </x:c>
      <x:c r="D2916" s="47" t="n">
        <x:f>'Datos'!$B$26^3/3</x:f>
        <x:v>0.3333333333333333</x:v>
      </x:c>
      <x:c r="E2916" s="46" t="n">
        <x:f>D2916*(C2916-1)</x:f>
        <x:v>-0.3316492274794558</x:v>
      </x:c>
      <x:c r="F2916" s="2"/>
      <x:c r="G2916" s="2"/>
      <x:c r="H2916" s="2"/>
    </x:row>
    <x:row r="2917" ht="22" customHeight="1">
      <x:c r="A2917" s="2" t="n">
        <x:v>2911</x:v>
      </x:c>
      <x:c r="B2917" s="79" t="n">
        <x:v>0.3502553708472761</x:v>
      </x:c>
      <x:c r="C2917" s="46" t="n">
        <x:f>B2917^2</x:f>
        <x:v>0.1226788248073629</x:v>
      </x:c>
      <x:c r="D2917" s="47" t="n">
        <x:f>'Datos'!$B$26^3/3</x:f>
        <x:v>0.3333333333333333</x:v>
      </x:c>
      <x:c r="E2917" s="46" t="n">
        <x:f>D2917*(C2917-1)</x:f>
        <x:v>-0.292440391730879</x:v>
      </x:c>
      <x:c r="F2917" s="2"/>
      <x:c r="G2917" s="2"/>
      <x:c r="H2917" s="2"/>
    </x:row>
    <x:row r="2918" ht="22" customHeight="1">
      <x:c r="A2918" s="2" t="n">
        <x:v>2912</x:v>
      </x:c>
      <x:c r="B2918" s="79" t="n">
        <x:v>-1.1071416553642672</x:v>
      </x:c>
      <x:c r="C2918" s="46" t="n">
        <x:f>B2918^2</x:f>
        <x:v>1.22576264504273</x:v>
      </x:c>
      <x:c r="D2918" s="47" t="n">
        <x:f>'Datos'!$B$26^3/3</x:f>
        <x:v>0.3333333333333333</x:v>
      </x:c>
      <x:c r="E2918" s="46" t="n">
        <x:f>D2918*(C2918-1)</x:f>
        <x:v>0.0752542150142433</x:v>
      </x:c>
      <x:c r="F2918" s="2"/>
      <x:c r="G2918" s="2"/>
      <x:c r="H2918" s="2"/>
    </x:row>
    <x:row r="2919" ht="22" customHeight="1">
      <x:c r="A2919" s="2" t="n">
        <x:v>2913</x:v>
      </x:c>
      <x:c r="B2919" s="79" t="n">
        <x:v>1.5927536959656687</x:v>
      </x:c>
      <x:c r="C2919" s="46" t="n">
        <x:f>B2919^2</x:f>
        <x:v>2.536864336012298</x:v>
      </x:c>
      <x:c r="D2919" s="47" t="n">
        <x:f>'Datos'!$B$26^3/3</x:f>
        <x:v>0.3333333333333333</x:v>
      </x:c>
      <x:c r="E2919" s="46" t="n">
        <x:f>D2919*(C2919-1)</x:f>
        <x:v>0.5122881120040993</x:v>
      </x:c>
      <x:c r="F2919" s="2"/>
      <x:c r="G2919" s="2"/>
      <x:c r="H2919" s="2"/>
    </x:row>
    <x:row r="2920" ht="22" customHeight="1">
      <x:c r="A2920" s="2" t="n">
        <x:v>2914</x:v>
      </x:c>
      <x:c r="B2920" s="79" t="n">
        <x:v>-0.5879135631388496</x:v>
      </x:c>
      <x:c r="C2920" s="46" t="n">
        <x:f>B2920^2</x:f>
        <x:v>0.3456423577226181</x:v>
      </x:c>
      <x:c r="D2920" s="47" t="n">
        <x:f>'Datos'!$B$26^3/3</x:f>
        <x:v>0.3333333333333333</x:v>
      </x:c>
      <x:c r="E2920" s="46" t="n">
        <x:f>D2920*(C2920-1)</x:f>
        <x:v>-0.21811921409246063</x:v>
      </x:c>
      <x:c r="F2920" s="2"/>
      <x:c r="G2920" s="2"/>
      <x:c r="H2920" s="2"/>
    </x:row>
    <x:row r="2921" ht="22" customHeight="1">
      <x:c r="A2921" s="2" t="n">
        <x:v>2915</x:v>
      </x:c>
      <x:c r="B2921" s="79" t="n">
        <x:v>0.2116099098987172</x:v>
      </x:c>
      <x:c r="C2921" s="46" t="n">
        <x:f>B2921^2</x:f>
        <x:v>0.04477875396734321</x:v>
      </x:c>
      <x:c r="D2921" s="47" t="n">
        <x:f>'Datos'!$B$26^3/3</x:f>
        <x:v>0.3333333333333333</x:v>
      </x:c>
      <x:c r="E2921" s="46" t="n">
        <x:f>D2921*(C2921-1)</x:f>
        <x:v>-0.3184070820108856</x:v>
      </x:c>
      <x:c r="F2921" s="2"/>
      <x:c r="G2921" s="2"/>
      <x:c r="H2921" s="2"/>
    </x:row>
    <x:row r="2922" ht="22" customHeight="1">
      <x:c r="A2922" s="2" t="n">
        <x:v>2916</x:v>
      </x:c>
      <x:c r="B2922" s="79" t="n">
        <x:v>1.670745970968039</x:v>
      </x:c>
      <x:c r="C2922" s="46" t="n">
        <x:f>B2922^2</x:f>
        <x:v>2.7913920995059356</x:v>
      </x:c>
      <x:c r="D2922" s="47" t="n">
        <x:f>'Datos'!$B$26^3/3</x:f>
        <x:v>0.3333333333333333</x:v>
      </x:c>
      <x:c r="E2922" s="46" t="n">
        <x:f>D2922*(C2922-1)</x:f>
        <x:v>0.5971306998353119</x:v>
      </x:c>
      <x:c r="F2922" s="2"/>
      <x:c r="G2922" s="2"/>
      <x:c r="H2922" s="2"/>
    </x:row>
    <x:row r="2923" ht="22" customHeight="1">
      <x:c r="A2923" s="2" t="n">
        <x:v>2917</x:v>
      </x:c>
      <x:c r="B2923" s="79" t="n">
        <x:v>1.0615771398452754</x:v>
      </x:c>
      <x:c r="C2923" s="46" t="n">
        <x:f>B2923^2</x:f>
        <x:v>1.1269460238420752</x:v>
      </x:c>
      <x:c r="D2923" s="47" t="n">
        <x:f>'Datos'!$B$26^3/3</x:f>
        <x:v>0.3333333333333333</x:v>
      </x:c>
      <x:c r="E2923" s="46" t="n">
        <x:f>D2923*(C2923-1)</x:f>
        <x:v>0.04231534128069173</x:v>
      </x:c>
      <x:c r="F2923" s="2"/>
      <x:c r="G2923" s="2"/>
      <x:c r="H2923" s="2"/>
    </x:row>
    <x:row r="2924" ht="22" customHeight="1">
      <x:c r="A2924" s="2" t="n">
        <x:v>2918</x:v>
      </x:c>
      <x:c r="B2924" s="79" t="n">
        <x:v>1.4701909611343755</x:v>
      </x:c>
      <x:c r="C2924" s="46" t="n">
        <x:f>B2924^2</x:f>
        <x:v>2.1614614622012187</x:v>
      </x:c>
      <x:c r="D2924" s="47" t="n">
        <x:f>'Datos'!$B$26^3/3</x:f>
        <x:v>0.3333333333333333</x:v>
      </x:c>
      <x:c r="E2924" s="46" t="n">
        <x:f>D2924*(C2924-1)</x:f>
        <x:v>0.38715382073373955</x:v>
      </x:c>
      <x:c r="F2924" s="2"/>
      <x:c r="G2924" s="2"/>
      <x:c r="H2924" s="2"/>
    </x:row>
    <x:row r="2925" ht="22" customHeight="1">
      <x:c r="A2925" s="2" t="n">
        <x:v>2919</x:v>
      </x:c>
      <x:c r="B2925" s="79" t="n">
        <x:v>1.2696959730938067</x:v>
      </x:c>
      <x:c r="C2925" s="46" t="n">
        <x:f>B2925^2</x:f>
        <x:v>1.6121278640906287</x:v>
      </x:c>
      <x:c r="D2925" s="47" t="n">
        <x:f>'Datos'!$B$26^3/3</x:f>
        <x:v>0.3333333333333333</x:v>
      </x:c>
      <x:c r="E2925" s="46" t="n">
        <x:f>D2925*(C2925-1)</x:f>
        <x:v>0.2040426213635429</x:v>
      </x:c>
      <x:c r="F2925" s="2"/>
      <x:c r="G2925" s="2"/>
      <x:c r="H2925" s="2"/>
    </x:row>
    <x:row r="2926" ht="22" customHeight="1">
      <x:c r="A2926" s="2" t="n">
        <x:v>2920</x:v>
      </x:c>
      <x:c r="B2926" s="79" t="n">
        <x:v>1.8777544586631112</x:v>
      </x:c>
      <x:c r="C2926" s="46" t="n">
        <x:f>B2926^2</x:f>
        <x:v>3.525961807029194</x:v>
      </x:c>
      <x:c r="D2926" s="47" t="n">
        <x:f>'Datos'!$B$26^3/3</x:f>
        <x:v>0.3333333333333333</x:v>
      </x:c>
      <x:c r="E2926" s="46" t="n">
        <x:f>D2926*(C2926-1)</x:f>
        <x:v>0.8419872690097312</x:v>
      </x:c>
      <x:c r="F2926" s="2"/>
      <x:c r="G2926" s="2"/>
      <x:c r="H2926" s="2"/>
    </x:row>
    <x:row r="2927" ht="22" customHeight="1">
      <x:c r="A2927" s="2" t="n">
        <x:v>2921</x:v>
      </x:c>
      <x:c r="B2927" s="79" t="n">
        <x:v>0.3401367936888328</x:v>
      </x:c>
      <x:c r="C2927" s="46" t="n">
        <x:f>B2927^2</x:f>
        <x:v>0.11569303842091962</x:v>
      </x:c>
      <x:c r="D2927" s="47" t="n">
        <x:f>'Datos'!$B$26^3/3</x:f>
        <x:v>0.3333333333333333</x:v>
      </x:c>
      <x:c r="E2927" s="46" t="n">
        <x:f>D2927*(C2927-1)</x:f>
        <x:v>-0.2947689871930268</x:v>
      </x:c>
      <x:c r="F2927" s="2"/>
      <x:c r="G2927" s="2"/>
      <x:c r="H2927" s="2"/>
    </x:row>
    <x:row r="2928" ht="22" customHeight="1">
      <x:c r="A2928" s="2" t="n">
        <x:v>2922</x:v>
      </x:c>
      <x:c r="B2928" s="79" t="n">
        <x:v>-0.4430107172688012</x:v>
      </x:c>
      <x:c r="C2928" s="46" t="n">
        <x:f>B2928^2</x:f>
        <x:v>0.1962584956150177</x:v>
      </x:c>
      <x:c r="D2928" s="47" t="n">
        <x:f>'Datos'!$B$26^3/3</x:f>
        <x:v>0.3333333333333333</x:v>
      </x:c>
      <x:c r="E2928" s="46" t="n">
        <x:f>D2928*(C2928-1)</x:f>
        <x:v>-0.2679138347949941</x:v>
      </x:c>
      <x:c r="F2928" s="2"/>
      <x:c r="G2928" s="2"/>
      <x:c r="H2928" s="2"/>
    </x:row>
    <x:row r="2929" ht="22" customHeight="1">
      <x:c r="A2929" s="2" t="n">
        <x:v>2923</x:v>
      </x:c>
      <x:c r="B2929" s="79" t="n">
        <x:v>0.6357168305562569</x:v>
      </x:c>
      <x:c r="C2929" s="46" t="n">
        <x:f>B2929^2</x:f>
        <x:v>0.40413588865249267</x:v>
      </x:c>
      <x:c r="D2929" s="47" t="n">
        <x:f>'Datos'!$B$26^3/3</x:f>
        <x:v>0.3333333333333333</x:v>
      </x:c>
      <x:c r="E2929" s="46" t="n">
        <x:f>D2929*(C2929-1)</x:f>
        <x:v>-0.1986213704491691</x:v>
      </x:c>
      <x:c r="F2929" s="2"/>
      <x:c r="G2929" s="2"/>
      <x:c r="H2929" s="2"/>
    </x:row>
    <x:row r="2930" ht="22" customHeight="1">
      <x:c r="A2930" s="2" t="n">
        <x:v>2924</x:v>
      </x:c>
      <x:c r="B2930" s="79" t="n">
        <x:v>1.3734340762275286</x:v>
      </x:c>
      <x:c r="C2930" s="46" t="n">
        <x:f>B2930^2</x:f>
        <x:v>1.8863211617429647</x:v>
      </x:c>
      <x:c r="D2930" s="47" t="n">
        <x:f>'Datos'!$B$26^3/3</x:f>
        <x:v>0.3333333333333333</x:v>
      </x:c>
      <x:c r="E2930" s="46" t="n">
        <x:f>D2930*(C2930-1)</x:f>
        <x:v>0.29544038724765487</x:v>
      </x:c>
      <x:c r="F2930" s="2"/>
      <x:c r="G2930" s="2"/>
      <x:c r="H2930" s="2"/>
    </x:row>
    <x:row r="2931" ht="22" customHeight="1">
      <x:c r="A2931" s="2" t="n">
        <x:v>2925</x:v>
      </x:c>
      <x:c r="B2931" s="79" t="n">
        <x:v>0.31785356173984586</x:v>
      </x:c>
      <x:c r="C2931" s="46" t="n">
        <x:f>B2931^2</x:f>
        <x:v>0.10103088671070601</x:v>
      </x:c>
      <x:c r="D2931" s="47" t="n">
        <x:f>'Datos'!$B$26^3/3</x:f>
        <x:v>0.3333333333333333</x:v>
      </x:c>
      <x:c r="E2931" s="46" t="n">
        <x:f>D2931*(C2931-1)</x:f>
        <x:v>-0.2996563710964313</x:v>
      </x:c>
      <x:c r="F2931" s="2"/>
      <x:c r="G2931" s="2"/>
      <x:c r="H2931" s="2"/>
    </x:row>
    <x:row r="2932" ht="22" customHeight="1">
      <x:c r="A2932" s="2" t="n">
        <x:v>2926</x:v>
      </x:c>
      <x:c r="B2932" s="79" t="n">
        <x:v>1.7422589455419828</x:v>
      </x:c>
      <x:c r="C2932" s="46" t="n">
        <x:f>B2932^2</x:f>
        <x:v>3.0354662333210616</x:v>
      </x:c>
      <x:c r="D2932" s="47" t="n">
        <x:f>'Datos'!$B$26^3/3</x:f>
        <x:v>0.3333333333333333</x:v>
      </x:c>
      <x:c r="E2932" s="46" t="n">
        <x:f>D2932*(C2932-1)</x:f>
        <x:v>0.6784887444403538</x:v>
      </x:c>
      <x:c r="F2932" s="2"/>
      <x:c r="G2932" s="2"/>
      <x:c r="H2932" s="2"/>
    </x:row>
    <x:row r="2933" ht="22" customHeight="1">
      <x:c r="A2933" s="2" t="n">
        <x:v>2927</x:v>
      </x:c>
      <x:c r="B2933" s="79" t="n">
        <x:v>-0.5660720046824667</x:v>
      </x:c>
      <x:c r="C2933" s="46" t="n">
        <x:f>B2933^2</x:f>
        <x:v>0.32043751448522656</x:v>
      </x:c>
      <x:c r="D2933" s="47" t="n">
        <x:f>'Datos'!$B$26^3/3</x:f>
        <x:v>0.3333333333333333</x:v>
      </x:c>
      <x:c r="E2933" s="46" t="n">
        <x:f>D2933*(C2933-1)</x:f>
        <x:v>-0.2265208285049245</x:v>
      </x:c>
      <x:c r="F2933" s="2"/>
      <x:c r="G2933" s="2"/>
      <x:c r="H2933" s="2"/>
    </x:row>
    <x:row r="2934" ht="22" customHeight="1">
      <x:c r="A2934" s="2" t="n">
        <x:v>2928</x:v>
      </x:c>
      <x:c r="B2934" s="79" t="n">
        <x:v>0.855893323304811</x:v>
      </x:c>
      <x:c r="C2934" s="46" t="n">
        <x:f>B2934^2</x:f>
        <x:v>0.7325533808777538</x:v>
      </x:c>
      <x:c r="D2934" s="47" t="n">
        <x:f>'Datos'!$B$26^3/3</x:f>
        <x:v>0.3333333333333333</x:v>
      </x:c>
      <x:c r="E2934" s="46" t="n">
        <x:f>D2934*(C2934-1)</x:f>
        <x:v>-0.08914887304074873</x:v>
      </x:c>
      <x:c r="F2934" s="2"/>
      <x:c r="G2934" s="2"/>
      <x:c r="H2934" s="2"/>
    </x:row>
    <x:row r="2935" ht="22" customHeight="1">
      <x:c r="A2935" s="2" t="n">
        <x:v>2929</x:v>
      </x:c>
      <x:c r="B2935" s="79" t="n">
        <x:v>1.3209018806584603</x:v>
      </x:c>
      <x:c r="C2935" s="46" t="n">
        <x:f>B2935^2</x:f>
        <x:v>1.7447817783270572</x:v>
      </x:c>
      <x:c r="D2935" s="47" t="n">
        <x:f>'Datos'!$B$26^3/3</x:f>
        <x:v>0.3333333333333333</x:v>
      </x:c>
      <x:c r="E2935" s="46" t="n">
        <x:f>D2935*(C2935-1)</x:f>
        <x:v>0.2482605927756857</x:v>
      </x:c>
      <x:c r="F2935" s="2"/>
      <x:c r="G2935" s="2"/>
      <x:c r="H2935" s="2"/>
    </x:row>
    <x:row r="2936" ht="22" customHeight="1">
      <x:c r="A2936" s="2" t="n">
        <x:v>2930</x:v>
      </x:c>
      <x:c r="B2936" s="79" t="n">
        <x:v>-1.4430291966516184</x:v>
      </x:c>
      <x:c r="C2936" s="46" t="n">
        <x:f>B2936^2</x:f>
        <x:v>2.082333262389015</x:v>
      </x:c>
      <x:c r="D2936" s="47" t="n">
        <x:f>'Datos'!$B$26^3/3</x:f>
        <x:v>0.3333333333333333</x:v>
      </x:c>
      <x:c r="E2936" s="46" t="n">
        <x:f>D2936*(C2936-1)</x:f>
        <x:v>0.3607777541296717</x:v>
      </x:c>
      <x:c r="F2936" s="2"/>
      <x:c r="G2936" s="2"/>
      <x:c r="H2936" s="2"/>
    </x:row>
    <x:row r="2937" ht="22" customHeight="1">
      <x:c r="A2937" s="2" t="n">
        <x:v>2931</x:v>
      </x:c>
      <x:c r="B2937" s="79" t="n">
        <x:v>0.5623772019276927</x:v>
      </x:c>
      <x:c r="C2937" s="46" t="n">
        <x:f>B2937^2</x:f>
        <x:v>0.31626811724802084</x:v>
      </x:c>
      <x:c r="D2937" s="47" t="n">
        <x:f>'Datos'!$B$26^3/3</x:f>
        <x:v>0.3333333333333333</x:v>
      </x:c>
      <x:c r="E2937" s="46" t="n">
        <x:f>D2937*(C2937-1)</x:f>
        <x:v>-0.22791062758399305</x:v>
      </x:c>
      <x:c r="F2937" s="2"/>
      <x:c r="G2937" s="2"/>
      <x:c r="H2937" s="2"/>
    </x:row>
    <x:row r="2938" ht="22" customHeight="1">
      <x:c r="A2938" s="2" t="n">
        <x:v>2932</x:v>
      </x:c>
      <x:c r="B2938" s="79" t="n">
        <x:v>-1.814834773170014</x:v>
      </x:c>
      <x:c r="C2938" s="46" t="n">
        <x:f>B2938^2</x:f>
        <x:v>3.2936252539070563</x:v>
      </x:c>
      <x:c r="D2938" s="47" t="n">
        <x:f>'Datos'!$B$26^3/3</x:f>
        <x:v>0.3333333333333333</x:v>
      </x:c>
      <x:c r="E2938" s="46" t="n">
        <x:f>D2938*(C2938-1)</x:f>
        <x:v>0.764541751302352</x:v>
      </x:c>
      <x:c r="F2938" s="2"/>
      <x:c r="G2938" s="2"/>
      <x:c r="H2938" s="2"/>
    </x:row>
    <x:row r="2939" ht="22" customHeight="1">
      <x:c r="A2939" s="2" t="n">
        <x:v>2933</x:v>
      </x:c>
      <x:c r="B2939" s="79" t="n">
        <x:v>1.5485074309106581</x:v>
      </x:c>
      <x:c r="C2939" s="46" t="n">
        <x:f>B2939^2</x:f>
        <x:v>2.3978752635855267</x:v>
      </x:c>
      <x:c r="D2939" s="47" t="n">
        <x:f>'Datos'!$B$26^3/3</x:f>
        <x:v>0.3333333333333333</x:v>
      </x:c>
      <x:c r="E2939" s="46" t="n">
        <x:f>D2939*(C2939-1)</x:f>
        <x:v>0.46595842119517555</x:v>
      </x:c>
      <x:c r="F2939" s="2"/>
      <x:c r="G2939" s="2"/>
      <x:c r="H2939" s="2"/>
    </x:row>
    <x:row r="2940" ht="22" customHeight="1">
      <x:c r="A2940" s="2" t="n">
        <x:v>2934</x:v>
      </x:c>
      <x:c r="B2940" s="79" t="n">
        <x:v>1.238655082672898</x:v>
      </x:c>
      <x:c r="C2940" s="46" t="n">
        <x:f>B2940^2</x:f>
        <x:v>1.5342664138314035</x:v>
      </x:c>
      <x:c r="D2940" s="47" t="n">
        <x:f>'Datos'!$B$26^3/3</x:f>
        <x:v>0.3333333333333333</x:v>
      </x:c>
      <x:c r="E2940" s="46" t="n">
        <x:f>D2940*(C2940-1)</x:f>
        <x:v>0.17808880461046783</x:v>
      </x:c>
      <x:c r="F2940" s="2"/>
      <x:c r="G2940" s="2"/>
      <x:c r="H2940" s="2"/>
    </x:row>
    <x:row r="2941" ht="22" customHeight="1">
      <x:c r="A2941" s="2" t="n">
        <x:v>2935</x:v>
      </x:c>
      <x:c r="B2941" s="79" t="n">
        <x:v>1.8545610657541047</x:v>
      </x:c>
      <x:c r="C2941" s="46" t="n">
        <x:f>B2941^2</x:f>
        <x:v>3.439396746611001</x:v>
      </x:c>
      <x:c r="D2941" s="47" t="n">
        <x:f>'Datos'!$B$26^3/3</x:f>
        <x:v>0.3333333333333333</x:v>
      </x:c>
      <x:c r="E2941" s="46" t="n">
        <x:f>D2941*(C2941-1)</x:f>
        <x:v>0.8131322488703336</x:v>
      </x:c>
      <x:c r="F2941" s="2"/>
      <x:c r="G2941" s="2"/>
      <x:c r="H2941" s="2"/>
    </x:row>
    <x:row r="2942" ht="22" customHeight="1">
      <x:c r="A2942" s="2" t="n">
        <x:v>2936</x:v>
      </x:c>
      <x:c r="B2942" s="79" t="n">
        <x:v>1.2223311726007795</x:v>
      </x:c>
      <x:c r="C2942" s="46" t="n">
        <x:f>B2942^2</x:f>
        <x:v>1.4940934955115965</x:v>
      </x:c>
      <x:c r="D2942" s="47" t="n">
        <x:f>'Datos'!$B$26^3/3</x:f>
        <x:v>0.3333333333333333</x:v>
      </x:c>
      <x:c r="E2942" s="46" t="n">
        <x:f>D2942*(C2942-1)</x:f>
        <x:v>0.16469783183719883</x:v>
      </x:c>
      <x:c r="F2942" s="2"/>
      <x:c r="G2942" s="2"/>
      <x:c r="H2942" s="2"/>
    </x:row>
    <x:row r="2943" ht="22" customHeight="1">
      <x:c r="A2943" s="2" t="n">
        <x:v>2937</x:v>
      </x:c>
      <x:c r="B2943" s="79" t="n">
        <x:v>-0.255153591458738</x:v>
      </x:c>
      <x:c r="C2943" s="46" t="n">
        <x:f>B2943^2</x:f>
        <x:v>0.06510335523429257</x:v>
      </x:c>
      <x:c r="D2943" s="47" t="n">
        <x:f>'Datos'!$B$26^3/3</x:f>
        <x:v>0.3333333333333333</x:v>
      </x:c>
      <x:c r="E2943" s="46" t="n">
        <x:f>D2943*(C2943-1)</x:f>
        <x:v>-0.31163221492190246</x:v>
      </x:c>
      <x:c r="F2943" s="2"/>
      <x:c r="G2943" s="2"/>
      <x:c r="H2943" s="2"/>
    </x:row>
    <x:row r="2944" ht="22" customHeight="1">
      <x:c r="A2944" s="2" t="n">
        <x:v>2938</x:v>
      </x:c>
      <x:c r="B2944" s="79" t="n">
        <x:v>0.33513316351876193</x:v>
      </x:c>
      <x:c r="C2944" s="46" t="n">
        <x:f>B2944^2</x:f>
        <x:v>0.11231423729009322</x:v>
      </x:c>
      <x:c r="D2944" s="47" t="n">
        <x:f>'Datos'!$B$26^3/3</x:f>
        <x:v>0.3333333333333333</x:v>
      </x:c>
      <x:c r="E2944" s="46" t="n">
        <x:f>D2944*(C2944-1)</x:f>
        <x:v>-0.29589525423663554</x:v>
      </x:c>
      <x:c r="F2944" s="2"/>
      <x:c r="G2944" s="2"/>
      <x:c r="H2944" s="2"/>
    </x:row>
    <x:row r="2945" ht="22" customHeight="1">
      <x:c r="A2945" s="2" t="n">
        <x:v>2939</x:v>
      </x:c>
      <x:c r="B2945" s="79" t="n">
        <x:v>-0.08820962663891563</x:v>
      </x:c>
      <x:c r="C2945" s="46" t="n">
        <x:f>B2945^2</x:f>
        <x:v>0.007780938231776894</x:v>
      </x:c>
      <x:c r="D2945" s="47" t="n">
        <x:f>'Datos'!$B$26^3/3</x:f>
        <x:v>0.3333333333333333</x:v>
      </x:c>
      <x:c r="E2945" s="46" t="n">
        <x:f>D2945*(C2945-1)</x:f>
        <x:v>-0.33073968725607433</x:v>
      </x:c>
      <x:c r="F2945" s="2"/>
      <x:c r="G2945" s="2"/>
      <x:c r="H2945" s="2"/>
    </x:row>
    <x:row r="2946" ht="22" customHeight="1">
      <x:c r="A2946" s="2" t="n">
        <x:v>2940</x:v>
      </x:c>
      <x:c r="B2946" s="79" t="n">
        <x:v>0.484391463012627</x:v>
      </x:c>
      <x:c r="C2946" s="46" t="n">
        <x:f>B2946^2</x:f>
        <x:v>0.23463508943951317</x:v>
      </x:c>
      <x:c r="D2946" s="47" t="n">
        <x:f>'Datos'!$B$26^3/3</x:f>
        <x:v>0.3333333333333333</x:v>
      </x:c>
      <x:c r="E2946" s="46" t="n">
        <x:f>D2946*(C2946-1)</x:f>
        <x:v>-0.2551216368534956</x:v>
      </x:c>
      <x:c r="F2946" s="2"/>
      <x:c r="G2946" s="2"/>
      <x:c r="H2946" s="2"/>
    </x:row>
    <x:row r="2947" ht="22" customHeight="1">
      <x:c r="A2947" s="2" t="n">
        <x:v>2941</x:v>
      </x:c>
      <x:c r="B2947" s="79" t="n">
        <x:v>-0.5655295579572218</x:v>
      </x:c>
      <x:c r="C2947" s="46" t="n">
        <x:f>B2947^2</x:f>
        <x:v>0.3198236809232907</x:v>
      </x:c>
      <x:c r="D2947" s="47" t="n">
        <x:f>'Datos'!$B$26^3/3</x:f>
        <x:v>0.3333333333333333</x:v>
      </x:c>
      <x:c r="E2947" s="46" t="n">
        <x:f>D2947*(C2947-1)</x:f>
        <x:v>-0.2267254396922364</x:v>
      </x:c>
      <x:c r="F2947" s="2"/>
      <x:c r="G2947" s="2"/>
      <x:c r="H2947" s="2"/>
    </x:row>
    <x:row r="2948" ht="22" customHeight="1">
      <x:c r="A2948" s="2" t="n">
        <x:v>2942</x:v>
      </x:c>
      <x:c r="B2948" s="79" t="n">
        <x:v>1.1041201687639304</x:v>
      </x:c>
      <x:c r="C2948" s="46" t="n">
        <x:f>B2948^2</x:f>
        <x:v>1.21908134707129</x:v>
      </x:c>
      <x:c r="D2948" s="47" t="n">
        <x:f>'Datos'!$B$26^3/3</x:f>
        <x:v>0.3333333333333333</x:v>
      </x:c>
      <x:c r="E2948" s="46" t="n">
        <x:f>D2948*(C2948-1)</x:f>
        <x:v>0.07302711569043</x:v>
      </x:c>
      <x:c r="F2948" s="2"/>
      <x:c r="G2948" s="2"/>
      <x:c r="H2948" s="2"/>
    </x:row>
    <x:row r="2949" ht="22" customHeight="1">
      <x:c r="A2949" s="2" t="n">
        <x:v>2943</x:v>
      </x:c>
      <x:c r="B2949" s="79" t="n">
        <x:v>2.0629475259170125</x:v>
      </x:c>
      <x:c r="C2949" s="46" t="n">
        <x:f>B2949^2</x:f>
        <x:v>4.255752494687123</x:v>
      </x:c>
      <x:c r="D2949" s="47" t="n">
        <x:f>'Datos'!$B$26^3/3</x:f>
        <x:v>0.3333333333333333</x:v>
      </x:c>
      <x:c r="E2949" s="46" t="n">
        <x:f>D2949*(C2949-1)</x:f>
        <x:v>1.0852508315623741</x:v>
      </x:c>
      <x:c r="F2949" s="2"/>
      <x:c r="G2949" s="2"/>
      <x:c r="H2949" s="2"/>
    </x:row>
    <x:row r="2950" ht="22" customHeight="1">
      <x:c r="A2950" s="2" t="n">
        <x:v>2944</x:v>
      </x:c>
      <x:c r="B2950" s="79" t="n">
        <x:v>-1.5984945303293137</x:v>
      </x:c>
      <x:c r="C2950" s="46" t="n">
        <x:f>B2950^2</x:f>
        <x:v>2.555184763492733</x:v>
      </x:c>
      <x:c r="D2950" s="47" t="n">
        <x:f>'Datos'!$B$26^3/3</x:f>
        <x:v>0.3333333333333333</x:v>
      </x:c>
      <x:c r="E2950" s="46" t="n">
        <x:f>D2950*(C2950-1)</x:f>
        <x:v>0.5183949211642443</x:v>
      </x:c>
      <x:c r="F2950" s="2"/>
      <x:c r="G2950" s="2"/>
      <x:c r="H2950" s="2"/>
    </x:row>
    <x:row r="2951" ht="22" customHeight="1">
      <x:c r="A2951" s="2" t="n">
        <x:v>2945</x:v>
      </x:c>
      <x:c r="B2951" s="79" t="n">
        <x:v>-1.3778223068457764</x:v>
      </x:c>
      <x:c r="C2951" s="46" t="n">
        <x:f>B2951^2</x:f>
        <x:v>1.898394309241817</x:v>
      </x:c>
      <x:c r="D2951" s="47" t="n">
        <x:f>'Datos'!$B$26^3/3</x:f>
        <x:v>0.3333333333333333</x:v>
      </x:c>
      <x:c r="E2951" s="46" t="n">
        <x:f>D2951*(C2951-1)</x:f>
        <x:v>0.2994647697472723</x:v>
      </x:c>
      <x:c r="F2951" s="2"/>
      <x:c r="G2951" s="2"/>
      <x:c r="H2951" s="2"/>
    </x:row>
    <x:row r="2952" ht="22" customHeight="1">
      <x:c r="A2952" s="2" t="n">
        <x:v>2946</x:v>
      </x:c>
      <x:c r="B2952" s="79" t="n">
        <x:v>-0.04817482440601004</x:v>
      </x:c>
      <x:c r="C2952" s="46" t="n">
        <x:f>B2952^2</x:f>
        <x:v>0.0023208137065499007</x:v>
      </x:c>
      <x:c r="D2952" s="47" t="n">
        <x:f>'Datos'!$B$26^3/3</x:f>
        <x:v>0.3333333333333333</x:v>
      </x:c>
      <x:c r="E2952" s="46" t="n">
        <x:f>D2952*(C2952-1)</x:f>
        <x:v>-0.33255972876448336</x:v>
      </x:c>
      <x:c r="F2952" s="2"/>
      <x:c r="G2952" s="2"/>
      <x:c r="H2952" s="2"/>
    </x:row>
    <x:row r="2953" ht="22" customHeight="1">
      <x:c r="A2953" s="2" t="n">
        <x:v>2947</x:v>
      </x:c>
      <x:c r="B2953" s="79" t="n">
        <x:v>-1.0683194919706436</x:v>
      </x:c>
      <x:c r="C2953" s="46" t="n">
        <x:f>B2953^2</x:f>
        <x:v>1.141306536924414</x:v>
      </x:c>
      <x:c r="D2953" s="47" t="n">
        <x:f>'Datos'!$B$26^3/3</x:f>
        <x:v>0.3333333333333333</x:v>
      </x:c>
      <x:c r="E2953" s="46" t="n">
        <x:f>D2953*(C2953-1)</x:f>
        <x:v>0.047102178974804655</x:v>
      </x:c>
      <x:c r="F2953" s="2"/>
      <x:c r="G2953" s="2"/>
      <x:c r="H2953" s="2"/>
    </x:row>
    <x:row r="2954" ht="22" customHeight="1">
      <x:c r="A2954" s="2" t="n">
        <x:v>2948</x:v>
      </x:c>
      <x:c r="B2954" s="79" t="n">
        <x:v>-0.7202955780351109</x:v>
      </x:c>
      <x:c r="C2954" s="46" t="n">
        <x:f>B2954^2</x:f>
        <x:v>0.5188257197369346</x:v>
      </x:c>
      <x:c r="D2954" s="47" t="n">
        <x:f>'Datos'!$B$26^3/3</x:f>
        <x:v>0.3333333333333333</x:v>
      </x:c>
      <x:c r="E2954" s="46" t="n">
        <x:f>D2954*(C2954-1)</x:f>
        <x:v>-0.16039142675435514</x:v>
      </x:c>
      <x:c r="F2954" s="2"/>
      <x:c r="G2954" s="2"/>
      <x:c r="H2954" s="2"/>
    </x:row>
    <x:row r="2955" ht="22" customHeight="1">
      <x:c r="A2955" s="2" t="n">
        <x:v>2949</x:v>
      </x:c>
      <x:c r="B2955" s="79" t="n">
        <x:v>0.45915696126637784</x:v>
      </x:c>
      <x:c r="C2955" s="46" t="n">
        <x:f>B2955^2</x:f>
        <x:v>0.210825115079374</x:v>
      </x:c>
      <x:c r="D2955" s="47" t="n">
        <x:f>'Datos'!$B$26^3/3</x:f>
        <x:v>0.3333333333333333</x:v>
      </x:c>
      <x:c r="E2955" s="46" t="n">
        <x:f>D2955*(C2955-1)</x:f>
        <x:v>-0.263058294973542</x:v>
      </x:c>
      <x:c r="F2955" s="2"/>
      <x:c r="G2955" s="2"/>
      <x:c r="H2955" s="2"/>
    </x:row>
    <x:row r="2956" ht="22" customHeight="1">
      <x:c r="A2956" s="2" t="n">
        <x:v>2950</x:v>
      </x:c>
      <x:c r="B2956" s="79" t="n">
        <x:v>0.32911666135972134</x:v>
      </x:c>
      <x:c r="C2956" s="46" t="n">
        <x:f>B2956^2</x:f>
        <x:v>0.1083177767845695</x:v>
      </x:c>
      <x:c r="D2956" s="47" t="n">
        <x:f>'Datos'!$B$26^3/3</x:f>
        <x:v>0.3333333333333333</x:v>
      </x:c>
      <x:c r="E2956" s="46" t="n">
        <x:f>D2956*(C2956-1)</x:f>
        <x:v>-0.2972274077384768</x:v>
      </x:c>
      <x:c r="F2956" s="2"/>
      <x:c r="G2956" s="2"/>
      <x:c r="H2956" s="2"/>
    </x:row>
    <x:row r="2957" ht="22" customHeight="1">
      <x:c r="A2957" s="2" t="n">
        <x:v>2951</x:v>
      </x:c>
      <x:c r="B2957" s="79" t="n">
        <x:v>-0.39374708027559135</x:v>
      </x:c>
      <x:c r="C2957" s="46" t="n">
        <x:f>B2957^2</x:f>
        <x:v>0.155036763225553</x:v>
      </x:c>
      <x:c r="D2957" s="47" t="n">
        <x:f>'Datos'!$B$26^3/3</x:f>
        <x:v>0.3333333333333333</x:v>
      </x:c>
      <x:c r="E2957" s="46" t="n">
        <x:f>D2957*(C2957-1)</x:f>
        <x:v>-0.281654412258149</x:v>
      </x:c>
      <x:c r="F2957" s="2"/>
      <x:c r="G2957" s="2"/>
      <x:c r="H2957" s="2"/>
    </x:row>
    <x:row r="2958" ht="22" customHeight="1">
      <x:c r="A2958" s="2" t="n">
        <x:v>2952</x:v>
      </x:c>
      <x:c r="B2958" s="79" t="n">
        <x:v>0.4244040318783266</x:v>
      </x:c>
      <x:c r="C2958" s="46" t="n">
        <x:f>B2958^2</x:f>
        <x:v>0.18011878227457964</x:v>
      </x:c>
      <x:c r="D2958" s="47" t="n">
        <x:f>'Datos'!$B$26^3/3</x:f>
        <x:v>0.3333333333333333</x:v>
      </x:c>
      <x:c r="E2958" s="46" t="n">
        <x:f>D2958*(C2958-1)</x:f>
        <x:v>-0.2732937392418068</x:v>
      </x:c>
      <x:c r="F2958" s="2"/>
      <x:c r="G2958" s="2"/>
      <x:c r="H2958" s="2"/>
    </x:row>
    <x:row r="2959" ht="22" customHeight="1">
      <x:c r="A2959" s="2" t="n">
        <x:v>2953</x:v>
      </x:c>
      <x:c r="B2959" s="79" t="n">
        <x:v>0.17811919270548182</x:v>
      </x:c>
      <x:c r="C2959" s="46" t="n">
        <x:f>B2959^2</x:f>
        <x:v>0.031726446810052565</x:v>
      </x:c>
      <x:c r="D2959" s="47" t="n">
        <x:f>'Datos'!$B$26^3/3</x:f>
        <x:v>0.3333333333333333</x:v>
      </x:c>
      <x:c r="E2959" s="46" t="n">
        <x:f>D2959*(C2959-1)</x:f>
        <x:v>-0.3227578510633158</x:v>
      </x:c>
      <x:c r="F2959" s="2"/>
      <x:c r="G2959" s="2"/>
      <x:c r="H2959" s="2"/>
    </x:row>
    <x:row r="2960" ht="22" customHeight="1">
      <x:c r="A2960" s="2" t="n">
        <x:v>2954</x:v>
      </x:c>
      <x:c r="B2960" s="79" t="n">
        <x:v>0.742656823356861</x:v>
      </x:c>
      <x:c r="C2960" s="46" t="n">
        <x:f>B2960^2</x:f>
        <x:v>0.5515391572785039</x:v>
      </x:c>
      <x:c r="D2960" s="47" t="n">
        <x:f>'Datos'!$B$26^3/3</x:f>
        <x:v>0.3333333333333333</x:v>
      </x:c>
      <x:c r="E2960" s="46" t="n">
        <x:f>D2960*(C2960-1)</x:f>
        <x:v>-0.14948694757383202</x:v>
      </x:c>
      <x:c r="F2960" s="2"/>
      <x:c r="G2960" s="2"/>
      <x:c r="H2960" s="2"/>
    </x:row>
    <x:row r="2961" ht="22" customHeight="1">
      <x:c r="A2961" s="2" t="n">
        <x:v>2955</x:v>
      </x:c>
      <x:c r="B2961" s="79" t="n">
        <x:v>-0.22051171456242075</x:v>
      </x:c>
      <x:c r="C2961" s="46" t="n">
        <x:f>B2961^2</x:f>
        <x:v>0.04862541625925852</x:v>
      </x:c>
      <x:c r="D2961" s="47" t="n">
        <x:f>'Datos'!$B$26^3/3</x:f>
        <x:v>0.3333333333333333</x:v>
      </x:c>
      <x:c r="E2961" s="46" t="n">
        <x:f>D2961*(C2961-1)</x:f>
        <x:v>-0.3171248612469138</x:v>
      </x:c>
      <x:c r="F2961" s="2"/>
      <x:c r="G2961" s="2"/>
      <x:c r="H2961" s="2"/>
    </x:row>
    <x:row r="2962" ht="22" customHeight="1">
      <x:c r="A2962" s="2" t="n">
        <x:v>2956</x:v>
      </x:c>
      <x:c r="B2962" s="79" t="n">
        <x:v>1.7325921921405314</x:v>
      </x:c>
      <x:c r="C2962" s="46" t="n">
        <x:f>B2962^2</x:f>
        <x:v>3.001875704266332</x:v>
      </x:c>
      <x:c r="D2962" s="47" t="n">
        <x:f>'Datos'!$B$26^3/3</x:f>
        <x:v>0.3333333333333333</x:v>
      </x:c>
      <x:c r="E2962" s="46" t="n">
        <x:f>D2962*(C2962-1)</x:f>
        <x:v>0.6672919014221106</x:v>
      </x:c>
      <x:c r="F2962" s="2"/>
      <x:c r="G2962" s="2"/>
      <x:c r="H2962" s="2"/>
    </x:row>
    <x:row r="2963" ht="22" customHeight="1">
      <x:c r="A2963" s="2" t="n">
        <x:v>2957</x:v>
      </x:c>
      <x:c r="B2963" s="79" t="n">
        <x:v>-1.5349573562198051</x:v>
      </x:c>
      <x:c r="C2963" s="46" t="n">
        <x:f>B2963^2</x:f>
        <x:v>2.356094085413294</x:v>
      </x:c>
      <x:c r="D2963" s="47" t="n">
        <x:f>'Datos'!$B$26^3/3</x:f>
        <x:v>0.3333333333333333</x:v>
      </x:c>
      <x:c r="E2963" s="46" t="n">
        <x:f>D2963*(C2963-1)</x:f>
        <x:v>0.45203136180443126</x:v>
      </x:c>
      <x:c r="F2963" s="2"/>
      <x:c r="G2963" s="2"/>
      <x:c r="H2963" s="2"/>
    </x:row>
    <x:row r="2964" ht="22" customHeight="1">
      <x:c r="A2964" s="2" t="n">
        <x:v>2958</x:v>
      </x:c>
      <x:c r="B2964" s="79" t="n">
        <x:v>-0.05586833833387887</x:v>
      </x:c>
      <x:c r="C2964" s="46" t="n">
        <x:f>B2964^2</x:f>
        <x:v>0.0031212712281887597</x:v>
      </x:c>
      <x:c r="D2964" s="47" t="n">
        <x:f>'Datos'!$B$26^3/3</x:f>
        <x:v>0.3333333333333333</x:v>
      </x:c>
      <x:c r="E2964" s="46" t="n">
        <x:f>D2964*(C2964-1)</x:f>
        <x:v>-0.33229290959060376</x:v>
      </x:c>
      <x:c r="F2964" s="2"/>
      <x:c r="G2964" s="2"/>
      <x:c r="H2964" s="2"/>
    </x:row>
    <x:row r="2965" ht="22" customHeight="1">
      <x:c r="A2965" s="2" t="n">
        <x:v>2959</x:v>
      </x:c>
      <x:c r="B2965" s="79" t="n">
        <x:v>-1.425952826956779</x:v>
      </x:c>
      <x:c r="C2965" s="46" t="n">
        <x:f>B2965^2</x:f>
        <x:v>2.0333414647060297</x:v>
      </x:c>
      <x:c r="D2965" s="47" t="n">
        <x:f>'Datos'!$B$26^3/3</x:f>
        <x:v>0.3333333333333333</x:v>
      </x:c>
      <x:c r="E2965" s="46" t="n">
        <x:f>D2965*(C2965-1)</x:f>
        <x:v>0.3444471549020099</x:v>
      </x:c>
      <x:c r="F2965" s="2"/>
      <x:c r="G2965" s="2"/>
      <x:c r="H2965" s="2"/>
    </x:row>
    <x:row r="2966" ht="22" customHeight="1">
      <x:c r="A2966" s="2" t="n">
        <x:v>2960</x:v>
      </x:c>
      <x:c r="B2966" s="79" t="n">
        <x:v>0.17840767767239923</x:v>
      </x:c>
      <x:c r="C2966" s="46" t="n">
        <x:f>B2966^2</x:f>
        <x:v>0.0318292994524587</x:v>
      </x:c>
      <x:c r="D2966" s="47" t="n">
        <x:f>'Datos'!$B$26^3/3</x:f>
        <x:v>0.3333333333333333</x:v>
      </x:c>
      <x:c r="E2966" s="46" t="n">
        <x:f>D2966*(C2966-1)</x:f>
        <x:v>-0.3227235668491804</x:v>
      </x:c>
      <x:c r="F2966" s="2"/>
      <x:c r="G2966" s="2"/>
      <x:c r="H2966" s="2"/>
    </x:row>
    <x:row r="2967" ht="22" customHeight="1">
      <x:c r="A2967" s="2" t="n">
        <x:v>2961</x:v>
      </x:c>
      <x:c r="B2967" s="79" t="n">
        <x:v>-0.9850675040431084</x:v>
      </x:c>
      <x:c r="C2967" s="46" t="n">
        <x:f>B2967^2</x:f>
        <x:v>0.9703579875217193</x:v>
      </x:c>
      <x:c r="D2967" s="47" t="n">
        <x:f>'Datos'!$B$26^3/3</x:f>
        <x:v>0.3333333333333333</x:v>
      </x:c>
      <x:c r="E2967" s="46" t="n">
        <x:f>D2967*(C2967-1)</x:f>
        <x:v>-0.009880670826093563</x:v>
      </x:c>
      <x:c r="F2967" s="2"/>
      <x:c r="G2967" s="2"/>
      <x:c r="H2967" s="2"/>
    </x:row>
    <x:row r="2968" ht="22" customHeight="1">
      <x:c r="A2968" s="2" t="n">
        <x:v>2962</x:v>
      </x:c>
      <x:c r="B2968" s="79" t="n">
        <x:v>1.4079248846023134</x:v>
      </x:c>
      <x:c r="C2968" s="46" t="n">
        <x:f>B2968^2</x:f>
        <x:v>1.9822524806824373</x:v>
      </x:c>
      <x:c r="D2968" s="47" t="n">
        <x:f>'Datos'!$B$26^3/3</x:f>
        <x:v>0.3333333333333333</x:v>
      </x:c>
      <x:c r="E2968" s="46" t="n">
        <x:f>D2968*(C2968-1)</x:f>
        <x:v>0.3274174935608124</x:v>
      </x:c>
      <x:c r="F2968" s="2"/>
      <x:c r="G2968" s="2"/>
      <x:c r="H2968" s="2"/>
    </x:row>
    <x:row r="2969" ht="22" customHeight="1">
      <x:c r="A2969" s="2" t="n">
        <x:v>2963</x:v>
      </x:c>
      <x:c r="B2969" s="79" t="n">
        <x:v>-1.0728990696497644</x:v>
      </x:c>
      <x:c r="C2969" s="46" t="n">
        <x:f>B2969^2</x:f>
        <x:v>1.1511124136553301</x:v>
      </x:c>
      <x:c r="D2969" s="47" t="n">
        <x:f>'Datos'!$B$26^3/3</x:f>
        <x:v>0.3333333333333333</x:v>
      </x:c>
      <x:c r="E2969" s="46" t="n">
        <x:f>D2969*(C2969-1)</x:f>
        <x:v>0.050370804551776706</x:v>
      </x:c>
      <x:c r="F2969" s="2"/>
      <x:c r="G2969" s="2"/>
      <x:c r="H2969" s="2"/>
    </x:row>
    <x:row r="2970" ht="22" customHeight="1">
      <x:c r="A2970" s="2" t="n">
        <x:v>2964</x:v>
      </x:c>
      <x:c r="B2970" s="79" t="n">
        <x:v>1.7275288334027799</x:v>
      </x:c>
      <x:c r="C2970" s="46" t="n">
        <x:f>B2970^2</x:f>
        <x:v>2.9843558702379696</x:v>
      </x:c>
      <x:c r="D2970" s="47" t="n">
        <x:f>'Datos'!$B$26^3/3</x:f>
        <x:v>0.3333333333333333</x:v>
      </x:c>
      <x:c r="E2970" s="46" t="n">
        <x:f>D2970*(C2970-1)</x:f>
        <x:v>0.6614519567459898</x:v>
      </x:c>
      <x:c r="F2970" s="2"/>
      <x:c r="G2970" s="2"/>
      <x:c r="H2970" s="2"/>
    </x:row>
    <x:row r="2971" ht="22" customHeight="1">
      <x:c r="A2971" s="2" t="n">
        <x:v>2965</x:v>
      </x:c>
      <x:c r="B2971" s="79" t="n">
        <x:v>1.693239883846497</x:v>
      </x:c>
      <x:c r="C2971" s="46" t="n">
        <x:f>B2971^2</x:f>
        <x:v>2.867061304248499</x:v>
      </x:c>
      <x:c r="D2971" s="47" t="n">
        <x:f>'Datos'!$B$26^3/3</x:f>
        <x:v>0.3333333333333333</x:v>
      </x:c>
      <x:c r="E2971" s="46" t="n">
        <x:f>D2971*(C2971-1)</x:f>
        <x:v>0.6223537680828329</x:v>
      </x:c>
      <x:c r="F2971" s="2"/>
      <x:c r="G2971" s="2"/>
      <x:c r="H2971" s="2"/>
    </x:row>
    <x:row r="2972" ht="22" customHeight="1">
      <x:c r="A2972" s="2" t="n">
        <x:v>2966</x:v>
      </x:c>
      <x:c r="B2972" s="79" t="n">
        <x:v>-0.5092866179735179</x:v>
      </x:c>
      <x:c r="C2972" s="46" t="n">
        <x:f>B2972^2</x:f>
        <x:v>0.259372859246904</x:v>
      </x:c>
      <x:c r="D2972" s="47" t="n">
        <x:f>'Datos'!$B$26^3/3</x:f>
        <x:v>0.3333333333333333</x:v>
      </x:c>
      <x:c r="E2972" s="46" t="n">
        <x:f>D2972*(C2972-1)</x:f>
        <x:v>-0.24687571358436533</x:v>
      </x:c>
      <x:c r="F2972" s="2"/>
      <x:c r="G2972" s="2"/>
      <x:c r="H2972" s="2"/>
    </x:row>
    <x:row r="2973" ht="22" customHeight="1">
      <x:c r="A2973" s="2" t="n">
        <x:v>2967</x:v>
      </x:c>
      <x:c r="B2973" s="79" t="n">
        <x:v>0.9049719166999642</x:v>
      </x:c>
      <x:c r="C2973" s="46" t="n">
        <x:f>B2973^2</x:f>
        <x:v>0.818974170015607</x:v>
      </x:c>
      <x:c r="D2973" s="47" t="n">
        <x:f>'Datos'!$B$26^3/3</x:f>
        <x:v>0.3333333333333333</x:v>
      </x:c>
      <x:c r="E2973" s="46" t="n">
        <x:f>D2973*(C2973-1)</x:f>
        <x:v>-0.06034194332813099</x:v>
      </x:c>
      <x:c r="F2973" s="2"/>
      <x:c r="G2973" s="2"/>
      <x:c r="H2973" s="2"/>
    </x:row>
    <x:row r="2974" ht="22" customHeight="1">
      <x:c r="A2974" s="2" t="n">
        <x:v>2968</x:v>
      </x:c>
      <x:c r="B2974" s="79" t="n">
        <x:v>-0.5013691186113568</x:v>
      </x:c>
      <x:c r="C2974" s="46" t="n">
        <x:f>B2974^2</x:f>
        <x:v>0.2513709930971288</x:v>
      </x:c>
      <x:c r="D2974" s="47" t="n">
        <x:f>'Datos'!$B$26^3/3</x:f>
        <x:v>0.3333333333333333</x:v>
      </x:c>
      <x:c r="E2974" s="46" t="n">
        <x:f>D2974*(C2974-1)</x:f>
        <x:v>-0.24954300230095705</x:v>
      </x:c>
      <x:c r="F2974" s="2"/>
      <x:c r="G2974" s="2"/>
      <x:c r="H2974" s="2"/>
    </x:row>
    <x:row r="2975" ht="22" customHeight="1">
      <x:c r="A2975" s="2" t="n">
        <x:v>2969</x:v>
      </x:c>
      <x:c r="B2975" s="79" t="n">
        <x:v>0.8978996780099464</x:v>
      </x:c>
      <x:c r="C2975" s="46" t="n">
        <x:f>B2975^2</x:f>
        <x:v>0.8062238317703655</x:v>
      </x:c>
      <x:c r="D2975" s="47" t="n">
        <x:f>'Datos'!$B$26^3/3</x:f>
        <x:v>0.3333333333333333</x:v>
      </x:c>
      <x:c r="E2975" s="46" t="n">
        <x:f>D2975*(C2975-1)</x:f>
        <x:v>-0.06459205607654483</x:v>
      </x:c>
      <x:c r="F2975" s="2"/>
      <x:c r="G2975" s="2"/>
      <x:c r="H2975" s="2"/>
    </x:row>
    <x:row r="2976" ht="22" customHeight="1">
      <x:c r="A2976" s="2" t="n">
        <x:v>2970</x:v>
      </x:c>
      <x:c r="B2976" s="79" t="n">
        <x:v>0.17636742132502004</x:v>
      </x:c>
      <x:c r="C2976" s="46" t="n">
        <x:f>B2976^2</x:f>
        <x:v>0.031105467304837132</x:v>
      </x:c>
      <x:c r="D2976" s="47" t="n">
        <x:f>'Datos'!$B$26^3/3</x:f>
        <x:v>0.3333333333333333</x:v>
      </x:c>
      <x:c r="E2976" s="46" t="n">
        <x:f>D2976*(C2976-1)</x:f>
        <x:v>-0.32296484423172095</x:v>
      </x:c>
      <x:c r="F2976" s="2"/>
      <x:c r="G2976" s="2"/>
      <x:c r="H2976" s="2"/>
    </x:row>
    <x:row r="2977" ht="22" customHeight="1">
      <x:c r="A2977" s="2" t="n">
        <x:v>2971</x:v>
      </x:c>
      <x:c r="B2977" s="79" t="n">
        <x:v>-1.0522556044576024</x:v>
      </x:c>
      <x:c r="C2977" s="46" t="n">
        <x:f>B2977^2</x:f>
        <x:v>1.107241857112434</x:v>
      </x:c>
      <x:c r="D2977" s="47" t="n">
        <x:f>'Datos'!$B$26^3/3</x:f>
        <x:v>0.3333333333333333</x:v>
      </x:c>
      <x:c r="E2977" s="46" t="n">
        <x:f>D2977*(C2977-1)</x:f>
        <x:v>0.035747285704144684</x:v>
      </x:c>
      <x:c r="F2977" s="2"/>
      <x:c r="G2977" s="2"/>
      <x:c r="H2977" s="2"/>
    </x:row>
    <x:row r="2978" ht="22" customHeight="1">
      <x:c r="A2978" s="2" t="n">
        <x:v>2972</x:v>
      </x:c>
      <x:c r="B2978" s="79" t="n">
        <x:v>0.8254755071793451</x:v>
      </x:c>
      <x:c r="C2978" s="46" t="n">
        <x:f>B2978^2</x:f>
        <x:v>0.6814098129529971</x:v>
      </x:c>
      <x:c r="D2978" s="47" t="n">
        <x:f>'Datos'!$B$26^3/3</x:f>
        <x:v>0.3333333333333333</x:v>
      </x:c>
      <x:c r="E2978" s="46" t="n">
        <x:f>D2978*(C2978-1)</x:f>
        <x:v>-0.10619672901566764</x:v>
      </x:c>
      <x:c r="F2978" s="2"/>
      <x:c r="G2978" s="2"/>
      <x:c r="H2978" s="2"/>
    </x:row>
    <x:row r="2979" ht="22" customHeight="1">
      <x:c r="A2979" s="2" t="n">
        <x:v>2973</x:v>
      </x:c>
      <x:c r="B2979" s="79" t="n">
        <x:v>0.1377934274741909</x:v>
      </x:c>
      <x:c r="C2979" s="46" t="n">
        <x:f>B2979^2</x:f>
        <x:v>0.018987028655085107</x:v>
      </x:c>
      <x:c r="D2979" s="47" t="n">
        <x:f>'Datos'!$B$26^3/3</x:f>
        <x:v>0.3333333333333333</x:v>
      </x:c>
      <x:c r="E2979" s="46" t="n">
        <x:f>D2979*(C2979-1)</x:f>
        <x:v>-0.3270043237816383</x:v>
      </x:c>
      <x:c r="F2979" s="2"/>
      <x:c r="G2979" s="2"/>
      <x:c r="H2979" s="2"/>
    </x:row>
    <x:row r="2980" ht="22" customHeight="1">
      <x:c r="A2980" s="2" t="n">
        <x:v>2974</x:v>
      </x:c>
      <x:c r="B2980" s="79" t="n">
        <x:v>-0.3072089639035699</x:v>
      </x:c>
      <x:c r="C2980" s="46" t="n">
        <x:f>B2980^2</x:f>
        <x:v>0.0943773475027049</x:v>
      </x:c>
      <x:c r="D2980" s="47" t="n">
        <x:f>'Datos'!$B$26^3/3</x:f>
        <x:v>0.3333333333333333</x:v>
      </x:c>
      <x:c r="E2980" s="46" t="n">
        <x:f>D2980*(C2980-1)</x:f>
        <x:v>-0.3018742174990984</x:v>
      </x:c>
      <x:c r="F2980" s="2"/>
      <x:c r="G2980" s="2"/>
      <x:c r="H2980" s="2"/>
    </x:row>
    <x:row r="2981" ht="22" customHeight="1">
      <x:c r="A2981" s="2" t="n">
        <x:v>2975</x:v>
      </x:c>
      <x:c r="B2981" s="79" t="n">
        <x:v>-0.021141956992171508</x:v>
      </x:c>
      <x:c r="C2981" s="46" t="n">
        <x:f>B2981^2</x:f>
        <x:v>0.00044698234545882974</x:v>
      </x:c>
      <x:c r="D2981" s="47" t="n">
        <x:f>'Datos'!$B$26^3/3</x:f>
        <x:v>0.3333333333333333</x:v>
      </x:c>
      <x:c r="E2981" s="46" t="n">
        <x:f>D2981*(C2981-1)</x:f>
        <x:v>-0.33318433921818036</x:v>
      </x:c>
      <x:c r="F2981" s="2"/>
      <x:c r="G2981" s="2"/>
      <x:c r="H2981" s="2"/>
    </x:row>
    <x:row r="2982" ht="22" customHeight="1">
      <x:c r="A2982" s="2" t="n">
        <x:v>2976</x:v>
      </x:c>
      <x:c r="B2982" s="79" t="n">
        <x:v>-1.1925462264430748</x:v>
      </x:c>
      <x:c r="C2982" s="46" t="n">
        <x:f>B2982^2</x:f>
        <x:v>1.4221665022036176</x:v>
      </x:c>
      <x:c r="D2982" s="47" t="n">
        <x:f>'Datos'!$B$26^3/3</x:f>
        <x:v>0.3333333333333333</x:v>
      </x:c>
      <x:c r="E2982" s="46" t="n">
        <x:f>D2982*(C2982-1)</x:f>
        <x:v>0.14072216740120586</x:v>
      </x:c>
      <x:c r="F2982" s="2"/>
      <x:c r="G2982" s="2"/>
      <x:c r="H2982" s="2"/>
    </x:row>
    <x:row r="2983" ht="22" customHeight="1">
      <x:c r="A2983" s="2" t="n">
        <x:v>2977</x:v>
      </x:c>
      <x:c r="B2983" s="79" t="n">
        <x:v>0.3606219752833869</x:v>
      </x:c>
      <x:c r="C2983" s="46" t="n">
        <x:f>B2983^2</x:f>
        <x:v>0.13004820905729172</x:v>
      </x:c>
      <x:c r="D2983" s="47" t="n">
        <x:f>'Datos'!$B$26^3/3</x:f>
        <x:v>0.3333333333333333</x:v>
      </x:c>
      <x:c r="E2983" s="46" t="n">
        <x:f>D2983*(C2983-1)</x:f>
        <x:v>-0.2899839303142361</x:v>
      </x:c>
      <x:c r="F2983" s="2"/>
      <x:c r="G2983" s="2"/>
      <x:c r="H2983" s="2"/>
    </x:row>
    <x:row r="2984" ht="22" customHeight="1">
      <x:c r="A2984" s="2" t="n">
        <x:v>2978</x:v>
      </x:c>
      <x:c r="B2984" s="79" t="n">
        <x:v>0.8066321939450402</x:v>
      </x:c>
      <x:c r="C2984" s="46" t="n">
        <x:f>B2984^2</x:f>
        <x:v>0.6506554963085889</x:v>
      </x:c>
      <x:c r="D2984" s="47" t="n">
        <x:f>'Datos'!$B$26^3/3</x:f>
        <x:v>0.3333333333333333</x:v>
      </x:c>
      <x:c r="E2984" s="46" t="n">
        <x:f>D2984*(C2984-1)</x:f>
        <x:v>-0.11644816789713704</x:v>
      </x:c>
      <x:c r="F2984" s="2"/>
      <x:c r="G2984" s="2"/>
      <x:c r="H2984" s="2"/>
    </x:row>
    <x:row r="2985" ht="22" customHeight="1">
      <x:c r="A2985" s="2" t="n">
        <x:v>2979</x:v>
      </x:c>
      <x:c r="B2985" s="79" t="n">
        <x:v>0.7278131772078975</x:v>
      </x:c>
      <x:c r="C2985" s="46" t="n">
        <x:f>B2985^2</x:f>
        <x:v>0.5297120209174544</x:v>
      </x:c>
      <x:c r="D2985" s="47" t="n">
        <x:f>'Datos'!$B$26^3/3</x:f>
        <x:v>0.3333333333333333</x:v>
      </x:c>
      <x:c r="E2985" s="46" t="n">
        <x:f>D2985*(C2985-1)</x:f>
        <x:v>-0.15676265969418185</x:v>
      </x:c>
      <x:c r="F2985" s="2"/>
      <x:c r="G2985" s="2"/>
      <x:c r="H2985" s="2"/>
    </x:row>
    <x:row r="2986" ht="22" customHeight="1">
      <x:c r="A2986" s="2" t="n">
        <x:v>2980</x:v>
      </x:c>
      <x:c r="B2986" s="79" t="n">
        <x:v>0.5207251920973242</x:v>
      </x:c>
      <x:c r="C2986" s="46" t="n">
        <x:f>B2986^2</x:f>
        <x:v>0.27115472568479515</x:v>
      </x:c>
      <x:c r="D2986" s="47" t="n">
        <x:f>'Datos'!$B$26^3/3</x:f>
        <x:v>0.3333333333333333</x:v>
      </x:c>
      <x:c r="E2986" s="46" t="n">
        <x:f>D2986*(C2986-1)</x:f>
        <x:v>-0.24294842477173495</x:v>
      </x:c>
      <x:c r="F2986" s="2"/>
      <x:c r="G2986" s="2"/>
      <x:c r="H2986" s="2"/>
    </x:row>
    <x:row r="2987" ht="22" customHeight="1">
      <x:c r="A2987" s="2" t="n">
        <x:v>2981</x:v>
      </x:c>
      <x:c r="B2987" s="79" t="n">
        <x:v>0.08038558227797787</x:v>
      </x:c>
      <x:c r="C2987" s="46" t="n">
        <x:f>B2987^2</x:f>
        <x:v>0.0064618418381695505</x:v>
      </x:c>
      <x:c r="D2987" s="47" t="n">
        <x:f>'Datos'!$B$26^3/3</x:f>
        <x:v>0.3333333333333333</x:v>
      </x:c>
      <x:c r="E2987" s="46" t="n">
        <x:f>D2987*(C2987-1)</x:f>
        <x:v>-0.3311793860539435</x:v>
      </x:c>
      <x:c r="F2987" s="2"/>
      <x:c r="G2987" s="2"/>
      <x:c r="H2987" s="2"/>
    </x:row>
    <x:row r="2988" ht="22" customHeight="1">
      <x:c r="A2988" s="2" t="n">
        <x:v>2982</x:v>
      </x:c>
      <x:c r="B2988" s="79" t="n">
        <x:v>1.495907397450738</x:v>
      </x:c>
      <x:c r="C2988" s="46" t="n">
        <x:f>B2988^2</x:f>
        <x:v>2.23773894174784</x:v>
      </x:c>
      <x:c r="D2988" s="47" t="n">
        <x:f>'Datos'!$B$26^3/3</x:f>
        <x:v>0.3333333333333333</x:v>
      </x:c>
      <x:c r="E2988" s="46" t="n">
        <x:f>D2988*(C2988-1)</x:f>
        <x:v>0.41257964724928</x:v>
      </x:c>
      <x:c r="F2988" s="2"/>
      <x:c r="G2988" s="2"/>
      <x:c r="H2988" s="2"/>
    </x:row>
    <x:row r="2989" ht="22" customHeight="1">
      <x:c r="A2989" s="2" t="n">
        <x:v>2983</x:v>
      </x:c>
      <x:c r="B2989" s="79" t="n">
        <x:v>-0.444979960121693</x:v>
      </x:c>
      <x:c r="C2989" s="46" t="n">
        <x:f>B2989^2</x:f>
        <x:v>0.1980071649099035</x:v>
      </x:c>
      <x:c r="D2989" s="47" t="n">
        <x:f>'Datos'!$B$26^3/3</x:f>
        <x:v>0.3333333333333333</x:v>
      </x:c>
      <x:c r="E2989" s="46" t="n">
        <x:f>D2989*(C2989-1)</x:f>
        <x:v>-0.26733094503003213</x:v>
      </x:c>
      <x:c r="F2989" s="2"/>
      <x:c r="G2989" s="2"/>
      <x:c r="H2989" s="2"/>
    </x:row>
    <x:row r="2990" ht="22" customHeight="1">
      <x:c r="A2990" s="2" t="n">
        <x:v>2984</x:v>
      </x:c>
      <x:c r="B2990" s="79" t="n">
        <x:v>1.353031324997148</x:v>
      </x:c>
      <x:c r="C2990" s="46" t="n">
        <x:f>B2990^2</x:f>
        <x:v>1.8306937664235379</x:v>
      </x:c>
      <x:c r="D2990" s="47" t="n">
        <x:f>'Datos'!$B$26^3/3</x:f>
        <x:v>0.3333333333333333</x:v>
      </x:c>
      <x:c r="E2990" s="46" t="n">
        <x:f>D2990*(C2990-1)</x:f>
        <x:v>0.27689792214117925</x:v>
      </x:c>
      <x:c r="F2990" s="2"/>
      <x:c r="G2990" s="2"/>
      <x:c r="H2990" s="2"/>
    </x:row>
    <x:row r="2991" ht="22" customHeight="1">
      <x:c r="A2991" s="2" t="n">
        <x:v>2985</x:v>
      </x:c>
      <x:c r="B2991" s="79" t="n">
        <x:v>-1.9404963683789571</x:v>
      </x:c>
      <x:c r="C2991" s="46" t="n">
        <x:f>B2991^2</x:f>
        <x:v>3.765526155691921</x:v>
      </x:c>
      <x:c r="D2991" s="47" t="n">
        <x:f>'Datos'!$B$26^3/3</x:f>
        <x:v>0.3333333333333333</x:v>
      </x:c>
      <x:c r="E2991" s="46" t="n">
        <x:f>D2991*(C2991-1)</x:f>
        <x:v>0.921842051897307</x:v>
      </x:c>
      <x:c r="F2991" s="2"/>
      <x:c r="G2991" s="2"/>
      <x:c r="H2991" s="2"/>
    </x:row>
    <x:row r="2992" ht="22" customHeight="1">
      <x:c r="A2992" s="2" t="n">
        <x:v>2986</x:v>
      </x:c>
      <x:c r="B2992" s="79" t="n">
        <x:v>-0.20015547890440838</x:v>
      </x:c>
      <x:c r="C2992" s="46" t="n">
        <x:f>B2992^2</x:f>
        <x:v>0.040062215735453065</x:v>
      </x:c>
      <x:c r="D2992" s="47" t="n">
        <x:f>'Datos'!$B$26^3/3</x:f>
        <x:v>0.3333333333333333</x:v>
      </x:c>
      <x:c r="E2992" s="46" t="n">
        <x:f>D2992*(C2992-1)</x:f>
        <x:v>-0.3199792614215156</x:v>
      </x:c>
      <x:c r="F2992" s="2"/>
      <x:c r="G2992" s="2"/>
      <x:c r="H2992" s="2"/>
    </x:row>
    <x:row r="2993" ht="22" customHeight="1">
      <x:c r="A2993" s="2" t="n">
        <x:v>2987</x:v>
      </x:c>
      <x:c r="B2993" s="79" t="n">
        <x:v>-0.30660320698842003</x:v>
      </x:c>
      <x:c r="C2993" s="46" t="n">
        <x:f>B2993^2</x:f>
        <x:v>0.09400552653558393</x:v>
      </x:c>
      <x:c r="D2993" s="47" t="n">
        <x:f>'Datos'!$B$26^3/3</x:f>
        <x:v>0.3333333333333333</x:v>
      </x:c>
      <x:c r="E2993" s="46" t="n">
        <x:f>D2993*(C2993-1)</x:f>
        <x:v>-0.301998157821472</x:v>
      </x:c>
      <x:c r="F2993" s="2"/>
      <x:c r="G2993" s="2"/>
      <x:c r="H2993" s="2"/>
    </x:row>
    <x:row r="2994" ht="22" customHeight="1">
      <x:c r="A2994" s="2" t="n">
        <x:v>2988</x:v>
      </x:c>
      <x:c r="B2994" s="79" t="n">
        <x:v>-1.3057610246860332</x:v>
      </x:c>
      <x:c r="C2994" s="46" t="n">
        <x:f>B2994^2</x:f>
        <x:v>1.7050118535891192</x:v>
      </x:c>
      <x:c r="D2994" s="47" t="n">
        <x:f>'Datos'!$B$26^3/3</x:f>
        <x:v>0.3333333333333333</x:v>
      </x:c>
      <x:c r="E2994" s="46" t="n">
        <x:f>D2994*(C2994-1)</x:f>
        <x:v>0.23500395119637307</x:v>
      </x:c>
      <x:c r="F2994" s="2"/>
      <x:c r="G2994" s="2"/>
      <x:c r="H2994" s="2"/>
    </x:row>
    <x:row r="2995" ht="22" customHeight="1">
      <x:c r="A2995" s="2" t="n">
        <x:v>2989</x:v>
      </x:c>
      <x:c r="B2995" s="79" t="n">
        <x:v>0.8491928768073583</x:v>
      </x:c>
      <x:c r="C2995" s="46" t="n">
        <x:f>B2995^2</x:f>
        <x:v>0.7211285420203573</x:v>
      </x:c>
      <x:c r="D2995" s="47" t="n">
        <x:f>'Datos'!$B$26^3/3</x:f>
        <x:v>0.3333333333333333</x:v>
      </x:c>
      <x:c r="E2995" s="46" t="n">
        <x:f>D2995*(C2995-1)</x:f>
        <x:v>-0.09295715265988092</x:v>
      </x:c>
      <x:c r="F2995" s="2"/>
      <x:c r="G2995" s="2"/>
      <x:c r="H2995" s="2"/>
    </x:row>
    <x:row r="2996" ht="22" customHeight="1">
      <x:c r="A2996" s="2" t="n">
        <x:v>2990</x:v>
      </x:c>
      <x:c r="B2996" s="79" t="n">
        <x:v>-1.1871432325710147</x:v>
      </x:c>
      <x:c r="C2996" s="46" t="n">
        <x:f>B2996^2</x:f>
        <x:v>1.4093090546391585</x:v>
      </x:c>
      <x:c r="D2996" s="47" t="n">
        <x:f>'Datos'!$B$26^3/3</x:f>
        <x:v>0.3333333333333333</x:v>
      </x:c>
      <x:c r="E2996" s="46" t="n">
        <x:f>D2996*(C2996-1)</x:f>
        <x:v>0.13643635154638614</x:v>
      </x:c>
      <x:c r="F2996" s="2"/>
      <x:c r="G2996" s="2"/>
      <x:c r="H2996" s="2"/>
    </x:row>
    <x:row r="2997" ht="22" customHeight="1">
      <x:c r="A2997" s="2" t="n">
        <x:v>2991</x:v>
      </x:c>
      <x:c r="B2997" s="79" t="n">
        <x:v>0.46410721646144437</x:v>
      </x:c>
      <x:c r="C2997" s="46" t="n">
        <x:f>B2997^2</x:f>
        <x:v>0.21539550837159</x:v>
      </x:c>
      <x:c r="D2997" s="47" t="n">
        <x:f>'Datos'!$B$26^3/3</x:f>
        <x:v>0.3333333333333333</x:v>
      </x:c>
      <x:c r="E2997" s="46" t="n">
        <x:f>D2997*(C2997-1)</x:f>
        <x:v>-0.26153483054280335</x:v>
      </x:c>
      <x:c r="F2997" s="2"/>
      <x:c r="G2997" s="2"/>
      <x:c r="H2997" s="2"/>
    </x:row>
    <x:row r="2998" ht="22" customHeight="1">
      <x:c r="A2998" s="2" t="n">
        <x:v>2992</x:v>
      </x:c>
      <x:c r="B2998" s="79" t="n">
        <x:v>-1.915313128351683</x:v>
      </x:c>
      <x:c r="C2998" s="46" t="n">
        <x:f>B2998^2</x:f>
        <x:v>3.6684243796363107</x:v>
      </x:c>
      <x:c r="D2998" s="47" t="n">
        <x:f>'Datos'!$B$26^3/3</x:f>
        <x:v>0.3333333333333333</x:v>
      </x:c>
      <x:c r="E2998" s="46" t="n">
        <x:f>D2998*(C2998-1)</x:f>
        <x:v>0.8894747932121035</x:v>
      </x:c>
      <x:c r="F2998" s="2"/>
      <x:c r="G2998" s="2"/>
      <x:c r="H2998" s="2"/>
    </x:row>
    <x:row r="2999" ht="22" customHeight="1">
      <x:c r="A2999" s="2" t="n">
        <x:v>2993</x:v>
      </x:c>
      <x:c r="B2999" s="79" t="n">
        <x:v>0.8326953798870044</x:v>
      </x:c>
      <x:c r="C2999" s="46" t="n">
        <x:f>B2999^2</x:f>
        <x:v>0.6933815956851626</x:v>
      </x:c>
      <x:c r="D2999" s="47" t="n">
        <x:f>'Datos'!$B$26^3/3</x:f>
        <x:v>0.3333333333333333</x:v>
      </x:c>
      <x:c r="E2999" s="46" t="n">
        <x:f>D2999*(C2999-1)</x:f>
        <x:v>-0.10220613477161247</x:v>
      </x:c>
      <x:c r="F2999" s="2"/>
      <x:c r="G2999" s="2"/>
      <x:c r="H2999" s="2"/>
    </x:row>
    <x:row r="3000" ht="22" customHeight="1">
      <x:c r="A3000" s="2" t="n">
        <x:v>2994</x:v>
      </x:c>
      <x:c r="B3000" s="79" t="n">
        <x:v>0.09720902071169012</x:v>
      </x:c>
      <x:c r="C3000" s="46" t="n">
        <x:f>B3000^2</x:f>
        <x:v>0.009449593707725797</x:v>
      </x:c>
      <x:c r="D3000" s="47" t="n">
        <x:f>'Datos'!$B$26^3/3</x:f>
        <x:v>0.3333333333333333</x:v>
      </x:c>
      <x:c r="E3000" s="46" t="n">
        <x:f>D3000*(C3000-1)</x:f>
        <x:v>-0.3301834687640914</x:v>
      </x:c>
      <x:c r="F3000" s="2"/>
      <x:c r="G3000" s="2"/>
      <x:c r="H3000" s="2"/>
    </x:row>
    <x:row r="3001" ht="22" customHeight="1">
      <x:c r="A3001" s="2" t="n">
        <x:v>2995</x:v>
      </x:c>
      <x:c r="B3001" s="79" t="n">
        <x:v>0.3763567114525775</x:v>
      </x:c>
      <x:c r="C3001" s="46" t="n">
        <x:f>B3001^2</x:f>
        <x:v>0.14164437425539866</x:v>
      </x:c>
      <x:c r="D3001" s="47" t="n">
        <x:f>'Datos'!$B$26^3/3</x:f>
        <x:v>0.3333333333333333</x:v>
      </x:c>
      <x:c r="E3001" s="46" t="n">
        <x:f>D3001*(C3001-1)</x:f>
        <x:v>-0.2861185419148671</x:v>
      </x:c>
      <x:c r="F3001" s="2"/>
      <x:c r="G3001" s="2"/>
      <x:c r="H3001" s="2"/>
    </x:row>
    <x:row r="3002" ht="22" customHeight="1">
      <x:c r="A3002" s="2" t="n">
        <x:v>2996</x:v>
      </x:c>
      <x:c r="B3002" s="79" t="n">
        <x:v>1.2171569647745877</x:v>
      </x:c>
      <x:c r="C3002" s="46" t="n">
        <x:f>B3002^2</x:f>
        <x:v>1.481471076899287</x:v>
      </x:c>
      <x:c r="D3002" s="47" t="n">
        <x:f>'Datos'!$B$26^3/3</x:f>
        <x:v>0.3333333333333333</x:v>
      </x:c>
      <x:c r="E3002" s="46" t="n">
        <x:f>D3002*(C3002-1)</x:f>
        <x:v>0.16049035896642896</x:v>
      </x:c>
      <x:c r="F3002" s="2"/>
      <x:c r="G3002" s="2"/>
      <x:c r="H3002" s="2"/>
    </x:row>
    <x:row r="3003" ht="22" customHeight="1">
      <x:c r="A3003" s="2" t="n">
        <x:v>2997</x:v>
      </x:c>
      <x:c r="B3003" s="79" t="n">
        <x:v>-1.766622906353407</x:v>
      </x:c>
      <x:c r="C3003" s="46" t="n">
        <x:f>B3003^2</x:f>
        <x:v>3.1209564932525584</x:v>
      </x:c>
      <x:c r="D3003" s="47" t="n">
        <x:f>'Datos'!$B$26^3/3</x:f>
        <x:v>0.3333333333333333</x:v>
      </x:c>
      <x:c r="E3003" s="46" t="n">
        <x:f>D3003*(C3003-1)</x:f>
        <x:v>0.7069854977508527</x:v>
      </x:c>
      <x:c r="F3003" s="2"/>
      <x:c r="G3003" s="2"/>
      <x:c r="H3003" s="2"/>
    </x:row>
    <x:row r="3004" ht="22" customHeight="1">
      <x:c r="A3004" s="2" t="n">
        <x:v>2998</x:v>
      </x:c>
      <x:c r="B3004" s="79" t="n">
        <x:v>0.30846754652745006</x:v>
      </x:c>
      <x:c r="C3004" s="46" t="n">
        <x:f>B3004^2</x:f>
        <x:v>0.09515222726066457</x:v>
      </x:c>
      <x:c r="D3004" s="47" t="n">
        <x:f>'Datos'!$B$26^3/3</x:f>
        <x:v>0.3333333333333333</x:v>
      </x:c>
      <x:c r="E3004" s="46" t="n">
        <x:f>D3004*(C3004-1)</x:f>
        <x:v>-0.3016159242464451</x:v>
      </x:c>
      <x:c r="F3004" s="2"/>
      <x:c r="G3004" s="2"/>
      <x:c r="H3004" s="2"/>
    </x:row>
    <x:row r="3005" ht="22" customHeight="1">
      <x:c r="A3005" s="2" t="n">
        <x:v>2999</x:v>
      </x:c>
      <x:c r="B3005" s="79" t="n">
        <x:v>-0.5304201440793188</x:v>
      </x:c>
      <x:c r="C3005" s="46" t="n">
        <x:f>B3005^2</x:f>
        <x:v>0.28134552924512535</x:v>
      </x:c>
      <x:c r="D3005" s="47" t="n">
        <x:f>'Datos'!$B$26^3/3</x:f>
        <x:v>0.3333333333333333</x:v>
      </x:c>
      <x:c r="E3005" s="46" t="n">
        <x:f>D3005*(C3005-1)</x:f>
        <x:v>-0.23955149025162487</x:v>
      </x:c>
      <x:c r="F3005" s="2"/>
      <x:c r="G3005" s="2"/>
      <x:c r="H3005" s="2"/>
    </x:row>
    <x:row r="3006" ht="22" customHeight="1">
      <x:c r="A3006" s="2" t="n">
        <x:v>3000</x:v>
      </x:c>
      <x:c r="B3006" s="79" t="n">
        <x:v>-1.729497002385188</x:v>
      </x:c>
      <x:c r="C3006" s="46" t="n">
        <x:f>B3006^2</x:f>
        <x:v>2.9911598812593514</x:v>
      </x:c>
      <x:c r="D3006" s="47" t="n">
        <x:f>'Datos'!$B$26^3/3</x:f>
        <x:v>0.3333333333333333</x:v>
      </x:c>
      <x:c r="E3006" s="46" t="n">
        <x:f>D3006*(C3006-1)</x:f>
        <x:v>0.6637199604197838</x:v>
      </x:c>
      <x:c r="F3006" s="2"/>
      <x:c r="G3006" s="2"/>
      <x:c r="H3006" s="2"/>
    </x:row>
    <x:row r="3007" ht="22" customHeight="1">
      <x:c r="A3007" s="2" t="n">
        <x:v>3001</x:v>
      </x:c>
      <x:c r="B3007" s="79" t="n">
        <x:v>-0.21252878558535263</x:v>
      </x:c>
      <x:c r="C3007" s="46" t="n">
        <x:f>B3007^2</x:f>
        <x:v>0.04516848470238479</x:v>
      </x:c>
      <x:c r="D3007" s="47" t="n">
        <x:f>'Datos'!$B$26^3/3</x:f>
        <x:v>0.3333333333333333</x:v>
      </x:c>
      <x:c r="E3007" s="46" t="n">
        <x:f>D3007*(C3007-1)</x:f>
        <x:v>-0.3182771717658717</x:v>
      </x:c>
      <x:c r="F3007" s="2"/>
      <x:c r="G3007" s="2"/>
      <x:c r="H3007" s="2"/>
    </x:row>
    <x:row r="3008" ht="22" customHeight="1">
      <x:c r="A3008" s="2" t="n">
        <x:v>3002</x:v>
      </x:c>
      <x:c r="B3008" s="79" t="n">
        <x:v>-2.038435370031045</x:v>
      </x:c>
      <x:c r="C3008" s="46" t="n">
        <x:f>B3008^2</x:f>
        <x:v>4.1552187577936035</x:v>
      </x:c>
      <x:c r="D3008" s="47" t="n">
        <x:f>'Datos'!$B$26^3/3</x:f>
        <x:v>0.3333333333333333</x:v>
      </x:c>
      <x:c r="E3008" s="46" t="n">
        <x:f>D3008*(C3008-1)</x:f>
        <x:v>1.051739585931201</x:v>
      </x:c>
      <x:c r="F3008" s="2"/>
      <x:c r="G3008" s="2"/>
      <x:c r="H3008" s="2"/>
    </x:row>
    <x:row r="3009" ht="22" customHeight="1">
      <x:c r="A3009" s="2" t="n">
        <x:v>3003</x:v>
      </x:c>
      <x:c r="B3009" s="79" t="n">
        <x:v>-0.6778160746483018</x:v>
      </x:c>
      <x:c r="C3009" s="46" t="n">
        <x:f>B3009^2</x:f>
        <x:v>0.4594346310516323</x:v>
      </x:c>
      <x:c r="D3009" s="47" t="n">
        <x:f>'Datos'!$B$26^3/3</x:f>
        <x:v>0.3333333333333333</x:v>
      </x:c>
      <x:c r="E3009" s="46" t="n">
        <x:f>D3009*(C3009-1)</x:f>
        <x:v>-0.18018845631612257</x:v>
      </x:c>
      <x:c r="F3009" s="2"/>
      <x:c r="G3009" s="2"/>
      <x:c r="H3009" s="2"/>
    </x:row>
    <x:row r="3010" ht="22" customHeight="1">
      <x:c r="A3010" s="2" t="n">
        <x:v>3004</x:v>
      </x:c>
      <x:c r="B3010" s="79" t="n">
        <x:v>-1.03475565826542</x:v>
      </x:c>
      <x:c r="C3010" s="46" t="n">
        <x:f>B3010^2</x:f>
        <x:v>1.0707192723123027</x:v>
      </x:c>
      <x:c r="D3010" s="47" t="n">
        <x:f>'Datos'!$B$26^3/3</x:f>
        <x:v>0.3333333333333333</x:v>
      </x:c>
      <x:c r="E3010" s="46" t="n">
        <x:f>D3010*(C3010-1)</x:f>
        <x:v>0.02357309077076756</x:v>
      </x:c>
      <x:c r="F3010" s="2"/>
      <x:c r="G3010" s="2"/>
      <x:c r="H3010" s="2"/>
    </x:row>
    <x:row r="3011" ht="22" customHeight="1">
      <x:c r="A3011" s="2" t="n">
        <x:v>3005</x:v>
      </x:c>
      <x:c r="B3011" s="79" t="n">
        <x:v>-1.2377765893386161</x:v>
      </x:c>
      <x:c r="C3011" s="46" t="n">
        <x:f>B3011^2</x:f>
        <x:v>1.5320908851147372</x:v>
      </x:c>
      <x:c r="D3011" s="47" t="n">
        <x:f>'Datos'!$B$26^3/3</x:f>
        <x:v>0.3333333333333333</x:v>
      </x:c>
      <x:c r="E3011" s="46" t="n">
        <x:f>D3011*(C3011-1)</x:f>
        <x:v>0.17736362837157907</x:v>
      </x:c>
      <x:c r="F3011" s="2"/>
      <x:c r="G3011" s="2"/>
      <x:c r="H3011" s="2"/>
    </x:row>
    <x:row r="3012" ht="22" customHeight="1">
      <x:c r="A3012" s="2" t="n">
        <x:v>3006</x:v>
      </x:c>
      <x:c r="B3012" s="79" t="n">
        <x:v>-1.79791576079162</x:v>
      </x:c>
      <x:c r="C3012" s="46" t="n">
        <x:f>B3012^2</x:f>
        <x:v>3.23250108290291</x:v>
      </x:c>
      <x:c r="D3012" s="47" t="n">
        <x:f>'Datos'!$B$26^3/3</x:f>
        <x:v>0.3333333333333333</x:v>
      </x:c>
      <x:c r="E3012" s="46" t="n">
        <x:f>D3012*(C3012-1)</x:f>
        <x:v>0.7441670276343033</x:v>
      </x:c>
      <x:c r="F3012" s="2"/>
      <x:c r="G3012" s="2"/>
      <x:c r="H3012" s="2"/>
    </x:row>
    <x:row r="3013" ht="22" customHeight="1">
      <x:c r="A3013" s="2" t="n">
        <x:v>3007</x:v>
      </x:c>
      <x:c r="B3013" s="79" t="n">
        <x:v>-0.20762767744022412</x:v>
      </x:c>
      <x:c r="C3013" s="46" t="n">
        <x:f>B3013^2</x:f>
        <x:v>0.04310925243922175</x:v>
      </x:c>
      <x:c r="D3013" s="47" t="n">
        <x:f>'Datos'!$B$26^3/3</x:f>
        <x:v>0.3333333333333333</x:v>
      </x:c>
      <x:c r="E3013" s="46" t="n">
        <x:f>D3013*(C3013-1)</x:f>
        <x:v>-0.3189635825202594</x:v>
      </x:c>
      <x:c r="F3013" s="2"/>
      <x:c r="G3013" s="2"/>
      <x:c r="H3013" s="2"/>
    </x:row>
    <x:row r="3014" ht="22" customHeight="1">
      <x:c r="A3014" s="2" t="n">
        <x:v>3008</x:v>
      </x:c>
      <x:c r="B3014" s="79" t="n">
        <x:v>-1.9625414111660808</x:v>
      </x:c>
      <x:c r="C3014" s="46" t="n">
        <x:f>B3014^2</x:f>
        <x:v>3.851568790541752</x:v>
      </x:c>
      <x:c r="D3014" s="47" t="n">
        <x:f>'Datos'!$B$26^3/3</x:f>
        <x:v>0.3333333333333333</x:v>
      </x:c>
      <x:c r="E3014" s="46" t="n">
        <x:f>D3014*(C3014-1)</x:f>
        <x:v>0.950522930180584</x:v>
      </x:c>
      <x:c r="F3014" s="2"/>
      <x:c r="G3014" s="2"/>
      <x:c r="H3014" s="2"/>
    </x:row>
    <x:row r="3015" ht="22" customHeight="1">
      <x:c r="A3015" s="2" t="n">
        <x:v>3009</x:v>
      </x:c>
      <x:c r="B3015" s="79" t="n">
        <x:v>0.16301982680208357</x:v>
      </x:c>
      <x:c r="C3015" s="46" t="n">
        <x:f>B3015^2</x:f>
        <x:v>0.026575463930581324</x:v>
      </x:c>
      <x:c r="D3015" s="47" t="n">
        <x:f>'Datos'!$B$26^3/3</x:f>
        <x:v>0.3333333333333333</x:v>
      </x:c>
      <x:c r="E3015" s="46" t="n">
        <x:f>D3015*(C3015-1)</x:f>
        <x:v>-0.32447484535647286</x:v>
      </x:c>
      <x:c r="F3015" s="2"/>
      <x:c r="G3015" s="2"/>
      <x:c r="H3015" s="2"/>
    </x:row>
    <x:row r="3016" ht="22" customHeight="1">
      <x:c r="A3016" s="2" t="n">
        <x:v>3010</x:v>
      </x:c>
      <x:c r="B3016" s="79" t="n">
        <x:v>0.6317666865236716</x:v>
      </x:c>
      <x:c r="C3016" s="46" t="n">
        <x:f>B3016^2</x:f>
        <x:v>0.3991291462010992</x:v>
      </x:c>
      <x:c r="D3016" s="47" t="n">
        <x:f>'Datos'!$B$26^3/3</x:f>
        <x:v>0.3333333333333333</x:v>
      </x:c>
      <x:c r="E3016" s="46" t="n">
        <x:f>D3016*(C3016-1)</x:f>
        <x:v>-0.2002902845996336</x:v>
      </x:c>
      <x:c r="F3016" s="2"/>
      <x:c r="G3016" s="2"/>
      <x:c r="H3016" s="2"/>
    </x:row>
    <x:row r="3017" ht="22" customHeight="1">
      <x:c r="A3017" s="2" t="n">
        <x:v>3011</x:v>
      </x:c>
      <x:c r="B3017" s="79" t="n">
        <x:v>-0.42798031419560206</x:v>
      </x:c>
      <x:c r="C3017" s="46" t="n">
        <x:f>B3017^2</x:f>
        <x:v>0.18316714933896627</x:v>
      </x:c>
      <x:c r="D3017" s="47" t="n">
        <x:f>'Datos'!$B$26^3/3</x:f>
        <x:v>0.3333333333333333</x:v>
      </x:c>
      <x:c r="E3017" s="46" t="n">
        <x:f>D3017*(C3017-1)</x:f>
        <x:v>-0.27227761688701124</x:v>
      </x:c>
      <x:c r="F3017" s="2"/>
      <x:c r="G3017" s="2"/>
      <x:c r="H3017" s="2"/>
    </x:row>
    <x:row r="3018" ht="22" customHeight="1">
      <x:c r="A3018" s="2" t="n">
        <x:v>3012</x:v>
      </x:c>
      <x:c r="B3018" s="79" t="n">
        <x:v>-0.46521734193294223</x:v>
      </x:c>
      <x:c r="C3018" s="46" t="n">
        <x:f>B3018^2</x:f>
        <x:v>0.2164271752351521</x:v>
      </x:c>
      <x:c r="D3018" s="47" t="n">
        <x:f>'Datos'!$B$26^3/3</x:f>
        <x:v>0.3333333333333333</x:v>
      </x:c>
      <x:c r="E3018" s="46" t="n">
        <x:f>D3018*(C3018-1)</x:f>
        <x:v>-0.2611909415882826</x:v>
      </x:c>
      <x:c r="F3018" s="2"/>
      <x:c r="G3018" s="2"/>
      <x:c r="H3018" s="2"/>
    </x:row>
    <x:row r="3019" ht="22" customHeight="1">
      <x:c r="A3019" s="2" t="n">
        <x:v>3013</x:v>
      </x:c>
      <x:c r="B3019" s="79" t="n">
        <x:v>-0.09529435850858971</x:v>
      </x:c>
      <x:c r="C3019" s="46" t="n">
        <x:f>B3019^2</x:f>
        <x:v>0.009081014763563624</x:v>
      </x:c>
      <x:c r="D3019" s="47" t="n">
        <x:f>'Datos'!$B$26^3/3</x:f>
        <x:v>0.3333333333333333</x:v>
      </x:c>
      <x:c r="E3019" s="46" t="n">
        <x:f>D3019*(C3019-1)</x:f>
        <x:v>-0.33030632841214547</x:v>
      </x:c>
      <x:c r="F3019" s="2"/>
      <x:c r="G3019" s="2"/>
      <x:c r="H3019" s="2"/>
    </x:row>
    <x:row r="3020" ht="22" customHeight="1">
      <x:c r="A3020" s="2" t="n">
        <x:v>3014</x:v>
      </x:c>
      <x:c r="B3020" s="79" t="n">
        <x:v>2.205424128132031</x:v>
      </x:c>
      <x:c r="C3020" s="46" t="n">
        <x:f>B3020^2</x:f>
        <x:v>4.863895584946929</x:v>
      </x:c>
      <x:c r="D3020" s="47" t="n">
        <x:f>'Datos'!$B$26^3/3</x:f>
        <x:v>0.3333333333333333</x:v>
      </x:c>
      <x:c r="E3020" s="46" t="n">
        <x:f>D3020*(C3020-1)</x:f>
        <x:v>1.2879651949823097</x:v>
      </x:c>
      <x:c r="F3020" s="2"/>
      <x:c r="G3020" s="2"/>
      <x:c r="H3020" s="2"/>
    </x:row>
    <x:row r="3021" ht="22" customHeight="1">
      <x:c r="A3021" s="2" t="n">
        <x:v>3015</x:v>
      </x:c>
      <x:c r="B3021" s="79" t="n">
        <x:v>-0.7840669991878695</x:v>
      </x:c>
      <x:c r="C3021" s="46" t="n">
        <x:f>B3021^2</x:f>
        <x:v>0.6147610592154705</x:v>
      </x:c>
      <x:c r="D3021" s="47" t="n">
        <x:f>'Datos'!$B$26^3/3</x:f>
        <x:v>0.3333333333333333</x:v>
      </x:c>
      <x:c r="E3021" s="46" t="n">
        <x:f>D3021*(C3021-1)</x:f>
        <x:v>-0.12841298026150982</x:v>
      </x:c>
      <x:c r="F3021" s="2"/>
      <x:c r="G3021" s="2"/>
      <x:c r="H3021" s="2"/>
    </x:row>
    <x:row r="3022" ht="22" customHeight="1">
      <x:c r="A3022" s="2" t="n">
        <x:v>3016</x:v>
      </x:c>
      <x:c r="B3022" s="79" t="n">
        <x:v>0.40077090952465066</x:v>
      </x:c>
      <x:c r="C3022" s="46" t="n">
        <x:f>B3022^2</x:f>
        <x:v>0.16061732192121572</x:v>
      </x:c>
      <x:c r="D3022" s="47" t="n">
        <x:f>'Datos'!$B$26^3/3</x:f>
        <x:v>0.3333333333333333</x:v>
      </x:c>
      <x:c r="E3022" s="46" t="n">
        <x:f>D3022*(C3022-1)</x:f>
        <x:v>-0.2797942260262614</x:v>
      </x:c>
      <x:c r="F3022" s="2"/>
      <x:c r="G3022" s="2"/>
      <x:c r="H3022" s="2"/>
    </x:row>
    <x:row r="3023" ht="22" customHeight="1">
      <x:c r="A3023" s="2" t="n">
        <x:v>3017</x:v>
      </x:c>
      <x:c r="B3023" s="79" t="n">
        <x:v>-2.043003026387139</x:v>
      </x:c>
      <x:c r="C3023" s="46" t="n">
        <x:f>B3023^2</x:f>
        <x:v>4.173861365827008</x:v>
      </x:c>
      <x:c r="D3023" s="47" t="n">
        <x:f>'Datos'!$B$26^3/3</x:f>
        <x:v>0.3333333333333333</x:v>
      </x:c>
      <x:c r="E3023" s="46" t="n">
        <x:f>D3023*(C3023-1)</x:f>
        <x:v>1.0579537886090027</x:v>
      </x:c>
      <x:c r="F3023" s="2"/>
      <x:c r="G3023" s="2"/>
      <x:c r="H3023" s="2"/>
    </x:row>
    <x:row r="3024" ht="22" customHeight="1">
      <x:c r="A3024" s="2" t="n">
        <x:v>3018</x:v>
      </x:c>
      <x:c r="B3024" s="79" t="n">
        <x:v>0.11105353546538844</x:v>
      </x:c>
      <x:c r="C3024" s="46" t="n">
        <x:f>B3024^2</x:f>
        <x:v>0.012332887739362289</x:v>
      </x:c>
      <x:c r="D3024" s="47" t="n">
        <x:f>'Datos'!$B$26^3/3</x:f>
        <x:v>0.3333333333333333</x:v>
      </x:c>
      <x:c r="E3024" s="46" t="n">
        <x:f>D3024*(C3024-1)</x:f>
        <x:v>-0.3292223707535459</x:v>
      </x:c>
      <x:c r="F3024" s="2"/>
      <x:c r="G3024" s="2"/>
      <x:c r="H3024" s="2"/>
    </x:row>
    <x:row r="3025" ht="22" customHeight="1">
      <x:c r="A3025" s="2" t="n">
        <x:v>3019</x:v>
      </x:c>
      <x:c r="B3025" s="79" t="n">
        <x:v>-0.2345695859317761</x:v>
      </x:c>
      <x:c r="C3025" s="46" t="n">
        <x:f>B3025^2</x:f>
        <x:v>0.05502289064420489</x:v>
      </x:c>
      <x:c r="D3025" s="47" t="n">
        <x:f>'Datos'!$B$26^3/3</x:f>
        <x:v>0.3333333333333333</x:v>
      </x:c>
      <x:c r="E3025" s="46" t="n">
        <x:f>D3025*(C3025-1)</x:f>
        <x:v>-0.314992369785265</x:v>
      </x:c>
      <x:c r="F3025" s="2"/>
      <x:c r="G3025" s="2"/>
      <x:c r="H3025" s="2"/>
    </x:row>
    <x:row r="3026" ht="22" customHeight="1">
      <x:c r="A3026" s="2" t="n">
        <x:v>3020</x:v>
      </x:c>
      <x:c r="B3026" s="79" t="n">
        <x:v>0.3472158840529352</x:v>
      </x:c>
      <x:c r="C3026" s="46" t="n">
        <x:f>B3026^2</x:f>
        <x:v>0.12055887013866133</x:v>
      </x:c>
      <x:c r="D3026" s="47" t="n">
        <x:f>'Datos'!$B$26^3/3</x:f>
        <x:v>0.3333333333333333</x:v>
      </x:c>
      <x:c r="E3026" s="46" t="n">
        <x:f>D3026*(C3026-1)</x:f>
        <x:v>-0.2931470432871129</x:v>
      </x:c>
      <x:c r="F3026" s="2"/>
      <x:c r="G3026" s="2"/>
      <x:c r="H3026" s="2"/>
    </x:row>
    <x:row r="3027" ht="22" customHeight="1">
      <x:c r="A3027" s="2" t="n">
        <x:v>3021</x:v>
      </x:c>
      <x:c r="B3027" s="79" t="n">
        <x:v>0.23539006664935128</x:v>
      </x:c>
      <x:c r="C3027" s="46" t="n">
        <x:f>B3027^2</x:f>
        <x:v>0.055408483477186035</x:v>
      </x:c>
      <x:c r="D3027" s="47" t="n">
        <x:f>'Datos'!$B$26^3/3</x:f>
        <x:v>0.3333333333333333</x:v>
      </x:c>
      <x:c r="E3027" s="46" t="n">
        <x:f>D3027*(C3027-1)</x:f>
        <x:v>-0.31486383884093794</x:v>
      </x:c>
      <x:c r="F3027" s="2"/>
      <x:c r="G3027" s="2"/>
      <x:c r="H3027" s="2"/>
    </x:row>
    <x:row r="3028" ht="22" customHeight="1">
      <x:c r="A3028" s="2" t="n">
        <x:v>3022</x:v>
      </x:c>
      <x:c r="B3028" s="79" t="n">
        <x:v>1.07097050277713</x:v>
      </x:c>
      <x:c r="C3028" s="46" t="n">
        <x:f>B3028^2</x:f>
        <x:v>1.1469778178186985</x:v>
      </x:c>
      <x:c r="D3028" s="47" t="n">
        <x:f>'Datos'!$B$26^3/3</x:f>
        <x:v>0.3333333333333333</x:v>
      </x:c>
      <x:c r="E3028" s="46" t="n">
        <x:f>D3028*(C3028-1)</x:f>
        <x:v>0.04899260593956615</x:v>
      </x:c>
      <x:c r="F3028" s="2"/>
      <x:c r="G3028" s="2"/>
      <x:c r="H3028" s="2"/>
    </x:row>
    <x:row r="3029" ht="22" customHeight="1">
      <x:c r="A3029" s="2" t="n">
        <x:v>3023</x:v>
      </x:c>
      <x:c r="B3029" s="79" t="n">
        <x:v>-1.3462775583651703</x:v>
      </x:c>
      <x:c r="C3029" s="46" t="n">
        <x:f>B3029^2</x:f>
        <x:v>1.8124632641576843</x:v>
      </x:c>
      <x:c r="D3029" s="47" t="n">
        <x:f>'Datos'!$B$26^3/3</x:f>
        <x:v>0.3333333333333333</x:v>
      </x:c>
      <x:c r="E3029" s="46" t="n">
        <x:f>D3029*(C3029-1)</x:f>
        <x:v>0.27082108805256144</x:v>
      </x:c>
      <x:c r="F3029" s="2"/>
      <x:c r="G3029" s="2"/>
      <x:c r="H3029" s="2"/>
    </x:row>
    <x:row r="3030" ht="22" customHeight="1">
      <x:c r="A3030" s="2" t="n">
        <x:v>3024</x:v>
      </x:c>
      <x:c r="B3030" s="79" t="n">
        <x:v>-0.5772336076908897</x:v>
      </x:c>
      <x:c r="C3030" s="46" t="n">
        <x:f>B3030^2</x:f>
        <x:v>0.33319863784784</x:v>
      </x:c>
      <x:c r="D3030" s="47" t="n">
        <x:f>'Datos'!$B$26^3/3</x:f>
        <x:v>0.3333333333333333</x:v>
      </x:c>
      <x:c r="E3030" s="46" t="n">
        <x:f>D3030*(C3030-1)</x:f>
        <x:v>-0.22226712071738666</x:v>
      </x:c>
      <x:c r="F3030" s="2"/>
      <x:c r="G3030" s="2"/>
      <x:c r="H3030" s="2"/>
    </x:row>
    <x:row r="3031" ht="22" customHeight="1">
      <x:c r="A3031" s="2" t="n">
        <x:v>3025</x:v>
      </x:c>
      <x:c r="B3031" s="79" t="n">
        <x:v>2.65496888434259</x:v>
      </x:c>
      <x:c r="C3031" s="46" t="n">
        <x:f>B3031^2</x:f>
        <x:v>7.048859776827337</x:v>
      </x:c>
      <x:c r="D3031" s="47" t="n">
        <x:f>'Datos'!$B$26^3/3</x:f>
        <x:v>0.3333333333333333</x:v>
      </x:c>
      <x:c r="E3031" s="46" t="n">
        <x:f>D3031*(C3031-1)</x:f>
        <x:v>2.0162865922757787</x:v>
      </x:c>
      <x:c r="F3031" s="2"/>
      <x:c r="G3031" s="2"/>
      <x:c r="H3031" s="2"/>
    </x:row>
    <x:row r="3032" ht="22" customHeight="1">
      <x:c r="A3032" s="2" t="n">
        <x:v>3026</x:v>
      </x:c>
      <x:c r="B3032" s="79" t="n">
        <x:v>0.6038501820873508</x:v>
      </x:c>
      <x:c r="C3032" s="46" t="n">
        <x:f>B3032^2</x:f>
        <x:v>0.3646350424069267</x:v>
      </x:c>
      <x:c r="D3032" s="47" t="n">
        <x:f>'Datos'!$B$26^3/3</x:f>
        <x:v>0.3333333333333333</x:v>
      </x:c>
      <x:c r="E3032" s="46" t="n">
        <x:f>D3032*(C3032-1)</x:f>
        <x:v>-0.2117883191976911</x:v>
      </x:c>
      <x:c r="F3032" s="2"/>
      <x:c r="G3032" s="2"/>
      <x:c r="H3032" s="2"/>
    </x:row>
    <x:row r="3033" ht="22" customHeight="1">
      <x:c r="A3033" s="2" t="n">
        <x:v>3027</x:v>
      </x:c>
      <x:c r="B3033" s="79" t="n">
        <x:v>-0.6522647886669805</x:v>
      </x:c>
      <x:c r="C3033" s="46" t="n">
        <x:f>B3033^2</x:f>
        <x:v>0.42544935453478067</x:v>
      </x:c>
      <x:c r="D3033" s="47" t="n">
        <x:f>'Datos'!$B$26^3/3</x:f>
        <x:v>0.3333333333333333</x:v>
      </x:c>
      <x:c r="E3033" s="46" t="n">
        <x:f>D3033*(C3033-1)</x:f>
        <x:v>-0.1915168818217398</x:v>
      </x:c>
      <x:c r="F3033" s="2"/>
      <x:c r="G3033" s="2"/>
      <x:c r="H3033" s="2"/>
    </x:row>
    <x:row r="3034" ht="22" customHeight="1">
      <x:c r="A3034" s="2" t="n">
        <x:v>3028</x:v>
      </x:c>
      <x:c r="B3034" s="79" t="n">
        <x:v>-0.4959147303293551</x:v>
      </x:c>
      <x:c r="C3034" s="46" t="n">
        <x:f>B3034^2</x:f>
        <x:v>0.24593141975763702</x:v>
      </x:c>
      <x:c r="D3034" s="47" t="n">
        <x:f>'Datos'!$B$26^3/3</x:f>
        <x:v>0.3333333333333333</x:v>
      </x:c>
      <x:c r="E3034" s="46" t="n">
        <x:f>D3034*(C3034-1)</x:f>
        <x:v>-0.25135619341412097</x:v>
      </x:c>
      <x:c r="F3034" s="2"/>
      <x:c r="G3034" s="2"/>
      <x:c r="H3034" s="2"/>
    </x:row>
    <x:row r="3035" ht="22" customHeight="1">
      <x:c r="A3035" s="2" t="n">
        <x:v>3029</x:v>
      </x:c>
      <x:c r="B3035" s="79" t="n">
        <x:v>-0.5821968006735864</x:v>
      </x:c>
      <x:c r="C3035" s="46" t="n">
        <x:f>B3035^2</x:f>
        <x:v>0.33895311471455963</x:v>
      </x:c>
      <x:c r="D3035" s="47" t="n">
        <x:f>'Datos'!$B$26^3/3</x:f>
        <x:v>0.3333333333333333</x:v>
      </x:c>
      <x:c r="E3035" s="46" t="n">
        <x:f>D3035*(C3035-1)</x:f>
        <x:v>-0.22034896176181343</x:v>
      </x:c>
      <x:c r="F3035" s="2"/>
      <x:c r="G3035" s="2"/>
      <x:c r="H3035" s="2"/>
    </x:row>
    <x:row r="3036" ht="22" customHeight="1">
      <x:c r="A3036" s="2" t="n">
        <x:v>3030</x:v>
      </x:c>
      <x:c r="B3036" s="79" t="n">
        <x:v>0.023877677868413483</x:v>
      </x:c>
      <x:c r="C3036" s="46" t="n">
        <x:f>B3036^2</x:f>
        <x:v>0.0005701435003877231</x:v>
      </x:c>
      <x:c r="D3036" s="47" t="n">
        <x:f>'Datos'!$B$26^3/3</x:f>
        <x:v>0.3333333333333333</x:v>
      </x:c>
      <x:c r="E3036" s="46" t="n">
        <x:f>D3036*(C3036-1)</x:f>
        <x:v>-0.3331432854998707</x:v>
      </x:c>
      <x:c r="F3036" s="2"/>
      <x:c r="G3036" s="2"/>
      <x:c r="H3036" s="2"/>
    </x:row>
    <x:row r="3037" ht="22" customHeight="1">
      <x:c r="A3037" s="2" t="n">
        <x:v>3031</x:v>
      </x:c>
      <x:c r="B3037" s="79" t="n">
        <x:v>1.9409181249162741</x:v>
      </x:c>
      <x:c r="C3037" s="46" t="n">
        <x:f>B3037^2</x:f>
        <x:v>3.7671631676285053</x:v>
      </x:c>
      <x:c r="D3037" s="47" t="n">
        <x:f>'Datos'!$B$26^3/3</x:f>
        <x:v>0.3333333333333333</x:v>
      </x:c>
      <x:c r="E3037" s="46" t="n">
        <x:f>D3037*(C3037-1)</x:f>
        <x:v>0.9223877225428351</x:v>
      </x:c>
      <x:c r="F3037" s="2"/>
      <x:c r="G3037" s="2"/>
      <x:c r="H3037" s="2"/>
    </x:row>
    <x:row r="3038" ht="22" customHeight="1">
      <x:c r="A3038" s="2" t="n">
        <x:v>3032</x:v>
      </x:c>
      <x:c r="B3038" s="79" t="n">
        <x:v>0.5464591063303369</x:v>
      </x:c>
      <x:c r="C3038" s="46" t="n">
        <x:f>B3038^2</x:f>
        <x:v>0.29861755489135045</x:v>
      </x:c>
      <x:c r="D3038" s="47" t="n">
        <x:f>'Datos'!$B$26^3/3</x:f>
        <x:v>0.3333333333333333</x:v>
      </x:c>
      <x:c r="E3038" s="46" t="n">
        <x:f>D3038*(C3038-1)</x:f>
        <x:v>-0.23379414836954984</x:v>
      </x:c>
      <x:c r="F3038" s="2"/>
      <x:c r="G3038" s="2"/>
      <x:c r="H3038" s="2"/>
    </x:row>
    <x:row r="3039" ht="22" customHeight="1">
      <x:c r="A3039" s="2" t="n">
        <x:v>3033</x:v>
      </x:c>
      <x:c r="B3039" s="79" t="n">
        <x:v>0.6553397933131822</x:v>
      </x:c>
      <x:c r="C3039" s="46" t="n">
        <x:f>B3039^2</x:f>
        <x:v>0.4294702446997643</x:v>
      </x:c>
      <x:c r="D3039" s="47" t="n">
        <x:f>'Datos'!$B$26^3/3</x:f>
        <x:v>0.3333333333333333</x:v>
      </x:c>
      <x:c r="E3039" s="46" t="n">
        <x:f>D3039*(C3039-1)</x:f>
        <x:v>-0.19017658510007857</x:v>
      </x:c>
      <x:c r="F3039" s="2"/>
      <x:c r="G3039" s="2"/>
      <x:c r="H3039" s="2"/>
    </x:row>
    <x:row r="3040" ht="22" customHeight="1">
      <x:c r="A3040" s="2" t="n">
        <x:v>3034</x:v>
      </x:c>
      <x:c r="B3040" s="79" t="n">
        <x:v>-1.8268867331163072</x:v>
      </x:c>
      <x:c r="C3040" s="46" t="n">
        <x:f>B3040^2</x:f>
        <x:v>3.3375151356363735</x:v>
      </x:c>
      <x:c r="D3040" s="47" t="n">
        <x:f>'Datos'!$B$26^3/3</x:f>
        <x:v>0.3333333333333333</x:v>
      </x:c>
      <x:c r="E3040" s="46" t="n">
        <x:f>D3040*(C3040-1)</x:f>
        <x:v>0.7791717118787911</x:v>
      </x:c>
      <x:c r="F3040" s="2"/>
      <x:c r="G3040" s="2"/>
      <x:c r="H3040" s="2"/>
    </x:row>
    <x:row r="3041" ht="22" customHeight="1">
      <x:c r="A3041" s="2" t="n">
        <x:v>3035</x:v>
      </x:c>
      <x:c r="B3041" s="79" t="n">
        <x:v>1.7266089234560904</x:v>
      </x:c>
      <x:c r="C3041" s="46" t="n">
        <x:f>B3041^2</x:f>
        <x:v>2.9811783745581995</x:v>
      </x:c>
      <x:c r="D3041" s="47" t="n">
        <x:f>'Datos'!$B$26^3/3</x:f>
        <x:v>0.3333333333333333</x:v>
      </x:c>
      <x:c r="E3041" s="46" t="n">
        <x:f>D3041*(C3041-1)</x:f>
        <x:v>0.6603927915193998</x:v>
      </x:c>
      <x:c r="F3041" s="2"/>
      <x:c r="G3041" s="2"/>
      <x:c r="H3041" s="2"/>
    </x:row>
    <x:row r="3042" ht="22" customHeight="1">
      <x:c r="A3042" s="2" t="n">
        <x:v>3036</x:v>
      </x:c>
      <x:c r="B3042" s="79" t="n">
        <x:v>0.23454775951745216</x:v>
      </x:c>
      <x:c r="C3042" s="46" t="n">
        <x:f>B3042^2</x:f>
        <x:v>0.05501265149465657</x:v>
      </x:c>
      <x:c r="D3042" s="47" t="n">
        <x:f>'Datos'!$B$26^3/3</x:f>
        <x:v>0.3333333333333333</x:v>
      </x:c>
      <x:c r="E3042" s="46" t="n">
        <x:f>D3042*(C3042-1)</x:f>
        <x:v>-0.3149957828351144</x:v>
      </x:c>
      <x:c r="F3042" s="2"/>
      <x:c r="G3042" s="2"/>
      <x:c r="H3042" s="2"/>
    </x:row>
    <x:row r="3043" ht="22" customHeight="1">
      <x:c r="A3043" s="2" t="n">
        <x:v>3037</x:v>
      </x:c>
      <x:c r="B3043" s="79" t="n">
        <x:v>0.29968136666489764</x:v>
      </x:c>
      <x:c r="C3043" s="46" t="n">
        <x:f>B3043^2</x:f>
        <x:v>0.08980892152614083</x:v>
      </x:c>
      <x:c r="D3043" s="47" t="n">
        <x:f>'Datos'!$B$26^3/3</x:f>
        <x:v>0.3333333333333333</x:v>
      </x:c>
      <x:c r="E3043" s="46" t="n">
        <x:f>D3043*(C3043-1)</x:f>
        <x:v>-0.30339702615795305</x:v>
      </x:c>
      <x:c r="F3043" s="2"/>
      <x:c r="G3043" s="2"/>
      <x:c r="H3043" s="2"/>
    </x:row>
    <x:row r="3044" ht="22" customHeight="1">
      <x:c r="A3044" s="2" t="n">
        <x:v>3038</x:v>
      </x:c>
      <x:c r="B3044" s="79" t="n">
        <x:v>-1.0924622542012898</x:v>
      </x:c>
      <x:c r="C3044" s="46" t="n">
        <x:f>B3044^2</x:f>
        <x:v>1.1934737768545636</x:v>
      </x:c>
      <x:c r="D3044" s="47" t="n">
        <x:f>'Datos'!$B$26^3/3</x:f>
        <x:v>0.3333333333333333</x:v>
      </x:c>
      <x:c r="E3044" s="46" t="n">
        <x:f>D3044*(C3044-1)</x:f>
        <x:v>0.06449125895152119</x:v>
      </x:c>
      <x:c r="F3044" s="2"/>
      <x:c r="G3044" s="2"/>
      <x:c r="H3044" s="2"/>
    </x:row>
    <x:row r="3045" ht="22" customHeight="1">
      <x:c r="A3045" s="2" t="n">
        <x:v>3039</x:v>
      </x:c>
      <x:c r="B3045" s="79" t="n">
        <x:v>1.279486926270568</x:v>
      </x:c>
      <x:c r="C3045" s="46" t="n">
        <x:f>B3045^2</x:f>
        <x:v>1.6370867944973058</x:v>
      </x:c>
      <x:c r="D3045" s="47" t="n">
        <x:f>'Datos'!$B$26^3/3</x:f>
        <x:v>0.3333333333333333</x:v>
      </x:c>
      <x:c r="E3045" s="46" t="n">
        <x:f>D3045*(C3045-1)</x:f>
        <x:v>0.21236226483243525</x:v>
      </x:c>
      <x:c r="F3045" s="2"/>
      <x:c r="G3045" s="2"/>
      <x:c r="H3045" s="2"/>
    </x:row>
    <x:row r="3046" ht="22" customHeight="1">
      <x:c r="A3046" s="2" t="n">
        <x:v>3040</x:v>
      </x:c>
      <x:c r="B3046" s="79" t="n">
        <x:v>0.7093228663962801</x:v>
      </x:c>
      <x:c r="C3046" s="46" t="n">
        <x:f>B3046^2</x:f>
        <x:v>0.503138928792635</x:v>
      </x:c>
      <x:c r="D3046" s="47" t="n">
        <x:f>'Datos'!$B$26^3/3</x:f>
        <x:v>0.3333333333333333</x:v>
      </x:c>
      <x:c r="E3046" s="46" t="n">
        <x:f>D3046*(C3046-1)</x:f>
        <x:v>-0.16562035706912165</x:v>
      </x:c>
      <x:c r="F3046" s="2"/>
      <x:c r="G3046" s="2"/>
      <x:c r="H3046" s="2"/>
    </x:row>
    <x:row r="3047" ht="22" customHeight="1">
      <x:c r="A3047" s="2" t="n">
        <x:v>3041</x:v>
      </x:c>
      <x:c r="B3047" s="79" t="n">
        <x:v>-0.4791427068410225</x:v>
      </x:c>
      <x:c r="C3047" s="46" t="n">
        <x:f>B3047^2</x:f>
        <x:v>0.22957773351894203</x:v>
      </x:c>
      <x:c r="D3047" s="47" t="n">
        <x:f>'Datos'!$B$26^3/3</x:f>
        <x:v>0.3333333333333333</x:v>
      </x:c>
      <x:c r="E3047" s="46" t="n">
        <x:f>D3047*(C3047-1)</x:f>
        <x:v>-0.2568074221603526</x:v>
      </x:c>
      <x:c r="F3047" s="2"/>
      <x:c r="G3047" s="2"/>
      <x:c r="H3047" s="2"/>
    </x:row>
    <x:row r="3048" ht="22" customHeight="1">
      <x:c r="A3048" s="2" t="n">
        <x:v>3042</x:v>
      </x:c>
      <x:c r="B3048" s="79" t="n">
        <x:v>-1.0679521971924408</x:v>
      </x:c>
      <x:c r="C3048" s="46" t="n">
        <x:f>B3048^2</x:f>
        <x:v>1.140521895488162</x:v>
      </x:c>
      <x:c r="D3048" s="47" t="n">
        <x:f>'Datos'!$B$26^3/3</x:f>
        <x:v>0.3333333333333333</x:v>
      </x:c>
      <x:c r="E3048" s="46" t="n">
        <x:f>D3048*(C3048-1)</x:f>
        <x:v>0.046840631829387316</x:v>
      </x:c>
      <x:c r="F3048" s="2"/>
      <x:c r="G3048" s="2"/>
      <x:c r="H3048" s="2"/>
    </x:row>
    <x:row r="3049" ht="22" customHeight="1">
      <x:c r="A3049" s="2" t="n">
        <x:v>3043</x:v>
      </x:c>
      <x:c r="B3049" s="79" t="n">
        <x:v>0.05627116055391165</x:v>
      </x:c>
      <x:c r="C3049" s="46" t="n">
        <x:f>B3049^2</x:f>
        <x:v>0.0031664435100841027</x:v>
      </x:c>
      <x:c r="D3049" s="47" t="n">
        <x:f>'Datos'!$B$26^3/3</x:f>
        <x:v>0.3333333333333333</x:v>
      </x:c>
      <x:c r="E3049" s="46" t="n">
        <x:f>D3049*(C3049-1)</x:f>
        <x:v>-0.3322778521633053</x:v>
      </x:c>
      <x:c r="F3049" s="2"/>
      <x:c r="G3049" s="2"/>
      <x:c r="H3049" s="2"/>
    </x:row>
    <x:row r="3050" ht="22" customHeight="1">
      <x:c r="A3050" s="2" t="n">
        <x:v>3044</x:v>
      </x:c>
      <x:c r="B3050" s="79" t="n">
        <x:v>-0.6707271348210879</x:v>
      </x:c>
      <x:c r="C3050" s="46" t="n">
        <x:f>B3050^2</x:f>
        <x:v>0.44987488938530584</x:v>
      </x:c>
      <x:c r="D3050" s="47" t="n">
        <x:f>'Datos'!$B$26^3/3</x:f>
        <x:v>0.3333333333333333</x:v>
      </x:c>
      <x:c r="E3050" s="46" t="n">
        <x:f>D3050*(C3050-1)</x:f>
        <x:v>-0.1833750368715647</x:v>
      </x:c>
      <x:c r="F3050" s="2"/>
      <x:c r="G3050" s="2"/>
      <x:c r="H3050" s="2"/>
    </x:row>
    <x:row r="3051" ht="22" customHeight="1">
      <x:c r="A3051" s="2" t="n">
        <x:v>3045</x:v>
      </x:c>
      <x:c r="B3051" s="79" t="n">
        <x:v>-1.8500128094716184</x:v>
      </x:c>
      <x:c r="C3051" s="46" t="n">
        <x:f>B3051^2</x:f>
        <x:v>3.4225473952090706</x:v>
      </x:c>
      <x:c r="D3051" s="47" t="n">
        <x:f>'Datos'!$B$26^3/3</x:f>
        <x:v>0.3333333333333333</x:v>
      </x:c>
      <x:c r="E3051" s="46" t="n">
        <x:f>D3051*(C3051-1)</x:f>
        <x:v>0.8075157984030235</x:v>
      </x:c>
      <x:c r="F3051" s="2"/>
      <x:c r="G3051" s="2"/>
      <x:c r="H3051" s="2"/>
    </x:row>
    <x:row r="3052" ht="22" customHeight="1">
      <x:c r="A3052" s="2" t="n">
        <x:v>3046</x:v>
      </x:c>
      <x:c r="B3052" s="79" t="n">
        <x:v>-0.13364581302533496</x:v>
      </x:c>
      <x:c r="C3052" s="46" t="n">
        <x:f>B3052^2</x:f>
        <x:v>0.01786120333920279</x:v>
      </x:c>
      <x:c r="D3052" s="47" t="n">
        <x:f>'Datos'!$B$26^3/3</x:f>
        <x:v>0.3333333333333333</x:v>
      </x:c>
      <x:c r="E3052" s="46" t="n">
        <x:f>D3052*(C3052-1)</x:f>
        <x:v>-0.32737959888693235</x:v>
      </x:c>
      <x:c r="F3052" s="2"/>
      <x:c r="G3052" s="2"/>
      <x:c r="H3052" s="2"/>
    </x:row>
    <x:row r="3053" ht="22" customHeight="1">
      <x:c r="A3053" s="2" t="n">
        <x:v>3047</x:v>
      </x:c>
      <x:c r="B3053" s="79" t="n">
        <x:v>-0.3333883038909706</x:v>
      </x:c>
      <x:c r="C3053" s="46" t="n">
        <x:f>B3053^2</x:f>
        <x:v>0.11114776117129818</x:v>
      </x:c>
      <x:c r="D3053" s="47" t="n">
        <x:f>'Datos'!$B$26^3/3</x:f>
        <x:v>0.3333333333333333</x:v>
      </x:c>
      <x:c r="E3053" s="46" t="n">
        <x:f>D3053*(C3053-1)</x:f>
        <x:v>-0.29628407960956726</x:v>
      </x:c>
      <x:c r="F3053" s="2"/>
      <x:c r="G3053" s="2"/>
      <x:c r="H3053" s="2"/>
    </x:row>
    <x:row r="3054" ht="22" customHeight="1">
      <x:c r="A3054" s="2" t="n">
        <x:v>3048</x:v>
      </x:c>
      <x:c r="B3054" s="79" t="n">
        <x:v>0.380153819282108</x:v>
      </x:c>
      <x:c r="C3054" s="46" t="n">
        <x:f>B3054^2</x:f>
        <x:v>0.14451692631477364</x:v>
      </x:c>
      <x:c r="D3054" s="47" t="n">
        <x:f>'Datos'!$B$26^3/3</x:f>
        <x:v>0.3333333333333333</x:v>
      </x:c>
      <x:c r="E3054" s="46" t="n">
        <x:f>D3054*(C3054-1)</x:f>
        <x:v>-0.2851610245617421</x:v>
      </x:c>
      <x:c r="F3054" s="2"/>
      <x:c r="G3054" s="2"/>
      <x:c r="H3054" s="2"/>
    </x:row>
    <x:row r="3055" ht="22" customHeight="1">
      <x:c r="A3055" s="2" t="n">
        <x:v>3049</x:v>
      </x:c>
      <x:c r="B3055" s="79" t="n">
        <x:v>-0.12508216456325846</x:v>
      </x:c>
      <x:c r="C3055" s="46" t="n">
        <x:f>B3055^2</x:f>
        <x:v>0.01564554789183007</x:v>
      </x:c>
      <x:c r="D3055" s="47" t="n">
        <x:f>'Datos'!$B$26^3/3</x:f>
        <x:v>0.3333333333333333</x:v>
      </x:c>
      <x:c r="E3055" s="46" t="n">
        <x:f>D3055*(C3055-1)</x:f>
        <x:v>-0.3281181507027233</x:v>
      </x:c>
      <x:c r="F3055" s="2"/>
      <x:c r="G3055" s="2"/>
      <x:c r="H3055" s="2"/>
    </x:row>
    <x:row r="3056" ht="22" customHeight="1">
      <x:c r="A3056" s="2" t="n">
        <x:v>3050</x:v>
      </x:c>
      <x:c r="B3056" s="79" t="n">
        <x:v>-0.14827755707883736</x:v>
      </x:c>
      <x:c r="C3056" s="46" t="n">
        <x:f>B3056^2</x:f>
        <x:v>0.02198623393326787</x:v>
      </x:c>
      <x:c r="D3056" s="47" t="n">
        <x:f>'Datos'!$B$26^3/3</x:f>
        <x:v>0.3333333333333333</x:v>
      </x:c>
      <x:c r="E3056" s="46" t="n">
        <x:f>D3056*(C3056-1)</x:f>
        <x:v>-0.3260045886889107</x:v>
      </x:c>
      <x:c r="F3056" s="2"/>
      <x:c r="G3056" s="2"/>
      <x:c r="H3056" s="2"/>
    </x:row>
    <x:row r="3057" ht="22" customHeight="1">
      <x:c r="A3057" s="2" t="n">
        <x:v>3051</x:v>
      </x:c>
      <x:c r="B3057" s="79" t="n">
        <x:v>0.9504409126440829</x:v>
      </x:c>
      <x:c r="C3057" s="46" t="n">
        <x:f>B3057^2</x:f>
        <x:v>0.9033379284277173</x:v>
      </x:c>
      <x:c r="D3057" s="47" t="n">
        <x:f>'Datos'!$B$26^3/3</x:f>
        <x:v>0.3333333333333333</x:v>
      </x:c>
      <x:c r="E3057" s="46" t="n">
        <x:f>D3057*(C3057-1)</x:f>
        <x:v>-0.03222069052409422</x:v>
      </x:c>
      <x:c r="F3057" s="2"/>
      <x:c r="G3057" s="2"/>
      <x:c r="H3057" s="2"/>
    </x:row>
    <x:row r="3058" ht="22" customHeight="1">
      <x:c r="A3058" s="2" t="n">
        <x:v>3052</x:v>
      </x:c>
      <x:c r="B3058" s="79" t="n">
        <x:v>2.0101537668748515</x:v>
      </x:c>
      <x:c r="C3058" s="46" t="n">
        <x:f>B3058^2</x:f>
        <x:v>4.040718166481155</x:v>
      </x:c>
      <x:c r="D3058" s="47" t="n">
        <x:f>'Datos'!$B$26^3/3</x:f>
        <x:v>0.3333333333333333</x:v>
      </x:c>
      <x:c r="E3058" s="46" t="n">
        <x:f>D3058*(C3058-1)</x:f>
        <x:v>1.013572722160385</x:v>
      </x:c>
      <x:c r="F3058" s="2"/>
      <x:c r="G3058" s="2"/>
      <x:c r="H3058" s="2"/>
    </x:row>
    <x:row r="3059" ht="22" customHeight="1">
      <x:c r="A3059" s="2" t="n">
        <x:v>3053</x:v>
      </x:c>
      <x:c r="B3059" s="79" t="n">
        <x:v>-1.2460067063493947</x:v>
      </x:c>
      <x:c r="C3059" s="46" t="n">
        <x:f>B3059^2</x:f>
        <x:v>1.5525327122676666</x:v>
      </x:c>
      <x:c r="D3059" s="47" t="n">
        <x:f>'Datos'!$B$26^3/3</x:f>
        <x:v>0.3333333333333333</x:v>
      </x:c>
      <x:c r="E3059" s="46" t="n">
        <x:f>D3059*(C3059-1)</x:f>
        <x:v>0.18417757075588886</x:v>
      </x:c>
      <x:c r="F3059" s="2"/>
      <x:c r="G3059" s="2"/>
      <x:c r="H3059" s="2"/>
    </x:row>
    <x:row r="3060" ht="22" customHeight="1">
      <x:c r="A3060" s="2" t="n">
        <x:v>3054</x:v>
      </x:c>
      <x:c r="B3060" s="79" t="n">
        <x:v>-1.031964807915031</x:v>
      </x:c>
      <x:c r="C3060" s="46" t="n">
        <x:f>B3060^2</x:f>
        <x:v>1.0649513647751068</x:v>
      </x:c>
      <x:c r="D3060" s="47" t="n">
        <x:f>'Datos'!$B$26^3/3</x:f>
        <x:v>0.3333333333333333</x:v>
      </x:c>
      <x:c r="E3060" s="46" t="n">
        <x:f>D3060*(C3060-1)</x:f>
        <x:v>0.02165045492503559</x:v>
      </x:c>
      <x:c r="F3060" s="2"/>
      <x:c r="G3060" s="2"/>
      <x:c r="H3060" s="2"/>
    </x:row>
    <x:row r="3061" ht="22" customHeight="1">
      <x:c r="A3061" s="2" t="n">
        <x:v>3055</x:v>
      </x:c>
      <x:c r="B3061" s="79" t="n">
        <x:v>0.11482271667184206</x:v>
      </x:c>
      <x:c r="C3061" s="46" t="n">
        <x:f>B3061^2</x:f>
        <x:v>0.013184256263902117</x:v>
      </x:c>
      <x:c r="D3061" s="47" t="n">
        <x:f>'Datos'!$B$26^3/3</x:f>
        <x:v>0.3333333333333333</x:v>
      </x:c>
      <x:c r="E3061" s="46" t="n">
        <x:f>D3061*(C3061-1)</x:f>
        <x:v>-0.32893858124536596</x:v>
      </x:c>
      <x:c r="F3061" s="2"/>
      <x:c r="G3061" s="2"/>
      <x:c r="H3061" s="2"/>
    </x:row>
    <x:row r="3062" ht="22" customHeight="1">
      <x:c r="A3062" s="2" t="n">
        <x:v>3056</x:v>
      </x:c>
      <x:c r="B3062" s="79" t="n">
        <x:v>1.1892411746450626</x:v>
      </x:c>
      <x:c r="C3062" s="46" t="n">
        <x:f>B3062^2</x:f>
        <x:v>1.4142945714711683</x:v>
      </x:c>
      <x:c r="D3062" s="47" t="n">
        <x:f>'Datos'!$B$26^3/3</x:f>
        <x:v>0.3333333333333333</x:v>
      </x:c>
      <x:c r="E3062" s="46" t="n">
        <x:f>D3062*(C3062-1)</x:f>
        <x:v>0.13809819049038943</x:v>
      </x:c>
      <x:c r="F3062" s="2"/>
      <x:c r="G3062" s="2"/>
      <x:c r="H3062" s="2"/>
    </x:row>
    <x:row r="3063" ht="22" customHeight="1">
      <x:c r="A3063" s="2" t="n">
        <x:v>3057</x:v>
      </x:c>
      <x:c r="B3063" s="79" t="n">
        <x:v>-2.421328625763799</x:v>
      </x:c>
      <x:c r="C3063" s="46" t="n">
        <x:f>B3063^2</x:f>
        <x:v>5.862832313943207</x:v>
      </x:c>
      <x:c r="D3063" s="47" t="n">
        <x:f>'Datos'!$B$26^3/3</x:f>
        <x:v>0.3333333333333333</x:v>
      </x:c>
      <x:c r="E3063" s="46" t="n">
        <x:f>D3063*(C3063-1)</x:f>
        <x:v>1.6209441046477355</x:v>
      </x:c>
      <x:c r="F3063" s="2"/>
      <x:c r="G3063" s="2"/>
      <x:c r="H3063" s="2"/>
    </x:row>
    <x:row r="3064" ht="22" customHeight="1">
      <x:c r="A3064" s="2" t="n">
        <x:v>3058</x:v>
      </x:c>
      <x:c r="B3064" s="79" t="n">
        <x:v>-1.3144987045602747</x:v>
      </x:c>
      <x:c r="C3064" s="46" t="n">
        <x:f>B3064^2</x:f>
        <x:v>1.7279068442906405</x:v>
      </x:c>
      <x:c r="D3064" s="47" t="n">
        <x:f>'Datos'!$B$26^3/3</x:f>
        <x:v>0.3333333333333333</x:v>
      </x:c>
      <x:c r="E3064" s="46" t="n">
        <x:f>D3064*(C3064-1)</x:f>
        <x:v>0.2426356147635468</x:v>
      </x:c>
      <x:c r="F3064" s="2"/>
      <x:c r="G3064" s="2"/>
      <x:c r="H3064" s="2"/>
    </x:row>
    <x:row r="3065" ht="22" customHeight="1">
      <x:c r="A3065" s="2" t="n">
        <x:v>3059</x:v>
      </x:c>
      <x:c r="B3065" s="79" t="n">
        <x:v>-0.549966751550437</x:v>
      </x:c>
      <x:c r="C3065" s="46" t="n">
        <x:f>B3065^2</x:f>
        <x:v>0.30246342781094004</x:v>
      </x:c>
      <x:c r="D3065" s="47" t="n">
        <x:f>'Datos'!$B$26^3/3</x:f>
        <x:v>0.3333333333333333</x:v>
      </x:c>
      <x:c r="E3065" s="46" t="n">
        <x:f>D3065*(C3065-1)</x:f>
        <x:v>-0.23251219072968665</x:v>
      </x:c>
      <x:c r="F3065" s="2"/>
      <x:c r="G3065" s="2"/>
      <x:c r="H3065" s="2"/>
    </x:row>
    <x:row r="3066" ht="22" customHeight="1">
      <x:c r="A3066" s="2" t="n">
        <x:v>3060</x:v>
      </x:c>
      <x:c r="B3066" s="79" t="n">
        <x:v>-0.3235545795603173</x:v>
      </x:c>
      <x:c r="C3066" s="46" t="n">
        <x:f>B3066^2</x:f>
        <x:v>0.10468756595445369</x:v>
      </x:c>
      <x:c r="D3066" s="47" t="n">
        <x:f>'Datos'!$B$26^3/3</x:f>
        <x:v>0.3333333333333333</x:v>
      </x:c>
      <x:c r="E3066" s="46" t="n">
        <x:f>D3066*(C3066-1)</x:f>
        <x:v>-0.29843747801518206</x:v>
      </x:c>
      <x:c r="F3066" s="2"/>
      <x:c r="G3066" s="2"/>
      <x:c r="H3066" s="2"/>
    </x:row>
    <x:row r="3067" ht="22" customHeight="1">
      <x:c r="A3067" s="2" t="n">
        <x:v>3061</x:v>
      </x:c>
      <x:c r="B3067" s="79" t="n">
        <x:v>-0.4125883869720258</x:v>
      </x:c>
      <x:c r="C3067" s="46" t="n">
        <x:f>B3067^2</x:f>
        <x:v>0.17022917706417812</x:v>
      </x:c>
      <x:c r="D3067" s="47" t="n">
        <x:f>'Datos'!$B$26^3/3</x:f>
        <x:v>0.3333333333333333</x:v>
      </x:c>
      <x:c r="E3067" s="46" t="n">
        <x:f>D3067*(C3067-1)</x:f>
        <x:v>-0.2765902743119406</x:v>
      </x:c>
      <x:c r="F3067" s="2"/>
      <x:c r="G3067" s="2"/>
      <x:c r="H3067" s="2"/>
    </x:row>
    <x:row r="3068" ht="22" customHeight="1">
      <x:c r="A3068" s="2" t="n">
        <x:v>3062</x:v>
      </x:c>
      <x:c r="B3068" s="79" t="n">
        <x:v>0.5103261407899925</x:v>
      </x:c>
      <x:c r="C3068" s="46" t="n">
        <x:f>B3068^2</x:f>
        <x:v>0.26043276997360726</x:v>
      </x:c>
      <x:c r="D3068" s="47" t="n">
        <x:f>'Datos'!$B$26^3/3</x:f>
        <x:v>0.3333333333333333</x:v>
      </x:c>
      <x:c r="E3068" s="46" t="n">
        <x:f>D3068*(C3068-1)</x:f>
        <x:v>-0.24652241000879754</x:v>
      </x:c>
      <x:c r="F3068" s="2"/>
      <x:c r="G3068" s="2"/>
      <x:c r="H3068" s="2"/>
    </x:row>
    <x:row r="3069" ht="22" customHeight="1">
      <x:c r="A3069" s="2" t="n">
        <x:v>3063</x:v>
      </x:c>
      <x:c r="B3069" s="79" t="n">
        <x:v>-0.21137662145917133</x:v>
      </x:c>
      <x:c r="C3069" s="46" t="n">
        <x:f>B3069^2</x:f>
        <x:v>0.04468007609949381</x:v>
      </x:c>
      <x:c r="D3069" s="47" t="n">
        <x:f>'Datos'!$B$26^3/3</x:f>
        <x:v>0.3333333333333333</x:v>
      </x:c>
      <x:c r="E3069" s="46" t="n">
        <x:f>D3069*(C3069-1)</x:f>
        <x:v>-0.31843997463350204</x:v>
      </x:c>
      <x:c r="F3069" s="2"/>
      <x:c r="G3069" s="2"/>
      <x:c r="H3069" s="2"/>
    </x:row>
    <x:row r="3070" ht="22" customHeight="1">
      <x:c r="A3070" s="2" t="n">
        <x:v>3064</x:v>
      </x:c>
      <x:c r="B3070" s="79" t="n">
        <x:v>0.4679826974038949</x:v>
      </x:c>
      <x:c r="C3070" s="46" t="n">
        <x:f>B3070^2</x:f>
        <x:v>0.21900780506942547</x:v>
      </x:c>
      <x:c r="D3070" s="47" t="n">
        <x:f>'Datos'!$B$26^3/3</x:f>
        <x:v>0.3333333333333333</x:v>
      </x:c>
      <x:c r="E3070" s="46" t="n">
        <x:f>D3070*(C3070-1)</x:f>
        <x:v>-0.2603307316435248</x:v>
      </x:c>
      <x:c r="F3070" s="2"/>
      <x:c r="G3070" s="2"/>
      <x:c r="H3070" s="2"/>
    </x:row>
    <x:row r="3071" ht="22" customHeight="1">
      <x:c r="A3071" s="2" t="n">
        <x:v>3065</x:v>
      </x:c>
      <x:c r="B3071" s="79" t="n">
        <x:v>-0.2740979831366852</x:v>
      </x:c>
      <x:c r="C3071" s="46" t="n">
        <x:f>B3071^2</x:f>
        <x:v>0.07512970435959856</x:v>
      </x:c>
      <x:c r="D3071" s="47" t="n">
        <x:f>'Datos'!$B$26^3/3</x:f>
        <x:v>0.3333333333333333</x:v>
      </x:c>
      <x:c r="E3071" s="46" t="n">
        <x:f>D3071*(C3071-1)</x:f>
        <x:v>-0.30829009854680045</x:v>
      </x:c>
      <x:c r="F3071" s="2"/>
      <x:c r="G3071" s="2"/>
      <x:c r="H3071" s="2"/>
    </x:row>
    <x:row r="3072" ht="22" customHeight="1">
      <x:c r="A3072" s="2" t="n">
        <x:v>3066</x:v>
      </x:c>
      <x:c r="B3072" s="79" t="n">
        <x:v>-0.6983363680600745</x:v>
      </x:c>
      <x:c r="C3072" s="46" t="n">
        <x:f>B3072^2</x:f>
        <x:v>0.4876736829553358</x:v>
      </x:c>
      <x:c r="D3072" s="47" t="n">
        <x:f>'Datos'!$B$26^3/3</x:f>
        <x:v>0.3333333333333333</x:v>
      </x:c>
      <x:c r="E3072" s="46" t="n">
        <x:f>D3072*(C3072-1)</x:f>
        <x:v>-0.17077543901488804</x:v>
      </x:c>
      <x:c r="F3072" s="2"/>
      <x:c r="G3072" s="2"/>
      <x:c r="H3072" s="2"/>
    </x:row>
    <x:row r="3073" ht="22" customHeight="1">
      <x:c r="A3073" s="2" t="n">
        <x:v>3067</x:v>
      </x:c>
      <x:c r="B3073" s="79" t="n">
        <x:v>0.3728673915829781</x:v>
      </x:c>
      <x:c r="C3073" s="46" t="n">
        <x:f>B3073^2</x:f>
        <x:v>0.13903009170589392</x:v>
      </x:c>
      <x:c r="D3073" s="47" t="n">
        <x:f>'Datos'!$B$26^3/3</x:f>
        <x:v>0.3333333333333333</x:v>
      </x:c>
      <x:c r="E3073" s="46" t="n">
        <x:f>D3073*(C3073-1)</x:f>
        <x:v>-0.2869899694313687</x:v>
      </x:c>
      <x:c r="F3073" s="2"/>
      <x:c r="G3073" s="2"/>
      <x:c r="H3073" s="2"/>
    </x:row>
    <x:row r="3074" ht="22" customHeight="1">
      <x:c r="A3074" s="2" t="n">
        <x:v>3068</x:v>
      </x:c>
      <x:c r="B3074" s="79" t="n">
        <x:v>-0.815112565460829</x:v>
      </x:c>
      <x:c r="C3074" s="46" t="n">
        <x:f>B3074^2</x:f>
        <x:v>0.6644084943721342</x:v>
      </x:c>
      <x:c r="D3074" s="47" t="n">
        <x:f>'Datos'!$B$26^3/3</x:f>
        <x:v>0.3333333333333333</x:v>
      </x:c>
      <x:c r="E3074" s="46" t="n">
        <x:f>D3074*(C3074-1)</x:f>
        <x:v>-0.11186383520928858</x:v>
      </x:c>
      <x:c r="F3074" s="2"/>
      <x:c r="G3074" s="2"/>
      <x:c r="H3074" s="2"/>
    </x:row>
    <x:row r="3075" ht="22" customHeight="1">
      <x:c r="A3075" s="2" t="n">
        <x:v>3069</x:v>
      </x:c>
      <x:c r="B3075" s="79" t="n">
        <x:v>0.3858029348618956</x:v>
      </x:c>
      <x:c r="C3075" s="46" t="n">
        <x:f>B3075^2</x:f>
        <x:v>0.14884390454805205</x:v>
      </x:c>
      <x:c r="D3075" s="47" t="n">
        <x:f>'Datos'!$B$26^3/3</x:f>
        <x:v>0.3333333333333333</x:v>
      </x:c>
      <x:c r="E3075" s="46" t="n">
        <x:f>D3075*(C3075-1)</x:f>
        <x:v>-0.2837186984839826</x:v>
      </x:c>
      <x:c r="F3075" s="2"/>
      <x:c r="G3075" s="2"/>
      <x:c r="H3075" s="2"/>
    </x:row>
    <x:row r="3076" ht="22" customHeight="1">
      <x:c r="A3076" s="2" t="n">
        <x:v>3070</x:v>
      </x:c>
      <x:c r="B3076" s="79" t="n">
        <x:v>0.14170044320727831</x:v>
      </x:c>
      <x:c r="C3076" s="46" t="n">
        <x:f>B3076^2</x:f>
        <x:v>0.020079015605139108</x:v>
      </x:c>
      <x:c r="D3076" s="47" t="n">
        <x:f>'Datos'!$B$26^3/3</x:f>
        <x:v>0.3333333333333333</x:v>
      </x:c>
      <x:c r="E3076" s="46" t="n">
        <x:f>D3076*(C3076-1)</x:f>
        <x:v>-0.32664032813162025</x:v>
      </x:c>
      <x:c r="F3076" s="2"/>
      <x:c r="G3076" s="2"/>
      <x:c r="H3076" s="2"/>
    </x:row>
    <x:row r="3077" ht="22" customHeight="1">
      <x:c r="A3077" s="2" t="n">
        <x:v>3071</x:v>
      </x:c>
      <x:c r="B3077" s="79" t="n">
        <x:v>0.34076522335435255</x:v>
      </x:c>
      <x:c r="C3077" s="46" t="n">
        <x:f>B3077^2</x:f>
        <x:v>0.11612093744774178</x:v>
      </x:c>
      <x:c r="D3077" s="47" t="n">
        <x:f>'Datos'!$B$26^3/3</x:f>
        <x:v>0.3333333333333333</x:v>
      </x:c>
      <x:c r="E3077" s="46" t="n">
        <x:f>D3077*(C3077-1)</x:f>
        <x:v>-0.29462635418408606</x:v>
      </x:c>
      <x:c r="F3077" s="2"/>
      <x:c r="G3077" s="2"/>
      <x:c r="H3077" s="2"/>
    </x:row>
    <x:row r="3078" ht="22" customHeight="1">
      <x:c r="A3078" s="2" t="n">
        <x:v>3072</x:v>
      </x:c>
      <x:c r="B3078" s="79" t="n">
        <x:v>0.8581782869746535</x:v>
      </x:c>
      <x:c r="C3078" s="46" t="n">
        <x:f>B3078^2</x:f>
        <x:v>0.7364699722347507</x:v>
      </x:c>
      <x:c r="D3078" s="47" t="n">
        <x:f>'Datos'!$B$26^3/3</x:f>
        <x:v>0.3333333333333333</x:v>
      </x:c>
      <x:c r="E3078" s="46" t="n">
        <x:f>D3078*(C3078-1)</x:f>
        <x:v>-0.08784334258841642</x:v>
      </x:c>
      <x:c r="F3078" s="2"/>
      <x:c r="G3078" s="2"/>
      <x:c r="H3078" s="2"/>
    </x:row>
    <x:row r="3079" ht="22" customHeight="1">
      <x:c r="A3079" s="2" t="n">
        <x:v>3073</x:v>
      </x:c>
      <x:c r="B3079" s="79" t="n">
        <x:v>-0.6567674443070797</x:v>
      </x:c>
      <x:c r="C3079" s="46" t="n">
        <x:f>B3079^2</x:f>
        <x:v>0.431343475901653</x:v>
      </x:c>
      <x:c r="D3079" s="47" t="n">
        <x:f>'Datos'!$B$26^3/3</x:f>
        <x:v>0.3333333333333333</x:v>
      </x:c>
      <x:c r="E3079" s="46" t="n">
        <x:f>D3079*(C3079-1)</x:f>
        <x:v>-0.189552174699449</x:v>
      </x:c>
      <x:c r="F3079" s="2"/>
      <x:c r="G3079" s="2"/>
      <x:c r="H3079" s="2"/>
    </x:row>
    <x:row r="3080" ht="22" customHeight="1">
      <x:c r="A3080" s="2" t="n">
        <x:v>3074</x:v>
      </x:c>
      <x:c r="B3080" s="79" t="n">
        <x:v>2.342507636972917</x:v>
      </x:c>
      <x:c r="C3080" s="46" t="n">
        <x:f>B3080^2</x:f>
        <x:v>5.487342029276439</x:v>
      </x:c>
      <x:c r="D3080" s="47" t="n">
        <x:f>'Datos'!$B$26^3/3</x:f>
        <x:v>0.3333333333333333</x:v>
      </x:c>
      <x:c r="E3080" s="46" t="n">
        <x:f>D3080*(C3080-1)</x:f>
        <x:v>1.4957806764254795</x:v>
      </x:c>
      <x:c r="F3080" s="2"/>
      <x:c r="G3080" s="2"/>
      <x:c r="H3080" s="2"/>
    </x:row>
    <x:row r="3081" ht="22" customHeight="1">
      <x:c r="A3081" s="2" t="n">
        <x:v>3075</x:v>
      </x:c>
      <x:c r="B3081" s="79" t="n">
        <x:v>1.5401266679005587</x:v>
      </x:c>
      <x:c r="C3081" s="46" t="n">
        <x:f>B3081^2</x:f>
        <x:v>2.371990153178478</x:v>
      </x:c>
      <x:c r="D3081" s="47" t="n">
        <x:f>'Datos'!$B$26^3/3</x:f>
        <x:v>0.3333333333333333</x:v>
      </x:c>
      <x:c r="E3081" s="46" t="n">
        <x:f>D3081*(C3081-1)</x:f>
        <x:v>0.4573300510594927</x:v>
      </x:c>
      <x:c r="F3081" s="2"/>
      <x:c r="G3081" s="2"/>
      <x:c r="H3081" s="2"/>
    </x:row>
    <x:row r="3082" ht="22" customHeight="1">
      <x:c r="A3082" s="2" t="n">
        <x:v>3076</x:v>
      </x:c>
      <x:c r="B3082" s="79" t="n">
        <x:v>0.741770708621547</x:v>
      </x:c>
      <x:c r="C3082" s="46" t="n">
        <x:f>B3082^2</x:f>
        <x:v>0.550223784168912</x:v>
      </x:c>
      <x:c r="D3082" s="47" t="n">
        <x:f>'Datos'!$B$26^3/3</x:f>
        <x:v>0.3333333333333333</x:v>
      </x:c>
      <x:c r="E3082" s="46" t="n">
        <x:f>D3082*(C3082-1)</x:f>
        <x:v>-0.1499254052770293</x:v>
      </x:c>
      <x:c r="F3082" s="2"/>
      <x:c r="G3082" s="2"/>
      <x:c r="H3082" s="2"/>
    </x:row>
    <x:row r="3083" ht="22" customHeight="1">
      <x:c r="A3083" s="2" t="n">
        <x:v>3077</x:v>
      </x:c>
      <x:c r="B3083" s="79" t="n">
        <x:v>0.7918650099855536</x:v>
      </x:c>
      <x:c r="C3083" s="46" t="n">
        <x:f>B3083^2</x:f>
        <x:v>0.627050194039421</x:v>
      </x:c>
      <x:c r="D3083" s="47" t="n">
        <x:f>'Datos'!$B$26^3/3</x:f>
        <x:v>0.3333333333333333</x:v>
      </x:c>
      <x:c r="E3083" s="46" t="n">
        <x:f>D3083*(C3083-1)</x:f>
        <x:v>-0.12431660198685968</x:v>
      </x:c>
      <x:c r="F3083" s="2"/>
      <x:c r="G3083" s="2"/>
      <x:c r="H3083" s="2"/>
    </x:row>
    <x:row r="3084" ht="22" customHeight="1">
      <x:c r="A3084" s="2" t="n">
        <x:v>3078</x:v>
      </x:c>
      <x:c r="B3084" s="79" t="n">
        <x:v>1.0954985778890471</x:v>
      </x:c>
      <x:c r="C3084" s="46" t="n">
        <x:f>B3084^2</x:f>
        <x:v>1.2001171341569248</x:v>
      </x:c>
      <x:c r="D3084" s="47" t="n">
        <x:f>'Datos'!$B$26^3/3</x:f>
        <x:v>0.3333333333333333</x:v>
      </x:c>
      <x:c r="E3084" s="46" t="n">
        <x:f>D3084*(C3084-1)</x:f>
        <x:v>0.06670571138564159</x:v>
      </x:c>
      <x:c r="F3084" s="2"/>
      <x:c r="G3084" s="2"/>
      <x:c r="H3084" s="2"/>
    </x:row>
    <x:row r="3085" ht="22" customHeight="1">
      <x:c r="A3085" s="2" t="n">
        <x:v>3079</x:v>
      </x:c>
      <x:c r="B3085" s="79" t="n">
        <x:v>2.1864483683450047</x:v>
      </x:c>
      <x:c r="C3085" s="46" t="n">
        <x:f>B3085^2</x:f>
        <x:v>4.780556467438533</x:v>
      </x:c>
      <x:c r="D3085" s="47" t="n">
        <x:f>'Datos'!$B$26^3/3</x:f>
        <x:v>0.3333333333333333</x:v>
      </x:c>
      <x:c r="E3085" s="46" t="n">
        <x:f>D3085*(C3085-1)</x:f>
        <x:v>1.2601854891461777</x:v>
      </x:c>
      <x:c r="F3085" s="2"/>
      <x:c r="G3085" s="2"/>
      <x:c r="H3085" s="2"/>
    </x:row>
    <x:row r="3086" ht="22" customHeight="1">
      <x:c r="A3086" s="2" t="n">
        <x:v>3080</x:v>
      </x:c>
      <x:c r="B3086" s="79" t="n">
        <x:v>0.5880590018425744</x:v>
      </x:c>
      <x:c r="C3086" s="46" t="n">
        <x:f>B3086^2</x:f>
        <x:v>0.34581338964808495</x:v>
      </x:c>
      <x:c r="D3086" s="47" t="n">
        <x:f>'Datos'!$B$26^3/3</x:f>
        <x:v>0.3333333333333333</x:v>
      </x:c>
      <x:c r="E3086" s="46" t="n">
        <x:f>D3086*(C3086-1)</x:f>
        <x:v>-0.21806220345063834</x:v>
      </x:c>
      <x:c r="F3086" s="2"/>
      <x:c r="G3086" s="2"/>
      <x:c r="H3086" s="2"/>
    </x:row>
    <x:row r="3087" ht="22" customHeight="1">
      <x:c r="A3087" s="2" t="n">
        <x:v>3081</x:v>
      </x:c>
      <x:c r="B3087" s="79" t="n">
        <x:v>-0.8359886807252028</x:v>
      </x:c>
      <x:c r="C3087" s="46" t="n">
        <x:f>B3087^2</x:f>
        <x:v>0.6988770743006651</x:v>
      </x:c>
      <x:c r="D3087" s="47" t="n">
        <x:f>'Datos'!$B$26^3/3</x:f>
        <x:v>0.3333333333333333</x:v>
      </x:c>
      <x:c r="E3087" s="46" t="n">
        <x:f>D3087*(C3087-1)</x:f>
        <x:v>-0.10037430856644494</x:v>
      </x:c>
      <x:c r="F3087" s="2"/>
      <x:c r="G3087" s="2"/>
      <x:c r="H3087" s="2"/>
    </x:row>
    <x:row r="3088" ht="22" customHeight="1">
      <x:c r="A3088" s="2" t="n">
        <x:v>3082</x:v>
      </x:c>
      <x:c r="B3088" s="79" t="n">
        <x:v>0.31235526316265483</x:v>
      </x:c>
      <x:c r="C3088" s="46" t="n">
        <x:f>B3088^2</x:f>
        <x:v>0.09756581042541135</x:v>
      </x:c>
      <x:c r="D3088" s="47" t="n">
        <x:f>'Datos'!$B$26^3/3</x:f>
        <x:v>0.3333333333333333</x:v>
      </x:c>
      <x:c r="E3088" s="46" t="n">
        <x:f>D3088*(C3088-1)</x:f>
        <x:v>-0.3008113965248629</x:v>
      </x:c>
      <x:c r="F3088" s="2"/>
      <x:c r="G3088" s="2"/>
      <x:c r="H3088" s="2"/>
    </x:row>
    <x:row r="3089" ht="22" customHeight="1">
      <x:c r="A3089" s="2" t="n">
        <x:v>3083</x:v>
      </x:c>
      <x:c r="B3089" s="79" t="n">
        <x:v>-0.0518610038189591</x:v>
      </x:c>
      <x:c r="C3089" s="46" t="n">
        <x:f>B3089^2</x:f>
        <x:v>0.00268956371711009</x:v>
      </x:c>
      <x:c r="D3089" s="47" t="n">
        <x:f>'Datos'!$B$26^3/3</x:f>
        <x:v>0.3333333333333333</x:v>
      </x:c>
      <x:c r="E3089" s="46" t="n">
        <x:f>D3089*(C3089-1)</x:f>
        <x:v>-0.33243681209429665</x:v>
      </x:c>
      <x:c r="F3089" s="2"/>
      <x:c r="G3089" s="2"/>
      <x:c r="H3089" s="2"/>
    </x:row>
    <x:row r="3090" ht="22" customHeight="1">
      <x:c r="A3090" s="2" t="n">
        <x:v>3084</x:v>
      </x:c>
      <x:c r="B3090" s="79" t="n">
        <x:v>-0.8635136075568033</x:v>
      </x:c>
      <x:c r="C3090" s="46" t="n">
        <x:f>B3090^2</x:f>
        <x:v>0.7456557504357649</x:v>
      </x:c>
      <x:c r="D3090" s="47" t="n">
        <x:f>'Datos'!$B$26^3/3</x:f>
        <x:v>0.3333333333333333</x:v>
      </x:c>
      <x:c r="E3090" s="46" t="n">
        <x:f>D3090*(C3090-1)</x:f>
        <x:v>-0.08478141652141169</x:v>
      </x:c>
      <x:c r="F3090" s="2"/>
      <x:c r="G3090" s="2"/>
      <x:c r="H3090" s="2"/>
    </x:row>
    <x:row r="3091" ht="22" customHeight="1">
      <x:c r="A3091" s="2" t="n">
        <x:v>3085</x:v>
      </x:c>
      <x:c r="B3091" s="79" t="n">
        <x:v>-1.0540306313837033</x:v>
      </x:c>
      <x:c r="C3091" s="46" t="n">
        <x:f>B3091^2</x:f>
        <x:v>1.1109805718951282</x:v>
      </x:c>
      <x:c r="D3091" s="47" t="n">
        <x:f>'Datos'!$B$26^3/3</x:f>
        <x:v>0.3333333333333333</x:v>
      </x:c>
      <x:c r="E3091" s="46" t="n">
        <x:f>D3091*(C3091-1)</x:f>
        <x:v>0.03699352396504274</x:v>
      </x:c>
      <x:c r="F3091" s="2"/>
      <x:c r="G3091" s="2"/>
      <x:c r="H3091" s="2"/>
    </x:row>
    <x:row r="3092" ht="22" customHeight="1">
      <x:c r="A3092" s="2" t="n">
        <x:v>3086</x:v>
      </x:c>
      <x:c r="B3092" s="79" t="n">
        <x:v>0.2742731525104044</x:v>
      </x:c>
      <x:c r="C3092" s="46" t="n">
        <x:f>B3092^2</x:f>
        <x:v>0.07522576218799555</x:v>
      </x:c>
      <x:c r="D3092" s="47" t="n">
        <x:f>'Datos'!$B$26^3/3</x:f>
        <x:v>0.3333333333333333</x:v>
      </x:c>
      <x:c r="E3092" s="46" t="n">
        <x:f>D3092*(C3092-1)</x:f>
        <x:v>-0.3082580792706681</x:v>
      </x:c>
      <x:c r="F3092" s="2"/>
      <x:c r="G3092" s="2"/>
      <x:c r="H3092" s="2"/>
    </x:row>
    <x:row r="3093" ht="22" customHeight="1">
      <x:c r="A3093" s="2" t="n">
        <x:v>3087</x:v>
      </x:c>
      <x:c r="B3093" s="79" t="n">
        <x:v>-1.6866630855665465</x:v>
      </x:c>
      <x:c r="C3093" s="46" t="n">
        <x:f>B3093^2</x:f>
        <x:v>2.8448323642128637</x:v>
      </x:c>
      <x:c r="D3093" s="47" t="n">
        <x:f>'Datos'!$B$26^3/3</x:f>
        <x:v>0.3333333333333333</x:v>
      </x:c>
      <x:c r="E3093" s="46" t="n">
        <x:f>D3093*(C3093-1)</x:f>
        <x:v>0.6149441214042879</x:v>
      </x:c>
      <x:c r="F3093" s="2"/>
      <x:c r="G3093" s="2"/>
      <x:c r="H3093" s="2"/>
    </x:row>
    <x:row r="3094" ht="22" customHeight="1">
      <x:c r="A3094" s="2" t="n">
        <x:v>3088</x:v>
      </x:c>
      <x:c r="B3094" s="79" t="n">
        <x:v>-0.8647951469464975</x:v>
      </x:c>
      <x:c r="C3094" s="46" t="n">
        <x:f>B3094^2</x:f>
        <x:v>0.7478706461822142</x:v>
      </x:c>
      <x:c r="D3094" s="47" t="n">
        <x:f>'Datos'!$B$26^3/3</x:f>
        <x:v>0.3333333333333333</x:v>
      </x:c>
      <x:c r="E3094" s="46" t="n">
        <x:f>D3094*(C3094-1)</x:f>
        <x:v>-0.08404311793926192</x:v>
      </x:c>
      <x:c r="F3094" s="2"/>
      <x:c r="G3094" s="2"/>
      <x:c r="H3094" s="2"/>
    </x:row>
    <x:row r="3095" ht="22" customHeight="1">
      <x:c r="A3095" s="2" t="n">
        <x:v>3089</x:v>
      </x:c>
      <x:c r="B3095" s="79" t="n">
        <x:v>-3.0649995057648254</x:v>
      </x:c>
      <x:c r="C3095" s="46" t="n">
        <x:f>B3095^2</x:f>
        <x:v>9.394221970338624</x:v>
      </x:c>
      <x:c r="D3095" s="47" t="n">
        <x:f>'Datos'!$B$26^3/3</x:f>
        <x:v>0.3333333333333333</x:v>
      </x:c>
      <x:c r="E3095" s="46" t="n">
        <x:f>D3095*(C3095-1)</x:f>
        <x:v>2.7980739901128744</x:v>
      </x:c>
      <x:c r="F3095" s="2"/>
      <x:c r="G3095" s="2"/>
      <x:c r="H3095" s="2"/>
    </x:row>
    <x:row r="3096" ht="22" customHeight="1">
      <x:c r="A3096" s="2" t="n">
        <x:v>3090</x:v>
      </x:c>
      <x:c r="B3096" s="79" t="n">
        <x:v>-0.7663761050520784</x:v>
      </x:c>
      <x:c r="C3096" s="46" t="n">
        <x:f>B3096^2</x:f>
        <x:v>0.5873323343947944</x:v>
      </x:c>
      <x:c r="D3096" s="47" t="n">
        <x:f>'Datos'!$B$26^3/3</x:f>
        <x:v>0.3333333333333333</x:v>
      </x:c>
      <x:c r="E3096" s="46" t="n">
        <x:f>D3096*(C3096-1)</x:f>
        <x:v>-0.13755588853506853</x:v>
      </x:c>
      <x:c r="F3096" s="2"/>
      <x:c r="G3096" s="2"/>
      <x:c r="H3096" s="2"/>
    </x:row>
    <x:row r="3097" ht="22" customHeight="1">
      <x:c r="A3097" s="2" t="n">
        <x:v>3091</x:v>
      </x:c>
      <x:c r="B3097" s="79" t="n">
        <x:v>0.7936226463021763</x:v>
      </x:c>
      <x:c r="C3097" s="46" t="n">
        <x:f>B3097^2</x:f>
        <x:v>0.6298369047236692</x:v>
      </x:c>
      <x:c r="D3097" s="47" t="n">
        <x:f>'Datos'!$B$26^3/3</x:f>
        <x:v>0.3333333333333333</x:v>
      </x:c>
      <x:c r="E3097" s="46" t="n">
        <x:f>D3097*(C3097-1)</x:f>
        <x:v>-0.12338769842544361</x:v>
      </x:c>
      <x:c r="F3097" s="2"/>
      <x:c r="G3097" s="2"/>
      <x:c r="H3097" s="2"/>
    </x:row>
    <x:row r="3098" ht="22" customHeight="1">
      <x:c r="A3098" s="2" t="n">
        <x:v>3092</x:v>
      </x:c>
      <x:c r="B3098" s="79" t="n">
        <x:v>-0.05328194607419578</x:v>
      </x:c>
      <x:c r="C3098" s="46" t="n">
        <x:f>B3098^2</x:f>
        <x:v>0.002838965777453507</x:v>
      </x:c>
      <x:c r="D3098" s="47" t="n">
        <x:f>'Datos'!$B$26^3/3</x:f>
        <x:v>0.3333333333333333</x:v>
      </x:c>
      <x:c r="E3098" s="46" t="n">
        <x:f>D3098*(C3098-1)</x:f>
        <x:v>-0.3323870114075155</x:v>
      </x:c>
      <x:c r="F3098" s="2"/>
      <x:c r="G3098" s="2"/>
      <x:c r="H3098" s="2"/>
    </x:row>
    <x:row r="3099" ht="22" customHeight="1">
      <x:c r="A3099" s="2" t="n">
        <x:v>3093</x:v>
      </x:c>
      <x:c r="B3099" s="79" t="n">
        <x:v>0.6977327561726536</x:v>
      </x:c>
      <x:c r="C3099" s="46" t="n">
        <x:f>B3099^2</x:f>
        <x:v>0.48683099903628774</x:v>
      </x:c>
      <x:c r="D3099" s="47" t="n">
        <x:f>'Datos'!$B$26^3/3</x:f>
        <x:v>0.3333333333333333</x:v>
      </x:c>
      <x:c r="E3099" s="46" t="n">
        <x:f>D3099*(C3099-1)</x:f>
        <x:v>-0.17105633365457074</x:v>
      </x:c>
      <x:c r="F3099" s="2"/>
      <x:c r="G3099" s="2"/>
      <x:c r="H3099" s="2"/>
    </x:row>
    <x:row r="3100" ht="22" customHeight="1">
      <x:c r="A3100" s="2" t="n">
        <x:v>3094</x:v>
      </x:c>
      <x:c r="B3100" s="79" t="n">
        <x:v>-0.5202941603934266</x:v>
      </x:c>
      <x:c r="C3100" s="46" t="n">
        <x:f>B3100^2</x:f>
        <x:v>0.2707060133395007</x:v>
      </x:c>
      <x:c r="D3100" s="47" t="n">
        <x:f>'Datos'!$B$26^3/3</x:f>
        <x:v>0.3333333333333333</x:v>
      </x:c>
      <x:c r="E3100" s="46" t="n">
        <x:f>D3100*(C3100-1)</x:f>
        <x:v>-0.24309799555349976</x:v>
      </x:c>
      <x:c r="F3100" s="2"/>
      <x:c r="G3100" s="2"/>
      <x:c r="H3100" s="2"/>
    </x:row>
    <x:row r="3101" ht="22" customHeight="1">
      <x:c r="A3101" s="2" t="n">
        <x:v>3095</x:v>
      </x:c>
      <x:c r="B3101" s="79" t="n">
        <x:v>0.018888458911600372</x:v>
      </x:c>
      <x:c r="C3101" s="46" t="n">
        <x:f>B3101^2</x:f>
        <x:v>0.0003567738800552155</x:v>
      </x:c>
      <x:c r="D3101" s="47" t="n">
        <x:f>'Datos'!$B$26^3/3</x:f>
        <x:v>0.3333333333333333</x:v>
      </x:c>
      <x:c r="E3101" s="46" t="n">
        <x:f>D3101*(C3101-1)</x:f>
        <x:v>-0.33321440870664826</x:v>
      </x:c>
      <x:c r="F3101" s="2"/>
      <x:c r="G3101" s="2"/>
      <x:c r="H3101" s="2"/>
    </x:row>
    <x:row r="3102" ht="22" customHeight="1">
      <x:c r="A3102" s="2" t="n">
        <x:v>3096</x:v>
      </x:c>
      <x:c r="B3102" s="79" t="n">
        <x:v>-1.561499666337944</x:v>
      </x:c>
      <x:c r="C3102" s="46" t="n">
        <x:f>B3102^2</x:f>
        <x:v>2.4382812079735103</x:v>
      </x:c>
      <x:c r="D3102" s="47" t="n">
        <x:f>'Datos'!$B$26^3/3</x:f>
        <x:v>0.3333333333333333</x:v>
      </x:c>
      <x:c r="E3102" s="46" t="n">
        <x:f>D3102*(C3102-1)</x:f>
        <x:v>0.4794270693245034</x:v>
      </x:c>
      <x:c r="F3102" s="2"/>
      <x:c r="G3102" s="2"/>
      <x:c r="H3102" s="2"/>
    </x:row>
    <x:row r="3103" ht="22" customHeight="1">
      <x:c r="A3103" s="2" t="n">
        <x:v>3097</x:v>
      </x:c>
      <x:c r="B3103" s="79" t="n">
        <x:v>-0.38895232621712694</x:v>
      </x:c>
      <x:c r="C3103" s="46" t="n">
        <x:f>B3103^2</x:f>
        <x:v>0.15128391206971434</x:v>
      </x:c>
      <x:c r="D3103" s="47" t="n">
        <x:f>'Datos'!$B$26^3/3</x:f>
        <x:v>0.3333333333333333</x:v>
      </x:c>
      <x:c r="E3103" s="46" t="n">
        <x:f>D3103*(C3103-1)</x:f>
        <x:v>-0.2829053626434285</x:v>
      </x:c>
      <x:c r="F3103" s="2"/>
      <x:c r="G3103" s="2"/>
      <x:c r="H3103" s="2"/>
    </x:row>
    <x:row r="3104" ht="22" customHeight="1">
      <x:c r="A3104" s="2" t="n">
        <x:v>3098</x:v>
      </x:c>
      <x:c r="B3104" s="79" t="n">
        <x:v>0.23141189065949833</x:v>
      </x:c>
      <x:c r="C3104" s="46" t="n">
        <x:f>B3104^2</x:f>
        <x:v>0.05355146313860361</x:v>
      </x:c>
      <x:c r="D3104" s="47" t="n">
        <x:f>'Datos'!$B$26^3/3</x:f>
        <x:v>0.3333333333333333</x:v>
      </x:c>
      <x:c r="E3104" s="46" t="n">
        <x:f>D3104*(C3104-1)</x:f>
        <x:v>-0.31548284562046547</x:v>
      </x:c>
      <x:c r="F3104" s="2"/>
      <x:c r="G3104" s="2"/>
      <x:c r="H3104" s="2"/>
    </x:row>
    <x:row r="3105" ht="22" customHeight="1">
      <x:c r="A3105" s="2" t="n">
        <x:v>3099</x:v>
      </x:c>
      <x:c r="B3105" s="79" t="n">
        <x:v>-1.0645521825666795</x:v>
      </x:c>
      <x:c r="C3105" s="46" t="n">
        <x:f>B3105^2</x:f>
        <x:v>1.1332713494074809</x:v>
      </x:c>
      <x:c r="D3105" s="47" t="n">
        <x:f>'Datos'!$B$26^3/3</x:f>
        <x:v>0.3333333333333333</x:v>
      </x:c>
      <x:c r="E3105" s="46" t="n">
        <x:f>D3105*(C3105-1)</x:f>
        <x:v>0.044423783135826955</x:v>
      </x:c>
      <x:c r="F3105" s="2"/>
      <x:c r="G3105" s="2"/>
      <x:c r="H3105" s="2"/>
    </x:row>
    <x:row r="3106" ht="22" customHeight="1">
      <x:c r="A3106" s="2" t="n">
        <x:v>3100</x:v>
      </x:c>
      <x:c r="B3106" s="79" t="n">
        <x:v>-0.42845115060940847</x:v>
      </x:c>
      <x:c r="C3106" s="46" t="n">
        <x:f>B3106^2</x:f>
        <x:v>0.18357038845852602</x:v>
      </x:c>
      <x:c r="D3106" s="47" t="n">
        <x:f>'Datos'!$B$26^3/3</x:f>
        <x:v>0.3333333333333333</x:v>
      </x:c>
      <x:c r="E3106" s="46" t="n">
        <x:f>D3106*(C3106-1)</x:f>
        <x:v>-0.27214320384715796</x:v>
      </x:c>
      <x:c r="F3106" s="2"/>
      <x:c r="G3106" s="2"/>
      <x:c r="H3106" s="2"/>
    </x:row>
    <x:row r="3107" ht="22" customHeight="1">
      <x:c r="A3107" s="2" t="n">
        <x:v>3101</x:v>
      </x:c>
      <x:c r="B3107" s="79" t="n">
        <x:v>0.62192135128867</x:v>
      </x:c>
      <x:c r="C3107" s="46" t="n">
        <x:f>B3107^2</x:f>
        <x:v>0.38678616718872527</x:v>
      </x:c>
      <x:c r="D3107" s="47" t="n">
        <x:f>'Datos'!$B$26^3/3</x:f>
        <x:v>0.3333333333333333</x:v>
      </x:c>
      <x:c r="E3107" s="46" t="n">
        <x:f>D3107*(C3107-1)</x:f>
        <x:v>-0.20440461093709156</x:v>
      </x:c>
      <x:c r="F3107" s="2"/>
      <x:c r="G3107" s="2"/>
      <x:c r="H3107" s="2"/>
    </x:row>
    <x:row r="3108" ht="22" customHeight="1">
      <x:c r="A3108" s="2" t="n">
        <x:v>3102</x:v>
      </x:c>
      <x:c r="B3108" s="79" t="n">
        <x:v>0.5136806560848979</x:v>
      </x:c>
      <x:c r="C3108" s="46" t="n">
        <x:f>B3108^2</x:f>
        <x:v>0.26386781643581114</x:v>
      </x:c>
      <x:c r="D3108" s="47" t="n">
        <x:f>'Datos'!$B$26^3/3</x:f>
        <x:v>0.3333333333333333</x:v>
      </x:c>
      <x:c r="E3108" s="46" t="n">
        <x:f>D3108*(C3108-1)</x:f>
        <x:v>-0.24537739452139629</x:v>
      </x:c>
      <x:c r="F3108" s="2"/>
      <x:c r="G3108" s="2"/>
      <x:c r="H3108" s="2"/>
    </x:row>
    <x:row r="3109" ht="22" customHeight="1">
      <x:c r="A3109" s="2" t="n">
        <x:v>3103</x:v>
      </x:c>
      <x:c r="B3109" s="79" t="n">
        <x:v>0.5995115314799593</x:v>
      </x:c>
      <x:c r="C3109" s="46" t="n">
        <x:f>B3109^2</x:f>
        <x:v>0.3594140763774462</x:v>
      </x:c>
      <x:c r="D3109" s="47" t="n">
        <x:f>'Datos'!$B$26^3/3</x:f>
        <x:v>0.3333333333333333</x:v>
      </x:c>
      <x:c r="E3109" s="46" t="n">
        <x:f>D3109*(C3109-1)</x:f>
        <x:v>-0.2135286412075179</x:v>
      </x:c>
      <x:c r="F3109" s="2"/>
      <x:c r="G3109" s="2"/>
      <x:c r="H3109" s="2"/>
    </x:row>
    <x:row r="3110" ht="22" customHeight="1">
      <x:c r="A3110" s="2" t="n">
        <x:v>3104</x:v>
      </x:c>
      <x:c r="B3110" s="79" t="n">
        <x:v>0.4223001896704126</x:v>
      </x:c>
      <x:c r="C3110" s="46" t="n">
        <x:f>B3110^2</x:f>
        <x:v>0.17833745019566646</x:v>
      </x:c>
      <x:c r="D3110" s="47" t="n">
        <x:f>'Datos'!$B$26^3/3</x:f>
        <x:v>0.3333333333333333</x:v>
      </x:c>
      <x:c r="E3110" s="46" t="n">
        <x:f>D3110*(C3110-1)</x:f>
        <x:v>-0.2738875166014445</x:v>
      </x:c>
      <x:c r="F3110" s="2"/>
      <x:c r="G3110" s="2"/>
      <x:c r="H3110" s="2"/>
    </x:row>
    <x:row r="3111" ht="22" customHeight="1">
      <x:c r="A3111" s="2" t="n">
        <x:v>3105</x:v>
      </x:c>
      <x:c r="B3111" s="79" t="n">
        <x:v>-0.9697530939813775</x:v>
      </x:c>
      <x:c r="C3111" s="46" t="n">
        <x:f>B3111^2</x:f>
        <x:v>0.9404210632864545</x:v>
      </x:c>
      <x:c r="D3111" s="47" t="n">
        <x:f>'Datos'!$B$26^3/3</x:f>
        <x:v>0.3333333333333333</x:v>
      </x:c>
      <x:c r="E3111" s="46" t="n">
        <x:f>D3111*(C3111-1)</x:f>
        <x:v>-0.01985964557118184</x:v>
      </x:c>
      <x:c r="F3111" s="2"/>
      <x:c r="G3111" s="2"/>
      <x:c r="H3111" s="2"/>
    </x:row>
    <x:row r="3112" ht="22" customHeight="1">
      <x:c r="A3112" s="2" t="n">
        <x:v>3106</x:v>
      </x:c>
      <x:c r="B3112" s="79" t="n">
        <x:v>0.10789123868695234</x:v>
      </x:c>
      <x:c r="C3112" s="46" t="n">
        <x:f>B3112^2</x:f>
        <x:v>0.011640519385404922</x:v>
      </x:c>
      <x:c r="D3112" s="47" t="n">
        <x:f>'Datos'!$B$26^3/3</x:f>
        <x:v>0.3333333333333333</x:v>
      </x:c>
      <x:c r="E3112" s="46" t="n">
        <x:f>D3112*(C3112-1)</x:f>
        <x:v>-0.32945316020486504</x:v>
      </x:c>
      <x:c r="F3112" s="2"/>
      <x:c r="G3112" s="2"/>
      <x:c r="H3112" s="2"/>
    </x:row>
    <x:row r="3113" ht="22" customHeight="1">
      <x:c r="A3113" s="2" t="n">
        <x:v>3107</x:v>
      </x:c>
      <x:c r="B3113" s="79" t="n">
        <x:v>1.9630376966424459</x:v>
      </x:c>
      <x:c r="C3113" s="46" t="n">
        <x:f>B3113^2</x:f>
        <x:v>3.853516998439279</x:v>
      </x:c>
      <x:c r="D3113" s="47" t="n">
        <x:f>'Datos'!$B$26^3/3</x:f>
        <x:v>0.3333333333333333</x:v>
      </x:c>
      <x:c r="E3113" s="46" t="n">
        <x:f>D3113*(C3113-1)</x:f>
        <x:v>0.951172332813093</x:v>
      </x:c>
      <x:c r="F3113" s="2"/>
      <x:c r="G3113" s="2"/>
      <x:c r="H3113" s="2"/>
    </x:row>
    <x:row r="3114" ht="22" customHeight="1">
      <x:c r="A3114" s="2" t="n">
        <x:v>3108</x:v>
      </x:c>
      <x:c r="B3114" s="79" t="n">
        <x:v>0.0685597248954155</x:v>
      </x:c>
      <x:c r="C3114" s="46" t="n">
        <x:f>B3114^2</x:f>
        <x:v>0.004700435877735055</x:v>
      </x:c>
      <x:c r="D3114" s="47" t="n">
        <x:f>'Datos'!$B$26^3/3</x:f>
        <x:v>0.3333333333333333</x:v>
      </x:c>
      <x:c r="E3114" s="46" t="n">
        <x:f>D3114*(C3114-1)</x:f>
        <x:v>-0.3317665213740883</x:v>
      </x:c>
      <x:c r="F3114" s="2"/>
      <x:c r="G3114" s="2"/>
      <x:c r="H3114" s="2"/>
    </x:row>
    <x:row r="3115" ht="22" customHeight="1">
      <x:c r="A3115" s="2" t="n">
        <x:v>3109</x:v>
      </x:c>
      <x:c r="B3115" s="79" t="n">
        <x:v>-0.48387579428496486</x:v>
      </x:c>
      <x:c r="C3115" s="46" t="n">
        <x:f>B3115^2</x:f>
        <x:v>0.2341357842949056</x:v>
      </x:c>
      <x:c r="D3115" s="47" t="n">
        <x:f>'Datos'!$B$26^3/3</x:f>
        <x:v>0.3333333333333333</x:v>
      </x:c>
      <x:c r="E3115" s="46" t="n">
        <x:f>D3115*(C3115-1)</x:f>
        <x:v>-0.2552880719016981</x:v>
      </x:c>
      <x:c r="F3115" s="2"/>
      <x:c r="G3115" s="2"/>
      <x:c r="H3115" s="2"/>
    </x:row>
    <x:row r="3116" ht="22" customHeight="1">
      <x:c r="A3116" s="2" t="n">
        <x:v>3110</x:v>
      </x:c>
      <x:c r="B3116" s="79" t="n">
        <x:v>-0.7531241493449822</x:v>
      </x:c>
      <x:c r="C3116" s="46" t="n">
        <x:f>B3116^2</x:f>
        <x:v>0.567195984326603</x:v>
      </x:c>
      <x:c r="D3116" s="47" t="n">
        <x:f>'Datos'!$B$26^3/3</x:f>
        <x:v>0.3333333333333333</x:v>
      </x:c>
      <x:c r="E3116" s="46" t="n">
        <x:f>D3116*(C3116-1)</x:f>
        <x:v>-0.14426800522446565</x:v>
      </x:c>
      <x:c r="F3116" s="2"/>
      <x:c r="G3116" s="2"/>
      <x:c r="H3116" s="2"/>
    </x:row>
    <x:row r="3117" ht="22" customHeight="1">
      <x:c r="A3117" s="2" t="n">
        <x:v>3111</x:v>
      </x:c>
      <x:c r="B3117" s="79" t="n">
        <x:v>0.014967345950119436</x:v>
      </x:c>
      <x:c r="C3117" s="46" t="n">
        <x:f>B3117^2</x:f>
        <x:v>0.00022402144479055668</x:v>
      </x:c>
      <x:c r="D3117" s="47" t="n">
        <x:f>'Datos'!$B$26^3/3</x:f>
        <x:v>0.3333333333333333</x:v>
      </x:c>
      <x:c r="E3117" s="46" t="n">
        <x:f>D3117*(C3117-1)</x:f>
        <x:v>-0.3332586595184031</x:v>
      </x:c>
      <x:c r="F3117" s="2"/>
      <x:c r="G3117" s="2"/>
      <x:c r="H3117" s="2"/>
    </x:row>
    <x:row r="3118" ht="22" customHeight="1">
      <x:c r="A3118" s="2" t="n">
        <x:v>3112</x:v>
      </x:c>
      <x:c r="B3118" s="79" t="n">
        <x:v>-0.6184747279708822</x:v>
      </x:c>
      <x:c r="C3118" s="46" t="n">
        <x:f>B3118^2</x:f>
        <x:v>0.3825109891386568</x:v>
      </x:c>
      <x:c r="D3118" s="47" t="n">
        <x:f>'Datos'!$B$26^3/3</x:f>
        <x:v>0.3333333333333333</x:v>
      </x:c>
      <x:c r="E3118" s="46" t="n">
        <x:f>D3118*(C3118-1)</x:f>
        <x:v>-0.2058296702871144</x:v>
      </x:c>
      <x:c r="F3118" s="2"/>
      <x:c r="G3118" s="2"/>
      <x:c r="H3118" s="2"/>
    </x:row>
    <x:row r="3119" ht="22" customHeight="1">
      <x:c r="A3119" s="2" t="n">
        <x:v>3113</x:v>
      </x:c>
      <x:c r="B3119" s="79" t="n">
        <x:v>1.5554536105678685</x:v>
      </x:c>
      <x:c r="C3119" s="46" t="n">
        <x:f>B3119^2</x:f>
        <x:v>2.419435934628618</x:v>
      </x:c>
      <x:c r="D3119" s="47" t="n">
        <x:f>'Datos'!$B$26^3/3</x:f>
        <x:v>0.3333333333333333</x:v>
      </x:c>
      <x:c r="E3119" s="46" t="n">
        <x:f>D3119*(C3119-1)</x:f>
        <x:v>0.47314531154287265</x:v>
      </x:c>
      <x:c r="F3119" s="2"/>
      <x:c r="G3119" s="2"/>
      <x:c r="H3119" s="2"/>
    </x:row>
    <x:row r="3120" ht="22" customHeight="1">
      <x:c r="A3120" s="2" t="n">
        <x:v>3114</x:v>
      </x:c>
      <x:c r="B3120" s="79" t="n">
        <x:v>-0.32153229503516007</x:v>
      </x:c>
      <x:c r="C3120" s="46" t="n">
        <x:f>B3120^2</x:f>
        <x:v>0.10338301675057722</x:v>
      </x:c>
      <x:c r="D3120" s="47" t="n">
        <x:f>'Datos'!$B$26^3/3</x:f>
        <x:v>0.3333333333333333</x:v>
      </x:c>
      <x:c r="E3120" s="46" t="n">
        <x:f>D3120*(C3120-1)</x:f>
        <x:v>-0.29887232774980754</x:v>
      </x:c>
      <x:c r="F3120" s="2"/>
      <x:c r="G3120" s="2"/>
      <x:c r="H3120" s="2"/>
    </x:row>
    <x:row r="3121" ht="22" customHeight="1">
      <x:c r="A3121" s="2" t="n">
        <x:v>3115</x:v>
      </x:c>
      <x:c r="B3121" s="79" t="n">
        <x:v>-0.1258491202862304</x:v>
      </x:c>
      <x:c r="C3121" s="46" t="n">
        <x:f>B3121^2</x:f>
        <x:v>0.01583800107681809</x:v>
      </x:c>
      <x:c r="D3121" s="47" t="n">
        <x:f>'Datos'!$B$26^3/3</x:f>
        <x:v>0.3333333333333333</x:v>
      </x:c>
      <x:c r="E3121" s="46" t="n">
        <x:f>D3121*(C3121-1)</x:f>
        <x:v>-0.32805399964106063</x:v>
      </x:c>
      <x:c r="F3121" s="2"/>
      <x:c r="G3121" s="2"/>
      <x:c r="H3121" s="2"/>
    </x:row>
    <x:row r="3122" ht="22" customHeight="1">
      <x:c r="A3122" s="2" t="n">
        <x:v>3116</x:v>
      </x:c>
      <x:c r="B3122" s="79" t="n">
        <x:v>-0.7121331092652622</x:v>
      </x:c>
      <x:c r="C3122" s="46" t="n">
        <x:f>B3122^2</x:f>
        <x:v>0.5071335653118099</x:v>
      </x:c>
      <x:c r="D3122" s="47" t="n">
        <x:f>'Datos'!$B$26^3/3</x:f>
        <x:v>0.3333333333333333</x:v>
      </x:c>
      <x:c r="E3122" s="46" t="n">
        <x:f>D3122*(C3122-1)</x:f>
        <x:v>-0.16428881156273004</x:v>
      </x:c>
      <x:c r="F3122" s="2"/>
      <x:c r="G3122" s="2"/>
      <x:c r="H3122" s="2"/>
    </x:row>
    <x:row r="3123" ht="22" customHeight="1">
      <x:c r="A3123" s="2" t="n">
        <x:v>3117</x:v>
      </x:c>
      <x:c r="B3123" s="79" t="n">
        <x:v>-1.5659430062725352</x:v>
      </x:c>
      <x:c r="C3123" s="46" t="n">
        <x:f>B3123^2</x:f>
        <x:v>2.452177498893865</x:v>
      </x:c>
      <x:c r="D3123" s="47" t="n">
        <x:f>'Datos'!$B$26^3/3</x:f>
        <x:v>0.3333333333333333</x:v>
      </x:c>
      <x:c r="E3123" s="46" t="n">
        <x:f>D3123*(C3123-1)</x:f>
        <x:v>0.48405916629795503</x:v>
      </x:c>
      <x:c r="F3123" s="2"/>
      <x:c r="G3123" s="2"/>
      <x:c r="H3123" s="2"/>
    </x:row>
    <x:row r="3124" ht="22" customHeight="1">
      <x:c r="A3124" s="2" t="n">
        <x:v>3118</x:v>
      </x:c>
      <x:c r="B3124" s="79" t="n">
        <x:v>0.41773048735668966</x:v>
      </x:c>
      <x:c r="C3124" s="46" t="n">
        <x:f>B3124^2</x:f>
        <x:v>0.17449876006725745</x:v>
      </x:c>
      <x:c r="D3124" s="47" t="n">
        <x:f>'Datos'!$B$26^3/3</x:f>
        <x:v>0.3333333333333333</x:v>
      </x:c>
      <x:c r="E3124" s="46" t="n">
        <x:f>D3124*(C3124-1)</x:f>
        <x:v>-0.27516707997758083</x:v>
      </x:c>
      <x:c r="F3124" s="2"/>
      <x:c r="G3124" s="2"/>
      <x:c r="H3124" s="2"/>
    </x:row>
    <x:row r="3125" ht="22" customHeight="1">
      <x:c r="A3125" s="2" t="n">
        <x:v>3119</x:v>
      </x:c>
      <x:c r="B3125" s="79" t="n">
        <x:v>-1.0783190715211106</x:v>
      </x:c>
      <x:c r="C3125" s="46" t="n">
        <x:f>B3125^2</x:f>
        <x:v>1.16277202000615</x:v>
      </x:c>
      <x:c r="D3125" s="47" t="n">
        <x:f>'Datos'!$B$26^3/3</x:f>
        <x:v>0.3333333333333333</x:v>
      </x:c>
      <x:c r="E3125" s="46" t="n">
        <x:f>D3125*(C3125-1)</x:f>
        <x:v>0.05425734000204999</x:v>
      </x:c>
      <x:c r="F3125" s="2"/>
      <x:c r="G3125" s="2"/>
      <x:c r="H3125" s="2"/>
    </x:row>
    <x:row r="3126" ht="22" customHeight="1">
      <x:c r="A3126" s="2" t="n">
        <x:v>3120</x:v>
      </x:c>
      <x:c r="B3126" s="79" t="n">
        <x:v>1.5629981292185657</x:v>
      </x:c>
      <x:c r="C3126" s="46" t="n">
        <x:f>B3126^2</x:f>
        <x:v>2.442963151940736</x:v>
      </x:c>
      <x:c r="D3126" s="47" t="n">
        <x:f>'Datos'!$B$26^3/3</x:f>
        <x:v>0.3333333333333333</x:v>
      </x:c>
      <x:c r="E3126" s="46" t="n">
        <x:f>D3126*(C3126-1)</x:f>
        <x:v>0.4809877173135787</x:v>
      </x:c>
      <x:c r="F3126" s="2"/>
      <x:c r="G3126" s="2"/>
      <x:c r="H3126" s="2"/>
    </x:row>
    <x:row r="3127" ht="22" customHeight="1">
      <x:c r="A3127" s="2" t="n">
        <x:v>3121</x:v>
      </x:c>
      <x:c r="B3127" s="79" t="n">
        <x:v>-1.2078293456802232</x:v>
      </x:c>
      <x:c r="C3127" s="46" t="n">
        <x:f>B3127^2</x:f>
        <x:v>1.458851728286316</x:v>
      </x:c>
      <x:c r="D3127" s="47" t="n">
        <x:f>'Datos'!$B$26^3/3</x:f>
        <x:v>0.3333333333333333</x:v>
      </x:c>
      <x:c r="E3127" s="46" t="n">
        <x:f>D3127*(C3127-1)</x:f>
        <x:v>0.15295057609543866</x:v>
      </x:c>
      <x:c r="F3127" s="2"/>
      <x:c r="G3127" s="2"/>
      <x:c r="H3127" s="2"/>
    </x:row>
    <x:row r="3128" ht="22" customHeight="1">
      <x:c r="A3128" s="2" t="n">
        <x:v>3122</x:v>
      </x:c>
      <x:c r="B3128" s="79" t="n">
        <x:v>0.16133845401134939</x:v>
      </x:c>
      <x:c r="C3128" s="46" t="n">
        <x:f>B3128^2</x:f>
        <x:v>0.0260300967427723</x:v>
      </x:c>
      <x:c r="D3128" s="47" t="n">
        <x:f>'Datos'!$B$26^3/3</x:f>
        <x:v>0.3333333333333333</x:v>
      </x:c>
      <x:c r="E3128" s="46" t="n">
        <x:f>D3128*(C3128-1)</x:f>
        <x:v>-0.3246566344190759</x:v>
      </x:c>
      <x:c r="F3128" s="2"/>
      <x:c r="G3128" s="2"/>
      <x:c r="H3128" s="2"/>
    </x:row>
    <x:row r="3129" ht="22" customHeight="1">
      <x:c r="A3129" s="2" t="n">
        <x:v>3123</x:v>
      </x:c>
      <x:c r="B3129" s="79" t="n">
        <x:v>-0.9168953505847743</x:v>
      </x:c>
      <x:c r="C3129" s="46" t="n">
        <x:f>B3129^2</x:f>
        <x:v>0.8406970839239762</x:v>
      </x:c>
      <x:c r="D3129" s="47" t="n">
        <x:f>'Datos'!$B$26^3/3</x:f>
        <x:v>0.3333333333333333</x:v>
      </x:c>
      <x:c r="E3129" s="46" t="n">
        <x:f>D3129*(C3129-1)</x:f>
        <x:v>-0.05310097202534125</x:v>
      </x:c>
      <x:c r="F3129" s="2"/>
      <x:c r="G3129" s="2"/>
      <x:c r="H3129" s="2"/>
    </x:row>
    <x:row r="3130" ht="22" customHeight="1">
      <x:c r="A3130" s="2" t="n">
        <x:v>3124</x:v>
      </x:c>
      <x:c r="B3130" s="79" t="n">
        <x:v>-0.42871024507707306</x:v>
      </x:c>
      <x:c r="C3130" s="46" t="n">
        <x:f>B3130^2</x:f>
        <x:v>0.18379247423404405</x:v>
      </x:c>
      <x:c r="D3130" s="47" t="n">
        <x:f>'Datos'!$B$26^3/3</x:f>
        <x:v>0.3333333333333333</x:v>
      </x:c>
      <x:c r="E3130" s="46" t="n">
        <x:f>D3130*(C3130-1)</x:f>
        <x:v>-0.27206917525531865</x:v>
      </x:c>
      <x:c r="F3130" s="2"/>
      <x:c r="G3130" s="2"/>
      <x:c r="H3130" s="2"/>
    </x:row>
    <x:row r="3131" ht="22" customHeight="1">
      <x:c r="A3131" s="2" t="n">
        <x:v>3125</x:v>
      </x:c>
      <x:c r="B3131" s="79" t="n">
        <x:v>-1.830154067479565</x:v>
      </x:c>
      <x:c r="C3131" s="46" t="n">
        <x:f>B3131^2</x:f>
        <x:v>3.3494639107119966</x:v>
      </x:c>
      <x:c r="D3131" s="47" t="n">
        <x:f>'Datos'!$B$26^3/3</x:f>
        <x:v>0.3333333333333333</x:v>
      </x:c>
      <x:c r="E3131" s="46" t="n">
        <x:f>D3131*(C3131-1)</x:f>
        <x:v>0.7831546369039988</x:v>
      </x:c>
      <x:c r="F3131" s="2"/>
      <x:c r="G3131" s="2"/>
      <x:c r="H3131" s="2"/>
    </x:row>
    <x:row r="3132" ht="22" customHeight="1">
      <x:c r="A3132" s="2" t="n">
        <x:v>3126</x:v>
      </x:c>
      <x:c r="B3132" s="79" t="n">
        <x:v>1.080289658965266</x:v>
      </x:c>
      <x:c r="C3132" s="46" t="n">
        <x:f>B3132^2</x:f>
        <x:v>1.1670257472672907</x:v>
      </x:c>
      <x:c r="D3132" s="47" t="n">
        <x:f>'Datos'!$B$26^3/3</x:f>
        <x:v>0.3333333333333333</x:v>
      </x:c>
      <x:c r="E3132" s="46" t="n">
        <x:f>D3132*(C3132-1)</x:f>
        <x:v>0.05567524908909689</x:v>
      </x:c>
      <x:c r="F3132" s="2"/>
      <x:c r="G3132" s="2"/>
      <x:c r="H3132" s="2"/>
    </x:row>
    <x:row r="3133" ht="22" customHeight="1">
      <x:c r="A3133" s="2" t="n">
        <x:v>3127</x:v>
      </x:c>
      <x:c r="B3133" s="79" t="n">
        <x:v>0.9752382333107439</x:v>
      </x:c>
      <x:c r="C3133" s="46" t="n">
        <x:f>B3133^2</x:f>
        <x:v>0.9510896117110609</x:v>
      </x:c>
      <x:c r="D3133" s="47" t="n">
        <x:f>'Datos'!$B$26^3/3</x:f>
        <x:v>0.3333333333333333</x:v>
      </x:c>
      <x:c r="E3133" s="46" t="n">
        <x:f>D3133*(C3133-1)</x:f>
        <x:v>-0.016303462762979705</x:v>
      </x:c>
      <x:c r="F3133" s="2"/>
      <x:c r="G3133" s="2"/>
      <x:c r="H3133" s="2"/>
    </x:row>
    <x:row r="3134" ht="22" customHeight="1">
      <x:c r="A3134" s="2" t="n">
        <x:v>3128</x:v>
      </x:c>
      <x:c r="B3134" s="79" t="n">
        <x:v>-0.029085714184200168</x:v>
      </x:c>
      <x:c r="C3134" s="46" t="n">
        <x:f>B3134^2</x:f>
        <x:v>0.0008459787696049829</x:v>
      </x:c>
      <x:c r="D3134" s="47" t="n">
        <x:f>'Datos'!$B$26^3/3</x:f>
        <x:v>0.3333333333333333</x:v>
      </x:c>
      <x:c r="E3134" s="46" t="n">
        <x:f>D3134*(C3134-1)</x:f>
        <x:v>-0.3330513404101316</x:v>
      </x:c>
      <x:c r="F3134" s="2"/>
      <x:c r="G3134" s="2"/>
      <x:c r="H3134" s="2"/>
    </x:row>
    <x:row r="3135" ht="22" customHeight="1">
      <x:c r="A3135" s="2" t="n">
        <x:v>3129</x:v>
      </x:c>
      <x:c r="B3135" s="79" t="n">
        <x:v>-1.2373261576687276</x:v>
      </x:c>
      <x:c r="C3135" s="46" t="n">
        <x:f>B3135^2</x:f>
        <x:v>1.5309760204512568</x:v>
      </x:c>
      <x:c r="D3135" s="47" t="n">
        <x:f>'Datos'!$B$26^3/3</x:f>
        <x:v>0.3333333333333333</x:v>
      </x:c>
      <x:c r="E3135" s="46" t="n">
        <x:f>D3135*(C3135-1)</x:f>
        <x:v>0.1769920068170856</x:v>
      </x:c>
      <x:c r="F3135" s="2"/>
      <x:c r="G3135" s="2"/>
      <x:c r="H3135" s="2"/>
    </x:row>
    <x:row r="3136" ht="22" customHeight="1">
      <x:c r="A3136" s="2" t="n">
        <x:v>3130</x:v>
      </x:c>
      <x:c r="B3136" s="79" t="n">
        <x:v>0.14883060381057786</x:v>
      </x:c>
      <x:c r="C3136" s="46" t="n">
        <x:f>B3136^2</x:f>
        <x:v>0.022150548630621193</x:v>
      </x:c>
      <x:c r="D3136" s="47" t="n">
        <x:f>'Datos'!$B$26^3/3</x:f>
        <x:v>0.3333333333333333</x:v>
      </x:c>
      <x:c r="E3136" s="46" t="n">
        <x:f>D3136*(C3136-1)</x:f>
        <x:v>-0.32594981712312626</x:v>
      </x:c>
      <x:c r="F3136" s="2"/>
      <x:c r="G3136" s="2"/>
      <x:c r="H3136" s="2"/>
    </x:row>
    <x:row r="3137" ht="22" customHeight="1">
      <x:c r="A3137" s="2" t="n">
        <x:v>3131</x:v>
      </x:c>
      <x:c r="B3137" s="79" t="n">
        <x:v>1.386216233509069</x:v>
      </x:c>
      <x:c r="C3137" s="46" t="n">
        <x:f>B3137^2</x:f>
        <x:v>1.9215954460440698</x:v>
      </x:c>
      <x:c r="D3137" s="47" t="n">
        <x:f>'Datos'!$B$26^3/3</x:f>
        <x:v>0.3333333333333333</x:v>
      </x:c>
      <x:c r="E3137" s="46" t="n">
        <x:f>D3137*(C3137-1)</x:f>
        <x:v>0.3071984820146899</x:v>
      </x:c>
      <x:c r="F3137" s="2"/>
      <x:c r="G3137" s="2"/>
      <x:c r="H3137" s="2"/>
    </x:row>
    <x:row r="3138" ht="22" customHeight="1">
      <x:c r="A3138" s="2" t="n">
        <x:v>3132</x:v>
      </x:c>
      <x:c r="B3138" s="79" t="n">
        <x:v>0.6661684188776</x:v>
      </x:c>
      <x:c r="C3138" s="46" t="n">
        <x:f>B3138^2</x:f>
        <x:v>0.44378036230988155</x:v>
      </x:c>
      <x:c r="D3138" s="47" t="n">
        <x:f>'Datos'!$B$26^3/3</x:f>
        <x:v>0.3333333333333333</x:v>
      </x:c>
      <x:c r="E3138" s="46" t="n">
        <x:f>D3138*(C3138-1)</x:f>
        <x:v>-0.18540654589670616</x:v>
      </x:c>
      <x:c r="F3138" s="2"/>
      <x:c r="G3138" s="2"/>
      <x:c r="H3138" s="2"/>
    </x:row>
    <x:row r="3139" ht="22" customHeight="1">
      <x:c r="A3139" s="2" t="n">
        <x:v>3133</x:v>
      </x:c>
      <x:c r="B3139" s="79" t="n">
        <x:v>-1.5254801534355982</x:v>
      </x:c>
      <x:c r="C3139" s="46" t="n">
        <x:f>B3139^2</x:f>
        <x:v>2.327089698525896</x:v>
      </x:c>
      <x:c r="D3139" s="47" t="n">
        <x:f>'Datos'!$B$26^3/3</x:f>
        <x:v>0.3333333333333333</x:v>
      </x:c>
      <x:c r="E3139" s="46" t="n">
        <x:f>D3139*(C3139-1)</x:f>
        <x:v>0.4423632328419654</x:v>
      </x:c>
      <x:c r="F3139" s="2"/>
      <x:c r="G3139" s="2"/>
      <x:c r="H3139" s="2"/>
    </x:row>
    <x:row r="3140" ht="22" customHeight="1">
      <x:c r="A3140" s="2" t="n">
        <x:v>3134</x:v>
      </x:c>
      <x:c r="B3140" s="79" t="n">
        <x:v>-0.5053055224325004</x:v>
      </x:c>
      <x:c r="C3140" s="46" t="n">
        <x:f>B3140^2</x:f>
        <x:v>0.25533367100078214</x:v>
      </x:c>
      <x:c r="D3140" s="47" t="n">
        <x:f>'Datos'!$B$26^3/3</x:f>
        <x:v>0.3333333333333333</x:v>
      </x:c>
      <x:c r="E3140" s="46" t="n">
        <x:f>D3140*(C3140-1)</x:f>
        <x:v>-0.24822210966640595</x:v>
      </x:c>
      <x:c r="F3140" s="2"/>
      <x:c r="G3140" s="2"/>
      <x:c r="H3140" s="2"/>
    </x:row>
    <x:row r="3141" ht="22" customHeight="1">
      <x:c r="A3141" s="2" t="n">
        <x:v>3135</x:v>
      </x:c>
      <x:c r="B3141" s="79" t="n">
        <x:v>-0.37440287461579747</x:v>
      </x:c>
      <x:c r="C3141" s="46" t="n">
        <x:f>B3141^2</x:f>
        <x:v>0.14017751252057256</x:v>
      </x:c>
      <x:c r="D3141" s="47" t="n">
        <x:f>'Datos'!$B$26^3/3</x:f>
        <x:v>0.3333333333333333</x:v>
      </x:c>
      <x:c r="E3141" s="46" t="n">
        <x:f>D3141*(C3141-1)</x:f>
        <x:v>-0.2866074958264758</x:v>
      </x:c>
      <x:c r="F3141" s="2"/>
      <x:c r="G3141" s="2"/>
      <x:c r="H3141" s="2"/>
    </x:row>
    <x:row r="3142" ht="22" customHeight="1">
      <x:c r="A3142" s="2" t="n">
        <x:v>3136</x:v>
      </x:c>
      <x:c r="B3142" s="79" t="n">
        <x:v>-0.3384266502459899</x:v>
      </x:c>
      <x:c r="C3142" s="46" t="n">
        <x:f>B3142^2</x:f>
        <x:v>0.11453259759672157</x:v>
      </x:c>
      <x:c r="D3142" s="47" t="n">
        <x:f>'Datos'!$B$26^3/3</x:f>
        <x:v>0.3333333333333333</x:v>
      </x:c>
      <x:c r="E3142" s="46" t="n">
        <x:f>D3142*(C3142-1)</x:f>
        <x:v>-0.2951558008010928</x:v>
      </x:c>
      <x:c r="F3142" s="2"/>
      <x:c r="G3142" s="2"/>
      <x:c r="H3142" s="2"/>
    </x:row>
    <x:row r="3143" ht="22" customHeight="1">
      <x:c r="A3143" s="2" t="n">
        <x:v>3137</x:v>
      </x:c>
      <x:c r="B3143" s="79" t="n">
        <x:v>0.5375039558695568</x:v>
      </x:c>
      <x:c r="C3143" s="46" t="n">
        <x:f>B3143^2</x:f>
        <x:v>0.28891050257542245</x:v>
      </x:c>
      <x:c r="D3143" s="47" t="n">
        <x:f>'Datos'!$B$26^3/3</x:f>
        <x:v>0.3333333333333333</x:v>
      </x:c>
      <x:c r="E3143" s="46" t="n">
        <x:f>D3143*(C3143-1)</x:f>
        <x:v>-0.2370298324748592</x:v>
      </x:c>
      <x:c r="F3143" s="2"/>
      <x:c r="G3143" s="2"/>
      <x:c r="H3143" s="2"/>
    </x:row>
    <x:row r="3144" ht="22" customHeight="1">
      <x:c r="A3144" s="2" t="n">
        <x:v>3138</x:v>
      </x:c>
      <x:c r="B3144" s="79" t="n">
        <x:v>-1.1387298129005838</x:v>
      </x:c>
      <x:c r="C3144" s="46" t="n">
        <x:f>B3144^2</x:f>
        <x:v>1.2967055867885986</x:v>
      </x:c>
      <x:c r="D3144" s="47" t="n">
        <x:f>'Datos'!$B$26^3/3</x:f>
        <x:v>0.3333333333333333</x:v>
      </x:c>
      <x:c r="E3144" s="46" t="n">
        <x:f>D3144*(C3144-1)</x:f>
        <x:v>0.0989018622628662</x:v>
      </x:c>
      <x:c r="F3144" s="2"/>
      <x:c r="G3144" s="2"/>
      <x:c r="H3144" s="2"/>
    </x:row>
    <x:row r="3145" ht="22" customHeight="1">
      <x:c r="A3145" s="2" t="n">
        <x:v>3139</x:v>
      </x:c>
      <x:c r="B3145" s="79" t="n">
        <x:v>0.10941336877181855</x:v>
      </x:c>
      <x:c r="C3145" s="46" t="n">
        <x:f>B3145^2</x:f>
        <x:v>0.011971285265997958</x:v>
      </x:c>
      <x:c r="D3145" s="47" t="n">
        <x:f>'Datos'!$B$26^3/3</x:f>
        <x:v>0.3333333333333333</x:v>
      </x:c>
      <x:c r="E3145" s="46" t="n">
        <x:f>D3145*(C3145-1)</x:f>
        <x:v>-0.329342904911334</x:v>
      </x:c>
      <x:c r="F3145" s="2"/>
      <x:c r="G3145" s="2"/>
      <x:c r="H3145" s="2"/>
    </x:row>
    <x:row r="3146" ht="22" customHeight="1">
      <x:c r="A3146" s="2" t="n">
        <x:v>3140</x:v>
      </x:c>
      <x:c r="B3146" s="79" t="n">
        <x:v>-0.1449056858992769</x:v>
      </x:c>
      <x:c r="C3146" s="46" t="n">
        <x:f>B3146^2</x:f>
        <x:v>0.020997657805939898</x:v>
      </x:c>
      <x:c r="D3146" s="47" t="n">
        <x:f>'Datos'!$B$26^3/3</x:f>
        <x:v>0.3333333333333333</x:v>
      </x:c>
      <x:c r="E3146" s="46" t="n">
        <x:f>D3146*(C3146-1)</x:f>
        <x:v>-0.3263341140646867</x:v>
      </x:c>
      <x:c r="F3146" s="2"/>
      <x:c r="G3146" s="2"/>
      <x:c r="H3146" s="2"/>
    </x:row>
    <x:row r="3147" ht="22" customHeight="1">
      <x:c r="A3147" s="2" t="n">
        <x:v>3141</x:v>
      </x:c>
      <x:c r="B3147" s="79" t="n">
        <x:v>0.06943319824035288</x:v>
      </x:c>
      <x:c r="C3147" s="46" t="n">
        <x:f>B3147^2</x:f>
        <x:v>0.004820969017884142</x:v>
      </x:c>
      <x:c r="D3147" s="47" t="n">
        <x:f>'Datos'!$B$26^3/3</x:f>
        <x:v>0.3333333333333333</x:v>
      </x:c>
      <x:c r="E3147" s="46" t="n">
        <x:f>D3147*(C3147-1)</x:f>
        <x:v>-0.3317263436607053</x:v>
      </x:c>
      <x:c r="F3147" s="2"/>
      <x:c r="G3147" s="2"/>
      <x:c r="H3147" s="2"/>
    </x:row>
    <x:row r="3148" ht="22" customHeight="1">
      <x:c r="A3148" s="2" t="n">
        <x:v>3142</x:v>
      </x:c>
      <x:c r="B3148" s="79" t="n">
        <x:v>0.9332195153963998</x:v>
      </x:c>
      <x:c r="C3148" s="46" t="n">
        <x:f>B3148^2</x:f>
        <x:v>0.8708986639166912</x:v>
      </x:c>
      <x:c r="D3148" s="47" t="n">
        <x:f>'Datos'!$B$26^3/3</x:f>
        <x:v>0.3333333333333333</x:v>
      </x:c>
      <x:c r="E3148" s="46" t="n">
        <x:f>D3148*(C3148-1)</x:f>
        <x:v>-0.04303377869443625</x:v>
      </x:c>
      <x:c r="F3148" s="2"/>
      <x:c r="G3148" s="2"/>
      <x:c r="H3148" s="2"/>
    </x:row>
    <x:row r="3149" ht="22" customHeight="1">
      <x:c r="A3149" s="2" t="n">
        <x:v>3143</x:v>
      </x:c>
      <x:c r="B3149" s="79" t="n">
        <x:v>-0.46014323567636656</x:v>
      </x:c>
      <x:c r="C3149" s="46" t="n">
        <x:f>B3149^2</x:f>
        <x:v>0.21173179733871622</x:v>
      </x:c>
      <x:c r="D3149" s="47" t="n">
        <x:f>'Datos'!$B$26^3/3</x:f>
        <x:v>0.3333333333333333</x:v>
      </x:c>
      <x:c r="E3149" s="46" t="n">
        <x:f>D3149*(C3149-1)</x:f>
        <x:v>-0.26275606755376124</x:v>
      </x:c>
      <x:c r="F3149" s="2"/>
      <x:c r="G3149" s="2"/>
      <x:c r="H3149" s="2"/>
    </x:row>
    <x:row r="3150" ht="22" customHeight="1">
      <x:c r="A3150" s="2" t="n">
        <x:v>3144</x:v>
      </x:c>
      <x:c r="B3150" s="79" t="n">
        <x:v>-0.26601257574842907</x:v>
      </x:c>
      <x:c r="C3150" s="46" t="n">
        <x:f>B3150^2</x:f>
        <x:v>0.07076269045631371</x:v>
      </x:c>
      <x:c r="D3150" s="47" t="n">
        <x:f>'Datos'!$B$26^3/3</x:f>
        <x:v>0.3333333333333333</x:v>
      </x:c>
      <x:c r="E3150" s="46" t="n">
        <x:f>D3150*(C3150-1)</x:f>
        <x:v>-0.3097457698478954</x:v>
      </x:c>
      <x:c r="F3150" s="2"/>
      <x:c r="G3150" s="2"/>
      <x:c r="H3150" s="2"/>
    </x:row>
    <x:row r="3151" ht="22" customHeight="1">
      <x:c r="A3151" s="2" t="n">
        <x:v>3145</x:v>
      </x:c>
      <x:c r="B3151" s="79" t="n">
        <x:v>0.8333652172099583</x:v>
      </x:c>
      <x:c r="C3151" s="46" t="n">
        <x:f>B3151^2</x:f>
        <x:v>0.694497585255401</x:v>
      </x:c>
      <x:c r="D3151" s="47" t="n">
        <x:f>'Datos'!$B$26^3/3</x:f>
        <x:v>0.3333333333333333</x:v>
      </x:c>
      <x:c r="E3151" s="46" t="n">
        <x:f>D3151*(C3151-1)</x:f>
        <x:v>-0.10183413824819967</x:v>
      </x:c>
      <x:c r="F3151" s="2"/>
      <x:c r="G3151" s="2"/>
      <x:c r="H3151" s="2"/>
    </x:row>
    <x:row r="3152" ht="22" customHeight="1">
      <x:c r="A3152" s="2" t="n">
        <x:v>3146</x:v>
      </x:c>
      <x:c r="B3152" s="79" t="n">
        <x:v>2.6034859233175114</x:v>
      </x:c>
      <x:c r="C3152" s="46" t="n">
        <x:f>B3152^2</x:f>
        <x:v>6.7781389529124345</x:v>
      </x:c>
      <x:c r="D3152" s="47" t="n">
        <x:f>'Datos'!$B$26^3/3</x:f>
        <x:v>0.3333333333333333</x:v>
      </x:c>
      <x:c r="E3152" s="46" t="n">
        <x:f>D3152*(C3152-1)</x:f>
        <x:v>1.926046317637478</x:v>
      </x:c>
      <x:c r="F3152" s="2"/>
      <x:c r="G3152" s="2"/>
      <x:c r="H3152" s="2"/>
    </x:row>
    <x:row r="3153" ht="22" customHeight="1">
      <x:c r="A3153" s="2" t="n">
        <x:v>3147</x:v>
      </x:c>
      <x:c r="B3153" s="79" t="n">
        <x:v>3.368360983523762</x:v>
      </x:c>
      <x:c r="C3153" s="46" t="n">
        <x:f>B3153^2</x:f>
        <x:v>11.345855715325165</x:v>
      </x:c>
      <x:c r="D3153" s="47" t="n">
        <x:f>'Datos'!$B$26^3/3</x:f>
        <x:v>0.3333333333333333</x:v>
      </x:c>
      <x:c r="E3153" s="46" t="n">
        <x:f>D3153*(C3153-1)</x:f>
        <x:v>3.4486185717750546</x:v>
      </x:c>
      <x:c r="F3153" s="2"/>
      <x:c r="G3153" s="2"/>
      <x:c r="H3153" s="2"/>
    </x:row>
    <x:row r="3154" ht="22" customHeight="1">
      <x:c r="A3154" s="2" t="n">
        <x:v>3148</x:v>
      </x:c>
      <x:c r="B3154" s="79" t="n">
        <x:v>0.40233440755167527</x:v>
      </x:c>
      <x:c r="C3154" s="46" t="n">
        <x:f>B3154^2</x:f>
        <x:v>0.16187297549995752</x:v>
      </x:c>
      <x:c r="D3154" s="47" t="n">
        <x:f>'Datos'!$B$26^3/3</x:f>
        <x:v>0.3333333333333333</x:v>
      </x:c>
      <x:c r="E3154" s="46" t="n">
        <x:f>D3154*(C3154-1)</x:f>
        <x:v>-0.27937567483334746</x:v>
      </x:c>
      <x:c r="F3154" s="2"/>
      <x:c r="G3154" s="2"/>
      <x:c r="H3154" s="2"/>
    </x:row>
    <x:row r="3155" ht="22" customHeight="1">
      <x:c r="A3155" s="2" t="n">
        <x:v>3149</x:v>
      </x:c>
      <x:c r="B3155" s="79" t="n">
        <x:v>0.5807143677061618</x:v>
      </x:c>
      <x:c r="C3155" s="46" t="n">
        <x:f>B3155^2</x:f>
        <x:v>0.3372291768603673</x:v>
      </x:c>
      <x:c r="D3155" s="47" t="n">
        <x:f>'Datos'!$B$26^3/3</x:f>
        <x:v>0.3333333333333333</x:v>
      </x:c>
      <x:c r="E3155" s="46" t="n">
        <x:f>D3155*(C3155-1)</x:f>
        <x:v>-0.2209236077132109</x:v>
      </x:c>
      <x:c r="F3155" s="2"/>
      <x:c r="G3155" s="2"/>
      <x:c r="H3155" s="2"/>
    </x:row>
    <x:row r="3156" ht="22" customHeight="1">
      <x:c r="A3156" s="2" t="n">
        <x:v>3150</x:v>
      </x:c>
      <x:c r="B3156" s="79" t="n">
        <x:v>-0.9636072297866427</x:v>
      </x:c>
      <x:c r="C3156" s="46" t="n">
        <x:f>B3156^2</x:f>
        <x:v>0.9285388932970876</x:v>
      </x:c>
      <x:c r="D3156" s="47" t="n">
        <x:f>'Datos'!$B$26^3/3</x:f>
        <x:v>0.3333333333333333</x:v>
      </x:c>
      <x:c r="E3156" s="46" t="n">
        <x:f>D3156*(C3156-1)</x:f>
        <x:v>-0.023820368900970796</x:v>
      </x:c>
      <x:c r="F3156" s="2"/>
      <x:c r="G3156" s="2"/>
      <x:c r="H3156" s="2"/>
    </x:row>
    <x:row r="3157" ht="22" customHeight="1">
      <x:c r="A3157" s="2" t="n">
        <x:v>3151</x:v>
      </x:c>
      <x:c r="B3157" s="79" t="n">
        <x:v>0.44789473981551076</x:v>
      </x:c>
      <x:c r="C3157" s="46" t="n">
        <x:f>B3157^2</x:f>
        <x:v>0.2006096979544041</x:v>
      </x:c>
      <x:c r="D3157" s="47" t="n">
        <x:f>'Datos'!$B$26^3/3</x:f>
        <x:v>0.3333333333333333</x:v>
      </x:c>
      <x:c r="E3157" s="46" t="n">
        <x:f>D3157*(C3157-1)</x:f>
        <x:v>-0.2664634340151986</x:v>
      </x:c>
      <x:c r="F3157" s="2"/>
      <x:c r="G3157" s="2"/>
      <x:c r="H3157" s="2"/>
    </x:row>
    <x:row r="3158" ht="22" customHeight="1">
      <x:c r="A3158" s="2" t="n">
        <x:v>3152</x:v>
      </x:c>
      <x:c r="B3158" s="79" t="n">
        <x:v>-0.35005574724895583</x:v>
      </x:c>
      <x:c r="C3158" s="46" t="n">
        <x:f>B3158^2</x:f>
        <x:v>0.12253902618202485</x:v>
      </x:c>
      <x:c r="D3158" s="47" t="n">
        <x:f>'Datos'!$B$26^3/3</x:f>
        <x:v>0.3333333333333333</x:v>
      </x:c>
      <x:c r="E3158" s="46" t="n">
        <x:f>D3158*(C3158-1)</x:f>
        <x:v>-0.29248699127265837</x:v>
      </x:c>
      <x:c r="F3158" s="2"/>
      <x:c r="G3158" s="2"/>
      <x:c r="H3158" s="2"/>
    </x:row>
    <x:row r="3159" ht="22" customHeight="1">
      <x:c r="A3159" s="2" t="n">
        <x:v>3153</x:v>
      </x:c>
      <x:c r="B3159" s="79" t="n">
        <x:v>1.3215414122454254</x:v>
      </x:c>
      <x:c r="C3159" s="46" t="n">
        <x:f>B3159^2</x:f>
        <x:v>1.7464717042796334</x:v>
      </x:c>
      <x:c r="D3159" s="47" t="n">
        <x:f>'Datos'!$B$26^3/3</x:f>
        <x:v>0.3333333333333333</x:v>
      </x:c>
      <x:c r="E3159" s="46" t="n">
        <x:f>D3159*(C3159-1)</x:f>
        <x:v>0.24882390142654445</x:v>
      </x:c>
      <x:c r="F3159" s="2"/>
      <x:c r="G3159" s="2"/>
      <x:c r="H3159" s="2"/>
    </x:row>
    <x:row r="3160" ht="22" customHeight="1">
      <x:c r="A3160" s="2" t="n">
        <x:v>3154</x:v>
      </x:c>
      <x:c r="B3160" s="79" t="n">
        <x:v>0.4912678714341117</x:v>
      </x:c>
      <x:c r="C3160" s="46" t="n">
        <x:f>B3160^2</x:f>
        <x:v>0.24134412150340293</x:v>
      </x:c>
      <x:c r="D3160" s="47" t="n">
        <x:f>'Datos'!$B$26^3/3</x:f>
        <x:v>0.3333333333333333</x:v>
      </x:c>
      <x:c r="E3160" s="46" t="n">
        <x:f>D3160*(C3160-1)</x:f>
        <x:v>-0.252885292832199</x:v>
      </x:c>
      <x:c r="F3160" s="2"/>
      <x:c r="G3160" s="2"/>
      <x:c r="H3160" s="2"/>
    </x:row>
    <x:row r="3161" ht="22" customHeight="1">
      <x:c r="A3161" s="2" t="n">
        <x:v>3155</x:v>
      </x:c>
      <x:c r="B3161" s="79" t="n">
        <x:v>-0.34086118997494486</x:v>
      </x:c>
      <x:c r="C3161" s="46" t="n">
        <x:f>B3161^2</x:f>
        <x:v>0.11618635083113545</x:v>
      </x:c>
      <x:c r="D3161" s="47" t="n">
        <x:f>'Datos'!$B$26^3/3</x:f>
        <x:v>0.3333333333333333</x:v>
      </x:c>
      <x:c r="E3161" s="46" t="n">
        <x:f>D3161*(C3161-1)</x:f>
        <x:v>-0.2946045497229548</x:v>
      </x:c>
      <x:c r="F3161" s="2"/>
      <x:c r="G3161" s="2"/>
      <x:c r="H3161" s="2"/>
    </x:row>
    <x:row r="3162" ht="22" customHeight="1">
      <x:c r="A3162" s="2" t="n">
        <x:v>3156</x:v>
      </x:c>
      <x:c r="B3162" s="79" t="n">
        <x:v>0.7116700649578707</x:v>
      </x:c>
      <x:c r="C3162" s="46" t="n">
        <x:f>B3162^2</x:f>
        <x:v>0.5064742813571399</x:v>
      </x:c>
      <x:c r="D3162" s="47" t="n">
        <x:f>'Datos'!$B$26^3/3</x:f>
        <x:v>0.3333333333333333</x:v>
      </x:c>
      <x:c r="E3162" s="46" t="n">
        <x:f>D3162*(C3162-1)</x:f>
        <x:v>-0.16450857288095336</x:v>
      </x:c>
      <x:c r="F3162" s="2"/>
      <x:c r="G3162" s="2"/>
      <x:c r="H3162" s="2"/>
    </x:row>
    <x:row r="3163" ht="22" customHeight="1">
      <x:c r="A3163" s="2" t="n">
        <x:v>3157</x:v>
      </x:c>
      <x:c r="B3163" s="79" t="n">
        <x:v>1.0476452027619974</x:v>
      </x:c>
      <x:c r="C3163" s="46" t="n">
        <x:f>B3163^2</x:f>
        <x:v>1.0975604708702265</x:v>
      </x:c>
      <x:c r="D3163" s="47" t="n">
        <x:f>'Datos'!$B$26^3/3</x:f>
        <x:v>0.3333333333333333</x:v>
      </x:c>
      <x:c r="E3163" s="46" t="n">
        <x:f>D3163*(C3163-1)</x:f>
        <x:v>0.03252015695674215</x:v>
      </x:c>
      <x:c r="F3163" s="2"/>
      <x:c r="G3163" s="2"/>
      <x:c r="H3163" s="2"/>
    </x:row>
    <x:row r="3164" ht="22" customHeight="1">
      <x:c r="A3164" s="2" t="n">
        <x:v>3158</x:v>
      </x:c>
      <x:c r="B3164" s="79" t="n">
        <x:v>-0.9416693010110264</x:v>
      </x:c>
      <x:c r="C3164" s="46" t="n">
        <x:f>B3164^2</x:f>
        <x:v>0.8867410724665951</x:v>
      </x:c>
      <x:c r="D3164" s="47" t="n">
        <x:f>'Datos'!$B$26^3/3</x:f>
        <x:v>0.3333333333333333</x:v>
      </x:c>
      <x:c r="E3164" s="46" t="n">
        <x:f>D3164*(C3164-1)</x:f>
        <x:v>-0.03775297584446831</x:v>
      </x:c>
      <x:c r="F3164" s="2"/>
      <x:c r="G3164" s="2"/>
      <x:c r="H3164" s="2"/>
    </x:row>
    <x:row r="3165" ht="22" customHeight="1">
      <x:c r="A3165" s="2" t="n">
        <x:v>3159</x:v>
      </x:c>
      <x:c r="B3165" s="79" t="n">
        <x:v>-0.7682106303824247</x:v>
      </x:c>
      <x:c r="C3165" s="46" t="n">
        <x:f>B3165^2</x:f>
        <x:v>0.5901475726325622</x:v>
      </x:c>
      <x:c r="D3165" s="47" t="n">
        <x:f>'Datos'!$B$26^3/3</x:f>
        <x:v>0.3333333333333333</x:v>
      </x:c>
      <x:c r="E3165" s="46" t="n">
        <x:f>D3165*(C3165-1)</x:f>
        <x:v>-0.1366174757891459</x:v>
      </x:c>
      <x:c r="F3165" s="2"/>
      <x:c r="G3165" s="2"/>
      <x:c r="H3165" s="2"/>
    </x:row>
    <x:row r="3166" ht="22" customHeight="1">
      <x:c r="A3166" s="2" t="n">
        <x:v>3160</x:v>
      </x:c>
      <x:c r="B3166" s="79" t="n">
        <x:v>-0.2994901574337795</x:v>
      </x:c>
      <x:c r="C3166" s="46" t="n">
        <x:f>B3166^2</x:f>
        <x:v>0.08969435439971002</x:v>
      </x:c>
      <x:c r="D3166" s="47" t="n">
        <x:f>'Datos'!$B$26^3/3</x:f>
        <x:v>0.3333333333333333</x:v>
      </x:c>
      <x:c r="E3166" s="46" t="n">
        <x:f>D3166*(C3166-1)</x:f>
        <x:v>-0.30343521520009664</x:v>
      </x:c>
      <x:c r="F3166" s="2"/>
      <x:c r="G3166" s="2"/>
      <x:c r="H3166" s="2"/>
    </x:row>
    <x:row r="3167" ht="22" customHeight="1">
      <x:c r="A3167" s="2" t="n">
        <x:v>3161</x:v>
      </x:c>
      <x:c r="B3167" s="79" t="n">
        <x:v>-0.67124513984452</x:v>
      </x:c>
      <x:c r="C3167" s="46" t="n">
        <x:f>B3167^2</x:f>
        <x:v>0.45057003776488913</x:v>
      </x:c>
      <x:c r="D3167" s="47" t="n">
        <x:f>'Datos'!$B$26^3/3</x:f>
        <x:v>0.3333333333333333</x:v>
      </x:c>
      <x:c r="E3167" s="46" t="n">
        <x:f>D3167*(C3167-1)</x:f>
        <x:v>-0.18314332074503695</x:v>
      </x:c>
      <x:c r="F3167" s="2"/>
      <x:c r="G3167" s="2"/>
      <x:c r="H3167" s="2"/>
    </x:row>
    <x:row r="3168" ht="22" customHeight="1">
      <x:c r="A3168" s="2" t="n">
        <x:v>3162</x:v>
      </x:c>
      <x:c r="B3168" s="79" t="n">
        <x:v>-0.40997013433897184</x:v>
      </x:c>
      <x:c r="C3168" s="46" t="n">
        <x:f>B3168^2</x:f>
        <x:v>0.1680755110499146</x:v>
      </x:c>
      <x:c r="D3168" s="47" t="n">
        <x:f>'Datos'!$B$26^3/3</x:f>
        <x:v>0.3333333333333333</x:v>
      </x:c>
      <x:c r="E3168" s="46" t="n">
        <x:f>D3168*(C3168-1)</x:f>
        <x:v>-0.2773081629833618</x:v>
      </x:c>
      <x:c r="F3168" s="2"/>
      <x:c r="G3168" s="2"/>
      <x:c r="H3168" s="2"/>
    </x:row>
    <x:row r="3169" ht="22" customHeight="1">
      <x:c r="A3169" s="2" t="n">
        <x:v>3163</x:v>
      </x:c>
      <x:c r="B3169" s="79" t="n">
        <x:v>-0.25068606621302225</x:v>
      </x:c>
      <x:c r="C3169" s="46" t="n">
        <x:f>B3169^2</x:f>
        <x:v>0.06284350379335978</x:v>
      </x:c>
      <x:c r="D3169" s="47" t="n">
        <x:f>'Datos'!$B$26^3/3</x:f>
        <x:v>0.3333333333333333</x:v>
      </x:c>
      <x:c r="E3169" s="46" t="n">
        <x:f>D3169*(C3169-1)</x:f>
        <x:v>-0.3123854987355467</x:v>
      </x:c>
      <x:c r="F3169" s="2"/>
      <x:c r="G3169" s="2"/>
      <x:c r="H3169" s="2"/>
    </x:row>
    <x:row r="3170" ht="22" customHeight="1">
      <x:c r="A3170" s="2" t="n">
        <x:v>3164</x:v>
      </x:c>
      <x:c r="B3170" s="79" t="n">
        <x:v>-0.5989170841729745</x:v>
      </x:c>
      <x:c r="C3170" s="46" t="n">
        <x:f>B3170^2</x:f>
        <x:v>0.3587016737142578</x:v>
      </x:c>
      <x:c r="D3170" s="47" t="n">
        <x:f>'Datos'!$B$26^3/3</x:f>
        <x:v>0.3333333333333333</x:v>
      </x:c>
      <x:c r="E3170" s="46" t="n">
        <x:f>D3170*(C3170-1)</x:f>
        <x:v>-0.21376610876191404</x:v>
      </x:c>
      <x:c r="F3170" s="2"/>
      <x:c r="G3170" s="2"/>
      <x:c r="H3170" s="2"/>
    </x:row>
    <x:row r="3171" ht="22" customHeight="1">
      <x:c r="A3171" s="2" t="n">
        <x:v>3165</x:v>
      </x:c>
      <x:c r="B3171" s="79" t="n">
        <x:v>-1.4273520842909038</x:v>
      </x:c>
      <x:c r="C3171" s="46" t="n">
        <x:f>B3171^2</x:f>
        <x:v>2.0373339725295874</x:v>
      </x:c>
      <x:c r="D3171" s="47" t="n">
        <x:f>'Datos'!$B$26^3/3</x:f>
        <x:v>0.3333333333333333</x:v>
      </x:c>
      <x:c r="E3171" s="46" t="n">
        <x:f>D3171*(C3171-1)</x:f>
        <x:v>0.34577799084319577</x:v>
      </x:c>
      <x:c r="F3171" s="2"/>
      <x:c r="G3171" s="2"/>
      <x:c r="H3171" s="2"/>
    </x:row>
    <x:row r="3172" ht="22" customHeight="1">
      <x:c r="A3172" s="2" t="n">
        <x:v>3166</x:v>
      </x:c>
      <x:c r="B3172" s="79" t="n">
        <x:v>-0.48419439958276544</x:v>
      </x:c>
      <x:c r="C3172" s="46" t="n">
        <x:f>B3172^2</x:f>
        <x:v>0.23444421658731474</x:v>
      </x:c>
      <x:c r="D3172" s="47" t="n">
        <x:f>'Datos'!$B$26^3/3</x:f>
        <x:v>0.3333333333333333</x:v>
      </x:c>
      <x:c r="E3172" s="46" t="n">
        <x:f>D3172*(C3172-1)</x:f>
        <x:v>-0.25518526113756174</x:v>
      </x:c>
      <x:c r="F3172" s="2"/>
      <x:c r="G3172" s="2"/>
      <x:c r="H3172" s="2"/>
    </x:row>
    <x:row r="3173" ht="22" customHeight="1">
      <x:c r="A3173" s="2" t="n">
        <x:v>3167</x:v>
      </x:c>
      <x:c r="B3173" s="79" t="n">
        <x:v>-1.2282165785286563</x:v>
      </x:c>
      <x:c r="C3173" s="46" t="n">
        <x:f>B3173^2</x:f>
        <x:v>1.5085159637726389</x:v>
      </x:c>
      <x:c r="D3173" s="47" t="n">
        <x:f>'Datos'!$B$26^3/3</x:f>
        <x:v>0.3333333333333333</x:v>
      </x:c>
      <x:c r="E3173" s="46" t="n">
        <x:f>D3173*(C3173-1)</x:f>
        <x:v>0.16950532125754628</x:v>
      </x:c>
      <x:c r="F3173" s="2"/>
      <x:c r="G3173" s="2"/>
      <x:c r="H3173" s="2"/>
    </x:row>
    <x:row r="3174" ht="22" customHeight="1">
      <x:c r="A3174" s="2" t="n">
        <x:v>3168</x:v>
      </x:c>
      <x:c r="B3174" s="79" t="n">
        <x:v>-0.5388381522357802</x:v>
      </x:c>
      <x:c r="C3174" s="46" t="n">
        <x:f>B3174^2</x:f>
        <x:v>0.2903465543048699</x:v>
      </x:c>
      <x:c r="D3174" s="47" t="n">
        <x:f>'Datos'!$B$26^3/3</x:f>
        <x:v>0.3333333333333333</x:v>
      </x:c>
      <x:c r="E3174" s="46" t="n">
        <x:f>D3174*(C3174-1)</x:f>
        <x:v>-0.23655114856504336</x:v>
      </x:c>
      <x:c r="F3174" s="2"/>
      <x:c r="G3174" s="2"/>
      <x:c r="H3174" s="2"/>
    </x:row>
    <x:row r="3175" ht="22" customHeight="1">
      <x:c r="A3175" s="2" t="n">
        <x:v>3169</x:v>
      </x:c>
      <x:c r="B3175" s="79" t="n">
        <x:v>0.8080485179103087</x:v>
      </x:c>
      <x:c r="C3175" s="46" t="n">
        <x:f>B3175^2</x:f>
        <x:v>0.6529424072970466</x:v>
      </x:c>
      <x:c r="D3175" s="47" t="n">
        <x:f>'Datos'!$B$26^3/3</x:f>
        <x:v>0.3333333333333333</x:v>
      </x:c>
      <x:c r="E3175" s="46" t="n">
        <x:f>D3175*(C3175-1)</x:f>
        <x:v>-0.11568586423431781</x:v>
      </x:c>
      <x:c r="F3175" s="2"/>
      <x:c r="G3175" s="2"/>
      <x:c r="H3175" s="2"/>
    </x:row>
    <x:row r="3176" ht="22" customHeight="1">
      <x:c r="A3176" s="2" t="n">
        <x:v>3170</x:v>
      </x:c>
      <x:c r="B3176" s="79" t="n">
        <x:v>-1.8419806229244235</x:v>
      </x:c>
      <x:c r="C3176" s="46" t="n">
        <x:f>B3176^2</x:f>
        <x:v>3.3928926152290475</x:v>
      </x:c>
      <x:c r="D3176" s="47" t="n">
        <x:f>'Datos'!$B$26^3/3</x:f>
        <x:v>0.3333333333333333</x:v>
      </x:c>
      <x:c r="E3176" s="46" t="n">
        <x:f>D3176*(C3176-1)</x:f>
        <x:v>0.7976308717430158</x:v>
      </x:c>
      <x:c r="F3176" s="2"/>
      <x:c r="G3176" s="2"/>
      <x:c r="H3176" s="2"/>
    </x:row>
    <x:row r="3177" ht="22" customHeight="1">
      <x:c r="A3177" s="2" t="n">
        <x:v>3171</x:v>
      </x:c>
      <x:c r="B3177" s="79" t="n">
        <x:v>-0.8627187669424119</x:v>
      </x:c>
      <x:c r="C3177" s="46" t="n">
        <x:f>B3177^2</x:f>
        <x:v>0.7442836708346356</x:v>
      </x:c>
      <x:c r="D3177" s="47" t="n">
        <x:f>'Datos'!$B$26^3/3</x:f>
        <x:v>0.3333333333333333</x:v>
      </x:c>
      <x:c r="E3177" s="46" t="n">
        <x:f>D3177*(C3177-1)</x:f>
        <x:v>-0.08523877638845478</x:v>
      </x:c>
      <x:c r="F3177" s="2"/>
      <x:c r="G3177" s="2"/>
      <x:c r="H3177" s="2"/>
    </x:row>
    <x:row r="3178" ht="22" customHeight="1">
      <x:c r="A3178" s="2" t="n">
        <x:v>3172</x:v>
      </x:c>
      <x:c r="B3178" s="79" t="n">
        <x:v>-0.27784430838513086</x:v>
      </x:c>
      <x:c r="C3178" s="46" t="n">
        <x:f>B3178^2</x:f>
        <x:v>0.0771974597020117</x:v>
      </x:c>
      <x:c r="D3178" s="47" t="n">
        <x:f>'Datos'!$B$26^3/3</x:f>
        <x:v>0.3333333333333333</x:v>
      </x:c>
      <x:c r="E3178" s="46" t="n">
        <x:f>D3178*(C3178-1)</x:f>
        <x:v>-0.3076008467659961</x:v>
      </x:c>
      <x:c r="F3178" s="2"/>
      <x:c r="G3178" s="2"/>
      <x:c r="H3178" s="2"/>
    </x:row>
    <x:row r="3179" ht="22" customHeight="1">
      <x:c r="A3179" s="2" t="n">
        <x:v>3173</x:v>
      </x:c>
      <x:c r="B3179" s="79" t="n">
        <x:v>1.1140126665941328</x:v>
      </x:c>
      <x:c r="C3179" s="46" t="n">
        <x:f>B3179^2</x:f>
        <x:v>1.2410242213321705</x:v>
      </x:c>
      <x:c r="D3179" s="47" t="n">
        <x:f>'Datos'!$B$26^3/3</x:f>
        <x:v>0.3333333333333333</x:v>
      </x:c>
      <x:c r="E3179" s="46" t="n">
        <x:f>D3179*(C3179-1)</x:f>
        <x:v>0.08034140711072349</x:v>
      </x:c>
      <x:c r="F3179" s="2"/>
      <x:c r="G3179" s="2"/>
      <x:c r="H3179" s="2"/>
    </x:row>
    <x:row r="3180" ht="22" customHeight="1">
      <x:c r="A3180" s="2" t="n">
        <x:v>3174</x:v>
      </x:c>
      <x:c r="B3180" s="79" t="n">
        <x:v>0.8089292339208045</x:v>
      </x:c>
      <x:c r="C3180" s="46" t="n">
        <x:f>B3180^2</x:f>
        <x:v>0.6543665054916996</x:v>
      </x:c>
      <x:c r="D3180" s="47" t="n">
        <x:f>'Datos'!$B$26^3/3</x:f>
        <x:v>0.3333333333333333</x:v>
      </x:c>
      <x:c r="E3180" s="46" t="n">
        <x:f>D3180*(C3180-1)</x:f>
        <x:v>-0.11521116483610012</x:v>
      </x:c>
      <x:c r="F3180" s="2"/>
      <x:c r="G3180" s="2"/>
      <x:c r="H3180" s="2"/>
    </x:row>
    <x:row r="3181" ht="22" customHeight="1">
      <x:c r="A3181" s="2" t="n">
        <x:v>3175</x:v>
      </x:c>
      <x:c r="B3181" s="79" t="n">
        <x:v>0.5776622008027563</x:v>
      </x:c>
      <x:c r="C3181" s="46" t="n">
        <x:f>B3181^2</x:f>
        <x:v>0.33369361823628396</x:v>
      </x:c>
      <x:c r="D3181" s="47" t="n">
        <x:f>'Datos'!$B$26^3/3</x:f>
        <x:v>0.3333333333333333</x:v>
      </x:c>
      <x:c r="E3181" s="46" t="n">
        <x:f>D3181*(C3181-1)</x:f>
        <x:v>-0.222102127254572</x:v>
      </x:c>
      <x:c r="F3181" s="2"/>
      <x:c r="G3181" s="2"/>
      <x:c r="H3181" s="2"/>
    </x:row>
    <x:row r="3182" ht="22" customHeight="1">
      <x:c r="A3182" s="2" t="n">
        <x:v>3176</x:v>
      </x:c>
      <x:c r="B3182" s="79" t="n">
        <x:v>-0.39557114441877933</x:v>
      </x:c>
      <x:c r="C3182" s="46" t="n">
        <x:f>B3182^2</x:f>
        <x:v>0.15647653029678277</x:v>
      </x:c>
      <x:c r="D3182" s="47" t="n">
        <x:f>'Datos'!$B$26^3/3</x:f>
        <x:v>0.3333333333333333</x:v>
      </x:c>
      <x:c r="E3182" s="46" t="n">
        <x:f>D3182*(C3182-1)</x:f>
        <x:v>-0.2811744899010724</x:v>
      </x:c>
      <x:c r="F3182" s="2"/>
      <x:c r="G3182" s="2"/>
      <x:c r="H3182" s="2"/>
    </x:row>
    <x:row r="3183" ht="22" customHeight="1">
      <x:c r="A3183" s="2" t="n">
        <x:v>3177</x:v>
      </x:c>
      <x:c r="B3183" s="79" t="n">
        <x:v>-1.5182181580808465</x:v>
      </x:c>
      <x:c r="C3183" s="46" t="n">
        <x:f>B3183^2</x:f>
        <x:v>2.304986375526398</x:v>
      </x:c>
      <x:c r="D3183" s="47" t="n">
        <x:f>'Datos'!$B$26^3/3</x:f>
        <x:v>0.3333333333333333</x:v>
      </x:c>
      <x:c r="E3183" s="46" t="n">
        <x:f>D3183*(C3183-1)</x:f>
        <x:v>0.4349954585087993</x:v>
      </x:c>
      <x:c r="F3183" s="2"/>
      <x:c r="G3183" s="2"/>
      <x:c r="H3183" s="2"/>
    </x:row>
    <x:row r="3184" ht="22" customHeight="1">
      <x:c r="A3184" s="2" t="n">
        <x:v>3178</x:v>
      </x:c>
      <x:c r="B3184" s="79" t="n">
        <x:v>0.5048888611290129</x:v>
      </x:c>
      <x:c r="C3184" s="46" t="n">
        <x:f>B3184^2</x:f>
        <x:v>0.25491276209215163</x:v>
      </x:c>
      <x:c r="D3184" s="47" t="n">
        <x:f>'Datos'!$B$26^3/3</x:f>
        <x:v>0.3333333333333333</x:v>
      </x:c>
      <x:c r="E3184" s="46" t="n">
        <x:f>D3184*(C3184-1)</x:f>
        <x:v>-0.24836241263594944</x:v>
      </x:c>
      <x:c r="F3184" s="2"/>
      <x:c r="G3184" s="2"/>
      <x:c r="H3184" s="2"/>
    </x:row>
    <x:row r="3185" ht="22" customHeight="1">
      <x:c r="A3185" s="2" t="n">
        <x:v>3179</x:v>
      </x:c>
      <x:c r="B3185" s="79" t="n">
        <x:v>0.2526096721874814</x:v>
      </x:c>
      <x:c r="C3185" s="46" t="n">
        <x:f>B3185^2</x:f>
        <x:v>0.06381164648266682</x:v>
      </x:c>
      <x:c r="D3185" s="47" t="n">
        <x:f>'Datos'!$B$26^3/3</x:f>
        <x:v>0.3333333333333333</x:v>
      </x:c>
      <x:c r="E3185" s="46" t="n">
        <x:f>D3185*(C3185-1)</x:f>
        <x:v>-0.31206278450577773</x:v>
      </x:c>
      <x:c r="F3185" s="2"/>
      <x:c r="G3185" s="2"/>
      <x:c r="H3185" s="2"/>
    </x:row>
    <x:row r="3186" ht="22" customHeight="1">
      <x:c r="A3186" s="2" t="n">
        <x:v>3180</x:v>
      </x:c>
      <x:c r="B3186" s="79" t="n">
        <x:v>0.3783907773654572</x:v>
      </x:c>
      <x:c r="C3186" s="46" t="n">
        <x:f>B3186^2</x:f>
        <x:v>0.14317958039523498</x:v>
      </x:c>
      <x:c r="D3186" s="47" t="n">
        <x:f>'Datos'!$B$26^3/3</x:f>
        <x:v>0.3333333333333333</x:v>
      </x:c>
      <x:c r="E3186" s="46" t="n">
        <x:f>D3186*(C3186-1)</x:f>
        <x:v>-0.28560680653492165</x:v>
      </x:c>
      <x:c r="F3186" s="2"/>
      <x:c r="G3186" s="2"/>
      <x:c r="H3186" s="2"/>
    </x:row>
    <x:row r="3187" ht="22" customHeight="1">
      <x:c r="A3187" s="2" t="n">
        <x:v>3181</x:v>
      </x:c>
      <x:c r="B3187" s="79" t="n">
        <x:v>0.4708141748581325</x:v>
      </x:c>
      <x:c r="C3187" s="46" t="n">
        <x:f>B3187^2</x:f>
        <x:v>0.22166598724734415</x:v>
      </x:c>
      <x:c r="D3187" s="47" t="n">
        <x:f>'Datos'!$B$26^3/3</x:f>
        <x:v>0.3333333333333333</x:v>
      </x:c>
      <x:c r="E3187" s="46" t="n">
        <x:f>D3187*(C3187-1)</x:f>
        <x:v>-0.25944467091755197</x:v>
      </x:c>
      <x:c r="F3187" s="2"/>
      <x:c r="G3187" s="2"/>
      <x:c r="H3187" s="2"/>
    </x:row>
    <x:row r="3188" ht="22" customHeight="1">
      <x:c r="A3188" s="2" t="n">
        <x:v>3182</x:v>
      </x:c>
      <x:c r="B3188" s="79" t="n">
        <x:v>-1.420509672382155</x:v>
      </x:c>
      <x:c r="C3188" s="46" t="n">
        <x:f>B3188^2</x:f>
        <x:v>2.0178477293312578</x:v>
      </x:c>
      <x:c r="D3188" s="47" t="n">
        <x:f>'Datos'!$B$26^3/3</x:f>
        <x:v>0.3333333333333333</x:v>
      </x:c>
      <x:c r="E3188" s="46" t="n">
        <x:f>D3188*(C3188-1)</x:f>
        <x:v>0.3392825764437526</x:v>
      </x:c>
      <x:c r="F3188" s="2"/>
      <x:c r="G3188" s="2"/>
      <x:c r="H3188" s="2"/>
    </x:row>
    <x:row r="3189" ht="22" customHeight="1">
      <x:c r="A3189" s="2" t="n">
        <x:v>3183</x:v>
      </x:c>
      <x:c r="B3189" s="79" t="n">
        <x:v>-0.4208939450413864</x:v>
      </x:c>
      <x:c r="C3189" s="46" t="n">
        <x:f>B3189^2</x:f>
        <x:v>0.1771517129725016</x:v>
      </x:c>
      <x:c r="D3189" s="47" t="n">
        <x:f>'Datos'!$B$26^3/3</x:f>
        <x:v>0.3333333333333333</x:v>
      </x:c>
      <x:c r="E3189" s="46" t="n">
        <x:f>D3189*(C3189-1)</x:f>
        <x:v>-0.2742827623424995</x:v>
      </x:c>
      <x:c r="F3189" s="2"/>
      <x:c r="G3189" s="2"/>
      <x:c r="H3189" s="2"/>
    </x:row>
    <x:row r="3190" ht="22" customHeight="1">
      <x:c r="A3190" s="2" t="n">
        <x:v>3184</x:v>
      </x:c>
      <x:c r="B3190" s="79" t="n">
        <x:v>0.23475407208896573</x:v>
      </x:c>
      <x:c r="C3190" s="46" t="n">
        <x:f>B3190^2</x:f>
        <x:v>0.05510947436235132</x:v>
      </x:c>
      <x:c r="D3190" s="47" t="n">
        <x:f>'Datos'!$B$26^3/3</x:f>
        <x:v>0.3333333333333333</x:v>
      </x:c>
      <x:c r="E3190" s="46" t="n">
        <x:f>D3190*(C3190-1)</x:f>
        <x:v>-0.31496350854588284</x:v>
      </x:c>
      <x:c r="F3190" s="2"/>
      <x:c r="G3190" s="2"/>
      <x:c r="H3190" s="2"/>
    </x:row>
    <x:row r="3191" ht="22" customHeight="1">
      <x:c r="A3191" s="2" t="n">
        <x:v>3185</x:v>
      </x:c>
      <x:c r="B3191" s="79" t="n">
        <x:v>0.5781259361099278</x:v>
      </x:c>
      <x:c r="C3191" s="46" t="n">
        <x:f>B3191^2</x:f>
        <x:v>0.3342295980029803</x:v>
      </x:c>
      <x:c r="D3191" s="47" t="n">
        <x:f>'Datos'!$B$26^3/3</x:f>
        <x:v>0.3333333333333333</x:v>
      </x:c>
      <x:c r="E3191" s="46" t="n">
        <x:f>D3191*(C3191-1)</x:f>
        <x:v>-0.22192346733233986</x:v>
      </x:c>
      <x:c r="F3191" s="2"/>
      <x:c r="G3191" s="2"/>
      <x:c r="H3191" s="2"/>
    </x:row>
    <x:row r="3192" ht="22" customHeight="1">
      <x:c r="A3192" s="2" t="n">
        <x:v>3186</x:v>
      </x:c>
      <x:c r="B3192" s="79" t="n">
        <x:v>0.6926138201913787</x:v>
      </x:c>
      <x:c r="C3192" s="46" t="n">
        <x:f>B3192^2</x:f>
        <x:v>0.4797139039200955</x:v>
      </x:c>
      <x:c r="D3192" s="47" t="n">
        <x:f>'Datos'!$B$26^3/3</x:f>
        <x:v>0.3333333333333333</x:v>
      </x:c>
      <x:c r="E3192" s="46" t="n">
        <x:f>D3192*(C3192-1)</x:f>
        <x:v>-0.1734286986933015</x:v>
      </x:c>
      <x:c r="F3192" s="2"/>
      <x:c r="G3192" s="2"/>
      <x:c r="H3192" s="2"/>
    </x:row>
    <x:row r="3193" ht="22" customHeight="1">
      <x:c r="A3193" s="2" t="n">
        <x:v>3187</x:v>
      </x:c>
      <x:c r="B3193" s="79" t="n">
        <x:v>-1.2404553282232262</x:v>
      </x:c>
      <x:c r="C3193" s="46" t="n">
        <x:f>B3193^2</x:f>
        <x:v>1.5387294213173919</x:v>
      </x:c>
      <x:c r="D3193" s="47" t="n">
        <x:f>'Datos'!$B$26^3/3</x:f>
        <x:v>0.3333333333333333</x:v>
      </x:c>
      <x:c r="E3193" s="46" t="n">
        <x:f>D3193*(C3193-1)</x:f>
        <x:v>0.17957647377246394</x:v>
      </x:c>
      <x:c r="F3193" s="2"/>
      <x:c r="G3193" s="2"/>
      <x:c r="H3193" s="2"/>
    </x:row>
    <x:row r="3194" ht="22" customHeight="1">
      <x:c r="A3194" s="2" t="n">
        <x:v>3188</x:v>
      </x:c>
      <x:c r="B3194" s="79" t="n">
        <x:v>0.10444035833111286</x:v>
      </x:c>
      <x:c r="C3194" s="46" t="n">
        <x:f>B3194^2</x:f>
        <x:v>0.010907788448331254</x:v>
      </x:c>
      <x:c r="D3194" s="47" t="n">
        <x:f>'Datos'!$B$26^3/3</x:f>
        <x:v>0.3333333333333333</x:v>
      </x:c>
      <x:c r="E3194" s="46" t="n">
        <x:f>D3194*(C3194-1)</x:f>
        <x:v>-0.32969740385055624</x:v>
      </x:c>
      <x:c r="F3194" s="2"/>
      <x:c r="G3194" s="2"/>
      <x:c r="H3194" s="2"/>
    </x:row>
    <x:row r="3195" ht="22" customHeight="1">
      <x:c r="A3195" s="2" t="n">
        <x:v>3189</x:v>
      </x:c>
      <x:c r="B3195" s="79" t="n">
        <x:v>0.8200763128646928</x:v>
      </x:c>
      <x:c r="C3195" s="46" t="n">
        <x:f>B3195^2</x:f>
        <x:v>0.6725251589217496</x:v>
      </x:c>
      <x:c r="D3195" s="47" t="n">
        <x:f>'Datos'!$B$26^3/3</x:f>
        <x:v>0.3333333333333333</x:v>
      </x:c>
      <x:c r="E3195" s="46" t="n">
        <x:f>D3195*(C3195-1)</x:f>
        <x:v>-0.1091582803594168</x:v>
      </x:c>
      <x:c r="F3195" s="2"/>
      <x:c r="G3195" s="2"/>
      <x:c r="H3195" s="2"/>
    </x:row>
    <x:row r="3196" ht="22" customHeight="1">
      <x:c r="A3196" s="2" t="n">
        <x:v>3190</x:v>
      </x:c>
      <x:c r="B3196" s="79" t="n">
        <x:v>0.27425469564295707</x:v>
      </x:c>
      <x:c r="C3196" s="46" t="n">
        <x:f>B3196^2</x:f>
        <x:v>0.07521563808221102</x:v>
      </x:c>
      <x:c r="D3196" s="47" t="n">
        <x:f>'Datos'!$B$26^3/3</x:f>
        <x:v>0.3333333333333333</x:v>
      </x:c>
      <x:c r="E3196" s="46" t="n">
        <x:f>D3196*(C3196-1)</x:f>
        <x:v>-0.3082614539725963</x:v>
      </x:c>
      <x:c r="F3196" s="2"/>
      <x:c r="G3196" s="2"/>
      <x:c r="H3196" s="2"/>
    </x:row>
    <x:row r="3197" ht="22" customHeight="1">
      <x:c r="A3197" s="2" t="n">
        <x:v>3191</x:v>
      </x:c>
      <x:c r="B3197" s="79" t="n">
        <x:v>1.9283520459295664</x:v>
      </x:c>
      <x:c r="C3197" s="46" t="n">
        <x:f>B3197^2</x:f>
        <x:v>3.718541613040745</x:v>
      </x:c>
      <x:c r="D3197" s="47" t="n">
        <x:f>'Datos'!$B$26^3/3</x:f>
        <x:v>0.3333333333333333</x:v>
      </x:c>
      <x:c r="E3197" s="46" t="n">
        <x:f>D3197*(C3197-1)</x:f>
        <x:v>0.9061805376802483</x:v>
      </x:c>
      <x:c r="F3197" s="2"/>
      <x:c r="G3197" s="2"/>
      <x:c r="H3197" s="2"/>
    </x:row>
    <x:row r="3198" ht="22" customHeight="1">
      <x:c r="A3198" s="2" t="n">
        <x:v>3192</x:v>
      </x:c>
      <x:c r="B3198" s="79" t="n">
        <x:v>-0.23846314347902284</x:v>
      </x:c>
      <x:c r="C3198" s="46" t="n">
        <x:f>B3198^2</x:f>
        <x:v>0.05686467079789703</x:v>
      </x:c>
      <x:c r="D3198" s="47" t="n">
        <x:f>'Datos'!$B$26^3/3</x:f>
        <x:v>0.3333333333333333</x:v>
      </x:c>
      <x:c r="E3198" s="46" t="n">
        <x:f>D3198*(C3198-1)</x:f>
        <x:v>-0.3143784430673676</x:v>
      </x:c>
      <x:c r="F3198" s="2"/>
      <x:c r="G3198" s="2"/>
      <x:c r="H3198" s="2"/>
    </x:row>
    <x:row r="3199" ht="22" customHeight="1">
      <x:c r="A3199" s="2" t="n">
        <x:v>3193</x:v>
      </x:c>
      <x:c r="B3199" s="79" t="n">
        <x:v>-0.7588824931027607</x:v>
      </x:c>
      <x:c r="C3199" s="46" t="n">
        <x:f>B3199^2</x:f>
        <x:v>0.5759026383378616</x:v>
      </x:c>
      <x:c r="D3199" s="47" t="n">
        <x:f>'Datos'!$B$26^3/3</x:f>
        <x:v>0.3333333333333333</x:v>
      </x:c>
      <x:c r="E3199" s="46" t="n">
        <x:f>D3199*(C3199-1)</x:f>
        <x:v>-0.1413657872207128</x:v>
      </x:c>
      <x:c r="F3199" s="2"/>
      <x:c r="G3199" s="2"/>
      <x:c r="H3199" s="2"/>
    </x:row>
    <x:row r="3200" ht="22" customHeight="1">
      <x:c r="A3200" s="2" t="n">
        <x:v>3194</x:v>
      </x:c>
      <x:c r="B3200" s="79" t="n">
        <x:v>-0.10402049577912836</x:v>
      </x:c>
      <x:c r="C3200" s="46" t="n">
        <x:f>B3200^2</x:f>
        <x:v>0.010820263542135661</x:v>
      </x:c>
      <x:c r="D3200" s="47" t="n">
        <x:f>'Datos'!$B$26^3/3</x:f>
        <x:v>0.3333333333333333</x:v>
      </x:c>
      <x:c r="E3200" s="46" t="n">
        <x:f>D3200*(C3200-1)</x:f>
        <x:v>-0.32972657881928813</x:v>
      </x:c>
      <x:c r="F3200" s="2"/>
      <x:c r="G3200" s="2"/>
      <x:c r="H3200" s="2"/>
    </x:row>
    <x:row r="3201" ht="22" customHeight="1">
      <x:c r="A3201" s="2" t="n">
        <x:v>3195</x:v>
      </x:c>
      <x:c r="B3201" s="79" t="n">
        <x:v>0.20846218208728243</x:v>
      </x:c>
      <x:c r="C3201" s="46" t="n">
        <x:f>B3201^2</x:f>
        <x:v>0.04345648136059129</x:v>
      </x:c>
      <x:c r="D3201" s="47" t="n">
        <x:f>'Datos'!$B$26^3/3</x:f>
        <x:v>0.3333333333333333</x:v>
      </x:c>
      <x:c r="E3201" s="46" t="n">
        <x:f>D3201*(C3201-1)</x:f>
        <x:v>-0.31884783954646956</x:v>
      </x:c>
      <x:c r="F3201" s="2"/>
      <x:c r="G3201" s="2"/>
      <x:c r="H3201" s="2"/>
    </x:row>
    <x:row r="3202" ht="22" customHeight="1">
      <x:c r="A3202" s="2" t="n">
        <x:v>3196</x:v>
      </x:c>
      <x:c r="B3202" s="79" t="n">
        <x:v>0.374562769950274</x:v>
      </x:c>
      <x:c r="C3202" s="46" t="n">
        <x:f>B3202^2</x:f>
        <x:v>0.14029726863282188</x:v>
      </x:c>
      <x:c r="D3202" s="47" t="n">
        <x:f>'Datos'!$B$26^3/3</x:f>
        <x:v>0.3333333333333333</x:v>
      </x:c>
      <x:c r="E3202" s="46" t="n">
        <x:f>D3202*(C3202-1)</x:f>
        <x:v>-0.28656757712239267</x:v>
      </x:c>
      <x:c r="F3202" s="2"/>
      <x:c r="G3202" s="2"/>
      <x:c r="H3202" s="2"/>
    </x:row>
    <x:row r="3203" ht="22" customHeight="1">
      <x:c r="A3203" s="2" t="n">
        <x:v>3197</x:v>
      </x:c>
      <x:c r="B3203" s="79" t="n">
        <x:v>-0.39029514414867406</x:v>
      </x:c>
      <x:c r="C3203" s="46" t="n">
        <x:f>B3203^2</x:f>
        <x:v>0.15233029954603425</x:v>
      </x:c>
      <x:c r="D3203" s="47" t="n">
        <x:f>'Datos'!$B$26^3/3</x:f>
        <x:v>0.3333333333333333</x:v>
      </x:c>
      <x:c r="E3203" s="46" t="n">
        <x:f>D3203*(C3203-1)</x:f>
        <x:v>-0.2825565668179886</x:v>
      </x:c>
      <x:c r="F3203" s="2"/>
      <x:c r="G3203" s="2"/>
      <x:c r="H3203" s="2"/>
    </x:row>
    <x:row r="3204" ht="22" customHeight="1">
      <x:c r="A3204" s="2" t="n">
        <x:v>3198</x:v>
      </x:c>
      <x:c r="B3204" s="79" t="n">
        <x:v>0.5450915630558775</x:v>
      </x:c>
      <x:c r="C3204" s="46" t="n">
        <x:f>B3204^2</x:f>
        <x:v>0.29712481211469965</x:v>
      </x:c>
      <x:c r="D3204" s="47" t="n">
        <x:f>'Datos'!$B$26^3/3</x:f>
        <x:v>0.3333333333333333</x:v>
      </x:c>
      <x:c r="E3204" s="46" t="n">
        <x:f>D3204*(C3204-1)</x:f>
        <x:v>-0.23429172929510012</x:v>
      </x:c>
      <x:c r="F3204" s="2"/>
      <x:c r="G3204" s="2"/>
      <x:c r="H3204" s="2"/>
    </x:row>
    <x:row r="3205" ht="22" customHeight="1">
      <x:c r="A3205" s="2" t="n">
        <x:v>3199</x:v>
      </x:c>
      <x:c r="B3205" s="79" t="n">
        <x:v>-1.3635490287958103</x:v>
      </x:c>
      <x:c r="C3205" s="46" t="n">
        <x:f>B3205^2</x:f>
        <x:v>1.8592659539299976</x:v>
      </x:c>
      <x:c r="D3205" s="47" t="n">
        <x:f>'Datos'!$B$26^3/3</x:f>
        <x:v>0.3333333333333333</x:v>
      </x:c>
      <x:c r="E3205" s="46" t="n">
        <x:f>D3205*(C3205-1)</x:f>
        <x:v>0.2864219846433325</x:v>
      </x:c>
      <x:c r="F3205" s="2"/>
      <x:c r="G3205" s="2"/>
      <x:c r="H3205" s="2"/>
    </x:row>
    <x:row r="3206" ht="22" customHeight="1">
      <x:c r="A3206" s="2" t="n">
        <x:v>3200</x:v>
      </x:c>
      <x:c r="B3206" s="79" t="n">
        <x:v>2.3093609795159855</x:v>
      </x:c>
      <x:c r="C3206" s="46" t="n">
        <x:f>B3206^2</x:f>
        <x:v>5.333148133711032</x:v>
      </x:c>
      <x:c r="D3206" s="47" t="n">
        <x:f>'Datos'!$B$26^3/3</x:f>
        <x:v>0.3333333333333333</x:v>
      </x:c>
      <x:c r="E3206" s="46" t="n">
        <x:f>D3206*(C3206-1)</x:f>
        <x:v>1.4443827112370107</x:v>
      </x:c>
      <x:c r="F3206" s="2"/>
      <x:c r="G3206" s="2"/>
      <x:c r="H3206" s="2"/>
    </x:row>
    <x:row r="3207" ht="22" customHeight="1">
      <x:c r="A3207" s="2" t="n">
        <x:v>3201</x:v>
      </x:c>
      <x:c r="B3207" s="79" t="n">
        <x:v>2.8917554286940192</x:v>
      </x:c>
      <x:c r="C3207" s="46" t="n">
        <x:f>B3207^2</x:f>
        <x:v>8.362249459381331</x:v>
      </x:c>
      <x:c r="D3207" s="47" t="n">
        <x:f>'Datos'!$B$26^3/3</x:f>
        <x:v>0.3333333333333333</x:v>
      </x:c>
      <x:c r="E3207" s="46" t="n">
        <x:f>D3207*(C3207-1)</x:f>
        <x:v>2.4540831531271103</x:v>
      </x:c>
      <x:c r="F3207" s="2"/>
      <x:c r="G3207" s="2"/>
      <x:c r="H3207" s="2"/>
    </x:row>
    <x:row r="3208" ht="22" customHeight="1">
      <x:c r="A3208" s="2" t="n">
        <x:v>3202</x:v>
      </x:c>
      <x:c r="B3208" s="79" t="n">
        <x:v>-0.8989243729923827</x:v>
      </x:c>
      <x:c r="C3208" s="46" t="n">
        <x:f>B3208^2</x:f>
        <x:v>0.8080650283597484</x:v>
      </x:c>
      <x:c r="D3208" s="47" t="n">
        <x:f>'Datos'!$B$26^3/3</x:f>
        <x:v>0.3333333333333333</x:v>
      </x:c>
      <x:c r="E3208" s="46" t="n">
        <x:f>D3208*(C3208-1)</x:f>
        <x:v>-0.06397832388008387</x:v>
      </x:c>
      <x:c r="F3208" s="2"/>
      <x:c r="G3208" s="2"/>
      <x:c r="H3208" s="2"/>
    </x:row>
    <x:row r="3209" ht="22" customHeight="1">
      <x:c r="A3209" s="2" t="n">
        <x:v>3203</x:v>
      </x:c>
      <x:c r="B3209" s="79" t="n">
        <x:v>-0.14040621646302065</x:v>
      </x:c>
      <x:c r="C3209" s="46" t="n">
        <x:f>B3209^2</x:f>
        <x:v>0.019713905621460612</x:v>
      </x:c>
      <x:c r="D3209" s="47" t="n">
        <x:f>'Datos'!$B$26^3/3</x:f>
        <x:v>0.3333333333333333</x:v>
      </x:c>
      <x:c r="E3209" s="46" t="n">
        <x:f>D3209*(C3209-1)</x:f>
        <x:v>-0.3267620314595131</x:v>
      </x:c>
      <x:c r="F3209" s="2"/>
      <x:c r="G3209" s="2"/>
      <x:c r="H3209" s="2"/>
    </x:row>
    <x:row r="3210" ht="22" customHeight="1">
      <x:c r="A3210" s="2" t="n">
        <x:v>3204</x:v>
      </x:c>
      <x:c r="B3210" s="79" t="n">
        <x:v>0.6898295771468436</x:v>
      </x:c>
      <x:c r="C3210" s="46" t="n">
        <x:f>B3210^2</x:f>
        <x:v>0.47586484550659297</x:v>
      </x:c>
      <x:c r="D3210" s="47" t="n">
        <x:f>'Datos'!$B$26^3/3</x:f>
        <x:v>0.3333333333333333</x:v>
      </x:c>
      <x:c r="E3210" s="46" t="n">
        <x:f>D3210*(C3210-1)</x:f>
        <x:v>-0.17471171816446898</x:v>
      </x:c>
      <x:c r="F3210" s="2"/>
      <x:c r="G3210" s="2"/>
      <x:c r="H3210" s="2"/>
    </x:row>
    <x:row r="3211" ht="22" customHeight="1">
      <x:c r="A3211" s="2" t="n">
        <x:v>3205</x:v>
      </x:c>
      <x:c r="B3211" s="79" t="n">
        <x:v>0.6116381711961476</x:v>
      </x:c>
      <x:c r="C3211" s="46" t="n">
        <x:f>B3211^2</x:f>
        <x:v>0.374101252464168</x:v>
      </x:c>
      <x:c r="D3211" s="47" t="n">
        <x:f>'Datos'!$B$26^3/3</x:f>
        <x:v>0.3333333333333333</x:v>
      </x:c>
      <x:c r="E3211" s="46" t="n">
        <x:f>D3211*(C3211-1)</x:f>
        <x:v>-0.20863291584527732</x:v>
      </x:c>
      <x:c r="F3211" s="2"/>
      <x:c r="G3211" s="2"/>
      <x:c r="H3211" s="2"/>
    </x:row>
    <x:row r="3212" ht="22" customHeight="1">
      <x:c r="A3212" s="2" t="n">
        <x:v>3206</x:v>
      </x:c>
      <x:c r="B3212" s="79" t="n">
        <x:v>-0.6605870575909394</x:v>
      </x:c>
      <x:c r="C3212" s="46" t="n">
        <x:f>B3212^2</x:f>
        <x:v>0.43637526065665505</x:v>
      </x:c>
      <x:c r="D3212" s="47" t="n">
        <x:f>'Datos'!$B$26^3/3</x:f>
        <x:v>0.3333333333333333</x:v>
      </x:c>
      <x:c r="E3212" s="46" t="n">
        <x:f>D3212*(C3212-1)</x:f>
        <x:v>-0.1878749131144483</x:v>
      </x:c>
      <x:c r="F3212" s="2"/>
      <x:c r="G3212" s="2"/>
      <x:c r="H3212" s="2"/>
    </x:row>
    <x:row r="3213" ht="22" customHeight="1">
      <x:c r="A3213" s="2" t="n">
        <x:v>3207</x:v>
      </x:c>
      <x:c r="B3213" s="79" t="n">
        <x:v>-0.7934221094307725</x:v>
      </x:c>
      <x:c r="C3213" s="46" t="n">
        <x:f>B3213^2</x:f>
        <x:v>0.6295186437335768</x:v>
      </x:c>
      <x:c r="D3213" s="47" t="n">
        <x:f>'Datos'!$B$26^3/3</x:f>
        <x:v>0.3333333333333333</x:v>
      </x:c>
      <x:c r="E3213" s="46" t="n">
        <x:f>D3213*(C3213-1)</x:f>
        <x:v>-0.12349378542214107</x:v>
      </x:c>
      <x:c r="F3213" s="2"/>
      <x:c r="G3213" s="2"/>
      <x:c r="H3213" s="2"/>
    </x:row>
    <x:row r="3214" ht="22" customHeight="1">
      <x:c r="A3214" s="2" t="n">
        <x:v>3208</x:v>
      </x:c>
      <x:c r="B3214" s="79" t="n">
        <x:v>1.3305287052061459</x:v>
      </x:c>
      <x:c r="C3214" s="46" t="n">
        <x:f>B3214^2</x:f>
        <x:v>1.770306635377543</x:v>
      </x:c>
      <x:c r="D3214" s="47" t="n">
        <x:f>'Datos'!$B$26^3/3</x:f>
        <x:v>0.3333333333333333</x:v>
      </x:c>
      <x:c r="E3214" s="46" t="n">
        <x:f>D3214*(C3214-1)</x:f>
        <x:v>0.25676887845918095</x:v>
      </x:c>
      <x:c r="F3214" s="2"/>
      <x:c r="G3214" s="2"/>
      <x:c r="H3214" s="2"/>
    </x:row>
    <x:row r="3215" ht="22" customHeight="1">
      <x:c r="A3215" s="2" t="n">
        <x:v>3209</x:v>
      </x:c>
      <x:c r="B3215" s="79" t="n">
        <x:v>1.873362139336448</x:v>
      </x:c>
      <x:c r="C3215" s="46" t="n">
        <x:f>B3215^2</x:f>
        <x:v>3.509485705099233</x:v>
      </x:c>
      <x:c r="D3215" s="47" t="n">
        <x:f>'Datos'!$B$26^3/3</x:f>
        <x:v>0.3333333333333333</x:v>
      </x:c>
      <x:c r="E3215" s="46" t="n">
        <x:f>D3215*(C3215-1)</x:f>
        <x:v>0.8364952350330777</x:v>
      </x:c>
      <x:c r="F3215" s="2"/>
      <x:c r="G3215" s="2"/>
      <x:c r="H3215" s="2"/>
    </x:row>
    <x:row r="3216" ht="22" customHeight="1">
      <x:c r="A3216" s="2" t="n">
        <x:v>3210</x:v>
      </x:c>
      <x:c r="B3216" s="79" t="n">
        <x:v>0.3968445993618377</x:v>
      </x:c>
      <x:c r="C3216" s="46" t="n">
        <x:f>B3216^2</x:f>
        <x:v>0.15748563604265747</x:v>
      </x:c>
      <x:c r="D3216" s="47" t="n">
        <x:f>'Datos'!$B$26^3/3</x:f>
        <x:v>0.3333333333333333</x:v>
      </x:c>
      <x:c r="E3216" s="46" t="n">
        <x:f>D3216*(C3216-1)</x:f>
        <x:v>-0.2808381213191141</x:v>
      </x:c>
      <x:c r="F3216" s="2"/>
      <x:c r="G3216" s="2"/>
      <x:c r="H3216" s="2"/>
    </x:row>
    <x:row r="3217" ht="22" customHeight="1">
      <x:c r="A3217" s="2" t="n">
        <x:v>3211</x:v>
      </x:c>
      <x:c r="B3217" s="79" t="n">
        <x:v>-0.27564402517823783</x:v>
      </x:c>
      <x:c r="C3217" s="46" t="n">
        <x:f>B3217^2</x:f>
        <x:v>0.07597962861646101</x:v>
      </x:c>
      <x:c r="D3217" s="47" t="n">
        <x:f>'Datos'!$B$26^3/3</x:f>
        <x:v>0.3333333333333333</x:v>
      </x:c>
      <x:c r="E3217" s="46" t="n">
        <x:f>D3217*(C3217-1)</x:f>
        <x:v>-0.3080067904611796</x:v>
      </x:c>
      <x:c r="F3217" s="2"/>
      <x:c r="G3217" s="2"/>
      <x:c r="H3217" s="2"/>
    </x:row>
    <x:row r="3218" ht="22" customHeight="1">
      <x:c r="A3218" s="2" t="n">
        <x:v>3212</x:v>
      </x:c>
      <x:c r="B3218" s="79" t="n">
        <x:v>0.6060058908889909</x:v>
      </x:c>
      <x:c r="C3218" s="46" t="n">
        <x:f>B3218^2</x:f>
        <x:v>0.36724313979215956</x:v>
      </x:c>
      <x:c r="D3218" s="47" t="n">
        <x:f>'Datos'!$B$26^3/3</x:f>
        <x:v>0.3333333333333333</x:v>
      </x:c>
      <x:c r="E3218" s="46" t="n">
        <x:f>D3218*(C3218-1)</x:f>
        <x:v>-0.21091895340261346</x:v>
      </x:c>
      <x:c r="F3218" s="2"/>
      <x:c r="G3218" s="2"/>
      <x:c r="H3218" s="2"/>
    </x:row>
    <x:row r="3219" ht="22" customHeight="1">
      <x:c r="A3219" s="2" t="n">
        <x:v>3213</x:v>
      </x:c>
      <x:c r="B3219" s="79" t="n">
        <x:v>-0.4370136459028417</x:v>
      </x:c>
      <x:c r="C3219" s="46" t="n">
        <x:f>B3219^2</x:f>
        <x:v>0.19098092670529432</x:v>
      </x:c>
      <x:c r="D3219" s="47" t="n">
        <x:f>'Datos'!$B$26^3/3</x:f>
        <x:v>0.3333333333333333</x:v>
      </x:c>
      <x:c r="E3219" s="46" t="n">
        <x:f>D3219*(C3219-1)</x:f>
        <x:v>-0.26967302443156854</x:v>
      </x:c>
      <x:c r="F3219" s="2"/>
      <x:c r="G3219" s="2"/>
      <x:c r="H3219" s="2"/>
    </x:row>
    <x:row r="3220" ht="22" customHeight="1">
      <x:c r="A3220" s="2" t="n">
        <x:v>3214</x:v>
      </x:c>
      <x:c r="B3220" s="79" t="n">
        <x:v>-1.946239914777293</x:v>
      </x:c>
      <x:c r="C3220" s="46" t="n">
        <x:f>B3220^2</x:f>
        <x:v>3.787849805872325</x:v>
      </x:c>
      <x:c r="D3220" s="47" t="n">
        <x:f>'Datos'!$B$26^3/3</x:f>
        <x:v>0.3333333333333333</x:v>
      </x:c>
      <x:c r="E3220" s="46" t="n">
        <x:f>D3220*(C3220-1)</x:f>
        <x:v>0.9292832686241083</x:v>
      </x:c>
      <x:c r="F3220" s="2"/>
      <x:c r="G3220" s="2"/>
      <x:c r="H3220" s="2"/>
    </x:row>
    <x:row r="3221" ht="22" customHeight="1">
      <x:c r="A3221" s="2" t="n">
        <x:v>3215</x:v>
      </x:c>
      <x:c r="B3221" s="79" t="n">
        <x:v>1.2692965673344743</x:v>
      </x:c>
      <x:c r="C3221" s="46" t="n">
        <x:f>B3221^2</x:f>
        <x:v>1.6111137758470795</x:v>
      </x:c>
      <x:c r="D3221" s="47" t="n">
        <x:f>'Datos'!$B$26^3/3</x:f>
        <x:v>0.3333333333333333</x:v>
      </x:c>
      <x:c r="E3221" s="46" t="n">
        <x:f>D3221*(C3221-1)</x:f>
        <x:v>0.2037045919490265</x:v>
      </x:c>
      <x:c r="F3221" s="2"/>
      <x:c r="G3221" s="2"/>
      <x:c r="H3221" s="2"/>
    </x:row>
    <x:row r="3222" ht="22" customHeight="1">
      <x:c r="A3222" s="2" t="n">
        <x:v>3216</x:v>
      </x:c>
      <x:c r="B3222" s="79" t="n">
        <x:v>0.6439888271924525</x:v>
      </x:c>
      <x:c r="C3222" s="46" t="n">
        <x:f>B3222^2</x:f>
        <x:v>0.4147216095487105</x:v>
      </x:c>
      <x:c r="D3222" s="47" t="n">
        <x:f>'Datos'!$B$26^3/3</x:f>
        <x:v>0.3333333333333333</x:v>
      </x:c>
      <x:c r="E3222" s="46" t="n">
        <x:f>D3222*(C3222-1)</x:f>
        <x:v>-0.1950927968170965</x:v>
      </x:c>
      <x:c r="F3222" s="2"/>
      <x:c r="G3222" s="2"/>
      <x:c r="H3222" s="2"/>
    </x:row>
    <x:row r="3223" ht="22" customHeight="1">
      <x:c r="A3223" s="2" t="n">
        <x:v>3217</x:v>
      </x:c>
      <x:c r="B3223" s="79" t="n">
        <x:v>0.7494123054929576</x:v>
      </x:c>
      <x:c r="C3223" s="46" t="n">
        <x:f>B3223^2</x:f>
        <x:v>0.56161880362427</x:v>
      </x:c>
      <x:c r="D3223" s="47" t="n">
        <x:f>'Datos'!$B$26^3/3</x:f>
        <x:v>0.3333333333333333</x:v>
      </x:c>
      <x:c r="E3223" s="46" t="n">
        <x:f>D3223*(C3223-1)</x:f>
        <x:v>-0.14612706545857668</x:v>
      </x:c>
      <x:c r="F3223" s="2"/>
      <x:c r="G3223" s="2"/>
      <x:c r="H3223" s="2"/>
    </x:row>
    <x:row r="3224" ht="22" customHeight="1">
      <x:c r="A3224" s="2" t="n">
        <x:v>3218</x:v>
      </x:c>
      <x:c r="B3224" s="79" t="n">
        <x:v>-2.256394255008433</x:v>
      </x:c>
      <x:c r="C3224" s="46" t="n">
        <x:f>B3224^2</x:f>
        <x:v>5.091315034035061</x:v>
      </x:c>
      <x:c r="D3224" s="47" t="n">
        <x:f>'Datos'!$B$26^3/3</x:f>
        <x:v>0.3333333333333333</x:v>
      </x:c>
      <x:c r="E3224" s="46" t="n">
        <x:f>D3224*(C3224-1)</x:f>
        <x:v>1.3637716780116869</x:v>
      </x:c>
      <x:c r="F3224" s="2"/>
      <x:c r="G3224" s="2"/>
      <x:c r="H3224" s="2"/>
    </x:row>
    <x:row r="3225" ht="22" customHeight="1">
      <x:c r="A3225" s="2" t="n">
        <x:v>3219</x:v>
      </x:c>
      <x:c r="B3225" s="79" t="n">
        <x:v>-0.4571930989383645</x:v>
      </x:c>
      <x:c r="C3225" s="46" t="n">
        <x:f>B3225^2</x:f>
        <x:v>0.20902552971686517</x:v>
      </x:c>
      <x:c r="D3225" s="47" t="n">
        <x:f>'Datos'!$B$26^3/3</x:f>
        <x:v>0.3333333333333333</x:v>
      </x:c>
      <x:c r="E3225" s="46" t="n">
        <x:f>D3225*(C3225-1)</x:f>
        <x:v>-0.2636581567610449</x:v>
      </x:c>
      <x:c r="F3225" s="2"/>
      <x:c r="G3225" s="2"/>
      <x:c r="H3225" s="2"/>
    </x:row>
    <x:row r="3226" ht="22" customHeight="1">
      <x:c r="A3226" s="2" t="n">
        <x:v>3220</x:v>
      </x:c>
      <x:c r="B3226" s="79" t="n">
        <x:v>-0.6480208814049077</x:v>
      </x:c>
      <x:c r="C3226" s="46" t="n">
        <x:f>B3226^2</x:f>
        <x:v>0.41993106273679337</x:v>
      </x:c>
      <x:c r="D3226" s="47" t="n">
        <x:f>'Datos'!$B$26^3/3</x:f>
        <x:v>0.3333333333333333</x:v>
      </x:c>
      <x:c r="E3226" s="46" t="n">
        <x:f>D3226*(C3226-1)</x:f>
        <x:v>-0.19335631242106888</x:v>
      </x:c>
      <x:c r="F3226" s="2"/>
      <x:c r="G3226" s="2"/>
      <x:c r="H3226" s="2"/>
    </x:row>
    <x:row r="3227" ht="22" customHeight="1">
      <x:c r="A3227" s="2" t="n">
        <x:v>3221</x:v>
      </x:c>
      <x:c r="B3227" s="79" t="n">
        <x:v>-2.3364479831264515</x:v>
      </x:c>
      <x:c r="C3227" s="46" t="n">
        <x:f>B3227^2</x:f>
        <x:v>5.458989177855663</x:v>
      </x:c>
      <x:c r="D3227" s="47" t="n">
        <x:f>'Datos'!$B$26^3/3</x:f>
        <x:v>0.3333333333333333</x:v>
      </x:c>
      <x:c r="E3227" s="46" t="n">
        <x:f>D3227*(C3227-1)</x:f>
        <x:v>1.4863297259518877</x:v>
      </x:c>
      <x:c r="F3227" s="2"/>
      <x:c r="G3227" s="2"/>
      <x:c r="H3227" s="2"/>
    </x:row>
    <x:row r="3228" ht="22" customHeight="1">
      <x:c r="A3228" s="2" t="n">
        <x:v>3222</x:v>
      </x:c>
      <x:c r="B3228" s="79" t="n">
        <x:v>2.3801549616729836</x:v>
      </x:c>
      <x:c r="C3228" s="46" t="n">
        <x:f>B3228^2</x:f>
        <x:v>5.665137641576522</x:v>
      </x:c>
      <x:c r="D3228" s="47" t="n">
        <x:f>'Datos'!$B$26^3/3</x:f>
        <x:v>0.3333333333333333</x:v>
      </x:c>
      <x:c r="E3228" s="46" t="n">
        <x:f>D3228*(C3228-1)</x:f>
        <x:v>1.5550458805255074</x:v>
      </x:c>
      <x:c r="F3228" s="2"/>
      <x:c r="G3228" s="2"/>
      <x:c r="H3228" s="2"/>
    </x:row>
    <x:row r="3229" ht="22" customHeight="1">
      <x:c r="A3229" s="2" t="n">
        <x:v>3223</x:v>
      </x:c>
      <x:c r="B3229" s="79" t="n">
        <x:v>-1.4247218000677158</x:v>
      </x:c>
      <x:c r="C3229" s="46" t="n">
        <x:f>B3229^2</x:f>
        <x:v>2.0298322075881923</x:v>
      </x:c>
      <x:c r="D3229" s="47" t="n">
        <x:f>'Datos'!$B$26^3/3</x:f>
        <x:v>0.3333333333333333</x:v>
      </x:c>
      <x:c r="E3229" s="46" t="n">
        <x:f>D3229*(C3229-1)</x:f>
        <x:v>0.3432774025293974</x:v>
      </x:c>
      <x:c r="F3229" s="2"/>
      <x:c r="G3229" s="2"/>
      <x:c r="H3229" s="2"/>
    </x:row>
    <x:row r="3230" ht="22" customHeight="1">
      <x:c r="A3230" s="2" t="n">
        <x:v>3224</x:v>
      </x:c>
      <x:c r="B3230" s="79" t="n">
        <x:v>-0.06395062463723236</x:v>
      </x:c>
      <x:c r="C3230" s="46" t="n">
        <x:f>B3230^2</x:f>
        <x:v>0.004089682391492191</x:v>
      </x:c>
      <x:c r="D3230" s="47" t="n">
        <x:f>'Datos'!$B$26^3/3</x:f>
        <x:v>0.3333333333333333</x:v>
      </x:c>
      <x:c r="E3230" s="46" t="n">
        <x:f>D3230*(C3230-1)</x:f>
        <x:v>-0.3319701058695026</x:v>
      </x:c>
      <x:c r="F3230" s="2"/>
      <x:c r="G3230" s="2"/>
      <x:c r="H3230" s="2"/>
    </x:row>
    <x:row r="3231" ht="22" customHeight="1">
      <x:c r="A3231" s="2" t="n">
        <x:v>3225</x:v>
      </x:c>
      <x:c r="B3231" s="79" t="n">
        <x:v>-0.8995099103106756</x:v>
      </x:c>
      <x:c r="C3231" s="46" t="n">
        <x:f>B3231^2</x:f>
        <x:v>0.8091180787471197</x:v>
      </x:c>
      <x:c r="D3231" s="47" t="n">
        <x:f>'Datos'!$B$26^3/3</x:f>
        <x:v>0.3333333333333333</x:v>
      </x:c>
      <x:c r="E3231" s="46" t="n">
        <x:f>D3231*(C3231-1)</x:f>
        <x:v>-0.06362730708429343</x:v>
      </x:c>
      <x:c r="F3231" s="2"/>
      <x:c r="G3231" s="2"/>
      <x:c r="H3231" s="2"/>
    </x:row>
    <x:row r="3232" ht="22" customHeight="1">
      <x:c r="A3232" s="2" t="n">
        <x:v>3226</x:v>
      </x:c>
      <x:c r="B3232" s="79" t="n">
        <x:v>1.1486281347311156</x:v>
      </x:c>
      <x:c r="C3232" s="46" t="n">
        <x:f>B3232^2</x:f>
        <x:v>1.3193465918958818</x:v>
      </x:c>
      <x:c r="D3232" s="47" t="n">
        <x:f>'Datos'!$B$26^3/3</x:f>
        <x:v>0.3333333333333333</x:v>
      </x:c>
      <x:c r="E3232" s="46" t="n">
        <x:f>D3232*(C3232-1)</x:f>
        <x:v>0.10644886396529392</x:v>
      </x:c>
      <x:c r="F3232" s="2"/>
      <x:c r="G3232" s="2"/>
      <x:c r="H3232" s="2"/>
    </x:row>
    <x:row r="3233" ht="22" customHeight="1">
      <x:c r="A3233" s="2" t="n">
        <x:v>3227</x:v>
      </x:c>
      <x:c r="B3233" s="79" t="n">
        <x:v>-0.358217079756008</x:v>
      </x:c>
      <x:c r="C3233" s="46" t="n">
        <x:f>B3233^2</x:f>
        <x:v>0.12831947622892217</x:v>
      </x:c>
      <x:c r="D3233" s="47" t="n">
        <x:f>'Datos'!$B$26^3/3</x:f>
        <x:v>0.3333333333333333</x:v>
      </x:c>
      <x:c r="E3233" s="46" t="n">
        <x:f>D3233*(C3233-1)</x:f>
        <x:v>-0.29056017459035927</x:v>
      </x:c>
      <x:c r="F3233" s="2"/>
      <x:c r="G3233" s="2"/>
      <x:c r="H3233" s="2"/>
    </x:row>
    <x:row r="3234" ht="22" customHeight="1">
      <x:c r="A3234" s="2" t="n">
        <x:v>3228</x:v>
      </x:c>
      <x:c r="B3234" s="79" t="n">
        <x:v>0.8918776730553306</x:v>
      </x:c>
      <x:c r="C3234" s="46" t="n">
        <x:f>B3234^2</x:f>
        <x:v>0.7954457836945912</x:v>
      </x:c>
      <x:c r="D3234" s="47" t="n">
        <x:f>'Datos'!$B$26^3/3</x:f>
        <x:v>0.3333333333333333</x:v>
      </x:c>
      <x:c r="E3234" s="46" t="n">
        <x:f>D3234*(C3234-1)</x:f>
        <x:v>-0.0681847387684696</x:v>
      </x:c>
      <x:c r="F3234" s="2"/>
      <x:c r="G3234" s="2"/>
      <x:c r="H3234" s="2"/>
    </x:row>
    <x:row r="3235" ht="22" customHeight="1">
      <x:c r="A3235" s="2" t="n">
        <x:v>3229</x:v>
      </x:c>
      <x:c r="B3235" s="79" t="n">
        <x:v>-0.9463543380862022</x:v>
      </x:c>
      <x:c r="C3235" s="46" t="n">
        <x:f>B3235^2</x:f>
        <x:v>0.8955865332145738</x:v>
      </x:c>
      <x:c r="D3235" s="47" t="n">
        <x:f>'Datos'!$B$26^3/3</x:f>
        <x:v>0.3333333333333333</x:v>
      </x:c>
      <x:c r="E3235" s="46" t="n">
        <x:f>D3235*(C3235-1)</x:f>
        <x:v>-0.03480448892847539</x:v>
      </x:c>
      <x:c r="F3235" s="2"/>
      <x:c r="G3235" s="2"/>
      <x:c r="H3235" s="2"/>
    </x:row>
    <x:row r="3236" ht="22" customHeight="1">
      <x:c r="A3236" s="2" t="n">
        <x:v>3230</x:v>
      </x:c>
      <x:c r="B3236" s="79" t="n">
        <x:v>-0.23756098241708679</x:v>
      </x:c>
      <x:c r="C3236" s="46" t="n">
        <x:f>B3236^2</x:f>
        <x:v>0.05643522036697142</x:v>
      </x:c>
      <x:c r="D3236" s="47" t="n">
        <x:f>'Datos'!$B$26^3/3</x:f>
        <x:v>0.3333333333333333</x:v>
      </x:c>
      <x:c r="E3236" s="46" t="n">
        <x:f>D3236*(C3236-1)</x:f>
        <x:v>-0.3145215932110095</x:v>
      </x:c>
      <x:c r="F3236" s="2"/>
      <x:c r="G3236" s="2"/>
      <x:c r="H3236" s="2"/>
    </x:row>
    <x:row r="3237" ht="22" customHeight="1">
      <x:c r="A3237" s="2" t="n">
        <x:v>3231</x:v>
      </x:c>
      <x:c r="B3237" s="79" t="n">
        <x:v>-0.21948868197186833</x:v>
      </x:c>
      <x:c r="C3237" s="46" t="n">
        <x:f>B3237^2</x:f>
        <x:v>0.048175281513747954</x:v>
      </x:c>
      <x:c r="D3237" s="47" t="n">
        <x:f>'Datos'!$B$26^3/3</x:f>
        <x:v>0.3333333333333333</x:v>
      </x:c>
      <x:c r="E3237" s="46" t="n">
        <x:f>D3237*(C3237-1)</x:f>
        <x:v>-0.317274906162084</x:v>
      </x:c>
      <x:c r="F3237" s="2"/>
      <x:c r="G3237" s="2"/>
      <x:c r="H3237" s="2"/>
    </x:row>
    <x:row r="3238" ht="22" customHeight="1">
      <x:c r="A3238" s="2" t="n">
        <x:v>3232</x:v>
      </x:c>
      <x:c r="B3238" s="79" t="n">
        <x:v>-0.1546880780970448</x:v>
      </x:c>
      <x:c r="C3238" s="46" t="n">
        <x:f>B3238^2</x:f>
        <x:v>0.02392840150535743</x:v>
      </x:c>
      <x:c r="D3238" s="47" t="n">
        <x:f>'Datos'!$B$26^3/3</x:f>
        <x:v>0.3333333333333333</x:v>
      </x:c>
      <x:c r="E3238" s="46" t="n">
        <x:f>D3238*(C3238-1)</x:f>
        <x:v>-0.3253571994982142</x:v>
      </x:c>
      <x:c r="F3238" s="2"/>
      <x:c r="G3238" s="2"/>
      <x:c r="H3238" s="2"/>
    </x:row>
    <x:row r="3239" ht="22" customHeight="1">
      <x:c r="A3239" s="2" t="n">
        <x:v>3233</x:v>
      </x:c>
      <x:c r="B3239" s="79" t="n">
        <x:v>-0.968639296087485</x:v>
      </x:c>
      <x:c r="C3239" s="46" t="n">
        <x:f>B3239^2</x:f>
        <x:v>0.9382620859248585</x:v>
      </x:c>
      <x:c r="D3239" s="47" t="n">
        <x:f>'Datos'!$B$26^3/3</x:f>
        <x:v>0.3333333333333333</x:v>
      </x:c>
      <x:c r="E3239" s="46" t="n">
        <x:f>D3239*(C3239-1)</x:f>
        <x:v>-0.020579304691713835</x:v>
      </x:c>
      <x:c r="F3239" s="2"/>
      <x:c r="G3239" s="2"/>
      <x:c r="H3239" s="2"/>
    </x:row>
    <x:row r="3240" ht="22" customHeight="1">
      <x:c r="A3240" s="2" t="n">
        <x:v>3234</x:v>
      </x:c>
      <x:c r="B3240" s="79" t="n">
        <x:v>0.17886865484044503</x:v>
      </x:c>
      <x:c r="C3240" s="46" t="n">
        <x:f>B3240^2</x:f>
        <x:v>0.03199399568443026</x:v>
      </x:c>
      <x:c r="D3240" s="47" t="n">
        <x:f>'Datos'!$B$26^3/3</x:f>
        <x:v>0.3333333333333333</x:v>
      </x:c>
      <x:c r="E3240" s="46" t="n">
        <x:f>D3240*(C3240-1)</x:f>
        <x:v>-0.3226686681051899</x:v>
      </x:c>
      <x:c r="F3240" s="2"/>
      <x:c r="G3240" s="2"/>
      <x:c r="H3240" s="2"/>
    </x:row>
    <x:row r="3241" ht="22" customHeight="1">
      <x:c r="A3241" s="2" t="n">
        <x:v>3235</x:v>
      </x:c>
      <x:c r="B3241" s="79" t="n">
        <x:v>1.4689584678781862</x:v>
      </x:c>
      <x:c r="C3241" s="46" t="n">
        <x:f>B3241^2</x:f>
        <x:v>2.1578389803510283</x:v>
      </x:c>
      <x:c r="D3241" s="47" t="n">
        <x:f>'Datos'!$B$26^3/3</x:f>
        <x:v>0.3333333333333333</x:v>
      </x:c>
      <x:c r="E3241" s="46" t="n">
        <x:f>D3241*(C3241-1)</x:f>
        <x:v>0.3859463267836761</x:v>
      </x:c>
      <x:c r="F3241" s="2"/>
      <x:c r="G3241" s="2"/>
      <x:c r="H3241" s="2"/>
    </x:row>
    <x:row r="3242" ht="22" customHeight="1">
      <x:c r="A3242" s="2" t="n">
        <x:v>3236</x:v>
      </x:c>
      <x:c r="B3242" s="79" t="n">
        <x:v>0.4147377128362208</x:v>
      </x:c>
      <x:c r="C3242" s="46" t="n">
        <x:f>B3242^2</x:f>
        <x:v>0.17200737044861955</x:v>
      </x:c>
      <x:c r="D3242" s="47" t="n">
        <x:f>'Datos'!$B$26^3/3</x:f>
        <x:v>0.3333333333333333</x:v>
      </x:c>
      <x:c r="E3242" s="46" t="n">
        <x:f>D3242*(C3242-1)</x:f>
        <x:v>-0.27599754318379344</x:v>
      </x:c>
      <x:c r="F3242" s="2"/>
      <x:c r="G3242" s="2"/>
      <x:c r="H3242" s="2"/>
    </x:row>
    <x:row r="3243" ht="22" customHeight="1">
      <x:c r="A3243" s="2" t="n">
        <x:v>3237</x:v>
      </x:c>
      <x:c r="B3243" s="79" t="n">
        <x:v>-3.184622519692961</x:v>
      </x:c>
      <x:c r="C3243" s="46" t="n">
        <x:f>B3243^2</x:f>
        <x:v>10.141820592935545</x:v>
      </x:c>
      <x:c r="D3243" s="47" t="n">
        <x:f>'Datos'!$B$26^3/3</x:f>
        <x:v>0.3333333333333333</x:v>
      </x:c>
      <x:c r="E3243" s="46" t="n">
        <x:f>D3243*(C3243-1)</x:f>
        <x:v>3.047273530978515</x:v>
      </x:c>
      <x:c r="F3243" s="2"/>
      <x:c r="G3243" s="2"/>
      <x:c r="H3243" s="2"/>
    </x:row>
    <x:row r="3244" ht="22" customHeight="1">
      <x:c r="A3244" s="2" t="n">
        <x:v>3238</x:v>
      </x:c>
      <x:c r="B3244" s="79" t="n">
        <x:v>-2.00939935618304</x:v>
      </x:c>
      <x:c r="C3244" s="46" t="n">
        <x:f>B3244^2</x:f>
        <x:v>4.037685772628816</x:v>
      </x:c>
      <x:c r="D3244" s="47" t="n">
        <x:f>'Datos'!$B$26^3/3</x:f>
        <x:v>0.3333333333333333</x:v>
      </x:c>
      <x:c r="E3244" s="46" t="n">
        <x:f>D3244*(C3244-1)</x:f>
        <x:v>1.0125619242096051</x:v>
      </x:c>
      <x:c r="F3244" s="2"/>
      <x:c r="G3244" s="2"/>
      <x:c r="H3244" s="2"/>
    </x:row>
    <x:row r="3245" ht="22" customHeight="1">
      <x:c r="A3245" s="2" t="n">
        <x:v>3239</x:v>
      </x:c>
      <x:c r="B3245" s="79" t="n">
        <x:v>-0.18824772978448773</x:v>
      </x:c>
      <x:c r="C3245" s="46" t="n">
        <x:f>B3245^2</x:f>
        <x:v>0.03543720776901351</x:v>
      </x:c>
      <x:c r="D3245" s="47" t="n">
        <x:f>'Datos'!$B$26^3/3</x:f>
        <x:v>0.3333333333333333</x:v>
      </x:c>
      <x:c r="E3245" s="46" t="n">
        <x:f>D3245*(C3245-1)</x:f>
        <x:v>-0.32152093074366217</x:v>
      </x:c>
      <x:c r="F3245" s="2"/>
      <x:c r="G3245" s="2"/>
      <x:c r="H3245" s="2"/>
    </x:row>
    <x:row r="3246" ht="22" customHeight="1">
      <x:c r="A3246" s="2" t="n">
        <x:v>3240</x:v>
      </x:c>
      <x:c r="B3246" s="79" t="n">
        <x:v>0.6117561536191131</x:v>
      </x:c>
      <x:c r="C3246" s="46" t="n">
        <x:f>B3246^2</x:f>
        <x:v>0.37424559149085185</x:v>
      </x:c>
      <x:c r="D3246" s="47" t="n">
        <x:f>'Datos'!$B$26^3/3</x:f>
        <x:v>0.3333333333333333</x:v>
      </x:c>
      <x:c r="E3246" s="46" t="n">
        <x:f>D3246*(C3246-1)</x:f>
        <x:v>-0.20858480283638273</x:v>
      </x:c>
      <x:c r="F3246" s="2"/>
      <x:c r="G3246" s="2"/>
      <x:c r="H3246" s="2"/>
    </x:row>
    <x:row r="3247" ht="22" customHeight="1">
      <x:c r="A3247" s="2" t="n">
        <x:v>3241</x:v>
      </x:c>
      <x:c r="B3247" s="79" t="n">
        <x:v>0.5860366338189016</x:v>
      </x:c>
      <x:c r="C3247" s="46" t="n">
        <x:f>B3247^2</x:f>
        <x:v>0.34343893617778937</x:v>
      </x:c>
      <x:c r="D3247" s="47" t="n">
        <x:f>'Datos'!$B$26^3/3</x:f>
        <x:v>0.3333333333333333</x:v>
      </x:c>
      <x:c r="E3247" s="46" t="n">
        <x:f>D3247*(C3247-1)</x:f>
        <x:v>-0.21885368794073684</x:v>
      </x:c>
      <x:c r="F3247" s="2"/>
      <x:c r="G3247" s="2"/>
      <x:c r="H3247" s="2"/>
    </x:row>
    <x:row r="3248" ht="22" customHeight="1">
      <x:c r="A3248" s="2" t="n">
        <x:v>3242</x:v>
      </x:c>
      <x:c r="B3248" s="79" t="n">
        <x:v>1.2385504339131348</x:v>
      </x:c>
      <x:c r="C3248" s="46" t="n">
        <x:f>B3248^2</x:f>
        <x:v>1.5340071773464146</x:v>
      </x:c>
      <x:c r="D3248" s="47" t="n">
        <x:f>'Datos'!$B$26^3/3</x:f>
        <x:v>0.3333333333333333</x:v>
      </x:c>
      <x:c r="E3248" s="46" t="n">
        <x:f>D3248*(C3248-1)</x:f>
        <x:v>0.17800239244880484</x:v>
      </x:c>
      <x:c r="F3248" s="2"/>
      <x:c r="G3248" s="2"/>
      <x:c r="H3248" s="2"/>
    </x:row>
    <x:row r="3249" ht="22" customHeight="1">
      <x:c r="A3249" s="2" t="n">
        <x:v>3243</x:v>
      </x:c>
      <x:c r="B3249" s="79" t="n">
        <x:v>-0.8161650043298563</x:v>
      </x:c>
      <x:c r="C3249" s="46" t="n">
        <x:f>B3249^2</x:f>
        <x:v>0.6661253142927543</x:v>
      </x:c>
      <x:c r="D3249" s="47" t="n">
        <x:f>'Datos'!$B$26^3/3</x:f>
        <x:v>0.3333333333333333</x:v>
      </x:c>
      <x:c r="E3249" s="46" t="n">
        <x:f>D3249*(C3249-1)</x:f>
        <x:v>-0.11129156190241521</x:v>
      </x:c>
      <x:c r="F3249" s="2"/>
      <x:c r="G3249" s="2"/>
      <x:c r="H3249" s="2"/>
    </x:row>
    <x:row r="3250" ht="22" customHeight="1">
      <x:c r="A3250" s="2" t="n">
        <x:v>3244</x:v>
      </x:c>
      <x:c r="B3250" s="79" t="n">
        <x:v>0.23568038276376446</x:v>
      </x:c>
      <x:c r="C3250" s="46" t="n">
        <x:f>B3250^2</x:f>
        <x:v>0.055545242819674524</x:v>
      </x:c>
      <x:c r="D3250" s="47" t="n">
        <x:f>'Datos'!$B$26^3/3</x:f>
        <x:v>0.3333333333333333</x:v>
      </x:c>
      <x:c r="E3250" s="46" t="n">
        <x:f>D3250*(C3250-1)</x:f>
        <x:v>-0.3148182523934418</x:v>
      </x:c>
      <x:c r="F3250" s="2"/>
      <x:c r="G3250" s="2"/>
      <x:c r="H3250" s="2"/>
    </x:row>
    <x:row r="3251" ht="22" customHeight="1">
      <x:c r="A3251" s="2" t="n">
        <x:v>3245</x:v>
      </x:c>
      <x:c r="B3251" s="79" t="n">
        <x:v>-0.6563402388737042</x:v>
      </x:c>
      <x:c r="C3251" s="46" t="n">
        <x:f>B3251^2</x:f>
        <x:v>0.43078250916479105</x:v>
      </x:c>
      <x:c r="D3251" s="47" t="n">
        <x:f>'Datos'!$B$26^3/3</x:f>
        <x:v>0.3333333333333333</x:v>
      </x:c>
      <x:c r="E3251" s="46" t="n">
        <x:f>D3251*(C3251-1)</x:f>
        <x:v>-0.18973916361173632</x:v>
      </x:c>
      <x:c r="F3251" s="2"/>
      <x:c r="G3251" s="2"/>
      <x:c r="H3251" s="2"/>
    </x:row>
    <x:row r="3252" ht="22" customHeight="1">
      <x:c r="A3252" s="2" t="n">
        <x:v>3246</x:v>
      </x:c>
      <x:c r="B3252" s="79" t="n">
        <x:v>1.851308868760897</x:v>
      </x:c>
      <x:c r="C3252" s="46" t="n">
        <x:f>B3252^2</x:f>
        <x:v>3.427344527552752</x:v>
      </x:c>
      <x:c r="D3252" s="47" t="n">
        <x:f>'Datos'!$B$26^3/3</x:f>
        <x:v>0.3333333333333333</x:v>
      </x:c>
      <x:c r="E3252" s="46" t="n">
        <x:f>D3252*(C3252-1)</x:f>
        <x:v>0.8091148425175839</x:v>
      </x:c>
      <x:c r="F3252" s="2"/>
      <x:c r="G3252" s="2"/>
      <x:c r="H3252" s="2"/>
    </x:row>
    <x:row r="3253" ht="22" customHeight="1">
      <x:c r="A3253" s="2" t="n">
        <x:v>3247</x:v>
      </x:c>
      <x:c r="B3253" s="79" t="n">
        <x:v>-0.3119987717710791</x:v>
      </x:c>
      <x:c r="C3253" s="46" t="n">
        <x:f>B3253^2</x:f>
        <x:v>0.0973432335866619</x:v>
      </x:c>
      <x:c r="D3253" s="47" t="n">
        <x:f>'Datos'!$B$26^3/3</x:f>
        <x:v>0.3333333333333333</x:v>
      </x:c>
      <x:c r="E3253" s="46" t="n">
        <x:f>D3253*(C3253-1)</x:f>
        <x:v>-0.30088558880444605</x:v>
      </x:c>
      <x:c r="F3253" s="2"/>
      <x:c r="G3253" s="2"/>
      <x:c r="H3253" s="2"/>
    </x:row>
    <x:row r="3254" ht="22" customHeight="1">
      <x:c r="A3254" s="2" t="n">
        <x:v>3248</x:v>
      </x:c>
      <x:c r="B3254" s="79" t="n">
        <x:v>-2.0788240703847234</x:v>
      </x:c>
      <x:c r="C3254" s="46" t="n">
        <x:f>B3254^2</x:f>
        <x:v>4.321509515610909</x:v>
      </x:c>
      <x:c r="D3254" s="47" t="n">
        <x:f>'Datos'!$B$26^3/3</x:f>
        <x:v>0.3333333333333333</x:v>
      </x:c>
      <x:c r="E3254" s="46" t="n">
        <x:f>D3254*(C3254-1)</x:f>
        <x:v>1.1071698385369697</x:v>
      </x:c>
      <x:c r="F3254" s="2"/>
      <x:c r="G3254" s="2"/>
      <x:c r="H3254" s="2"/>
    </x:row>
    <x:row r="3255" ht="22" customHeight="1">
      <x:c r="A3255" s="2" t="n">
        <x:v>3249</x:v>
      </x:c>
      <x:c r="B3255" s="79" t="n">
        <x:v>-1.2997940190796573</x:v>
      </x:c>
      <x:c r="C3255" s="46" t="n">
        <x:f>B3255^2</x:f>
        <x:v>1.6894644920352486</x:v>
      </x:c>
      <x:c r="D3255" s="47" t="n">
        <x:f>'Datos'!$B$26^3/3</x:f>
        <x:v>0.3333333333333333</x:v>
      </x:c>
      <x:c r="E3255" s="46" t="n">
        <x:f>D3255*(C3255-1)</x:f>
        <x:v>0.22982149734508286</x:v>
      </x:c>
      <x:c r="F3255" s="2"/>
      <x:c r="G3255" s="2"/>
      <x:c r="H3255" s="2"/>
    </x:row>
    <x:row r="3256" ht="22" customHeight="1">
      <x:c r="A3256" s="2" t="n">
        <x:v>3250</x:v>
      </x:c>
      <x:c r="B3256" s="79" t="n">
        <x:v>0.4918923227448546</x:v>
      </x:c>
      <x:c r="C3256" s="46" t="n">
        <x:f>B3256^2</x:f>
        <x:v>0.24195805717532823</x:v>
      </x:c>
      <x:c r="D3256" s="47" t="n">
        <x:f>'Datos'!$B$26^3/3</x:f>
        <x:v>0.3333333333333333</x:v>
      </x:c>
      <x:c r="E3256" s="46" t="n">
        <x:f>D3256*(C3256-1)</x:f>
        <x:v>-0.2526806476082239</x:v>
      </x:c>
      <x:c r="F3256" s="2"/>
      <x:c r="G3256" s="2"/>
      <x:c r="H3256" s="2"/>
    </x:row>
    <x:row r="3257" ht="22" customHeight="1">
      <x:c r="A3257" s="2" t="n">
        <x:v>3251</x:v>
      </x:c>
      <x:c r="B3257" s="79" t="n">
        <x:v>0.7094581216011602</x:v>
      </x:c>
      <x:c r="C3257" s="46" t="n">
        <x:f>B3257^2</x:f>
        <x:v>0.5033308263058466</x:v>
      </x:c>
      <x:c r="D3257" s="47" t="n">
        <x:f>'Datos'!$B$26^3/3</x:f>
        <x:v>0.3333333333333333</x:v>
      </x:c>
      <x:c r="E3257" s="46" t="n">
        <x:f>D3257*(C3257-1)</x:f>
        <x:v>-0.16555639123138446</x:v>
      </x:c>
      <x:c r="F3257" s="2"/>
      <x:c r="G3257" s="2"/>
      <x:c r="H3257" s="2"/>
    </x:row>
    <x:row r="3258" ht="22" customHeight="1">
      <x:c r="A3258" s="2" t="n">
        <x:v>3252</x:v>
      </x:c>
      <x:c r="B3258" s="79" t="n">
        <x:v>1.473230315369064</x:v>
      </x:c>
      <x:c r="C3258" s="46" t="n">
        <x:f>B3258^2</x:f>
        <x:v>2.1704075621224317</x:v>
      </x:c>
      <x:c r="D3258" s="47" t="n">
        <x:f>'Datos'!$B$26^3/3</x:f>
        <x:v>0.3333333333333333</x:v>
      </x:c>
      <x:c r="E3258" s="46" t="n">
        <x:f>D3258*(C3258-1)</x:f>
        <x:v>0.3901358540408105</x:v>
      </x:c>
      <x:c r="F3258" s="2"/>
      <x:c r="G3258" s="2"/>
      <x:c r="H3258" s="2"/>
    </x:row>
    <x:row r="3259" ht="22" customHeight="1">
      <x:c r="A3259" s="2" t="n">
        <x:v>3253</x:v>
      </x:c>
      <x:c r="B3259" s="79" t="n">
        <x:v>-0.0855611281429878</x:v>
      </x:c>
      <x:c r="C3259" s="46" t="n">
        <x:f>B3259^2</x:f>
        <x:v>0.007320706649100779</x:v>
      </x:c>
      <x:c r="D3259" s="47" t="n">
        <x:f>'Datos'!$B$26^3/3</x:f>
        <x:v>0.3333333333333333</x:v>
      </x:c>
      <x:c r="E3259" s="46" t="n">
        <x:f>D3259*(C3259-1)</x:f>
        <x:v>-0.33089309778363307</x:v>
      </x:c>
      <x:c r="F3259" s="2"/>
      <x:c r="G3259" s="2"/>
      <x:c r="H3259" s="2"/>
    </x:row>
    <x:row r="3260" ht="22" customHeight="1">
      <x:c r="A3260" s="2" t="n">
        <x:v>3254</x:v>
      </x:c>
      <x:c r="B3260" s="79" t="n">
        <x:v>-0.03522548029162283</x:v>
      </x:c>
      <x:c r="C3260" s="46" t="n">
        <x:f>B3260^2</x:f>
        <x:v>0.0012408344617755081</x:v>
      </x:c>
      <x:c r="D3260" s="47" t="n">
        <x:f>'Datos'!$B$26^3/3</x:f>
        <x:v>0.3333333333333333</x:v>
      </x:c>
      <x:c r="E3260" s="46" t="n">
        <x:f>D3260*(C3260-1)</x:f>
        <x:v>-0.3329197218460748</x:v>
      </x:c>
      <x:c r="F3260" s="2"/>
      <x:c r="G3260" s="2"/>
      <x:c r="H3260" s="2"/>
    </x:row>
    <x:row r="3261" ht="22" customHeight="1">
      <x:c r="A3261" s="2" t="n">
        <x:v>3255</x:v>
      </x:c>
      <x:c r="B3261" s="79" t="n">
        <x:v>-0.07464755036546734</x:v>
      </x:c>
      <x:c r="C3261" s="46" t="n">
        <x:f>B3261^2</x:f>
        <x:v>0.005572256775564984</x:v>
      </x:c>
      <x:c r="D3261" s="47" t="n">
        <x:f>'Datos'!$B$26^3/3</x:f>
        <x:v>0.3333333333333333</x:v>
      </x:c>
      <x:c r="E3261" s="46" t="n">
        <x:f>D3261*(C3261-1)</x:f>
        <x:v>-0.331475914408145</x:v>
      </x:c>
      <x:c r="F3261" s="2"/>
      <x:c r="G3261" s="2"/>
      <x:c r="H3261" s="2"/>
    </x:row>
    <x:row r="3262" ht="22" customHeight="1">
      <x:c r="A3262" s="2" t="n">
        <x:v>3256</x:v>
      </x:c>
      <x:c r="B3262" s="79" t="n">
        <x:v>0.004469896993551435</x:v>
      </x:c>
      <x:c r="C3262" s="46" t="n">
        <x:f>B3262^2</x:f>
        <x:v>0.000019979979132960155</x:v>
      </x:c>
      <x:c r="D3262" s="47" t="n">
        <x:f>'Datos'!$B$26^3/3</x:f>
        <x:v>0.3333333333333333</x:v>
      </x:c>
      <x:c r="E3262" s="46" t="n">
        <x:f>D3262*(C3262-1)</x:f>
        <x:v>-0.333326673340289</x:v>
      </x:c>
      <x:c r="F3262" s="2"/>
      <x:c r="G3262" s="2"/>
      <x:c r="H3262" s="2"/>
    </x:row>
    <x:row r="3263" ht="22" customHeight="1">
      <x:c r="A3263" s="2" t="n">
        <x:v>3257</x:v>
      </x:c>
      <x:c r="B3263" s="79" t="n">
        <x:v>0.7063269889010194</x:v>
      </x:c>
      <x:c r="C3263" s="46" t="n">
        <x:f>B3263^2</x:f>
        <x:v>0.4988978152499808</x:v>
      </x:c>
      <x:c r="D3263" s="47" t="n">
        <x:f>'Datos'!$B$26^3/3</x:f>
        <x:v>0.3333333333333333</x:v>
      </x:c>
      <x:c r="E3263" s="46" t="n">
        <x:f>D3263*(C3263-1)</x:f>
        <x:v>-0.16703406158333972</x:v>
      </x:c>
      <x:c r="F3263" s="2"/>
      <x:c r="G3263" s="2"/>
      <x:c r="H3263" s="2"/>
    </x:row>
    <x:row r="3264" ht="22" customHeight="1">
      <x:c r="A3264" s="2" t="n">
        <x:v>3258</x:v>
      </x:c>
      <x:c r="B3264" s="79" t="n">
        <x:v>-1.5630673124690564</x:v>
      </x:c>
      <x:c r="C3264" s="46" t="n">
        <x:f>B3264^2</x:f>
        <x:v>2.443179423309239</x:v>
      </x:c>
      <x:c r="D3264" s="47" t="n">
        <x:f>'Datos'!$B$26^3/3</x:f>
        <x:v>0.3333333333333333</x:v>
      </x:c>
      <x:c r="E3264" s="46" t="n">
        <x:f>D3264*(C3264-1)</x:f>
        <x:v>0.48105980776974633</x:v>
      </x:c>
      <x:c r="F3264" s="2"/>
      <x:c r="G3264" s="2"/>
      <x:c r="H3264" s="2"/>
    </x:row>
    <x:row r="3265" ht="22" customHeight="1">
      <x:c r="A3265" s="2" t="n">
        <x:v>3259</x:v>
      </x:c>
      <x:c r="B3265" s="79" t="n">
        <x:v>-0.7385729705561033</x:v>
      </x:c>
      <x:c r="C3265" s="46" t="n">
        <x:f>B3265^2</x:f>
        <x:v>0.5454900328360666</x:v>
      </x:c>
      <x:c r="D3265" s="47" t="n">
        <x:f>'Datos'!$B$26^3/3</x:f>
        <x:v>0.3333333333333333</x:v>
      </x:c>
      <x:c r="E3265" s="46" t="n">
        <x:f>D3265*(C3265-1)</x:f>
        <x:v>-0.1515033223879778</x:v>
      </x:c>
      <x:c r="F3265" s="2"/>
      <x:c r="G3265" s="2"/>
      <x:c r="H3265" s="2"/>
    </x:row>
    <x:row r="3266" ht="22" customHeight="1">
      <x:c r="A3266" s="2" t="n">
        <x:v>3260</x:v>
      </x:c>
      <x:c r="B3266" s="79" t="n">
        <x:v>-0.15661425199334822</x:v>
      </x:c>
      <x:c r="C3266" s="46" t="n">
        <x:f>B3266^2</x:f>
        <x:v>0.024528023927435978</x:v>
      </x:c>
      <x:c r="D3266" s="47" t="n">
        <x:f>'Datos'!$B$26^3/3</x:f>
        <x:v>0.3333333333333333</x:v>
      </x:c>
      <x:c r="E3266" s="46" t="n">
        <x:f>D3266*(C3266-1)</x:f>
        <x:v>-0.3251573253575213</x:v>
      </x:c>
      <x:c r="F3266" s="2"/>
      <x:c r="G3266" s="2"/>
      <x:c r="H3266" s="2"/>
    </x:row>
    <x:row r="3267" ht="22" customHeight="1">
      <x:c r="A3267" s="2" t="n">
        <x:v>3261</x:v>
      </x:c>
      <x:c r="B3267" s="79" t="n">
        <x:v>1.4510559220518762</x:v>
      </x:c>
      <x:c r="C3267" s="46" t="n">
        <x:f>B3267^2</x:f>
        <x:v>2.1055632889218203</x:v>
      </x:c>
      <x:c r="D3267" s="47" t="n">
        <x:f>'Datos'!$B$26^3/3</x:f>
        <x:v>0.3333333333333333</x:v>
      </x:c>
      <x:c r="E3267" s="46" t="n">
        <x:f>D3267*(C3267-1)</x:f>
        <x:v>0.3685210963072734</x:v>
      </x:c>
      <x:c r="F3267" s="2"/>
      <x:c r="G3267" s="2"/>
      <x:c r="H3267" s="2"/>
    </x:row>
    <x:row r="3268" ht="22" customHeight="1">
      <x:c r="A3268" s="2" t="n">
        <x:v>3262</x:v>
      </x:c>
      <x:c r="B3268" s="79" t="n">
        <x:v>-0.2973319432435218</x:v>
      </x:c>
      <x:c r="C3268" s="46" t="n">
        <x:f>B3268^2</x:f>
        <x:v>0.08840628447296887</x:v>
      </x:c>
      <x:c r="D3268" s="47" t="n">
        <x:f>'Datos'!$B$26^3/3</x:f>
        <x:v>0.3333333333333333</x:v>
      </x:c>
      <x:c r="E3268" s="46" t="n">
        <x:f>D3268*(C3268-1)</x:f>
        <x:v>-0.3038645718423437</x:v>
      </x:c>
      <x:c r="F3268" s="2"/>
      <x:c r="G3268" s="2"/>
      <x:c r="H3268" s="2"/>
    </x:row>
    <x:row r="3269" ht="22" customHeight="1">
      <x:c r="A3269" s="2" t="n">
        <x:v>3263</x:v>
      </x:c>
      <x:c r="B3269" s="79" t="n">
        <x:v>-0.3076590273908037</x:v>
      </x:c>
      <x:c r="C3269" s="46" t="n">
        <x:f>B3269^2</x:f>
        <x:v>0.0946540771350553</x:v>
      </x:c>
      <x:c r="D3269" s="47" t="n">
        <x:f>'Datos'!$B$26^3/3</x:f>
        <x:v>0.3333333333333333</x:v>
      </x:c>
      <x:c r="E3269" s="46" t="n">
        <x:f>D3269*(C3269-1)</x:f>
        <x:v>-0.3017819742883149</x:v>
      </x:c>
      <x:c r="F3269" s="2"/>
      <x:c r="G3269" s="2"/>
      <x:c r="H3269" s="2"/>
    </x:row>
    <x:row r="3270" ht="22" customHeight="1">
      <x:c r="A3270" s="2" t="n">
        <x:v>3264</x:v>
      </x:c>
      <x:c r="B3270" s="79" t="n">
        <x:v>-0.9606455770054814</x:v>
      </x:c>
      <x:c r="C3270" s="46" t="n">
        <x:f>B3270^2</x:f>
        <x:v>0.9228399246201943</x:v>
      </x:c>
      <x:c r="D3270" s="47" t="n">
        <x:f>'Datos'!$B$26^3/3</x:f>
        <x:v>0.3333333333333333</x:v>
      </x:c>
      <x:c r="E3270" s="46" t="n">
        <x:f>D3270*(C3270-1)</x:f>
        <x:v>-0.02572002512660191</x:v>
      </x:c>
      <x:c r="F3270" s="2"/>
      <x:c r="G3270" s="2"/>
      <x:c r="H3270" s="2"/>
    </x:row>
    <x:row r="3271" ht="22" customHeight="1">
      <x:c r="A3271" s="2" t="n">
        <x:v>3265</x:v>
      </x:c>
      <x:c r="B3271" s="79" t="n">
        <x:v>-1.137686526582714</x:v>
      </x:c>
      <x:c r="C3271" s="46" t="n">
        <x:f>B3271^2</x:f>
        <x:v>1.2943306327678405</x:v>
      </x:c>
      <x:c r="D3271" s="47" t="n">
        <x:f>'Datos'!$B$26^3/3</x:f>
        <x:v>0.3333333333333333</x:v>
      </x:c>
      <x:c r="E3271" s="46" t="n">
        <x:f>D3271*(C3271-1)</x:f>
        <x:v>0.09811021092261352</x:v>
      </x:c>
      <x:c r="F3271" s="2"/>
      <x:c r="G3271" s="2"/>
      <x:c r="H3271" s="2"/>
    </x:row>
    <x:row r="3272" ht="22" customHeight="1">
      <x:c r="A3272" s="2" t="n">
        <x:v>3266</x:v>
      </x:c>
      <x:c r="B3272" s="79" t="n">
        <x:v>2.011949727599904</x:v>
      </x:c>
      <x:c r="C3272" s="46" t="n">
        <x:f>B3272^2</x:f>
        <x:v>4.047941706389327</x:v>
      </x:c>
      <x:c r="D3272" s="47" t="n">
        <x:f>'Datos'!$B$26^3/3</x:f>
        <x:v>0.3333333333333333</x:v>
      </x:c>
      <x:c r="E3272" s="46" t="n">
        <x:f>D3272*(C3272-1)</x:f>
        <x:v>1.0159805687964423</x:v>
      </x:c>
      <x:c r="F3272" s="2"/>
      <x:c r="G3272" s="2"/>
      <x:c r="H3272" s="2"/>
    </x:row>
    <x:row r="3273" ht="22" customHeight="1">
      <x:c r="A3273" s="2" t="n">
        <x:v>3267</x:v>
      </x:c>
      <x:c r="B3273" s="79" t="n">
        <x:v>-1.7100127067271191</x:v>
      </x:c>
      <x:c r="C3273" s="46" t="n">
        <x:f>B3273^2</x:f>
        <x:v>2.9241434571682086</x:v>
      </x:c>
      <x:c r="D3273" s="47" t="n">
        <x:f>'Datos'!$B$26^3/3</x:f>
        <x:v>0.3333333333333333</x:v>
      </x:c>
      <x:c r="E3273" s="46" t="n">
        <x:f>D3273*(C3273-1)</x:f>
        <x:v>0.6413811523894029</x:v>
      </x:c>
      <x:c r="F3273" s="2"/>
      <x:c r="G3273" s="2"/>
      <x:c r="H3273" s="2"/>
    </x:row>
    <x:row r="3274" ht="22" customHeight="1">
      <x:c r="A3274" s="2" t="n">
        <x:v>3268</x:v>
      </x:c>
      <x:c r="B3274" s="79" t="n">
        <x:v>1.199276101044031</x:v>
      </x:c>
      <x:c r="C3274" s="46" t="n">
        <x:f>B3274^2</x:f>
        <x:v>1.4382631665353727</x:v>
      </x:c>
      <x:c r="D3274" s="47" t="n">
        <x:f>'Datos'!$B$26^3/3</x:f>
        <x:v>0.3333333333333333</x:v>
      </x:c>
      <x:c r="E3274" s="46" t="n">
        <x:f>D3274*(C3274-1)</x:f>
        <x:v>0.14608772217845756</x:v>
      </x:c>
      <x:c r="F3274" s="2"/>
      <x:c r="G3274" s="2"/>
      <x:c r="H3274" s="2"/>
    </x:row>
    <x:row r="3275" ht="22" customHeight="1">
      <x:c r="A3275" s="2" t="n">
        <x:v>3269</x:v>
      </x:c>
      <x:c r="B3275" s="79" t="n">
        <x:v>0.8987772664318036</x:v>
      </x:c>
      <x:c r="C3275" s="46" t="n">
        <x:f>B3275^2</x:f>
        <x:v>0.8078005746546252</x:v>
      </x:c>
      <x:c r="D3275" s="47" t="n">
        <x:f>'Datos'!$B$26^3/3</x:f>
        <x:v>0.3333333333333333</x:v>
      </x:c>
      <x:c r="E3275" s="46" t="n">
        <x:f>D3275*(C3275-1)</x:f>
        <x:v>-0.06406647511512494</x:v>
      </x:c>
      <x:c r="F3275" s="2"/>
      <x:c r="G3275" s="2"/>
      <x:c r="H3275" s="2"/>
    </x:row>
    <x:row r="3276" ht="22" customHeight="1">
      <x:c r="A3276" s="2" t="n">
        <x:v>3270</x:v>
      </x:c>
      <x:c r="B3276" s="79" t="n">
        <x:v>-0.23358351978165767</x:v>
      </x:c>
      <x:c r="C3276" s="46" t="n">
        <x:f>B3276^2</x:f>
        <x:v>0.054561260713588064</x:v>
      </x:c>
      <x:c r="D3276" s="47" t="n">
        <x:f>'Datos'!$B$26^3/3</x:f>
        <x:v>0.3333333333333333</x:v>
      </x:c>
      <x:c r="E3276" s="46" t="n">
        <x:f>D3276*(C3276-1)</x:f>
        <x:v>-0.31514624642880396</x:v>
      </x:c>
      <x:c r="F3276" s="2"/>
      <x:c r="G3276" s="2"/>
      <x:c r="H3276" s="2"/>
    </x:row>
    <x:row r="3277" ht="22" customHeight="1">
      <x:c r="A3277" s="2" t="n">
        <x:v>3271</x:v>
      </x:c>
      <x:c r="B3277" s="79" t="n">
        <x:v>-0.32206533087956424</x:v>
      </x:c>
      <x:c r="C3277" s="46" t="n">
        <x:f>B3277^2</x:f>
        <x:v>0.1037260773545632</x:v>
      </x:c>
      <x:c r="D3277" s="47" t="n">
        <x:f>'Datos'!$B$26^3/3</x:f>
        <x:v>0.3333333333333333</x:v>
      </x:c>
      <x:c r="E3277" s="46" t="n">
        <x:f>D3277*(C3277-1)</x:f>
        <x:v>-0.2987579742151456</x:v>
      </x:c>
      <x:c r="F3277" s="2"/>
      <x:c r="G3277" s="2"/>
      <x:c r="H3277" s="2"/>
    </x:row>
    <x:row r="3278" ht="22" customHeight="1">
      <x:c r="A3278" s="2" t="n">
        <x:v>3272</x:v>
      </x:c>
      <x:c r="B3278" s="79" t="n">
        <x:v>-0.3144441053814197</x:v>
      </x:c>
      <x:c r="C3278" s="46" t="n">
        <x:f>B3278^2</x:f>
        <x:v>0.09887509540912139</x:v>
      </x:c>
      <x:c r="D3278" s="47" t="n">
        <x:f>'Datos'!$B$26^3/3</x:f>
        <x:v>0.3333333333333333</x:v>
      </x:c>
      <x:c r="E3278" s="46" t="n">
        <x:f>D3278*(C3278-1)</x:f>
        <x:v>-0.3003749681969595</x:v>
      </x:c>
      <x:c r="F3278" s="2"/>
      <x:c r="G3278" s="2"/>
      <x:c r="H3278" s="2"/>
    </x:row>
    <x:row r="3279" ht="22" customHeight="1">
      <x:c r="A3279" s="2" t="n">
        <x:v>3273</x:v>
      </x:c>
      <x:c r="B3279" s="79" t="n">
        <x:v>-0.021445085712996668</x:v>
      </x:c>
      <x:c r="C3279" s="46" t="n">
        <x:f>B3279^2</x:f>
        <x:v>0.0004598917012377738</x:v>
      </x:c>
      <x:c r="D3279" s="47" t="n">
        <x:f>'Datos'!$B$26^3/3</x:f>
        <x:v>0.3333333333333333</x:v>
      </x:c>
      <x:c r="E3279" s="46" t="n">
        <x:f>D3279*(C3279-1)</x:f>
        <x:v>-0.3331800360995874</x:v>
      </x:c>
      <x:c r="F3279" s="2"/>
      <x:c r="G3279" s="2"/>
      <x:c r="H3279" s="2"/>
    </x:row>
    <x:row r="3280" ht="22" customHeight="1">
      <x:c r="A3280" s="2" t="n">
        <x:v>3274</x:v>
      </x:c>
      <x:c r="B3280" s="79" t="n">
        <x:v>-0.10782723817246974</x:v>
      </x:c>
      <x:c r="C3280" s="46" t="n">
        <x:f>B3280^2</x:f>
        <x:v>0.011626713291902515</x:v>
      </x:c>
      <x:c r="D3280" s="47" t="n">
        <x:f>'Datos'!$B$26^3/3</x:f>
        <x:v>0.3333333333333333</x:v>
      </x:c>
      <x:c r="E3280" s="46" t="n">
        <x:f>D3280*(C3280-1)</x:f>
        <x:v>-0.32945776223603246</x:v>
      </x:c>
      <x:c r="F3280" s="2"/>
      <x:c r="G3280" s="2"/>
      <x:c r="H3280" s="2"/>
    </x:row>
    <x:row r="3281" ht="22" customHeight="1">
      <x:c r="A3281" s="2" t="n">
        <x:v>3275</x:v>
      </x:c>
      <x:c r="B3281" s="79" t="n">
        <x:v>-0.23186377867423325</x:v>
      </x:c>
      <x:c r="C3281" s="46" t="n">
        <x:f>B3281^2</x:f>
        <x:v>0.05376081186109382</x:v>
      </x:c>
      <x:c r="D3281" s="47" t="n">
        <x:f>'Datos'!$B$26^3/3</x:f>
        <x:v>0.3333333333333333</x:v>
      </x:c>
      <x:c r="E3281" s="46" t="n">
        <x:f>D3281*(C3281-1)</x:f>
        <x:v>-0.3154130627129687</x:v>
      </x:c>
      <x:c r="F3281" s="2"/>
      <x:c r="G3281" s="2"/>
      <x:c r="H3281" s="2"/>
    </x:row>
    <x:row r="3282" ht="22" customHeight="1">
      <x:c r="A3282" s="2" t="n">
        <x:v>3276</x:v>
      </x:c>
      <x:c r="B3282" s="79" t="n">
        <x:v>0.16289984416617412</x:v>
      </x:c>
      <x:c r="C3282" s="46" t="n">
        <x:f>B3282^2</x:f>
        <x:v>0.02653635922936381</x:v>
      </x:c>
      <x:c r="D3282" s="47" t="n">
        <x:f>'Datos'!$B$26^3/3</x:f>
        <x:v>0.3333333333333333</x:v>
      </x:c>
      <x:c r="E3282" s="46" t="n">
        <x:f>D3282*(C3282-1)</x:f>
        <x:v>-0.3244878802568787</x:v>
      </x:c>
      <x:c r="F3282" s="2"/>
      <x:c r="G3282" s="2"/>
      <x:c r="H3282" s="2"/>
    </x:row>
    <x:row r="3283" ht="22" customHeight="1">
      <x:c r="A3283" s="2" t="n">
        <x:v>3277</x:v>
      </x:c>
      <x:c r="B3283" s="79" t="n">
        <x:v>-0.34194850206670757</x:v>
      </x:c>
      <x:c r="C3283" s="46" t="n">
        <x:f>B3283^2</x:f>
        <x:v>0.11692877806566511</x:v>
      </x:c>
      <x:c r="D3283" s="47" t="n">
        <x:f>'Datos'!$B$26^3/3</x:f>
        <x:v>0.3333333333333333</x:v>
      </x:c>
      <x:c r="E3283" s="46" t="n">
        <x:f>D3283*(C3283-1)</x:f>
        <x:v>-0.2943570739781116</x:v>
      </x:c>
      <x:c r="F3283" s="2"/>
      <x:c r="G3283" s="2"/>
      <x:c r="H3283" s="2"/>
    </x:row>
    <x:row r="3284" ht="22" customHeight="1">
      <x:c r="A3284" s="2" t="n">
        <x:v>3278</x:v>
      </x:c>
      <x:c r="B3284" s="79" t="n">
        <x:v>-0.4180617849559668</x:v>
      </x:c>
      <x:c r="C3284" s="46" t="n">
        <x:f>B3284^2</x:f>
        <x:v>0.17477565604056902</x:v>
      </x:c>
      <x:c r="D3284" s="47" t="n">
        <x:f>'Datos'!$B$26^3/3</x:f>
        <x:v>0.3333333333333333</x:v>
      </x:c>
      <x:c r="E3284" s="46" t="n">
        <x:f>D3284*(C3284-1)</x:f>
        <x:v>-0.27507478131981034</x:v>
      </x:c>
      <x:c r="F3284" s="2"/>
      <x:c r="G3284" s="2"/>
      <x:c r="H3284" s="2"/>
    </x:row>
    <x:row r="3285" ht="22" customHeight="1">
      <x:c r="A3285" s="2" t="n">
        <x:v>3279</x:v>
      </x:c>
      <x:c r="B3285" s="79" t="n">
        <x:v>-0.11682820224848475</x:v>
      </x:c>
      <x:c r="C3285" s="46" t="n">
        <x:f>B3285^2</x:f>
        <x:v>0.013648828840612857</x:v>
      </x:c>
      <x:c r="D3285" s="47" t="n">
        <x:f>'Datos'!$B$26^3/3</x:f>
        <x:v>0.3333333333333333</x:v>
      </x:c>
      <x:c r="E3285" s="46" t="n">
        <x:f>D3285*(C3285-1)</x:f>
        <x:v>-0.3287837237197957</x:v>
      </x:c>
      <x:c r="F3285" s="2"/>
      <x:c r="G3285" s="2"/>
      <x:c r="H3285" s="2"/>
    </x:row>
    <x:row r="3286" ht="22" customHeight="1">
      <x:c r="A3286" s="2" t="n">
        <x:v>3280</x:v>
      </x:c>
      <x:c r="B3286" s="79" t="n">
        <x:v>0.3338720404566546</x:v>
      </x:c>
      <x:c r="C3286" s="46" t="n">
        <x:f>B3286^2</x:f>
        <x:v>0.11147053939868999</x:v>
      </x:c>
      <x:c r="D3286" s="47" t="n">
        <x:f>'Datos'!$B$26^3/3</x:f>
        <x:v>0.3333333333333333</x:v>
      </x:c>
      <x:c r="E3286" s="46" t="n">
        <x:f>D3286*(C3286-1)</x:f>
        <x:v>-0.2961764868671033</x:v>
      </x:c>
      <x:c r="F3286" s="2"/>
      <x:c r="G3286" s="2"/>
      <x:c r="H3286" s="2"/>
    </x:row>
    <x:row r="3287" ht="22" customHeight="1">
      <x:c r="A3287" s="2" t="n">
        <x:v>3281</x:v>
      </x:c>
      <x:c r="B3287" s="79" t="n">
        <x:v>0.08176758113831062</x:v>
      </x:c>
      <x:c r="C3287" s="46" t="n">
        <x:f>B3287^2</x:f>
        <x:v>0.006685937325210211</x:v>
      </x:c>
      <x:c r="D3287" s="47" t="n">
        <x:f>'Datos'!$B$26^3/3</x:f>
        <x:v>0.3333333333333333</x:v>
      </x:c>
      <x:c r="E3287" s="46" t="n">
        <x:f>D3287*(C3287-1)</x:f>
        <x:v>-0.3311046875582633</x:v>
      </x:c>
      <x:c r="F3287" s="2"/>
      <x:c r="G3287" s="2"/>
      <x:c r="H3287" s="2"/>
    </x:row>
    <x:row r="3288" ht="22" customHeight="1">
      <x:c r="A3288" s="2" t="n">
        <x:v>3282</x:v>
      </x:c>
      <x:c r="B3288" s="79" t="n">
        <x:v>1.386103347259338</x:v>
      </x:c>
      <x:c r="C3288" s="46" t="n">
        <x:f>B3288^2</x:f>
        <x:v>1.921282489283541</x:v>
      </x:c>
      <x:c r="D3288" s="47" t="n">
        <x:f>'Datos'!$B$26^3/3</x:f>
        <x:v>0.3333333333333333</x:v>
      </x:c>
      <x:c r="E3288" s="46" t="n">
        <x:f>D3288*(C3288-1)</x:f>
        <x:v>0.30709416309451365</x:v>
      </x:c>
      <x:c r="F3288" s="2"/>
      <x:c r="G3288" s="2"/>
      <x:c r="H3288" s="2"/>
    </x:row>
    <x:row r="3289" ht="22" customHeight="1">
      <x:c r="A3289" s="2" t="n">
        <x:v>3283</x:v>
      </x:c>
      <x:c r="B3289" s="79" t="n">
        <x:v>3.0090222767002963</x:v>
      </x:c>
      <x:c r="C3289" s="46" t="n">
        <x:f>B3289^2</x:f>
        <x:v>9.054215061678635</x:v>
      </x:c>
      <x:c r="D3289" s="47" t="n">
        <x:f>'Datos'!$B$26^3/3</x:f>
        <x:v>0.3333333333333333</x:v>
      </x:c>
      <x:c r="E3289" s="46" t="n">
        <x:f>D3289*(C3289-1)</x:f>
        <x:v>2.684738353892878</x:v>
      </x:c>
      <x:c r="F3289" s="2"/>
      <x:c r="G3289" s="2"/>
      <x:c r="H3289" s="2"/>
    </x:row>
    <x:row r="3290" ht="22" customHeight="1">
      <x:c r="A3290" s="2" t="n">
        <x:v>3284</x:v>
      </x:c>
      <x:c r="B3290" s="79" t="n">
        <x:v>-0.9644699825689069</x:v>
      </x:c>
      <x:c r="C3290" s="46" t="n">
        <x:f>B3290^2</x:f>
        <x:v>0.9302023472764677</x:v>
      </x:c>
      <x:c r="D3290" s="47" t="n">
        <x:f>'Datos'!$B$26^3/3</x:f>
        <x:v>0.3333333333333333</x:v>
      </x:c>
      <x:c r="E3290" s="46" t="n">
        <x:f>D3290*(C3290-1)</x:f>
        <x:v>-0.023265884241177443</x:v>
      </x:c>
      <x:c r="F3290" s="2"/>
      <x:c r="G3290" s="2"/>
      <x:c r="H3290" s="2"/>
    </x:row>
    <x:row r="3291" ht="22" customHeight="1">
      <x:c r="A3291" s="2" t="n">
        <x:v>3285</x:v>
      </x:c>
      <x:c r="B3291" s="79" t="n">
        <x:v>-0.11454799257974287</x:v>
      </x:c>
      <x:c r="C3291" s="46" t="n">
        <x:f>B3291^2</x:f>
        <x:v>0.013121242604048827</x:v>
      </x:c>
      <x:c r="D3291" s="47" t="n">
        <x:f>'Datos'!$B$26^3/3</x:f>
        <x:v>0.3333333333333333</x:v>
      </x:c>
      <x:c r="E3291" s="46" t="n">
        <x:f>D3291*(C3291-1)</x:f>
        <x:v>-0.32895958579865037</x:v>
      </x:c>
      <x:c r="F3291" s="2"/>
      <x:c r="G3291" s="2"/>
      <x:c r="H3291" s="2"/>
    </x:row>
    <x:row r="3292" ht="22" customHeight="1">
      <x:c r="A3292" s="2" t="n">
        <x:v>3286</x:v>
      </x:c>
      <x:c r="B3292" s="79" t="n">
        <x:v>0.23763134074864387</x:v>
      </x:c>
      <x:c r="C3292" s="46" t="n">
        <x:f>B3292^2</x:f>
        <x:v>0.05646865410599809</x:v>
      </x:c>
      <x:c r="D3292" s="47" t="n">
        <x:f>'Datos'!$B$26^3/3</x:f>
        <x:v>0.3333333333333333</x:v>
      </x:c>
      <x:c r="E3292" s="46" t="n">
        <x:f>D3292*(C3292-1)</x:f>
        <x:v>-0.3145104486313339</x:v>
      </x:c>
      <x:c r="F3292" s="2"/>
      <x:c r="G3292" s="2"/>
      <x:c r="H3292" s="2"/>
    </x:row>
    <x:row r="3293" ht="22" customHeight="1">
      <x:c r="A3293" s="2" t="n">
        <x:v>3287</x:v>
      </x:c>
      <x:c r="B3293" s="79" t="n">
        <x:v>0.26085091476577005</x:v>
      </x:c>
      <x:c r="C3293" s="46" t="n">
        <x:f>B3293^2</x:f>
        <x:v>0.06804319973413903</x:v>
      </x:c>
      <x:c r="D3293" s="47" t="n">
        <x:f>'Datos'!$B$26^3/3</x:f>
        <x:v>0.3333333333333333</x:v>
      </x:c>
      <x:c r="E3293" s="46" t="n">
        <x:f>D3293*(C3293-1)</x:f>
        <x:v>-0.31065226675528695</x:v>
      </x:c>
      <x:c r="F3293" s="2"/>
      <x:c r="G3293" s="2"/>
      <x:c r="H3293" s="2"/>
    </x:row>
    <x:row r="3294" ht="22" customHeight="1">
      <x:c r="A3294" s="2" t="n">
        <x:v>3288</x:v>
      </x:c>
      <x:c r="B3294" s="79" t="n">
        <x:v>-0.884201421683223</x:v>
      </x:c>
      <x:c r="C3294" s="46" t="n">
        <x:f>B3294^2</x:f>
        <x:v>0.7818121541066327</x:v>
      </x:c>
      <x:c r="D3294" s="47" t="n">
        <x:f>'Datos'!$B$26^3/3</x:f>
        <x:v>0.3333333333333333</x:v>
      </x:c>
      <x:c r="E3294" s="46" t="n">
        <x:f>D3294*(C3294-1)</x:f>
        <x:v>-0.07272928196445574</x:v>
      </x:c>
      <x:c r="F3294" s="2"/>
      <x:c r="G3294" s="2"/>
      <x:c r="H3294" s="2"/>
    </x:row>
    <x:row r="3295" ht="22" customHeight="1">
      <x:c r="A3295" s="2" t="n">
        <x:v>3289</x:v>
      </x:c>
      <x:c r="B3295" s="79" t="n">
        <x:v>0.4850205180510689</x:v>
      </x:c>
      <x:c r="C3295" s="46" t="n">
        <x:f>B3295^2</x:f>
        <x:v>0.23524490293052724</x:v>
      </x:c>
      <x:c r="D3295" s="47" t="n">
        <x:f>'Datos'!$B$26^3/3</x:f>
        <x:v>0.3333333333333333</x:v>
      </x:c>
      <x:c r="E3295" s="46" t="n">
        <x:f>D3295*(C3295-1)</x:f>
        <x:v>-0.25491836568982423</x:v>
      </x:c>
      <x:c r="F3295" s="2"/>
      <x:c r="G3295" s="2"/>
      <x:c r="H3295" s="2"/>
    </x:row>
    <x:row r="3296" ht="22" customHeight="1">
      <x:c r="A3296" s="2" t="n">
        <x:v>3290</x:v>
      </x:c>
      <x:c r="B3296" s="79" t="n">
        <x:v>0.8122098133331093</x:v>
      </x:c>
      <x:c r="C3296" s="46" t="n">
        <x:f>B3296^2</x:f>
        <x:v>0.6596847808746042</x:v>
      </x:c>
      <x:c r="D3296" s="47" t="n">
        <x:f>'Datos'!$B$26^3/3</x:f>
        <x:v>0.3333333333333333</x:v>
      </x:c>
      <x:c r="E3296" s="46" t="n">
        <x:f>D3296*(C3296-1)</x:f>
        <x:v>-0.11343840637513192</x:v>
      </x:c>
      <x:c r="F3296" s="2"/>
      <x:c r="G3296" s="2"/>
      <x:c r="H3296" s="2"/>
    </x:row>
    <x:row r="3297" ht="22" customHeight="1">
      <x:c r="A3297" s="2" t="n">
        <x:v>3291</x:v>
      </x:c>
      <x:c r="B3297" s="79" t="n">
        <x:v>0.9630678870444972</x:v>
      </x:c>
      <x:c r="C3297" s="46" t="n">
        <x:f>B3297^2</x:f>
        <x:v>0.9274997550563524</x:v>
      </x:c>
      <x:c r="D3297" s="47" t="n">
        <x:f>'Datos'!$B$26^3/3</x:f>
        <x:v>0.3333333333333333</x:v>
      </x:c>
      <x:c r="E3297" s="46" t="n">
        <x:f>D3297*(C3297-1)</x:f>
        <x:v>-0.024166748314549198</x:v>
      </x:c>
      <x:c r="F3297" s="2"/>
      <x:c r="G3297" s="2"/>
      <x:c r="H3297" s="2"/>
    </x:row>
    <x:row r="3298" ht="22" customHeight="1">
      <x:c r="A3298" s="2" t="n">
        <x:v>3292</x:v>
      </x:c>
      <x:c r="B3298" s="79" t="n">
        <x:v>0.34888818912186587</x:v>
      </x:c>
      <x:c r="C3298" s="46" t="n">
        <x:f>B3298^2</x:f>
        <x:v>0.12172296850873485</x:v>
      </x:c>
      <x:c r="D3298" s="47" t="n">
        <x:f>'Datos'!$B$26^3/3</x:f>
        <x:v>0.3333333333333333</x:v>
      </x:c>
      <x:c r="E3298" s="46" t="n">
        <x:f>D3298*(C3298-1)</x:f>
        <x:v>-0.29275901049708836</x:v>
      </x:c>
      <x:c r="F3298" s="2"/>
      <x:c r="G3298" s="2"/>
      <x:c r="H3298" s="2"/>
    </x:row>
    <x:row r="3299" ht="22" customHeight="1">
      <x:c r="A3299" s="2" t="n">
        <x:v>3293</x:v>
      </x:c>
      <x:c r="B3299" s="79" t="n">
        <x:v>0.40174096434968043</x:v>
      </x:c>
      <x:c r="C3299" s="46" t="n">
        <x:f>B3299^2</x:f>
        <x:v>0.1613958024366112</x:v>
      </x:c>
      <x:c r="D3299" s="47" t="n">
        <x:f>'Datos'!$B$26^3/3</x:f>
        <x:v>0.3333333333333333</x:v>
      </x:c>
      <x:c r="E3299" s="46" t="n">
        <x:f>D3299*(C3299-1)</x:f>
        <x:v>-0.2795347325211296</x:v>
      </x:c>
      <x:c r="F3299" s="2"/>
      <x:c r="G3299" s="2"/>
      <x:c r="H3299" s="2"/>
    </x:row>
    <x:row r="3300" ht="22" customHeight="1">
      <x:c r="A3300" s="2" t="n">
        <x:v>3294</x:v>
      </x:c>
      <x:c r="B3300" s="79" t="n">
        <x:v>-1.1694065063153605</x:v>
      </x:c>
      <x:c r="C3300" s="46" t="n">
        <x:f>B3300^2</x:f>
        <x:v>1.3675115770126973</x:v>
      </x:c>
      <x:c r="D3300" s="47" t="n">
        <x:f>'Datos'!$B$26^3/3</x:f>
        <x:v>0.3333333333333333</x:v>
      </x:c>
      <x:c r="E3300" s="46" t="n">
        <x:f>D3300*(C3300-1)</x:f>
        <x:v>0.12250385900423244</x:v>
      </x:c>
      <x:c r="F3300" s="2"/>
      <x:c r="G3300" s="2"/>
      <x:c r="H3300" s="2"/>
    </x:row>
    <x:row r="3301" ht="22" customHeight="1">
      <x:c r="A3301" s="2" t="n">
        <x:v>3295</x:v>
      </x:c>
      <x:c r="B3301" s="79" t="n">
        <x:v>-0.3328213540715199</x:v>
      </x:c>
      <x:c r="C3301" s="46" t="n">
        <x:f>B3301^2</x:f>
        <x:v>0.11077005372600003</x:v>
      </x:c>
      <x:c r="D3301" s="47" t="n">
        <x:f>'Datos'!$B$26^3/3</x:f>
        <x:v>0.3333333333333333</x:v>
      </x:c>
      <x:c r="E3301" s="46" t="n">
        <x:f>D3301*(C3301-1)</x:f>
        <x:v>-0.2964099820913333</x:v>
      </x:c>
      <x:c r="F3301" s="2"/>
      <x:c r="G3301" s="2"/>
      <x:c r="H3301" s="2"/>
    </x:row>
    <x:row r="3302" ht="22" customHeight="1">
      <x:c r="A3302" s="2" t="n">
        <x:v>3296</x:v>
      </x:c>
      <x:c r="B3302" s="79" t="n">
        <x:v>0.7801308568460587</x:v>
      </x:c>
      <x:c r="C3302" s="46" t="n">
        <x:f>B3302^2</x:f>
        <x:v>0.6086041538033656</x:v>
      </x:c>
      <x:c r="D3302" s="47" t="n">
        <x:f>'Datos'!$B$26^3/3</x:f>
        <x:v>0.3333333333333333</x:v>
      </x:c>
      <x:c r="E3302" s="46" t="n">
        <x:f>D3302*(C3302-1)</x:f>
        <x:v>-0.13046528206554478</x:v>
      </x:c>
      <x:c r="F3302" s="2"/>
      <x:c r="G3302" s="2"/>
      <x:c r="H3302" s="2"/>
    </x:row>
    <x:row r="3303" ht="22" customHeight="1">
      <x:c r="A3303" s="2" t="n">
        <x:v>3297</x:v>
      </x:c>
      <x:c r="B3303" s="79" t="n">
        <x:v>-1.592905701102347</x:v>
      </x:c>
      <x:c r="C3303" s="46" t="n">
        <x:f>B3303^2</x:f>
        <x:v>2.53734857260436</x:v>
      </x:c>
      <x:c r="D3303" s="47" t="n">
        <x:f>'Datos'!$B$26^3/3</x:f>
        <x:v>0.3333333333333333</x:v>
      </x:c>
      <x:c r="E3303" s="46" t="n">
        <x:f>D3303*(C3303-1)</x:f>
        <x:v>0.5124495242014533</x:v>
      </x:c>
      <x:c r="F3303" s="2"/>
      <x:c r="G3303" s="2"/>
      <x:c r="H3303" s="2"/>
    </x:row>
    <x:row r="3304" ht="22" customHeight="1">
      <x:c r="A3304" s="2" t="n">
        <x:v>3298</x:v>
      </x:c>
      <x:c r="B3304" s="79" t="n">
        <x:v>-0.07630220496784318</x:v>
      </x:c>
      <x:c r="C3304" s="46" t="n">
        <x:f>B3304^2</x:f>
        <x:v>0.005822026482954753</x:v>
      </x:c>
      <x:c r="D3304" s="47" t="n">
        <x:f>'Datos'!$B$26^3/3</x:f>
        <x:v>0.3333333333333333</x:v>
      </x:c>
      <x:c r="E3304" s="46" t="n">
        <x:f>D3304*(C3304-1)</x:f>
        <x:v>-0.33139265783901506</x:v>
      </x:c>
      <x:c r="F3304" s="2"/>
      <x:c r="G3304" s="2"/>
      <x:c r="H3304" s="2"/>
    </x:row>
    <x:row r="3305" ht="22" customHeight="1">
      <x:c r="A3305" s="2" t="n">
        <x:v>3299</x:v>
      </x:c>
      <x:c r="B3305" s="79" t="n">
        <x:v>-0.9454380208291311</x:v>
      </x:c>
      <x:c r="C3305" s="46" t="n">
        <x:f>B3305^2</x:f>
        <x:v>0.8938530512293045</x:v>
      </x:c>
      <x:c r="D3305" s="47" t="n">
        <x:f>'Datos'!$B$26^3/3</x:f>
        <x:v>0.3333333333333333</x:v>
      </x:c>
      <x:c r="E3305" s="46" t="n">
        <x:f>D3305*(C3305-1)</x:f>
        <x:v>-0.035382316256898506</x:v>
      </x:c>
      <x:c r="F3305" s="2"/>
      <x:c r="G3305" s="2"/>
      <x:c r="H3305" s="2"/>
    </x:row>
    <x:row r="3306" ht="22" customHeight="1">
      <x:c r="A3306" s="2" t="n">
        <x:v>3300</x:v>
      </x:c>
      <x:c r="B3306" s="79" t="n">
        <x:v>-1.2330985507195944</x:v>
      </x:c>
      <x:c r="C3306" s="46" t="n">
        <x:f>B3306^2</x:f>
        <x:v>1.5205320357867642</x:v>
      </x:c>
      <x:c r="D3306" s="47" t="n">
        <x:f>'Datos'!$B$26^3/3</x:f>
        <x:v>0.3333333333333333</x:v>
      </x:c>
      <x:c r="E3306" s="46" t="n">
        <x:f>D3306*(C3306-1)</x:f>
        <x:v>0.17351067859558805</x:v>
      </x:c>
      <x:c r="F3306" s="2"/>
      <x:c r="G3306" s="2"/>
      <x:c r="H3306" s="2"/>
    </x:row>
    <x:row r="3307" ht="22" customHeight="1">
      <x:c r="A3307" s="2" t="n">
        <x:v>3301</x:v>
      </x:c>
      <x:c r="B3307" s="79" t="n">
        <x:v>0.21823828976593262</x:v>
      </x:c>
      <x:c r="C3307" s="46" t="n">
        <x:f>B3307^2</x:f>
        <x:v>0.04762795111995917</x:v>
      </x:c>
      <x:c r="D3307" s="47" t="n">
        <x:f>'Datos'!$B$26^3/3</x:f>
        <x:v>0.3333333333333333</x:v>
      </x:c>
      <x:c r="E3307" s="46" t="n">
        <x:f>D3307*(C3307-1)</x:f>
        <x:v>-0.31745734962668026</x:v>
      </x:c>
      <x:c r="F3307" s="2"/>
      <x:c r="G3307" s="2"/>
      <x:c r="H3307" s="2"/>
    </x:row>
    <x:row r="3308" ht="22" customHeight="1">
      <x:c r="A3308" s="2" t="n">
        <x:v>3302</x:v>
      </x:c>
      <x:c r="B3308" s="79" t="n">
        <x:v>-1.8528881387738154</x:v>
      </x:c>
      <x:c r="C3308" s="46" t="n">
        <x:f>B3308^2</x:f>
        <x:v>3.4331944548086937</x:v>
      </x:c>
      <x:c r="D3308" s="47" t="n">
        <x:f>'Datos'!$B$26^3/3</x:f>
        <x:v>0.3333333333333333</x:v>
      </x:c>
      <x:c r="E3308" s="46" t="n">
        <x:f>D3308*(C3308-1)</x:f>
        <x:v>0.8110648182695646</x:v>
      </x:c>
      <x:c r="F3308" s="2"/>
      <x:c r="G3308" s="2"/>
      <x:c r="H3308" s="2"/>
    </x:row>
    <x:row r="3309" ht="22" customHeight="1">
      <x:c r="A3309" s="2" t="n">
        <x:v>3303</x:v>
      </x:c>
      <x:c r="B3309" s="79" t="n">
        <x:v>0.18766105496522617</x:v>
      </x:c>
      <x:c r="C3309" s="46" t="n">
        <x:f>B3309^2</x:f>
        <x:v>0.03521667155066164</x:v>
      </x:c>
      <x:c r="D3309" s="47" t="n">
        <x:f>'Datos'!$B$26^3/3</x:f>
        <x:v>0.3333333333333333</x:v>
      </x:c>
      <x:c r="E3309" s="46" t="n">
        <x:f>D3309*(C3309-1)</x:f>
        <x:v>-0.3215944428164461</x:v>
      </x:c>
      <x:c r="F3309" s="2"/>
      <x:c r="G3309" s="2"/>
      <x:c r="H3309" s="2"/>
    </x:row>
    <x:row r="3310" ht="22" customHeight="1">
      <x:c r="A3310" s="2" t="n">
        <x:v>3304</x:v>
      </x:c>
      <x:c r="B3310" s="79" t="n">
        <x:v>-0.1760558415801477</x:v>
      </x:c>
      <x:c r="C3310" s="46" t="n">
        <x:f>B3310^2</x:f>
        <x:v>0.030995659354494064</x:v>
      </x:c>
      <x:c r="D3310" s="47" t="n">
        <x:f>'Datos'!$B$26^3/3</x:f>
        <x:v>0.3333333333333333</x:v>
      </x:c>
      <x:c r="E3310" s="46" t="n">
        <x:f>D3310*(C3310-1)</x:f>
        <x:v>-0.3230014468818353</x:v>
      </x:c>
      <x:c r="F3310" s="2"/>
      <x:c r="G3310" s="2"/>
      <x:c r="H3310" s="2"/>
    </x:row>
    <x:row r="3311" ht="22" customHeight="1">
      <x:c r="A3311" s="2" t="n">
        <x:v>3305</x:v>
      </x:c>
      <x:c r="B3311" s="79" t="n">
        <x:v>-1.6413925049473237</x:v>
      </x:c>
      <x:c r="C3311" s="46" t="n">
        <x:f>B3311^2</x:f>
        <x:v>2.69416935529725</x:v>
      </x:c>
      <x:c r="D3311" s="47" t="n">
        <x:f>'Datos'!$B$26^3/3</x:f>
        <x:v>0.3333333333333333</x:v>
      </x:c>
      <x:c r="E3311" s="46" t="n">
        <x:f>D3311*(C3311-1)</x:f>
        <x:v>0.5647231184324166</x:v>
      </x:c>
      <x:c r="F3311" s="2"/>
      <x:c r="G3311" s="2"/>
      <x:c r="H3311" s="2"/>
    </x:row>
    <x:row r="3312" ht="22" customHeight="1">
      <x:c r="A3312" s="2" t="n">
        <x:v>3306</x:v>
      </x:c>
      <x:c r="B3312" s="79" t="n">
        <x:v>-0.773470317538301</x:v>
      </x:c>
      <x:c r="C3312" s="46" t="n">
        <x:f>B3312^2</x:f>
        <x:v>0.5982563321128002</x:v>
      </x:c>
      <x:c r="D3312" s="47" t="n">
        <x:f>'Datos'!$B$26^3/3</x:f>
        <x:v>0.3333333333333333</x:v>
      </x:c>
      <x:c r="E3312" s="46" t="n">
        <x:f>D3312*(C3312-1)</x:f>
        <x:v>-0.13391455596239993</x:v>
      </x:c>
      <x:c r="F3312" s="2"/>
      <x:c r="G3312" s="2"/>
      <x:c r="H3312" s="2"/>
    </x:row>
    <x:row r="3313" ht="22" customHeight="1">
      <x:c r="A3313" s="2" t="n">
        <x:v>3307</x:v>
      </x:c>
      <x:c r="B3313" s="79" t="n">
        <x:v>-0.8210438096251991</x:v>
      </x:c>
      <x:c r="C3313" s="46" t="n">
        <x:f>B3313^2</x:f>
        <x:v>0.6741129373238601</x:v>
      </x:c>
      <x:c r="D3313" s="47" t="n">
        <x:f>'Datos'!$B$26^3/3</x:f>
        <x:v>0.3333333333333333</x:v>
      </x:c>
      <x:c r="E3313" s="46" t="n">
        <x:f>D3313*(C3313-1)</x:f>
        <x:v>-0.10862902089204662</x:v>
      </x:c>
      <x:c r="F3313" s="2"/>
      <x:c r="G3313" s="2"/>
      <x:c r="H3313" s="2"/>
    </x:row>
    <x:row r="3314" ht="22" customHeight="1">
      <x:c r="A3314" s="2" t="n">
        <x:v>3308</x:v>
      </x:c>
      <x:c r="B3314" s="79" t="n">
        <x:v>-0.35992794810911766</x:v>
      </x:c>
      <x:c r="C3314" s="46" t="n">
        <x:f>B3314^2</x:f>
        <x:v>0.1295481278300397</x:v>
      </x:c>
      <x:c r="D3314" s="47" t="n">
        <x:f>'Datos'!$B$26^3/3</x:f>
        <x:v>0.3333333333333333</x:v>
      </x:c>
      <x:c r="E3314" s="46" t="n">
        <x:f>D3314*(C3314-1)</x:f>
        <x:v>-0.29015062405665343</x:v>
      </x:c>
      <x:c r="F3314" s="2"/>
      <x:c r="G3314" s="2"/>
      <x:c r="H3314" s="2"/>
    </x:row>
    <x:row r="3315" ht="22" customHeight="1">
      <x:c r="A3315" s="2" t="n">
        <x:v>3309</x:v>
      </x:c>
      <x:c r="B3315" s="79" t="n">
        <x:v>0.8841192235695985</x:v>
      </x:c>
      <x:c r="C3315" s="46" t="n">
        <x:f>B3315^2</x:f>
        <x:v>0.7816668014853096</x:v>
      </x:c>
      <x:c r="D3315" s="47" t="n">
        <x:f>'Datos'!$B$26^3/3</x:f>
        <x:v>0.3333333333333333</x:v>
      </x:c>
      <x:c r="E3315" s="46" t="n">
        <x:f>D3315*(C3315-1)</x:f>
        <x:v>-0.07277773283823011</x:v>
      </x:c>
      <x:c r="F3315" s="2"/>
      <x:c r="G3315" s="2"/>
      <x:c r="H3315" s="2"/>
    </x:row>
    <x:row r="3316" ht="22" customHeight="1">
      <x:c r="A3316" s="2" t="n">
        <x:v>3310</x:v>
      </x:c>
      <x:c r="B3316" s="79" t="n">
        <x:v>1.01087213415218</x:v>
      </x:c>
      <x:c r="C3316" s="46" t="n">
        <x:f>B3316^2</x:f>
        <x:v>1.021862471605383</x:v>
      </x:c>
      <x:c r="D3316" s="47" t="n">
        <x:f>'Datos'!$B$26^3/3</x:f>
        <x:v>0.3333333333333333</x:v>
      </x:c>
      <x:c r="E3316" s="46" t="n">
        <x:f>D3316*(C3316-1)</x:f>
        <x:v>0.007287490535127672</x:v>
      </x:c>
      <x:c r="F3316" s="2"/>
      <x:c r="G3316" s="2"/>
      <x:c r="H3316" s="2"/>
    </x:row>
    <x:row r="3317" ht="22" customHeight="1">
      <x:c r="A3317" s="2" t="n">
        <x:v>3311</x:v>
      </x:c>
      <x:c r="B3317" s="79" t="n">
        <x:v>-0.14015161915769786</x:v>
      </x:c>
      <x:c r="C3317" s="46" t="n">
        <x:f>B3317^2</x:f>
        <x:v>0.01964247635252438</x:v>
      </x:c>
      <x:c r="D3317" s="47" t="n">
        <x:f>'Datos'!$B$26^3/3</x:f>
        <x:v>0.3333333333333333</x:v>
      </x:c>
      <x:c r="E3317" s="46" t="n">
        <x:f>D3317*(C3317-1)</x:f>
        <x:v>-0.3267858412158252</x:v>
      </x:c>
      <x:c r="F3317" s="2"/>
      <x:c r="G3317" s="2"/>
      <x:c r="H3317" s="2"/>
    </x:row>
    <x:row r="3318" ht="22" customHeight="1">
      <x:c r="A3318" s="2" t="n">
        <x:v>3312</x:v>
      </x:c>
      <x:c r="B3318" s="79" t="n">
        <x:v>-1.2870477450192745</x:v>
      </x:c>
      <x:c r="C3318" s="46" t="n">
        <x:f>B3318^2</x:f>
        <x:v>1.6564918979591996</x:v>
      </x:c>
      <x:c r="D3318" s="47" t="n">
        <x:f>'Datos'!$B$26^3/3</x:f>
        <x:v>0.3333333333333333</x:v>
      </x:c>
      <x:c r="E3318" s="46" t="n">
        <x:f>D3318*(C3318-1)</x:f>
        <x:v>0.21883063265306651</x:v>
      </x:c>
      <x:c r="F3318" s="2"/>
      <x:c r="G3318" s="2"/>
      <x:c r="H3318" s="2"/>
    </x:row>
    <x:row r="3319" ht="22" customHeight="1">
      <x:c r="A3319" s="2" t="n">
        <x:v>3313</x:v>
      </x:c>
      <x:c r="B3319" s="79" t="n">
        <x:v>-1.5542374994478156</x:v>
      </x:c>
      <x:c r="C3319" s="46" t="n">
        <x:f>B3319^2</x:f>
        <x:v>2.415654204689799</x:v>
      </x:c>
      <x:c r="D3319" s="47" t="n">
        <x:f>'Datos'!$B$26^3/3</x:f>
        <x:v>0.3333333333333333</x:v>
      </x:c>
      <x:c r="E3319" s="46" t="n">
        <x:f>D3319*(C3319-1)</x:f>
        <x:v>0.4718847348965996</x:v>
      </x:c>
      <x:c r="F3319" s="2"/>
      <x:c r="G3319" s="2"/>
      <x:c r="H3319" s="2"/>
    </x:row>
    <x:row r="3320" ht="22" customHeight="1">
      <x:c r="A3320" s="2" t="n">
        <x:v>3314</x:v>
      </x:c>
      <x:c r="B3320" s="79" t="n">
        <x:v>-1.4432520496439065</x:v>
      </x:c>
      <x:c r="C3320" s="46" t="n">
        <x:f>B3320^2</x:f>
        <x:v>2.082976478801337</x:v>
      </x:c>
      <x:c r="D3320" s="47" t="n">
        <x:f>'Datos'!$B$26^3/3</x:f>
        <x:v>0.3333333333333333</x:v>
      </x:c>
      <x:c r="E3320" s="46" t="n">
        <x:f>D3320*(C3320-1)</x:f>
        <x:v>0.36099215960044573</x:v>
      </x:c>
      <x:c r="F3320" s="2"/>
      <x:c r="G3320" s="2"/>
      <x:c r="H3320" s="2"/>
    </x:row>
    <x:row r="3321" ht="22" customHeight="1">
      <x:c r="A3321" s="2" t="n">
        <x:v>3315</x:v>
      </x:c>
      <x:c r="B3321" s="79" t="n">
        <x:v>-1.3745553682276688</x:v>
      </x:c>
      <x:c r="C3321" s="46" t="n">
        <x:f>B3321^2</x:f>
        <x:v>1.889402460323502</x:v>
      </x:c>
      <x:c r="D3321" s="47" t="n">
        <x:f>'Datos'!$B$26^3/3</x:f>
        <x:v>0.3333333333333333</x:v>
      </x:c>
      <x:c r="E3321" s="46" t="n">
        <x:f>D3321*(C3321-1)</x:f>
        <x:v>0.29646748677450063</x:v>
      </x:c>
      <x:c r="F3321" s="2"/>
      <x:c r="G3321" s="2"/>
      <x:c r="H3321" s="2"/>
    </x:row>
    <x:row r="3322" ht="22" customHeight="1">
      <x:c r="A3322" s="2" t="n">
        <x:v>3316</x:v>
      </x:c>
      <x:c r="B3322" s="79" t="n">
        <x:v>-0.146063170478555</x:v>
      </x:c>
      <x:c r="C3322" s="46" t="n">
        <x:f>B3322^2</x:f>
        <x:v>0.02133444977024742</x:v>
      </x:c>
      <x:c r="D3322" s="47" t="n">
        <x:f>'Datos'!$B$26^3/3</x:f>
        <x:v>0.3333333333333333</x:v>
      </x:c>
      <x:c r="E3322" s="46" t="n">
        <x:f>D3322*(C3322-1)</x:f>
        <x:v>-0.32622185007658416</x:v>
      </x:c>
      <x:c r="F3322" s="2"/>
      <x:c r="G3322" s="2"/>
      <x:c r="H3322" s="2"/>
    </x:row>
    <x:row r="3323" ht="22" customHeight="1">
      <x:c r="A3323" s="2" t="n">
        <x:v>3317</x:v>
      </x:c>
      <x:c r="B3323" s="79" t="n">
        <x:v>-0.5392838610221187</x:v>
      </x:c>
      <x:c r="C3323" s="46" t="n">
        <x:f>B3323^2</x:f>
        <x:v>0.2908270827589238</x:v>
      </x:c>
      <x:c r="D3323" s="47" t="n">
        <x:f>'Datos'!$B$26^3/3</x:f>
        <x:v>0.3333333333333333</x:v>
      </x:c>
      <x:c r="E3323" s="46" t="n">
        <x:f>D3323*(C3323-1)</x:f>
        <x:v>-0.23639097241369203</x:v>
      </x:c>
      <x:c r="F3323" s="2"/>
      <x:c r="G3323" s="2"/>
      <x:c r="H3323" s="2"/>
    </x:row>
    <x:row r="3324" ht="22" customHeight="1">
      <x:c r="A3324" s="2" t="n">
        <x:v>3318</x:v>
      </x:c>
      <x:c r="B3324" s="79" t="n">
        <x:v>0.4305400529050623</x:v>
      </x:c>
      <x:c r="C3324" s="46" t="n">
        <x:f>B3324^2</x:f>
        <x:v>0.18536473715549384</x:v>
      </x:c>
      <x:c r="D3324" s="47" t="n">
        <x:f>'Datos'!$B$26^3/3</x:f>
        <x:v>0.3333333333333333</x:v>
      </x:c>
      <x:c r="E3324" s="46" t="n">
        <x:f>D3324*(C3324-1)</x:f>
        <x:v>-0.27154508761483537</x:v>
      </x:c>
      <x:c r="F3324" s="2"/>
      <x:c r="G3324" s="2"/>
      <x:c r="H3324" s="2"/>
    </x:row>
    <x:row r="3325" ht="22" customHeight="1">
      <x:c r="A3325" s="2" t="n">
        <x:v>3319</x:v>
      </x:c>
      <x:c r="B3325" s="79" t="n">
        <x:v>0.13922347015359993</x:v>
      </x:c>
      <x:c r="C3325" s="46" t="n">
        <x:f>B3325^2</x:f>
        <x:v>0.01938317464161033</x:v>
      </x:c>
      <x:c r="D3325" s="47" t="n">
        <x:f>'Datos'!$B$26^3/3</x:f>
        <x:v>0.3333333333333333</x:v>
      </x:c>
      <x:c r="E3325" s="46" t="n">
        <x:f>D3325*(C3325-1)</x:f>
        <x:v>-0.3268722751194632</x:v>
      </x:c>
      <x:c r="F3325" s="2"/>
      <x:c r="G3325" s="2"/>
      <x:c r="H3325" s="2"/>
    </x:row>
    <x:row r="3326" ht="22" customHeight="1">
      <x:c r="A3326" s="2" t="n">
        <x:v>3320</x:v>
      </x:c>
      <x:c r="B3326" s="79" t="n">
        <x:v>0.8549928410364798</x:v>
      </x:c>
      <x:c r="C3326" s="46" t="n">
        <x:f>B3326^2</x:f>
        <x:v>0.7310127582236312</x:v>
      </x:c>
      <x:c r="D3326" s="47" t="n">
        <x:f>'Datos'!$B$26^3/3</x:f>
        <x:v>0.3333333333333333</x:v>
      </x:c>
      <x:c r="E3326" s="46" t="n">
        <x:f>D3326*(C3326-1)</x:f>
        <x:v>-0.08966241392545626</x:v>
      </x:c>
      <x:c r="F3326" s="2"/>
      <x:c r="G3326" s="2"/>
      <x:c r="H3326" s="2"/>
    </x:row>
    <x:row r="3327" ht="22" customHeight="1">
      <x:c r="A3327" s="2" t="n">
        <x:v>3321</x:v>
      </x:c>
      <x:c r="B3327" s="79" t="n">
        <x:v>-2.3419991524967956</x:v>
      </x:c>
      <x:c r="C3327" s="46" t="n">
        <x:f>B3327^2</x:f>
        <x:v>5.484960030295709</x:v>
      </x:c>
      <x:c r="D3327" s="47" t="n">
        <x:f>'Datos'!$B$26^3/3</x:f>
        <x:v>0.3333333333333333</x:v>
      </x:c>
      <x:c r="E3327" s="46" t="n">
        <x:f>D3327*(C3327-1)</x:f>
        <x:v>1.4949866767652362</x:v>
      </x:c>
      <x:c r="F3327" s="2"/>
      <x:c r="G3327" s="2"/>
      <x:c r="H3327" s="2"/>
    </x:row>
    <x:row r="3328" ht="22" customHeight="1">
      <x:c r="A3328" s="2" t="n">
        <x:v>3322</x:v>
      </x:c>
      <x:c r="B3328" s="79" t="n">
        <x:v>1.6470322015185828</x:v>
      </x:c>
      <x:c r="C3328" s="46" t="n">
        <x:f>B3328^2</x:f>
        <x:v>2.7127150728391496</x:v>
      </x:c>
      <x:c r="D3328" s="47" t="n">
        <x:f>'Datos'!$B$26^3/3</x:f>
        <x:v>0.3333333333333333</x:v>
      </x:c>
      <x:c r="E3328" s="46" t="n">
        <x:f>D3328*(C3328-1)</x:f>
        <x:v>0.5709050242797165</x:v>
      </x:c>
      <x:c r="F3328" s="2"/>
      <x:c r="G3328" s="2"/>
      <x:c r="H3328" s="2"/>
    </x:row>
    <x:row r="3329" ht="22" customHeight="1">
      <x:c r="A3329" s="2" t="n">
        <x:v>3323</x:v>
      </x:c>
      <x:c r="B3329" s="79" t="n">
        <x:v>-1.7909655957298976</x:v>
      </x:c>
      <x:c r="C3329" s="46" t="n">
        <x:f>B3329^2</x:f>
        <x:v>3.207557765088147</x:v>
      </x:c>
      <x:c r="D3329" s="47" t="n">
        <x:f>'Datos'!$B$26^3/3</x:f>
        <x:v>0.3333333333333333</x:v>
      </x:c>
      <x:c r="E3329" s="46" t="n">
        <x:f>D3329*(C3329-1)</x:f>
        <x:v>0.7358525883627156</x:v>
      </x:c>
      <x:c r="F3329" s="2"/>
      <x:c r="G3329" s="2"/>
      <x:c r="H3329" s="2"/>
    </x:row>
    <x:row r="3330" ht="22" customHeight="1">
      <x:c r="A3330" s="2" t="n">
        <x:v>3324</x:v>
      </x:c>
      <x:c r="B3330" s="79" t="n">
        <x:v>-0.7651686435396934</x:v>
      </x:c>
      <x:c r="C3330" s="46" t="n">
        <x:f>B3330^2</x:f>
        <x:v>0.5854830530563744</x:v>
      </x:c>
      <x:c r="D3330" s="47" t="n">
        <x:f>'Datos'!$B$26^3/3</x:f>
        <x:v>0.3333333333333333</x:v>
      </x:c>
      <x:c r="E3330" s="46" t="n">
        <x:f>D3330*(C3330-1)</x:f>
        <x:v>-0.1381723156478752</x:v>
      </x:c>
      <x:c r="F3330" s="2"/>
      <x:c r="G3330" s="2"/>
      <x:c r="H3330" s="2"/>
    </x:row>
    <x:row r="3331" ht="22" customHeight="1">
      <x:c r="A3331" s="2" t="n">
        <x:v>3325</x:v>
      </x:c>
      <x:c r="B3331" s="79" t="n">
        <x:v>-0.23448013638498397</x:v>
      </x:c>
      <x:c r="C3331" s="46" t="n">
        <x:f>B3331^2</x:f>
        <x:v>0.05498093435912068</x:v>
      </x:c>
      <x:c r="D3331" s="47" t="n">
        <x:f>'Datos'!$B$26^3/3</x:f>
        <x:v>0.3333333333333333</x:v>
      </x:c>
      <x:c r="E3331" s="46" t="n">
        <x:f>D3331*(C3331-1)</x:f>
        <x:v>-0.3150063552136264</x:v>
      </x:c>
      <x:c r="F3331" s="2"/>
      <x:c r="G3331" s="2"/>
      <x:c r="H3331" s="2"/>
    </x:row>
    <x:row r="3332" ht="22" customHeight="1">
      <x:c r="A3332" s="2" t="n">
        <x:v>3326</x:v>
      </x:c>
      <x:c r="B3332" s="79" t="n">
        <x:v>0.0785103065478114</x:v>
      </x:c>
      <x:c r="C3332" s="46" t="n">
        <x:f>B3332^2</x:f>
        <x:v>0.006163868234231317</x:v>
      </x:c>
      <x:c r="D3332" s="47" t="n">
        <x:f>'Datos'!$B$26^3/3</x:f>
        <x:v>0.3333333333333333</x:v>
      </x:c>
      <x:c r="E3332" s="46" t="n">
        <x:f>D3332*(C3332-1)</x:f>
        <x:v>-0.33127871058858954</x:v>
      </x:c>
      <x:c r="F3332" s="2"/>
      <x:c r="G3332" s="2"/>
      <x:c r="H3332" s="2"/>
    </x:row>
    <x:row r="3333" ht="22" customHeight="1">
      <x:c r="A3333" s="2" t="n">
        <x:v>3327</x:v>
      </x:c>
      <x:c r="B3333" s="79" t="n">
        <x:v>0.2912623399171903</x:v>
      </x:c>
      <x:c r="C3333" s="46" t="n">
        <x:f>B3333^2</x:f>
        <x:v>0.08483375065403691</x:v>
      </x:c>
      <x:c r="D3333" s="47" t="n">
        <x:f>'Datos'!$B$26^3/3</x:f>
        <x:v>0.3333333333333333</x:v>
      </x:c>
      <x:c r="E3333" s="46" t="n">
        <x:f>D3333*(C3333-1)</x:f>
        <x:v>-0.30505541644865436</x:v>
      </x:c>
      <x:c r="F3333" s="2"/>
      <x:c r="G3333" s="2"/>
      <x:c r="H3333" s="2"/>
    </x:row>
    <x:row r="3334" ht="22" customHeight="1">
      <x:c r="A3334" s="2" t="n">
        <x:v>3328</x:v>
      </x:c>
      <x:c r="B3334" s="79" t="n">
        <x:v>-0.9485282420649209</x:v>
      </x:c>
      <x:c r="C3334" s="46" t="n">
        <x:f>B3334^2</x:f>
        <x:v>0.8997058259947692</x:v>
      </x:c>
      <x:c r="D3334" s="47" t="n">
        <x:f>'Datos'!$B$26^3/3</x:f>
        <x:v>0.3333333333333333</x:v>
      </x:c>
      <x:c r="E3334" s="46" t="n">
        <x:f>D3334*(C3334-1)</x:f>
        <x:v>-0.03343139133507692</x:v>
      </x:c>
      <x:c r="F3334" s="2"/>
      <x:c r="G3334" s="2"/>
      <x:c r="H3334" s="2"/>
    </x:row>
    <x:row r="3335" ht="22" customHeight="1">
      <x:c r="A3335" s="2" t="n">
        <x:v>3329</x:v>
      </x:c>
      <x:c r="B3335" s="79" t="n">
        <x:v>-0.3758131621099161</x:v>
      </x:c>
      <x:c r="C3335" s="46" t="n">
        <x:f>B3335^2</x:f>
        <x:v>0.14123553281505408</x:v>
      </x:c>
      <x:c r="D3335" s="47" t="n">
        <x:f>'Datos'!$B$26^3/3</x:f>
        <x:v>0.3333333333333333</x:v>
      </x:c>
      <x:c r="E3335" s="46" t="n">
        <x:f>D3335*(C3335-1)</x:f>
        <x:v>-0.28625482239498196</x:v>
      </x:c>
      <x:c r="F3335" s="2"/>
      <x:c r="G3335" s="2"/>
      <x:c r="H3335" s="2"/>
    </x:row>
    <x:row r="3336" ht="22" customHeight="1">
      <x:c r="A3336" s="2" t="n">
        <x:v>3330</x:v>
      </x:c>
      <x:c r="B3336" s="79" t="n">
        <x:v>0.17656315159970737</x:v>
      </x:c>
      <x:c r="C3336" s="46" t="n">
        <x:f>B3336^2</x:f>
        <x:v>0.031174546502821247</x:v>
      </x:c>
      <x:c r="D3336" s="47" t="n">
        <x:f>'Datos'!$B$26^3/3</x:f>
        <x:v>0.3333333333333333</x:v>
      </x:c>
      <x:c r="E3336" s="46" t="n">
        <x:f>D3336*(C3336-1)</x:f>
        <x:v>-0.3229418178323929</x:v>
      </x:c>
      <x:c r="F3336" s="2"/>
      <x:c r="G3336" s="2"/>
      <x:c r="H3336" s="2"/>
    </x:row>
    <x:row r="3337" ht="22" customHeight="1">
      <x:c r="A3337" s="2" t="n">
        <x:v>3331</x:v>
      </x:c>
      <x:c r="B3337" s="79" t="n">
        <x:v>0.8689145341594134</x:v>
      </x:c>
      <x:c r="C3337" s="46" t="n">
        <x:f>B3337^2</x:f>
        <x:v>0.7550124676734705</x:v>
      </x:c>
      <x:c r="D3337" s="47" t="n">
        <x:f>'Datos'!$B$26^3/3</x:f>
        <x:v>0.3333333333333333</x:v>
      </x:c>
      <x:c r="E3337" s="46" t="n">
        <x:f>D3337*(C3337-1)</x:f>
        <x:v>-0.08166251077550982</x:v>
      </x:c>
      <x:c r="F3337" s="2"/>
      <x:c r="G3337" s="2"/>
      <x:c r="H3337" s="2"/>
    </x:row>
    <x:row r="3338" ht="22" customHeight="1">
      <x:c r="A3338" s="2" t="n">
        <x:v>3332</x:v>
      </x:c>
      <x:c r="B3338" s="79" t="n">
        <x:v>-0.680389376811421</x:v>
      </x:c>
      <x:c r="C3338" s="46" t="n">
        <x:f>B3338^2</x:f>
        <x:v>0.4629297040778338</x:v>
      </x:c>
      <x:c r="D3338" s="47" t="n">
        <x:f>'Datos'!$B$26^3/3</x:f>
        <x:v>0.3333333333333333</x:v>
      </x:c>
      <x:c r="E3338" s="46" t="n">
        <x:f>D3338*(C3338-1)</x:f>
        <x:v>-0.1790234319740554</x:v>
      </x:c>
      <x:c r="F3338" s="2"/>
      <x:c r="G3338" s="2"/>
      <x:c r="H3338" s="2"/>
    </x:row>
    <x:row r="3339" ht="22" customHeight="1">
      <x:c r="A3339" s="2" t="n">
        <x:v>3333</x:v>
      </x:c>
      <x:c r="B3339" s="79" t="n">
        <x:v>-0.7172333444412878</x:v>
      </x:c>
      <x:c r="C3339" s="46" t="n">
        <x:f>B3339^2</x:f>
        <x:v>0.5144236703784351</x:v>
      </x:c>
      <x:c r="D3339" s="47" t="n">
        <x:f>'Datos'!$B$26^3/3</x:f>
        <x:v>0.3333333333333333</x:v>
      </x:c>
      <x:c r="E3339" s="46" t="n">
        <x:f>D3339*(C3339-1)</x:f>
        <x:v>-0.16185877654052164</x:v>
      </x:c>
      <x:c r="F3339" s="2"/>
      <x:c r="G3339" s="2"/>
      <x:c r="H3339" s="2"/>
    </x:row>
    <x:row r="3340" ht="22" customHeight="1">
      <x:c r="A3340" s="2" t="n">
        <x:v>3334</x:v>
      </x:c>
      <x:c r="B3340" s="79" t="n">
        <x:v>1.5384649806054975</x:v>
      </x:c>
      <x:c r="C3340" s="46" t="n">
        <x:f>B3340^2</x:f>
        <x:v>2.3668744965494737</x:v>
      </x:c>
      <x:c r="D3340" s="47" t="n">
        <x:f>'Datos'!$B$26^3/3</x:f>
        <x:v>0.3333333333333333</x:v>
      </x:c>
      <x:c r="E3340" s="46" t="n">
        <x:f>D3340*(C3340-1)</x:f>
        <x:v>0.45562483218315786</x:v>
      </x:c>
      <x:c r="F3340" s="2"/>
      <x:c r="G3340" s="2"/>
      <x:c r="H3340" s="2"/>
    </x:row>
    <x:row r="3341" ht="22" customHeight="1">
      <x:c r="A3341" s="2" t="n">
        <x:v>3335</x:v>
      </x:c>
      <x:c r="B3341" s="79" t="n">
        <x:v>1.8399374395368595</x:v>
      </x:c>
      <x:c r="C3341" s="46" t="n">
        <x:f>B3341^2</x:f>
        <x:v>3.3853697814094543</x:v>
      </x:c>
      <x:c r="D3341" s="47" t="n">
        <x:f>'Datos'!$B$26^3/3</x:f>
        <x:v>0.3333333333333333</x:v>
      </x:c>
      <x:c r="E3341" s="46" t="n">
        <x:f>D3341*(C3341-1)</x:f>
        <x:v>0.7951232604698181</x:v>
      </x:c>
      <x:c r="F3341" s="2"/>
      <x:c r="G3341" s="2"/>
      <x:c r="H3341" s="2"/>
    </x:row>
    <x:row r="3342" ht="22" customHeight="1">
      <x:c r="A3342" s="2" t="n">
        <x:v>3336</x:v>
      </x:c>
      <x:c r="B3342" s="79" t="n">
        <x:v>-0.18122138513215794</x:v>
      </x:c>
      <x:c r="C3342" s="46" t="n">
        <x:f>B3342^2</x:f>
        <x:v>0.03284119042921791</x:v>
      </x:c>
      <x:c r="D3342" s="47" t="n">
        <x:f>'Datos'!$B$26^3/3</x:f>
        <x:v>0.3333333333333333</x:v>
      </x:c>
      <x:c r="E3342" s="46" t="n">
        <x:f>D3342*(C3342-1)</x:f>
        <x:v>-0.3223862698569273</x:v>
      </x:c>
      <x:c r="F3342" s="2"/>
      <x:c r="G3342" s="2"/>
      <x:c r="H3342" s="2"/>
    </x:row>
    <x:row r="3343" ht="22" customHeight="1">
      <x:c r="A3343" s="2" t="n">
        <x:v>3337</x:v>
      </x:c>
      <x:c r="B3343" s="79" t="n">
        <x:v>0.29311080227040226</x:v>
      </x:c>
      <x:c r="C3343" s="46" t="n">
        <x:f>B3343^2</x:f>
        <x:v>0.08591394240759885</x:v>
      </x:c>
      <x:c r="D3343" s="47" t="n">
        <x:f>'Datos'!$B$26^3/3</x:f>
        <x:v>0.3333333333333333</x:v>
      </x:c>
      <x:c r="E3343" s="46" t="n">
        <x:f>D3343*(C3343-1)</x:f>
        <x:v>-0.3046953525308004</x:v>
      </x:c>
      <x:c r="F3343" s="2"/>
      <x:c r="G3343" s="2"/>
      <x:c r="H3343" s="2"/>
    </x:row>
    <x:row r="3344" ht="22" customHeight="1">
      <x:c r="A3344" s="2" t="n">
        <x:v>3338</x:v>
      </x:c>
      <x:c r="B3344" s="79" t="n">
        <x:v>-1.568031826725107</x:v>
      </x:c>
      <x:c r="C3344" s="46" t="n">
        <x:f>B3344^2</x:f>
        <x:v>2.458723809622876</x:v>
      </x:c>
      <x:c r="D3344" s="47" t="n">
        <x:f>'Datos'!$B$26^3/3</x:f>
        <x:v>0.3333333333333333</x:v>
      </x:c>
      <x:c r="E3344" s="46" t="n">
        <x:f>D3344*(C3344-1)</x:f>
        <x:v>0.48624126987429195</x:v>
      </x:c>
      <x:c r="F3344" s="2"/>
      <x:c r="G3344" s="2"/>
      <x:c r="H3344" s="2"/>
    </x:row>
    <x:row r="3345" ht="22" customHeight="1">
      <x:c r="A3345" s="2" t="n">
        <x:v>3339</x:v>
      </x:c>
      <x:c r="B3345" s="79" t="n">
        <x:v>-0.942967681094732</x:v>
      </x:c>
      <x:c r="C3345" s="46" t="n">
        <x:f>B3345^2</x:f>
        <x:v>0.8891880475891761</x:v>
      </x:c>
      <x:c r="D3345" s="47" t="n">
        <x:f>'Datos'!$B$26^3/3</x:f>
        <x:v>0.3333333333333333</x:v>
      </x:c>
      <x:c r="E3345" s="46" t="n">
        <x:f>D3345*(C3345-1)</x:f>
        <x:v>-0.03693731747027462</x:v>
      </x:c>
      <x:c r="F3345" s="2"/>
      <x:c r="G3345" s="2"/>
      <x:c r="H3345" s="2"/>
    </x:row>
    <x:row r="3346" ht="22" customHeight="1">
      <x:c r="A3346" s="2" t="n">
        <x:v>3340</x:v>
      </x:c>
      <x:c r="B3346" s="79" t="n">
        <x:v>2.1020090191330545</x:v>
      </x:c>
      <x:c r="C3346" s="46" t="n">
        <x:f>B3346^2</x:f>
        <x:v>4.418441916516706</x:v>
      </x:c>
      <x:c r="D3346" s="47" t="n">
        <x:f>'Datos'!$B$26^3/3</x:f>
        <x:v>0.3333333333333333</x:v>
      </x:c>
      <x:c r="E3346" s="46" t="n">
        <x:f>D3346*(C3346-1)</x:f>
        <x:v>1.1394806388389018</x:v>
      </x:c>
      <x:c r="F3346" s="2"/>
      <x:c r="G3346" s="2"/>
      <x:c r="H3346" s="2"/>
    </x:row>
    <x:row r="3347" ht="22" customHeight="1">
      <x:c r="A3347" s="2" t="n">
        <x:v>3341</x:v>
      </x:c>
      <x:c r="B3347" s="79" t="n">
        <x:v>-0.07927689544210352</x:v>
      </x:c>
      <x:c r="C3347" s="46" t="n">
        <x:f>B3347^2</x:f>
        <x:v>0.006284826150938214</x:v>
      </x:c>
      <x:c r="D3347" s="47" t="n">
        <x:f>'Datos'!$B$26^3/3</x:f>
        <x:v>0.3333333333333333</x:v>
      </x:c>
      <x:c r="E3347" s="46" t="n">
        <x:f>D3347*(C3347-1)</x:f>
        <x:v>-0.3312383912830206</x:v>
      </x:c>
      <x:c r="F3347" s="2"/>
      <x:c r="G3347" s="2"/>
      <x:c r="H3347" s="2"/>
    </x:row>
    <x:row r="3348" ht="22" customHeight="1">
      <x:c r="A3348" s="2" t="n">
        <x:v>3342</x:v>
      </x:c>
      <x:c r="B3348" s="79" t="n">
        <x:v>0.0055437461843697924</x:v>
      </x:c>
      <x:c r="C3348" s="46" t="n">
        <x:f>B3348^2</x:f>
        <x:v>0.000030733121756714634</x:v>
      </x:c>
      <x:c r="D3348" s="47" t="n">
        <x:f>'Datos'!$B$26^3/3</x:f>
        <x:v>0.3333333333333333</x:v>
      </x:c>
      <x:c r="E3348" s="46" t="n">
        <x:f>D3348*(C3348-1)</x:f>
        <x:v>-0.3333230889594144</x:v>
      </x:c>
      <x:c r="F3348" s="2"/>
      <x:c r="G3348" s="2"/>
      <x:c r="H3348" s="2"/>
    </x:row>
    <x:row r="3349" ht="22" customHeight="1">
      <x:c r="A3349" s="2" t="n">
        <x:v>3343</x:v>
      </x:c>
      <x:c r="B3349" s="79" t="n">
        <x:v>1.8748417825411128</x:v>
      </x:c>
      <x:c r="C3349" s="46" t="n">
        <x:f>B3349^2</x:f>
        <x:v>3.5150317095619372</x:v>
      </x:c>
      <x:c r="D3349" s="47" t="n">
        <x:f>'Datos'!$B$26^3/3</x:f>
        <x:v>0.3333333333333333</x:v>
      </x:c>
      <x:c r="E3349" s="46" t="n">
        <x:f>D3349*(C3349-1)</x:f>
        <x:v>0.8383439031873123</x:v>
      </x:c>
      <x:c r="F3349" s="2"/>
      <x:c r="G3349" s="2"/>
      <x:c r="H3349" s="2"/>
    </x:row>
    <x:row r="3350" ht="22" customHeight="1">
      <x:c r="A3350" s="2" t="n">
        <x:v>3344</x:v>
      </x:c>
      <x:c r="B3350" s="79" t="n">
        <x:v>-0.6261239857229235</x:v>
      </x:c>
      <x:c r="C3350" s="46" t="n">
        <x:f>B3350^2</x:f>
        <x:v>0.3920312454975597</x:v>
      </x:c>
      <x:c r="D3350" s="47" t="n">
        <x:f>'Datos'!$B$26^3/3</x:f>
        <x:v>0.3333333333333333</x:v>
      </x:c>
      <x:c r="E3350" s="46" t="n">
        <x:f>D3350*(C3350-1)</x:f>
        <x:v>-0.20265625150081346</x:v>
      </x:c>
      <x:c r="F3350" s="2"/>
      <x:c r="G3350" s="2"/>
      <x:c r="H3350" s="2"/>
    </x:row>
    <x:row r="3351" ht="22" customHeight="1">
      <x:c r="A3351" s="2" t="n">
        <x:v>3345</x:v>
      </x:c>
      <x:c r="B3351" s="79" t="n">
        <x:v>1.3263868090091109</x:v>
      </x:c>
      <x:c r="C3351" s="46" t="n">
        <x:f>B3351^2</x:f>
        <x:v>1.7593019671133716</x:v>
      </x:c>
      <x:c r="D3351" s="47" t="n">
        <x:f>'Datos'!$B$26^3/3</x:f>
        <x:v>0.3333333333333333</x:v>
      </x:c>
      <x:c r="E3351" s="46" t="n">
        <x:f>D3351*(C3351-1)</x:f>
        <x:v>0.25310065570445717</x:v>
      </x:c>
      <x:c r="F3351" s="2"/>
      <x:c r="G3351" s="2"/>
      <x:c r="H3351" s="2"/>
    </x:row>
    <x:row r="3352" ht="22" customHeight="1">
      <x:c r="A3352" s="2" t="n">
        <x:v>3346</x:v>
      </x:c>
      <x:c r="B3352" s="79" t="n">
        <x:v>0.9256671142870935</x:v>
      </x:c>
      <x:c r="C3352" s="46" t="n">
        <x:f>B3352^2</x:f>
        <x:v>0.856859606472595</x:v>
      </x:c>
      <x:c r="D3352" s="47" t="n">
        <x:f>'Datos'!$B$26^3/3</x:f>
        <x:v>0.3333333333333333</x:v>
      </x:c>
      <x:c r="E3352" s="46" t="n">
        <x:f>D3352*(C3352-1)</x:f>
        <x:v>-0.04771346450913501</x:v>
      </x:c>
      <x:c r="F3352" s="2"/>
      <x:c r="G3352" s="2"/>
      <x:c r="H3352" s="2"/>
    </x:row>
    <x:row r="3353" ht="22" customHeight="1">
      <x:c r="A3353" s="2" t="n">
        <x:v>3347</x:v>
      </x:c>
      <x:c r="B3353" s="79" t="n">
        <x:v>-0.03358334668423143</x:v>
      </x:c>
      <x:c r="C3353" s="46" t="n">
        <x:f>B3353^2</x:f>
        <x:v>0.001127841174513278</x:v>
      </x:c>
      <x:c r="D3353" s="47" t="n">
        <x:f>'Datos'!$B$26^3/3</x:f>
        <x:v>0.3333333333333333</x:v>
      </x:c>
      <x:c r="E3353" s="46" t="n">
        <x:f>D3353*(C3353-1)</x:f>
        <x:v>-0.33295738627516225</x:v>
      </x:c>
      <x:c r="F3353" s="2"/>
      <x:c r="G3353" s="2"/>
      <x:c r="H3353" s="2"/>
    </x:row>
    <x:row r="3354" ht="22" customHeight="1">
      <x:c r="A3354" s="2" t="n">
        <x:v>3348</x:v>
      </x:c>
      <x:c r="B3354" s="79" t="n">
        <x:v>1.3180780486631754</x:v>
      </x:c>
      <x:c r="C3354" s="46" t="n">
        <x:f>B3354^2</x:f>
        <x:v>1.737329742367724</x:v>
      </x:c>
      <x:c r="D3354" s="47" t="n">
        <x:f>'Datos'!$B$26^3/3</x:f>
        <x:v>0.3333333333333333</x:v>
      </x:c>
      <x:c r="E3354" s="46" t="n">
        <x:f>D3354*(C3354-1)</x:f>
        <x:v>0.24577658078924136</x:v>
      </x:c>
      <x:c r="F3354" s="2"/>
      <x:c r="G3354" s="2"/>
      <x:c r="H3354" s="2"/>
    </x:row>
    <x:row r="3355" ht="22" customHeight="1">
      <x:c r="A3355" s="2" t="n">
        <x:v>3349</x:v>
      </x:c>
      <x:c r="B3355" s="79" t="n">
        <x:v>-0.39250114124436236</x:v>
      </x:c>
      <x:c r="C3355" s="46" t="n">
        <x:f>B3355^2</x:f>
        <x:v>0.15405714587812688</x:v>
      </x:c>
      <x:c r="D3355" s="47" t="n">
        <x:f>'Datos'!$B$26^3/3</x:f>
        <x:v>0.3333333333333333</x:v>
      </x:c>
      <x:c r="E3355" s="46" t="n">
        <x:f>D3355*(C3355-1)</x:f>
        <x:v>-0.2819809513739577</x:v>
      </x:c>
      <x:c r="F3355" s="2"/>
      <x:c r="G3355" s="2"/>
      <x:c r="H3355" s="2"/>
    </x:row>
    <x:row r="3356" ht="22" customHeight="1">
      <x:c r="A3356" s="2" t="n">
        <x:v>3350</x:v>
      </x:c>
      <x:c r="B3356" s="79" t="n">
        <x:v>-1.114336426897788</x:v>
      </x:c>
      <x:c r="C3356" s="46" t="n">
        <x:f>B3356^2</x:f>
        <x:v>1.2417456723113292</x:v>
      </x:c>
      <x:c r="D3356" s="47" t="n">
        <x:f>'Datos'!$B$26^3/3</x:f>
        <x:v>0.3333333333333333</x:v>
      </x:c>
      <x:c r="E3356" s="46" t="n">
        <x:f>D3356*(C3356-1)</x:f>
        <x:v>0.08058189077044305</x:v>
      </x:c>
      <x:c r="F3356" s="2"/>
      <x:c r="G3356" s="2"/>
      <x:c r="H3356" s="2"/>
    </x:row>
    <x:row r="3357" ht="22" customHeight="1">
      <x:c r="A3357" s="2" t="n">
        <x:v>3351</x:v>
      </x:c>
      <x:c r="B3357" s="79" t="n">
        <x:v>-0.19713658285049993</x:v>
      </x:c>
      <x:c r="C3357" s="46" t="n">
        <x:f>B3357^2</x:f>
        <x:v>0.03886283229797202</x:v>
      </x:c>
      <x:c r="D3357" s="47" t="n">
        <x:f>'Datos'!$B$26^3/3</x:f>
        <x:v>0.3333333333333333</x:v>
      </x:c>
      <x:c r="E3357" s="46" t="n">
        <x:f>D3357*(C3357-1)</x:f>
        <x:v>-0.32037905590067595</x:v>
      </x:c>
      <x:c r="F3357" s="2"/>
      <x:c r="G3357" s="2"/>
      <x:c r="H3357" s="2"/>
    </x:row>
    <x:row r="3358" ht="22" customHeight="1">
      <x:c r="A3358" s="2" t="n">
        <x:v>3352</x:v>
      </x:c>
      <x:c r="B3358" s="79" t="n">
        <x:v>-1.0709986894788996</x:v>
      </x:c>
      <x:c r="C3358" s="46" t="n">
        <x:f>B3358^2</x:f>
        <x:v>1.1470381928655204</x:v>
      </x:c>
      <x:c r="D3358" s="47" t="n">
        <x:f>'Datos'!$B$26^3/3</x:f>
        <x:v>0.3333333333333333</x:v>
      </x:c>
      <x:c r="E3358" s="46" t="n">
        <x:f>D3358*(C3358-1)</x:f>
        <x:v>0.04901273095517348</x:v>
      </x:c>
      <x:c r="F3358" s="2"/>
      <x:c r="G3358" s="2"/>
      <x:c r="H3358" s="2"/>
    </x:row>
    <x:row r="3359" ht="22" customHeight="1">
      <x:c r="A3359" s="2" t="n">
        <x:v>3353</x:v>
      </x:c>
      <x:c r="B3359" s="79" t="n">
        <x:v>0.7180261324606361</x:v>
      </x:c>
      <x:c r="C3359" s="46" t="n">
        <x:f>B3359^2</x:f>
        <x:v>0.5155615268963789</x:v>
      </x:c>
      <x:c r="D3359" s="47" t="n">
        <x:f>'Datos'!$B$26^3/3</x:f>
        <x:v>0.3333333333333333</x:v>
      </x:c>
      <x:c r="E3359" s="46" t="n">
        <x:f>D3359*(C3359-1)</x:f>
        <x:v>-0.16147949103454035</x:v>
      </x:c>
      <x:c r="F3359" s="2"/>
      <x:c r="G3359" s="2"/>
      <x:c r="H3359" s="2"/>
    </x:row>
    <x:row r="3360" ht="22" customHeight="1">
      <x:c r="A3360" s="2" t="n">
        <x:v>3354</x:v>
      </x:c>
      <x:c r="B3360" s="79" t="n">
        <x:v>-0.31848246236627487</x:v>
      </x:c>
      <x:c r="C3360" s="46" t="n">
        <x:f>B3360^2</x:f>
        <x:v>0.10143107883488568</x:v>
      </x:c>
      <x:c r="D3360" s="47" t="n">
        <x:f>'Datos'!$B$26^3/3</x:f>
        <x:v>0.3333333333333333</x:v>
      </x:c>
      <x:c r="E3360" s="46" t="n">
        <x:f>D3360*(C3360-1)</x:f>
        <x:v>-0.2995229737217048</x:v>
      </x:c>
      <x:c r="F3360" s="2"/>
      <x:c r="G3360" s="2"/>
      <x:c r="H3360" s="2"/>
    </x:row>
    <x:row r="3361" ht="22" customHeight="1">
      <x:c r="A3361" s="2" t="n">
        <x:v>3355</x:v>
      </x:c>
      <x:c r="B3361" s="79" t="n">
        <x:v>-0.7280835659718662</x:v>
      </x:c>
      <x:c r="C3361" s="46" t="n">
        <x:f>B3361^2</x:f>
        <x:v>0.5301056790383089</x:v>
      </x:c>
      <x:c r="D3361" s="47" t="n">
        <x:f>'Datos'!$B$26^3/3</x:f>
        <x:v>0.3333333333333333</x:v>
      </x:c>
      <x:c r="E3361" s="46" t="n">
        <x:f>D3361*(C3361-1)</x:f>
        <x:v>-0.1566314403205637</x:v>
      </x:c>
      <x:c r="F3361" s="2"/>
      <x:c r="G3361" s="2"/>
      <x:c r="H3361" s="2"/>
    </x:row>
    <x:row r="3362" ht="22" customHeight="1">
      <x:c r="A3362" s="2" t="n">
        <x:v>3356</x:v>
      </x:c>
      <x:c r="B3362" s="79" t="n">
        <x:v>-2.360378431378232</x:v>
      </x:c>
      <x:c r="C3362" s="46" t="n">
        <x:f>B3362^2</x:f>
        <x:v>5.571386339315564</x:v>
      </x:c>
      <x:c r="D3362" s="47" t="n">
        <x:f>'Datos'!$B$26^3/3</x:f>
        <x:v>0.3333333333333333</x:v>
      </x:c>
      <x:c r="E3362" s="46" t="n">
        <x:f>D3362*(C3362-1)</x:f>
        <x:v>1.523795446438521</x:v>
      </x:c>
      <x:c r="F3362" s="2"/>
      <x:c r="G3362" s="2"/>
      <x:c r="H3362" s="2"/>
    </x:row>
    <x:row r="3363" ht="22" customHeight="1">
      <x:c r="A3363" s="2" t="n">
        <x:v>3357</x:v>
      </x:c>
      <x:c r="B3363" s="79" t="n">
        <x:v>-0.8048717750510531</x:v>
      </x:c>
      <x:c r="C3363" s="46" t="n">
        <x:f>B3363^2</x:f>
        <x:v>0.647818574273833</x:v>
      </x:c>
      <x:c r="D3363" s="47" t="n">
        <x:f>'Datos'!$B$26^3/3</x:f>
        <x:v>0.3333333333333333</x:v>
      </x:c>
      <x:c r="E3363" s="46" t="n">
        <x:f>D3363*(C3363-1)</x:f>
        <x:v>-0.11739380857538897</x:v>
      </x:c>
      <x:c r="F3363" s="2"/>
      <x:c r="G3363" s="2"/>
      <x:c r="H3363" s="2"/>
    </x:row>
    <x:row r="3364" ht="22" customHeight="1">
      <x:c r="A3364" s="2" t="n">
        <x:v>3358</x:v>
      </x:c>
      <x:c r="B3364" s="79" t="n">
        <x:v>-0.3864301645759459</x:v>
      </x:c>
      <x:c r="C3364" s="46" t="n">
        <x:f>B3364^2</x:f>
        <x:v>0.14932827209419264</x:v>
      </x:c>
      <x:c r="D3364" s="47" t="n">
        <x:f>'Datos'!$B$26^3/3</x:f>
        <x:v>0.3333333333333333</x:v>
      </x:c>
      <x:c r="E3364" s="46" t="n">
        <x:f>D3364*(C3364-1)</x:f>
        <x:v>-0.2835572426352691</x:v>
      </x:c>
      <x:c r="F3364" s="2"/>
      <x:c r="G3364" s="2"/>
      <x:c r="H3364" s="2"/>
    </x:row>
    <x:row r="3365" ht="22" customHeight="1">
      <x:c r="A3365" s="2" t="n">
        <x:v>3359</x:v>
      </x:c>
      <x:c r="B3365" s="79" t="n">
        <x:v>-0.1008544438712046</x:v>
      </x:c>
      <x:c r="C3365" s="46" t="n">
        <x:f>B3365^2</x:f>
        <x:v>0.010171618848569958</x:v>
      </x:c>
      <x:c r="D3365" s="47" t="n">
        <x:f>'Datos'!$B$26^3/3</x:f>
        <x:v>0.3333333333333333</x:v>
      </x:c>
      <x:c r="E3365" s="46" t="n">
        <x:f>D3365*(C3365-1)</x:f>
        <x:v>-0.3299427937171433</x:v>
      </x:c>
      <x:c r="F3365" s="2"/>
      <x:c r="G3365" s="2"/>
      <x:c r="H3365" s="2"/>
    </x:row>
    <x:row r="3366" ht="22" customHeight="1">
      <x:c r="A3366" s="2" t="n">
        <x:v>3360</x:v>
      </x:c>
      <x:c r="B3366" s="79" t="n">
        <x:v>-0.8502523434058137</x:v>
      </x:c>
      <x:c r="C3366" s="46" t="n">
        <x:f>B3366^2</x:f>
        <x:v>0.7229290474670778</x:v>
      </x:c>
      <x:c r="D3366" s="47" t="n">
        <x:f>'Datos'!$B$26^3/3</x:f>
        <x:v>0.3333333333333333</x:v>
      </x:c>
      <x:c r="E3366" s="46" t="n">
        <x:f>D3366*(C3366-1)</x:f>
        <x:v>-0.09235698417764074</x:v>
      </x:c>
      <x:c r="F3366" s="2"/>
      <x:c r="G3366" s="2"/>
      <x:c r="H3366" s="2"/>
    </x:row>
    <x:row r="3367" ht="22" customHeight="1">
      <x:c r="A3367" s="2" t="n">
        <x:v>3361</x:v>
      </x:c>
      <x:c r="B3367" s="79" t="n">
        <x:v>-0.4025181672910218</x:v>
      </x:c>
      <x:c r="C3367" s="46" t="n">
        <x:f>B3367^2</x:f>
        <x:v>0.16202087499932302</x:v>
      </x:c>
      <x:c r="D3367" s="47" t="n">
        <x:f>'Datos'!$B$26^3/3</x:f>
        <x:v>0.3333333333333333</x:v>
      </x:c>
      <x:c r="E3367" s="46" t="n">
        <x:f>D3367*(C3367-1)</x:f>
        <x:v>-0.2793263750002256</x:v>
      </x:c>
      <x:c r="F3367" s="2"/>
      <x:c r="G3367" s="2"/>
      <x:c r="H3367" s="2"/>
    </x:row>
    <x:row r="3368" ht="22" customHeight="1">
      <x:c r="A3368" s="2" t="n">
        <x:v>3362</x:v>
      </x:c>
      <x:c r="B3368" s="79" t="n">
        <x:v>0.5105683788228603</x:v>
      </x:c>
      <x:c r="C3368" s="46" t="n">
        <x:f>B3368^2</x:f>
        <x:v>0.2606800694538038</x:v>
      </x:c>
      <x:c r="D3368" s="47" t="n">
        <x:f>'Datos'!$B$26^3/3</x:f>
        <x:v>0.3333333333333333</x:v>
      </x:c>
      <x:c r="E3368" s="46" t="n">
        <x:f>D3368*(C3368-1)</x:f>
        <x:v>-0.24643997684873203</x:v>
      </x:c>
      <x:c r="F3368" s="2"/>
      <x:c r="G3368" s="2"/>
      <x:c r="H3368" s="2"/>
    </x:row>
    <x:row r="3369" ht="22" customHeight="1">
      <x:c r="A3369" s="2" t="n">
        <x:v>3363</x:v>
      </x:c>
      <x:c r="B3369" s="79" t="n">
        <x:v>-0.645933848876815</x:v>
      </x:c>
      <x:c r="C3369" s="46" t="n">
        <x:f>B3369^2</x:f>
        <x:v>0.4172305371248161</x:v>
      </x:c>
      <x:c r="D3369" s="47" t="n">
        <x:f>'Datos'!$B$26^3/3</x:f>
        <x:v>0.3333333333333333</x:v>
      </x:c>
      <x:c r="E3369" s="46" t="n">
        <x:f>D3369*(C3369-1)</x:f>
        <x:v>-0.19425648762506126</x:v>
      </x:c>
      <x:c r="F3369" s="2"/>
      <x:c r="G3369" s="2"/>
      <x:c r="H3369" s="2"/>
    </x:row>
    <x:row r="3370" ht="22" customHeight="1">
      <x:c r="A3370" s="2" t="n">
        <x:v>3364</x:v>
      </x:c>
      <x:c r="B3370" s="79" t="n">
        <x:v>0.4281219465075301</x:v>
      </x:c>
      <x:c r="C3370" s="46" t="n">
        <x:f>B3370^2</x:f>
        <x:v>0.18328840108139646</x:v>
      </x:c>
      <x:c r="D3370" s="47" t="n">
        <x:f>'Datos'!$B$26^3/3</x:f>
        <x:v>0.3333333333333333</x:v>
      </x:c>
      <x:c r="E3370" s="46" t="n">
        <x:f>D3370*(C3370-1)</x:f>
        <x:v>-0.2722371996395345</x:v>
      </x:c>
      <x:c r="F3370" s="2"/>
      <x:c r="G3370" s="2"/>
      <x:c r="H3370" s="2"/>
    </x:row>
    <x:row r="3371" ht="22" customHeight="1">
      <x:c r="A3371" s="2" t="n">
        <x:v>3365</x:v>
      </x:c>
      <x:c r="B3371" s="79" t="n">
        <x:v>-0.07028976961579775</x:v>
      </x:c>
      <x:c r="C3371" s="46" t="n">
        <x:f>B3371^2</x:f>
        <x:v>0.0049406517126419245</x:v>
      </x:c>
      <x:c r="D3371" s="47" t="n">
        <x:f>'Datos'!$B$26^3/3</x:f>
        <x:v>0.3333333333333333</x:v>
      </x:c>
      <x:c r="E3371" s="46" t="n">
        <x:f>D3371*(C3371-1)</x:f>
        <x:v>-0.33168644942911935</x:v>
      </x:c>
      <x:c r="F3371" s="2"/>
      <x:c r="G3371" s="2"/>
      <x:c r="H3371" s="2"/>
    </x:row>
    <x:row r="3372" ht="22" customHeight="1">
      <x:c r="A3372" s="2" t="n">
        <x:v>3366</x:v>
      </x:c>
      <x:c r="B3372" s="79" t="n">
        <x:v>1.3694305850991</x:v>
      </x:c>
      <x:c r="C3372" s="46" t="n">
        <x:f>B3372^2</x:f>
        <x:v>1.8753401274048633</x:v>
      </x:c>
      <x:c r="D3372" s="47" t="n">
        <x:f>'Datos'!$B$26^3/3</x:f>
        <x:v>0.3333333333333333</x:v>
      </x:c>
      <x:c r="E3372" s="46" t="n">
        <x:f>D3372*(C3372-1)</x:f>
        <x:v>0.29178004246828776</x:v>
      </x:c>
      <x:c r="F3372" s="2"/>
      <x:c r="G3372" s="2"/>
      <x:c r="H3372" s="2"/>
    </x:row>
    <x:row r="3373" ht="22" customHeight="1">
      <x:c r="A3373" s="2" t="n">
        <x:v>3367</x:v>
      </x:c>
      <x:c r="B3373" s="79" t="n">
        <x:v>0.2458677393440586</x:v>
      </x:c>
      <x:c r="C3373" s="46" t="n">
        <x:f>B3373^2</x:f>
        <x:v>0.060450945250157935</x:v>
      </x:c>
      <x:c r="D3373" s="47" t="n">
        <x:f>'Datos'!$B$26^3/3</x:f>
        <x:v>0.3333333333333333</x:v>
      </x:c>
      <x:c r="E3373" s="46" t="n">
        <x:f>D3373*(C3373-1)</x:f>
        <x:v>-0.3131830182499473</x:v>
      </x:c>
      <x:c r="F3373" s="2"/>
      <x:c r="G3373" s="2"/>
      <x:c r="H3373" s="2"/>
    </x:row>
    <x:row r="3374" ht="22" customHeight="1">
      <x:c r="A3374" s="2" t="n">
        <x:v>3368</x:v>
      </x:c>
      <x:c r="B3374" s="79" t="n">
        <x:v>-0.45646651007401057</x:v>
      </x:c>
      <x:c r="C3374" s="46" t="n">
        <x:f>B3374^2</x:f>
        <x:v>0.2083616748191468</x:v>
      </x:c>
      <x:c r="D3374" s="47" t="n">
        <x:f>'Datos'!$B$26^3/3</x:f>
        <x:v>0.3333333333333333</x:v>
      </x:c>
      <x:c r="E3374" s="46" t="n">
        <x:f>D3374*(C3374-1)</x:f>
        <x:v>-0.26387944172695105</x:v>
      </x:c>
      <x:c r="F3374" s="2"/>
      <x:c r="G3374" s="2"/>
      <x:c r="H3374" s="2"/>
    </x:row>
    <x:row r="3375" ht="22" customHeight="1">
      <x:c r="A3375" s="2" t="n">
        <x:v>3369</x:v>
      </x:c>
      <x:c r="B3375" s="79" t="n">
        <x:v>-1.3192812758159393</x:v>
      </x:c>
      <x:c r="C3375" s="46" t="n">
        <x:f>B3375^2</x:f>
        <x:v>1.7405030847185325</x:v>
      </x:c>
      <x:c r="D3375" s="47" t="n">
        <x:f>'Datos'!$B$26^3/3</x:f>
        <x:v>0.3333333333333333</x:v>
      </x:c>
      <x:c r="E3375" s="46" t="n">
        <x:f>D3375*(C3375-1)</x:f>
        <x:v>0.24683436157284416</x:v>
      </x:c>
      <x:c r="F3375" s="2"/>
      <x:c r="G3375" s="2"/>
      <x:c r="H3375" s="2"/>
    </x:row>
    <x:row r="3376" ht="22" customHeight="1">
      <x:c r="A3376" s="2" t="n">
        <x:v>3370</x:v>
      </x:c>
      <x:c r="B3376" s="79" t="n">
        <x:v>-0.3385700896077304</x:v>
      </x:c>
      <x:c r="C3376" s="46" t="n">
        <x:f>B3376^2</x:f>
        <x:v>0.11462970557698658</x:v>
      </x:c>
      <x:c r="D3376" s="47" t="n">
        <x:f>'Datos'!$B$26^3/3</x:f>
        <x:v>0.3333333333333333</x:v>
      </x:c>
      <x:c r="E3376" s="46" t="n">
        <x:f>D3376*(C3376-1)</x:f>
        <x:v>-0.2951234314743378</x:v>
      </x:c>
      <x:c r="F3376" s="2"/>
      <x:c r="G3376" s="2"/>
      <x:c r="H3376" s="2"/>
    </x:row>
    <x:row r="3377" ht="22" customHeight="1">
      <x:c r="A3377" s="2" t="n">
        <x:v>3371</x:v>
      </x:c>
      <x:c r="B3377" s="79" t="n">
        <x:v>-0.38910505927537825</x:v>
      </x:c>
      <x:c r="C3377" s="46" t="n">
        <x:f>B3377^2</x:f>
        <x:v>0.15140274715369562</x:v>
      </x:c>
      <x:c r="D3377" s="47" t="n">
        <x:f>'Datos'!$B$26^3/3</x:f>
        <x:v>0.3333333333333333</x:v>
      </x:c>
      <x:c r="E3377" s="46" t="n">
        <x:f>D3377*(C3377-1)</x:f>
        <x:v>-0.2828657509487681</x:v>
      </x:c>
      <x:c r="F3377" s="2"/>
      <x:c r="G3377" s="2"/>
      <x:c r="H3377" s="2"/>
    </x:row>
    <x:row r="3378" ht="22" customHeight="1">
      <x:c r="A3378" s="2" t="n">
        <x:v>3372</x:v>
      </x:c>
      <x:c r="B3378" s="79" t="n">
        <x:v>2.0218720594694397</x:v>
      </x:c>
      <x:c r="C3378" s="46" t="n">
        <x:f>B3378^2</x:f>
        <x:v>4.087966624863194</x:v>
      </x:c>
      <x:c r="D3378" s="47" t="n">
        <x:f>'Datos'!$B$26^3/3</x:f>
        <x:v>0.3333333333333333</x:v>
      </x:c>
      <x:c r="E3378" s="46" t="n">
        <x:f>D3378*(C3378-1)</x:f>
        <x:v>1.0293222082877311</x:v>
      </x:c>
      <x:c r="F3378" s="2"/>
      <x:c r="G3378" s="2"/>
      <x:c r="H3378" s="2"/>
    </x:row>
    <x:row r="3379" ht="22" customHeight="1">
      <x:c r="A3379" s="2" t="n">
        <x:v>3373</x:v>
      </x:c>
      <x:c r="B3379" s="79" t="n">
        <x:v>-0.5238389590914749</x:v>
      </x:c>
      <x:c r="C3379" s="46" t="n">
        <x:f>B3379^2</x:f>
        <x:v>0.27440725506203995</x:v>
      </x:c>
      <x:c r="D3379" s="47" t="n">
        <x:f>'Datos'!$B$26^3/3</x:f>
        <x:v>0.3333333333333333</x:v>
      </x:c>
      <x:c r="E3379" s="46" t="n">
        <x:f>D3379*(C3379-1)</x:f>
        <x:v>-0.24186424831265332</x:v>
      </x:c>
      <x:c r="F3379" s="2"/>
      <x:c r="G3379" s="2"/>
      <x:c r="H3379" s="2"/>
    </x:row>
    <x:row r="3380" ht="22" customHeight="1">
      <x:c r="A3380" s="2" t="n">
        <x:v>3374</x:v>
      </x:c>
      <x:c r="B3380" s="79" t="n">
        <x:v>-0.010935815268213973</x:v>
      </x:c>
      <x:c r="C3380" s="46" t="n">
        <x:f>B3380^2</x:f>
        <x:v>0.00011959205558050186</x:v>
      </x:c>
      <x:c r="D3380" s="47" t="n">
        <x:f>'Datos'!$B$26^3/3</x:f>
        <x:v>0.3333333333333333</x:v>
      </x:c>
      <x:c r="E3380" s="46" t="n">
        <x:f>D3380*(C3380-1)</x:f>
        <x:v>-0.33329346931480647</x:v>
      </x:c>
      <x:c r="F3380" s="2"/>
      <x:c r="G3380" s="2"/>
      <x:c r="H3380" s="2"/>
    </x:row>
    <x:row r="3381" ht="22" customHeight="1">
      <x:c r="A3381" s="2" t="n">
        <x:v>3375</x:v>
      </x:c>
      <x:c r="B3381" s="79" t="n">
        <x:v>0.29472527417321537</x:v>
      </x:c>
      <x:c r="C3381" s="46" t="n">
        <x:f>B3381^2</x:f>
        <x:v>0.08686298723647697</x:v>
      </x:c>
      <x:c r="D3381" s="47" t="n">
        <x:f>'Datos'!$B$26^3/3</x:f>
        <x:v>0.3333333333333333</x:v>
      </x:c>
      <x:c r="E3381" s="46" t="n">
        <x:f>D3381*(C3381-1)</x:f>
        <x:v>-0.30437900425450765</x:v>
      </x:c>
      <x:c r="F3381" s="2"/>
      <x:c r="G3381" s="2"/>
      <x:c r="H3381" s="2"/>
    </x:row>
    <x:row r="3382" ht="22" customHeight="1">
      <x:c r="A3382" s="2" t="n">
        <x:v>3376</x:v>
      </x:c>
      <x:c r="B3382" s="79" t="n">
        <x:v>-1.2475331991623129</x:v>
      </x:c>
      <x:c r="C3382" s="46" t="n">
        <x:f>B3382^2</x:f>
        <x:v>1.556339083012155</x:v>
      </x:c>
      <x:c r="D3382" s="47" t="n">
        <x:f>'Datos'!$B$26^3/3</x:f>
        <x:v>0.3333333333333333</x:v>
      </x:c>
      <x:c r="E3382" s="46" t="n">
        <x:f>D3382*(C3382-1)</x:f>
        <x:v>0.18544636100405168</x:v>
      </x:c>
      <x:c r="F3382" s="2"/>
      <x:c r="G3382" s="2"/>
      <x:c r="H3382" s="2"/>
    </x:row>
    <x:row r="3383" ht="22" customHeight="1">
      <x:c r="A3383" s="2" t="n">
        <x:v>3377</x:v>
      </x:c>
      <x:c r="B3383" s="79" t="n">
        <x:v>-0.27635973674441033</x:v>
      </x:c>
      <x:c r="C3383" s="46" t="n">
        <x:f>B3383^2</x:f>
        <x:v>0.07637470409343979</x:v>
      </x:c>
      <x:c r="D3383" s="47" t="n">
        <x:f>'Datos'!$B$26^3/3</x:f>
        <x:v>0.3333333333333333</x:v>
      </x:c>
      <x:c r="E3383" s="46" t="n">
        <x:f>D3383*(C3383-1)</x:f>
        <x:v>-0.30787509863552004</x:v>
      </x:c>
      <x:c r="F3383" s="2"/>
      <x:c r="G3383" s="2"/>
      <x:c r="H3383" s="2"/>
    </x:row>
    <x:row r="3384" ht="22" customHeight="1">
      <x:c r="A3384" s="2" t="n">
        <x:v>3378</x:v>
      </x:c>
      <x:c r="B3384" s="79" t="n">
        <x:v>-0.7474231001907425</x:v>
      </x:c>
      <x:c r="C3384" s="46" t="n">
        <x:f>B3384^2</x:f>
        <x:v>0.5586412906987408</x:v>
      </x:c>
      <x:c r="D3384" s="47" t="n">
        <x:f>'Datos'!$B$26^3/3</x:f>
        <x:v>0.3333333333333333</x:v>
      </x:c>
      <x:c r="E3384" s="46" t="n">
        <x:f>D3384*(C3384-1)</x:f>
        <x:v>-0.1471195697670864</x:v>
      </x:c>
      <x:c r="F3384" s="2"/>
      <x:c r="G3384" s="2"/>
      <x:c r="H3384" s="2"/>
    </x:row>
    <x:row r="3385" ht="22" customHeight="1">
      <x:c r="A3385" s="2" t="n">
        <x:v>3379</x:v>
      </x:c>
      <x:c r="B3385" s="79" t="n">
        <x:v>-2.4372799119832242</x:v>
      </x:c>
      <x:c r="C3385" s="46" t="n">
        <x:f>B3385^2</x:f>
        <x:v>5.940333369356953</x:v>
      </x:c>
      <x:c r="D3385" s="47" t="n">
        <x:f>'Datos'!$B$26^3/3</x:f>
        <x:v>0.3333333333333333</x:v>
      </x:c>
      <x:c r="E3385" s="46" t="n">
        <x:f>D3385*(C3385-1)</x:f>
        <x:v>1.6467777897856508</x:v>
      </x:c>
      <x:c r="F3385" s="2"/>
      <x:c r="G3385" s="2"/>
      <x:c r="H3385" s="2"/>
    </x:row>
    <x:row r="3386" ht="22" customHeight="1">
      <x:c r="A3386" s="2" t="n">
        <x:v>3380</x:v>
      </x:c>
      <x:c r="B3386" s="79" t="n">
        <x:v>-1.803679457652252</x:v>
      </x:c>
      <x:c r="C3386" s="46" t="n">
        <x:f>B3386^2</x:f>
        <x:v>3.2532595859567217</x:v>
      </x:c>
      <x:c r="D3386" s="47" t="n">
        <x:f>'Datos'!$B$26^3/3</x:f>
        <x:v>0.3333333333333333</x:v>
      </x:c>
      <x:c r="E3386" s="46" t="n">
        <x:f>D3386*(C3386-1)</x:f>
        <x:v>0.7510865286522406</x:v>
      </x:c>
      <x:c r="F3386" s="2"/>
      <x:c r="G3386" s="2"/>
      <x:c r="H3386" s="2"/>
    </x:row>
    <x:row r="3387" ht="22" customHeight="1">
      <x:c r="A3387" s="2" t="n">
        <x:v>3381</x:v>
      </x:c>
      <x:c r="B3387" s="79" t="n">
        <x:v>0.26846940906805766</x:v>
      </x:c>
      <x:c r="C3387" s="46" t="n">
        <x:f>B3387^2</x:f>
        <x:v>0.07207582360535209</x:v>
      </x:c>
      <x:c r="D3387" s="47" t="n">
        <x:f>'Datos'!$B$26^3/3</x:f>
        <x:v>0.3333333333333333</x:v>
      </x:c>
      <x:c r="E3387" s="46" t="n">
        <x:f>D3387*(C3387-1)</x:f>
        <x:v>-0.309308058798216</x:v>
      </x:c>
      <x:c r="F3387" s="2"/>
      <x:c r="G3387" s="2"/>
      <x:c r="H3387" s="2"/>
    </x:row>
    <x:row r="3388" ht="22" customHeight="1">
      <x:c r="A3388" s="2" t="n">
        <x:v>3382</x:v>
      </x:c>
      <x:c r="B3388" s="79" t="n">
        <x:v>-0.3963441251487044</x:v>
      </x:c>
      <x:c r="C3388" s="46" t="n">
        <x:f>B3388^2</x:f>
        <x:v>0.15708866553989184</x:v>
      </x:c>
      <x:c r="D3388" s="47" t="n">
        <x:f>'Datos'!$B$26^3/3</x:f>
        <x:v>0.3333333333333333</x:v>
      </x:c>
      <x:c r="E3388" s="46" t="n">
        <x:f>D3388*(C3388-1)</x:f>
        <x:v>-0.280970444820036</x:v>
      </x:c>
      <x:c r="F3388" s="2"/>
      <x:c r="G3388" s="2"/>
      <x:c r="H3388" s="2"/>
    </x:row>
    <x:row r="3389" ht="22" customHeight="1">
      <x:c r="A3389" s="2" t="n">
        <x:v>3383</x:v>
      </x:c>
      <x:c r="B3389" s="79" t="n">
        <x:v>1.5146420106966607</x:v>
      </x:c>
      <x:c r="C3389" s="46" t="n">
        <x:f>B3389^2</x:f>
        <x:v>2.2941404205672233</x:v>
      </x:c>
      <x:c r="D3389" s="47" t="n">
        <x:f>'Datos'!$B$26^3/3</x:f>
        <x:v>0.3333333333333333</x:v>
      </x:c>
      <x:c r="E3389" s="46" t="n">
        <x:f>D3389*(C3389-1)</x:f>
        <x:v>0.43138014018907445</x:v>
      </x:c>
      <x:c r="F3389" s="2"/>
      <x:c r="G3389" s="2"/>
      <x:c r="H3389" s="2"/>
    </x:row>
    <x:row r="3390" ht="22" customHeight="1">
      <x:c r="A3390" s="2" t="n">
        <x:v>3384</x:v>
      </x:c>
      <x:c r="B3390" s="79" t="n">
        <x:v>-0.6231025744656743</x:v>
      </x:c>
      <x:c r="C3390" s="46" t="n">
        <x:f>B3390^2</x:f>
        <x:v>0.3882568183057512</x:v>
      </x:c>
      <x:c r="D3390" s="47" t="n">
        <x:f>'Datos'!$B$26^3/3</x:f>
        <x:v>0.3333333333333333</x:v>
      </x:c>
      <x:c r="E3390" s="46" t="n">
        <x:f>D3390*(C3390-1)</x:f>
        <x:v>-0.2039143938980829</x:v>
      </x:c>
      <x:c r="F3390" s="2"/>
      <x:c r="G3390" s="2"/>
      <x:c r="H3390" s="2"/>
    </x:row>
    <x:row r="3391" ht="22" customHeight="1">
      <x:c r="A3391" s="2" t="n">
        <x:v>3385</x:v>
      </x:c>
      <x:c r="B3391" s="79" t="n">
        <x:v>0.7523198234388413</x:v>
      </x:c>
      <x:c r="C3391" s="46" t="n">
        <x:f>B3391^2</x:f>
        <x:v>0.5659851167390494</x:v>
      </x:c>
      <x:c r="D3391" s="47" t="n">
        <x:f>'Datos'!$B$26^3/3</x:f>
        <x:v>0.3333333333333333</x:v>
      </x:c>
      <x:c r="E3391" s="46" t="n">
        <x:f>D3391*(C3391-1)</x:f>
        <x:v>-0.1446716277536502</x:v>
      </x:c>
      <x:c r="F3391" s="2"/>
      <x:c r="G3391" s="2"/>
      <x:c r="H3391" s="2"/>
    </x:row>
    <x:row r="3392" ht="22" customHeight="1">
      <x:c r="A3392" s="2" t="n">
        <x:v>3386</x:v>
      </x:c>
      <x:c r="B3392" s="79" t="n">
        <x:v>0.04483548361227802</x:v>
      </x:c>
      <x:c r="C3392" s="46" t="n">
        <x:f>B3392^2</x:f>
        <x:v>0.0020102205907468512</x:v>
      </x:c>
      <x:c r="D3392" s="47" t="n">
        <x:f>'Datos'!$B$26^3/3</x:f>
        <x:v>0.3333333333333333</x:v>
      </x:c>
      <x:c r="E3392" s="46" t="n">
        <x:f>D3392*(C3392-1)</x:f>
        <x:v>-0.33266325980308437</x:v>
      </x:c>
      <x:c r="F3392" s="2"/>
      <x:c r="G3392" s="2"/>
      <x:c r="H3392" s="2"/>
    </x:row>
    <x:row r="3393" ht="22" customHeight="1">
      <x:c r="A3393" s="2" t="n">
        <x:v>3387</x:v>
      </x:c>
      <x:c r="B3393" s="79" t="n">
        <x:v>-0.2825569866950731</x:v>
      </x:c>
      <x:c r="C3393" s="46" t="n">
        <x:f>B3393^2</x:f>
        <x:v>0.07983845073019973</x:v>
      </x:c>
      <x:c r="D3393" s="47" t="n">
        <x:f>'Datos'!$B$26^3/3</x:f>
        <x:v>0.3333333333333333</x:v>
      </x:c>
      <x:c r="E3393" s="46" t="n">
        <x:f>D3393*(C3393-1)</x:f>
        <x:v>-0.30672051642326675</x:v>
      </x:c>
      <x:c r="F3393" s="2"/>
      <x:c r="G3393" s="2"/>
      <x:c r="H3393" s="2"/>
    </x:row>
    <x:row r="3394" ht="22" customHeight="1">
      <x:c r="A3394" s="2" t="n">
        <x:v>3388</x:v>
      </x:c>
      <x:c r="B3394" s="79" t="n">
        <x:v>-0.1694318251368005</x:v>
      </x:c>
      <x:c r="C3394" s="46" t="n">
        <x:f>B3394^2</x:f>
        <x:v>0.02870714336918734</x:v>
      </x:c>
      <x:c r="D3394" s="47" t="n">
        <x:f>'Datos'!$B$26^3/3</x:f>
        <x:v>0.3333333333333333</x:v>
      </x:c>
      <x:c r="E3394" s="46" t="n">
        <x:f>D3394*(C3394-1)</x:f>
        <x:v>-0.3237642855436042</x:v>
      </x:c>
      <x:c r="F3394" s="2"/>
      <x:c r="G3394" s="2"/>
      <x:c r="H3394" s="2"/>
    </x:row>
    <x:row r="3395" ht="22" customHeight="1">
      <x:c r="A3395" s="2" t="n">
        <x:v>3389</x:v>
      </x:c>
      <x:c r="B3395" s="79" t="n">
        <x:v>-1.6786573442863322</x:v>
      </x:c>
      <x:c r="C3395" s="46" t="n">
        <x:f>B3395^2</x:f>
        <x:v>2.8178904795264414</x:v>
      </x:c>
      <x:c r="D3395" s="47" t="n">
        <x:f>'Datos'!$B$26^3/3</x:f>
        <x:v>0.3333333333333333</x:v>
      </x:c>
      <x:c r="E3395" s="46" t="n">
        <x:f>D3395*(C3395-1)</x:f>
        <x:v>0.6059634931754805</x:v>
      </x:c>
      <x:c r="F3395" s="2"/>
      <x:c r="G3395" s="2"/>
      <x:c r="H3395" s="2"/>
    </x:row>
    <x:row r="3396" ht="22" customHeight="1">
      <x:c r="A3396" s="2" t="n">
        <x:v>3390</x:v>
      </x:c>
      <x:c r="B3396" s="79" t="n">
        <x:v>-1.3983633183680695</x:v>
      </x:c>
      <x:c r="C3396" s="46" t="n">
        <x:f>B3396^2</x:f>
        <x:v>1.955419970157359</x:v>
      </x:c>
      <x:c r="D3396" s="47" t="n">
        <x:f>'Datos'!$B$26^3/3</x:f>
        <x:v>0.3333333333333333</x:v>
      </x:c>
      <x:c r="E3396" s="46" t="n">
        <x:f>D3396*(C3396-1)</x:f>
        <x:v>0.31847332338578627</x:v>
      </x:c>
      <x:c r="F3396" s="2"/>
      <x:c r="G3396" s="2"/>
      <x:c r="H3396" s="2"/>
    </x:row>
    <x:row r="3397" ht="22" customHeight="1">
      <x:c r="A3397" s="2" t="n">
        <x:v>3391</x:v>
      </x:c>
      <x:c r="B3397" s="79" t="n">
        <x:v>-0.10247603977069573</x:v>
      </x:c>
      <x:c r="C3397" s="46" t="n">
        <x:f>B3397^2</x:f>
        <x:v>0.010501338727085214</x:v>
      </x:c>
      <x:c r="D3397" s="47" t="n">
        <x:f>'Datos'!$B$26^3/3</x:f>
        <x:v>0.3333333333333333</x:v>
      </x:c>
      <x:c r="E3397" s="46" t="n">
        <x:f>D3397*(C3397-1)</x:f>
        <x:v>-0.3298328870909716</x:v>
      </x:c>
      <x:c r="F3397" s="2"/>
      <x:c r="G3397" s="2"/>
      <x:c r="H3397" s="2"/>
    </x:row>
    <x:row r="3398" ht="22" customHeight="1">
      <x:c r="A3398" s="2" t="n">
        <x:v>3392</x:v>
      </x:c>
      <x:c r="B3398" s="79" t="n">
        <x:v>0.6589983942067703</x:v>
      </x:c>
      <x:c r="C3398" s="46" t="n">
        <x:f>B3398^2</x:f>
        <x:v>0.4342788835671018</x:v>
      </x:c>
      <x:c r="D3398" s="47" t="n">
        <x:f>'Datos'!$B$26^3/3</x:f>
        <x:v>0.3333333333333333</x:v>
      </x:c>
      <x:c r="E3398" s="46" t="n">
        <x:f>D3398*(C3398-1)</x:f>
        <x:v>-0.1885737054776327</x:v>
      </x:c>
      <x:c r="F3398" s="2"/>
      <x:c r="G3398" s="2"/>
      <x:c r="H3398" s="2"/>
    </x:row>
    <x:row r="3399" ht="22" customHeight="1">
      <x:c r="A3399" s="2" t="n">
        <x:v>3393</x:v>
      </x:c>
      <x:c r="B3399" s="79" t="n">
        <x:v>-2.203336807654138</x:v>
      </x:c>
      <x:c r="C3399" s="46" t="n">
        <x:f>B3399^2</x:f>
        <x:v>4.854693087963528</x:v>
      </x:c>
      <x:c r="D3399" s="47" t="n">
        <x:f>'Datos'!$B$26^3/3</x:f>
        <x:v>0.3333333333333333</x:v>
      </x:c>
      <x:c r="E3399" s="46" t="n">
        <x:f>D3399*(C3399-1)</x:f>
        <x:v>1.2848976959878426</x:v>
      </x:c>
      <x:c r="F3399" s="2"/>
      <x:c r="G3399" s="2"/>
      <x:c r="H3399" s="2"/>
    </x:row>
    <x:row r="3400" ht="22" customHeight="1">
      <x:c r="A3400" s="2" t="n">
        <x:v>3394</x:v>
      </x:c>
      <x:c r="B3400" s="79" t="n">
        <x:v>1.156721143117226</x:v>
      </x:c>
      <x:c r="C3400" s="46" t="n">
        <x:f>B3400^2</x:f>
        <x:v>1.338003802934422</x:v>
      </x:c>
      <x:c r="D3400" s="47" t="n">
        <x:f>'Datos'!$B$26^3/3</x:f>
        <x:v>0.3333333333333333</x:v>
      </x:c>
      <x:c r="E3400" s="46" t="n">
        <x:f>D3400*(C3400-1)</x:f>
        <x:v>0.11266793431147396</x:v>
      </x:c>
      <x:c r="F3400" s="2"/>
      <x:c r="G3400" s="2"/>
      <x:c r="H3400" s="2"/>
    </x:row>
    <x:row r="3401" ht="22" customHeight="1">
      <x:c r="A3401" s="2" t="n">
        <x:v>3395</x:v>
      </x:c>
      <x:c r="B3401" s="79" t="n">
        <x:v>-0.4913742877486999</x:v>
      </x:c>
      <x:c r="C3401" s="46" t="n">
        <x:f>B3401^2</x:f>
        <x:v>0.24144869066054214</x:v>
      </x:c>
      <x:c r="D3401" s="47" t="n">
        <x:f>'Datos'!$B$26^3/3</x:f>
        <x:v>0.3333333333333333</x:v>
      </x:c>
      <x:c r="E3401" s="46" t="n">
        <x:f>D3401*(C3401-1)</x:f>
        <x:v>-0.2528504364464859</x:v>
      </x:c>
      <x:c r="F3401" s="2"/>
      <x:c r="G3401" s="2"/>
      <x:c r="H3401" s="2"/>
    </x:row>
    <x:row r="3402" ht="22" customHeight="1">
      <x:c r="A3402" s="2" t="n">
        <x:v>3396</x:v>
      </x:c>
      <x:c r="B3402" s="79" t="n">
        <x:v>-0.474395892226154</x:v>
      </x:c>
      <x:c r="C3402" s="46" t="n">
        <x:f>B3402^2</x:f>
        <x:v>0.22505146256104874</x:v>
      </x:c>
      <x:c r="D3402" s="47" t="n">
        <x:f>'Datos'!$B$26^3/3</x:f>
        <x:v>0.3333333333333333</x:v>
      </x:c>
      <x:c r="E3402" s="46" t="n">
        <x:f>D3402*(C3402-1)</x:f>
        <x:v>-0.2583161791463171</x:v>
      </x:c>
      <x:c r="F3402" s="2"/>
      <x:c r="G3402" s="2"/>
      <x:c r="H3402" s="2"/>
    </x:row>
    <x:row r="3403" ht="22" customHeight="1">
      <x:c r="A3403" s="2" t="n">
        <x:v>3397</x:v>
      </x:c>
      <x:c r="B3403" s="79" t="n">
        <x:v>-0.2756214539153945</x:v>
      </x:c>
      <x:c r="C3403" s="46" t="n">
        <x:f>B3403^2</x:f>
        <x:v>0.07596718585843594</x:v>
      </x:c>
      <x:c r="D3403" s="47" t="n">
        <x:f>'Datos'!$B$26^3/3</x:f>
        <x:v>0.3333333333333333</x:v>
      </x:c>
      <x:c r="E3403" s="46" t="n">
        <x:f>D3403*(C3403-1)</x:f>
        <x:v>-0.308010938047188</x:v>
      </x:c>
      <x:c r="F3403" s="2"/>
      <x:c r="G3403" s="2"/>
      <x:c r="H3403" s="2"/>
    </x:row>
    <x:row r="3404" ht="22" customHeight="1">
      <x:c r="A3404" s="2" t="n">
        <x:v>3398</x:v>
      </x:c>
      <x:c r="B3404" s="79" t="n">
        <x:v>-0.03145366766387556</x:v>
      </x:c>
      <x:c r="C3404" s="46" t="n">
        <x:f>B3404^2</x:f>
        <x:v>0.0009893332095095313</x:v>
      </x:c>
      <x:c r="D3404" s="47" t="n">
        <x:f>'Datos'!$B$26^3/3</x:f>
        <x:v>0.3333333333333333</x:v>
      </x:c>
      <x:c r="E3404" s="46" t="n">
        <x:f>D3404*(C3404-1)</x:f>
        <x:v>-0.33300355559683015</x:v>
      </x:c>
      <x:c r="F3404" s="2"/>
      <x:c r="G3404" s="2"/>
      <x:c r="H3404" s="2"/>
    </x:row>
    <x:row r="3405" ht="22" customHeight="1">
      <x:c r="A3405" s="2" t="n">
        <x:v>3399</x:v>
      </x:c>
      <x:c r="B3405" s="79" t="n">
        <x:v>0.6014243614762216</x:v>
      </x:c>
      <x:c r="C3405" s="46" t="n">
        <x:f>B3405^2</x:f>
        <x:v>0.36171126257708086</x:v>
      </x:c>
      <x:c r="D3405" s="47" t="n">
        <x:f>'Datos'!$B$26^3/3</x:f>
        <x:v>0.3333333333333333</x:v>
      </x:c>
      <x:c r="E3405" s="46" t="n">
        <x:f>D3405*(C3405-1)</x:f>
        <x:v>-0.21276291247430637</x:v>
      </x:c>
      <x:c r="F3405" s="2"/>
      <x:c r="G3405" s="2"/>
      <x:c r="H3405" s="2"/>
    </x:row>
    <x:row r="3406" ht="22" customHeight="1">
      <x:c r="A3406" s="2" t="n">
        <x:v>3400</x:v>
      </x:c>
      <x:c r="B3406" s="79" t="n">
        <x:v>0.8126154732924897</x:v>
      </x:c>
      <x:c r="C3406" s="46" t="n">
        <x:f>B3406^2</x:f>
        <x:v>0.6603439074343771</x:v>
      </x:c>
      <x:c r="D3406" s="47" t="n">
        <x:f>'Datos'!$B$26^3/3</x:f>
        <x:v>0.3333333333333333</x:v>
      </x:c>
      <x:c r="E3406" s="46" t="n">
        <x:f>D3406*(C3406-1)</x:f>
        <x:v>-0.1132186975218743</x:v>
      </x:c>
      <x:c r="F3406" s="2"/>
      <x:c r="G3406" s="2"/>
      <x:c r="H3406" s="2"/>
    </x:row>
    <x:row r="3407" ht="22" customHeight="1">
      <x:c r="A3407" s="2" t="n">
        <x:v>3401</x:v>
      </x:c>
      <x:c r="B3407" s="79" t="n">
        <x:v>1.029616944910766</x:v>
      </x:c>
      <x:c r="C3407" s="46" t="n">
        <x:f>B3407^2</x:f>
        <x:v>1.0601110532473792</x:v>
      </x:c>
      <x:c r="D3407" s="47" t="n">
        <x:f>'Datos'!$B$26^3/3</x:f>
        <x:v>0.3333333333333333</x:v>
      </x:c>
      <x:c r="E3407" s="46" t="n">
        <x:f>D3407*(C3407-1)</x:f>
        <x:v>0.020037017749126397</x:v>
      </x:c>
      <x:c r="F3407" s="2"/>
      <x:c r="G3407" s="2"/>
      <x:c r="H3407" s="2"/>
    </x:row>
    <x:row r="3408" ht="22" customHeight="1">
      <x:c r="A3408" s="2" t="n">
        <x:v>3402</x:v>
      </x:c>
      <x:c r="B3408" s="79" t="n">
        <x:v>0.05871919774463337</x:v>
      </x:c>
      <x:c r="C3408" s="46" t="n">
        <x:f>B3408^2</x:f>
        <x:v>0.0034479441837733564</x:v>
      </x:c>
      <x:c r="D3408" s="47" t="n">
        <x:f>'Datos'!$B$26^3/3</x:f>
        <x:v>0.3333333333333333</x:v>
      </x:c>
      <x:c r="E3408" s="46" t="n">
        <x:f>D3408*(C3408-1)</x:f>
        <x:v>-0.33218401860540886</x:v>
      </x:c>
      <x:c r="F3408" s="2"/>
      <x:c r="G3408" s="2"/>
      <x:c r="H3408" s="2"/>
    </x:row>
    <x:row r="3409" ht="22" customHeight="1">
      <x:c r="A3409" s="2" t="n">
        <x:v>3403</x:v>
      </x:c>
      <x:c r="B3409" s="79" t="n">
        <x:v>1.4036547342283403</x:v>
      </x:c>
      <x:c r="C3409" s="46" t="n">
        <x:f>B3409^2</x:f>
        <x:v>1.9702466129216327</x:v>
      </x:c>
      <x:c r="D3409" s="47" t="n">
        <x:f>'Datos'!$B$26^3/3</x:f>
        <x:v>0.3333333333333333</x:v>
      </x:c>
      <x:c r="E3409" s="46" t="n">
        <x:f>D3409*(C3409-1)</x:f>
        <x:v>0.3234155376405442</x:v>
      </x:c>
      <x:c r="F3409" s="2"/>
      <x:c r="G3409" s="2"/>
      <x:c r="H3409" s="2"/>
    </x:row>
    <x:row r="3410" ht="22" customHeight="1">
      <x:c r="A3410" s="2" t="n">
        <x:v>3404</x:v>
      </x:c>
      <x:c r="B3410" s="79" t="n">
        <x:v>-0.1949542282242877</x:v>
      </x:c>
      <x:c r="C3410" s="46" t="n">
        <x:f>B3410^2</x:f>
        <x:v>0.038007151102527656</x:v>
      </x:c>
      <x:c r="D3410" s="47" t="n">
        <x:f>'Datos'!$B$26^3/3</x:f>
        <x:v>0.3333333333333333</x:v>
      </x:c>
      <x:c r="E3410" s="46" t="n">
        <x:f>D3410*(C3410-1)</x:f>
        <x:v>-0.3206642829658241</x:v>
      </x:c>
      <x:c r="F3410" s="2"/>
      <x:c r="G3410" s="2"/>
      <x:c r="H3410" s="2"/>
    </x:row>
    <x:row r="3411" ht="22" customHeight="1">
      <x:c r="A3411" s="2" t="n">
        <x:v>3405</x:v>
      </x:c>
      <x:c r="B3411" s="79" t="n">
        <x:v>-0.45378834388557865</x:v>
      </x:c>
      <x:c r="C3411" s="46" t="n">
        <x:f>B3411^2</x:f>
        <x:v>0.2059238610464162</x:v>
      </x:c>
      <x:c r="D3411" s="47" t="n">
        <x:f>'Datos'!$B$26^3/3</x:f>
        <x:v>0.3333333333333333</x:v>
      </x:c>
      <x:c r="E3411" s="46" t="n">
        <x:f>D3411*(C3411-1)</x:f>
        <x:v>-0.26469204631786125</x:v>
      </x:c>
      <x:c r="F3411" s="2"/>
      <x:c r="G3411" s="2"/>
      <x:c r="H3411" s="2"/>
    </x:row>
    <x:row r="3412" ht="22" customHeight="1">
      <x:c r="A3412" s="2" t="n">
        <x:v>3406</x:v>
      </x:c>
      <x:c r="B3412" s="79" t="n">
        <x:v>2.596265033024405</x:v>
      </x:c>
      <x:c r="C3412" s="46" t="n">
        <x:f>B3412^2</x:f>
        <x:v>6.740592121705213</x:v>
      </x:c>
      <x:c r="D3412" s="47" t="n">
        <x:f>'Datos'!$B$26^3/3</x:f>
        <x:v>0.3333333333333333</x:v>
      </x:c>
      <x:c r="E3412" s="46" t="n">
        <x:f>D3412*(C3412-1)</x:f>
        <x:v>1.9135307072350711</x:v>
      </x:c>
      <x:c r="F3412" s="2"/>
      <x:c r="G3412" s="2"/>
      <x:c r="H3412" s="2"/>
    </x:row>
    <x:row r="3413" ht="22" customHeight="1">
      <x:c r="A3413" s="2" t="n">
        <x:v>3407</x:v>
      </x:c>
      <x:c r="B3413" s="79" t="n">
        <x:v>0.24646359054401099</x:v>
      </x:c>
      <x:c r="C3413" s="46" t="n">
        <x:f>B3413^2</x:f>
        <x:v>0.0607443014638459</x:v>
      </x:c>
      <x:c r="D3413" s="47" t="n">
        <x:f>'Datos'!$B$26^3/3</x:f>
        <x:v>0.3333333333333333</x:v>
      </x:c>
      <x:c r="E3413" s="46" t="n">
        <x:f>D3413*(C3413-1)</x:f>
        <x:v>-0.3130852328453847</x:v>
      </x:c>
      <x:c r="F3413" s="2"/>
      <x:c r="G3413" s="2"/>
      <x:c r="H3413" s="2"/>
    </x:row>
    <x:row r="3414" ht="22" customHeight="1">
      <x:c r="A3414" s="2" t="n">
        <x:v>3408</x:v>
      </x:c>
      <x:c r="B3414" s="79" t="n">
        <x:v>-0.25055089215386656</x:v>
      </x:c>
      <x:c r="C3414" s="46" t="n">
        <x:f>B3414^2</x:f>
        <x:v>0.06277574955909847</x:v>
      </x:c>
      <x:c r="D3414" s="47" t="n">
        <x:f>'Datos'!$B$26^3/3</x:f>
        <x:v>0.3333333333333333</x:v>
      </x:c>
      <x:c r="E3414" s="46" t="n">
        <x:f>D3414*(C3414-1)</x:f>
        <x:v>-0.31240808348030047</x:v>
      </x:c>
      <x:c r="F3414" s="2"/>
      <x:c r="G3414" s="2"/>
      <x:c r="H3414" s="2"/>
    </x:row>
    <x:row r="3415" ht="22" customHeight="1">
      <x:c r="A3415" s="2" t="n">
        <x:v>3409</x:v>
      </x:c>
      <x:c r="B3415" s="79" t="n">
        <x:v>0.36602982697450087</x:v>
      </x:c>
      <x:c r="C3415" s="46" t="n">
        <x:f>B3415^2</x:f>
        <x:v>0.13397783423498305</x:v>
      </x:c>
      <x:c r="D3415" s="47" t="n">
        <x:f>'Datos'!$B$26^3/3</x:f>
        <x:v>0.3333333333333333</x:v>
      </x:c>
      <x:c r="E3415" s="46" t="n">
        <x:f>D3415*(C3415-1)</x:f>
        <x:v>-0.2886740552550056</x:v>
      </x:c>
      <x:c r="F3415" s="2"/>
      <x:c r="G3415" s="2"/>
      <x:c r="H3415" s="2"/>
    </x:row>
    <x:row r="3416" ht="22" customHeight="1">
      <x:c r="A3416" s="2" t="n">
        <x:v>3410</x:v>
      </x:c>
      <x:c r="B3416" s="79" t="n">
        <x:v>-0.7464680342641024</x:v>
      </x:c>
      <x:c r="C3416" s="46" t="n">
        <x:f>B3416^2</x:f>
        <x:v>0.5572145261781131</x:v>
      </x:c>
      <x:c r="D3416" s="47" t="n">
        <x:f>'Datos'!$B$26^3/3</x:f>
        <x:v>0.3333333333333333</x:v>
      </x:c>
      <x:c r="E3416" s="46" t="n">
        <x:f>D3416*(C3416-1)</x:f>
        <x:v>-0.14759515794062897</x:v>
      </x:c>
      <x:c r="F3416" s="2"/>
      <x:c r="G3416" s="2"/>
      <x:c r="H3416" s="2"/>
    </x:row>
    <x:row r="3417" ht="22" customHeight="1">
      <x:c r="A3417" s="2" t="n">
        <x:v>3411</x:v>
      </x:c>
      <x:c r="B3417" s="79" t="n">
        <x:v>1.4981495312873414</x:v>
      </x:c>
      <x:c r="C3417" s="46" t="n">
        <x:f>B3417^2</x:f>
        <x:v>2.2444520180964806</x:v>
      </x:c>
      <x:c r="D3417" s="47" t="n">
        <x:f>'Datos'!$B$26^3/3</x:f>
        <x:v>0.3333333333333333</x:v>
      </x:c>
      <x:c r="E3417" s="46" t="n">
        <x:f>D3417*(C3417-1)</x:f>
        <x:v>0.41481733936549353</x:v>
      </x:c>
      <x:c r="F3417" s="2"/>
      <x:c r="G3417" s="2"/>
      <x:c r="H3417" s="2"/>
    </x:row>
    <x:row r="3418" ht="22" customHeight="1">
      <x:c r="A3418" s="2" t="n">
        <x:v>3412</x:v>
      </x:c>
      <x:c r="B3418" s="79" t="n">
        <x:v>-0.7448383327771725</x:v>
      </x:c>
      <x:c r="C3418" s="46" t="n">
        <x:f>B3418^2</x:f>
        <x:v>0.554784141974278</x:v>
      </x:c>
      <x:c r="D3418" s="47" t="n">
        <x:f>'Datos'!$B$26^3/3</x:f>
        <x:v>0.3333333333333333</x:v>
      </x:c>
      <x:c r="E3418" s="46" t="n">
        <x:f>D3418*(C3418-1)</x:f>
        <x:v>-0.148405286008574</x:v>
      </x:c>
      <x:c r="F3418" s="2"/>
      <x:c r="G3418" s="2"/>
      <x:c r="H3418" s="2"/>
    </x:row>
    <x:row r="3419" ht="22" customHeight="1">
      <x:c r="A3419" s="2" t="n">
        <x:v>3413</x:v>
      </x:c>
      <x:c r="B3419" s="79" t="n">
        <x:v>0.5921487952920284</x:v>
      </x:c>
      <x:c r="C3419" s="46" t="n">
        <x:f>B3419^2</x:f>
        <x:v>0.3506401957658005</x:v>
      </x:c>
      <x:c r="D3419" s="47" t="n">
        <x:f>'Datos'!$B$26^3/3</x:f>
        <x:v>0.3333333333333333</x:v>
      </x:c>
      <x:c r="E3419" s="46" t="n">
        <x:f>D3419*(C3419-1)</x:f>
        <x:v>-0.21645326807806647</x:v>
      </x:c>
      <x:c r="F3419" s="2"/>
      <x:c r="G3419" s="2"/>
      <x:c r="H3419" s="2"/>
    </x:row>
    <x:row r="3420" ht="22" customHeight="1">
      <x:c r="A3420" s="2" t="n">
        <x:v>3414</x:v>
      </x:c>
      <x:c r="B3420" s="79" t="n">
        <x:v>1.5047804141094383</x:v>
      </x:c>
      <x:c r="C3420" s="46" t="n">
        <x:f>B3420^2</x:f>
        <x:v>2.2643640946873727</x:v>
      </x:c>
      <x:c r="D3420" s="47" t="n">
        <x:f>'Datos'!$B$26^3/3</x:f>
        <x:v>0.3333333333333333</x:v>
      </x:c>
      <x:c r="E3420" s="46" t="n">
        <x:f>D3420*(C3420-1)</x:f>
        <x:v>0.4214546982291242</x:v>
      </x:c>
      <x:c r="F3420" s="2"/>
      <x:c r="G3420" s="2"/>
      <x:c r="H3420" s="2"/>
    </x:row>
    <x:row r="3421" ht="22" customHeight="1">
      <x:c r="A3421" s="2" t="n">
        <x:v>3415</x:v>
      </x:c>
      <x:c r="B3421" s="79" t="n">
        <x:v>0.7904809535306092</x:v>
      </x:c>
      <x:c r="C3421" s="46" t="n">
        <x:f>B3421^2</x:f>
        <x:v>0.6248601378946611</x:v>
      </x:c>
      <x:c r="D3421" s="47" t="n">
        <x:f>'Datos'!$B$26^3/3</x:f>
        <x:v>0.3333333333333333</x:v>
      </x:c>
      <x:c r="E3421" s="46" t="n">
        <x:f>D3421*(C3421-1)</x:f>
        <x:v>-0.12504662070177963</x:v>
      </x:c>
      <x:c r="F3421" s="2"/>
      <x:c r="G3421" s="2"/>
      <x:c r="H3421" s="2"/>
    </x:row>
    <x:row r="3422" ht="22" customHeight="1">
      <x:c r="A3422" s="2" t="n">
        <x:v>3416</x:v>
      </x:c>
      <x:c r="B3422" s="79" t="n">
        <x:v>-0.1237557943248565</x:v>
      </x:c>
      <x:c r="C3422" s="46" t="n">
        <x:f>B3422^2</x:f>
        <x:v>0.015315496628976185</x:v>
      </x:c>
      <x:c r="D3422" s="47" t="n">
        <x:f>'Datos'!$B$26^3/3</x:f>
        <x:v>0.3333333333333333</x:v>
      </x:c>
      <x:c r="E3422" s="46" t="n">
        <x:f>D3422*(C3422-1)</x:f>
        <x:v>-0.32822816779034125</x:v>
      </x:c>
      <x:c r="F3422" s="2"/>
      <x:c r="G3422" s="2"/>
      <x:c r="H3422" s="2"/>
    </x:row>
    <x:row r="3423" ht="22" customHeight="1">
      <x:c r="A3423" s="2" t="n">
        <x:v>3417</x:v>
      </x:c>
      <x:c r="B3423" s="79" t="n">
        <x:v>-0.015283226840673817</x:v>
      </x:c>
      <x:c r="C3423" s="46" t="n">
        <x:f>B3423^2</x:f>
        <x:v>0.0002335770226634926</x:v>
      </x:c>
      <x:c r="D3423" s="47" t="n">
        <x:f>'Datos'!$B$26^3/3</x:f>
        <x:v>0.3333333333333333</x:v>
      </x:c>
      <x:c r="E3423" s="46" t="n">
        <x:f>D3423*(C3423-1)</x:f>
        <x:v>-0.33325547432577884</x:v>
      </x:c>
      <x:c r="F3423" s="2"/>
      <x:c r="G3423" s="2"/>
      <x:c r="H3423" s="2"/>
    </x:row>
    <x:row r="3424" ht="22" customHeight="1">
      <x:c r="A3424" s="2" t="n">
        <x:v>3418</x:v>
      </x:c>
      <x:c r="B3424" s="79" t="n">
        <x:v>-0.04675105740477382</x:v>
      </x:c>
      <x:c r="C3424" s="46" t="n">
        <x:f>B3424^2</x:f>
        <x:v>0.0021856613684644566</x:v>
      </x:c>
      <x:c r="D3424" s="47" t="n">
        <x:f>'Datos'!$B$26^3/3</x:f>
        <x:v>0.3333333333333333</x:v>
      </x:c>
      <x:c r="E3424" s="46" t="n">
        <x:f>D3424*(C3424-1)</x:f>
        <x:v>-0.33260477954384515</x:v>
      </x:c>
      <x:c r="F3424" s="2"/>
      <x:c r="G3424" s="2"/>
      <x:c r="H3424" s="2"/>
    </x:row>
    <x:row r="3425" ht="22" customHeight="1">
      <x:c r="A3425" s="2" t="n">
        <x:v>3419</x:v>
      </x:c>
      <x:c r="B3425" s="79" t="n">
        <x:v>-1.1085845964270098</x:v>
      </x:c>
      <x:c r="C3425" s="46" t="n">
        <x:f>B3425^2</x:f>
        <x:v>1.2289598074352361</x:v>
      </x:c>
      <x:c r="D3425" s="47" t="n">
        <x:f>'Datos'!$B$26^3/3</x:f>
        <x:v>0.3333333333333333</x:v>
      </x:c>
      <x:c r="E3425" s="46" t="n">
        <x:f>D3425*(C3425-1)</x:f>
        <x:v>0.07631993581174537</x:v>
      </x:c>
      <x:c r="F3425" s="2"/>
      <x:c r="G3425" s="2"/>
      <x:c r="H3425" s="2"/>
    </x:row>
    <x:row r="3426" ht="22" customHeight="1">
      <x:c r="A3426" s="2" t="n">
        <x:v>3420</x:v>
      </x:c>
      <x:c r="B3426" s="79" t="n">
        <x:v>-1.098396101280069</x:v>
      </x:c>
      <x:c r="C3426" s="46" t="n">
        <x:f>B3426^2</x:f>
        <x:v>1.2064739953072554</x:v>
      </x:c>
      <x:c r="D3426" s="47" t="n">
        <x:f>'Datos'!$B$26^3/3</x:f>
        <x:v>0.3333333333333333</x:v>
      </x:c>
      <x:c r="E3426" s="46" t="n">
        <x:f>D3426*(C3426-1)</x:f>
        <x:v>0.06882466510241847</x:v>
      </x:c>
      <x:c r="F3426" s="2"/>
      <x:c r="G3426" s="2"/>
      <x:c r="H3426" s="2"/>
    </x:row>
    <x:row r="3427" ht="22" customHeight="1">
      <x:c r="A3427" s="2" t="n">
        <x:v>3421</x:v>
      </x:c>
      <x:c r="B3427" s="79" t="n">
        <x:v>-1.082136346038554</x:v>
      </x:c>
      <x:c r="C3427" s="46" t="n">
        <x:f>B3427^2</x:f>
        <x:v>1.1710190714176731</x:v>
      </x:c>
      <x:c r="D3427" s="47" t="n">
        <x:f>'Datos'!$B$26^3/3</x:f>
        <x:v>0.3333333333333333</x:v>
      </x:c>
      <x:c r="E3427" s="46" t="n">
        <x:f>D3427*(C3427-1)</x:f>
        <x:v>0.057006357139224376</x:v>
      </x:c>
      <x:c r="F3427" s="2"/>
      <x:c r="G3427" s="2"/>
      <x:c r="H3427" s="2"/>
    </x:row>
    <x:row r="3428" ht="22" customHeight="1">
      <x:c r="A3428" s="2" t="n">
        <x:v>3422</x:v>
      </x:c>
      <x:c r="B3428" s="79" t="n">
        <x:v>-0.23152747558976425</x:v>
      </x:c>
      <x:c r="C3428" s="46" t="n">
        <x:f>B3428^2</x:f>
        <x:v>0.05360497195296888</x:v>
      </x:c>
      <x:c r="D3428" s="47" t="n">
        <x:f>'Datos'!$B$26^3/3</x:f>
        <x:v>0.3333333333333333</x:v>
      </x:c>
      <x:c r="E3428" s="46" t="n">
        <x:f>D3428*(C3428-1)</x:f>
        <x:v>-0.31546500934901034</x:v>
      </x:c>
      <x:c r="F3428" s="2"/>
      <x:c r="G3428" s="2"/>
      <x:c r="H3428" s="2"/>
    </x:row>
    <x:row r="3429" ht="22" customHeight="1">
      <x:c r="A3429" s="2" t="n">
        <x:v>3423</x:v>
      </x:c>
      <x:c r="B3429" s="79" t="n">
        <x:v>0.1777668209625807</x:v>
      </x:c>
      <x:c r="C3429" s="46" t="n">
        <x:f>B3429^2</x:f>
        <x:v>0.03160104263514222</x:v>
      </x:c>
      <x:c r="D3429" s="47" t="n">
        <x:f>'Datos'!$B$26^3/3</x:f>
        <x:v>0.3333333333333333</x:v>
      </x:c>
      <x:c r="E3429" s="46" t="n">
        <x:f>D3429*(C3429-1)</x:f>
        <x:v>-0.32279965245495257</x:v>
      </x:c>
      <x:c r="F3429" s="2"/>
      <x:c r="G3429" s="2"/>
      <x:c r="H3429" s="2"/>
    </x:row>
    <x:row r="3430" ht="22" customHeight="1">
      <x:c r="A3430" s="2" t="n">
        <x:v>3424</x:v>
      </x:c>
      <x:c r="B3430" s="79" t="n">
        <x:v>0.5107539243346361</x:v>
      </x:c>
      <x:c r="C3430" s="46" t="n">
        <x:f>B3430^2</x:f>
        <x:v>0.2608695712232311</x:v>
      </x:c>
      <x:c r="D3430" s="47" t="n">
        <x:f>'Datos'!$B$26^3/3</x:f>
        <x:v>0.3333333333333333</x:v>
      </x:c>
      <x:c r="E3430" s="46" t="n">
        <x:f>D3430*(C3430-1)</x:f>
        <x:v>-0.24637680959225627</x:v>
      </x:c>
      <x:c r="F3430" s="2"/>
      <x:c r="G3430" s="2"/>
      <x:c r="H3430" s="2"/>
    </x:row>
    <x:row r="3431" ht="22" customHeight="1">
      <x:c r="A3431" s="2" t="n">
        <x:v>3425</x:v>
      </x:c>
      <x:c r="B3431" s="79" t="n">
        <x:v>-0.2812255115647619</x:v>
      </x:c>
      <x:c r="C3431" s="46" t="n">
        <x:f>B3431^2</x:f>
        <x:v>0.07908778835486202</x:v>
      </x:c>
      <x:c r="D3431" s="47" t="n">
        <x:f>'Datos'!$B$26^3/3</x:f>
        <x:v>0.3333333333333333</x:v>
      </x:c>
      <x:c r="E3431" s="46" t="n">
        <x:f>D3431*(C3431-1)</x:f>
        <x:v>-0.306970737215046</x:v>
      </x:c>
      <x:c r="F3431" s="2"/>
      <x:c r="G3431" s="2"/>
      <x:c r="H3431" s="2"/>
    </x:row>
    <x:row r="3432" ht="22" customHeight="1">
      <x:c r="A3432" s="2" t="n">
        <x:v>3426</x:v>
      </x:c>
      <x:c r="B3432" s="79" t="n">
        <x:v>1.4434211826989236</x:v>
      </x:c>
      <x:c r="C3432" s="46" t="n">
        <x:f>B3432^2</x:f>
        <x:v>2.0834647106639594</x:v>
      </x:c>
      <x:c r="D3432" s="47" t="n">
        <x:f>'Datos'!$B$26^3/3</x:f>
        <x:v>0.3333333333333333</x:v>
      </x:c>
      <x:c r="E3432" s="46" t="n">
        <x:f>D3432*(C3432-1)</x:f>
        <x:v>0.36115490355465313</x:v>
      </x:c>
      <x:c r="F3432" s="2"/>
      <x:c r="G3432" s="2"/>
      <x:c r="H3432" s="2"/>
    </x:row>
    <x:row r="3433" ht="22" customHeight="1">
      <x:c r="A3433" s="2" t="n">
        <x:v>3427</x:v>
      </x:c>
      <x:c r="B3433" s="79" t="n">
        <x:v>-0.17548632260301933</x:v>
      </x:c>
      <x:c r="C3433" s="46" t="n">
        <x:f>B3433^2</x:f>
        <x:v>0.030795449420730973</x:v>
      </x:c>
      <x:c r="D3433" s="47" t="n">
        <x:f>'Datos'!$B$26^3/3</x:f>
        <x:v>0.3333333333333333</x:v>
      </x:c>
      <x:c r="E3433" s="46" t="n">
        <x:f>D3433*(C3433-1)</x:f>
        <x:v>-0.32306818352642297</x:v>
      </x:c>
      <x:c r="F3433" s="2"/>
      <x:c r="G3433" s="2"/>
      <x:c r="H3433" s="2"/>
    </x:row>
    <x:row r="3434" ht="22" customHeight="1">
      <x:c r="A3434" s="2" t="n">
        <x:v>3428</x:v>
      </x:c>
      <x:c r="B3434" s="79" t="n">
        <x:v>0.22496421941731792</x:v>
      </x:c>
      <x:c r="C3434" s="46" t="n">
        <x:f>B3434^2</x:f>
        <x:v>0.05060890001804316</x:v>
      </x:c>
      <x:c r="D3434" s="47" t="n">
        <x:f>'Datos'!$B$26^3/3</x:f>
        <x:v>0.3333333333333333</x:v>
      </x:c>
      <x:c r="E3434" s="46" t="n">
        <x:f>D3434*(C3434-1)</x:f>
        <x:v>-0.3164636999939856</x:v>
      </x:c>
      <x:c r="F3434" s="2"/>
      <x:c r="G3434" s="2"/>
      <x:c r="H3434" s="2"/>
    </x:row>
    <x:row r="3435" ht="22" customHeight="1">
      <x:c r="A3435" s="2" t="n">
        <x:v>3429</x:v>
      </x:c>
      <x:c r="B3435" s="79" t="n">
        <x:v>0.9649280158685891</x:v>
      </x:c>
      <x:c r="C3435" s="46" t="n">
        <x:f>B3435^2</x:f>
        <x:v>0.9310860758080922</x:v>
      </x:c>
      <x:c r="D3435" s="47" t="n">
        <x:f>'Datos'!$B$26^3/3</x:f>
        <x:v>0.3333333333333333</x:v>
      </x:c>
      <x:c r="E3435" s="46" t="n">
        <x:f>D3435*(C3435-1)</x:f>
        <x:v>-0.02297130806396926</x:v>
      </x:c>
      <x:c r="F3435" s="2"/>
      <x:c r="G3435" s="2"/>
      <x:c r="H3435" s="2"/>
    </x:row>
    <x:row r="3436" ht="22" customHeight="1">
      <x:c r="A3436" s="2" t="n">
        <x:v>3430</x:v>
      </x:c>
      <x:c r="B3436" s="79" t="n">
        <x:v>0.29244930853140794</x:v>
      </x:c>
      <x:c r="C3436" s="46" t="n">
        <x:f>B3436^2</x:f>
        <x:v>0.08552659806049863</x:v>
      </x:c>
      <x:c r="D3436" s="47" t="n">
        <x:f>'Datos'!$B$26^3/3</x:f>
        <x:v>0.3333333333333333</x:v>
      </x:c>
      <x:c r="E3436" s="46" t="n">
        <x:f>D3436*(C3436-1)</x:f>
        <x:v>-0.3048244673131671</x:v>
      </x:c>
      <x:c r="F3436" s="2"/>
      <x:c r="G3436" s="2"/>
      <x:c r="H3436" s="2"/>
    </x:row>
    <x:row r="3437" ht="22" customHeight="1">
      <x:c r="A3437" s="2" t="n">
        <x:v>3431</x:v>
      </x:c>
      <x:c r="B3437" s="79" t="n">
        <x:v>0.3126776841235393</x:v>
      </x:c>
      <x:c r="C3437" s="46" t="n">
        <x:f>B3437^2</x:f>
        <x:v>0.09776733414885982</x:v>
      </x:c>
      <x:c r="D3437" s="47" t="n">
        <x:f>'Datos'!$B$26^3/3</x:f>
        <x:v>0.3333333333333333</x:v>
      </x:c>
      <x:c r="E3437" s="46" t="n">
        <x:f>D3437*(C3437-1)</x:f>
        <x:v>-0.30074422195038003</x:v>
      </x:c>
      <x:c r="F3437" s="2"/>
      <x:c r="G3437" s="2"/>
      <x:c r="H3437" s="2"/>
    </x:row>
    <x:row r="3438" ht="22" customHeight="1">
      <x:c r="A3438" s="2" t="n">
        <x:v>3432</x:v>
      </x:c>
      <x:c r="B3438" s="79" t="n">
        <x:v>2.0976534962358566</x:v>
      </x:c>
      <x:c r="C3438" s="46" t="n">
        <x:f>B3438^2</x:f>
        <x:v>4.400150190270513</x:v>
      </x:c>
      <x:c r="D3438" s="47" t="n">
        <x:f>'Datos'!$B$26^3/3</x:f>
        <x:v>0.3333333333333333</x:v>
      </x:c>
      <x:c r="E3438" s="46" t="n">
        <x:f>D3438*(C3438-1)</x:f>
        <x:v>1.1333833967568376</x:v>
      </x:c>
      <x:c r="F3438" s="2"/>
      <x:c r="G3438" s="2"/>
      <x:c r="H3438" s="2"/>
    </x:row>
    <x:row r="3439" ht="22" customHeight="1">
      <x:c r="A3439" s="2" t="n">
        <x:v>3433</x:v>
      </x:c>
      <x:c r="B3439" s="79" t="n">
        <x:v>0.46916509066342205</x:v>
      </x:c>
      <x:c r="C3439" s="46" t="n">
        <x:f>B3439^2</x:f>
        <x:v>0.22011588229721704</x:v>
      </x:c>
      <x:c r="D3439" s="47" t="n">
        <x:f>'Datos'!$B$26^3/3</x:f>
        <x:v>0.3333333333333333</x:v>
      </x:c>
      <x:c r="E3439" s="46" t="n">
        <x:f>D3439*(C3439-1)</x:f>
        <x:v>-0.25996137256759433</x:v>
      </x:c>
      <x:c r="F3439" s="2"/>
      <x:c r="G3439" s="2"/>
      <x:c r="H3439" s="2"/>
    </x:row>
    <x:row r="3440" ht="22" customHeight="1">
      <x:c r="A3440" s="2" t="n">
        <x:v>3434</x:v>
      </x:c>
      <x:c r="B3440" s="79" t="n">
        <x:v>2.627151942451207</x:v>
      </x:c>
      <x:c r="C3440" s="46" t="n">
        <x:f>B3440^2</x:f>
        <x:v>6.901927328725149</x:v>
      </x:c>
      <x:c r="D3440" s="47" t="n">
        <x:f>'Datos'!$B$26^3/3</x:f>
        <x:v>0.3333333333333333</x:v>
      </x:c>
      <x:c r="E3440" s="46" t="n">
        <x:f>D3440*(C3440-1)</x:f>
        <x:v>1.9673091095750497</x:v>
      </x:c>
      <x:c r="F3440" s="2"/>
      <x:c r="G3440" s="2"/>
      <x:c r="H3440" s="2"/>
    </x:row>
    <x:row r="3441" ht="22" customHeight="1">
      <x:c r="A3441" s="2" t="n">
        <x:v>3435</x:v>
      </x:c>
      <x:c r="B3441" s="79" t="n">
        <x:v>0.07966738381354323</x:v>
      </x:c>
      <x:c r="C3441" s="46" t="n">
        <x:f>B3441^2</x:f>
        <x:v>0.006346892043694409</x:v>
      </x:c>
      <x:c r="D3441" s="47" t="n">
        <x:f>'Datos'!$B$26^3/3</x:f>
        <x:v>0.3333333333333333</x:v>
      </x:c>
      <x:c r="E3441" s="46" t="n">
        <x:f>D3441*(C3441-1)</x:f>
        <x:v>-0.3312177026521018</x:v>
      </x:c>
      <x:c r="F3441" s="2"/>
      <x:c r="G3441" s="2"/>
      <x:c r="H3441" s="2"/>
    </x:row>
    <x:row r="3442" ht="22" customHeight="1">
      <x:c r="A3442" s="2" t="n">
        <x:v>3436</x:v>
      </x:c>
      <x:c r="B3442" s="79" t="n">
        <x:v>2.570652240239481</x:v>
      </x:c>
      <x:c r="C3442" s="46" t="n">
        <x:f>B3442^2</x:f>
        <x:v>6.608252940248263</x:v>
      </x:c>
      <x:c r="D3442" s="47" t="n">
        <x:f>'Datos'!$B$26^3/3</x:f>
        <x:v>0.3333333333333333</x:v>
      </x:c>
      <x:c r="E3442" s="46" t="n">
        <x:f>D3442*(C3442-1)</x:f>
        <x:v>1.8694176467494208</x:v>
      </x:c>
      <x:c r="F3442" s="2"/>
      <x:c r="G3442" s="2"/>
      <x:c r="H3442" s="2"/>
    </x:row>
    <x:row r="3443" ht="22" customHeight="1">
      <x:c r="A3443" s="2" t="n">
        <x:v>3437</x:v>
      </x:c>
      <x:c r="B3443" s="79" t="n">
        <x:v>1.6284637135580924</x:v>
      </x:c>
      <x:c r="C3443" s="46" t="n">
        <x:f>B3443^2</x:f>
        <x:v>2.6518940663754127</x:v>
      </x:c>
      <x:c r="D3443" s="47" t="n">
        <x:f>'Datos'!$B$26^3/3</x:f>
        <x:v>0.3333333333333333</x:v>
      </x:c>
      <x:c r="E3443" s="46" t="n">
        <x:f>D3443*(C3443-1)</x:f>
        <x:v>0.5506313554584709</x:v>
      </x:c>
      <x:c r="F3443" s="2"/>
      <x:c r="G3443" s="2"/>
      <x:c r="H3443" s="2"/>
    </x:row>
    <x:row r="3444" ht="22" customHeight="1">
      <x:c r="A3444" s="2" t="n">
        <x:v>3438</x:v>
      </x:c>
      <x:c r="B3444" s="79" t="n">
        <x:v>0.36864555580547576</x:v>
      </x:c>
      <x:c r="C3444" s="46" t="n">
        <x:f>B3444^2</x:f>
        <x:v>0.13589954581512814</x:v>
      </x:c>
      <x:c r="D3444" s="47" t="n">
        <x:f>'Datos'!$B$26^3/3</x:f>
        <x:v>0.3333333333333333</x:v>
      </x:c>
      <x:c r="E3444" s="46" t="n">
        <x:f>D3444*(C3444-1)</x:f>
        <x:v>-0.2880334847282906</x:v>
      </x:c>
      <x:c r="F3444" s="2"/>
      <x:c r="G3444" s="2"/>
      <x:c r="H3444" s="2"/>
    </x:row>
    <x:row r="3445" ht="22" customHeight="1">
      <x:c r="A3445" s="2" t="n">
        <x:v>3439</x:v>
      </x:c>
      <x:c r="B3445" s="79" t="n">
        <x:v>-0.07577300927661162</x:v>
      </x:c>
      <x:c r="C3445" s="46" t="n">
        <x:f>B3445^2</x:f>
        <x:v>0.005741548934833471</x:v>
      </x:c>
      <x:c r="D3445" s="47" t="n">
        <x:f>'Datos'!$B$26^3/3</x:f>
        <x:v>0.3333333333333333</x:v>
      </x:c>
      <x:c r="E3445" s="46" t="n">
        <x:f>D3445*(C3445-1)</x:f>
        <x:v>-0.3314194836883888</x:v>
      </x:c>
      <x:c r="F3445" s="2"/>
      <x:c r="G3445" s="2"/>
      <x:c r="H3445" s="2"/>
    </x:row>
    <x:row r="3446" ht="22" customHeight="1">
      <x:c r="A3446" s="2" t="n">
        <x:v>3440</x:v>
      </x:c>
      <x:c r="B3446" s="79" t="n">
        <x:v>-1.5796037820567672</x:v>
      </x:c>
      <x:c r="C3446" s="46" t="n">
        <x:f>B3446^2</x:f>
        <x:v>2.495148108288043</x:v>
      </x:c>
      <x:c r="D3446" s="47" t="n">
        <x:f>'Datos'!$B$26^3/3</x:f>
        <x:v>0.3333333333333333</x:v>
      </x:c>
      <x:c r="E3446" s="46" t="n">
        <x:f>D3446*(C3446-1)</x:f>
        <x:v>0.49838270276268093</x:v>
      </x:c>
      <x:c r="F3446" s="2"/>
      <x:c r="G3446" s="2"/>
      <x:c r="H3446" s="2"/>
    </x:row>
    <x:row r="3447" ht="22" customHeight="1">
      <x:c r="A3447" s="2" t="n">
        <x:v>3441</x:v>
      </x:c>
      <x:c r="B3447" s="79" t="n">
        <x:v>0.8394929121796483</x:v>
      </x:c>
      <x:c r="C3447" s="46" t="n">
        <x:f>B3447^2</x:f>
        <x:v>0.7047483495998667</x:v>
      </x:c>
      <x:c r="D3447" s="47" t="n">
        <x:f>'Datos'!$B$26^3/3</x:f>
        <x:v>0.3333333333333333</x:v>
      </x:c>
      <x:c r="E3447" s="46" t="n">
        <x:f>D3447*(C3447-1)</x:f>
        <x:v>-0.09841721680004445</x:v>
      </x:c>
      <x:c r="F3447" s="2"/>
      <x:c r="G3447" s="2"/>
      <x:c r="H3447" s="2"/>
    </x:row>
    <x:row r="3448" ht="22" customHeight="1">
      <x:c r="A3448" s="2" t="n">
        <x:v>3442</x:v>
      </x:c>
      <x:c r="B3448" s="79" t="n">
        <x:v>0.5425894302399503</x:v>
      </x:c>
      <x:c r="C3448" s="46" t="n">
        <x:f>B3448^2</x:f>
        <x:v>0.2944032898081139</x:v>
      </x:c>
      <x:c r="D3448" s="47" t="n">
        <x:f>'Datos'!$B$26^3/3</x:f>
        <x:v>0.3333333333333333</x:v>
      </x:c>
      <x:c r="E3448" s="46" t="n">
        <x:f>D3448*(C3448-1)</x:f>
        <x:v>-0.23519890339729535</x:v>
      </x:c>
      <x:c r="F3448" s="2"/>
      <x:c r="G3448" s="2"/>
      <x:c r="H3448" s="2"/>
    </x:row>
    <x:row r="3449" ht="22" customHeight="1">
      <x:c r="A3449" s="2" t="n">
        <x:v>3443</x:v>
      </x:c>
      <x:c r="B3449" s="79" t="n">
        <x:v>0.6061814825537564</x:v>
      </x:c>
      <x:c r="C3449" s="46" t="n">
        <x:f>B3449^2</x:f>
        <x:v>0.36745598979107</x:v>
      </x:c>
      <x:c r="D3449" s="47" t="n">
        <x:f>'Datos'!$B$26^3/3</x:f>
        <x:v>0.3333333333333333</x:v>
      </x:c>
      <x:c r="E3449" s="46" t="n">
        <x:f>D3449*(C3449-1)</x:f>
        <x:v>-0.21084800340297663</x:v>
      </x:c>
      <x:c r="F3449" s="2"/>
      <x:c r="G3449" s="2"/>
      <x:c r="H3449" s="2"/>
    </x:row>
    <x:row r="3450" ht="22" customHeight="1">
      <x:c r="A3450" s="2" t="n">
        <x:v>3444</x:v>
      </x:c>
      <x:c r="B3450" s="79" t="n">
        <x:v>-1.2398825982316393</x:v>
      </x:c>
      <x:c r="C3450" s="46" t="n">
        <x:f>B3450^2</x:f>
        <x:v>1.5373088573976406</x:v>
      </x:c>
      <x:c r="D3450" s="47" t="n">
        <x:f>'Datos'!$B$26^3/3</x:f>
        <x:v>0.3333333333333333</x:v>
      </x:c>
      <x:c r="E3450" s="46" t="n">
        <x:f>D3450*(C3450-1)</x:f>
        <x:v>0.17910295246588018</x:v>
      </x:c>
      <x:c r="F3450" s="2"/>
      <x:c r="G3450" s="2"/>
      <x:c r="H3450" s="2"/>
    </x:row>
    <x:row r="3451" ht="22" customHeight="1">
      <x:c r="A3451" s="2" t="n">
        <x:v>3445</x:v>
      </x:c>
      <x:c r="B3451" s="79" t="n">
        <x:v>0.7598363308194734</x:v>
      </x:c>
      <x:c r="C3451" s="46" t="n">
        <x:f>B3451^2</x:f>
        <x:v>0.5773512496332003</x:v>
      </x:c>
      <x:c r="D3451" s="47" t="n">
        <x:f>'Datos'!$B$26^3/3</x:f>
        <x:v>0.3333333333333333</x:v>
      </x:c>
      <x:c r="E3451" s="46" t="n">
        <x:f>D3451*(C3451-1)</x:f>
        <x:v>-0.14088291678893322</x:v>
      </x:c>
      <x:c r="F3451" s="2"/>
      <x:c r="G3451" s="2"/>
      <x:c r="H3451" s="2"/>
    </x:row>
    <x:row r="3452" ht="22" customHeight="1">
      <x:c r="A3452" s="2" t="n">
        <x:v>3446</x:v>
      </x:c>
      <x:c r="B3452" s="79" t="n">
        <x:v>0.6551898147902051</x:v>
      </x:c>
      <x:c r="C3452" s="46" t="n">
        <x:f>B3452^2</x:f>
        <x:v>0.42927369340482324</x:v>
      </x:c>
      <x:c r="D3452" s="47" t="n">
        <x:f>'Datos'!$B$26^3/3</x:f>
        <x:v>0.3333333333333333</x:v>
      </x:c>
      <x:c r="E3452" s="46" t="n">
        <x:f>D3452*(C3452-1)</x:f>
        <x:v>-0.19024210219839224</x:v>
      </x:c>
      <x:c r="F3452" s="2"/>
      <x:c r="G3452" s="2"/>
      <x:c r="H3452" s="2"/>
    </x:row>
    <x:row r="3453" ht="22" customHeight="1">
      <x:c r="A3453" s="2" t="n">
        <x:v>3447</x:v>
      </x:c>
      <x:c r="B3453" s="79" t="n">
        <x:v>-1.485678064346087</x:v>
      </x:c>
      <x:c r="C3453" s="46" t="n">
        <x:f>B3453^2</x:f>
        <x:v>2.2072393108791357</x:v>
      </x:c>
      <x:c r="D3453" s="47" t="n">
        <x:f>'Datos'!$B$26^3/3</x:f>
        <x:v>0.3333333333333333</x:v>
      </x:c>
      <x:c r="E3453" s="46" t="n">
        <x:f>D3453*(C3453-1)</x:f>
        <x:v>0.40241310362637855</x:v>
      </x:c>
      <x:c r="F3453" s="2"/>
      <x:c r="G3453" s="2"/>
      <x:c r="H3453" s="2"/>
    </x:row>
    <x:row r="3454" ht="22" customHeight="1">
      <x:c r="A3454" s="2" t="n">
        <x:v>3448</x:v>
      </x:c>
      <x:c r="B3454" s="79" t="n">
        <x:v>-1.8885442014933662</x:v>
      </x:c>
      <x:c r="C3454" s="46" t="n">
        <x:f>B3454^2</x:f>
        <x:v>3.566599200994216</x:v>
      </x:c>
      <x:c r="D3454" s="47" t="n">
        <x:f>'Datos'!$B$26^3/3</x:f>
        <x:v>0.3333333333333333</x:v>
      </x:c>
      <x:c r="E3454" s="46" t="n">
        <x:f>D3454*(C3454-1)</x:f>
        <x:v>0.855533066998072</x:v>
      </x:c>
      <x:c r="F3454" s="2"/>
      <x:c r="G3454" s="2"/>
      <x:c r="H3454" s="2"/>
    </x:row>
    <x:row r="3455" ht="22" customHeight="1">
      <x:c r="A3455" s="2" t="n">
        <x:v>3449</x:v>
      </x:c>
      <x:c r="B3455" s="79" t="n">
        <x:v>1.0677200871177916</x:v>
      </x:c>
      <x:c r="C3455" s="46" t="n">
        <x:f>B3455^2</x:f>
        <x:v>1.1400261844348245</x:v>
      </x:c>
      <x:c r="D3455" s="47" t="n">
        <x:f>'Datos'!$B$26^3/3</x:f>
        <x:v>0.3333333333333333</x:v>
      </x:c>
      <x:c r="E3455" s="46" t="n">
        <x:f>D3455*(C3455-1)</x:f>
        <x:v>0.046675394811608165</x:v>
      </x:c>
      <x:c r="F3455" s="2"/>
      <x:c r="G3455" s="2"/>
      <x:c r="H3455" s="2"/>
    </x:row>
    <x:row r="3456" ht="22" customHeight="1">
      <x:c r="A3456" s="2" t="n">
        <x:v>3450</x:v>
      </x:c>
      <x:c r="B3456" s="79" t="n">
        <x:v>-0.25729214906832165</x:v>
      </x:c>
      <x:c r="C3456" s="46" t="n">
        <x:f>B3456^2</x:f>
        <x:v>0.06619924997219545</x:v>
      </x:c>
      <x:c r="D3456" s="47" t="n">
        <x:f>'Datos'!$B$26^3/3</x:f>
        <x:v>0.3333333333333333</x:v>
      </x:c>
      <x:c r="E3456" s="46" t="n">
        <x:f>D3456*(C3456-1)</x:f>
        <x:v>-0.3112669166759348</x:v>
      </x:c>
      <x:c r="F3456" s="2"/>
      <x:c r="G3456" s="2"/>
      <x:c r="H3456" s="2"/>
    </x:row>
    <x:row r="3457" ht="22" customHeight="1">
      <x:c r="A3457" s="2" t="n">
        <x:v>3451</x:v>
      </x:c>
      <x:c r="B3457" s="79" t="n">
        <x:v>-1.4486047506161444</x:v>
      </x:c>
      <x:c r="C3457" s="46" t="n">
        <x:f>B3457^2</x:f>
        <x:v>2.0984557235076617</x:v>
      </x:c>
      <x:c r="D3457" s="47" t="n">
        <x:f>'Datos'!$B$26^3/3</x:f>
        <x:v>0.3333333333333333</x:v>
      </x:c>
      <x:c r="E3457" s="46" t="n">
        <x:f>D3457*(C3457-1)</x:f>
        <x:v>0.36615190783588725</x:v>
      </x:c>
      <x:c r="F3457" s="2"/>
      <x:c r="G3457" s="2"/>
      <x:c r="H3457" s="2"/>
    </x:row>
    <x:row r="3458" ht="22" customHeight="1">
      <x:c r="A3458" s="2" t="n">
        <x:v>3452</x:v>
      </x:c>
      <x:c r="B3458" s="79" t="n">
        <x:v>-1.2650443009875152</x:v>
      </x:c>
      <x:c r="C3458" s="46" t="n">
        <x:f>B3458^2</x:f>
        <x:v>1.600337083460991</x:v>
      </x:c>
      <x:c r="D3458" s="47" t="n">
        <x:f>'Datos'!$B$26^3/3</x:f>
        <x:v>0.3333333333333333</x:v>
      </x:c>
      <x:c r="E3458" s="46" t="n">
        <x:f>D3458*(C3458-1)</x:f>
        <x:v>0.20011236115366363</x:v>
      </x:c>
      <x:c r="F3458" s="2"/>
      <x:c r="G3458" s="2"/>
      <x:c r="H3458" s="2"/>
    </x:row>
    <x:row r="3459" ht="22" customHeight="1">
      <x:c r="A3459" s="2" t="n">
        <x:v>3453</x:v>
      </x:c>
      <x:c r="B3459" s="79" t="n">
        <x:v>-1.3779736526123763</x:v>
      </x:c>
      <x:c r="C3459" s="46" t="n">
        <x:f>B3459^2</x:f>
        <x:v>1.8988113872938939</x:v>
      </x:c>
      <x:c r="D3459" s="47" t="n">
        <x:f>'Datos'!$B$26^3/3</x:f>
        <x:v>0.3333333333333333</x:v>
      </x:c>
      <x:c r="E3459" s="46" t="n">
        <x:f>D3459*(C3459-1)</x:f>
        <x:v>0.29960379576463125</x:v>
      </x:c>
      <x:c r="F3459" s="2"/>
      <x:c r="G3459" s="2"/>
      <x:c r="H3459" s="2"/>
    </x:row>
    <x:row r="3460" ht="22" customHeight="1">
      <x:c r="A3460" s="2" t="n">
        <x:v>3454</x:v>
      </x:c>
      <x:c r="B3460" s="79" t="n">
        <x:v>-0.1316109561396226</x:v>
      </x:c>
      <x:c r="C3460" s="46" t="n">
        <x:f>B3460^2</x:f>
        <x:v>0.017321443775985663</x:v>
      </x:c>
      <x:c r="D3460" s="47" t="n">
        <x:f>'Datos'!$B$26^3/3</x:f>
        <x:v>0.3333333333333333</x:v>
      </x:c>
      <x:c r="E3460" s="46" t="n">
        <x:f>D3460*(C3460-1)</x:f>
        <x:v>-0.3275595187413381</x:v>
      </x:c>
      <x:c r="F3460" s="2"/>
      <x:c r="G3460" s="2"/>
      <x:c r="H3460" s="2"/>
    </x:row>
    <x:row r="3461" ht="22" customHeight="1">
      <x:c r="A3461" s="2" t="n">
        <x:v>3455</x:v>
      </x:c>
      <x:c r="B3461" s="79" t="n">
        <x:v>-0.38006525284049736</x:v>
      </x:c>
      <x:c r="C3461" s="46" t="n">
        <x:f>B3461^2</x:f>
        <x:v>0.14444959641671118</x:v>
      </x:c>
      <x:c r="D3461" s="47" t="n">
        <x:f>'Datos'!$B$26^3/3</x:f>
        <x:v>0.3333333333333333</x:v>
      </x:c>
      <x:c r="E3461" s="46" t="n">
        <x:f>D3461*(C3461-1)</x:f>
        <x:v>-0.2851834678610963</x:v>
      </x:c>
      <x:c r="F3461" s="2"/>
      <x:c r="G3461" s="2"/>
      <x:c r="H3461" s="2"/>
    </x:row>
    <x:row r="3462" ht="22" customHeight="1">
      <x:c r="A3462" s="2" t="n">
        <x:v>3456</x:v>
      </x:c>
      <x:c r="B3462" s="79" t="n">
        <x:v>1.413672902391131</x:v>
      </x:c>
      <x:c r="C3462" s="46" t="n">
        <x:f>B3462^2</x:f>
        <x:v>1.9984710749549641</x:v>
      </x:c>
      <x:c r="D3462" s="47" t="n">
        <x:f>'Datos'!$B$26^3/3</x:f>
        <x:v>0.3333333333333333</x:v>
      </x:c>
      <x:c r="E3462" s="46" t="n">
        <x:f>D3462*(C3462-1)</x:f>
        <x:v>0.3328236916516547</x:v>
      </x:c>
      <x:c r="F3462" s="2"/>
      <x:c r="G3462" s="2"/>
      <x:c r="H3462" s="2"/>
    </x:row>
    <x:row r="3463" ht="22" customHeight="1">
      <x:c r="A3463" s="2" t="n">
        <x:v>3457</x:v>
      </x:c>
      <x:c r="B3463" s="79" t="n">
        <x:v>0.5690649030980589</x:v>
      </x:c>
      <x:c r="C3463" s="46" t="n">
        <x:f>B3463^2</x:f>
        <x:v>0.32383486393800315</x:v>
      </x:c>
      <x:c r="D3463" s="47" t="n">
        <x:f>'Datos'!$B$26^3/3</x:f>
        <x:v>0.3333333333333333</x:v>
      </x:c>
      <x:c r="E3463" s="46" t="n">
        <x:f>D3463*(C3463-1)</x:f>
        <x:v>-0.2253883786873323</x:v>
      </x:c>
      <x:c r="F3463" s="2"/>
      <x:c r="G3463" s="2"/>
      <x:c r="H3463" s="2"/>
    </x:row>
    <x:row r="3464" ht="22" customHeight="1">
      <x:c r="A3464" s="2" t="n">
        <x:v>3458</x:v>
      </x:c>
      <x:c r="B3464" s="79" t="n">
        <x:v>0.7325702146559585</x:v>
      </x:c>
      <x:c r="C3464" s="46" t="n">
        <x:f>B3464^2</x:f>
        <x:v>0.5366591194010771</x:v>
      </x:c>
      <x:c r="D3464" s="47" t="n">
        <x:f>'Datos'!$B$26^3/3</x:f>
        <x:v>0.3333333333333333</x:v>
      </x:c>
      <x:c r="E3464" s="46" t="n">
        <x:f>D3464*(C3464-1)</x:f>
        <x:v>-0.15444696019964094</x:v>
      </x:c>
      <x:c r="F3464" s="2"/>
      <x:c r="G3464" s="2"/>
      <x:c r="H3464" s="2"/>
    </x:row>
    <x:row r="3465" ht="22" customHeight="1">
      <x:c r="A3465" s="2" t="n">
        <x:v>3459</x:v>
      </x:c>
      <x:c r="B3465" s="79" t="n">
        <x:v>-1.257639551940814</x:v>
      </x:c>
      <x:c r="C3465" s="46" t="n">
        <x:f>B3465^2</x:f>
        <x:v>1.581657242605891</x:v>
      </x:c>
      <x:c r="D3465" s="47" t="n">
        <x:f>'Datos'!$B$26^3/3</x:f>
        <x:v>0.3333333333333333</x:v>
      </x:c>
      <x:c r="E3465" s="46" t="n">
        <x:f>D3465*(C3465-1)</x:f>
        <x:v>0.193885747535297</x:v>
      </x:c>
      <x:c r="F3465" s="2"/>
      <x:c r="G3465" s="2"/>
      <x:c r="H3465" s="2"/>
    </x:row>
    <x:row r="3466" ht="22" customHeight="1">
      <x:c r="A3466" s="2" t="n">
        <x:v>3460</x:v>
      </x:c>
      <x:c r="B3466" s="79" t="n">
        <x:v>-0.4530485511312239</x:v>
      </x:c>
      <x:c r="C3466" s="46" t="n">
        <x:f>B3466^2</x:f>
        <x:v>0.20525298968210118</x:v>
      </x:c>
      <x:c r="D3466" s="47" t="n">
        <x:f>'Datos'!$B$26^3/3</x:f>
        <x:v>0.3333333333333333</x:v>
      </x:c>
      <x:c r="E3466" s="46" t="n">
        <x:f>D3466*(C3466-1)</x:f>
        <x:v>-0.2649156701059663</x:v>
      </x:c>
      <x:c r="F3466" s="2"/>
      <x:c r="G3466" s="2"/>
      <x:c r="H3466" s="2"/>
    </x:row>
    <x:row r="3467" ht="22" customHeight="1">
      <x:c r="A3467" s="2" t="n">
        <x:v>3461</x:v>
      </x:c>
      <x:c r="B3467" s="79" t="n">
        <x:v>-0.1251748476238646</x:v>
      </x:c>
      <x:c r="C3467" s="46" t="n">
        <x:f>B3467^2</x:f>
        <x:v>0.015668742477657722</x:v>
      </x:c>
      <x:c r="D3467" s="47" t="n">
        <x:f>'Datos'!$B$26^3/3</x:f>
        <x:v>0.3333333333333333</x:v>
      </x:c>
      <x:c r="E3467" s="46" t="n">
        <x:f>D3467*(C3467-1)</x:f>
        <x:v>-0.3281104191741141</x:v>
      </x:c>
      <x:c r="F3467" s="2"/>
      <x:c r="G3467" s="2"/>
      <x:c r="H3467" s="2"/>
    </x:row>
    <x:row r="3468" ht="22" customHeight="1">
      <x:c r="A3468" s="2" t="n">
        <x:v>3462</x:v>
      </x:c>
      <x:c r="B3468" s="79" t="n">
        <x:v>-0.10045060993436392</x:v>
      </x:c>
      <x:c r="C3468" s="46" t="n">
        <x:f>B3468^2</x:f>
        <x:v>0.01009032503618573</x:v>
      </x:c>
      <x:c r="D3468" s="47" t="n">
        <x:f>'Datos'!$B$26^3/3</x:f>
        <x:v>0.3333333333333333</x:v>
      </x:c>
      <x:c r="E3468" s="46" t="n">
        <x:f>D3468*(C3468-1)</x:f>
        <x:v>-0.3299698916546048</x:v>
      </x:c>
      <x:c r="F3468" s="2"/>
      <x:c r="G3468" s="2"/>
      <x:c r="H3468" s="2"/>
    </x:row>
    <x:row r="3469" ht="22" customHeight="1">
      <x:c r="A3469" s="2" t="n">
        <x:v>3463</x:v>
      </x:c>
      <x:c r="B3469" s="79" t="n">
        <x:v>2.092617052543526</x:v>
      </x:c>
      <x:c r="C3469" s="46" t="n">
        <x:f>B3469^2</x:f>
        <x:v>4.379046128595955</x:v>
      </x:c>
      <x:c r="D3469" s="47" t="n">
        <x:f>'Datos'!$B$26^3/3</x:f>
        <x:v>0.3333333333333333</x:v>
      </x:c>
      <x:c r="E3469" s="46" t="n">
        <x:f>D3469*(C3469-1)</x:f>
        <x:v>1.1263487095319848</x:v>
      </x:c>
      <x:c r="F3469" s="2"/>
      <x:c r="G3469" s="2"/>
      <x:c r="H3469" s="2"/>
    </x:row>
    <x:row r="3470" ht="22" customHeight="1">
      <x:c r="A3470" s="2" t="n">
        <x:v>3464</x:v>
      </x:c>
      <x:c r="B3470" s="79" t="n">
        <x:v>1.0466728395789933</x:v>
      </x:c>
      <x:c r="C3470" s="46" t="n">
        <x:f>B3470^2</x:f>
        <x:v>1.095524033112353</x:v>
      </x:c>
      <x:c r="D3470" s="47" t="n">
        <x:f>'Datos'!$B$26^3/3</x:f>
        <x:v>0.3333333333333333</x:v>
      </x:c>
      <x:c r="E3470" s="46" t="n">
        <x:f>D3470*(C3470-1)</x:f>
        <x:v>0.03184134437078434</x:v>
      </x:c>
      <x:c r="F3470" s="2"/>
      <x:c r="G3470" s="2"/>
      <x:c r="H3470" s="2"/>
    </x:row>
    <x:row r="3471" ht="22" customHeight="1">
      <x:c r="A3471" s="2" t="n">
        <x:v>3465</x:v>
      </x:c>
      <x:c r="B3471" s="79" t="n">
        <x:v>-1.0612610026654077</x:v>
      </x:c>
      <x:c r="C3471" s="46" t="n">
        <x:f>B3471^2</x:f>
        <x:v>1.1262749157783865</x:v>
      </x:c>
      <x:c r="D3471" s="47" t="n">
        <x:f>'Datos'!$B$26^3/3</x:f>
        <x:v>0.3333333333333333</x:v>
      </x:c>
      <x:c r="E3471" s="46" t="n">
        <x:f>D3471*(C3471-1)</x:f>
        <x:v>0.04209163859279548</x:v>
      </x:c>
      <x:c r="F3471" s="2"/>
      <x:c r="G3471" s="2"/>
      <x:c r="H3471" s="2"/>
    </x:row>
    <x:row r="3472" ht="22" customHeight="1">
      <x:c r="A3472" s="2" t="n">
        <x:v>3466</x:v>
      </x:c>
      <x:c r="B3472" s="79" t="n">
        <x:v>2.0574882044407934</x:v>
      </x:c>
      <x:c r="C3472" s="46" t="n">
        <x:f>B3472^2</x:f>
        <x:v>4.233257711413</x:v>
      </x:c>
      <x:c r="D3472" s="47" t="n">
        <x:f>'Datos'!$B$26^3/3</x:f>
        <x:v>0.3333333333333333</x:v>
      </x:c>
      <x:c r="E3472" s="46" t="n">
        <x:f>D3472*(C3472-1)</x:f>
        <x:v>1.0777525704709998</x:v>
      </x:c>
      <x:c r="F3472" s="2"/>
      <x:c r="G3472" s="2"/>
      <x:c r="H3472" s="2"/>
    </x:row>
    <x:row r="3473" ht="22" customHeight="1">
      <x:c r="A3473" s="2" t="n">
        <x:v>3467</x:v>
      </x:c>
      <x:c r="B3473" s="79" t="n">
        <x:v>0.04253221964487989</x:v>
      </x:c>
      <x:c r="C3473" s="46" t="n">
        <x:f>B3473^2</x:f>
        <x:v>0.0018089897079203068</x:v>
      </x:c>
      <x:c r="D3473" s="47" t="n">
        <x:f>'Datos'!$B$26^3/3</x:f>
        <x:v>0.3333333333333333</x:v>
      </x:c>
      <x:c r="E3473" s="46" t="n">
        <x:f>D3473*(C3473-1)</x:f>
        <x:v>-0.3327303367640265</x:v>
      </x:c>
      <x:c r="F3473" s="2"/>
      <x:c r="G3473" s="2"/>
      <x:c r="H3473" s="2"/>
    </x:row>
    <x:row r="3474" ht="22" customHeight="1">
      <x:c r="A3474" s="2" t="n">
        <x:v>3468</x:v>
      </x:c>
      <x:c r="B3474" s="79" t="n">
        <x:v>0.2450221080302171</x:v>
      </x:c>
      <x:c r="C3474" s="46" t="n">
        <x:f>B3474^2</x:f>
        <x:v>0.060035833423571376</x:v>
      </x:c>
      <x:c r="D3474" s="47" t="n">
        <x:f>'Datos'!$B$26^3/3</x:f>
        <x:v>0.3333333333333333</x:v>
      </x:c>
      <x:c r="E3474" s="46" t="n">
        <x:f>D3474*(C3474-1)</x:f>
        <x:v>-0.31332138885880956</x:v>
      </x:c>
      <x:c r="F3474" s="2"/>
      <x:c r="G3474" s="2"/>
      <x:c r="H3474" s="2"/>
    </x:row>
    <x:row r="3475" ht="22" customHeight="1">
      <x:c r="A3475" s="2" t="n">
        <x:v>3469</x:v>
      </x:c>
      <x:c r="B3475" s="79" t="n">
        <x:v>-0.7617422333568096</x:v>
      </x:c>
      <x:c r="C3475" s="46" t="n">
        <x:f>B3475^2</x:f>
        <x:v>0.5802512300794201</x:v>
      </x:c>
      <x:c r="D3475" s="47" t="n">
        <x:f>'Datos'!$B$26^3/3</x:f>
        <x:v>0.3333333333333333</x:v>
      </x:c>
      <x:c r="E3475" s="46" t="n">
        <x:f>D3475*(C3475-1)</x:f>
        <x:v>-0.13991625664019328</x:v>
      </x:c>
      <x:c r="F3475" s="2"/>
      <x:c r="G3475" s="2"/>
      <x:c r="H3475" s="2"/>
    </x:row>
    <x:row r="3476" ht="22" customHeight="1">
      <x:c r="A3476" s="2" t="n">
        <x:v>3470</x:v>
      </x:c>
      <x:c r="B3476" s="79" t="n">
        <x:v>0.919043769613841</x:v>
      </x:c>
      <x:c r="C3476" s="46" t="n">
        <x:f>B3476^2</x:f>
        <x:v>0.8446414504660189</x:v>
      </x:c>
      <x:c r="D3476" s="47" t="n">
        <x:f>'Datos'!$B$26^3/3</x:f>
        <x:v>0.3333333333333333</x:v>
      </x:c>
      <x:c r="E3476" s="46" t="n">
        <x:f>D3476*(C3476-1)</x:f>
        <x:v>-0.051786183177993696</x:v>
      </x:c>
      <x:c r="F3476" s="2"/>
      <x:c r="G3476" s="2"/>
      <x:c r="H3476" s="2"/>
    </x:row>
    <x:row r="3477" ht="22" customHeight="1">
      <x:c r="A3477" s="2" t="n">
        <x:v>3471</x:v>
      </x:c>
      <x:c r="B3477" s="79" t="n">
        <x:v>0.09760814231433125</x:v>
      </x:c>
      <x:c r="C3477" s="46" t="n">
        <x:f>B3477^2</x:f>
        <x:v>0.009527349446054743</x:v>
      </x:c>
      <x:c r="D3477" s="47" t="n">
        <x:f>'Datos'!$B$26^3/3</x:f>
        <x:v>0.3333333333333333</x:v>
      </x:c>
      <x:c r="E3477" s="46" t="n">
        <x:f>D3477*(C3477-1)</x:f>
        <x:v>-0.33015755018464843</x:v>
      </x:c>
      <x:c r="F3477" s="2"/>
      <x:c r="G3477" s="2"/>
      <x:c r="H3477" s="2"/>
    </x:row>
    <x:row r="3478" ht="22" customHeight="1">
      <x:c r="A3478" s="2" t="n">
        <x:v>3472</x:v>
      </x:c>
      <x:c r="B3478" s="79" t="n">
        <x:v>0.7423148604342659</x:v>
      </x:c>
      <x:c r="C3478" s="46" t="n">
        <x:f>B3478^2</x:f>
        <x:v>0.5510313520215436</x:v>
      </x:c>
      <x:c r="D3478" s="47" t="n">
        <x:f>'Datos'!$B$26^3/3</x:f>
        <x:v>0.3333333333333333</x:v>
      </x:c>
      <x:c r="E3478" s="46" t="n">
        <x:f>D3478*(C3478-1)</x:f>
        <x:v>-0.14965621599281878</x:v>
      </x:c>
      <x:c r="F3478" s="2"/>
      <x:c r="G3478" s="2"/>
      <x:c r="H3478" s="2"/>
    </x:row>
    <x:row r="3479" ht="22" customHeight="1">
      <x:c r="A3479" s="2" t="n">
        <x:v>3473</x:v>
      </x:c>
      <x:c r="B3479" s="79" t="n">
        <x:v>-0.87951049647912</x:v>
      </x:c>
      <x:c r="C3479" s="46" t="n">
        <x:f>B3479^2</x:f>
        <x:v>0.7735387134169482</x:v>
      </x:c>
      <x:c r="D3479" s="47" t="n">
        <x:f>'Datos'!$B$26^3/3</x:f>
        <x:v>0.3333333333333333</x:v>
      </x:c>
      <x:c r="E3479" s="46" t="n">
        <x:f>D3479*(C3479-1)</x:f>
        <x:v>-0.07548709552768391</x:v>
      </x:c>
      <x:c r="F3479" s="2"/>
      <x:c r="G3479" s="2"/>
      <x:c r="H3479" s="2"/>
    </x:row>
    <x:row r="3480" ht="22" customHeight="1">
      <x:c r="A3480" s="2" t="n">
        <x:v>3474</x:v>
      </x:c>
      <x:c r="B3480" s="79" t="n">
        <x:v>0.20565888733562657</x:v>
      </x:c>
      <x:c r="C3480" s="46" t="n">
        <x:f>B3480^2</x:f>
        <x:v>0.04229557794012794</x:v>
      </x:c>
      <x:c r="D3480" s="47" t="n">
        <x:f>'Datos'!$B$26^3/3</x:f>
        <x:v>0.3333333333333333</x:v>
      </x:c>
      <x:c r="E3480" s="46" t="n">
        <x:f>D3480*(C3480-1)</x:f>
        <x:v>-0.3192348073532907</x:v>
      </x:c>
      <x:c r="F3480" s="2"/>
      <x:c r="G3480" s="2"/>
      <x:c r="H3480" s="2"/>
    </x:row>
    <x:row r="3481" ht="22" customHeight="1">
      <x:c r="A3481" s="2" t="n">
        <x:v>3475</x:v>
      </x:c>
      <x:c r="B3481" s="79" t="n">
        <x:v>-0.22111589303527376</x:v>
      </x:c>
      <x:c r="C3481" s="46" t="n">
        <x:f>B3481^2</x:f>
        <x:v>0.04889223815278663</x:v>
      </x:c>
      <x:c r="D3481" s="47" t="n">
        <x:f>'Datos'!$B$26^3/3</x:f>
        <x:v>0.3333333333333333</x:v>
      </x:c>
      <x:c r="E3481" s="46" t="n">
        <x:f>D3481*(C3481-1)</x:f>
        <x:v>-0.31703592061573777</x:v>
      </x:c>
      <x:c r="F3481" s="2"/>
      <x:c r="G3481" s="2"/>
      <x:c r="H3481" s="2"/>
    </x:row>
    <x:row r="3482" ht="22" customHeight="1">
      <x:c r="A3482" s="2" t="n">
        <x:v>3476</x:v>
      </x:c>
      <x:c r="B3482" s="79" t="n">
        <x:v>-1.6351889833585649</x:v>
      </x:c>
      <x:c r="C3482" s="46" t="n">
        <x:f>B3482^2</x:f>
        <x:v>2.673843011297217</x:v>
      </x:c>
      <x:c r="D3482" s="47" t="n">
        <x:f>'Datos'!$B$26^3/3</x:f>
        <x:v>0.3333333333333333</x:v>
      </x:c>
      <x:c r="E3482" s="46" t="n">
        <x:f>D3482*(C3482-1)</x:f>
        <x:v>0.5579476704324057</x:v>
      </x:c>
      <x:c r="F3482" s="2"/>
      <x:c r="G3482" s="2"/>
      <x:c r="H3482" s="2"/>
    </x:row>
    <x:row r="3483" ht="22" customHeight="1">
      <x:c r="A3483" s="2" t="n">
        <x:v>3477</x:v>
      </x:c>
      <x:c r="B3483" s="79" t="n">
        <x:v>0.5742547529567494</x:v>
      </x:c>
      <x:c r="C3483" s="46" t="n">
        <x:f>B3483^2</x:f>
        <x:v>0.3297685212934173</x:v>
      </x:c>
      <x:c r="D3483" s="47" t="n">
        <x:f>'Datos'!$B$26^3/3</x:f>
        <x:v>0.3333333333333333</x:v>
      </x:c>
      <x:c r="E3483" s="46" t="n">
        <x:f>D3483*(C3483-1)</x:f>
        <x:v>-0.2234104929021942</x:v>
      </x:c>
      <x:c r="F3483" s="2"/>
      <x:c r="G3483" s="2"/>
      <x:c r="H3483" s="2"/>
    </x:row>
    <x:row r="3484" ht="22" customHeight="1">
      <x:c r="A3484" s="2" t="n">
        <x:v>3478</x:v>
      </x:c>
      <x:c r="B3484" s="79" t="n">
        <x:v>-1.5278301902772513</x:v>
      </x:c>
      <x:c r="C3484" s="46" t="n">
        <x:f>B3484^2</x:f>
        <x:v>2.334265090322622</x:v>
      </x:c>
      <x:c r="D3484" s="47" t="n">
        <x:f>'Datos'!$B$26^3/3</x:f>
        <x:v>0.3333333333333333</x:v>
      </x:c>
      <x:c r="E3484" s="46" t="n">
        <x:f>D3484*(C3484-1)</x:f>
        <x:v>0.4447550301075407</x:v>
      </x:c>
      <x:c r="F3484" s="2"/>
      <x:c r="G3484" s="2"/>
      <x:c r="H3484" s="2"/>
    </x:row>
    <x:row r="3485" ht="22" customHeight="1">
      <x:c r="A3485" s="2" t="n">
        <x:v>3479</x:v>
      </x:c>
      <x:c r="B3485" s="79" t="n">
        <x:v>0.04343148318384733</x:v>
      </x:c>
      <x:c r="C3485" s="46" t="n">
        <x:f>B3485^2</x:f>
        <x:v>0.0018862937315488138</x:v>
      </x:c>
      <x:c r="D3485" s="47" t="n">
        <x:f>'Datos'!$B$26^3/3</x:f>
        <x:v>0.3333333333333333</x:v>
      </x:c>
      <x:c r="E3485" s="46" t="n">
        <x:f>D3485*(C3485-1)</x:f>
        <x:v>-0.3327045687561504</x:v>
      </x:c>
      <x:c r="F3485" s="2"/>
      <x:c r="G3485" s="2"/>
      <x:c r="H3485" s="2"/>
    </x:row>
    <x:row r="3486" ht="22" customHeight="1">
      <x:c r="A3486" s="2" t="n">
        <x:v>3480</x:v>
      </x:c>
      <x:c r="B3486" s="79" t="n">
        <x:v>-0.5838326251013927</x:v>
      </x:c>
      <x:c r="C3486" s="46" t="n">
        <x:f>B3486^2</x:f>
        <x:v>0.34086053413278333</x:v>
      </x:c>
      <x:c r="D3486" s="47" t="n">
        <x:f>'Datos'!$B$26^3/3</x:f>
        <x:v>0.3333333333333333</x:v>
      </x:c>
      <x:c r="E3486" s="46" t="n">
        <x:f>D3486*(C3486-1)</x:f>
        <x:v>-0.21971315528907223</x:v>
      </x:c>
      <x:c r="F3486" s="2"/>
      <x:c r="G3486" s="2"/>
      <x:c r="H3486" s="2"/>
    </x:row>
    <x:row r="3487" ht="22" customHeight="1">
      <x:c r="A3487" s="2" t="n">
        <x:v>3481</x:v>
      </x:c>
      <x:c r="B3487" s="79" t="n">
        <x:v>0.10206237580520766</x:v>
      </x:c>
      <x:c r="C3487" s="46" t="n">
        <x:f>B3487^2</x:f>
        <x:v>0.010416728555003437</x:v>
      </x:c>
      <x:c r="D3487" s="47" t="n">
        <x:f>'Datos'!$B$26^3/3</x:f>
        <x:v>0.3333333333333333</x:v>
      </x:c>
      <x:c r="E3487" s="46" t="n">
        <x:f>D3487*(C3487-1)</x:f>
        <x:v>-0.3298610904816655</x:v>
      </x:c>
      <x:c r="F3487" s="2"/>
      <x:c r="G3487" s="2"/>
      <x:c r="H3487" s="2"/>
    </x:row>
    <x:row r="3488" ht="22" customHeight="1">
      <x:c r="A3488" s="2" t="n">
        <x:v>3482</x:v>
      </x:c>
      <x:c r="B3488" s="79" t="n">
        <x:v>-0.30768988761201205</x:v>
      </x:c>
      <x:c r="C3488" s="46" t="n">
        <x:f>B3488^2</x:f>
        <x:v>0.09467306693869261</x:v>
      </x:c>
      <x:c r="D3488" s="47" t="n">
        <x:f>'Datos'!$B$26^3/3</x:f>
        <x:v>0.3333333333333333</x:v>
      </x:c>
      <x:c r="E3488" s="46" t="n">
        <x:f>D3488*(C3488-1)</x:f>
        <x:v>-0.30177564435376913</x:v>
      </x:c>
      <x:c r="F3488" s="2"/>
      <x:c r="G3488" s="2"/>
      <x:c r="H3488" s="2"/>
    </x:row>
    <x:row r="3489" ht="22" customHeight="1">
      <x:c r="A3489" s="2" t="n">
        <x:v>3483</x:v>
      </x:c>
      <x:c r="B3489" s="79" t="n">
        <x:v>-0.3165209576690278</x:v>
      </x:c>
      <x:c r="C3489" s="46" t="n">
        <x:f>B3489^2</x:f>
        <x:v>0.1001855166437185</x:v>
      </x:c>
      <x:c r="D3489" s="47" t="n">
        <x:f>'Datos'!$B$26^3/3</x:f>
        <x:v>0.3333333333333333</x:v>
      </x:c>
      <x:c r="E3489" s="46" t="n">
        <x:f>D3489*(C3489-1)</x:f>
        <x:v>-0.2999381611187605</x:v>
      </x:c>
      <x:c r="F3489" s="2"/>
      <x:c r="G3489" s="2"/>
      <x:c r="H3489" s="2"/>
    </x:row>
    <x:row r="3490" ht="22" customHeight="1">
      <x:c r="A3490" s="2" t="n">
        <x:v>3484</x:v>
      </x:c>
      <x:c r="B3490" s="79" t="n">
        <x:v>-0.6288998104314047</x:v>
      </x:c>
      <x:c r="C3490" s="46" t="n">
        <x:f>B3490^2</x:f>
        <x:v>0.39551497156065685</x:v>
      </x:c>
      <x:c r="D3490" s="47" t="n">
        <x:f>'Datos'!$B$26^3/3</x:f>
        <x:v>0.3333333333333333</x:v>
      </x:c>
      <x:c r="E3490" s="46" t="n">
        <x:f>D3490*(C3490-1)</x:f>
        <x:v>-0.20149500947978105</x:v>
      </x:c>
      <x:c r="F3490" s="2"/>
      <x:c r="G3490" s="2"/>
      <x:c r="H3490" s="2"/>
    </x:row>
    <x:row r="3491" ht="22" customHeight="1">
      <x:c r="A3491" s="2" t="n">
        <x:v>3485</x:v>
      </x:c>
      <x:c r="B3491" s="79" t="n">
        <x:v>0.6195504461736325</x:v>
      </x:c>
      <x:c r="C3491" s="46" t="n">
        <x:f>B3491^2</x:f>
        <x:v>0.38384275535394713</x:v>
      </x:c>
      <x:c r="D3491" s="47" t="n">
        <x:f>'Datos'!$B$26^3/3</x:f>
        <x:v>0.3333333333333333</x:v>
      </x:c>
      <x:c r="E3491" s="46" t="n">
        <x:f>D3491*(C3491-1)</x:f>
        <x:v>-0.20538574821535094</x:v>
      </x:c>
      <x:c r="F3491" s="2"/>
      <x:c r="G3491" s="2"/>
      <x:c r="H3491" s="2"/>
    </x:row>
    <x:row r="3492" ht="22" customHeight="1">
      <x:c r="A3492" s="2" t="n">
        <x:v>3486</x:v>
      </x:c>
      <x:c r="B3492" s="79" t="n">
        <x:v>0.6768415954565018</x:v>
      </x:c>
      <x:c r="C3492" s="46" t="n">
        <x:f>B3492^2</x:f>
        <x:v>0.4581145453401028</x:v>
      </x:c>
      <x:c r="D3492" s="47" t="n">
        <x:f>'Datos'!$B$26^3/3</x:f>
        <x:v>0.3333333333333333</x:v>
      </x:c>
      <x:c r="E3492" s="46" t="n">
        <x:f>D3492*(C3492-1)</x:f>
        <x:v>-0.1806284848866324</x:v>
      </x:c>
      <x:c r="F3492" s="2"/>
      <x:c r="G3492" s="2"/>
      <x:c r="H3492" s="2"/>
    </x:row>
    <x:row r="3493" ht="22" customHeight="1">
      <x:c r="A3493" s="2" t="n">
        <x:v>3487</x:v>
      </x:c>
      <x:c r="B3493" s="79" t="n">
        <x:v>1.3474097039553476</x:v>
      </x:c>
      <x:c r="C3493" s="46" t="n">
        <x:f>B3493^2</x:f>
        <x:v>1.8155129103130376</x:v>
      </x:c>
      <x:c r="D3493" s="47" t="n">
        <x:f>'Datos'!$B$26^3/3</x:f>
        <x:v>0.3333333333333333</x:v>
      </x:c>
      <x:c r="E3493" s="46" t="n">
        <x:f>D3493*(C3493-1)</x:f>
        <x:v>0.2718376367710125</x:v>
      </x:c>
      <x:c r="F3493" s="2"/>
      <x:c r="G3493" s="2"/>
      <x:c r="H3493" s="2"/>
    </x:row>
    <x:row r="3494" ht="22" customHeight="1">
      <x:c r="A3494" s="2" t="n">
        <x:v>3488</x:v>
      </x:c>
      <x:c r="B3494" s="79" t="n">
        <x:v>-0.5754442587797536</x:v>
      </x:c>
      <x:c r="C3494" s="46" t="n">
        <x:f>B3494^2</x:f>
        <x:v>0.33113609496258</x:v>
      </x:c>
      <x:c r="D3494" s="47" t="n">
        <x:f>'Datos'!$B$26^3/3</x:f>
        <x:v>0.3333333333333333</x:v>
      </x:c>
      <x:c r="E3494" s="46" t="n">
        <x:f>D3494*(C3494-1)</x:f>
        <x:v>-0.2229546350124733</x:v>
      </x:c>
      <x:c r="F3494" s="2"/>
      <x:c r="G3494" s="2"/>
      <x:c r="H3494" s="2"/>
    </x:row>
    <x:row r="3495" ht="22" customHeight="1">
      <x:c r="A3495" s="2" t="n">
        <x:v>3489</x:v>
      </x:c>
      <x:c r="B3495" s="79" t="n">
        <x:v>-0.6721079863632258</x:v>
      </x:c>
      <x:c r="C3495" s="46" t="n">
        <x:f>B3495^2</x:f>
        <x:v>0.4517291453332301</x:v>
      </x:c>
      <x:c r="D3495" s="47" t="n">
        <x:f>'Datos'!$B$26^3/3</x:f>
        <x:v>0.3333333333333333</x:v>
      </x:c>
      <x:c r="E3495" s="46" t="n">
        <x:f>D3495*(C3495-1)</x:f>
        <x:v>-0.18275695155558994</x:v>
      </x:c>
      <x:c r="F3495" s="2"/>
      <x:c r="G3495" s="2"/>
      <x:c r="H3495" s="2"/>
    </x:row>
    <x:row r="3496" ht="22" customHeight="1">
      <x:c r="A3496" s="2" t="n">
        <x:v>3490</x:v>
      </x:c>
      <x:c r="B3496" s="79" t="n">
        <x:v>0.24624583558493604</x:v>
      </x:c>
      <x:c r="C3496" s="46" t="n">
        <x:f>B3496^2</x:f>
        <x:v>0.06063701154292335</x:v>
      </x:c>
      <x:c r="D3496" s="47" t="n">
        <x:f>'Datos'!$B$26^3/3</x:f>
        <x:v>0.3333333333333333</x:v>
      </x:c>
      <x:c r="E3496" s="46" t="n">
        <x:f>D3496*(C3496-1)</x:f>
        <x:v>-0.3131209961523589</x:v>
      </x:c>
      <x:c r="F3496" s="2"/>
      <x:c r="G3496" s="2"/>
      <x:c r="H3496" s="2"/>
    </x:row>
    <x:row r="3497" ht="22" customHeight="1">
      <x:c r="A3497" s="2" t="n">
        <x:v>3491</x:v>
      </x:c>
      <x:c r="B3497" s="79" t="n">
        <x:v>-1.3396285532404146</x:v>
      </x:c>
      <x:c r="C3497" s="46" t="n">
        <x:f>B3497^2</x:f>
        <x:v>1.7946046606570065</x:v>
      </x:c>
      <x:c r="D3497" s="47" t="n">
        <x:f>'Datos'!$B$26^3/3</x:f>
        <x:v>0.3333333333333333</x:v>
      </x:c>
      <x:c r="E3497" s="46" t="n">
        <x:f>D3497*(C3497-1)</x:f>
        <x:v>0.26486822021900214</x:v>
      </x:c>
      <x:c r="F3497" s="2"/>
      <x:c r="G3497" s="2"/>
      <x:c r="H3497" s="2"/>
    </x:row>
    <x:row r="3498" ht="22" customHeight="1">
      <x:c r="A3498" s="2" t="n">
        <x:v>3492</x:v>
      </x:c>
      <x:c r="B3498" s="79" t="n">
        <x:v>0.9667105457178282</x:v>
      </x:c>
      <x:c r="C3498" s="46" t="n">
        <x:f>B3498^2</x:f>
        <x:v>0.9345292792020612</x:v>
      </x:c>
      <x:c r="D3498" s="47" t="n">
        <x:f>'Datos'!$B$26^3/3</x:f>
        <x:v>0.3333333333333333</x:v>
      </x:c>
      <x:c r="E3498" s="46" t="n">
        <x:f>D3498*(C3498-1)</x:f>
        <x:v>-0.021823573599312935</x:v>
      </x:c>
      <x:c r="F3498" s="2"/>
      <x:c r="G3498" s="2"/>
      <x:c r="H3498" s="2"/>
    </x:row>
    <x:row r="3499" ht="22" customHeight="1">
      <x:c r="A3499" s="2" t="n">
        <x:v>3493</x:v>
      </x:c>
      <x:c r="B3499" s="79" t="n">
        <x:v>0.23226287785616268</x:v>
      </x:c>
      <x:c r="C3499" s="46" t="n">
        <x:f>B3499^2</x:f>
        <x:v>0.05394604443002674</x:v>
      </x:c>
      <x:c r="D3499" s="47" t="n">
        <x:f>'Datos'!$B$26^3/3</x:f>
        <x:v>0.3333333333333333</x:v>
      </x:c>
      <x:c r="E3499" s="46" t="n">
        <x:f>D3499*(C3499-1)</x:f>
        <x:v>-0.31535131852332443</x:v>
      </x:c>
      <x:c r="F3499" s="2"/>
      <x:c r="G3499" s="2"/>
      <x:c r="H3499" s="2"/>
    </x:row>
    <x:row r="3500" ht="22" customHeight="1">
      <x:c r="A3500" s="2" t="n">
        <x:v>3494</x:v>
      </x:c>
      <x:c r="B3500" s="79" t="n">
        <x:v>-0.2825878422365698</x:v>
      </x:c>
      <x:c r="C3500" s="46" t="n">
        <x:f>B3500^2</x:f>
        <x:v>0.07985588857992046</x:v>
      </x:c>
      <x:c r="D3500" s="47" t="n">
        <x:f>'Datos'!$B$26^3/3</x:f>
        <x:v>0.3333333333333333</x:v>
      </x:c>
      <x:c r="E3500" s="46" t="n">
        <x:f>D3500*(C3500-1)</x:f>
        <x:v>-0.3067147038066932</x:v>
      </x:c>
      <x:c r="F3500" s="2"/>
      <x:c r="G3500" s="2"/>
      <x:c r="H3500" s="2"/>
    </x:row>
    <x:row r="3501" ht="22" customHeight="1">
      <x:c r="A3501" s="2" t="n">
        <x:v>3495</x:v>
      </x:c>
      <x:c r="B3501" s="79" t="n">
        <x:v>0.39371375165287853</x:v>
      </x:c>
      <x:c r="C3501" s="46" t="n">
        <x:f>B3501^2</x:f>
        <x:v>0.1550105182405845</x:v>
      </x:c>
      <x:c r="D3501" s="47" t="n">
        <x:f>'Datos'!$B$26^3/3</x:f>
        <x:v>0.3333333333333333</x:v>
      </x:c>
      <x:c r="E3501" s="46" t="n">
        <x:f>D3501*(C3501-1)</x:f>
        <x:v>-0.2816631605864718</x:v>
      </x:c>
      <x:c r="F3501" s="2"/>
      <x:c r="G3501" s="2"/>
      <x:c r="H3501" s="2"/>
    </x:row>
    <x:row r="3502" ht="22" customHeight="1">
      <x:c r="A3502" s="2" t="n">
        <x:v>3496</x:v>
      </x:c>
      <x:c r="B3502" s="79" t="n">
        <x:v>-0.5301034789472564</x:v>
      </x:c>
      <x:c r="C3502" s="46" t="n">
        <x:f>B3502^2</x:f>
        <x:v>0.2810096983919843</x:v>
      </x:c>
      <x:c r="D3502" s="47" t="n">
        <x:f>'Datos'!$B$26^3/3</x:f>
        <x:v>0.3333333333333333</x:v>
      </x:c>
      <x:c r="E3502" s="46" t="n">
        <x:f>D3502*(C3502-1)</x:f>
        <x:v>-0.23966343386933855</x:v>
      </x:c>
      <x:c r="F3502" s="2"/>
      <x:c r="G3502" s="2"/>
      <x:c r="H3502" s="2"/>
    </x:row>
    <x:row r="3503" ht="22" customHeight="1">
      <x:c r="A3503" s="2" t="n">
        <x:v>3497</x:v>
      </x:c>
      <x:c r="B3503" s="79" t="n">
        <x:v>0.16809279151807255</x:v>
      </x:c>
      <x:c r="C3503" s="46" t="n">
        <x:f>B3503^2</x:f>
        <x:v>0.0282551865603382</x:v>
      </x:c>
      <x:c r="D3503" s="47" t="n">
        <x:f>'Datos'!$B$26^3/3</x:f>
        <x:v>0.3333333333333333</x:v>
      </x:c>
      <x:c r="E3503" s="46" t="n">
        <x:f>D3503*(C3503-1)</x:f>
        <x:v>-0.32391493781322056</x:v>
      </x:c>
      <x:c r="F3503" s="2"/>
      <x:c r="G3503" s="2"/>
      <x:c r="H3503" s="2"/>
    </x:row>
    <x:row r="3504" ht="22" customHeight="1">
      <x:c r="A3504" s="2" t="n">
        <x:v>3498</x:v>
      </x:c>
      <x:c r="B3504" s="79" t="n">
        <x:v>-0.058540427352654516</x:v>
      </x:c>
      <x:c r="C3504" s="46" t="n">
        <x:f>B3504^2</x:f>
        <x:v>0.003426981634631421</x:v>
      </x:c>
      <x:c r="D3504" s="47" t="n">
        <x:f>'Datos'!$B$26^3/3</x:f>
        <x:v>0.3333333333333333</x:v>
      </x:c>
      <x:c r="E3504" s="46" t="n">
        <x:f>D3504*(C3504-1)</x:f>
        <x:v>-0.33219100612178953</x:v>
      </x:c>
      <x:c r="F3504" s="2"/>
      <x:c r="G3504" s="2"/>
      <x:c r="H3504" s="2"/>
    </x:row>
    <x:row r="3505" ht="22" customHeight="1">
      <x:c r="A3505" s="2" t="n">
        <x:v>3499</x:v>
      </x:c>
      <x:c r="B3505" s="79" t="n">
        <x:v>0.14382419917135586</x:v>
      </x:c>
      <x:c r="C3505" s="46" t="n">
        <x:f>B3505^2</x:f>
        <x:v>0.02068540026728184</x:v>
      </x:c>
      <x:c r="D3505" s="47" t="n">
        <x:f>'Datos'!$B$26^3/3</x:f>
        <x:v>0.3333333333333333</x:v>
      </x:c>
      <x:c r="E3505" s="46" t="n">
        <x:f>D3505*(C3505-1)</x:f>
        <x:v>-0.32643819991090606</x:v>
      </x:c>
      <x:c r="F3505" s="2"/>
      <x:c r="G3505" s="2"/>
      <x:c r="H3505" s="2"/>
    </x:row>
    <x:row r="3506" ht="22" customHeight="1">
      <x:c r="A3506" s="2" t="n">
        <x:v>3500</x:v>
      </x:c>
      <x:c r="B3506" s="79" t="n">
        <x:v>0.18246522254968636</x:v>
      </x:c>
      <x:c r="C3506" s="46" t="n">
        <x:f>B3506^2</x:f>
        <x:v>0.03329355744010657</x:v>
      </x:c>
      <x:c r="D3506" s="47" t="n">
        <x:f>'Datos'!$B$26^3/3</x:f>
        <x:v>0.3333333333333333</x:v>
      </x:c>
      <x:c r="E3506" s="46" t="n">
        <x:f>D3506*(C3506-1)</x:f>
        <x:v>-0.3222354808532978</x:v>
      </x:c>
      <x:c r="F3506" s="2"/>
      <x:c r="G3506" s="2"/>
      <x:c r="H3506" s="2"/>
    </x:row>
    <x:row r="3507" ht="22" customHeight="1">
      <x:c r="A3507" s="2" t="n">
        <x:v>3501</x:v>
      </x:c>
      <x:c r="B3507" s="79" t="n">
        <x:v>0.2622274985265402</x:v>
      </x:c>
      <x:c r="C3507" s="46" t="n">
        <x:f>B3507^2</x:f>
        <x:v>0.06876326098348665</x:v>
      </x:c>
      <x:c r="D3507" s="47" t="n">
        <x:f>'Datos'!$B$26^3/3</x:f>
        <x:v>0.3333333333333333</x:v>
      </x:c>
      <x:c r="E3507" s="46" t="n">
        <x:f>D3507*(C3507-1)</x:f>
        <x:v>-0.3104122463388378</x:v>
      </x:c>
      <x:c r="F3507" s="2"/>
      <x:c r="G3507" s="2"/>
      <x:c r="H3507" s="2"/>
    </x:row>
    <x:row r="3508" ht="22" customHeight="1">
      <x:c r="A3508" s="2" t="n">
        <x:v>3502</x:v>
      </x:c>
      <x:c r="B3508" s="79" t="n">
        <x:v>-2.511366275752854</x:v>
      </x:c>
      <x:c r="C3508" s="46" t="n">
        <x:f>B3508^2</x:f>
        <x:v>6.30696057098876</x:v>
      </x:c>
      <x:c r="D3508" s="47" t="n">
        <x:f>'Datos'!$B$26^3/3</x:f>
        <x:v>0.3333333333333333</x:v>
      </x:c>
      <x:c r="E3508" s="46" t="n">
        <x:f>D3508*(C3508-1)</x:f>
        <x:v>1.7689868569962535</x:v>
      </x:c>
      <x:c r="F3508" s="2"/>
      <x:c r="G3508" s="2"/>
      <x:c r="H3508" s="2"/>
    </x:row>
    <x:row r="3509" ht="22" customHeight="1">
      <x:c r="A3509" s="2" t="n">
        <x:v>3503</x:v>
      </x:c>
      <x:c r="B3509" s="79" t="n">
        <x:v>-0.1524210802286233</x:v>
      </x:c>
      <x:c r="C3509" s="46" t="n">
        <x:f>B3509^2</x:f>
        <x:v>0.02323218569806042</x:v>
      </x:c>
      <x:c r="D3509" s="47" t="n">
        <x:f>'Datos'!$B$26^3/3</x:f>
        <x:v>0.3333333333333333</x:v>
      </x:c>
      <x:c r="E3509" s="46" t="n">
        <x:f>D3509*(C3509-1)</x:f>
        <x:v>-0.32558927143397987</x:v>
      </x:c>
      <x:c r="F3509" s="2"/>
      <x:c r="G3509" s="2"/>
      <x:c r="H3509" s="2"/>
    </x:row>
    <x:row r="3510" ht="22" customHeight="1">
      <x:c r="A3510" s="2" t="n">
        <x:v>3504</x:v>
      </x:c>
      <x:c r="B3510" s="79" t="n">
        <x:v>1.2735013880608899</x:v>
      </x:c>
      <x:c r="C3510" s="46" t="n">
        <x:f>B3510^2</x:f>
        <x:v>1.6218057853930132</x:v>
      </x:c>
      <x:c r="D3510" s="47" t="n">
        <x:f>'Datos'!$B$26^3/3</x:f>
        <x:v>0.3333333333333333</x:v>
      </x:c>
      <x:c r="E3510" s="46" t="n">
        <x:f>D3510*(C3510-1)</x:f>
        <x:v>0.2072685951310044</x:v>
      </x:c>
      <x:c r="F3510" s="2"/>
      <x:c r="G3510" s="2"/>
      <x:c r="H3510" s="2"/>
    </x:row>
    <x:row r="3511" ht="22" customHeight="1">
      <x:c r="A3511" s="2" t="n">
        <x:v>3505</x:v>
      </x:c>
      <x:c r="B3511" s="79" t="n">
        <x:v>-1.6465726224216284</x:v>
      </x:c>
      <x:c r="C3511" s="46" t="n">
        <x:f>B3511^2</x:f>
        <x:v>2.7112014009084384</x:v>
      </x:c>
      <x:c r="D3511" s="47" t="n">
        <x:f>'Datos'!$B$26^3/3</x:f>
        <x:v>0.3333333333333333</x:v>
      </x:c>
      <x:c r="E3511" s="46" t="n">
        <x:f>D3511*(C3511-1)</x:f>
        <x:v>0.5704004669694794</x:v>
      </x:c>
      <x:c r="F3511" s="2"/>
      <x:c r="G3511" s="2"/>
      <x:c r="H3511" s="2"/>
    </x:row>
    <x:row r="3512" ht="22" customHeight="1">
      <x:c r="A3512" s="2" t="n">
        <x:v>3506</x:v>
      </x:c>
      <x:c r="B3512" s="79" t="n">
        <x:v>-0.8694916061558916</x:v>
      </x:c>
      <x:c r="C3512" s="46" t="n">
        <x:f>B3512^2</x:f>
        <x:v>0.7560156531755521</x:v>
      </x:c>
      <x:c r="D3512" s="47" t="n">
        <x:f>'Datos'!$B$26^3/3</x:f>
        <x:v>0.3333333333333333</x:v>
      </x:c>
      <x:c r="E3512" s="46" t="n">
        <x:f>D3512*(C3512-1)</x:f>
        <x:v>-0.0813281156081493</x:v>
      </x:c>
      <x:c r="F3512" s="2"/>
      <x:c r="G3512" s="2"/>
      <x:c r="H3512" s="2"/>
    </x:row>
    <x:row r="3513" ht="22" customHeight="1">
      <x:c r="A3513" s="2" t="n">
        <x:v>3507</x:v>
      </x:c>
      <x:c r="B3513" s="79" t="n">
        <x:v>0.5564302678873199</x:v>
      </x:c>
      <x:c r="C3513" s="46" t="n">
        <x:f>B3513^2</x:f>
        <x:v>0.30961464302115455</x:v>
      </x:c>
      <x:c r="D3513" s="47" t="n">
        <x:f>'Datos'!$B$26^3/3</x:f>
        <x:v>0.3333333333333333</x:v>
      </x:c>
      <x:c r="E3513" s="46" t="n">
        <x:f>D3513*(C3513-1)</x:f>
        <x:v>-0.2301284523262818</x:v>
      </x:c>
      <x:c r="F3513" s="2"/>
      <x:c r="G3513" s="2"/>
      <x:c r="H3513" s="2"/>
    </x:row>
    <x:row r="3514" ht="22" customHeight="1">
      <x:c r="A3514" s="2" t="n">
        <x:v>3508</x:v>
      </x:c>
      <x:c r="B3514" s="79" t="n">
        <x:v>1.007694449752969</x:v>
      </x:c>
      <x:c r="C3514" s="46" t="n">
        <x:f>B3514^2</x:f>
        <x:v>1.0154481040629388</x:v>
      </x:c>
      <x:c r="D3514" s="47" t="n">
        <x:f>'Datos'!$B$26^3/3</x:f>
        <x:v>0.3333333333333333</x:v>
      </x:c>
      <x:c r="E3514" s="46" t="n">
        <x:f>D3514*(C3514-1)</x:f>
        <x:v>0.005149368020979613</x:v>
      </x:c>
      <x:c r="F3514" s="2"/>
      <x:c r="G3514" s="2"/>
      <x:c r="H3514" s="2"/>
    </x:row>
    <x:row r="3515" ht="22" customHeight="1">
      <x:c r="A3515" s="2" t="n">
        <x:v>3509</x:v>
      </x:c>
      <x:c r="B3515" s="79" t="n">
        <x:v>-1.5649405097039901</x:v>
      </x:c>
      <x:c r="C3515" s="46" t="n">
        <x:f>B3515^2</x:f>
        <x:v>2.4490387989125844</x:v>
      </x:c>
      <x:c r="D3515" s="47" t="n">
        <x:f>'Datos'!$B$26^3/3</x:f>
        <x:v>0.3333333333333333</x:v>
      </x:c>
      <x:c r="E3515" s="46" t="n">
        <x:f>D3515*(C3515-1)</x:f>
        <x:v>0.48301293297086145</x:v>
      </x:c>
      <x:c r="F3515" s="2"/>
      <x:c r="G3515" s="2"/>
      <x:c r="H3515" s="2"/>
    </x:row>
    <x:row r="3516" ht="22" customHeight="1">
      <x:c r="A3516" s="2" t="n">
        <x:v>3510</x:v>
      </x:c>
      <x:c r="B3516" s="79" t="n">
        <x:v>-0.7734738669232349</x:v>
      </x:c>
      <x:c r="C3516" s="46" t="n">
        <x:f>B3516^2</x:f>
        <x:v>0.5982618228131822</x:v>
      </x:c>
      <x:c r="D3516" s="47" t="n">
        <x:f>'Datos'!$B$26^3/3</x:f>
        <x:v>0.3333333333333333</x:v>
      </x:c>
      <x:c r="E3516" s="46" t="n">
        <x:f>D3516*(C3516-1)</x:f>
        <x:v>-0.13391272572893925</x:v>
      </x:c>
      <x:c r="F3516" s="2"/>
      <x:c r="G3516" s="2"/>
      <x:c r="H3516" s="2"/>
    </x:row>
    <x:row r="3517" ht="22" customHeight="1">
      <x:c r="A3517" s="2" t="n">
        <x:v>3511</x:v>
      </x:c>
      <x:c r="B3517" s="79" t="n">
        <x:v>-0.08403012219189826</x:v>
      </x:c>
      <x:c r="C3517" s="46" t="n">
        <x:f>B3517^2</x:f>
        <x:v>0.007061061435585352</x:v>
      </x:c>
      <x:c r="D3517" s="47" t="n">
        <x:f>'Datos'!$B$26^3/3</x:f>
        <x:v>0.3333333333333333</x:v>
      </x:c>
      <x:c r="E3517" s="46" t="n">
        <x:f>D3517*(C3517-1)</x:f>
        <x:v>-0.3309796461881382</x:v>
      </x:c>
      <x:c r="F3517" s="2"/>
      <x:c r="G3517" s="2"/>
      <x:c r="H3517" s="2"/>
    </x:row>
    <x:row r="3518" ht="22" customHeight="1">
      <x:c r="A3518" s="2" t="n">
        <x:v>3512</x:v>
      </x:c>
      <x:c r="B3518" s="79" t="n">
        <x:v>0.06154672153215367</x:v>
      </x:c>
      <x:c r="C3518" s="46" t="n">
        <x:f>B3518^2</x:f>
        <x:v>0.003787998931356468</x:v>
      </x:c>
      <x:c r="D3518" s="47" t="n">
        <x:f>'Datos'!$B$26^3/3</x:f>
        <x:v>0.3333333333333333</x:v>
      </x:c>
      <x:c r="E3518" s="46" t="n">
        <x:f>D3518*(C3518-1)</x:f>
        <x:v>-0.3320706670228811</x:v>
      </x:c>
      <x:c r="F3518" s="2"/>
      <x:c r="G3518" s="2"/>
      <x:c r="H3518" s="2"/>
    </x:row>
    <x:row r="3519" ht="22" customHeight="1">
      <x:c r="A3519" s="2" t="n">
        <x:v>3513</x:v>
      </x:c>
      <x:c r="B3519" s="79" t="n">
        <x:v>1.7957214079039252</x:v>
      </x:c>
      <x:c r="C3519" s="46" t="n">
        <x:f>B3519^2</x:f>
        <x:v>3.2246153748044555</x:v>
      </x:c>
      <x:c r="D3519" s="47" t="n">
        <x:f>'Datos'!$B$26^3/3</x:f>
        <x:v>0.3333333333333333</x:v>
      </x:c>
      <x:c r="E3519" s="46" t="n">
        <x:f>D3519*(C3519-1)</x:f>
        <x:v>0.7415384582681518</x:v>
      </x:c>
      <x:c r="F3519" s="2"/>
      <x:c r="G3519" s="2"/>
      <x:c r="H3519" s="2"/>
    </x:row>
    <x:row r="3520" ht="22" customHeight="1">
      <x:c r="A3520" s="2" t="n">
        <x:v>3514</x:v>
      </x:c>
      <x:c r="B3520" s="79" t="n">
        <x:v>-0.45872959306487154</x:v>
      </x:c>
      <x:c r="C3520" s="46" t="n">
        <x:f>B3520^2</x:f>
        <x:v>0.21043283955346265</x:v>
      </x:c>
      <x:c r="D3520" s="47" t="n">
        <x:f>'Datos'!$B$26^3/3</x:f>
        <x:v>0.3333333333333333</x:v>
      </x:c>
      <x:c r="E3520" s="46" t="n">
        <x:f>D3520*(C3520-1)</x:f>
        <x:v>-0.2631890534821791</x:v>
      </x:c>
      <x:c r="F3520" s="2"/>
      <x:c r="G3520" s="2"/>
      <x:c r="H3520" s="2"/>
    </x:row>
    <x:row r="3521" ht="22" customHeight="1">
      <x:c r="A3521" s="2" t="n">
        <x:v>3515</x:v>
      </x:c>
      <x:c r="B3521" s="79" t="n">
        <x:v>-0.12642601507917073</x:v>
      </x:c>
      <x:c r="C3521" s="46" t="n">
        <x:f>B3521^2</x:f>
        <x:v>0.015983537288798703</x:v>
      </x:c>
      <x:c r="D3521" s="47" t="n">
        <x:f>'Datos'!$B$26^3/3</x:f>
        <x:v>0.3333333333333333</x:v>
      </x:c>
      <x:c r="E3521" s="46" t="n">
        <x:f>D3521*(C3521-1)</x:f>
        <x:v>-0.3280054875704004</x:v>
      </x:c>
      <x:c r="F3521" s="2"/>
      <x:c r="G3521" s="2"/>
      <x:c r="H3521" s="2"/>
    </x:row>
    <x:row r="3522" ht="22" customHeight="1">
      <x:c r="A3522" s="2" t="n">
        <x:v>3516</x:v>
      </x:c>
      <x:c r="B3522" s="79" t="n">
        <x:v>0.9160571565152176</x:v>
      </x:c>
      <x:c r="C3522" s="46" t="n">
        <x:f>B3522^2</x:f>
        <x:v>0.8391607140027458</x:v>
      </x:c>
      <x:c r="D3522" s="47" t="n">
        <x:f>'Datos'!$B$26^3/3</x:f>
        <x:v>0.3333333333333333</x:v>
      </x:c>
      <x:c r="E3522" s="46" t="n">
        <x:f>D3522*(C3522-1)</x:f>
        <x:v>-0.05361309533241805</x:v>
      </x:c>
      <x:c r="F3522" s="2"/>
      <x:c r="G3522" s="2"/>
      <x:c r="H3522" s="2"/>
    </x:row>
    <x:row r="3523" ht="22" customHeight="1">
      <x:c r="A3523" s="2" t="n">
        <x:v>3517</x:v>
      </x:c>
      <x:c r="B3523" s="79" t="n">
        <x:v>0.07912744020563602</x:v>
      </x:c>
      <x:c r="C3523" s="46" t="n">
        <x:f>B3523^2</x:f>
        <x:v>0.006261151793496503</x:v>
      </x:c>
      <x:c r="D3523" s="47" t="n">
        <x:f>'Datos'!$B$26^3/3</x:f>
        <x:v>0.3333333333333333</x:v>
      </x:c>
      <x:c r="E3523" s="46" t="n">
        <x:f>D3523*(C3523-1)</x:f>
        <x:v>-0.33124628273550116</x:v>
      </x:c>
      <x:c r="F3523" s="2"/>
      <x:c r="G3523" s="2"/>
      <x:c r="H3523" s="2"/>
    </x:row>
    <x:row r="3524" ht="22" customHeight="1">
      <x:c r="A3524" s="2" t="n">
        <x:v>3518</x:v>
      </x:c>
      <x:c r="B3524" s="79" t="n">
        <x:v>-0.5924216998400371</x:v>
      </x:c>
      <x:c r="C3524" s="46" t="n">
        <x:f>B3524^2</x:f>
        <x:v>0.35096347044135906</x:v>
      </x:c>
      <x:c r="D3524" s="47" t="n">
        <x:f>'Datos'!$B$26^3/3</x:f>
        <x:v>0.3333333333333333</x:v>
      </x:c>
      <x:c r="E3524" s="46" t="n">
        <x:f>D3524*(C3524-1)</x:f>
        <x:v>-0.21634550985288029</x:v>
      </x:c>
      <x:c r="F3524" s="2"/>
      <x:c r="G3524" s="2"/>
      <x:c r="H3524" s="2"/>
    </x:row>
    <x:row r="3525" ht="22" customHeight="1">
      <x:c r="A3525" s="2" t="n">
        <x:v>3519</x:v>
      </x:c>
      <x:c r="B3525" s="79" t="n">
        <x:v>-0.04300350449915057</x:v>
      </x:c>
      <x:c r="C3525" s="46" t="n">
        <x:f>B3525^2</x:f>
        <x:v>0.0018493013992084636</x:v>
      </x:c>
      <x:c r="D3525" s="47" t="n">
        <x:f>'Datos'!$B$26^3/3</x:f>
        <x:v>0.3333333333333333</x:v>
      </x:c>
      <x:c r="E3525" s="46" t="n">
        <x:f>D3525*(C3525-1)</x:f>
        <x:v>-0.3327168995335972</x:v>
      </x:c>
      <x:c r="F3525" s="2"/>
      <x:c r="G3525" s="2"/>
      <x:c r="H3525" s="2"/>
    </x:row>
    <x:row r="3526" ht="22" customHeight="1">
      <x:c r="A3526" s="2" t="n">
        <x:v>3520</x:v>
      </x:c>
      <x:c r="B3526" s="79" t="n">
        <x:v>2.80739798895079</x:v>
      </x:c>
      <x:c r="C3526" s="46" t="n">
        <x:f>B3526^2</x:f>
        <x:v>7.88148346836494</x:v>
      </x:c>
      <x:c r="D3526" s="47" t="n">
        <x:f>'Datos'!$B$26^3/3</x:f>
        <x:v>0.3333333333333333</x:v>
      </x:c>
      <x:c r="E3526" s="46" t="n">
        <x:f>D3526*(C3526-1)</x:f>
        <x:v>2.2938278227883133</x:v>
      </x:c>
      <x:c r="F3526" s="2"/>
      <x:c r="G3526" s="2"/>
      <x:c r="H3526" s="2"/>
    </x:row>
    <x:row r="3527" ht="22" customHeight="1">
      <x:c r="A3527" s="2" t="n">
        <x:v>3521</x:v>
      </x:c>
      <x:c r="B3527" s="79" t="n">
        <x:v>0.9560249606622134</x:v>
      </x:c>
      <x:c r="C3527" s="46" t="n">
        <x:f>B3527^2</x:f>
        <x:v>0.9139837254091867</x:v>
      </x:c>
      <x:c r="D3527" s="47" t="n">
        <x:f>'Datos'!$B$26^3/3</x:f>
        <x:v>0.3333333333333333</x:v>
      </x:c>
      <x:c r="E3527" s="46" t="n">
        <x:f>D3527*(C3527-1)</x:f>
        <x:v>-0.028672091530271095</x:v>
      </x:c>
      <x:c r="F3527" s="2"/>
      <x:c r="G3527" s="2"/>
      <x:c r="H3527" s="2"/>
    </x:row>
    <x:row r="3528" ht="22" customHeight="1">
      <x:c r="A3528" s="2" t="n">
        <x:v>3522</x:v>
      </x:c>
      <x:c r="B3528" s="79" t="n">
        <x:v>-0.6163642935702424</x:v>
      </x:c>
      <x:c r="C3528" s="46" t="n">
        <x:f>B3528^2</x:f>
        <x:v>0.37990494238834394</x:v>
      </x:c>
      <x:c r="D3528" s="47" t="n">
        <x:f>'Datos'!$B$26^3/3</x:f>
        <x:v>0.3333333333333333</x:v>
      </x:c>
      <x:c r="E3528" s="46" t="n">
        <x:f>D3528*(C3528-1)</x:f>
        <x:v>-0.2066983525372187</x:v>
      </x:c>
      <x:c r="F3528" s="2"/>
      <x:c r="G3528" s="2"/>
      <x:c r="H3528" s="2"/>
    </x:row>
    <x:row r="3529" ht="22" customHeight="1">
      <x:c r="A3529" s="2" t="n">
        <x:v>3523</x:v>
      </x:c>
      <x:c r="B3529" s="79" t="n">
        <x:v>-0.3123532976302623</x:v>
      </x:c>
      <x:c r="C3529" s="46" t="n">
        <x:f>B3529^2</x:f>
        <x:v>0.09756458254049924</x:v>
      </x:c>
      <x:c r="D3529" s="47" t="n">
        <x:f>'Datos'!$B$26^3/3</x:f>
        <x:v>0.3333333333333333</x:v>
      </x:c>
      <x:c r="E3529" s="46" t="n">
        <x:f>D3529*(C3529-1)</x:f>
        <x:v>-0.3008118058198336</x:v>
      </x:c>
      <x:c r="F3529" s="2"/>
      <x:c r="G3529" s="2"/>
      <x:c r="H3529" s="2"/>
    </x:row>
    <x:row r="3530" ht="22" customHeight="1">
      <x:c r="A3530" s="2" t="n">
        <x:v>3524</x:v>
      </x:c>
      <x:c r="B3530" s="79" t="n">
        <x:v>0.4340606204259978</x:v>
      </x:c>
      <x:c r="C3530" s="46" t="n">
        <x:f>B3530^2</x:f>
        <x:v>0.18840862220460214</x:v>
      </x:c>
      <x:c r="D3530" s="47" t="n">
        <x:f>'Datos'!$B$26^3/3</x:f>
        <x:v>0.3333333333333333</x:v>
      </x:c>
      <x:c r="E3530" s="46" t="n">
        <x:f>D3530*(C3530-1)</x:f>
        <x:v>-0.2705304592651326</x:v>
      </x:c>
      <x:c r="F3530" s="2"/>
      <x:c r="G3530" s="2"/>
      <x:c r="H3530" s="2"/>
    </x:row>
    <x:row r="3531" ht="22" customHeight="1">
      <x:c r="A3531" s="2" t="n">
        <x:v>3525</x:v>
      </x:c>
      <x:c r="B3531" s="79" t="n">
        <x:v>-1.7412924270596657</x:v>
      </x:c>
      <x:c r="C3531" s="46" t="n">
        <x:f>B3531^2</x:f>
        <x:v>3.032099316535341</x:v>
      </x:c>
      <x:c r="D3531" s="47" t="n">
        <x:f>'Datos'!$B$26^3/3</x:f>
        <x:v>0.3333333333333333</x:v>
      </x:c>
      <x:c r="E3531" s="46" t="n">
        <x:f>D3531*(C3531-1)</x:f>
        <x:v>0.6773664388451137</x:v>
      </x:c>
      <x:c r="F3531" s="2"/>
      <x:c r="G3531" s="2"/>
      <x:c r="H3531" s="2"/>
    </x:row>
    <x:row r="3532" ht="22" customHeight="1">
      <x:c r="A3532" s="2" t="n">
        <x:v>3526</x:v>
      </x:c>
      <x:c r="B3532" s="79" t="n">
        <x:v>-0.08913395718635213</x:v>
      </x:c>
      <x:c r="C3532" s="46" t="n">
        <x:f>B3532^2</x:f>
        <x:v>0.007944862323698454</x:v>
      </x:c>
      <x:c r="D3532" s="47" t="n">
        <x:f>'Datos'!$B$26^3/3</x:f>
        <x:v>0.3333333333333333</x:v>
      </x:c>
      <x:c r="E3532" s="46" t="n">
        <x:f>D3532*(C3532-1)</x:f>
        <x:v>-0.3306850458921005</x:v>
      </x:c>
      <x:c r="F3532" s="2"/>
      <x:c r="G3532" s="2"/>
      <x:c r="H3532" s="2"/>
    </x:row>
    <x:row r="3533" ht="22" customHeight="1">
      <x:c r="A3533" s="2" t="n">
        <x:v>3527</x:v>
      </x:c>
      <x:c r="B3533" s="79" t="n">
        <x:v>-0.3094859227558034</x:v>
      </x:c>
      <x:c r="C3533" s="46" t="n">
        <x:f>B3533^2</x:f>
        <x:v>0.0957815363840111</x:v>
      </x:c>
      <x:c r="D3533" s="47" t="n">
        <x:f>'Datos'!$B$26^3/3</x:f>
        <x:v>0.3333333333333333</x:v>
      </x:c>
      <x:c r="E3533" s="46" t="n">
        <x:f>D3533*(C3533-1)</x:f>
        <x:v>-0.30140615453866293</x:v>
      </x:c>
      <x:c r="F3533" s="2"/>
      <x:c r="G3533" s="2"/>
      <x:c r="H3533" s="2"/>
    </x:row>
    <x:row r="3534" ht="22" customHeight="1">
      <x:c r="A3534" s="2" t="n">
        <x:v>3528</x:v>
      </x:c>
      <x:c r="B3534" s="79" t="n">
        <x:v>-0.004000345436086792</x:v>
      </x:c>
      <x:c r="C3534" s="46" t="n">
        <x:f>B3534^2</x:f>
        <x:v>0.00001600276360802043</x:v>
      </x:c>
      <x:c r="D3534" s="47" t="n">
        <x:f>'Datos'!$B$26^3/3</x:f>
        <x:v>0.3333333333333333</x:v>
      </x:c>
      <x:c r="E3534" s="46" t="n">
        <x:f>D3534*(C3534-1)</x:f>
        <x:v>-0.3333279990787973</x:v>
      </x:c>
      <x:c r="F3534" s="2"/>
      <x:c r="G3534" s="2"/>
      <x:c r="H3534" s="2"/>
    </x:row>
    <x:row r="3535" ht="22" customHeight="1">
      <x:c r="A3535" s="2" t="n">
        <x:v>3529</x:v>
      </x:c>
      <x:c r="B3535" s="79" t="n">
        <x:v>0.14515153097171918</x:v>
      </x:c>
      <x:c r="C3535" s="46" t="n">
        <x:f>B3535^2</x:f>
        <x:v>0.02106896694343395</x:v>
      </x:c>
      <x:c r="D3535" s="47" t="n">
        <x:f>'Datos'!$B$26^3/3</x:f>
        <x:v>0.3333333333333333</x:v>
      </x:c>
      <x:c r="E3535" s="46" t="n">
        <x:f>D3535*(C3535-1)</x:f>
        <x:v>-0.32631034435218864</x:v>
      </x:c>
      <x:c r="F3535" s="2"/>
      <x:c r="G3535" s="2"/>
      <x:c r="H3535" s="2"/>
    </x:row>
    <x:row r="3536" ht="22" customHeight="1">
      <x:c r="A3536" s="2" t="n">
        <x:v>3530</x:v>
      </x:c>
      <x:c r="B3536" s="79" t="n">
        <x:v>0.21381923066794395</x:v>
      </x:c>
      <x:c r="C3536" s="46" t="n">
        <x:f>B3536^2</x:f>
        <x:v>0.04571866340343142</x:v>
      </x:c>
      <x:c r="D3536" s="47" t="n">
        <x:f>'Datos'!$B$26^3/3</x:f>
        <x:v>0.3333333333333333</x:v>
      </x:c>
      <x:c r="E3536" s="46" t="n">
        <x:f>D3536*(C3536-1)</x:f>
        <x:v>-0.3180937788655228</x:v>
      </x:c>
      <x:c r="F3536" s="2"/>
      <x:c r="G3536" s="2"/>
      <x:c r="H3536" s="2"/>
    </x:row>
    <x:row r="3537" ht="22" customHeight="1">
      <x:c r="A3537" s="2" t="n">
        <x:v>3531</x:v>
      </x:c>
      <x:c r="B3537" s="79" t="n">
        <x:v>1.2142821706715718</x:v>
      </x:c>
      <x:c r="C3537" s="46" t="n">
        <x:f>B3537^2</x:f>
        <x:v>1.4744811900108643</x:v>
      </x:c>
      <x:c r="D3537" s="47" t="n">
        <x:f>'Datos'!$B$26^3/3</x:f>
        <x:v>0.3333333333333333</x:v>
      </x:c>
      <x:c r="E3537" s="46" t="n">
        <x:f>D3537*(C3537-1)</x:f>
        <x:v>0.15816039667028808</x:v>
      </x:c>
      <x:c r="F3537" s="2"/>
      <x:c r="G3537" s="2"/>
      <x:c r="H3537" s="2"/>
    </x:row>
    <x:row r="3538" ht="22" customHeight="1">
      <x:c r="A3538" s="2" t="n">
        <x:v>3532</x:v>
      </x:c>
      <x:c r="B3538" s="79" t="n">
        <x:v>-1.105145876799849</x:v>
      </x:c>
      <x:c r="C3538" s="46" t="n">
        <x:f>B3538^2</x:f>
        <x:v>1.221347409007707</x:v>
      </x:c>
      <x:c r="D3538" s="47" t="n">
        <x:f>'Datos'!$B$26^3/3</x:f>
        <x:v>0.3333333333333333</x:v>
      </x:c>
      <x:c r="E3538" s="46" t="n">
        <x:f>D3538*(C3538-1)</x:f>
        <x:v>0.07378246966923566</x:v>
      </x:c>
      <x:c r="F3538" s="2"/>
      <x:c r="G3538" s="2"/>
      <x:c r="H3538" s="2"/>
    </x:row>
    <x:row r="3539" ht="22" customHeight="1">
      <x:c r="A3539" s="2" t="n">
        <x:v>3533</x:v>
      </x:c>
      <x:c r="B3539" s="79" t="n">
        <x:v>0.2664180551684488</x:v>
      </x:c>
      <x:c r="C3539" s="46" t="n">
        <x:f>B3539^2</x:f>
        <x:v>0.07097858011973862</x:v>
      </x:c>
      <x:c r="D3539" s="47" t="n">
        <x:f>'Datos'!$B$26^3/3</x:f>
        <x:v>0.3333333333333333</x:v>
      </x:c>
      <x:c r="E3539" s="46" t="n">
        <x:f>D3539*(C3539-1)</x:f>
        <x:v>-0.30967380662675376</x:v>
      </x:c>
      <x:c r="F3539" s="2"/>
      <x:c r="G3539" s="2"/>
      <x:c r="H3539" s="2"/>
    </x:row>
    <x:row r="3540" ht="22" customHeight="1">
      <x:c r="A3540" s="2" t="n">
        <x:v>3534</x:v>
      </x:c>
      <x:c r="B3540" s="79" t="n">
        <x:v>-0.6461258488197198</x:v>
      </x:c>
      <x:c r="C3540" s="46" t="n">
        <x:f>B3540^2</x:f>
        <x:v>0.4174786125130034</x:v>
      </x:c>
      <x:c r="D3540" s="47" t="n">
        <x:f>'Datos'!$B$26^3/3</x:f>
        <x:v>0.3333333333333333</x:v>
      </x:c>
      <x:c r="E3540" s="46" t="n">
        <x:f>D3540*(C3540-1)</x:f>
        <x:v>-0.19417379582899885</x:v>
      </x:c>
      <x:c r="F3540" s="2"/>
      <x:c r="G3540" s="2"/>
      <x:c r="H3540" s="2"/>
    </x:row>
    <x:row r="3541" ht="22" customHeight="1">
      <x:c r="A3541" s="2" t="n">
        <x:v>3535</x:v>
      </x:c>
      <x:c r="B3541" s="79" t="n">
        <x:v>1.318500508045589</x:v>
      </x:c>
      <x:c r="C3541" s="46" t="n">
        <x:f>B3541^2</x:f>
        <x:v>1.738443589716476</x:v>
      </x:c>
      <x:c r="D3541" s="47" t="n">
        <x:f>'Datos'!$B$26^3/3</x:f>
        <x:v>0.3333333333333333</x:v>
      </x:c>
      <x:c r="E3541" s="46" t="n">
        <x:f>D3541*(C3541-1)</x:f>
        <x:v>0.24614786323882534</x:v>
      </x:c>
      <x:c r="F3541" s="2"/>
      <x:c r="G3541" s="2"/>
      <x:c r="H3541" s="2"/>
    </x:row>
    <x:row r="3542" ht="22" customHeight="1">
      <x:c r="A3542" s="2" t="n">
        <x:v>3536</x:v>
      </x:c>
      <x:c r="B3542" s="79" t="n">
        <x:v>-0.35175620789806694</x:v>
      </x:c>
      <x:c r="C3542" s="46" t="n">
        <x:f>B3542^2</x:f>
        <x:v>0.1237324297948281</x:v>
      </x:c>
      <x:c r="D3542" s="47" t="n">
        <x:f>'Datos'!$B$26^3/3</x:f>
        <x:v>0.3333333333333333</x:v>
      </x:c>
      <x:c r="E3542" s="46" t="n">
        <x:f>D3542*(C3542-1)</x:f>
        <x:v>-0.2920891900683906</x:v>
      </x:c>
      <x:c r="F3542" s="2"/>
      <x:c r="G3542" s="2"/>
      <x:c r="H3542" s="2"/>
    </x:row>
    <x:row r="3543" ht="22" customHeight="1">
      <x:c r="A3543" s="2" t="n">
        <x:v>3537</x:v>
      </x:c>
      <x:c r="B3543" s="79" t="n">
        <x:v>-0.23608991227040751</x:v>
      </x:c>
      <x:c r="C3543" s="46" t="n">
        <x:f>B3543^2</x:f>
        <x:v>0.055738446675848714</x:v>
      </x:c>
      <x:c r="D3543" s="47" t="n">
        <x:f>'Datos'!$B$26^3/3</x:f>
        <x:v>0.3333333333333333</x:v>
      </x:c>
      <x:c r="E3543" s="46" t="n">
        <x:f>D3543*(C3543-1)</x:f>
        <x:v>-0.31475385110805043</x:v>
      </x:c>
      <x:c r="F3543" s="2"/>
      <x:c r="G3543" s="2"/>
      <x:c r="H3543" s="2"/>
    </x:row>
    <x:row r="3544" ht="22" customHeight="1">
      <x:c r="A3544" s="2" t="n">
        <x:v>3538</x:v>
      </x:c>
      <x:c r="B3544" s="79" t="n">
        <x:v>1.0785150022616814</x:v>
      </x:c>
      <x:c r="C3544" s="46" t="n">
        <x:f>B3544^2</x:f>
        <x:v>1.1631946101035147</x:v>
      </x:c>
      <x:c r="D3544" s="47" t="n">
        <x:f>'Datos'!$B$26^3/3</x:f>
        <x:v>0.3333333333333333</x:v>
      </x:c>
      <x:c r="E3544" s="46" t="n">
        <x:f>D3544*(C3544-1)</x:f>
        <x:v>0.05439820336783822</x:v>
      </x:c>
      <x:c r="F3544" s="2"/>
      <x:c r="G3544" s="2"/>
      <x:c r="H3544" s="2"/>
    </x:row>
    <x:row r="3545" ht="22" customHeight="1">
      <x:c r="A3545" s="2" t="n">
        <x:v>3539</x:v>
      </x:c>
      <x:c r="B3545" s="79" t="n">
        <x:v>2.007528461138628</x:v>
      </x:c>
      <x:c r="C3545" s="46" t="n">
        <x:f>B3545^2</x:f>
        <x:v>4.030170522281628</x:v>
      </x:c>
      <x:c r="D3545" s="47" t="n">
        <x:f>'Datos'!$B$26^3/3</x:f>
        <x:v>0.3333333333333333</x:v>
      </x:c>
      <x:c r="E3545" s="46" t="n">
        <x:f>D3545*(C3545-1)</x:f>
        <x:v>1.0100568407605426</x:v>
      </x:c>
      <x:c r="F3545" s="2"/>
      <x:c r="G3545" s="2"/>
      <x:c r="H3545" s="2"/>
    </x:row>
    <x:row r="3546" ht="22" customHeight="1">
      <x:c r="A3546" s="2" t="n">
        <x:v>3540</x:v>
      </x:c>
      <x:c r="B3546" s="79" t="n">
        <x:v>1.2575667942322881</x:v>
      </x:c>
      <x:c r="C3546" s="46" t="n">
        <x:f>B3546^2</x:f>
        <x:v>1.581474241955674</x:v>
      </x:c>
      <x:c r="D3546" s="47" t="n">
        <x:f>'Datos'!$B$26^3/3</x:f>
        <x:v>0.3333333333333333</x:v>
      </x:c>
      <x:c r="E3546" s="46" t="n">
        <x:f>D3546*(C3546-1)</x:f>
        <x:v>0.19382474731855798</x:v>
      </x:c>
      <x:c r="F3546" s="2"/>
      <x:c r="G3546" s="2"/>
      <x:c r="H3546" s="2"/>
    </x:row>
    <x:row r="3547" ht="22" customHeight="1">
      <x:c r="A3547" s="2" t="n">
        <x:v>3541</x:v>
      </x:c>
      <x:c r="B3547" s="79" t="n">
        <x:v>-0.8020487789302028</x:v>
      </x:c>
      <x:c r="C3547" s="46" t="n">
        <x:f>B3547^2</x:f>
        <x:v>0.6432822437834292</x:v>
      </x:c>
      <x:c r="D3547" s="47" t="n">
        <x:f>'Datos'!$B$26^3/3</x:f>
        <x:v>0.3333333333333333</x:v>
      </x:c>
      <x:c r="E3547" s="46" t="n">
        <x:f>D3547*(C3547-1)</x:f>
        <x:v>-0.11890591873885692</x:v>
      </x:c>
      <x:c r="F3547" s="2"/>
      <x:c r="G3547" s="2"/>
      <x:c r="H3547" s="2"/>
    </x:row>
    <x:row r="3548" ht="22" customHeight="1">
      <x:c r="A3548" s="2" t="n">
        <x:v>3542</x:v>
      </x:c>
      <x:c r="B3548" s="79" t="n">
        <x:v>0.9369803411176805</x:v>
      </x:c>
      <x:c r="C3548" s="46" t="n">
        <x:f>B3548^2</x:f>
        <x:v>0.8779321596410049</x:v>
      </x:c>
      <x:c r="D3548" s="47" t="n">
        <x:f>'Datos'!$B$26^3/3</x:f>
        <x:v>0.3333333333333333</x:v>
      </x:c>
      <x:c r="E3548" s="46" t="n">
        <x:f>D3548*(C3548-1)</x:f>
        <x:v>-0.04068928011966503</x:v>
      </x:c>
      <x:c r="F3548" s="2"/>
      <x:c r="G3548" s="2"/>
      <x:c r="H3548" s="2"/>
    </x:row>
    <x:row r="3549" ht="22" customHeight="1">
      <x:c r="A3549" s="2" t="n">
        <x:v>3543</x:v>
      </x:c>
      <x:c r="B3549" s="79" t="n">
        <x:v>1.4036706025027381</x:v>
      </x:c>
      <x:c r="C3549" s="46" t="n">
        <x:f>B3549^2</x:f>
        <x:v>1.9702911603303999</x:v>
      </x:c>
      <x:c r="D3549" s="47" t="n">
        <x:f>'Datos'!$B$26^3/3</x:f>
        <x:v>0.3333333333333333</x:v>
      </x:c>
      <x:c r="E3549" s="46" t="n">
        <x:f>D3549*(C3549-1)</x:f>
        <x:v>0.3234303867767999</x:v>
      </x:c>
      <x:c r="F3549" s="2"/>
      <x:c r="G3549" s="2"/>
      <x:c r="H3549" s="2"/>
    </x:row>
    <x:row r="3550" ht="22" customHeight="1">
      <x:c r="A3550" s="2" t="n">
        <x:v>3544</x:v>
      </x:c>
      <x:c r="B3550" s="79" t="n">
        <x:v>0.12586937137243095</x:v>
      </x:c>
      <x:c r="C3550" s="46" t="n">
        <x:f>B3550^2</x:f>
        <x:v>0.01584309864969094</x:v>
      </x:c>
      <x:c r="D3550" s="47" t="n">
        <x:f>'Datos'!$B$26^3/3</x:f>
        <x:v>0.3333333333333333</x:v>
      </x:c>
      <x:c r="E3550" s="46" t="n">
        <x:f>D3550*(C3550-1)</x:f>
        <x:v>-0.32805230045010303</x:v>
      </x:c>
      <x:c r="F3550" s="2"/>
      <x:c r="G3550" s="2"/>
      <x:c r="H3550" s="2"/>
    </x:row>
    <x:row r="3551" ht="22" customHeight="1">
      <x:c r="A3551" s="2" t="n">
        <x:v>3545</x:v>
      </x:c>
      <x:c r="B3551" s="79" t="n">
        <x:v>0.8458665247878636</x:v>
      </x:c>
      <x:c r="C3551" s="46" t="n">
        <x:f>B3551^2</x:f>
        <x:v>0.7154901777566975</x:v>
      </x:c>
      <x:c r="D3551" s="47" t="n">
        <x:f>'Datos'!$B$26^3/3</x:f>
        <x:v>0.3333333333333333</x:v>
      </x:c>
      <x:c r="E3551" s="46" t="n">
        <x:f>D3551*(C3551-1)</x:f>
        <x:v>-0.09483660741443414</x:v>
      </x:c>
      <x:c r="F3551" s="2"/>
      <x:c r="G3551" s="2"/>
      <x:c r="H3551" s="2"/>
    </x:row>
    <x:row r="3552" ht="22" customHeight="1">
      <x:c r="A3552" s="2" t="n">
        <x:v>3546</x:v>
      </x:c>
      <x:c r="B3552" s="79" t="n">
        <x:v>-0.6135661579167516</x:v>
      </x:c>
      <x:c r="C3552" s="46" t="n">
        <x:f>B3552^2</x:f>
        <x:v>0.3764634301407242</x:v>
      </x:c>
      <x:c r="D3552" s="47" t="n">
        <x:f>'Datos'!$B$26^3/3</x:f>
        <x:v>0.3333333333333333</x:v>
      </x:c>
      <x:c r="E3552" s="46" t="n">
        <x:f>D3552*(C3552-1)</x:f>
        <x:v>-0.20784552328642528</x:v>
      </x:c>
      <x:c r="F3552" s="2"/>
      <x:c r="G3552" s="2"/>
      <x:c r="H3552" s="2"/>
    </x:row>
    <x:row r="3553" ht="22" customHeight="1">
      <x:c r="A3553" s="2" t="n">
        <x:v>3547</x:v>
      </x:c>
      <x:c r="B3553" s="79" t="n">
        <x:v>-0.6045111267480955</x:v>
      </x:c>
      <x:c r="C3553" s="46" t="n">
        <x:f>B3553^2</x:f>
        <x:v>0.365433702362252</x:v>
      </x:c>
      <x:c r="D3553" s="47" t="n">
        <x:f>'Datos'!$B$26^3/3</x:f>
        <x:v>0.3333333333333333</x:v>
      </x:c>
      <x:c r="E3553" s="46" t="n">
        <x:f>D3553*(C3553-1)</x:f>
        <x:v>-0.21152209921258264</x:v>
      </x:c>
      <x:c r="F3553" s="2"/>
      <x:c r="G3553" s="2"/>
      <x:c r="H3553" s="2"/>
    </x:row>
    <x:row r="3554" ht="22" customHeight="1">
      <x:c r="A3554" s="2" t="n">
        <x:v>3548</x:v>
      </x:c>
      <x:c r="B3554" s="79" t="n">
        <x:v>1.7170453919240984</x:v>
      </x:c>
      <x:c r="C3554" s="46" t="n">
        <x:f>B3554^2</x:f>
        <x:v>2.948244877927781</x:v>
      </x:c>
      <x:c r="D3554" s="47" t="n">
        <x:f>'Datos'!$B$26^3/3</x:f>
        <x:v>0.3333333333333333</x:v>
      </x:c>
      <x:c r="E3554" s="46" t="n">
        <x:f>D3554*(C3554-1)</x:f>
        <x:v>0.6494149593092603</x:v>
      </x:c>
      <x:c r="F3554" s="2"/>
      <x:c r="G3554" s="2"/>
      <x:c r="H3554" s="2"/>
    </x:row>
    <x:row r="3555" ht="22" customHeight="1">
      <x:c r="A3555" s="2" t="n">
        <x:v>3549</x:v>
      </x:c>
      <x:c r="B3555" s="79" t="n">
        <x:v>-0.9037003985610635</x:v>
      </x:c>
      <x:c r="C3555" s="46" t="n">
        <x:f>B3555^2</x:f>
        <x:v>0.8166744103594251</x:v>
      </x:c>
      <x:c r="D3555" s="47" t="n">
        <x:f>'Datos'!$B$26^3/3</x:f>
        <x:v>0.3333333333333333</x:v>
      </x:c>
      <x:c r="E3555" s="46" t="n">
        <x:f>D3555*(C3555-1)</x:f>
        <x:v>-0.06110852988019162</x:v>
      </x:c>
      <x:c r="F3555" s="2"/>
      <x:c r="G3555" s="2"/>
      <x:c r="H3555" s="2"/>
    </x:row>
    <x:row r="3556" ht="22" customHeight="1">
      <x:c r="A3556" s="2" t="n">
        <x:v>3550</x:v>
      </x:c>
      <x:c r="B3556" s="79" t="n">
        <x:v>-0.9607311448654815</x:v>
      </x:c>
      <x:c r="C3556" s="46" t="n">
        <x:f>B3556^2</x:f>
        <x:v>0.9230043327145389</x:v>
      </x:c>
      <x:c r="D3556" s="47" t="n">
        <x:f>'Datos'!$B$26^3/3</x:f>
        <x:v>0.3333333333333333</x:v>
      </x:c>
      <x:c r="E3556" s="46" t="n">
        <x:f>D3556*(C3556-1)</x:f>
        <x:v>-0.025665222428487046</x:v>
      </x:c>
      <x:c r="F3556" s="2"/>
      <x:c r="G3556" s="2"/>
      <x:c r="H3556" s="2"/>
    </x:row>
    <x:row r="3557" ht="22" customHeight="1">
      <x:c r="A3557" s="2" t="n">
        <x:v>3551</x:v>
      </x:c>
      <x:c r="B3557" s="79" t="n">
        <x:v>2.1124730279061303</x:v>
      </x:c>
      <x:c r="C3557" s="46" t="n">
        <x:f>B3557^2</x:f>
        <x:v>4.462542293630895</x:v>
      </x:c>
      <x:c r="D3557" s="47" t="n">
        <x:f>'Datos'!$B$26^3/3</x:f>
        <x:v>0.3333333333333333</x:v>
      </x:c>
      <x:c r="E3557" s="46" t="n">
        <x:f>D3557*(C3557-1)</x:f>
        <x:v>1.1541807645436315</x:v>
      </x:c>
      <x:c r="F3557" s="2"/>
      <x:c r="G3557" s="2"/>
      <x:c r="H3557" s="2"/>
    </x:row>
    <x:row r="3558" ht="22" customHeight="1">
      <x:c r="A3558" s="2" t="n">
        <x:v>3552</x:v>
      </x:c>
      <x:c r="B3558" s="79" t="n">
        <x:v>1.2422024124946374</x:v>
      </x:c>
      <x:c r="C3558" s="46" t="n">
        <x:f>B3558^2</x:f>
        <x:v>1.5430668336074973</x:v>
      </x:c>
      <x:c r="D3558" s="47" t="n">
        <x:f>'Datos'!$B$26^3/3</x:f>
        <x:v>0.3333333333333333</x:v>
      </x:c>
      <x:c r="E3558" s="46" t="n">
        <x:f>D3558*(C3558-1)</x:f>
        <x:v>0.18102227786916575</x:v>
      </x:c>
      <x:c r="F3558" s="2"/>
      <x:c r="G3558" s="2"/>
      <x:c r="H3558" s="2"/>
    </x:row>
    <x:row r="3559" ht="22" customHeight="1">
      <x:c r="A3559" s="2" t="n">
        <x:v>3553</x:v>
      </x:c>
      <x:c r="B3559" s="79" t="n">
        <x:v>-0.2158718096903527</x:v>
      </x:c>
      <x:c r="C3559" s="46" t="n">
        <x:f>B3559^2</x:f>
        <x:v>0.04660063821898785</x:v>
      </x:c>
      <x:c r="D3559" s="47" t="n">
        <x:f>'Datos'!$B$26^3/3</x:f>
        <x:v>0.3333333333333333</x:v>
      </x:c>
      <x:c r="E3559" s="46" t="n">
        <x:f>D3559*(C3559-1)</x:f>
        <x:v>-0.31779978726033736</x:v>
      </x:c>
      <x:c r="F3559" s="2"/>
      <x:c r="G3559" s="2"/>
      <x:c r="H3559" s="2"/>
    </x:row>
    <x:row r="3560" ht="22" customHeight="1">
      <x:c r="A3560" s="2" t="n">
        <x:v>3554</x:v>
      </x:c>
      <x:c r="B3560" s="79" t="n">
        <x:v>0.6729094178819472</x:v>
      </x:c>
      <x:c r="C3560" s="46" t="n">
        <x:f>B3560^2</x:f>
        <x:v>0.4528070846742211</x:v>
      </x:c>
      <x:c r="D3560" s="47" t="n">
        <x:f>'Datos'!$B$26^3/3</x:f>
        <x:v>0.3333333333333333</x:v>
      </x:c>
      <x:c r="E3560" s="46" t="n">
        <x:f>D3560*(C3560-1)</x:f>
        <x:v>-0.18239763844192627</x:v>
      </x:c>
      <x:c r="F3560" s="2"/>
      <x:c r="G3560" s="2"/>
      <x:c r="H3560" s="2"/>
    </x:row>
    <x:row r="3561" ht="22" customHeight="1">
      <x:c r="A3561" s="2" t="n">
        <x:v>3555</x:v>
      </x:c>
      <x:c r="B3561" s="79" t="n">
        <x:v>0.19316534237584582</x:v>
      </x:c>
      <x:c r="C3561" s="46" t="n">
        <x:f>B3561^2</x:f>
        <x:v>0.037312849495177734</x:v>
      </x:c>
      <x:c r="D3561" s="47" t="n">
        <x:f>'Datos'!$B$26^3/3</x:f>
        <x:v>0.3333333333333333</x:v>
      </x:c>
      <x:c r="E3561" s="46" t="n">
        <x:f>D3561*(C3561-1)</x:f>
        <x:v>-0.3208957168349407</x:v>
      </x:c>
      <x:c r="F3561" s="2"/>
      <x:c r="G3561" s="2"/>
      <x:c r="H3561" s="2"/>
    </x:row>
    <x:row r="3562" ht="22" customHeight="1">
      <x:c r="A3562" s="2" t="n">
        <x:v>3556</x:v>
      </x:c>
      <x:c r="B3562" s="79" t="n">
        <x:v>-1.1764935511409436</x:v>
      </x:c>
      <x:c r="C3562" s="46" t="n">
        <x:f>B3562^2</x:f>
        <x:v>1.384137075876228</x:v>
      </x:c>
      <x:c r="D3562" s="47" t="n">
        <x:f>'Datos'!$B$26^3/3</x:f>
        <x:v>0.3333333333333333</x:v>
      </x:c>
      <x:c r="E3562" s="46" t="n">
        <x:f>D3562*(C3562-1)</x:f>
        <x:v>0.12804569195874263</x:v>
      </x:c>
      <x:c r="F3562" s="2"/>
      <x:c r="G3562" s="2"/>
      <x:c r="H3562" s="2"/>
    </x:row>
    <x:row r="3563" ht="22" customHeight="1">
      <x:c r="A3563" s="2" t="n">
        <x:v>3557</x:v>
      </x:c>
      <x:c r="B3563" s="79" t="n">
        <x:v>0.6098261763324225</x:v>
      </x:c>
      <x:c r="C3563" s="46" t="n">
        <x:f>B3563^2</x:f>
        <x:v>0.3718879653402229</x:v>
      </x:c>
      <x:c r="D3563" s="47" t="n">
        <x:f>'Datos'!$B$26^3/3</x:f>
        <x:v>0.3333333333333333</x:v>
      </x:c>
      <x:c r="E3563" s="46" t="n">
        <x:f>D3563*(C3563-1)</x:f>
        <x:v>-0.20937067821992567</x:v>
      </x:c>
      <x:c r="F3563" s="2"/>
      <x:c r="G3563" s="2"/>
      <x:c r="H3563" s="2"/>
    </x:row>
    <x:row r="3564" ht="22" customHeight="1">
      <x:c r="A3564" s="2" t="n">
        <x:v>3558</x:v>
      </x:c>
      <x:c r="B3564" s="79" t="n">
        <x:v>-1.5859612268739325</x:v>
      </x:c>
      <x:c r="C3564" s="46" t="n">
        <x:f>B3564^2</x:f>
        <x:v>2.515273013147469</x:v>
      </x:c>
      <x:c r="D3564" s="47" t="n">
        <x:f>'Datos'!$B$26^3/3</x:f>
        <x:v>0.3333333333333333</x:v>
      </x:c>
      <x:c r="E3564" s="46" t="n">
        <x:f>D3564*(C3564-1)</x:f>
        <x:v>0.5050910043824897</x:v>
      </x:c>
      <x:c r="F3564" s="2"/>
      <x:c r="G3564" s="2"/>
      <x:c r="H3564" s="2"/>
    </x:row>
    <x:row r="3565" ht="22" customHeight="1">
      <x:c r="A3565" s="2" t="n">
        <x:v>3559</x:v>
      </x:c>
      <x:c r="B3565" s="79" t="n">
        <x:v>1.5078034690149817</x:v>
      </x:c>
      <x:c r="C3565" s="46" t="n">
        <x:f>B3565^2</x:f>
        <x:v>2.273471301173613</x:v>
      </x:c>
      <x:c r="D3565" s="47" t="n">
        <x:f>'Datos'!$B$26^3/3</x:f>
        <x:v>0.3333333333333333</x:v>
      </x:c>
      <x:c r="E3565" s="46" t="n">
        <x:f>D3565*(C3565-1)</x:f>
        <x:v>0.42449043372453765</x:v>
      </x:c>
      <x:c r="F3565" s="2"/>
      <x:c r="G3565" s="2"/>
      <x:c r="H3565" s="2"/>
    </x:row>
    <x:row r="3566" ht="22" customHeight="1">
      <x:c r="A3566" s="2" t="n">
        <x:v>3560</x:v>
      </x:c>
      <x:c r="B3566" s="79" t="n">
        <x:v>1.6492539829765733</x:v>
      </x:c>
      <x:c r="C3566" s="46" t="n">
        <x:f>B3566^2</x:f>
        <x:v>2.7200387003640913</x:v>
      </x:c>
      <x:c r="D3566" s="47" t="n">
        <x:f>'Datos'!$B$26^3/3</x:f>
        <x:v>0.3333333333333333</x:v>
      </x:c>
      <x:c r="E3566" s="46" t="n">
        <x:f>D3566*(C3566-1)</x:f>
        <x:v>0.573346233454697</x:v>
      </x:c>
      <x:c r="F3566" s="2"/>
      <x:c r="G3566" s="2"/>
      <x:c r="H3566" s="2"/>
    </x:row>
    <x:row r="3567" ht="22" customHeight="1">
      <x:c r="A3567" s="2" t="n">
        <x:v>3561</x:v>
      </x:c>
      <x:c r="B3567" s="79" t="n">
        <x:v>-0.4766027837957909</x:v>
      </x:c>
      <x:c r="C3567" s="46" t="n">
        <x:f>B3567^2</x:f>
        <x:v>0.2271502135218974</x:v>
      </x:c>
      <x:c r="D3567" s="47" t="n">
        <x:f>'Datos'!$B$26^3/3</x:f>
        <x:v>0.3333333333333333</x:v>
      </x:c>
      <x:c r="E3567" s="46" t="n">
        <x:f>D3567*(C3567-1)</x:f>
        <x:v>-0.25761659549270083</x:v>
      </x:c>
      <x:c r="F3567" s="2"/>
      <x:c r="G3567" s="2"/>
      <x:c r="H3567" s="2"/>
    </x:row>
    <x:row r="3568" ht="22" customHeight="1">
      <x:c r="A3568" s="2" t="n">
        <x:v>3562</x:v>
      </x:c>
      <x:c r="B3568" s="79" t="n">
        <x:v>0.14975319619024366</x:v>
      </x:c>
      <x:c r="C3568" s="46" t="n">
        <x:f>B3568^2</x:f>
        <x:v>0.022426019769193607</x:v>
      </x:c>
      <x:c r="D3568" s="47" t="n">
        <x:f>'Datos'!$B$26^3/3</x:f>
        <x:v>0.3333333333333333</x:v>
      </x:c>
      <x:c r="E3568" s="46" t="n">
        <x:f>D3568*(C3568-1)</x:f>
        <x:v>-0.3258579934102688</x:v>
      </x:c>
      <x:c r="F3568" s="2"/>
      <x:c r="G3568" s="2"/>
      <x:c r="H3568" s="2"/>
    </x:row>
    <x:row r="3569" ht="22" customHeight="1">
      <x:c r="A3569" s="2" t="n">
        <x:v>3563</x:v>
      </x:c>
      <x:c r="B3569" s="79" t="n">
        <x:v>1.2316858010845892</x:v>
      </x:c>
      <x:c r="C3569" s="46" t="n">
        <x:f>B3569^2</x:f>
        <x:v>1.5170499125933863</x:v>
      </x:c>
      <x:c r="D3569" s="47" t="n">
        <x:f>'Datos'!$B$26^3/3</x:f>
        <x:v>0.3333333333333333</x:v>
      </x:c>
      <x:c r="E3569" s="46" t="n">
        <x:f>D3569*(C3569-1)</x:f>
        <x:v>0.17234997086446208</x:v>
      </x:c>
      <x:c r="F3569" s="2"/>
      <x:c r="G3569" s="2"/>
      <x:c r="H3569" s="2"/>
    </x:row>
    <x:row r="3570" ht="22" customHeight="1">
      <x:c r="A3570" s="2" t="n">
        <x:v>3564</x:v>
      </x:c>
      <x:c r="B3570" s="79" t="n">
        <x:v>0.07931434525363087</x:v>
      </x:c>
      <x:c r="C3570" s="46" t="n">
        <x:f>B3570^2</x:f>
        <x:v>0.006290765363012159</x:v>
      </x:c>
      <x:c r="D3570" s="47" t="n">
        <x:f>'Datos'!$B$26^3/3</x:f>
        <x:v>0.3333333333333333</x:v>
      </x:c>
      <x:c r="E3570" s="46" t="n">
        <x:f>D3570*(C3570-1)</x:f>
        <x:v>-0.3312364115456626</x:v>
      </x:c>
      <x:c r="F3570" s="2"/>
      <x:c r="G3570" s="2"/>
      <x:c r="H3570" s="2"/>
    </x:row>
    <x:row r="3571" ht="22" customHeight="1">
      <x:c r="A3571" s="2" t="n">
        <x:v>3565</x:v>
      </x:c>
      <x:c r="B3571" s="79" t="n">
        <x:v>-1.64098131366577</x:v>
      </x:c>
      <x:c r="C3571" s="46" t="n">
        <x:f>B3571^2</x:f>
        <x:v>2.6928196718002364</x:v>
      </x:c>
      <x:c r="D3571" s="47" t="n">
        <x:f>'Datos'!$B$26^3/3</x:f>
        <x:v>0.3333333333333333</x:v>
      </x:c>
      <x:c r="E3571" s="46" t="n">
        <x:f>D3571*(C3571-1)</x:f>
        <x:v>0.5642732239334121</x:v>
      </x:c>
      <x:c r="F3571" s="2"/>
      <x:c r="G3571" s="2"/>
      <x:c r="H3571" s="2"/>
    </x:row>
    <x:row r="3572" ht="22" customHeight="1">
      <x:c r="A3572" s="2" t="n">
        <x:v>3566</x:v>
      </x:c>
      <x:c r="B3572" s="79" t="n">
        <x:v>1.57879897004374</x:v>
      </x:c>
      <x:c r="C3572" s="46" t="n">
        <x:f>B3572^2</x:f>
        <x:v>2.492606187811174</x:v>
      </x:c>
      <x:c r="D3572" s="47" t="n">
        <x:f>'Datos'!$B$26^3/3</x:f>
        <x:v>0.3333333333333333</x:v>
      </x:c>
      <x:c r="E3572" s="46" t="n">
        <x:f>D3572*(C3572-1)</x:f>
        <x:v>0.497535395937058</x:v>
      </x:c>
      <x:c r="F3572" s="2"/>
      <x:c r="G3572" s="2"/>
      <x:c r="H3572" s="2"/>
    </x:row>
    <x:row r="3573" ht="22" customHeight="1">
      <x:c r="A3573" s="2" t="n">
        <x:v>3567</x:v>
      </x:c>
      <x:c r="B3573" s="79" t="n">
        <x:v>-0.12061703545575014</x:v>
      </x:c>
      <x:c r="C3573" s="46" t="n">
        <x:f>B3573^2</x:f>
        <x:v>0.014548469242133688</x:v>
      </x:c>
      <x:c r="D3573" s="47" t="n">
        <x:f>'Datos'!$B$26^3/3</x:f>
        <x:v>0.3333333333333333</x:v>
      </x:c>
      <x:c r="E3573" s="46" t="n">
        <x:f>D3573*(C3573-1)</x:f>
        <x:v>-0.3284838435859554</x:v>
      </x:c>
      <x:c r="F3573" s="2"/>
      <x:c r="G3573" s="2"/>
      <x:c r="H3573" s="2"/>
    </x:row>
    <x:row r="3574" ht="22" customHeight="1">
      <x:c r="A3574" s="2" t="n">
        <x:v>3568</x:v>
      </x:c>
      <x:c r="B3574" s="79" t="n">
        <x:v>-1.540586463888898</x:v>
      </x:c>
      <x:c r="C3574" s="46" t="n">
        <x:f>B3574^2</x:f>
        <x:v>2.3734066527176987</x:v>
      </x:c>
      <x:c r="D3574" s="47" t="n">
        <x:f>'Datos'!$B$26^3/3</x:f>
        <x:v>0.3333333333333333</x:v>
      </x:c>
      <x:c r="E3574" s="46" t="n">
        <x:f>D3574*(C3574-1)</x:f>
        <x:v>0.45780221757256623</x:v>
      </x:c>
      <x:c r="F3574" s="2"/>
      <x:c r="G3574" s="2"/>
      <x:c r="H3574" s="2"/>
    </x:row>
    <x:row r="3575" ht="22" customHeight="1">
      <x:c r="A3575" s="2" t="n">
        <x:v>3569</x:v>
      </x:c>
      <x:c r="B3575" s="79" t="n">
        <x:v>0.23363278944165897</x:v>
      </x:c>
      <x:c r="C3575" s="46" t="n">
        <x:f>B3575^2</x:f>
        <x:v>0.05458428030229055</x:v>
      </x:c>
      <x:c r="D3575" s="47" t="n">
        <x:f>'Datos'!$B$26^3/3</x:f>
        <x:v>0.3333333333333333</x:v>
      </x:c>
      <x:c r="E3575" s="46" t="n">
        <x:f>D3575*(C3575-1)</x:f>
        <x:v>-0.3151385732325698</x:v>
      </x:c>
      <x:c r="F3575" s="2"/>
      <x:c r="G3575" s="2"/>
      <x:c r="H3575" s="2"/>
    </x:row>
    <x:row r="3576" ht="22" customHeight="1">
      <x:c r="A3576" s="2" t="n">
        <x:v>3570</x:v>
      </x:c>
      <x:c r="B3576" s="79" t="n">
        <x:v>1.1301229264254775</x:v>
      </x:c>
      <x:c r="C3576" s="46" t="n">
        <x:f>B3576^2</x:f>
        <x:v>1.2771778288324853</x:v>
      </x:c>
      <x:c r="D3576" s="47" t="n">
        <x:f>'Datos'!$B$26^3/3</x:f>
        <x:v>0.3333333333333333</x:v>
      </x:c>
      <x:c r="E3576" s="46" t="n">
        <x:f>D3576*(C3576-1)</x:f>
        <x:v>0.09239260961082843</x:v>
      </x:c>
      <x:c r="F3576" s="2"/>
      <x:c r="G3576" s="2"/>
      <x:c r="H3576" s="2"/>
    </x:row>
    <x:row r="3577" ht="22" customHeight="1">
      <x:c r="A3577" s="2" t="n">
        <x:v>3571</x:v>
      </x:c>
      <x:c r="B3577" s="79" t="n">
        <x:v>0.020578207414472523</x:v>
      </x:c>
      <x:c r="C3577" s="46" t="n">
        <x:f>B3577^2</x:f>
        <x:v>0.0004234626203930519</x:v>
      </x:c>
      <x:c r="D3577" s="47" t="n">
        <x:f>'Datos'!$B$26^3/3</x:f>
        <x:v>0.3333333333333333</x:v>
      </x:c>
      <x:c r="E3577" s="46" t="n">
        <x:f>D3577*(C3577-1)</x:f>
        <x:v>-0.33319217912653565</x:v>
      </x:c>
      <x:c r="F3577" s="2"/>
      <x:c r="G3577" s="2"/>
      <x:c r="H3577" s="2"/>
    </x:row>
    <x:row r="3578" ht="22" customHeight="1">
      <x:c r="A3578" s="2" t="n">
        <x:v>3572</x:v>
      </x:c>
      <x:c r="B3578" s="79" t="n">
        <x:v>0.7537319896435546</x:v>
      </x:c>
      <x:c r="C3578" s="46" t="n">
        <x:f>B3578^2</x:f>
        <x:v>0.5681119122120315</x:v>
      </x:c>
      <x:c r="D3578" s="47" t="n">
        <x:f>'Datos'!$B$26^3/3</x:f>
        <x:v>0.3333333333333333</x:v>
      </x:c>
      <x:c r="E3578" s="46" t="n">
        <x:f>D3578*(C3578-1)</x:f>
        <x:v>-0.14396269592932281</x:v>
      </x:c>
      <x:c r="F3578" s="2"/>
      <x:c r="G3578" s="2"/>
      <x:c r="H3578" s="2"/>
    </x:row>
    <x:row r="3579" ht="22" customHeight="1">
      <x:c r="A3579" s="2" t="n">
        <x:v>3573</x:v>
      </x:c>
      <x:c r="B3579" s="79" t="n">
        <x:v>-0.6809885202290213</x:v>
      </x:c>
      <x:c r="C3579" s="46" t="n">
        <x:f>B3579^2</x:f>
        <x:v>0.4637453646837122</x:v>
      </x:c>
      <x:c r="D3579" s="47" t="n">
        <x:f>'Datos'!$B$26^3/3</x:f>
        <x:v>0.3333333333333333</x:v>
      </x:c>
      <x:c r="E3579" s="46" t="n">
        <x:f>D3579*(C3579-1)</x:f>
        <x:v>-0.17875154510542926</x:v>
      </x:c>
      <x:c r="F3579" s="2"/>
      <x:c r="G3579" s="2"/>
      <x:c r="H3579" s="2"/>
    </x:row>
    <x:row r="3580" ht="22" customHeight="1">
      <x:c r="A3580" s="2" t="n">
        <x:v>3574</x:v>
      </x:c>
      <x:c r="B3580" s="79" t="n">
        <x:v>0.13884563271918127</x:v>
      </x:c>
      <x:c r="C3580" s="46" t="n">
        <x:f>B3580^2</x:f>
        <x:v>0.019278109725189778</x:v>
      </x:c>
      <x:c r="D3580" s="47" t="n">
        <x:f>'Datos'!$B$26^3/3</x:f>
        <x:v>0.3333333333333333</x:v>
      </x:c>
      <x:c r="E3580" s="46" t="n">
        <x:f>D3580*(C3580-1)</x:f>
        <x:v>-0.32690729675827007</x:v>
      </x:c>
      <x:c r="F3580" s="2"/>
      <x:c r="G3580" s="2"/>
      <x:c r="H3580" s="2"/>
    </x:row>
    <x:row r="3581" ht="22" customHeight="1">
      <x:c r="A3581" s="2" t="n">
        <x:v>3575</x:v>
      </x:c>
      <x:c r="B3581" s="79" t="n">
        <x:v>-0.9344996023169332</x:v>
      </x:c>
      <x:c r="C3581" s="46" t="n">
        <x:f>B3581^2</x:f>
        <x:v>0.8732895067305063</x:v>
      </x:c>
      <x:c r="D3581" s="47" t="n">
        <x:f>'Datos'!$B$26^3/3</x:f>
        <x:v>0.3333333333333333</x:v>
      </x:c>
      <x:c r="E3581" s="46" t="n">
        <x:f>D3581*(C3581-1)</x:f>
        <x:v>-0.04223683108983123</x:v>
      </x:c>
      <x:c r="F3581" s="2"/>
      <x:c r="G3581" s="2"/>
      <x:c r="H3581" s="2"/>
    </x:row>
    <x:row r="3582" ht="22" customHeight="1">
      <x:c r="A3582" s="2" t="n">
        <x:v>3576</x:v>
      </x:c>
      <x:c r="B3582" s="79" t="n">
        <x:v>0.9161437226767452</x:v>
      </x:c>
      <x:c r="C3582" s="46" t="n">
        <x:f>B3582^2</x:f>
        <x:v>0.8393193206000049</x:v>
      </x:c>
      <x:c r="D3582" s="47" t="n">
        <x:f>'Datos'!$B$26^3/3</x:f>
        <x:v>0.3333333333333333</x:v>
      </x:c>
      <x:c r="E3582" s="46" t="n">
        <x:f>D3582*(C3582-1)</x:f>
        <x:v>-0.05356022646666503</x:v>
      </x:c>
      <x:c r="F3582" s="2"/>
      <x:c r="G3582" s="2"/>
      <x:c r="H3582" s="2"/>
    </x:row>
    <x:row r="3583" ht="22" customHeight="1">
      <x:c r="A3583" s="2" t="n">
        <x:v>3577</x:v>
      </x:c>
      <x:c r="B3583" s="79" t="n">
        <x:v>1.4821701153625184</x:v>
      </x:c>
      <x:c r="C3583" s="46" t="n">
        <x:f>B3583^2</x:f>
        <x:v>2.1968282508737413</x:v>
      </x:c>
      <x:c r="D3583" s="47" t="n">
        <x:f>'Datos'!$B$26^3/3</x:f>
        <x:v>0.3333333333333333</x:v>
      </x:c>
      <x:c r="E3583" s="46" t="n">
        <x:f>D3583*(C3583-1)</x:f>
        <x:v>0.3989427502912471</x:v>
      </x:c>
      <x:c r="F3583" s="2"/>
      <x:c r="G3583" s="2"/>
      <x:c r="H3583" s="2"/>
    </x:row>
    <x:row r="3584" ht="22" customHeight="1">
      <x:c r="A3584" s="2" t="n">
        <x:v>3578</x:v>
      </x:c>
      <x:c r="B3584" s="79" t="n">
        <x:v>-0.4943272136196538</x:v>
      </x:c>
      <x:c r="C3584" s="46" t="n">
        <x:f>B3584^2</x:f>
        <x:v>0.24435939412497085</x:v>
      </x:c>
      <x:c r="D3584" s="47" t="n">
        <x:f>'Datos'!$B$26^3/3</x:f>
        <x:v>0.3333333333333333</x:v>
      </x:c>
      <x:c r="E3584" s="46" t="n">
        <x:f>D3584*(C3584-1)</x:f>
        <x:v>-0.25188020195834304</x:v>
      </x:c>
      <x:c r="F3584" s="2"/>
      <x:c r="G3584" s="2"/>
      <x:c r="H3584" s="2"/>
    </x:row>
    <x:row r="3585" ht="22" customHeight="1">
      <x:c r="A3585" s="2" t="n">
        <x:v>3579</x:v>
      </x:c>
      <x:c r="B3585" s="79" t="n">
        <x:v>0.11691513169099782</x:v>
      </x:c>
      <x:c r="C3585" s="46" t="n">
        <x:f>B3585^2</x:f>
        <x:v>0.013669148018323363</x:v>
      </x:c>
      <x:c r="D3585" s="47" t="n">
        <x:f>'Datos'!$B$26^3/3</x:f>
        <x:v>0.3333333333333333</x:v>
      </x:c>
      <x:c r="E3585" s="46" t="n">
        <x:f>D3585*(C3585-1)</x:f>
        <x:v>-0.3287769506605589</x:v>
      </x:c>
      <x:c r="F3585" s="2"/>
      <x:c r="G3585" s="2"/>
      <x:c r="H3585" s="2"/>
    </x:row>
    <x:row r="3586" ht="22" customHeight="1">
      <x:c r="A3586" s="2" t="n">
        <x:v>3580</x:v>
      </x:c>
      <x:c r="B3586" s="79" t="n">
        <x:v>-0.5432752145406319</x:v>
      </x:c>
      <x:c r="C3586" s="46" t="n">
        <x:f>B3586^2</x:f>
        <x:v>0.2951479587341696</x:v>
      </x:c>
      <x:c r="D3586" s="47" t="n">
        <x:f>'Datos'!$B$26^3/3</x:f>
        <x:v>0.3333333333333333</x:v>
      </x:c>
      <x:c r="E3586" s="46" t="n">
        <x:f>D3586*(C3586-1)</x:f>
        <x:v>-0.23495068042194345</x:v>
      </x:c>
      <x:c r="F3586" s="2"/>
      <x:c r="G3586" s="2"/>
      <x:c r="H3586" s="2"/>
    </x:row>
    <x:row r="3587" ht="22" customHeight="1">
      <x:c r="A3587" s="2" t="n">
        <x:v>3581</x:v>
      </x:c>
      <x:c r="B3587" s="79" t="n">
        <x:v>1.4478858191603794</x:v>
      </x:c>
      <x:c r="C3587" s="46" t="n">
        <x:f>B3587^2</x:f>
        <x:v>2.096373345325723</x:v>
      </x:c>
      <x:c r="D3587" s="47" t="n">
        <x:f>'Datos'!$B$26^3/3</x:f>
        <x:v>0.3333333333333333</x:v>
      </x:c>
      <x:c r="E3587" s="46" t="n">
        <x:f>D3587*(C3587-1)</x:f>
        <x:v>0.36545778177524096</x:v>
      </x:c>
      <x:c r="F3587" s="2"/>
      <x:c r="G3587" s="2"/>
      <x:c r="H3587" s="2"/>
    </x:row>
    <x:row r="3588" ht="22" customHeight="1">
      <x:c r="A3588" s="2" t="n">
        <x:v>3582</x:v>
      </x:c>
      <x:c r="B3588" s="79" t="n">
        <x:v>0.7258306932168215</x:v>
      </x:c>
      <x:c r="C3588" s="46" t="n">
        <x:f>B3588^2</x:f>
        <x:v>0.5268301952156116</x:v>
      </x:c>
      <x:c r="D3588" s="47" t="n">
        <x:f>'Datos'!$B$26^3/3</x:f>
        <x:v>0.3333333333333333</x:v>
      </x:c>
      <x:c r="E3588" s="46" t="n">
        <x:f>D3588*(C3588-1)</x:f>
        <x:v>-0.1577232682614628</x:v>
      </x:c>
      <x:c r="F3588" s="2"/>
      <x:c r="G3588" s="2"/>
      <x:c r="H3588" s="2"/>
    </x:row>
    <x:row r="3589" ht="22" customHeight="1">
      <x:c r="A3589" s="2" t="n">
        <x:v>3583</x:v>
      </x:c>
      <x:c r="B3589" s="79" t="n">
        <x:v>-1.0099312685413298</x:v>
      </x:c>
      <x:c r="C3589" s="46" t="n">
        <x:f>B3589^2</x:f>
        <x:v>1.0199611671774995</x:v>
      </x:c>
      <x:c r="D3589" s="47" t="n">
        <x:f>'Datos'!$B$26^3/3</x:f>
        <x:v>0.3333333333333333</x:v>
      </x:c>
      <x:c r="E3589" s="46" t="n">
        <x:f>D3589*(C3589-1)</x:f>
        <x:v>0.006653722392499839</x:v>
      </x:c>
      <x:c r="F3589" s="2"/>
      <x:c r="G3589" s="2"/>
      <x:c r="H3589" s="2"/>
    </x:row>
    <x:row r="3590" ht="22" customHeight="1">
      <x:c r="A3590" s="2" t="n">
        <x:v>3584</x:v>
      </x:c>
      <x:c r="B3590" s="79" t="n">
        <x:v>-1.1004031326328274</x:v>
      </x:c>
      <x:c r="C3590" s="46" t="n">
        <x:f>B3590^2</x:f>
        <x:v>1.21088705430814</x:v>
      </x:c>
      <x:c r="D3590" s="47" t="n">
        <x:f>'Datos'!$B$26^3/3</x:f>
        <x:v>0.3333333333333333</x:v>
      </x:c>
      <x:c r="E3590" s="46" t="n">
        <x:f>D3590*(C3590-1)</x:f>
        <x:v>0.07029568476938</x:v>
      </x:c>
      <x:c r="F3590" s="2"/>
      <x:c r="G3590" s="2"/>
      <x:c r="H3590" s="2"/>
    </x:row>
    <x:row r="3591" ht="22" customHeight="1">
      <x:c r="A3591" s="2" t="n">
        <x:v>3585</x:v>
      </x:c>
      <x:c r="B3591" s="79" t="n">
        <x:v>0.24650414171838472</x:v>
      </x:c>
      <x:c r="C3591" s="46" t="n">
        <x:f>B3591^2</x:f>
        <x:v>0.0607642918843175</x:v>
      </x:c>
      <x:c r="D3591" s="47" t="n">
        <x:f>'Datos'!$B$26^3/3</x:f>
        <x:v>0.3333333333333333</x:v>
      </x:c>
      <x:c r="E3591" s="46" t="n">
        <x:f>D3591*(C3591-1)</x:f>
        <x:v>-0.31307856937189416</x:v>
      </x:c>
      <x:c r="F3591" s="2"/>
      <x:c r="G3591" s="2"/>
      <x:c r="H3591" s="2"/>
    </x:row>
    <x:row r="3592" ht="22" customHeight="1">
      <x:c r="A3592" s="2" t="n">
        <x:v>3586</x:v>
      </x:c>
      <x:c r="B3592" s="79" t="n">
        <x:v>1.4510995296295024</x:v>
      </x:c>
      <x:c r="C3592" s="46" t="n">
        <x:f>B3592^2</x:f>
        <x:v>2.105689844890963</x:v>
      </x:c>
      <x:c r="D3592" s="47" t="n">
        <x:f>'Datos'!$B$26^3/3</x:f>
        <x:v>0.3333333333333333</x:v>
      </x:c>
      <x:c r="E3592" s="46" t="n">
        <x:f>D3592*(C3592-1)</x:f>
        <x:v>0.3685632816303209</x:v>
      </x:c>
      <x:c r="F3592" s="2"/>
      <x:c r="G3592" s="2"/>
      <x:c r="H3592" s="2"/>
    </x:row>
    <x:row r="3593" ht="22" customHeight="1">
      <x:c r="A3593" s="2" t="n">
        <x:v>3587</x:v>
      </x:c>
      <x:c r="B3593" s="79" t="n">
        <x:v>-0.18382383785933332</x:v>
      </x:c>
      <x:c r="C3593" s="46" t="n">
        <x:f>B3593^2</x:f>
        <x:v>0.03379120336533446</x:v>
      </x:c>
      <x:c r="D3593" s="47" t="n">
        <x:f>'Datos'!$B$26^3/3</x:f>
        <x:v>0.3333333333333333</x:v>
      </x:c>
      <x:c r="E3593" s="46" t="n">
        <x:f>D3593*(C3593-1)</x:f>
        <x:v>-0.32206959887822184</x:v>
      </x:c>
      <x:c r="F3593" s="2"/>
      <x:c r="G3593" s="2"/>
      <x:c r="H3593" s="2"/>
    </x:row>
    <x:row r="3594" ht="22" customHeight="1">
      <x:c r="A3594" s="2" t="n">
        <x:v>3588</x:v>
      </x:c>
      <x:c r="B3594" s="79" t="n">
        <x:v>-0.32929253137881115</x:v>
      </x:c>
      <x:c r="C3594" s="46" t="n">
        <x:f>B3594^2</x:f>
        <x:v>0.10843357122186532</x:v>
      </x:c>
      <x:c r="D3594" s="47" t="n">
        <x:f>'Datos'!$B$26^3/3</x:f>
        <x:v>0.3333333333333333</x:v>
      </x:c>
      <x:c r="E3594" s="46" t="n">
        <x:f>D3594*(C3594-1)</x:f>
        <x:v>-0.29718880959271154</x:v>
      </x:c>
      <x:c r="F3594" s="2"/>
      <x:c r="G3594" s="2"/>
      <x:c r="H3594" s="2"/>
    </x:row>
    <x:row r="3595" ht="22" customHeight="1">
      <x:c r="A3595" s="2" t="n">
        <x:v>3589</x:v>
      </x:c>
      <x:c r="B3595" s="79" t="n">
        <x:v>-1.6217230135721787</x:v>
      </x:c>
      <x:c r="C3595" s="46" t="n">
        <x:f>B3595^2</x:f>
        <x:v>2.629985532749629</x:v>
      </x:c>
      <x:c r="D3595" s="47" t="n">
        <x:f>'Datos'!$B$26^3/3</x:f>
        <x:v>0.3333333333333333</x:v>
      </x:c>
      <x:c r="E3595" s="46" t="n">
        <x:f>D3595*(C3595-1)</x:f>
        <x:v>0.5433285109165429</x:v>
      </x:c>
      <x:c r="F3595" s="2"/>
      <x:c r="G3595" s="2"/>
      <x:c r="H3595" s="2"/>
    </x:row>
    <x:row r="3596" ht="22" customHeight="1">
      <x:c r="A3596" s="2" t="n">
        <x:v>3590</x:v>
      </x:c>
      <x:c r="B3596" s="79" t="n">
        <x:v>0.18313812088994838</x:v>
      </x:c>
      <x:c r="C3596" s="46" t="n">
        <x:f>B3596^2</x:f>
        <x:v>0.03353957132310135</x:v>
      </x:c>
      <x:c r="D3596" s="47" t="n">
        <x:f>'Datos'!$B$26^3/3</x:f>
        <x:v>0.3333333333333333</x:v>
      </x:c>
      <x:c r="E3596" s="46" t="n">
        <x:f>D3596*(C3596-1)</x:f>
        <x:v>-0.32215347622563284</x:v>
      </x:c>
      <x:c r="F3596" s="2"/>
      <x:c r="G3596" s="2"/>
      <x:c r="H3596" s="2"/>
    </x:row>
    <x:row r="3597" ht="22" customHeight="1">
      <x:c r="A3597" s="2" t="n">
        <x:v>3591</x:v>
      </x:c>
      <x:c r="B3597" s="79" t="n">
        <x:v>-1.1700259636171648</x:v>
      </x:c>
      <x:c r="C3597" s="46" t="n">
        <x:f>B3597^2</x:f>
        <x:v>1.368960755538275</x:v>
      </x:c>
      <x:c r="D3597" s="47" t="n">
        <x:f>'Datos'!$B$26^3/3</x:f>
        <x:v>0.3333333333333333</x:v>
      </x:c>
      <x:c r="E3597" s="46" t="n">
        <x:f>D3597*(C3597-1)</x:f>
        <x:v>0.12298691851275834</x:v>
      </x:c>
      <x:c r="F3597" s="2"/>
      <x:c r="G3597" s="2"/>
      <x:c r="H3597" s="2"/>
    </x:row>
    <x:row r="3598" ht="22" customHeight="1">
      <x:c r="A3598" s="2" t="n">
        <x:v>3592</x:v>
      </x:c>
      <x:c r="B3598" s="79" t="n">
        <x:v>-0.8161570566952883</x:v>
      </x:c>
      <x:c r="C3598" s="46" t="n">
        <x:f>B3598^2</x:f>
        <x:v>0.666112341193516</x:v>
      </x:c>
      <x:c r="D3598" s="47" t="n">
        <x:f>'Datos'!$B$26^3/3</x:f>
        <x:v>0.3333333333333333</x:v>
      </x:c>
      <x:c r="E3598" s="46" t="n">
        <x:f>D3598*(C3598-1)</x:f>
        <x:v>-0.11129588626882798</x:v>
      </x:c>
      <x:c r="F3598" s="2"/>
      <x:c r="G3598" s="2"/>
      <x:c r="H3598" s="2"/>
    </x:row>
    <x:row r="3599" ht="22" customHeight="1">
      <x:c r="A3599" s="2" t="n">
        <x:v>3593</x:v>
      </x:c>
      <x:c r="B3599" s="79" t="n">
        <x:v>-1.9578880717628975</x:v>
      </x:c>
      <x:c r="C3599" s="46" t="n">
        <x:f>B3599^2</x:f>
        <x:v>3.833325701551437</x:v>
      </x:c>
      <x:c r="D3599" s="47" t="n">
        <x:f>'Datos'!$B$26^3/3</x:f>
        <x:v>0.3333333333333333</x:v>
      </x:c>
      <x:c r="E3599" s="46" t="n">
        <x:f>D3599*(C3599-1)</x:f>
        <x:v>0.9444419005171456</x:v>
      </x:c>
      <x:c r="F3599" s="2"/>
      <x:c r="G3599" s="2"/>
      <x:c r="H3599" s="2"/>
    </x:row>
    <x:row r="3600" ht="22" customHeight="1">
      <x:c r="A3600" s="2" t="n">
        <x:v>3594</x:v>
      </x:c>
      <x:c r="B3600" s="79" t="n">
        <x:v>-1.6914877829594939</x:v>
      </x:c>
      <x:c r="C3600" s="46" t="n">
        <x:f>B3600^2</x:f>
        <x:v>2.861130919901224</x:v>
      </x:c>
      <x:c r="D3600" s="47" t="n">
        <x:f>'Datos'!$B$26^3/3</x:f>
        <x:v>0.3333333333333333</x:v>
      </x:c>
      <x:c r="E3600" s="46" t="n">
        <x:f>D3600*(C3600-1)</x:f>
        <x:v>0.6203769733004079</x:v>
      </x:c>
      <x:c r="F3600" s="2"/>
      <x:c r="G3600" s="2"/>
      <x:c r="H3600" s="2"/>
    </x:row>
    <x:row r="3601" ht="22" customHeight="1">
      <x:c r="A3601" s="2" t="n">
        <x:v>3595</x:v>
      </x:c>
      <x:c r="B3601" s="79" t="n">
        <x:v>-0.6936818361398516</x:v>
      </x:c>
      <x:c r="C3601" s="46" t="n">
        <x:f>B3601^2</x:f>
        <x:v>0.4811944897903559</x:v>
      </x:c>
      <x:c r="D3601" s="47" t="n">
        <x:f>'Datos'!$B$26^3/3</x:f>
        <x:v>0.3333333333333333</x:v>
      </x:c>
      <x:c r="E3601" s="46" t="n">
        <x:f>D3601*(C3601-1)</x:f>
        <x:v>-0.17293517006988135</x:v>
      </x:c>
      <x:c r="F3601" s="2"/>
      <x:c r="G3601" s="2"/>
      <x:c r="H3601" s="2"/>
    </x:row>
    <x:row r="3602" ht="22" customHeight="1">
      <x:c r="A3602" s="2" t="n">
        <x:v>3596</x:v>
      </x:c>
      <x:c r="B3602" s="79" t="n">
        <x:v>-0.645549583214582</x:v>
      </x:c>
      <x:c r="C3602" s="46" t="n">
        <x:f>B3602^2</x:f>
        <x:v>0.4167342643885205</x:v>
      </x:c>
      <x:c r="D3602" s="47" t="n">
        <x:f>'Datos'!$B$26^3/3</x:f>
        <x:v>0.3333333333333333</x:v>
      </x:c>
      <x:c r="E3602" s="46" t="n">
        <x:f>D3602*(C3602-1)</x:f>
        <x:v>-0.19442191187049312</x:v>
      </x:c>
      <x:c r="F3602" s="2"/>
      <x:c r="G3602" s="2"/>
      <x:c r="H3602" s="2"/>
    </x:row>
    <x:row r="3603" ht="22" customHeight="1">
      <x:c r="A3603" s="2" t="n">
        <x:v>3597</x:v>
      </x:c>
      <x:c r="B3603" s="79" t="n">
        <x:v>-0.2735763630405645</x:v>
      </x:c>
      <x:c r="C3603" s="46" t="n">
        <x:f>B3603^2</x:f>
        <x:v>0.07484402641450273</x:v>
      </x:c>
      <x:c r="D3603" s="47" t="n">
        <x:f>'Datos'!$B$26^3/3</x:f>
        <x:v>0.3333333333333333</x:v>
      </x:c>
      <x:c r="E3603" s="46" t="n">
        <x:f>D3603*(C3603-1)</x:f>
        <x:v>-0.3083853245284991</x:v>
      </x:c>
      <x:c r="F3603" s="2"/>
      <x:c r="G3603" s="2"/>
      <x:c r="H3603" s="2"/>
    </x:row>
    <x:row r="3604" ht="22" customHeight="1">
      <x:c r="A3604" s="2" t="n">
        <x:v>3598</x:v>
      </x:c>
      <x:c r="B3604" s="79" t="n">
        <x:v>-1.950491022631103</x:v>
      </x:c>
      <x:c r="C3604" s="46" t="n">
        <x:f>B3604^2</x:f>
        <x:v>3.8044152293645257</x:v>
      </x:c>
      <x:c r="D3604" s="47" t="n">
        <x:f>'Datos'!$B$26^3/3</x:f>
        <x:v>0.3333333333333333</x:v>
      </x:c>
      <x:c r="E3604" s="46" t="n">
        <x:f>D3604*(C3604-1)</x:f>
        <x:v>0.9348050764548419</x:v>
      </x:c>
      <x:c r="F3604" s="2"/>
      <x:c r="G3604" s="2"/>
      <x:c r="H3604" s="2"/>
    </x:row>
    <x:row r="3605" ht="22" customHeight="1">
      <x:c r="A3605" s="2" t="n">
        <x:v>3599</x:v>
      </x:c>
      <x:c r="B3605" s="79" t="n">
        <x:v>-1.5909001751787364</x:v>
      </x:c>
      <x:c r="C3605" s="46" t="n">
        <x:f>B3605^2</x:f>
        <x:v>2.530963367383734</x:v>
      </x:c>
      <x:c r="D3605" s="47" t="n">
        <x:f>'Datos'!$B$26^3/3</x:f>
        <x:v>0.3333333333333333</x:v>
      </x:c>
      <x:c r="E3605" s="46" t="n">
        <x:f>D3605*(C3605-1)</x:f>
        <x:v>0.5103211224612446</x:v>
      </x:c>
      <x:c r="F3605" s="2"/>
      <x:c r="G3605" s="2"/>
      <x:c r="H3605" s="2"/>
    </x:row>
    <x:row r="3606" ht="22" customHeight="1">
      <x:c r="A3606" s="2" t="n">
        <x:v>3600</x:v>
      </x:c>
      <x:c r="B3606" s="79" t="n">
        <x:v>0.6761634238663381</x:v>
      </x:c>
      <x:c r="C3606" s="46" t="n">
        <x:f>B3606^2</x:f>
        <x:v>0.4571969757746492</x:v>
      </x:c>
      <x:c r="D3606" s="47" t="n">
        <x:f>'Datos'!$B$26^3/3</x:f>
        <x:v>0.3333333333333333</x:v>
      </x:c>
      <x:c r="E3606" s="46" t="n">
        <x:f>D3606*(C3606-1)</x:f>
        <x:v>-0.18093434140845024</x:v>
      </x:c>
      <x:c r="F3606" s="2"/>
      <x:c r="G3606" s="2"/>
      <x:c r="H3606" s="2"/>
    </x:row>
    <x:row r="3607" ht="22" customHeight="1">
      <x:c r="A3607" s="2" t="n">
        <x:v>3601</x:v>
      </x:c>
      <x:c r="B3607" s="79" t="n">
        <x:v>-1.409768257101689</x:v>
      </x:c>
      <x:c r="C3607" s="46" t="n">
        <x:f>B3607^2</x:f>
        <x:v>1.9874465387315339</x:v>
      </x:c>
      <x:c r="D3607" s="47" t="n">
        <x:f>'Datos'!$B$26^3/3</x:f>
        <x:v>0.3333333333333333</x:v>
      </x:c>
      <x:c r="E3607" s="46" t="n">
        <x:f>D3607*(C3607-1)</x:f>
        <x:v>0.3291488462438446</x:v>
      </x:c>
      <x:c r="F3607" s="2"/>
      <x:c r="G3607" s="2"/>
      <x:c r="H3607" s="2"/>
    </x:row>
    <x:row r="3608" ht="22" customHeight="1">
      <x:c r="A3608" s="2" t="n">
        <x:v>3602</x:v>
      </x:c>
      <x:c r="B3608" s="79" t="n">
        <x:v>0.43637994945004077</x:v>
      </x:c>
      <x:c r="C3608" s="46" t="n">
        <x:f>B3608^2</x:f>
        <x:v>0.19042746028202015</x:v>
      </x:c>
      <x:c r="D3608" s="47" t="n">
        <x:f>'Datos'!$B$26^3/3</x:f>
        <x:v>0.3333333333333333</x:v>
      </x:c>
      <x:c r="E3608" s="46" t="n">
        <x:f>D3608*(C3608-1)</x:f>
        <x:v>-0.2698575132393266</x:v>
      </x:c>
      <x:c r="F3608" s="2"/>
      <x:c r="G3608" s="2"/>
      <x:c r="H3608" s="2"/>
    </x:row>
    <x:row r="3609" ht="22" customHeight="1">
      <x:c r="A3609" s="2" t="n">
        <x:v>3603</x:v>
      </x:c>
      <x:c r="B3609" s="79" t="n">
        <x:v>0.3145491200274218</x:v>
      </x:c>
      <x:c r="C3609" s="46" t="n">
        <x:f>B3609^2</x:f>
        <x:v>0.09894114891002541</x:v>
      </x:c>
      <x:c r="D3609" s="47" t="n">
        <x:f>'Datos'!$B$26^3/3</x:f>
        <x:v>0.3333333333333333</x:v>
      </x:c>
      <x:c r="E3609" s="46" t="n">
        <x:f>D3609*(C3609-1)</x:f>
        <x:v>-0.3003529503633249</x:v>
      </x:c>
      <x:c r="F3609" s="2"/>
      <x:c r="G3609" s="2"/>
      <x:c r="H3609" s="2"/>
    </x:row>
    <x:row r="3610" ht="22" customHeight="1">
      <x:c r="A3610" s="2" t="n">
        <x:v>3604</x:v>
      </x:c>
      <x:c r="B3610" s="79" t="n">
        <x:v>0.13801807772868518</x:v>
      </x:c>
      <x:c r="C3610" s="46" t="n">
        <x:f>B3610^2</x:f>
        <x:v>0.019048989779921387</x:v>
      </x:c>
      <x:c r="D3610" s="47" t="n">
        <x:f>'Datos'!$B$26^3/3</x:f>
        <x:v>0.3333333333333333</x:v>
      </x:c>
      <x:c r="E3610" s="46" t="n">
        <x:f>D3610*(C3610-1)</x:f>
        <x:v>-0.3269836700733595</x:v>
      </x:c>
      <x:c r="F3610" s="2"/>
      <x:c r="G3610" s="2"/>
      <x:c r="H3610" s="2"/>
    </x:row>
    <x:row r="3611" ht="22" customHeight="1">
      <x:c r="A3611" s="2" t="n">
        <x:v>3605</x:v>
      </x:c>
      <x:c r="B3611" s="79" t="n">
        <x:v>0.708613130767245</x:v>
      </x:c>
      <x:c r="C3611" s="46" t="n">
        <x:f>B3611^2</x:f>
        <x:v>0.5021325690957567</x:v>
      </x:c>
      <x:c r="D3611" s="47" t="n">
        <x:f>'Datos'!$B$26^3/3</x:f>
        <x:v>0.3333333333333333</x:v>
      </x:c>
      <x:c r="E3611" s="46" t="n">
        <x:f>D3611*(C3611-1)</x:f>
        <x:v>-0.16595581030141443</x:v>
      </x:c>
      <x:c r="F3611" s="2"/>
      <x:c r="G3611" s="2"/>
      <x:c r="H3611" s="2"/>
    </x:row>
    <x:row r="3612" ht="22" customHeight="1">
      <x:c r="A3612" s="2" t="n">
        <x:v>3606</x:v>
      </x:c>
      <x:c r="B3612" s="79" t="n">
        <x:v>0.8348077796799757</x:v>
      </x:c>
      <x:c r="C3612" s="46" t="n">
        <x:f>B3612^2</x:f>
        <x:v>0.6969040290142108</x:v>
      </x:c>
      <x:c r="D3612" s="47" t="n">
        <x:f>'Datos'!$B$26^3/3</x:f>
        <x:v>0.3333333333333333</x:v>
      </x:c>
      <x:c r="E3612" s="46" t="n">
        <x:f>D3612*(C3612-1)</x:f>
        <x:v>-0.1010319903285964</x:v>
      </x:c>
      <x:c r="F3612" s="2"/>
      <x:c r="G3612" s="2"/>
      <x:c r="H3612" s="2"/>
    </x:row>
    <x:row r="3613" ht="22" customHeight="1">
      <x:c r="A3613" s="2" t="n">
        <x:v>3607</x:v>
      </x:c>
      <x:c r="B3613" s="79" t="n">
        <x:v>1.5592328708340994</x:v>
      </x:c>
      <x:c r="C3613" s="46" t="n">
        <x:f>B3613^2</x:f>
        <x:v>2.4312071454895476</x:v>
      </x:c>
      <x:c r="D3613" s="47" t="n">
        <x:f>'Datos'!$B$26^3/3</x:f>
        <x:v>0.3333333333333333</x:v>
      </x:c>
      <x:c r="E3613" s="46" t="n">
        <x:f>D3613*(C3613-1)</x:f>
        <x:v>0.4770690484965159</x:v>
      </x:c>
      <x:c r="F3613" s="2"/>
      <x:c r="G3613" s="2"/>
      <x:c r="H3613" s="2"/>
    </x:row>
    <x:row r="3614" ht="22" customHeight="1">
      <x:c r="A3614" s="2" t="n">
        <x:v>3608</x:v>
      </x:c>
      <x:c r="B3614" s="79" t="n">
        <x:v>0.1120670420113117</x:v>
      </x:c>
      <x:c r="C3614" s="46" t="n">
        <x:f>B3614^2</x:f>
        <x:v>0.0125590219051651</x:v>
      </x:c>
      <x:c r="D3614" s="47" t="n">
        <x:f>'Datos'!$B$26^3/3</x:f>
        <x:v>0.3333333333333333</x:v>
      </x:c>
      <x:c r="E3614" s="46" t="n">
        <x:f>D3614*(C3614-1)</x:f>
        <x:v>-0.3291469926982783</x:v>
      </x:c>
      <x:c r="F3614" s="2"/>
      <x:c r="G3614" s="2"/>
      <x:c r="H3614" s="2"/>
    </x:row>
    <x:row r="3615" ht="22" customHeight="1">
      <x:c r="A3615" s="2" t="n">
        <x:v>3609</x:v>
      </x:c>
      <x:c r="B3615" s="79" t="n">
        <x:v>1.3602746183431245</x:v>
      </x:c>
      <x:c r="C3615" s="46" t="n">
        <x:f>B3615^2</x:f>
        <x:v>1.850347037308533</x:v>
      </x:c>
      <x:c r="D3615" s="47" t="n">
        <x:f>'Datos'!$B$26^3/3</x:f>
        <x:v>0.3333333333333333</x:v>
      </x:c>
      <x:c r="E3615" s="46" t="n">
        <x:f>D3615*(C3615-1)</x:f>
        <x:v>0.2834490124361776</x:v>
      </x:c>
      <x:c r="F3615" s="2"/>
      <x:c r="G3615" s="2"/>
      <x:c r="H3615" s="2"/>
    </x:row>
    <x:row r="3616" ht="22" customHeight="1">
      <x:c r="A3616" s="2" t="n">
        <x:v>3610</x:v>
      </x:c>
      <x:c r="B3616" s="79" t="n">
        <x:v>0.25469362082482205</x:v>
      </x:c>
      <x:c r="C3616" s="46" t="n">
        <x:f>B3616^2</x:f>
        <x:v>0.06486884048885823</x:v>
      </x:c>
      <x:c r="D3616" s="47" t="n">
        <x:f>'Datos'!$B$26^3/3</x:f>
        <x:v>0.3333333333333333</x:v>
      </x:c>
      <x:c r="E3616" s="46" t="n">
        <x:f>D3616*(C3616-1)</x:f>
        <x:v>-0.3117103865037139</x:v>
      </x:c>
      <x:c r="F3616" s="2"/>
      <x:c r="G3616" s="2"/>
      <x:c r="H3616" s="2"/>
    </x:row>
    <x:row r="3617" ht="22" customHeight="1">
      <x:c r="A3617" s="2" t="n">
        <x:v>3611</x:v>
      </x:c>
      <x:c r="B3617" s="79" t="n">
        <x:v>0.6302928644418837</x:v>
      </x:c>
      <x:c r="C3617" s="46" t="n">
        <x:f>B3617^2</x:f>
        <x:v>0.39726909496635476</x:v>
      </x:c>
      <x:c r="D3617" s="47" t="n">
        <x:f>'Datos'!$B$26^3/3</x:f>
        <x:v>0.3333333333333333</x:v>
      </x:c>
      <x:c r="E3617" s="46" t="n">
        <x:f>D3617*(C3617-1)</x:f>
        <x:v>-0.20091030167788174</x:v>
      </x:c>
      <x:c r="F3617" s="2"/>
      <x:c r="G3617" s="2"/>
      <x:c r="H3617" s="2"/>
    </x:row>
    <x:row r="3618" ht="22" customHeight="1">
      <x:c r="A3618" s="2" t="n">
        <x:v>3612</x:v>
      </x:c>
      <x:c r="B3618" s="79" t="n">
        <x:v>-1.1450045473873671</x:v>
      </x:c>
      <x:c r="C3618" s="46" t="n">
        <x:f>B3618^2</x:f>
        <x:v>1.3110354135377495</x:v>
      </x:c>
      <x:c r="D3618" s="47" t="n">
        <x:f>'Datos'!$B$26^3/3</x:f>
        <x:v>0.3333333333333333</x:v>
      </x:c>
      <x:c r="E3618" s="46" t="n">
        <x:f>D3618*(C3618-1)</x:f>
        <x:v>0.10367847117924985</x:v>
      </x:c>
      <x:c r="F3618" s="2"/>
      <x:c r="G3618" s="2"/>
      <x:c r="H3618" s="2"/>
    </x:row>
    <x:row r="3619" ht="22" customHeight="1">
      <x:c r="A3619" s="2" t="n">
        <x:v>3613</x:v>
      </x:c>
      <x:c r="B3619" s="79" t="n">
        <x:v>-0.7715103520250433</x:v>
      </x:c>
      <x:c r="C3619" s="46" t="n">
        <x:f>B3619^2</x:f>
        <x:v>0.5952282232818061</x:v>
      </x:c>
      <x:c r="D3619" s="47" t="n">
        <x:f>'Datos'!$B$26^3/3</x:f>
        <x:v>0.3333333333333333</x:v>
      </x:c>
      <x:c r="E3619" s="46" t="n">
        <x:f>D3619*(C3619-1)</x:f>
        <x:v>-0.13492392557273128</x:v>
      </x:c>
      <x:c r="F3619" s="2"/>
      <x:c r="G3619" s="2"/>
      <x:c r="H3619" s="2"/>
    </x:row>
    <x:row r="3620" ht="22" customHeight="1">
      <x:c r="A3620" s="2" t="n">
        <x:v>3614</x:v>
      </x:c>
      <x:c r="B3620" s="79" t="n">
        <x:v>1.0209902105641786</x:v>
      </x:c>
      <x:c r="C3620" s="46" t="n">
        <x:f>B3620^2</x:f>
        <x:v>1.0424210100678857</x:v>
      </x:c>
      <x:c r="D3620" s="47" t="n">
        <x:f>'Datos'!$B$26^3/3</x:f>
        <x:v>0.3333333333333333</x:v>
      </x:c>
      <x:c r="E3620" s="46" t="n">
        <x:f>D3620*(C3620-1)</x:f>
        <x:v>0.014140336689295225</x:v>
      </x:c>
      <x:c r="F3620" s="2"/>
      <x:c r="G3620" s="2"/>
      <x:c r="H3620" s="2"/>
    </x:row>
    <x:row r="3621" ht="22" customHeight="1">
      <x:c r="A3621" s="2" t="n">
        <x:v>3615</x:v>
      </x:c>
      <x:c r="B3621" s="79" t="n">
        <x:v>-1.1619075804068735</x:v>
      </x:c>
      <x:c r="C3621" s="46" t="n">
        <x:f>B3621^2</x:f>
        <x:v>1.3500292254069552</x:v>
      </x:c>
      <x:c r="D3621" s="47" t="n">
        <x:f>'Datos'!$B$26^3/3</x:f>
        <x:v>0.3333333333333333</x:v>
      </x:c>
      <x:c r="E3621" s="46" t="n">
        <x:f>D3621*(C3621-1)</x:f>
        <x:v>0.11667640846898508</x:v>
      </x:c>
      <x:c r="F3621" s="2"/>
      <x:c r="G3621" s="2"/>
      <x:c r="H3621" s="2"/>
    </x:row>
    <x:row r="3622" ht="22" customHeight="1">
      <x:c r="A3622" s="2" t="n">
        <x:v>3616</x:v>
      </x:c>
      <x:c r="B3622" s="79" t="n">
        <x:v>0.532831945480032</x:v>
      </x:c>
      <x:c r="C3622" s="46" t="n">
        <x:f>B3622^2</x:f>
        <x:v>0.2839098821240358</x:v>
      </x:c>
      <x:c r="D3622" s="47" t="n">
        <x:f>'Datos'!$B$26^3/3</x:f>
        <x:v>0.3333333333333333</x:v>
      </x:c>
      <x:c r="E3622" s="46" t="n">
        <x:f>D3622*(C3622-1)</x:f>
        <x:v>-0.23869670595865472</x:v>
      </x:c>
      <x:c r="F3622" s="2"/>
      <x:c r="G3622" s="2"/>
      <x:c r="H3622" s="2"/>
    </x:row>
    <x:row r="3623" ht="22" customHeight="1">
      <x:c r="A3623" s="2" t="n">
        <x:v>3617</x:v>
      </x:c>
      <x:c r="B3623" s="79" t="n">
        <x:v>-0.3421639209600355</x:v>
      </x:c>
      <x:c r="C3623" s="46" t="n">
        <x:f>B3623^2</x:f>
        <x:v>0.11707614880674543</x:v>
      </x:c>
      <x:c r="D3623" s="47" t="n">
        <x:f>'Datos'!$B$26^3/3</x:f>
        <x:v>0.3333333333333333</x:v>
      </x:c>
      <x:c r="E3623" s="46" t="n">
        <x:f>D3623*(C3623-1)</x:f>
        <x:v>-0.2943079503977515</x:v>
      </x:c>
      <x:c r="F3623" s="2"/>
      <x:c r="G3623" s="2"/>
      <x:c r="H3623" s="2"/>
    </x:row>
    <x:row r="3624" ht="22" customHeight="1">
      <x:c r="A3624" s="2" t="n">
        <x:v>3618</x:v>
      </x:c>
      <x:c r="B3624" s="79" t="n">
        <x:v>0.9739618611835552</x:v>
      </x:c>
      <x:c r="C3624" s="46" t="n">
        <x:f>B3624^2</x:f>
        <x:v>0.9486017070401349</x:v>
      </x:c>
      <x:c r="D3624" s="47" t="n">
        <x:f>'Datos'!$B$26^3/3</x:f>
        <x:v>0.3333333333333333</x:v>
      </x:c>
      <x:c r="E3624" s="46" t="n">
        <x:f>D3624*(C3624-1)</x:f>
        <x:v>-0.01713276431995503</x:v>
      </x:c>
      <x:c r="F3624" s="2"/>
      <x:c r="G3624" s="2"/>
      <x:c r="H3624" s="2"/>
    </x:row>
    <x:row r="3625" ht="22" customHeight="1">
      <x:c r="A3625" s="2" t="n">
        <x:v>3619</x:v>
      </x:c>
      <x:c r="B3625" s="79" t="n">
        <x:v>0.5389950158339278</x:v>
      </x:c>
      <x:c r="C3625" s="46" t="n">
        <x:f>B3625^2</x:f>
        <x:v>0.2905156270938161</x:v>
      </x:c>
      <x:c r="D3625" s="47" t="n">
        <x:f>'Datos'!$B$26^3/3</x:f>
        <x:v>0.3333333333333333</x:v>
      </x:c>
      <x:c r="E3625" s="46" t="n">
        <x:f>D3625*(C3625-1)</x:f>
        <x:v>-0.23649479096872797</x:v>
      </x:c>
      <x:c r="F3625" s="2"/>
      <x:c r="G3625" s="2"/>
      <x:c r="H3625" s="2"/>
    </x:row>
    <x:row r="3626" ht="22" customHeight="1">
      <x:c r="A3626" s="2" t="n">
        <x:v>3620</x:v>
      </x:c>
      <x:c r="B3626" s="79" t="n">
        <x:v>-0.5648747769917988</x:v>
      </x:c>
      <x:c r="C3626" s="46" t="n">
        <x:f>B3626^2</x:f>
        <x:v>0.3190835136815344</x:v>
      </x:c>
      <x:c r="D3626" s="47" t="n">
        <x:f>'Datos'!$B$26^3/3</x:f>
        <x:v>0.3333333333333333</x:v>
      </x:c>
      <x:c r="E3626" s="46" t="n">
        <x:f>D3626*(C3626-1)</x:f>
        <x:v>-0.22697216210615517</x:v>
      </x:c>
      <x:c r="F3626" s="2"/>
      <x:c r="G3626" s="2"/>
      <x:c r="H3626" s="2"/>
    </x:row>
    <x:row r="3627" ht="22" customHeight="1">
      <x:c r="A3627" s="2" t="n">
        <x:v>3621</x:v>
      </x:c>
      <x:c r="B3627" s="79" t="n">
        <x:v>-0.11562892641668318</x:v>
      </x:c>
      <x:c r="C3627" s="46" t="n">
        <x:f>B3627^2</x:f>
        <x:v>0.013370048624274733</x:v>
      </x:c>
      <x:c r="D3627" s="47" t="n">
        <x:f>'Datos'!$B$26^3/3</x:f>
        <x:v>0.3333333333333333</x:v>
      </x:c>
      <x:c r="E3627" s="46" t="n">
        <x:f>D3627*(C3627-1)</x:f>
        <x:v>-0.32887665045857506</x:v>
      </x:c>
      <x:c r="F3627" s="2"/>
      <x:c r="G3627" s="2"/>
      <x:c r="H3627" s="2"/>
    </x:row>
    <x:row r="3628" ht="22" customHeight="1">
      <x:c r="A3628" s="2" t="n">
        <x:v>3622</x:v>
      </x:c>
      <x:c r="B3628" s="79" t="n">
        <x:v>0.4145683324260687</x:v>
      </x:c>
      <x:c r="C3628" s="46" t="n">
        <x:f>B3628^2</x:f>
        <x:v>0.17186690225053142</x:v>
      </x:c>
      <x:c r="D3628" s="47" t="n">
        <x:f>'Datos'!$B$26^3/3</x:f>
        <x:v>0.3333333333333333</x:v>
      </x:c>
      <x:c r="E3628" s="46" t="n">
        <x:f>D3628*(C3628-1)</x:f>
        <x:v>-0.2760443659164895</x:v>
      </x:c>
      <x:c r="F3628" s="2"/>
      <x:c r="G3628" s="2"/>
      <x:c r="H3628" s="2"/>
    </x:row>
    <x:row r="3629" ht="22" customHeight="1">
      <x:c r="A3629" s="2" t="n">
        <x:v>3623</x:v>
      </x:c>
      <x:c r="B3629" s="79" t="n">
        <x:v>0.1149602623035736</x:v>
      </x:c>
      <x:c r="C3629" s="46" t="n">
        <x:f>B3629^2</x:f>
        <x:v>0.013215861908906446</x:v>
      </x:c>
      <x:c r="D3629" s="47" t="n">
        <x:f>'Datos'!$B$26^3/3</x:f>
        <x:v>0.3333333333333333</x:v>
      </x:c>
      <x:c r="E3629" s="46" t="n">
        <x:f>D3629*(C3629-1)</x:f>
        <x:v>-0.3289280460303645</x:v>
      </x:c>
      <x:c r="F3629" s="2"/>
      <x:c r="G3629" s="2"/>
      <x:c r="H3629" s="2"/>
    </x:row>
    <x:row r="3630" ht="22" customHeight="1">
      <x:c r="A3630" s="2" t="n">
        <x:v>3624</x:v>
      </x:c>
      <x:c r="B3630" s="79" t="n">
        <x:v>1.4593048258544288</x:v>
      </x:c>
      <x:c r="C3630" s="46" t="n">
        <x:f>B3630^2</x:f>
        <x:v>2.129570574762025</x:v>
      </x:c>
      <x:c r="D3630" s="47" t="n">
        <x:f>'Datos'!$B$26^3/3</x:f>
        <x:v>0.3333333333333333</x:v>
      </x:c>
      <x:c r="E3630" s="46" t="n">
        <x:f>D3630*(C3630-1)</x:f>
        <x:v>0.3765235249206749</x:v>
      </x:c>
      <x:c r="F3630" s="2"/>
      <x:c r="G3630" s="2"/>
      <x:c r="H3630" s="2"/>
    </x:row>
    <x:row r="3631" ht="22" customHeight="1">
      <x:c r="A3631" s="2" t="n">
        <x:v>3625</x:v>
      </x:c>
      <x:c r="B3631" s="79" t="n">
        <x:v>0.6888233086175733</x:v>
      </x:c>
      <x:c r="C3631" s="46" t="n">
        <x:f>B3631^2</x:f>
        <x:v>0.4744775504948607</x:v>
      </x:c>
      <x:c r="D3631" s="47" t="n">
        <x:f>'Datos'!$B$26^3/3</x:f>
        <x:v>0.3333333333333333</x:v>
      </x:c>
      <x:c r="E3631" s="46" t="n">
        <x:f>D3631*(C3631-1)</x:f>
        <x:v>-0.17517414983504645</x:v>
      </x:c>
      <x:c r="F3631" s="2"/>
      <x:c r="G3631" s="2"/>
      <x:c r="H3631" s="2"/>
    </x:row>
    <x:row r="3632" ht="22" customHeight="1">
      <x:c r="A3632" s="2" t="n">
        <x:v>3626</x:v>
      </x:c>
      <x:c r="B3632" s="79" t="n">
        <x:v>-1.0946595024513266</x:v>
      </x:c>
      <x:c r="C3632" s="46" t="n">
        <x:f>B3632^2</x:f>
        <x:v>1.1982794263069858</x:v>
      </x:c>
      <x:c r="D3632" s="47" t="n">
        <x:f>'Datos'!$B$26^3/3</x:f>
        <x:v>0.3333333333333333</x:v>
      </x:c>
      <x:c r="E3632" s="46" t="n">
        <x:f>D3632*(C3632-1)</x:f>
        <x:v>0.0660931421023286</x:v>
      </x:c>
      <x:c r="F3632" s="2"/>
      <x:c r="G3632" s="2"/>
      <x:c r="H3632" s="2"/>
    </x:row>
    <x:row r="3633" ht="22" customHeight="1">
      <x:c r="A3633" s="2" t="n">
        <x:v>3627</x:v>
      </x:c>
      <x:c r="B3633" s="79" t="n">
        <x:v>0.4662658567615503</x:v>
      </x:c>
      <x:c r="C3633" s="46" t="n">
        <x:f>B3633^2</x:f>
        <x:v>0.21740384918158254</x:v>
      </x:c>
      <x:c r="D3633" s="47" t="n">
        <x:f>'Datos'!$B$26^3/3</x:f>
        <x:v>0.3333333333333333</x:v>
      </x:c>
      <x:c r="E3633" s="46" t="n">
        <x:f>D3633*(C3633-1)</x:f>
        <x:v>-0.26086538360613915</x:v>
      </x:c>
      <x:c r="F3633" s="2"/>
      <x:c r="G3633" s="2"/>
      <x:c r="H3633" s="2"/>
    </x:row>
    <x:row r="3634" ht="22" customHeight="1">
      <x:c r="A3634" s="2" t="n">
        <x:v>3628</x:v>
      </x:c>
      <x:c r="B3634" s="79" t="n">
        <x:v>1.594207904489563</x:v>
      </x:c>
      <x:c r="C3634" s="46" t="n">
        <x:f>B3634^2</x:f>
        <x:v>2.5414988427370035</x:v>
      </x:c>
      <x:c r="D3634" s="47" t="n">
        <x:f>'Datos'!$B$26^3/3</x:f>
        <x:v>0.3333333333333333</x:v>
      </x:c>
      <x:c r="E3634" s="46" t="n">
        <x:f>D3634*(C3634-1)</x:f>
        <x:v>0.5138329475790011</x:v>
      </x:c>
      <x:c r="F3634" s="2"/>
      <x:c r="G3634" s="2"/>
      <x:c r="H3634" s="2"/>
    </x:row>
    <x:row r="3635" ht="22" customHeight="1">
      <x:c r="A3635" s="2" t="n">
        <x:v>3629</x:v>
      </x:c>
      <x:c r="B3635" s="79" t="n">
        <x:v>0.8932095735122596</x:v>
      </x:c>
      <x:c r="C3635" s="46" t="n">
        <x:f>B3635^2</x:f>
        <x:v>0.7978233422139527</x:v>
      </x:c>
      <x:c r="D3635" s="47" t="n">
        <x:f>'Datos'!$B$26^3/3</x:f>
        <x:v>0.3333333333333333</x:v>
      </x:c>
      <x:c r="E3635" s="46" t="n">
        <x:f>D3635*(C3635-1)</x:f>
        <x:v>-0.06739221926201577</x:v>
      </x:c>
      <x:c r="F3635" s="2"/>
      <x:c r="G3635" s="2"/>
      <x:c r="H3635" s="2"/>
    </x:row>
    <x:row r="3636" ht="22" customHeight="1">
      <x:c r="A3636" s="2" t="n">
        <x:v>3630</x:v>
      </x:c>
      <x:c r="B3636" s="79" t="n">
        <x:v>-0.6336679762708357</x:v>
      </x:c>
      <x:c r="C3636" s="46" t="n">
        <x:f>B3636^2</x:f>
        <x:v>0.4015351041511764</x:v>
      </x:c>
      <x:c r="D3636" s="47" t="n">
        <x:f>'Datos'!$B$26^3/3</x:f>
        <x:v>0.3333333333333333</x:v>
      </x:c>
      <x:c r="E3636" s="46" t="n">
        <x:f>D3636*(C3636-1)</x:f>
        <x:v>-0.19948829861627454</x:v>
      </x:c>
      <x:c r="F3636" s="2"/>
      <x:c r="G3636" s="2"/>
      <x:c r="H3636" s="2"/>
    </x:row>
    <x:row r="3637" ht="22" customHeight="1">
      <x:c r="A3637" s="2" t="n">
        <x:v>3631</x:v>
      </x:c>
      <x:c r="B3637" s="79" t="n">
        <x:v>-0.03618192324804559</x:v>
      </x:c>
      <x:c r="C3637" s="46" t="n">
        <x:f>B3637^2</x:f>
        <x:v>0.0013091315699274618</x:v>
      </x:c>
      <x:c r="D3637" s="47" t="n">
        <x:f>'Datos'!$B$26^3/3</x:f>
        <x:v>0.3333333333333333</x:v>
      </x:c>
      <x:c r="E3637" s="46" t="n">
        <x:f>D3637*(C3637-1)</x:f>
        <x:v>-0.33289695614335746</x:v>
      </x:c>
      <x:c r="F3637" s="2"/>
      <x:c r="G3637" s="2"/>
      <x:c r="H3637" s="2"/>
    </x:row>
    <x:row r="3638" ht="22" customHeight="1">
      <x:c r="A3638" s="2" t="n">
        <x:v>3632</x:v>
      </x:c>
      <x:c r="B3638" s="79" t="n">
        <x:v>1.3171562455406323</x:v>
      </x:c>
      <x:c r="C3638" s="46" t="n">
        <x:f>B3638^2</x:f>
        <x:v>1.7349005751666944</x:v>
      </x:c>
      <x:c r="D3638" s="47" t="n">
        <x:f>'Datos'!$B$26^3/3</x:f>
        <x:v>0.3333333333333333</x:v>
      </x:c>
      <x:c r="E3638" s="46" t="n">
        <x:f>D3638*(C3638-1)</x:f>
        <x:v>0.24496685838889812</x:v>
      </x:c>
      <x:c r="F3638" s="2"/>
      <x:c r="G3638" s="2"/>
      <x:c r="H3638" s="2"/>
    </x:row>
    <x:row r="3639" ht="22" customHeight="1">
      <x:c r="A3639" s="2" t="n">
        <x:v>3633</x:v>
      </x:c>
      <x:c r="B3639" s="79" t="n">
        <x:v>0.5085005718743959</x:v>
      </x:c>
      <x:c r="C3639" s="46" t="n">
        <x:f>B3639^2</x:f>
        <x:v>0.25857283159658767</x:v>
      </x:c>
      <x:c r="D3639" s="47" t="n">
        <x:f>'Datos'!$B$26^3/3</x:f>
        <x:v>0.3333333333333333</x:v>
      </x:c>
      <x:c r="E3639" s="46" t="n">
        <x:f>D3639*(C3639-1)</x:f>
        <x:v>-0.24714238946780412</x:v>
      </x:c>
      <x:c r="F3639" s="2"/>
      <x:c r="G3639" s="2"/>
      <x:c r="H3639" s="2"/>
    </x:row>
    <x:row r="3640" ht="22" customHeight="1">
      <x:c r="A3640" s="2" t="n">
        <x:v>3634</x:v>
      </x:c>
      <x:c r="B3640" s="79" t="n">
        <x:v>0.6832563553935097</x:v>
      </x:c>
      <x:c r="C3640" s="46" t="n">
        <x:f>B3640^2</x:f>
        <x:v>0.46683924718562203</x:v>
      </x:c>
      <x:c r="D3640" s="47" t="n">
        <x:f>'Datos'!$B$26^3/3</x:f>
        <x:v>0.3333333333333333</x:v>
      </x:c>
      <x:c r="E3640" s="46" t="n">
        <x:f>D3640*(C3640-1)</x:f>
        <x:v>-0.177720250938126</x:v>
      </x:c>
      <x:c r="F3640" s="2"/>
      <x:c r="G3640" s="2"/>
      <x:c r="H3640" s="2"/>
    </x:row>
    <x:row r="3641" ht="22" customHeight="1">
      <x:c r="A3641" s="2" t="n">
        <x:v>3635</x:v>
      </x:c>
      <x:c r="B3641" s="79" t="n">
        <x:v>1.8776952800417683</x:v>
      </x:c>
      <x:c r="C3641" s="46" t="n">
        <x:f>B3641^2</x:f>
        <x:v>3.525739564691135</x:v>
      </x:c>
      <x:c r="D3641" s="47" t="n">
        <x:f>'Datos'!$B$26^3/3</x:f>
        <x:v>0.3333333333333333</x:v>
      </x:c>
      <x:c r="E3641" s="46" t="n">
        <x:f>D3641*(C3641-1)</x:f>
        <x:v>0.8419131882303783</x:v>
      </x:c>
      <x:c r="F3641" s="2"/>
      <x:c r="G3641" s="2"/>
      <x:c r="H3641" s="2"/>
    </x:row>
    <x:row r="3642" ht="22" customHeight="1">
      <x:c r="A3642" s="2" t="n">
        <x:v>3636</x:v>
      </x:c>
      <x:c r="B3642" s="79" t="n">
        <x:v>0.19758444949159112</x:v>
      </x:c>
      <x:c r="C3642" s="46" t="n">
        <x:f>B3642^2</x:f>
        <x:v>0.039039614680895125</x:v>
      </x:c>
      <x:c r="D3642" s="47" t="n">
        <x:f>'Datos'!$B$26^3/3</x:f>
        <x:v>0.3333333333333333</x:v>
      </x:c>
      <x:c r="E3642" s="46" t="n">
        <x:f>D3642*(C3642-1)</x:f>
        <x:v>-0.3203201284397016</x:v>
      </x:c>
      <x:c r="F3642" s="2"/>
      <x:c r="G3642" s="2"/>
      <x:c r="H3642" s="2"/>
    </x:row>
    <x:row r="3643" ht="22" customHeight="1">
      <x:c r="A3643" s="2" t="n">
        <x:v>3637</x:v>
      </x:c>
      <x:c r="B3643" s="79" t="n">
        <x:v>-0.8386827877295057</x:v>
      </x:c>
      <x:c r="C3643" s="46" t="n">
        <x:f>B3643^2</x:f>
        <x:v>0.703388818433735</x:v>
      </x:c>
      <x:c r="D3643" s="47" t="n">
        <x:f>'Datos'!$B$26^3/3</x:f>
        <x:v>0.3333333333333333</x:v>
      </x:c>
      <x:c r="E3643" s="46" t="n">
        <x:f>D3643*(C3643-1)</x:f>
        <x:v>-0.09887039385542165</x:v>
      </x:c>
      <x:c r="F3643" s="2"/>
      <x:c r="G3643" s="2"/>
      <x:c r="H3643" s="2"/>
    </x:row>
    <x:row r="3644" ht="22" customHeight="1">
      <x:c r="A3644" s="2" t="n">
        <x:v>3638</x:v>
      </x:c>
      <x:c r="B3644" s="79" t="n">
        <x:v>-0.097408872906754</x:v>
      </x:c>
      <x:c r="C3644" s="46" t="n">
        <x:f>B3644^2</x:f>
        <x:v>0.009488488520964154</x:v>
      </x:c>
      <x:c r="D3644" s="47" t="n">
        <x:f>'Datos'!$B$26^3/3</x:f>
        <x:v>0.3333333333333333</x:v>
      </x:c>
      <x:c r="E3644" s="46" t="n">
        <x:f>D3644*(C3644-1)</x:f>
        <x:v>-0.3301705038263453</x:v>
      </x:c>
      <x:c r="F3644" s="2"/>
      <x:c r="G3644" s="2"/>
      <x:c r="H3644" s="2"/>
    </x:row>
    <x:row r="3645" ht="22" customHeight="1">
      <x:c r="A3645" s="2" t="n">
        <x:v>3639</x:v>
      </x:c>
      <x:c r="B3645" s="79" t="n">
        <x:v>-0.6009099392594511</x:v>
      </x:c>
      <x:c r="C3645" s="46" t="n">
        <x:f>B3645^2</x:f>
        <x:v>0.36109275510079725</x:v>
      </x:c>
      <x:c r="D3645" s="47" t="n">
        <x:f>'Datos'!$B$26^3/3</x:f>
        <x:v>0.3333333333333333</x:v>
      </x:c>
      <x:c r="E3645" s="46" t="n">
        <x:f>D3645*(C3645-1)</x:f>
        <x:v>-0.2129690816330676</x:v>
      </x:c>
      <x:c r="F3645" s="2"/>
      <x:c r="G3645" s="2"/>
      <x:c r="H3645" s="2"/>
    </x:row>
    <x:row r="3646" ht="22" customHeight="1">
      <x:c r="A3646" s="2" t="n">
        <x:v>3640</x:v>
      </x:c>
      <x:c r="B3646" s="79" t="n">
        <x:v>-0.9654794665273118</x:v>
      </x:c>
      <x:c r="C3646" s="46" t="n">
        <x:f>B3646^2</x:f>
        <x:v>0.9321506002858625</x:v>
      </x:c>
      <x:c r="D3646" s="47" t="n">
        <x:f>'Datos'!$B$26^3/3</x:f>
        <x:v>0.3333333333333333</x:v>
      </x:c>
      <x:c r="E3646" s="46" t="n">
        <x:f>D3646*(C3646-1)</x:f>
        <x:v>-0.022616466571379168</x:v>
      </x:c>
      <x:c r="F3646" s="2"/>
      <x:c r="G3646" s="2"/>
      <x:c r="H3646" s="2"/>
    </x:row>
    <x:row r="3647" ht="22" customHeight="1">
      <x:c r="A3647" s="2" t="n">
        <x:v>3641</x:v>
      </x:c>
      <x:c r="B3647" s="79" t="n">
        <x:v>-0.8103860219113481</x:v>
      </x:c>
      <x:c r="C3647" s="46" t="n">
        <x:f>B3647^2</x:f>
        <x:v>0.6567255045093</x:v>
      </x:c>
      <x:c r="D3647" s="47" t="n">
        <x:f>'Datos'!$B$26^3/3</x:f>
        <x:v>0.3333333333333333</x:v>
      </x:c>
      <x:c r="E3647" s="46" t="n">
        <x:f>D3647*(C3647-1)</x:f>
        <x:v>-0.11442483183023333</x:v>
      </x:c>
      <x:c r="F3647" s="2"/>
      <x:c r="G3647" s="2"/>
      <x:c r="H3647" s="2"/>
    </x:row>
    <x:row r="3648" ht="22" customHeight="1">
      <x:c r="A3648" s="2" t="n">
        <x:v>3642</x:v>
      </x:c>
      <x:c r="B3648" s="79" t="n">
        <x:v>0.12486004506550541</x:v>
      </x:c>
      <x:c r="C3648" s="46" t="n">
        <x:f>B3648^2</x:f>
        <x:v>0.015590030853760041</x:v>
      </x:c>
      <x:c r="D3648" s="47" t="n">
        <x:f>'Datos'!$B$26^3/3</x:f>
        <x:v>0.3333333333333333</x:v>
      </x:c>
      <x:c r="E3648" s="46" t="n">
        <x:f>D3648*(C3648-1)</x:f>
        <x:v>-0.32813665638207995</x:v>
      </x:c>
      <x:c r="F3648" s="2"/>
      <x:c r="G3648" s="2"/>
      <x:c r="H3648" s="2"/>
    </x:row>
    <x:row r="3649" ht="22" customHeight="1">
      <x:c r="A3649" s="2" t="n">
        <x:v>3643</x:v>
      </x:c>
      <x:c r="B3649" s="79" t="n">
        <x:v>-0.8103182758287049</x:v>
      </x:c>
      <x:c r="C3649" s="46" t="n">
        <x:f>B3649^2</x:f>
        <x:v>0.656615708142005</x:v>
      </x:c>
      <x:c r="D3649" s="47" t="n">
        <x:f>'Datos'!$B$26^3/3</x:f>
        <x:v>0.3333333333333333</x:v>
      </x:c>
      <x:c r="E3649" s="46" t="n">
        <x:f>D3649*(C3649-1)</x:f>
        <x:v>-0.11446143061933167</x:v>
      </x:c>
      <x:c r="F3649" s="2"/>
      <x:c r="G3649" s="2"/>
      <x:c r="H3649" s="2"/>
    </x:row>
    <x:row r="3650" ht="22" customHeight="1">
      <x:c r="A3650" s="2" t="n">
        <x:v>3644</x:v>
      </x:c>
      <x:c r="B3650" s="79" t="n">
        <x:v>-0.4919320997829588</x:v>
      </x:c>
      <x:c r="C3650" s="46" t="n">
        <x:f>B3650^2</x:f>
        <x:v>0.24199719079687096</x:v>
      </x:c>
      <x:c r="D3650" s="47" t="n">
        <x:f>'Datos'!$B$26^3/3</x:f>
        <x:v>0.3333333333333333</x:v>
      </x:c>
      <x:c r="E3650" s="46" t="n">
        <x:f>D3650*(C3650-1)</x:f>
        <x:v>-0.25266760306770963</x:v>
      </x:c>
      <x:c r="F3650" s="2"/>
      <x:c r="G3650" s="2"/>
      <x:c r="H3650" s="2"/>
    </x:row>
    <x:row r="3651" ht="22" customHeight="1">
      <x:c r="A3651" s="2" t="n">
        <x:v>3645</x:v>
      </x:c>
      <x:c r="B3651" s="79" t="n">
        <x:v>-0.6155387112493456</x:v>
      </x:c>
      <x:c r="C3651" s="46" t="n">
        <x:f>B3651^2</x:f>
        <x:v>0.3788879050465052</x:v>
      </x:c>
      <x:c r="D3651" s="47" t="n">
        <x:f>'Datos'!$B$26^3/3</x:f>
        <x:v>0.3333333333333333</x:v>
      </x:c>
      <x:c r="E3651" s="46" t="n">
        <x:f>D3651*(C3651-1)</x:f>
        <x:v>-0.20703736498449823</x:v>
      </x:c>
      <x:c r="F3651" s="2"/>
      <x:c r="G3651" s="2"/>
      <x:c r="H3651" s="2"/>
    </x:row>
    <x:row r="3652" ht="22" customHeight="1">
      <x:c r="A3652" s="2" t="n">
        <x:v>3646</x:v>
      </x:c>
      <x:c r="B3652" s="79" t="n">
        <x:v>-0.8017516510989597</x:v>
      </x:c>
      <x:c r="C3652" s="46" t="n">
        <x:f>B3652^2</x:f>
        <x:v>0.642805710039908</x:v>
      </x:c>
      <x:c r="D3652" s="47" t="n">
        <x:f>'Datos'!$B$26^3/3</x:f>
        <x:v>0.3333333333333333</x:v>
      </x:c>
      <x:c r="E3652" s="46" t="n">
        <x:f>D3652*(C3652-1)</x:f>
        <x:v>-0.11906476332003064</x:v>
      </x:c>
      <x:c r="F3652" s="2"/>
      <x:c r="G3652" s="2"/>
      <x:c r="H3652" s="2"/>
    </x:row>
    <x:row r="3653" ht="22" customHeight="1">
      <x:c r="A3653" s="2" t="n">
        <x:v>3647</x:v>
      </x:c>
      <x:c r="B3653" s="79" t="n">
        <x:v>1.2354690679309779</x:v>
      </x:c>
      <x:c r="C3653" s="46" t="n">
        <x:f>B3653^2</x:f>
        <x:v>1.5263838178142393</x:v>
      </x:c>
      <x:c r="D3653" s="47" t="n">
        <x:f>'Datos'!$B$26^3/3</x:f>
        <x:v>0.3333333333333333</x:v>
      </x:c>
      <x:c r="E3653" s="46" t="n">
        <x:f>D3653*(C3653-1)</x:f>
        <x:v>0.17546127260474642</x:v>
      </x:c>
      <x:c r="F3653" s="2"/>
      <x:c r="G3653" s="2"/>
      <x:c r="H3653" s="2"/>
    </x:row>
    <x:row r="3654" ht="22" customHeight="1">
      <x:c r="A3654" s="2" t="n">
        <x:v>3648</x:v>
      </x:c>
      <x:c r="B3654" s="79" t="n">
        <x:v>-1.55465221358309</x:v>
      </x:c>
      <x:c r="C3654" s="46" t="n">
        <x:f>B3654^2</x:f>
        <x:v>2.4169435051988017</x:v>
      </x:c>
      <x:c r="D3654" s="47" t="n">
        <x:f>'Datos'!$B$26^3/3</x:f>
        <x:v>0.3333333333333333</x:v>
      </x:c>
      <x:c r="E3654" s="46" t="n">
        <x:f>D3654*(C3654-1)</x:f>
        <x:v>0.4723145017329339</x:v>
      </x:c>
      <x:c r="F3654" s="2"/>
      <x:c r="G3654" s="2"/>
      <x:c r="H3654" s="2"/>
    </x:row>
    <x:row r="3655" ht="22" customHeight="1">
      <x:c r="A3655" s="2" t="n">
        <x:v>3649</x:v>
      </x:c>
      <x:c r="B3655" s="79" t="n">
        <x:v>-0.4627676531132579</x:v>
      </x:c>
      <x:c r="C3655" s="46" t="n">
        <x:f>B3655^2</x:f>
        <x:v>0.2141539007679526</x:v>
      </x:c>
      <x:c r="D3655" s="47" t="n">
        <x:f>'Datos'!$B$26^3/3</x:f>
        <x:v>0.3333333333333333</x:v>
      </x:c>
      <x:c r="E3655" s="46" t="n">
        <x:f>D3655*(C3655-1)</x:f>
        <x:v>-0.2619486997440158</x:v>
      </x:c>
      <x:c r="F3655" s="2"/>
      <x:c r="G3655" s="2"/>
      <x:c r="H3655" s="2"/>
    </x:row>
    <x:row r="3656" ht="22" customHeight="1">
      <x:c r="A3656" s="2" t="n">
        <x:v>3650</x:v>
      </x:c>
      <x:c r="B3656" s="79" t="n">
        <x:v>-1.4447952831062936</x:v>
      </x:c>
      <x:c r="C3656" s="46" t="n">
        <x:f>B3656^2</x:f>
        <x:v>2.087433410086195</x:v>
      </x:c>
      <x:c r="D3656" s="47" t="n">
        <x:f>'Datos'!$B$26^3/3</x:f>
        <x:v>0.3333333333333333</x:v>
      </x:c>
      <x:c r="E3656" s="46" t="n">
        <x:f>D3656*(C3656-1)</x:f>
        <x:v>0.36247780336206503</x:v>
      </x:c>
      <x:c r="F3656" s="2"/>
      <x:c r="G3656" s="2"/>
      <x:c r="H3656" s="2"/>
    </x:row>
    <x:row r="3657" ht="22" customHeight="1">
      <x:c r="A3657" s="2" t="n">
        <x:v>3651</x:v>
      </x:c>
      <x:c r="B3657" s="79" t="n">
        <x:v>1.8441280090776127</x:v>
      </x:c>
      <x:c r="C3657" s="46" t="n">
        <x:f>B3657^2</x:f>
        <x:v>3.4008081138645596</x:v>
      </x:c>
      <x:c r="D3657" s="47" t="n">
        <x:f>'Datos'!$B$26^3/3</x:f>
        <x:v>0.3333333333333333</x:v>
      </x:c>
      <x:c r="E3657" s="46" t="n">
        <x:f>D3657*(C3657-1)</x:f>
        <x:v>0.8002693712881865</x:v>
      </x:c>
      <x:c r="F3657" s="2"/>
      <x:c r="G3657" s="2"/>
      <x:c r="H3657" s="2"/>
    </x:row>
    <x:row r="3658" ht="22" customHeight="1">
      <x:c r="A3658" s="2" t="n">
        <x:v>3652</x:v>
      </x:c>
      <x:c r="B3658" s="79" t="n">
        <x:v>1.1934258707799283</x:v>
      </x:c>
      <x:c r="C3658" s="46" t="n">
        <x:f>B3658^2</x:f>
        <x:v>1.4242653090468302</x:v>
      </x:c>
      <x:c r="D3658" s="47" t="n">
        <x:f>'Datos'!$B$26^3/3</x:f>
        <x:v>0.3333333333333333</x:v>
      </x:c>
      <x:c r="E3658" s="46" t="n">
        <x:f>D3658*(C3658-1)</x:f>
        <x:v>0.14142176968227674</x:v>
      </x:c>
      <x:c r="F3658" s="2"/>
      <x:c r="G3658" s="2"/>
      <x:c r="H3658" s="2"/>
    </x:row>
    <x:row r="3659" ht="22" customHeight="1">
      <x:c r="A3659" s="2" t="n">
        <x:v>3653</x:v>
      </x:c>
      <x:c r="B3659" s="79" t="n">
        <x:v>-0.34213608922384897</x:v>
      </x:c>
      <x:c r="C3659" s="46" t="n">
        <x:f>B3659^2</x:f>
        <x:v>0.11705710354938954</x:v>
      </x:c>
      <x:c r="D3659" s="47" t="n">
        <x:f>'Datos'!$B$26^3/3</x:f>
        <x:v>0.3333333333333333</x:v>
      </x:c>
      <x:c r="E3659" s="46" t="n">
        <x:f>D3659*(C3659-1)</x:f>
        <x:v>-0.2943142988168701</x:v>
      </x:c>
      <x:c r="F3659" s="2"/>
      <x:c r="G3659" s="2"/>
      <x:c r="H3659" s="2"/>
    </x:row>
    <x:row r="3660" ht="22" customHeight="1">
      <x:c r="A3660" s="2" t="n">
        <x:v>3654</x:v>
      </x:c>
      <x:c r="B3660" s="79" t="n">
        <x:v>-0.8720408364793247</x:v>
      </x:c>
      <x:c r="C3660" s="46" t="n">
        <x:f>B3660^2</x:f>
        <x:v>0.7604552204875604</x:v>
      </x:c>
      <x:c r="D3660" s="47" t="n">
        <x:f>'Datos'!$B$26^3/3</x:f>
        <x:v>0.3333333333333333</x:v>
      </x:c>
      <x:c r="E3660" s="46" t="n">
        <x:f>D3660*(C3660-1)</x:f>
        <x:v>-0.07984825983747985</x:v>
      </x:c>
      <x:c r="F3660" s="2"/>
      <x:c r="G3660" s="2"/>
      <x:c r="H3660" s="2"/>
    </x:row>
    <x:row r="3661" ht="22" customHeight="1">
      <x:c r="A3661" s="2" t="n">
        <x:v>3655</x:v>
      </x:c>
      <x:c r="B3661" s="79" t="n">
        <x:v>-0.3777912417364005</x:v>
      </x:c>
      <x:c r="C3661" s="46" t="n">
        <x:f>B3661^2</x:f>
        <x:v>0.14272622233273138</x:v>
      </x:c>
      <x:c r="D3661" s="47" t="n">
        <x:f>'Datos'!$B$26^3/3</x:f>
        <x:v>0.3333333333333333</x:v>
      </x:c>
      <x:c r="E3661" s="46" t="n">
        <x:f>D3661*(C3661-1)</x:f>
        <x:v>-0.28575792588908955</x:v>
      </x:c>
      <x:c r="F3661" s="2"/>
      <x:c r="G3661" s="2"/>
      <x:c r="H3661" s="2"/>
    </x:row>
    <x:row r="3662" ht="22" customHeight="1">
      <x:c r="A3662" s="2" t="n">
        <x:v>3656</x:v>
      </x:c>
      <x:c r="B3662" s="79" t="n">
        <x:v>-0.48430821964839266</x:v>
      </x:c>
      <x:c r="C3662" s="46" t="n">
        <x:f>B3662^2</x:f>
        <x:v>0.23455445161899574</x:v>
      </x:c>
      <x:c r="D3662" s="47" t="n">
        <x:f>'Datos'!$B$26^3/3</x:f>
        <x:v>0.3333333333333333</x:v>
      </x:c>
      <x:c r="E3662" s="46" t="n">
        <x:f>D3662*(C3662-1)</x:f>
        <x:v>-0.2551485161270014</x:v>
      </x:c>
      <x:c r="F3662" s="2"/>
      <x:c r="G3662" s="2"/>
      <x:c r="H3662" s="2"/>
    </x:row>
    <x:row r="3663" ht="22" customHeight="1">
      <x:c r="A3663" s="2" t="n">
        <x:v>3657</x:v>
      </x:c>
      <x:c r="B3663" s="79" t="n">
        <x:v>-0.3825115642883293</x:v>
      </x:c>
      <x:c r="C3663" s="46" t="n">
        <x:f>B3663^2</x:f>
        <x:v>0.14631509681430466</x:v>
      </x:c>
      <x:c r="D3663" s="47" t="n">
        <x:f>'Datos'!$B$26^3/3</x:f>
        <x:v>0.3333333333333333</x:v>
      </x:c>
      <x:c r="E3663" s="46" t="n">
        <x:f>D3663*(C3663-1)</x:f>
        <x:v>-0.28456163439523174</x:v>
      </x:c>
      <x:c r="F3663" s="2"/>
      <x:c r="G3663" s="2"/>
      <x:c r="H3663" s="2"/>
    </x:row>
    <x:row r="3664" ht="22" customHeight="1">
      <x:c r="A3664" s="2" t="n">
        <x:v>3658</x:v>
      </x:c>
      <x:c r="B3664" s="79" t="n">
        <x:v>0.27390593911003286</x:v>
      </x:c>
      <x:c r="C3664" s="46" t="n">
        <x:f>B3664^2</x:f>
        <x:v>0.07502446347974903</x:v>
      </x:c>
      <x:c r="D3664" s="47" t="n">
        <x:f>'Datos'!$B$26^3/3</x:f>
        <x:v>0.3333333333333333</x:v>
      </x:c>
      <x:c r="E3664" s="46" t="n">
        <x:f>D3664*(C3664-1)</x:f>
        <x:v>-0.30832517884008365</x:v>
      </x:c>
      <x:c r="F3664" s="2"/>
      <x:c r="G3664" s="2"/>
      <x:c r="H3664" s="2"/>
    </x:row>
    <x:row r="3665" ht="22" customHeight="1">
      <x:c r="A3665" s="2" t="n">
        <x:v>3659</x:v>
      </x:c>
      <x:c r="B3665" s="79" t="n">
        <x:v>-0.41501375547215197</x:v>
      </x:c>
      <x:c r="C3665" s="46" t="n">
        <x:f>B3665^2</x:f>
        <x:v>0.17223641723109914</x:v>
      </x:c>
      <x:c r="D3665" s="47" t="n">
        <x:f>'Datos'!$B$26^3/3</x:f>
        <x:v>0.3333333333333333</x:v>
      </x:c>
      <x:c r="E3665" s="46" t="n">
        <x:f>D3665*(C3665-1)</x:f>
        <x:v>-0.27592119425630024</x:v>
      </x:c>
      <x:c r="F3665" s="2"/>
      <x:c r="G3665" s="2"/>
      <x:c r="H3665" s="2"/>
    </x:row>
    <x:row r="3666" ht="22" customHeight="1">
      <x:c r="A3666" s="2" t="n">
        <x:v>3660</x:v>
      </x:c>
      <x:c r="B3666" s="79" t="n">
        <x:v>-1.6652682329501027</x:v>
      </x:c>
      <x:c r="C3666" s="46" t="n">
        <x:f>B3666^2</x:f>
        <x:v>2.773118287672758</x:v>
      </x:c>
      <x:c r="D3666" s="47" t="n">
        <x:f>'Datos'!$B$26^3/3</x:f>
        <x:v>0.3333333333333333</x:v>
      </x:c>
      <x:c r="E3666" s="46" t="n">
        <x:f>D3666*(C3666-1)</x:f>
        <x:v>0.5910394292242526</x:v>
      </x:c>
      <x:c r="F3666" s="2"/>
      <x:c r="G3666" s="2"/>
      <x:c r="H3666" s="2"/>
    </x:row>
    <x:row r="3667" ht="22" customHeight="1">
      <x:c r="A3667" s="2" t="n">
        <x:v>3661</x:v>
      </x:c>
      <x:c r="B3667" s="79" t="n">
        <x:v>0.0386084903930303</x:v>
      </x:c>
      <x:c r="C3667" s="46" t="n">
        <x:f>B3667^2</x:f>
        <x:v>0.001490615530428713</x:v>
      </x:c>
      <x:c r="D3667" s="47" t="n">
        <x:f>'Datos'!$B$26^3/3</x:f>
        <x:v>0.3333333333333333</x:v>
      </x:c>
      <x:c r="E3667" s="46" t="n">
        <x:f>D3667*(C3667-1)</x:f>
        <x:v>-0.33283646148985707</x:v>
      </x:c>
      <x:c r="F3667" s="2"/>
      <x:c r="G3667" s="2"/>
      <x:c r="H3667" s="2"/>
    </x:row>
    <x:row r="3668" ht="22" customHeight="1">
      <x:c r="A3668" s="2" t="n">
        <x:v>3662</x:v>
      </x:c>
      <x:c r="B3668" s="79" t="n">
        <x:v>0.3596349752614814</x:v>
      </x:c>
      <x:c r="C3668" s="46" t="n">
        <x:f>B3668^2</x:f>
        <x:v>0.12933731543132634</x:v>
      </x:c>
      <x:c r="D3668" s="47" t="n">
        <x:f>'Datos'!$B$26^3/3</x:f>
        <x:v>0.3333333333333333</x:v>
      </x:c>
      <x:c r="E3668" s="46" t="n">
        <x:f>D3668*(C3668-1)</x:f>
        <x:v>-0.29022089485622454</x:v>
      </x:c>
      <x:c r="F3668" s="2"/>
      <x:c r="G3668" s="2"/>
      <x:c r="H3668" s="2"/>
    </x:row>
    <x:row r="3669" ht="22" customHeight="1">
      <x:c r="A3669" s="2" t="n">
        <x:v>3663</x:v>
      </x:c>
      <x:c r="B3669" s="79" t="n">
        <x:v>0.8041102529354324</x:v>
      </x:c>
      <x:c r="C3669" s="46" t="n">
        <x:f>B3669^2</x:f>
        <x:v>0.646593298875885</x:v>
      </x:c>
      <x:c r="D3669" s="47" t="n">
        <x:f>'Datos'!$B$26^3/3</x:f>
        <x:v>0.3333333333333333</x:v>
      </x:c>
      <x:c r="E3669" s="46" t="n">
        <x:f>D3669*(C3669-1)</x:f>
        <x:v>-0.11780223370803833</x:v>
      </x:c>
      <x:c r="F3669" s="2"/>
      <x:c r="G3669" s="2"/>
      <x:c r="H3669" s="2"/>
    </x:row>
    <x:row r="3670" ht="22" customHeight="1">
      <x:c r="A3670" s="2" t="n">
        <x:v>3664</x:v>
      </x:c>
      <x:c r="B3670" s="79" t="n">
        <x:v>-0.47551683196696437</x:v>
      </x:c>
      <x:c r="C3670" s="46" t="n">
        <x:f>B3670^2</x:f>
        <x:v>0.22611625748389824</x:v>
      </x:c>
      <x:c r="D3670" s="47" t="n">
        <x:f>'Datos'!$B$26^3/3</x:f>
        <x:v>0.3333333333333333</x:v>
      </x:c>
      <x:c r="E3670" s="46" t="n">
        <x:f>D3670*(C3670-1)</x:f>
        <x:v>-0.25796124750536725</x:v>
      </x:c>
      <x:c r="F3670" s="2"/>
      <x:c r="G3670" s="2"/>
      <x:c r="H3670" s="2"/>
    </x:row>
    <x:row r="3671" ht="22" customHeight="1">
      <x:c r="A3671" s="2" t="n">
        <x:v>3665</x:v>
      </x:c>
      <x:c r="B3671" s="79" t="n">
        <x:v>-1.204254554325504</x:v>
      </x:c>
      <x:c r="C3671" s="46" t="n">
        <x:f>B3671^2</x:f>
        <x:v>1.4502290316137185</x:v>
      </x:c>
      <x:c r="D3671" s="47" t="n">
        <x:f>'Datos'!$B$26^3/3</x:f>
        <x:v>0.3333333333333333</x:v>
      </x:c>
      <x:c r="E3671" s="46" t="n">
        <x:f>D3671*(C3671-1)</x:f>
        <x:v>0.1500763438712395</x:v>
      </x:c>
      <x:c r="F3671" s="2"/>
      <x:c r="G3671" s="2"/>
      <x:c r="H3671" s="2"/>
    </x:row>
    <x:row r="3672" ht="22" customHeight="1">
      <x:c r="A3672" s="2" t="n">
        <x:v>3666</x:v>
      </x:c>
      <x:c r="B3672" s="79" t="n">
        <x:v>0.14285228513214832</x:v>
      </x:c>
      <x:c r="C3672" s="46" t="n">
        <x:f>B3672^2</x:f>
        <x:v>0.020406775367476603</x:v>
      </x:c>
      <x:c r="D3672" s="47" t="n">
        <x:f>'Datos'!$B$26^3/3</x:f>
        <x:v>0.3333333333333333</x:v>
      </x:c>
      <x:c r="E3672" s="46" t="n">
        <x:f>D3672*(C3672-1)</x:f>
        <x:v>-0.32653107487750777</x:v>
      </x:c>
      <x:c r="F3672" s="2"/>
      <x:c r="G3672" s="2"/>
      <x:c r="H3672" s="2"/>
    </x:row>
    <x:row r="3673" ht="22" customHeight="1">
      <x:c r="A3673" s="2" t="n">
        <x:v>3667</x:v>
      </x:c>
      <x:c r="B3673" s="79" t="n">
        <x:v>0.9533363128005898</x:v>
      </x:c>
      <x:c r="C3673" s="46" t="n">
        <x:f>B3673^2</x:f>
        <x:v>0.908850125304224</x:v>
      </x:c>
      <x:c r="D3673" s="47" t="n">
        <x:f>'Datos'!$B$26^3/3</x:f>
        <x:v>0.3333333333333333</x:v>
      </x:c>
      <x:c r="E3673" s="46" t="n">
        <x:f>D3673*(C3673-1)</x:f>
        <x:v>-0.030383291565258652</x:v>
      </x:c>
      <x:c r="F3673" s="2"/>
      <x:c r="G3673" s="2"/>
      <x:c r="H3673" s="2"/>
    </x:row>
    <x:row r="3674" ht="22" customHeight="1">
      <x:c r="A3674" s="2" t="n">
        <x:v>3668</x:v>
      </x:c>
      <x:c r="B3674" s="79" t="n">
        <x:v>2.155575689940044</x:v>
      </x:c>
      <x:c r="C3674" s="46" t="n">
        <x:f>B3674^2</x:f>
        <x:v>4.646506555060497</x:v>
      </x:c>
      <x:c r="D3674" s="47" t="n">
        <x:f>'Datos'!$B$26^3/3</x:f>
        <x:v>0.3333333333333333</x:v>
      </x:c>
      <x:c r="E3674" s="46" t="n">
        <x:f>D3674*(C3674-1)</x:f>
        <x:v>1.2155021850201655</x:v>
      </x:c>
      <x:c r="F3674" s="2"/>
      <x:c r="G3674" s="2"/>
      <x:c r="H3674" s="2"/>
    </x:row>
    <x:row r="3675" ht="22" customHeight="1">
      <x:c r="A3675" s="2" t="n">
        <x:v>3669</x:v>
      </x:c>
      <x:c r="B3675" s="79" t="n">
        <x:v>1.1529848012210855</x:v>
      </x:c>
      <x:c r="C3675" s="46" t="n">
        <x:f>B3675^2</x:f>
        <x:v>1.329373951846826</x:v>
      </x:c>
      <x:c r="D3675" s="47" t="n">
        <x:f>'Datos'!$B$26^3/3</x:f>
        <x:v>0.3333333333333333</x:v>
      </x:c>
      <x:c r="E3675" s="46" t="n">
        <x:f>D3675*(C3675-1)</x:f>
        <x:v>0.10979131728227531</x:v>
      </x:c>
      <x:c r="F3675" s="2"/>
      <x:c r="G3675" s="2"/>
      <x:c r="H3675" s="2"/>
    </x:row>
    <x:row r="3676" ht="22" customHeight="1">
      <x:c r="A3676" s="2" t="n">
        <x:v>3670</x:v>
      </x:c>
      <x:c r="B3676" s="79" t="n">
        <x:v>-0.4416935924089193</x:v>
      </x:c>
      <x:c r="C3676" s="46" t="n">
        <x:f>B3676^2</x:f>
        <x:v>0.19509322957509653</x:v>
      </x:c>
      <x:c r="D3676" s="47" t="n">
        <x:f>'Datos'!$B$26^3/3</x:f>
        <x:v>0.3333333333333333</x:v>
      </x:c>
      <x:c r="E3676" s="46" t="n">
        <x:f>D3676*(C3676-1)</x:f>
        <x:v>-0.2683022568083011</x:v>
      </x:c>
      <x:c r="F3676" s="2"/>
      <x:c r="G3676" s="2"/>
      <x:c r="H3676" s="2"/>
    </x:row>
    <x:row r="3677" ht="22" customHeight="1">
      <x:c r="A3677" s="2" t="n">
        <x:v>3671</x:v>
      </x:c>
      <x:c r="B3677" s="79" t="n">
        <x:v>0.37602034457619576</x:v>
      </x:c>
      <x:c r="C3677" s="46" t="n">
        <x:f>B3677^2</x:f>
        <x:v>0.141391299535201</x:v>
      </x:c>
      <x:c r="D3677" s="47" t="n">
        <x:f>'Datos'!$B$26^3/3</x:f>
        <x:v>0.3333333333333333</x:v>
      </x:c>
      <x:c r="E3677" s="46" t="n">
        <x:f>D3677*(C3677-1)</x:f>
        <x:v>-0.286202900154933</x:v>
      </x:c>
      <x:c r="F3677" s="2"/>
      <x:c r="G3677" s="2"/>
      <x:c r="H3677" s="2"/>
    </x:row>
    <x:row r="3678" ht="22" customHeight="1">
      <x:c r="A3678" s="2" t="n">
        <x:v>3672</x:v>
      </x:c>
      <x:c r="B3678" s="79" t="n">
        <x:v>-0.928231302678911</x:v>
      </x:c>
      <x:c r="C3678" s="46" t="n">
        <x:f>B3678^2</x:f>
        <x:v>0.861613351272988</x:v>
      </x:c>
      <x:c r="D3678" s="47" t="n">
        <x:f>'Datos'!$B$26^3/3</x:f>
        <x:v>0.3333333333333333</x:v>
      </x:c>
      <x:c r="E3678" s="46" t="n">
        <x:f>D3678*(C3678-1)</x:f>
        <x:v>-0.046128882909004</x:v>
      </x:c>
      <x:c r="F3678" s="2"/>
      <x:c r="G3678" s="2"/>
      <x:c r="H3678" s="2"/>
    </x:row>
    <x:row r="3679" ht="22" customHeight="1">
      <x:c r="A3679" s="2" t="n">
        <x:v>3673</x:v>
      </x:c>
      <x:c r="B3679" s="79" t="n">
        <x:v>-0.6548353544094383</x:v>
      </x:c>
      <x:c r="C3679" s="46" t="n">
        <x:f>B3679^2</x:f>
        <x:v>0.42880934138453464</x:v>
      </x:c>
      <x:c r="D3679" s="47" t="n">
        <x:f>'Datos'!$B$26^3/3</x:f>
        <x:v>0.3333333333333333</x:v>
      </x:c>
      <x:c r="E3679" s="46" t="n">
        <x:f>D3679*(C3679-1)</x:f>
        <x:v>-0.1903968862051551</x:v>
      </x:c>
      <x:c r="F3679" s="2"/>
      <x:c r="G3679" s="2"/>
      <x:c r="H3679" s="2"/>
    </x:row>
    <x:row r="3680" ht="22" customHeight="1">
      <x:c r="A3680" s="2" t="n">
        <x:v>3674</x:v>
      </x:c>
      <x:c r="B3680" s="79" t="n">
        <x:v>0.08479161454639032</x:v>
      </x:c>
      <x:c r="C3680" s="46" t="n">
        <x:f>B3680^2</x:f>
        <x:v>0.007189617897383631</x:v>
      </x:c>
      <x:c r="D3680" s="47" t="n">
        <x:f>'Datos'!$B$26^3/3</x:f>
        <x:v>0.3333333333333333</x:v>
      </x:c>
      <x:c r="E3680" s="46" t="n">
        <x:f>D3680*(C3680-1)</x:f>
        <x:v>-0.33093679403420545</x:v>
      </x:c>
      <x:c r="F3680" s="2"/>
      <x:c r="G3680" s="2"/>
      <x:c r="H3680" s="2"/>
    </x:row>
    <x:row r="3681" ht="22" customHeight="1">
      <x:c r="A3681" s="2" t="n">
        <x:v>3675</x:v>
      </x:c>
      <x:c r="B3681" s="79" t="n">
        <x:v>1.0963192077255786</x:v>
      </x:c>
      <x:c r="C3681" s="46" t="n">
        <x:f>B3681^2</x:f>
        <x:v>1.2019158052280403</x:v>
      </x:c>
      <x:c r="D3681" s="47" t="n">
        <x:f>'Datos'!$B$26^3/3</x:f>
        <x:v>0.3333333333333333</x:v>
      </x:c>
      <x:c r="E3681" s="46" t="n">
        <x:f>D3681*(C3681-1)</x:f>
        <x:v>0.06730526840934677</x:v>
      </x:c>
      <x:c r="F3681" s="2"/>
      <x:c r="G3681" s="2"/>
      <x:c r="H3681" s="2"/>
    </x:row>
    <x:row r="3682" ht="22" customHeight="1">
      <x:c r="A3682" s="2" t="n">
        <x:v>3676</x:v>
      </x:c>
      <x:c r="B3682" s="79" t="n">
        <x:v>-0.5521643626083973</x:v>
      </x:c>
      <x:c r="C3682" s="46" t="n">
        <x:f>B3682^2</x:f>
        <x:v>0.30488548333473764</x:v>
      </x:c>
      <x:c r="D3682" s="47" t="n">
        <x:f>'Datos'!$B$26^3/3</x:f>
        <x:v>0.3333333333333333</x:v>
      </x:c>
      <x:c r="E3682" s="46" t="n">
        <x:f>D3682*(C3682-1)</x:f>
        <x:v>-0.23170483888842078</x:v>
      </x:c>
      <x:c r="F3682" s="2"/>
      <x:c r="G3682" s="2"/>
      <x:c r="H3682" s="2"/>
    </x:row>
    <x:row r="3683" ht="22" customHeight="1">
      <x:c r="A3683" s="2" t="n">
        <x:v>3677</x:v>
      </x:c>
      <x:c r="B3683" s="79" t="n">
        <x:v>-0.3827145654373698</x:v>
      </x:c>
      <x:c r="C3683" s="46" t="n">
        <x:f>B3683^2</x:f>
        <x:v>0.1464704385979148</x:v>
      </x:c>
      <x:c r="D3683" s="47" t="n">
        <x:f>'Datos'!$B$26^3/3</x:f>
        <x:v>0.3333333333333333</x:v>
      </x:c>
      <x:c r="E3683" s="46" t="n">
        <x:f>D3683*(C3683-1)</x:f>
        <x:v>-0.28450985380069505</x:v>
      </x:c>
      <x:c r="F3683" s="2"/>
      <x:c r="G3683" s="2"/>
      <x:c r="H3683" s="2"/>
    </x:row>
    <x:row r="3684" ht="22" customHeight="1">
      <x:c r="A3684" s="2" t="n">
        <x:v>3678</x:v>
      </x:c>
      <x:c r="B3684" s="79" t="n">
        <x:v>1.1843493037888064</x:v>
      </x:c>
      <x:c r="C3684" s="46" t="n">
        <x:f>B3684^2</x:f>
        <x:v>1.4026832733850305</x:v>
      </x:c>
      <x:c r="D3684" s="47" t="n">
        <x:f>'Datos'!$B$26^3/3</x:f>
        <x:v>0.3333333333333333</x:v>
      </x:c>
      <x:c r="E3684" s="46" t="n">
        <x:f>D3684*(C3684-1)</x:f>
        <x:v>0.13422775779501017</x:v>
      </x:c>
      <x:c r="F3684" s="2"/>
      <x:c r="G3684" s="2"/>
      <x:c r="H3684" s="2"/>
    </x:row>
    <x:row r="3685" ht="22" customHeight="1">
      <x:c r="A3685" s="2" t="n">
        <x:v>3679</x:v>
      </x:c>
      <x:c r="B3685" s="79" t="n">
        <x:v>0.6630019374964744</x:v>
      </x:c>
      <x:c r="C3685" s="46" t="n">
        <x:f>B3685^2</x:f>
        <x:v>0.43957156912407896</x:v>
      </x:c>
      <x:c r="D3685" s="47" t="n">
        <x:f>'Datos'!$B$26^3/3</x:f>
        <x:v>0.3333333333333333</x:v>
      </x:c>
      <x:c r="E3685" s="46" t="n">
        <x:f>D3685*(C3685-1)</x:f>
        <x:v>-0.18680947695864036</x:v>
      </x:c>
      <x:c r="F3685" s="2"/>
      <x:c r="G3685" s="2"/>
      <x:c r="H3685" s="2"/>
    </x:row>
    <x:row r="3686" ht="22" customHeight="1">
      <x:c r="A3686" s="2" t="n">
        <x:v>3680</x:v>
      </x:c>
      <x:c r="B3686" s="79" t="n">
        <x:v>-0.040186027355021255</x:v>
      </x:c>
      <x:c r="C3686" s="46" t="n">
        <x:f>B3686^2</x:f>
        <x:v>0.0016149167945785166</x:v>
      </x:c>
      <x:c r="D3686" s="47" t="n">
        <x:f>'Datos'!$B$26^3/3</x:f>
        <x:v>0.3333333333333333</x:v>
      </x:c>
      <x:c r="E3686" s="46" t="n">
        <x:f>D3686*(C3686-1)</x:f>
        <x:v>-0.33279502773514047</x:v>
      </x:c>
      <x:c r="F3686" s="2"/>
      <x:c r="G3686" s="2"/>
      <x:c r="H3686" s="2"/>
    </x:row>
    <x:row r="3687" ht="22" customHeight="1">
      <x:c r="A3687" s="2" t="n">
        <x:v>3681</x:v>
      </x:c>
      <x:c r="B3687" s="79" t="n">
        <x:v>0.4883783506909077</x:v>
      </x:c>
      <x:c r="C3687" s="46" t="n">
        <x:f>B3687^2</x:f>
        <x:v>0.2385134134235712</x:v>
      </x:c>
      <x:c r="D3687" s="47" t="n">
        <x:f>'Datos'!$B$26^3/3</x:f>
        <x:v>0.3333333333333333</x:v>
      </x:c>
      <x:c r="E3687" s="46" t="n">
        <x:f>D3687*(C3687-1)</x:f>
        <x:v>-0.2538288621921429</x:v>
      </x:c>
      <x:c r="F3687" s="2"/>
      <x:c r="G3687" s="2"/>
      <x:c r="H3687" s="2"/>
    </x:row>
    <x:row r="3688" ht="22" customHeight="1">
      <x:c r="A3688" s="2" t="n">
        <x:v>3682</x:v>
      </x:c>
      <x:c r="B3688" s="79" t="n">
        <x:v>-0.17660869225134906</x:v>
      </x:c>
      <x:c r="C3688" s="46" t="n">
        <x:f>B3688^2</x:f>
        <x:v>0.031190630178731724</x:v>
      </x:c>
      <x:c r="D3688" s="47" t="n">
        <x:f>'Datos'!$B$26^3/3</x:f>
        <x:v>0.3333333333333333</x:v>
      </x:c>
      <x:c r="E3688" s="46" t="n">
        <x:f>D3688*(C3688-1)</x:f>
        <x:v>-0.3229364566070894</x:v>
      </x:c>
      <x:c r="F3688" s="2"/>
      <x:c r="G3688" s="2"/>
      <x:c r="H3688" s="2"/>
    </x:row>
    <x:row r="3689" ht="22" customHeight="1">
      <x:c r="A3689" s="2" t="n">
        <x:v>3683</x:v>
      </x:c>
      <x:c r="B3689" s="79" t="n">
        <x:v>-3.244228338518629</x:v>
      </x:c>
      <x:c r="C3689" s="46" t="n">
        <x:f>B3689^2</x:f>
        <x:v>10.525017512447343</x:v>
      </x:c>
      <x:c r="D3689" s="47" t="n">
        <x:f>'Datos'!$B$26^3/3</x:f>
        <x:v>0.3333333333333333</x:v>
      </x:c>
      <x:c r="E3689" s="46" t="n">
        <x:f>D3689*(C3689-1)</x:f>
        <x:v>3.1750058374824475</x:v>
      </x:c>
      <x:c r="F3689" s="2"/>
      <x:c r="G3689" s="2"/>
      <x:c r="H3689" s="2"/>
    </x:row>
    <x:row r="3690" ht="22" customHeight="1">
      <x:c r="A3690" s="2" t="n">
        <x:v>3684</x:v>
      </x:c>
      <x:c r="B3690" s="79" t="n">
        <x:v>-0.04425112172555251</x:v>
      </x:c>
      <x:c r="C3690" s="46" t="n">
        <x:f>B3690^2</x:f>
        <x:v>0.0019581617739696656</x:v>
      </x:c>
      <x:c r="D3690" s="47" t="n">
        <x:f>'Datos'!$B$26^3/3</x:f>
        <x:v>0.3333333333333333</x:v>
      </x:c>
      <x:c r="E3690" s="46" t="n">
        <x:f>D3690*(C3690-1)</x:f>
        <x:v>-0.3326806127420101</x:v>
      </x:c>
      <x:c r="F3690" s="2"/>
      <x:c r="G3690" s="2"/>
      <x:c r="H3690" s="2"/>
    </x:row>
    <x:row r="3691" ht="22" customHeight="1">
      <x:c r="A3691" s="2" t="n">
        <x:v>3685</x:v>
      </x:c>
      <x:c r="B3691" s="79" t="n">
        <x:v>-0.3194458679866183</x:v>
      </x:c>
      <x:c r="C3691" s="46" t="n">
        <x:f>B3691^2</x:f>
        <x:v>0.10204566257372395</x:v>
      </x:c>
      <x:c r="D3691" s="47" t="n">
        <x:f>'Datos'!$B$26^3/3</x:f>
        <x:v>0.3333333333333333</x:v>
      </x:c>
      <x:c r="E3691" s="46" t="n">
        <x:f>D3691*(C3691-1)</x:f>
        <x:v>-0.29931811247542534</x:v>
      </x:c>
      <x:c r="F3691" s="2"/>
      <x:c r="G3691" s="2"/>
      <x:c r="H3691" s="2"/>
    </x:row>
    <x:row r="3692" ht="22" customHeight="1">
      <x:c r="A3692" s="2" t="n">
        <x:v>3686</x:v>
      </x:c>
      <x:c r="B3692" s="79" t="n">
        <x:v>-0.02271652558606924</x:v>
      </x:c>
      <x:c r="C3692" s="46" t="n">
        <x:f>B3692^2</x:f>
        <x:v>0.0005160405347025384</x:v>
      </x:c>
      <x:c r="D3692" s="47" t="n">
        <x:f>'Datos'!$B$26^3/3</x:f>
        <x:v>0.3333333333333333</x:v>
      </x:c>
      <x:c r="E3692" s="46" t="n">
        <x:f>D3692*(C3692-1)</x:f>
        <x:v>-0.3331613198217658</x:v>
      </x:c>
      <x:c r="F3692" s="2"/>
      <x:c r="G3692" s="2"/>
      <x:c r="H3692" s="2"/>
    </x:row>
    <x:row r="3693" ht="22" customHeight="1">
      <x:c r="A3693" s="2" t="n">
        <x:v>3687</x:v>
      </x:c>
      <x:c r="B3693" s="79" t="n">
        <x:v>0.2541990709327339</x:v>
      </x:c>
      <x:c r="C3693" s="46" t="n">
        <x:f>B3693^2</x:f>
        <x:v>0.06461716766306509</x:v>
      </x:c>
      <x:c r="D3693" s="47" t="n">
        <x:f>'Datos'!$B$26^3/3</x:f>
        <x:v>0.3333333333333333</x:v>
      </x:c>
      <x:c r="E3693" s="46" t="n">
        <x:f>D3693*(C3693-1)</x:f>
        <x:v>-0.3117942774456449</x:v>
      </x:c>
      <x:c r="F3693" s="2"/>
      <x:c r="G3693" s="2"/>
      <x:c r="H3693" s="2"/>
    </x:row>
    <x:row r="3694" ht="22" customHeight="1">
      <x:c r="A3694" s="2" t="n">
        <x:v>3688</x:v>
      </x:c>
      <x:c r="B3694" s="79" t="n">
        <x:v>-0.0590457212897351</x:v>
      </x:c>
      <x:c r="C3694" s="46" t="n">
        <x:f>B3694^2</x:f>
        <x:v>0.003486397202625077</x:v>
      </x:c>
      <x:c r="D3694" s="47" t="n">
        <x:f>'Datos'!$B$26^3/3</x:f>
        <x:v>0.3333333333333333</x:v>
      </x:c>
      <x:c r="E3694" s="46" t="n">
        <x:f>D3694*(C3694-1)</x:f>
        <x:v>-0.3321712009324583</x:v>
      </x:c>
      <x:c r="F3694" s="2"/>
      <x:c r="G3694" s="2"/>
      <x:c r="H3694" s="2"/>
    </x:row>
    <x:row r="3695" ht="22" customHeight="1">
      <x:c r="A3695" s="2" t="n">
        <x:v>3689</x:v>
      </x:c>
      <x:c r="B3695" s="79" t="n">
        <x:v>0.9387270692995071</x:v>
      </x:c>
      <x:c r="C3695" s="46" t="n">
        <x:f>B3695^2</x:f>
        <x:v>0.8812085106356417</x:v>
      </x:c>
      <x:c r="D3695" s="47" t="n">
        <x:f>'Datos'!$B$26^3/3</x:f>
        <x:v>0.3333333333333333</x:v>
      </x:c>
      <x:c r="E3695" s="46" t="n">
        <x:f>D3695*(C3695-1)</x:f>
        <x:v>-0.03959716312145278</x:v>
      </x:c>
      <x:c r="F3695" s="2"/>
      <x:c r="G3695" s="2"/>
      <x:c r="H3695" s="2"/>
    </x:row>
    <x:row r="3696" ht="22" customHeight="1">
      <x:c r="A3696" s="2" t="n">
        <x:v>3690</x:v>
      </x:c>
      <x:c r="B3696" s="79" t="n">
        <x:v>0.45180072372019114</x:v>
      </x:c>
      <x:c r="C3696" s="46" t="n">
        <x:f>B3696^2</x:f>
        <x:v>0.20412389395408848</x:v>
      </x:c>
      <x:c r="D3696" s="47" t="n">
        <x:f>'Datos'!$B$26^3/3</x:f>
        <x:v>0.3333333333333333</x:v>
      </x:c>
      <x:c r="E3696" s="46" t="n">
        <x:f>D3696*(C3696-1)</x:f>
        <x:v>-0.26529203534863716</x:v>
      </x:c>
      <x:c r="F3696" s="2"/>
      <x:c r="G3696" s="2"/>
      <x:c r="H3696" s="2"/>
    </x:row>
    <x:row r="3697" ht="22" customHeight="1">
      <x:c r="A3697" s="2" t="n">
        <x:v>3691</x:v>
      </x:c>
      <x:c r="B3697" s="79" t="n">
        <x:v>0.6780468232091256</x:v>
      </x:c>
      <x:c r="C3697" s="46" t="n">
        <x:f>B3697^2</x:f>
        <x:v>0.45974749446398716</x:v>
      </x:c>
      <x:c r="D3697" s="47" t="n">
        <x:f>'Datos'!$B$26^3/3</x:f>
        <x:v>0.3333333333333333</x:v>
      </x:c>
      <x:c r="E3697" s="46" t="n">
        <x:f>D3697*(C3697-1)</x:f>
        <x:v>-0.18008416851200426</x:v>
      </x:c>
      <x:c r="F3697" s="2"/>
      <x:c r="G3697" s="2"/>
      <x:c r="H3697" s="2"/>
    </x:row>
    <x:row r="3698" ht="22" customHeight="1">
      <x:c r="A3698" s="2" t="n">
        <x:v>3692</x:v>
      </x:c>
      <x:c r="B3698" s="79" t="n">
        <x:v>-1.057990559255366</x:v>
      </x:c>
      <x:c r="C3698" s="46" t="n">
        <x:f>B3698^2</x:f>
        <x:v>1.1193440234734822</x:v>
      </x:c>
      <x:c r="D3698" s="47" t="n">
        <x:f>'Datos'!$B$26^3/3</x:f>
        <x:v>0.3333333333333333</x:v>
      </x:c>
      <x:c r="E3698" s="46" t="n">
        <x:f>D3698*(C3698-1)</x:f>
        <x:v>0.03978134115782739</x:v>
      </x:c>
      <x:c r="F3698" s="2"/>
      <x:c r="G3698" s="2"/>
      <x:c r="H3698" s="2"/>
    </x:row>
    <x:row r="3699" ht="22" customHeight="1">
      <x:c r="A3699" s="2" t="n">
        <x:v>3693</x:v>
      </x:c>
      <x:c r="B3699" s="79" t="n">
        <x:v>1.3122560943769734</x:v>
      </x:c>
      <x:c r="C3699" s="46" t="n">
        <x:f>B3699^2</x:f>
        <x:v>1.7220160572295082</x:v>
      </x:c>
      <x:c r="D3699" s="47" t="n">
        <x:f>'Datos'!$B$26^3/3</x:f>
        <x:v>0.3333333333333333</x:v>
      </x:c>
      <x:c r="E3699" s="46" t="n">
        <x:f>D3699*(C3699-1)</x:f>
        <x:v>0.24067201907650274</x:v>
      </x:c>
      <x:c r="F3699" s="2"/>
      <x:c r="G3699" s="2"/>
      <x:c r="H3699" s="2"/>
    </x:row>
    <x:row r="3700" ht="22" customHeight="1">
      <x:c r="A3700" s="2" t="n">
        <x:v>3694</x:v>
      </x:c>
      <x:c r="B3700" s="79" t="n">
        <x:v>-0.012772630620371844</x:v>
      </x:c>
      <x:c r="C3700" s="46" t="n">
        <x:f>B3700^2</x:f>
        <x:v>0.00016314009296446044</x:v>
      </x:c>
      <x:c r="D3700" s="47" t="n">
        <x:f>'Datos'!$B$26^3/3</x:f>
        <x:v>0.3333333333333333</x:v>
      </x:c>
      <x:c r="E3700" s="46" t="n">
        <x:f>D3700*(C3700-1)</x:f>
        <x:v>-0.33327895330234514</x:v>
      </x:c>
      <x:c r="F3700" s="2"/>
      <x:c r="G3700" s="2"/>
      <x:c r="H3700" s="2"/>
    </x:row>
    <x:row r="3701" ht="22" customHeight="1">
      <x:c r="A3701" s="2" t="n">
        <x:v>3695</x:v>
      </x:c>
      <x:c r="B3701" s="79" t="n">
        <x:v>0.8325125419759952</x:v>
      </x:c>
      <x:c r="C3701" s="46" t="n">
        <x:f>B3701^2</x:f>
        <x:v>0.6930771325473332</x:v>
      </x:c>
      <x:c r="D3701" s="47" t="n">
        <x:f>'Datos'!$B$26^3/3</x:f>
        <x:v>0.3333333333333333</x:v>
      </x:c>
      <x:c r="E3701" s="46" t="n">
        <x:f>D3701*(C3701-1)</x:f>
        <x:v>-0.10230762248422227</x:v>
      </x:c>
      <x:c r="F3701" s="2"/>
      <x:c r="G3701" s="2"/>
      <x:c r="H3701" s="2"/>
    </x:row>
    <x:row r="3702" ht="22" customHeight="1">
      <x:c r="A3702" s="2" t="n">
        <x:v>3696</x:v>
      </x:c>
      <x:c r="B3702" s="79" t="n">
        <x:v>-0.36897291435506646</x:v>
      </x:c>
      <x:c r="C3702" s="46" t="n">
        <x:f>B3702^2</x:f>
        <x:v>0.13614101152767122</x:v>
      </x:c>
      <x:c r="D3702" s="47" t="n">
        <x:f>'Datos'!$B$26^3/3</x:f>
        <x:v>0.3333333333333333</x:v>
      </x:c>
      <x:c r="E3702" s="46" t="n">
        <x:f>D3702*(C3702-1)</x:f>
        <x:v>-0.2879529961574429</x:v>
      </x:c>
      <x:c r="F3702" s="2"/>
      <x:c r="G3702" s="2"/>
      <x:c r="H3702" s="2"/>
    </x:row>
    <x:row r="3703" ht="22" customHeight="1">
      <x:c r="A3703" s="2" t="n">
        <x:v>3697</x:v>
      </x:c>
      <x:c r="B3703" s="79" t="n">
        <x:v>1.6759039911674798</x:v>
      </x:c>
      <x:c r="C3703" s="46" t="n">
        <x:f>B3703^2</x:f>
        <x:v>2.808654187611088</x:v>
      </x:c>
      <x:c r="D3703" s="47" t="n">
        <x:f>'Datos'!$B$26^3/3</x:f>
        <x:v>0.3333333333333333</x:v>
      </x:c>
      <x:c r="E3703" s="46" t="n">
        <x:f>D3703*(C3703-1)</x:f>
        <x:v>0.6028847292036961</x:v>
      </x:c>
      <x:c r="F3703" s="2"/>
      <x:c r="G3703" s="2"/>
      <x:c r="H3703" s="2"/>
    </x:row>
    <x:row r="3704" ht="22" customHeight="1">
      <x:c r="A3704" s="2" t="n">
        <x:v>3698</x:v>
      </x:c>
      <x:c r="B3704" s="79" t="n">
        <x:v>0.9656126830578687</x:v>
      </x:c>
      <x:c r="C3704" s="46" t="n">
        <x:f>B3704^2</x:f>
        <x:v>0.932407853682216</x:v>
      </x:c>
      <x:c r="D3704" s="47" t="n">
        <x:f>'Datos'!$B$26^3/3</x:f>
        <x:v>0.3333333333333333</x:v>
      </x:c>
      <x:c r="E3704" s="46" t="n">
        <x:f>D3704*(C3704-1)</x:f>
        <x:v>-0.02253071543926133</x:v>
      </x:c>
      <x:c r="F3704" s="2"/>
      <x:c r="G3704" s="2"/>
      <x:c r="H3704" s="2"/>
    </x:row>
    <x:row r="3705" ht="22" customHeight="1">
      <x:c r="A3705" s="2" t="n">
        <x:v>3699</x:v>
      </x:c>
      <x:c r="B3705" s="79" t="n">
        <x:v>0.909414668182346</x:v>
      </x:c>
      <x:c r="C3705" s="46" t="n">
        <x:f>B3705^2</x:f>
        <x:v>0.8270350387052063</x:v>
      </x:c>
      <x:c r="D3705" s="47" t="n">
        <x:f>'Datos'!$B$26^3/3</x:f>
        <x:v>0.3333333333333333</x:v>
      </x:c>
      <x:c r="E3705" s="46" t="n">
        <x:f>D3705*(C3705-1)</x:f>
        <x:v>-0.057654987098264554</x:v>
      </x:c>
      <x:c r="F3705" s="2"/>
      <x:c r="G3705" s="2"/>
      <x:c r="H3705" s="2"/>
    </x:row>
    <x:row r="3706" ht="22" customHeight="1">
      <x:c r="A3706" s="2" t="n">
        <x:v>3700</x:v>
      </x:c>
      <x:c r="B3706" s="79" t="n">
        <x:v>1.4638568981434532</x:v>
      </x:c>
      <x:c r="C3706" s="46" t="n">
        <x:f>B3706^2</x:f>
        <x:v>2.142877018242172</x:v>
      </x:c>
      <x:c r="D3706" s="47" t="n">
        <x:f>'Datos'!$B$26^3/3</x:f>
        <x:v>0.3333333333333333</x:v>
      </x:c>
      <x:c r="E3706" s="46" t="n">
        <x:f>D3706*(C3706-1)</x:f>
        <x:v>0.380959006080724</x:v>
      </x:c>
      <x:c r="F3706" s="2"/>
      <x:c r="G3706" s="2"/>
      <x:c r="H3706" s="2"/>
    </x:row>
    <x:row r="3707" ht="22" customHeight="1">
      <x:c r="A3707" s="2" t="n">
        <x:v>3701</x:v>
      </x:c>
      <x:c r="B3707" s="79" t="n">
        <x:v>-1.3406065225522295</x:v>
      </x:c>
      <x:c r="C3707" s="46" t="n">
        <x:f>B3707^2</x:f>
        <x:v>1.7972258483095813</x:v>
      </x:c>
      <x:c r="D3707" s="47" t="n">
        <x:f>'Datos'!$B$26^3/3</x:f>
        <x:v>0.3333333333333333</x:v>
      </x:c>
      <x:c r="E3707" s="46" t="n">
        <x:f>D3707*(C3707-1)</x:f>
        <x:v>0.26574194943652707</x:v>
      </x:c>
      <x:c r="F3707" s="2"/>
      <x:c r="G3707" s="2"/>
      <x:c r="H3707" s="2"/>
    </x:row>
    <x:row r="3708" ht="22" customHeight="1">
      <x:c r="A3708" s="2" t="n">
        <x:v>3702</x:v>
      </x:c>
      <x:c r="B3708" s="79" t="n">
        <x:v>-0.9312897589329996</x:v>
      </x:c>
      <x:c r="C3708" s="46" t="n">
        <x:f>B3708^2</x:f>
        <x:v>0.8673006150934844</x:v>
      </x:c>
      <x:c r="D3708" s="47" t="n">
        <x:f>'Datos'!$B$26^3/3</x:f>
        <x:v>0.3333333333333333</x:v>
      </x:c>
      <x:c r="E3708" s="46" t="n">
        <x:f>D3708*(C3708-1)</x:f>
        <x:v>-0.044233128302171854</x:v>
      </x:c>
      <x:c r="F3708" s="2"/>
      <x:c r="G3708" s="2"/>
      <x:c r="H3708" s="2"/>
    </x:row>
    <x:row r="3709" ht="22" customHeight="1">
      <x:c r="A3709" s="2" t="n">
        <x:v>3703</x:v>
      </x:c>
      <x:c r="B3709" s="79" t="n">
        <x:v>0.653277652703181</x:v>
      </x:c>
      <x:c r="C3709" s="46" t="n">
        <x:f>B3709^2</x:f>
        <x:v>0.42677169152137806</x:v>
      </x:c>
      <x:c r="D3709" s="47" t="n">
        <x:f>'Datos'!$B$26^3/3</x:f>
        <x:v>0.3333333333333333</x:v>
      </x:c>
      <x:c r="E3709" s="46" t="n">
        <x:f>D3709*(C3709-1)</x:f>
        <x:v>-0.1910761028262073</x:v>
      </x:c>
      <x:c r="F3709" s="2"/>
      <x:c r="G3709" s="2"/>
      <x:c r="H3709" s="2"/>
    </x:row>
    <x:row r="3710" ht="22" customHeight="1">
      <x:c r="A3710" s="2" t="n">
        <x:v>3704</x:v>
      </x:c>
      <x:c r="B3710" s="79" t="n">
        <x:v>-0.43285858925485765</x:v>
      </x:c>
      <x:c r="C3710" s="46" t="n">
        <x:f>B3710^2</x:f>
        <x:v>0.18736655829170556</x:v>
      </x:c>
      <x:c r="D3710" s="47" t="n">
        <x:f>'Datos'!$B$26^3/3</x:f>
        <x:v>0.3333333333333333</x:v>
      </x:c>
      <x:c r="E3710" s="46" t="n">
        <x:f>D3710*(C3710-1)</x:f>
        <x:v>-0.2708778139027648</x:v>
      </x:c>
      <x:c r="F3710" s="2"/>
      <x:c r="G3710" s="2"/>
      <x:c r="H3710" s="2"/>
    </x:row>
    <x:row r="3711" ht="22" customHeight="1">
      <x:c r="A3711" s="2" t="n">
        <x:v>3705</x:v>
      </x:c>
      <x:c r="B3711" s="79" t="n">
        <x:v>-0.09532527682973502</x:v>
      </x:c>
      <x:c r="C3711" s="46" t="n">
        <x:f>B3711^2</x:f>
        <x:v>0.009086908402665616</x:v>
      </x:c>
      <x:c r="D3711" s="47" t="n">
        <x:f>'Datos'!$B$26^3/3</x:f>
        <x:v>0.3333333333333333</x:v>
      </x:c>
      <x:c r="E3711" s="46" t="n">
        <x:f>D3711*(C3711-1)</x:f>
        <x:v>-0.3303043638657781</x:v>
      </x:c>
      <x:c r="F3711" s="2"/>
      <x:c r="G3711" s="2"/>
      <x:c r="H3711" s="2"/>
    </x:row>
    <x:row r="3712" ht="22" customHeight="1">
      <x:c r="A3712" s="2" t="n">
        <x:v>3706</x:v>
      </x:c>
      <x:c r="B3712" s="79" t="n">
        <x:v>0.8318707775086411</x:v>
      </x:c>
      <x:c r="C3712" s="46" t="n">
        <x:f>B3712^2</x:f>
        <x:v>0.6920089904728312</x:v>
      </x:c>
      <x:c r="D3712" s="47" t="n">
        <x:f>'Datos'!$B$26^3/3</x:f>
        <x:v>0.3333333333333333</x:v>
      </x:c>
      <x:c r="E3712" s="46" t="n">
        <x:f>D3712*(C3712-1)</x:f>
        <x:v>-0.10266366984238962</x:v>
      </x:c>
      <x:c r="F3712" s="2"/>
      <x:c r="G3712" s="2"/>
      <x:c r="H3712" s="2"/>
    </x:row>
    <x:row r="3713" ht="22" customHeight="1">
      <x:c r="A3713" s="2" t="n">
        <x:v>3707</x:v>
      </x:c>
      <x:c r="B3713" s="79" t="n">
        <x:v>0.1198890518423265</x:v>
      </x:c>
      <x:c r="C3713" s="46" t="n">
        <x:f>B3713^2</x:f>
        <x:v>0.01437338475165205</x:v>
      </x:c>
      <x:c r="D3713" s="47" t="n">
        <x:f>'Datos'!$B$26^3/3</x:f>
        <x:v>0.3333333333333333</x:v>
      </x:c>
      <x:c r="E3713" s="46" t="n">
        <x:f>D3713*(C3713-1)</x:f>
        <x:v>-0.32854220508278265</x:v>
      </x:c>
      <x:c r="F3713" s="2"/>
      <x:c r="G3713" s="2"/>
      <x:c r="H3713" s="2"/>
    </x:row>
    <x:row r="3714" ht="22" customHeight="1">
      <x:c r="A3714" s="2" t="n">
        <x:v>3708</x:v>
      </x:c>
      <x:c r="B3714" s="79" t="n">
        <x:v>-0.020394119976860994</x:v>
      </x:c>
      <x:c r="C3714" s="46" t="n">
        <x:f>B3714^2</x:f>
        <x:v>0.00041592012963060065</x:v>
      </x:c>
      <x:c r="D3714" s="47" t="n">
        <x:f>'Datos'!$B$26^3/3</x:f>
        <x:v>0.3333333333333333</x:v>
      </x:c>
      <x:c r="E3714" s="46" t="n">
        <x:f>D3714*(C3714-1)</x:f>
        <x:v>-0.3331946932901231</x:v>
      </x:c>
      <x:c r="F3714" s="2"/>
      <x:c r="G3714" s="2"/>
      <x:c r="H3714" s="2"/>
    </x:row>
    <x:row r="3715" ht="22" customHeight="1">
      <x:c r="A3715" s="2" t="n">
        <x:v>3709</x:v>
      </x:c>
      <x:c r="B3715" s="79" t="n">
        <x:v>1.8746899429505037</x:v>
      </x:c>
      <x:c r="C3715" s="46" t="n">
        <x:f>B3715^2</x:f>
        <x:v>3.514462382199763</x:v>
      </x:c>
      <x:c r="D3715" s="47" t="n">
        <x:f>'Datos'!$B$26^3/3</x:f>
        <x:v>0.3333333333333333</x:v>
      </x:c>
      <x:c r="E3715" s="46" t="n">
        <x:f>D3715*(C3715-1)</x:f>
        <x:v>0.8381541273999209</x:v>
      </x:c>
      <x:c r="F3715" s="2"/>
      <x:c r="G3715" s="2"/>
      <x:c r="H3715" s="2"/>
    </x:row>
    <x:row r="3716" ht="22" customHeight="1">
      <x:c r="A3716" s="2" t="n">
        <x:v>3710</x:v>
      </x:c>
      <x:c r="B3716" s="79" t="n">
        <x:v>-0.7008127560336707</x:v>
      </x:c>
      <x:c r="C3716" s="46" t="n">
        <x:f>B3716^2</x:f>
        <x:v>0.49113851901950917</x:v>
      </x:c>
      <x:c r="D3716" s="47" t="n">
        <x:f>'Datos'!$B$26^3/3</x:f>
        <x:v>0.3333333333333333</x:v>
      </x:c>
      <x:c r="E3716" s="46" t="n">
        <x:f>D3716*(C3716-1)</x:f>
        <x:v>-0.16962049366016357</x:v>
      </x:c>
      <x:c r="F3716" s="2"/>
      <x:c r="G3716" s="2"/>
      <x:c r="H3716" s="2"/>
    </x:row>
    <x:row r="3717" ht="22" customHeight="1">
      <x:c r="A3717" s="2" t="n">
        <x:v>3711</x:v>
      </x:c>
      <x:c r="B3717" s="79" t="n">
        <x:v>0.26926478972307066</x:v>
      </x:c>
      <x:c r="C3717" s="46" t="n">
        <x:f>B3717^2</x:f>
        <x:v>0.07250352698460946</x:v>
      </x:c>
      <x:c r="D3717" s="47" t="n">
        <x:f>'Datos'!$B$26^3/3</x:f>
        <x:v>0.3333333333333333</x:v>
      </x:c>
      <x:c r="E3717" s="46" t="n">
        <x:f>D3717*(C3717-1)</x:f>
        <x:v>-0.30916549100513013</x:v>
      </x:c>
      <x:c r="F3717" s="2"/>
      <x:c r="G3717" s="2"/>
      <x:c r="H3717" s="2"/>
    </x:row>
    <x:row r="3718" ht="22" customHeight="1">
      <x:c r="A3718" s="2" t="n">
        <x:v>3712</x:v>
      </x:c>
      <x:c r="B3718" s="79" t="n">
        <x:v>0.1986272669301117</x:v>
      </x:c>
      <x:c r="C3718" s="46" t="n">
        <x:f>B3718^2</x:f>
        <x:v>0.03945279116812585</x:v>
      </x:c>
      <x:c r="D3718" s="47" t="n">
        <x:f>'Datos'!$B$26^3/3</x:f>
        <x:v>0.3333333333333333</x:v>
      </x:c>
      <x:c r="E3718" s="46" t="n">
        <x:f>D3718*(C3718-1)</x:f>
        <x:v>-0.32018240294395806</x:v>
      </x:c>
      <x:c r="F3718" s="2"/>
      <x:c r="G3718" s="2"/>
      <x:c r="H3718" s="2"/>
    </x:row>
    <x:row r="3719" ht="22" customHeight="1">
      <x:c r="A3719" s="2" t="n">
        <x:v>3713</x:v>
      </x:c>
      <x:c r="B3719" s="79" t="n">
        <x:v>-0.5180964069903004</x:v>
      </x:c>
      <x:c r="C3719" s="46" t="n">
        <x:f>B3719^2</x:f>
        <x:v>0.26842388693625896</x:v>
      </x:c>
      <x:c r="D3719" s="47" t="n">
        <x:f>'Datos'!$B$26^3/3</x:f>
        <x:v>0.3333333333333333</x:v>
      </x:c>
      <x:c r="E3719" s="46" t="n">
        <x:f>D3719*(C3719-1)</x:f>
        <x:v>-0.24385870435458035</x:v>
      </x:c>
      <x:c r="F3719" s="2"/>
      <x:c r="G3719" s="2"/>
      <x:c r="H3719" s="2"/>
    </x:row>
    <x:row r="3720" ht="22" customHeight="1">
      <x:c r="A3720" s="2" t="n">
        <x:v>3714</x:v>
      </x:c>
      <x:c r="B3720" s="79" t="n">
        <x:v>-0.014717526605682074</x:v>
      </x:c>
      <x:c r="C3720" s="46" t="n">
        <x:f>B3720^2</x:f>
        <x:v>0.0002166055893889597</x:v>
      </x:c>
      <x:c r="D3720" s="47" t="n">
        <x:f>'Datos'!$B$26^3/3</x:f>
        <x:v>0.3333333333333333</x:v>
      </x:c>
      <x:c r="E3720" s="46" t="n">
        <x:f>D3720*(C3720-1)</x:f>
        <x:v>-0.33326113147020364</x:v>
      </x:c>
      <x:c r="F3720" s="2"/>
      <x:c r="G3720" s="2"/>
      <x:c r="H3720" s="2"/>
    </x:row>
    <x:row r="3721" ht="22" customHeight="1">
      <x:c r="A3721" s="2" t="n">
        <x:v>3715</x:v>
      </x:c>
      <x:c r="B3721" s="79" t="n">
        <x:v>0.4301647388583525</x:v>
      </x:c>
      <x:c r="C3721" s="46" t="n">
        <x:f>B3721^2</x:f>
        <x:v>0.18504170255707458</x:v>
      </x:c>
      <x:c r="D3721" s="47" t="n">
        <x:f>'Datos'!$B$26^3/3</x:f>
        <x:v>0.3333333333333333</x:v>
      </x:c>
      <x:c r="E3721" s="46" t="n">
        <x:f>D3721*(C3721-1)</x:f>
        <x:v>-0.2716527658143085</x:v>
      </x:c>
      <x:c r="F3721" s="2"/>
      <x:c r="G3721" s="2"/>
      <x:c r="H3721" s="2"/>
    </x:row>
    <x:row r="3722" ht="22" customHeight="1">
      <x:c r="A3722" s="2" t="n">
        <x:v>3716</x:v>
      </x:c>
      <x:c r="B3722" s="79" t="n">
        <x:v>-0.5395005278633036</x:v>
      </x:c>
      <x:c r="C3722" s="46" t="n">
        <x:f>B3722^2</x:f>
        <x:v>0.29106081956478325</x:v>
      </x:c>
      <x:c r="D3722" s="47" t="n">
        <x:f>'Datos'!$B$26^3/3</x:f>
        <x:v>0.3333333333333333</x:v>
      </x:c>
      <x:c r="E3722" s="46" t="n">
        <x:f>D3722*(C3722-1)</x:f>
        <x:v>-0.23631306014507225</x:v>
      </x:c>
      <x:c r="F3722" s="2"/>
      <x:c r="G3722" s="2"/>
      <x:c r="H3722" s="2"/>
    </x:row>
    <x:row r="3723" ht="22" customHeight="1">
      <x:c r="A3723" s="2" t="n">
        <x:v>3717</x:v>
      </x:c>
      <x:c r="B3723" s="79" t="n">
        <x:v>0.24187971353323454</x:v>
      </x:c>
      <x:c r="C3723" s="46" t="n">
        <x:f>B3723^2</x:f>
        <x:v>0.058505795818919605</x:v>
      </x:c>
      <x:c r="D3723" s="47" t="n">
        <x:f>'Datos'!$B$26^3/3</x:f>
        <x:v>0.3333333333333333</x:v>
      </x:c>
      <x:c r="E3723" s="46" t="n">
        <x:f>D3723*(C3723-1)</x:f>
        <x:v>-0.3138314013936935</x:v>
      </x:c>
      <x:c r="F3723" s="2"/>
      <x:c r="G3723" s="2"/>
      <x:c r="H3723" s="2"/>
    </x:row>
    <x:row r="3724" ht="22" customHeight="1">
      <x:c r="A3724" s="2" t="n">
        <x:v>3718</x:v>
      </x:c>
      <x:c r="B3724" s="79" t="n">
        <x:v>-0.9735524913216507</x:v>
      </x:c>
      <x:c r="C3724" s="46" t="n">
        <x:f>B3724^2</x:f>
        <x:v>0.9478044533585928</x:v>
      </x:c>
      <x:c r="D3724" s="47" t="n">
        <x:f>'Datos'!$B$26^3/3</x:f>
        <x:v>0.3333333333333333</x:v>
      </x:c>
      <x:c r="E3724" s="46" t="n">
        <x:f>D3724*(C3724-1)</x:f>
        <x:v>-0.017398515547135746</x:v>
      </x:c>
      <x:c r="F3724" s="2"/>
      <x:c r="G3724" s="2"/>
      <x:c r="H3724" s="2"/>
    </x:row>
    <x:row r="3725" ht="22" customHeight="1">
      <x:c r="A3725" s="2" t="n">
        <x:v>3719</x:v>
      </x:c>
      <x:c r="B3725" s="79" t="n">
        <x:v>0.898530545520497</x:v>
      </x:c>
      <x:c r="C3725" s="46" t="n">
        <x:f>B3725^2</x:f>
        <x:v>0.807357141233362</x:v>
      </x:c>
      <x:c r="D3725" s="47" t="n">
        <x:f>'Datos'!$B$26^3/3</x:f>
        <x:v>0.3333333333333333</x:v>
      </x:c>
      <x:c r="E3725" s="46" t="n">
        <x:f>D3725*(C3725-1)</x:f>
        <x:v>-0.064214286255546</x:v>
      </x:c>
      <x:c r="F3725" s="2"/>
      <x:c r="G3725" s="2"/>
      <x:c r="H3725" s="2"/>
    </x:row>
    <x:row r="3726" ht="22" customHeight="1">
      <x:c r="A3726" s="2" t="n">
        <x:v>3720</x:v>
      </x:c>
      <x:c r="B3726" s="79" t="n">
        <x:v>-1.2861573355635953</x:v>
      </x:c>
      <x:c r="C3726" s="46" t="n">
        <x:f>B3726^2</x:f>
        <x:v>1.6542006918240468</x:v>
      </x:c>
      <x:c r="D3726" s="47" t="n">
        <x:f>'Datos'!$B$26^3/3</x:f>
        <x:v>0.3333333333333333</x:v>
      </x:c>
      <x:c r="E3726" s="46" t="n">
        <x:f>D3726*(C3726-1)</x:f>
        <x:v>0.21806689727468226</x:v>
      </x:c>
      <x:c r="F3726" s="2"/>
      <x:c r="G3726" s="2"/>
      <x:c r="H3726" s="2"/>
    </x:row>
    <x:row r="3727" ht="22" customHeight="1">
      <x:c r="A3727" s="2" t="n">
        <x:v>3721</x:v>
      </x:c>
      <x:c r="B3727" s="79" t="n">
        <x:v>-0.22162405372351227</x:v>
      </x:c>
      <x:c r="C3727" s="46" t="n">
        <x:f>B3727^2</x:f>
        <x:v>0.04911722118884225</x:v>
      </x:c>
      <x:c r="D3727" s="47" t="n">
        <x:f>'Datos'!$B$26^3/3</x:f>
        <x:v>0.3333333333333333</x:v>
      </x:c>
      <x:c r="E3727" s="46" t="n">
        <x:f>D3727*(C3727-1)</x:f>
        <x:v>-0.3169609262703859</x:v>
      </x:c>
      <x:c r="F3727" s="2"/>
      <x:c r="G3727" s="2"/>
      <x:c r="H3727" s="2"/>
    </x:row>
    <x:row r="3728" ht="22" customHeight="1">
      <x:c r="A3728" s="2" t="n">
        <x:v>3722</x:v>
      </x:c>
      <x:c r="B3728" s="79" t="n">
        <x:v>2.36283617971888</x:v>
      </x:c>
      <x:c r="C3728" s="46" t="n">
        <x:f>B3728^2</x:f>
        <x:v>5.582994812188511</x:v>
      </x:c>
      <x:c r="D3728" s="47" t="n">
        <x:f>'Datos'!$B$26^3/3</x:f>
        <x:v>0.3333333333333333</x:v>
      </x:c>
      <x:c r="E3728" s="46" t="n">
        <x:f>D3728*(C3728-1)</x:f>
        <x:v>1.5276649373961704</x:v>
      </x:c>
      <x:c r="F3728" s="2"/>
      <x:c r="G3728" s="2"/>
      <x:c r="H3728" s="2"/>
    </x:row>
    <x:row r="3729" ht="22" customHeight="1">
      <x:c r="A3729" s="2" t="n">
        <x:v>3723</x:v>
      </x:c>
      <x:c r="B3729" s="79" t="n">
        <x:v>-1.3178309835543123</x:v>
      </x:c>
      <x:c r="C3729" s="46" t="n">
        <x:f>B3729^2</x:f>
        <x:v>1.736678501215726</x:v>
      </x:c>
      <x:c r="D3729" s="47" t="n">
        <x:f>'Datos'!$B$26^3/3</x:f>
        <x:v>0.3333333333333333</x:v>
      </x:c>
      <x:c r="E3729" s="46" t="n">
        <x:f>D3729*(C3729-1)</x:f>
        <x:v>0.245559500405242</x:v>
      </x:c>
      <x:c r="F3729" s="2"/>
      <x:c r="G3729" s="2"/>
      <x:c r="H3729" s="2"/>
    </x:row>
    <x:row r="3730" ht="22" customHeight="1">
      <x:c r="A3730" s="2" t="n">
        <x:v>3724</x:v>
      </x:c>
      <x:c r="B3730" s="79" t="n">
        <x:v>-0.43076398590357023</x:v>
      </x:c>
      <x:c r="C3730" s="46" t="n">
        <x:f>B3730^2</x:f>
        <x:v>0.18555761155153125</x:v>
      </x:c>
      <x:c r="D3730" s="47" t="n">
        <x:f>'Datos'!$B$26^3/3</x:f>
        <x:v>0.3333333333333333</x:v>
      </x:c>
      <x:c r="E3730" s="46" t="n">
        <x:f>D3730*(C3730-1)</x:f>
        <x:v>-0.27148079614948956</x:v>
      </x:c>
      <x:c r="F3730" s="2"/>
      <x:c r="G3730" s="2"/>
      <x:c r="H3730" s="2"/>
    </x:row>
    <x:row r="3731" ht="22" customHeight="1">
      <x:c r="A3731" s="2" t="n">
        <x:v>3725</x:v>
      </x:c>
      <x:c r="B3731" s="79" t="n">
        <x:v>0.5099416800471804</x:v>
      </x:c>
      <x:c r="C3731" s="46" t="n">
        <x:f>B3731^2</x:f>
        <x:v>0.26004051704934095</x:v>
      </x:c>
      <x:c r="D3731" s="47" t="n">
        <x:f>'Datos'!$B$26^3/3</x:f>
        <x:v>0.3333333333333333</x:v>
      </x:c>
      <x:c r="E3731" s="46" t="n">
        <x:f>D3731*(C3731-1)</x:f>
        <x:v>-0.246653160983553</x:v>
      </x:c>
      <x:c r="F3731" s="2"/>
      <x:c r="G3731" s="2"/>
      <x:c r="H3731" s="2"/>
    </x:row>
    <x:row r="3732" ht="22" customHeight="1">
      <x:c r="A3732" s="2" t="n">
        <x:v>3726</x:v>
      </x:c>
      <x:c r="B3732" s="79" t="n">
        <x:v>-1.4050070682756062</x:v>
      </x:c>
      <x:c r="C3732" s="46" t="n">
        <x:f>B3732^2</x:f>
        <x:v>1.974044861904414</x:v>
      </x:c>
      <x:c r="D3732" s="47" t="n">
        <x:f>'Datos'!$B$26^3/3</x:f>
        <x:v>0.3333333333333333</x:v>
      </x:c>
      <x:c r="E3732" s="46" t="n">
        <x:f>D3732*(C3732-1)</x:f>
        <x:v>0.32468162063480466</x:v>
      </x:c>
      <x:c r="F3732" s="2"/>
      <x:c r="G3732" s="2"/>
      <x:c r="H3732" s="2"/>
    </x:row>
    <x:row r="3733" ht="22" customHeight="1">
      <x:c r="A3733" s="2" t="n">
        <x:v>3727</x:v>
      </x:c>
      <x:c r="B3733" s="79" t="n">
        <x:v>-1.305828896274079</x:v>
      </x:c>
      <x:c r="C3733" s="46" t="n">
        <x:f>B3733^2</x:f>
        <x:v>1.7051891063443791</x:v>
      </x:c>
      <x:c r="D3733" s="47" t="n">
        <x:f>'Datos'!$B$26^3/3</x:f>
        <x:v>0.3333333333333333</x:v>
      </x:c>
      <x:c r="E3733" s="46" t="n">
        <x:f>D3733*(C3733-1)</x:f>
        <x:v>0.23506303544812637</x:v>
      </x:c>
      <x:c r="F3733" s="2"/>
      <x:c r="G3733" s="2"/>
      <x:c r="H3733" s="2"/>
    </x:row>
    <x:row r="3734" ht="22" customHeight="1">
      <x:c r="A3734" s="2" t="n">
        <x:v>3728</x:v>
      </x:c>
      <x:c r="B3734" s="79" t="n">
        <x:v>0.7659467388594808</x:v>
      </x:c>
      <x:c r="C3734" s="46" t="n">
        <x:f>B3734^2</x:f>
        <x:v>0.5866744067694737</x:v>
      </x:c>
      <x:c r="D3734" s="47" t="n">
        <x:f>'Datos'!$B$26^3/3</x:f>
        <x:v>0.3333333333333333</x:v>
      </x:c>
      <x:c r="E3734" s="46" t="n">
        <x:f>D3734*(C3734-1)</x:f>
        <x:v>-0.13777519774350877</x:v>
      </x:c>
      <x:c r="F3734" s="2"/>
      <x:c r="G3734" s="2"/>
      <x:c r="H3734" s="2"/>
    </x:row>
    <x:row r="3735" ht="22" customHeight="1">
      <x:c r="A3735" s="2" t="n">
        <x:v>3729</x:v>
      </x:c>
      <x:c r="B3735" s="79" t="n">
        <x:v>-0.01571282503755869</x:v>
      </x:c>
      <x:c r="C3735" s="46" t="n">
        <x:f>B3735^2</x:f>
        <x:v>0.0002468928706609312</x:v>
      </x:c>
      <x:c r="D3735" s="47" t="n">
        <x:f>'Datos'!$B$26^3/3</x:f>
        <x:v>0.3333333333333333</x:v>
      </x:c>
      <x:c r="E3735" s="46" t="n">
        <x:f>D3735*(C3735-1)</x:f>
        <x:v>-0.33325103570977965</x:v>
      </x:c>
      <x:c r="F3735" s="2"/>
      <x:c r="G3735" s="2"/>
      <x:c r="H3735" s="2"/>
    </x:row>
    <x:row r="3736" ht="22" customHeight="1">
      <x:c r="A3736" s="2" t="n">
        <x:v>3730</x:v>
      </x:c>
      <x:c r="B3736" s="79" t="n">
        <x:v>0.4578738516130383</x:v>
      </x:c>
      <x:c r="C3736" s="46" t="n">
        <x:f>B3736^2</x:f>
        <x:v>0.2096484639909586</x:v>
      </x:c>
      <x:c r="D3736" s="47" t="n">
        <x:f>'Datos'!$B$26^3/3</x:f>
        <x:v>0.3333333333333333</x:v>
      </x:c>
      <x:c r="E3736" s="46" t="n">
        <x:f>D3736*(C3736-1)</x:f>
        <x:v>-0.2634505120030138</x:v>
      </x:c>
      <x:c r="F3736" s="2"/>
      <x:c r="G3736" s="2"/>
      <x:c r="H3736" s="2"/>
    </x:row>
    <x:row r="3737" ht="22" customHeight="1">
      <x:c r="A3737" s="2" t="n">
        <x:v>3731</x:v>
      </x:c>
      <x:c r="B3737" s="79" t="n">
        <x:v>-1.9453331033238754</x:v>
      </x:c>
      <x:c r="C3737" s="46" t="n">
        <x:f>B3737^2</x:f>
        <x:v>3.7843208828877</x:v>
      </x:c>
      <x:c r="D3737" s="47" t="n">
        <x:f>'Datos'!$B$26^3/3</x:f>
        <x:v>0.3333333333333333</x:v>
      </x:c>
      <x:c r="E3737" s="46" t="n">
        <x:f>D3737*(C3737-1)</x:f>
        <x:v>0.9281069609625666</x:v>
      </x:c>
      <x:c r="F3737" s="2"/>
      <x:c r="G3737" s="2"/>
      <x:c r="H3737" s="2"/>
    </x:row>
    <x:row r="3738" ht="22" customHeight="1">
      <x:c r="A3738" s="2" t="n">
        <x:v>3732</x:v>
      </x:c>
      <x:c r="B3738" s="79" t="n">
        <x:v>-0.4929171095422589</x:v>
      </x:c>
      <x:c r="C3738" s="46" t="n">
        <x:f>B3738^2</x:f>
        <x:v>0.2429672768794953</x:v>
      </x:c>
      <x:c r="D3738" s="47" t="n">
        <x:f>'Datos'!$B$26^3/3</x:f>
        <x:v>0.3333333333333333</x:v>
      </x:c>
      <x:c r="E3738" s="46" t="n">
        <x:f>D3738*(C3738-1)</x:f>
        <x:v>-0.2523442410401682</x:v>
      </x:c>
      <x:c r="F3738" s="2"/>
      <x:c r="G3738" s="2"/>
      <x:c r="H3738" s="2"/>
    </x:row>
    <x:row r="3739" ht="22" customHeight="1">
      <x:c r="A3739" s="2" t="n">
        <x:v>3733</x:v>
      </x:c>
      <x:c r="B3739" s="79" t="n">
        <x:v>1.000643456850921</x:v>
      </x:c>
      <x:c r="C3739" s="46" t="n">
        <x:f>B3739^2</x:f>
        <x:v>1.001287327738561</x:v>
      </x:c>
      <x:c r="D3739" s="47" t="n">
        <x:f>'Datos'!$B$26^3/3</x:f>
        <x:v>0.3333333333333333</x:v>
      </x:c>
      <x:c r="E3739" s="46" t="n">
        <x:f>D3739*(C3739-1)</x:f>
        <x:v>0.0004291092461869983</x:v>
      </x:c>
      <x:c r="F3739" s="2"/>
      <x:c r="G3739" s="2"/>
      <x:c r="H3739" s="2"/>
    </x:row>
    <x:row r="3740" ht="22" customHeight="1">
      <x:c r="A3740" s="2" t="n">
        <x:v>3734</x:v>
      </x:c>
      <x:c r="B3740" s="79" t="n">
        <x:v>-0.7608945469152522</x:v>
      </x:c>
      <x:c r="C3740" s="46" t="n">
        <x:f>B3740^2</x:f>
        <x:v>0.5789605115253669</x:v>
      </x:c>
      <x:c r="D3740" s="47" t="n">
        <x:f>'Datos'!$B$26^3/3</x:f>
        <x:v>0.3333333333333333</x:v>
      </x:c>
      <x:c r="E3740" s="46" t="n">
        <x:f>D3740*(C3740-1)</x:f>
        <x:v>-0.14034649615821104</x:v>
      </x:c>
      <x:c r="F3740" s="2"/>
      <x:c r="G3740" s="2"/>
      <x:c r="H3740" s="2"/>
    </x:row>
    <x:row r="3741" ht="22" customHeight="1">
      <x:c r="A3741" s="2" t="n">
        <x:v>3735</x:v>
      </x:c>
      <x:c r="B3741" s="79" t="n">
        <x:v>-1.6776828932289585</x:v>
      </x:c>
      <x:c r="C3741" s="46" t="n">
        <x:f>B3741^2</x:f>
        <x:v>2.814619890233089</x:v>
      </x:c>
      <x:c r="D3741" s="47" t="n">
        <x:f>'Datos'!$B$26^3/3</x:f>
        <x:v>0.3333333333333333</x:v>
      </x:c>
      <x:c r="E3741" s="46" t="n">
        <x:f>D3741*(C3741-1)</x:f>
        <x:v>0.604873296744363</x:v>
      </x:c>
      <x:c r="F3741" s="2"/>
      <x:c r="G3741" s="2"/>
      <x:c r="H3741" s="2"/>
    </x:row>
    <x:row r="3742" ht="22" customHeight="1">
      <x:c r="A3742" s="2" t="n">
        <x:v>3736</x:v>
      </x:c>
      <x:c r="B3742" s="79" t="n">
        <x:v>-0.3282945469346204</x:v>
      </x:c>
      <x:c r="C3742" s="46" t="n">
        <x:f>B3742^2</x:f>
        <x:v>0.10777730954700768</x:v>
      </x:c>
      <x:c r="D3742" s="47" t="n">
        <x:f>'Datos'!$B$26^3/3</x:f>
        <x:v>0.3333333333333333</x:v>
      </x:c>
      <x:c r="E3742" s="46" t="n">
        <x:f>D3742*(C3742-1)</x:f>
        <x:v>-0.29740756348433073</x:v>
      </x:c>
      <x:c r="F3742" s="2"/>
      <x:c r="G3742" s="2"/>
      <x:c r="H3742" s="2"/>
    </x:row>
    <x:row r="3743" ht="22" customHeight="1">
      <x:c r="A3743" s="2" t="n">
        <x:v>3737</x:v>
      </x:c>
      <x:c r="B3743" s="79" t="n">
        <x:v>0.1999084603681258</x:v>
      </x:c>
      <x:c r="C3743" s="46" t="n">
        <x:f>B3743^2</x:f>
        <x:v>0.03996339252675452</x:v>
      </x:c>
      <x:c r="D3743" s="47" t="n">
        <x:f>'Datos'!$B$26^3/3</x:f>
        <x:v>0.3333333333333333</x:v>
      </x:c>
      <x:c r="E3743" s="46" t="n">
        <x:f>D3743*(C3743-1)</x:f>
        <x:v>-0.3200122024910818</x:v>
      </x:c>
      <x:c r="F3743" s="2"/>
      <x:c r="G3743" s="2"/>
      <x:c r="H3743" s="2"/>
    </x:row>
    <x:row r="3744" ht="22" customHeight="1">
      <x:c r="A3744" s="2" t="n">
        <x:v>3738</x:v>
      </x:c>
      <x:c r="B3744" s="79" t="n">
        <x:v>0.3474808860211339</x:v>
      </x:c>
      <x:c r="C3744" s="46" t="n">
        <x:f>B3744^2</x:f>
        <x:v>0.12074296615003226</x:v>
      </x:c>
      <x:c r="D3744" s="47" t="n">
        <x:f>'Datos'!$B$26^3/3</x:f>
        <x:v>0.3333333333333333</x:v>
      </x:c>
      <x:c r="E3744" s="46" t="n">
        <x:f>D3744*(C3744-1)</x:f>
        <x:v>-0.29308567794998924</x:v>
      </x:c>
      <x:c r="F3744" s="2"/>
      <x:c r="G3744" s="2"/>
      <x:c r="H3744" s="2"/>
    </x:row>
    <x:row r="3745" ht="22" customHeight="1">
      <x:c r="A3745" s="2" t="n">
        <x:v>3739</x:v>
      </x:c>
      <x:c r="B3745" s="79" t="n">
        <x:v>2.010892962046619</x:v>
      </x:c>
      <x:c r="C3745" s="46" t="n">
        <x:f>B3745^2</x:f>
        <x:v>4.043690504808625</x:v>
      </x:c>
      <x:c r="D3745" s="47" t="n">
        <x:f>'Datos'!$B$26^3/3</x:f>
        <x:v>0.3333333333333333</x:v>
      </x:c>
      <x:c r="E3745" s="46" t="n">
        <x:f>D3745*(C3745-1)</x:f>
        <x:v>1.014563501602875</x:v>
      </x:c>
      <x:c r="F3745" s="2"/>
      <x:c r="G3745" s="2"/>
      <x:c r="H3745" s="2"/>
    </x:row>
    <x:row r="3746" ht="22" customHeight="1">
      <x:c r="A3746" s="2" t="n">
        <x:v>3740</x:v>
      </x:c>
      <x:c r="B3746" s="79" t="n">
        <x:v>-0.27530853680574247</x:v>
      </x:c>
      <x:c r="C3746" s="46" t="n">
        <x:f>B3746^2</x:f>
        <x:v>0.07579479043811885</x:v>
      </x:c>
      <x:c r="D3746" s="47" t="n">
        <x:f>'Datos'!$B$26^3/3</x:f>
        <x:v>0.3333333333333333</x:v>
      </x:c>
      <x:c r="E3746" s="46" t="n">
        <x:f>D3746*(C3746-1)</x:f>
        <x:v>-0.30806840318729367</x:v>
      </x:c>
      <x:c r="F3746" s="2"/>
      <x:c r="G3746" s="2"/>
      <x:c r="H3746" s="2"/>
    </x:row>
    <x:row r="3747" ht="22" customHeight="1">
      <x:c r="A3747" s="2" t="n">
        <x:v>3741</x:v>
      </x:c>
      <x:c r="B3747" s="79" t="n">
        <x:v>-0.72610825690443</x:v>
      </x:c>
      <x:c r="C3747" s="46" t="n">
        <x:f>B3747^2</x:f>
        <x:v>0.5272332007447897</x:v>
      </x:c>
      <x:c r="D3747" s="47" t="n">
        <x:f>'Datos'!$B$26^3/3</x:f>
        <x:v>0.3333333333333333</x:v>
      </x:c>
      <x:c r="E3747" s="46" t="n">
        <x:f>D3747*(C3747-1)</x:f>
        <x:v>-0.15758893308507008</x:v>
      </x:c>
      <x:c r="F3747" s="2"/>
      <x:c r="G3747" s="2"/>
      <x:c r="H3747" s="2"/>
    </x:row>
    <x:row r="3748" ht="22" customHeight="1">
      <x:c r="A3748" s="2" t="n">
        <x:v>3742</x:v>
      </x:c>
      <x:c r="B3748" s="79" t="n">
        <x:v>-2.4603686888620375</x:v>
      </x:c>
      <x:c r="C3748" s="46" t="n">
        <x:f>B3748^2</x:f>
        <x:v>6.053414085132702</x:v>
      </x:c>
      <x:c r="D3748" s="47" t="n">
        <x:f>'Datos'!$B$26^3/3</x:f>
        <x:v>0.3333333333333333</x:v>
      </x:c>
      <x:c r="E3748" s="46" t="n">
        <x:f>D3748*(C3748-1)</x:f>
        <x:v>1.6844713617109006</x:v>
      </x:c>
      <x:c r="F3748" s="2"/>
      <x:c r="G3748" s="2"/>
      <x:c r="H3748" s="2"/>
    </x:row>
    <x:row r="3749" ht="22" customHeight="1">
      <x:c r="A3749" s="2" t="n">
        <x:v>3743</x:v>
      </x:c>
      <x:c r="B3749" s="79" t="n">
        <x:v>0.32304039953878183</x:v>
      </x:c>
      <x:c r="C3749" s="46" t="n">
        <x:f>B3749^2</x:f>
        <x:v>0.1043550997341758</x:v>
      </x:c>
      <x:c r="D3749" s="47" t="n">
        <x:f>'Datos'!$B$26^3/3</x:f>
        <x:v>0.3333333333333333</x:v>
      </x:c>
      <x:c r="E3749" s="46" t="n">
        <x:f>D3749*(C3749-1)</x:f>
        <x:v>-0.29854830008860805</x:v>
      </x:c>
      <x:c r="F3749" s="2"/>
      <x:c r="G3749" s="2"/>
      <x:c r="H3749" s="2"/>
    </x:row>
    <x:row r="3750" ht="22" customHeight="1">
      <x:c r="A3750" s="2" t="n">
        <x:v>3744</x:v>
      </x:c>
      <x:c r="B3750" s="79" t="n">
        <x:v>-0.9542810381799711</x:v>
      </x:c>
      <x:c r="C3750" s="46" t="n">
        <x:f>B3750^2</x:f>
        <x:v>0.9106522998298435</x:v>
      </x:c>
      <x:c r="D3750" s="47" t="n">
        <x:f>'Datos'!$B$26^3/3</x:f>
        <x:v>0.3333333333333333</x:v>
      </x:c>
      <x:c r="E3750" s="46" t="n">
        <x:f>D3750*(C3750-1)</x:f>
        <x:v>-0.02978256672338549</x:v>
      </x:c>
      <x:c r="F3750" s="2"/>
      <x:c r="G3750" s="2"/>
      <x:c r="H3750" s="2"/>
    </x:row>
    <x:row r="3751" ht="22" customHeight="1">
      <x:c r="A3751" s="2" t="n">
        <x:v>3745</x:v>
      </x:c>
      <x:c r="B3751" s="79" t="n">
        <x:v>0.06373819390279566</x:v>
      </x:c>
      <x:c r="C3751" s="46" t="n">
        <x:f>B3751^2</x:f>
        <x:v>0.004062557361990377</x:v>
      </x:c>
      <x:c r="D3751" s="47" t="n">
        <x:f>'Datos'!$B$26^3/3</x:f>
        <x:v>0.3333333333333333</x:v>
      </x:c>
      <x:c r="E3751" s="46" t="n">
        <x:f>D3751*(C3751-1)</x:f>
        <x:v>-0.3319791475460032</x:v>
      </x:c>
      <x:c r="F3751" s="2"/>
      <x:c r="G3751" s="2"/>
      <x:c r="H3751" s="2"/>
    </x:row>
    <x:row r="3752" ht="22" customHeight="1">
      <x:c r="A3752" s="2" t="n">
        <x:v>3746</x:v>
      </x:c>
      <x:c r="B3752" s="79" t="n">
        <x:v>0.14499834986316</x:v>
      </x:c>
      <x:c r="C3752" s="46" t="n">
        <x:f>B3752^2</x:f>
        <x:v>0.021024521463039347</x:v>
      </x:c>
      <x:c r="D3752" s="47" t="n">
        <x:f>'Datos'!$B$26^3/3</x:f>
        <x:v>0.3333333333333333</x:v>
      </x:c>
      <x:c r="E3752" s="46" t="n">
        <x:f>D3752*(C3752-1)</x:f>
        <x:v>-0.3263251595123202</x:v>
      </x:c>
      <x:c r="F3752" s="2"/>
      <x:c r="G3752" s="2"/>
      <x:c r="H3752" s="2"/>
    </x:row>
    <x:row r="3753" ht="22" customHeight="1">
      <x:c r="A3753" s="2" t="n">
        <x:v>3747</x:v>
      </x:c>
      <x:c r="B3753" s="79" t="n">
        <x:v>-1.3425597195867698</x:v>
      </x:c>
      <x:c r="C3753" s="46" t="n">
        <x:f>B3753^2</x:f>
        <x:v>1.802466600656906</x:v>
      </x:c>
      <x:c r="D3753" s="47" t="n">
        <x:f>'Datos'!$B$26^3/3</x:f>
        <x:v>0.3333333333333333</x:v>
      </x:c>
      <x:c r="E3753" s="46" t="n">
        <x:f>D3753*(C3753-1)</x:f>
        <x:v>0.2674888668856353</x:v>
      </x:c>
      <x:c r="F3753" s="2"/>
      <x:c r="G3753" s="2"/>
      <x:c r="H3753" s="2"/>
    </x:row>
    <x:row r="3754" ht="22" customHeight="1">
      <x:c r="A3754" s="2" t="n">
        <x:v>3748</x:v>
      </x:c>
      <x:c r="B3754" s="79" t="n">
        <x:v>0.2634827959327172</x:v>
      </x:c>
      <x:c r="C3754" s="46" t="n">
        <x:f>B3754^2</x:f>
        <x:v>0.06942318375252188</x:v>
      </x:c>
      <x:c r="D3754" s="47" t="n">
        <x:f>'Datos'!$B$26^3/3</x:f>
        <x:v>0.3333333333333333</x:v>
      </x:c>
      <x:c r="E3754" s="46" t="n">
        <x:f>D3754*(C3754-1)</x:f>
        <x:v>-0.31019227208249267</x:v>
      </x:c>
      <x:c r="F3754" s="2"/>
      <x:c r="G3754" s="2"/>
      <x:c r="H3754" s="2"/>
    </x:row>
    <x:row r="3755" ht="22" customHeight="1">
      <x:c r="A3755" s="2" t="n">
        <x:v>3749</x:v>
      </x:c>
      <x:c r="B3755" s="79" t="n">
        <x:v>0.4408937201519049</x:v>
      </x:c>
      <x:c r="C3755" s="46" t="n">
        <x:f>B3755^2</x:f>
        <x:v>0.19438727246938625</x:v>
      </x:c>
      <x:c r="D3755" s="47" t="n">
        <x:f>'Datos'!$B$26^3/3</x:f>
        <x:v>0.3333333333333333</x:v>
      </x:c>
      <x:c r="E3755" s="46" t="n">
        <x:f>D3755*(C3755-1)</x:f>
        <x:v>-0.2685375758435379</x:v>
      </x:c>
      <x:c r="F3755" s="2"/>
      <x:c r="G3755" s="2"/>
      <x:c r="H3755" s="2"/>
    </x:row>
    <x:row r="3756" ht="22" customHeight="1">
      <x:c r="A3756" s="2" t="n">
        <x:v>3750</x:v>
      </x:c>
      <x:c r="B3756" s="79" t="n">
        <x:v>-1.58634773863792</x:v>
      </x:c>
      <x:c r="C3756" s="46" t="n">
        <x:f>B3756^2</x:f>
        <x:v>2.516499147881642</x:v>
      </x:c>
      <x:c r="D3756" s="47" t="n">
        <x:f>'Datos'!$B$26^3/3</x:f>
        <x:v>0.3333333333333333</x:v>
      </x:c>
      <x:c r="E3756" s="46" t="n">
        <x:f>D3756*(C3756-1)</x:f>
        <x:v>0.5054997159605473</x:v>
      </x:c>
      <x:c r="F3756" s="2"/>
      <x:c r="G3756" s="2"/>
      <x:c r="H3756" s="2"/>
    </x:row>
    <x:row r="3757" ht="22" customHeight="1">
      <x:c r="A3757" s="2" t="n">
        <x:v>3751</x:v>
      </x:c>
      <x:c r="B3757" s="79" t="n">
        <x:v>-0.6185802417326178</x:v>
      </x:c>
      <x:c r="C3757" s="46" t="n">
        <x:f>B3757^2</x:f>
        <x:v>0.3826415154619839</x:v>
      </x:c>
      <x:c r="D3757" s="47" t="n">
        <x:f>'Datos'!$B$26^3/3</x:f>
        <x:v>0.3333333333333333</x:v>
      </x:c>
      <x:c r="E3757" s="46" t="n">
        <x:f>D3757*(C3757-1)</x:f>
        <x:v>-0.20578616151267204</x:v>
      </x:c>
      <x:c r="F3757" s="2"/>
      <x:c r="G3757" s="2"/>
      <x:c r="H3757" s="2"/>
    </x:row>
    <x:row r="3758" ht="22" customHeight="1">
      <x:c r="A3758" s="2" t="n">
        <x:v>3752</x:v>
      </x:c>
      <x:c r="B3758" s="79" t="n">
        <x:v>-0.4216749933677964</x:v>
      </x:c>
      <x:c r="C3758" s="46" t="n">
        <x:f>B3758^2</x:f>
        <x:v>0.17780980003173114</x:v>
      </x:c>
      <x:c r="D3758" s="47" t="n">
        <x:f>'Datos'!$B$26^3/3</x:f>
        <x:v>0.3333333333333333</x:v>
      </x:c>
      <x:c r="E3758" s="46" t="n">
        <x:f>D3758*(C3758-1)</x:f>
        <x:v>-0.2740633999894229</x:v>
      </x:c>
      <x:c r="F3758" s="2"/>
      <x:c r="G3758" s="2"/>
      <x:c r="H3758" s="2"/>
    </x:row>
    <x:row r="3759" ht="22" customHeight="1">
      <x:c r="A3759" s="2" t="n">
        <x:v>3753</x:v>
      </x:c>
      <x:c r="B3759" s="79" t="n">
        <x:v>-0.4267107288620321</x:v>
      </x:c>
      <x:c r="C3759" s="46" t="n">
        <x:f>B3759^2</x:f>
        <x:v>0.18208204612596668</x:v>
      </x:c>
      <x:c r="D3759" s="47" t="n">
        <x:f>'Datos'!$B$26^3/3</x:f>
        <x:v>0.3333333333333333</x:v>
      </x:c>
      <x:c r="E3759" s="46" t="n">
        <x:f>D3759*(C3759-1)</x:f>
        <x:v>-0.2726393179580111</x:v>
      </x:c>
      <x:c r="F3759" s="2"/>
      <x:c r="G3759" s="2"/>
      <x:c r="H3759" s="2"/>
    </x:row>
    <x:row r="3760" ht="22" customHeight="1">
      <x:c r="A3760" s="2" t="n">
        <x:v>3754</x:v>
      </x:c>
      <x:c r="B3760" s="79" t="n">
        <x:v>-0.25141789100886663</x:v>
      </x:c>
      <x:c r="C3760" s="46" t="n">
        <x:f>B3760^2</x:f>
        <x:v>0.06321095591934635</x:v>
      </x:c>
      <x:c r="D3760" s="47" t="n">
        <x:f>'Datos'!$B$26^3/3</x:f>
        <x:v>0.3333333333333333</x:v>
      </x:c>
      <x:c r="E3760" s="46" t="n">
        <x:f>D3760*(C3760-1)</x:f>
        <x:v>-0.3122630146935512</x:v>
      </x:c>
      <x:c r="F3760" s="2"/>
      <x:c r="G3760" s="2"/>
      <x:c r="H3760" s="2"/>
    </x:row>
    <x:row r="3761" ht="22" customHeight="1">
      <x:c r="A3761" s="2" t="n">
        <x:v>3755</x:v>
      </x:c>
      <x:c r="B3761" s="79" t="n">
        <x:v>-1.6057362645514537</x:v>
      </x:c>
      <x:c r="C3761" s="46" t="n">
        <x:f>B3761^2</x:f>
        <x:v>2.578388951295656</x:v>
      </x:c>
      <x:c r="D3761" s="47" t="n">
        <x:f>'Datos'!$B$26^3/3</x:f>
        <x:v>0.3333333333333333</x:v>
      </x:c>
      <x:c r="E3761" s="46" t="n">
        <x:f>D3761*(C3761-1)</x:f>
        <x:v>0.5261296504318853</x:v>
      </x:c>
      <x:c r="F3761" s="2"/>
      <x:c r="G3761" s="2"/>
      <x:c r="H3761" s="2"/>
    </x:row>
    <x:row r="3762" ht="22" customHeight="1">
      <x:c r="A3762" s="2" t="n">
        <x:v>3756</x:v>
      </x:c>
      <x:c r="B3762" s="79" t="n">
        <x:v>0.3302292089685419</x:v>
      </x:c>
      <x:c r="C3762" s="46" t="n">
        <x:f>B3762^2</x:f>
        <x:v>0.10905133045598892</x:v>
      </x:c>
      <x:c r="D3762" s="47" t="n">
        <x:f>'Datos'!$B$26^3/3</x:f>
        <x:v>0.3333333333333333</x:v>
      </x:c>
      <x:c r="E3762" s="46" t="n">
        <x:f>D3762*(C3762-1)</x:f>
        <x:v>-0.2969828898480037</x:v>
      </x:c>
      <x:c r="F3762" s="2"/>
      <x:c r="G3762" s="2"/>
      <x:c r="H3762" s="2"/>
    </x:row>
    <x:row r="3763" ht="22" customHeight="1">
      <x:c r="A3763" s="2" t="n">
        <x:v>3757</x:v>
      </x:c>
      <x:c r="B3763" s="79" t="n">
        <x:v>0.8056033810432824</x:v>
      </x:c>
      <x:c r="C3763" s="46" t="n">
        <x:f>B3763^2</x:f>
        <x:v>0.6489968075483681</x:v>
      </x:c>
      <x:c r="D3763" s="47" t="n">
        <x:f>'Datos'!$B$26^3/3</x:f>
        <x:v>0.3333333333333333</x:v>
      </x:c>
      <x:c r="E3763" s="46" t="n">
        <x:f>D3763*(C3763-1)</x:f>
        <x:v>-0.11700106415054397</x:v>
      </x:c>
      <x:c r="F3763" s="2"/>
      <x:c r="G3763" s="2"/>
      <x:c r="H3763" s="2"/>
    </x:row>
    <x:row r="3764" ht="22" customHeight="1">
      <x:c r="A3764" s="2" t="n">
        <x:v>3758</x:v>
      </x:c>
      <x:c r="B3764" s="79" t="n">
        <x:v>2.2396472470033304</x:v>
      </x:c>
      <x:c r="C3764" s="46" t="n">
        <x:f>B3764^2</x:f>
        <x:v>5.0160197910095965</x:v>
      </x:c>
      <x:c r="D3764" s="47" t="n">
        <x:f>'Datos'!$B$26^3/3</x:f>
        <x:v>0.3333333333333333</x:v>
      </x:c>
      <x:c r="E3764" s="46" t="n">
        <x:f>D3764*(C3764-1)</x:f>
        <x:v>1.3386732636698655</x:v>
      </x:c>
      <x:c r="F3764" s="2"/>
      <x:c r="G3764" s="2"/>
      <x:c r="H3764" s="2"/>
    </x:row>
    <x:row r="3765" ht="22" customHeight="1">
      <x:c r="A3765" s="2" t="n">
        <x:v>3759</x:v>
      </x:c>
      <x:c r="B3765" s="79" t="n">
        <x:v>1.8548196926909746</x:v>
      </x:c>
      <x:c r="C3765" s="46" t="n">
        <x:f>B3765^2</x:f>
        <x:v>3.4403560923942416</x:v>
      </x:c>
      <x:c r="D3765" s="47" t="n">
        <x:f>'Datos'!$B$26^3/3</x:f>
        <x:v>0.3333333333333333</x:v>
      </x:c>
      <x:c r="E3765" s="46" t="n">
        <x:f>D3765*(C3765-1)</x:f>
        <x:v>0.8134520307980805</x:v>
      </x:c>
      <x:c r="F3765" s="2"/>
      <x:c r="G3765" s="2"/>
      <x:c r="H3765" s="2"/>
    </x:row>
    <x:row r="3766" ht="22" customHeight="1">
      <x:c r="A3766" s="2" t="n">
        <x:v>3760</x:v>
      </x:c>
      <x:c r="B3766" s="79" t="n">
        <x:v>1.6477083389164275</x:v>
      </x:c>
      <x:c r="C3766" s="46" t="n">
        <x:f>B3766^2</x:f>
        <x:v>2.7149427701347326</x:v>
      </x:c>
      <x:c r="D3766" s="47" t="n">
        <x:f>'Datos'!$B$26^3/3</x:f>
        <x:v>0.3333333333333333</x:v>
      </x:c>
      <x:c r="E3766" s="46" t="n">
        <x:f>D3766*(C3766-1)</x:f>
        <x:v>0.5716475900449108</x:v>
      </x:c>
      <x:c r="F3766" s="2"/>
      <x:c r="G3766" s="2"/>
      <x:c r="H3766" s="2"/>
    </x:row>
    <x:row r="3767" ht="22" customHeight="1">
      <x:c r="A3767" s="2" t="n">
        <x:v>3761</x:v>
      </x:c>
      <x:c r="B3767" s="79" t="n">
        <x:v>0.7546470607528639</x:v>
      </x:c>
      <x:c r="C3767" s="46" t="n">
        <x:f>B3767^2</x:f>
        <x:v>0.5694921863029366</x:v>
      </x:c>
      <x:c r="D3767" s="47" t="n">
        <x:f>'Datos'!$B$26^3/3</x:f>
        <x:v>0.3333333333333333</x:v>
      </x:c>
      <x:c r="E3767" s="46" t="n">
        <x:f>D3767*(C3767-1)</x:f>
        <x:v>-0.14350260456568778</x:v>
      </x:c>
      <x:c r="F3767" s="2"/>
      <x:c r="G3767" s="2"/>
      <x:c r="H3767" s="2"/>
    </x:row>
    <x:row r="3768" ht="22" customHeight="1">
      <x:c r="A3768" s="2" t="n">
        <x:v>3762</x:v>
      </x:c>
      <x:c r="B3768" s="79" t="n">
        <x:v>0.6767822338785778</x:v>
      </x:c>
      <x:c r="C3768" s="46" t="n">
        <x:f>B3768^2</x:f>
        <x:v>0.458034192093678</x:v>
      </x:c>
      <x:c r="D3768" s="47" t="n">
        <x:f>'Datos'!$B$26^3/3</x:f>
        <x:v>0.3333333333333333</x:v>
      </x:c>
      <x:c r="E3768" s="46" t="n">
        <x:f>D3768*(C3768-1)</x:f>
        <x:v>-0.18065526930210732</x:v>
      </x:c>
      <x:c r="F3768" s="2"/>
      <x:c r="G3768" s="2"/>
      <x:c r="H3768" s="2"/>
    </x:row>
    <x:row r="3769" ht="22" customHeight="1">
      <x:c r="A3769" s="2" t="n">
        <x:v>3763</x:v>
      </x:c>
      <x:c r="B3769" s="79" t="n">
        <x:v>1.2801968815525309</x:v>
      </x:c>
      <x:c r="C3769" s="46" t="n">
        <x:f>B3769^2</x:f>
        <x:v>1.6389040555368248</x:v>
      </x:c>
      <x:c r="D3769" s="47" t="n">
        <x:f>'Datos'!$B$26^3/3</x:f>
        <x:v>0.3333333333333333</x:v>
      </x:c>
      <x:c r="E3769" s="46" t="n">
        <x:f>D3769*(C3769-1)</x:f>
        <x:v>0.21296801851227493</x:v>
      </x:c>
      <x:c r="F3769" s="2"/>
      <x:c r="G3769" s="2"/>
      <x:c r="H3769" s="2"/>
    </x:row>
    <x:row r="3770" ht="22" customHeight="1">
      <x:c r="A3770" s="2" t="n">
        <x:v>3764</x:v>
      </x:c>
      <x:c r="B3770" s="79" t="n">
        <x:v>-0.14099536150590936</x:v>
      </x:c>
      <x:c r="C3770" s="46" t="n">
        <x:f>B3770^2</x:f>
        <x:v>0.019879691966182066</x:v>
      </x:c>
      <x:c r="D3770" s="47" t="n">
        <x:f>'Datos'!$B$26^3/3</x:f>
        <x:v>0.3333333333333333</x:v>
      </x:c>
      <x:c r="E3770" s="46" t="n">
        <x:f>D3770*(C3770-1)</x:f>
        <x:v>-0.32670676934460596</x:v>
      </x:c>
      <x:c r="F3770" s="2"/>
      <x:c r="G3770" s="2"/>
      <x:c r="H3770" s="2"/>
    </x:row>
    <x:row r="3771" ht="22" customHeight="1">
      <x:c r="A3771" s="2" t="n">
        <x:v>3765</x:v>
      </x:c>
      <x:c r="B3771" s="79" t="n">
        <x:v>-1.4548196567295042</x:v>
      </x:c>
      <x:c r="C3771" s="46" t="n">
        <x:f>B3771^2</x:f>
        <x:v>2.1165002336065526</x:v>
      </x:c>
      <x:c r="D3771" s="47" t="n">
        <x:f>'Datos'!$B$26^3/3</x:f>
        <x:v>0.3333333333333333</x:v>
      </x:c>
      <x:c r="E3771" s="46" t="n">
        <x:f>D3771*(C3771-1)</x:f>
        <x:v>0.3721667445355175</x:v>
      </x:c>
      <x:c r="F3771" s="2"/>
      <x:c r="G3771" s="2"/>
      <x:c r="H3771" s="2"/>
    </x:row>
    <x:row r="3772" ht="22" customHeight="1">
      <x:c r="A3772" s="2" t="n">
        <x:v>3766</x:v>
      </x:c>
      <x:c r="B3772" s="79" t="n">
        <x:v>0.5878028686287298</x:v>
      </x:c>
      <x:c r="C3772" s="46" t="n">
        <x:f>B3772^2</x:f>
        <x:v>0.34551221236816376</x:v>
      </x:c>
      <x:c r="D3772" s="47" t="n">
        <x:f>'Datos'!$B$26^3/3</x:f>
        <x:v>0.3333333333333333</x:v>
      </x:c>
      <x:c r="E3772" s="46" t="n">
        <x:f>D3772*(C3772-1)</x:f>
        <x:v>-0.21816259587727874</x:v>
      </x:c>
      <x:c r="F3772" s="2"/>
      <x:c r="G3772" s="2"/>
      <x:c r="H3772" s="2"/>
    </x:row>
    <x:row r="3773" ht="22" customHeight="1">
      <x:c r="A3773" s="2" t="n">
        <x:v>3767</x:v>
      </x:c>
      <x:c r="B3773" s="79" t="n">
        <x:v>1.0787446173031947</x:v>
      </x:c>
      <x:c r="C3773" s="46" t="n">
        <x:f>B3773^2</x:f>
        <x:v>1.163689949360616</x:v>
      </x:c>
      <x:c r="D3773" s="47" t="n">
        <x:f>'Datos'!$B$26^3/3</x:f>
        <x:v>0.3333333333333333</x:v>
      </x:c>
      <x:c r="E3773" s="46" t="n">
        <x:f>D3773*(C3773-1)</x:f>
        <x:v>0.05456331645353869</x:v>
      </x:c>
      <x:c r="F3773" s="2"/>
      <x:c r="G3773" s="2"/>
      <x:c r="H3773" s="2"/>
    </x:row>
    <x:row r="3774" ht="22" customHeight="1">
      <x:c r="A3774" s="2" t="n">
        <x:v>3768</x:v>
      </x:c>
      <x:c r="B3774" s="79" t="n">
        <x:v>-0.9662067785808361</x:v>
      </x:c>
      <x:c r="C3774" s="46" t="n">
        <x:f>B3774^2</x:f>
        <x:v>0.9335555389755569</x:v>
      </x:c>
      <x:c r="D3774" s="47" t="n">
        <x:f>'Datos'!$B$26^3/3</x:f>
        <x:v>0.3333333333333333</x:v>
      </x:c>
      <x:c r="E3774" s="46" t="n">
        <x:f>D3774*(C3774-1)</x:f>
        <x:v>-0.022148153674814375</x:v>
      </x:c>
      <x:c r="F3774" s="2"/>
      <x:c r="G3774" s="2"/>
      <x:c r="H3774" s="2"/>
    </x:row>
    <x:row r="3775" ht="22" customHeight="1">
      <x:c r="A3775" s="2" t="n">
        <x:v>3769</x:v>
      </x:c>
      <x:c r="B3775" s="79" t="n">
        <x:v>-1.3047930090789912</x:v>
      </x:c>
      <x:c r="C3775" s="46" t="n">
        <x:f>B3775^2</x:f>
        <x:v>1.7024847965414085</x:v>
      </x:c>
      <x:c r="D3775" s="47" t="n">
        <x:f>'Datos'!$B$26^3/3</x:f>
        <x:v>0.3333333333333333</x:v>
      </x:c>
      <x:c r="E3775" s="46" t="n">
        <x:f>D3775*(C3775-1)</x:f>
        <x:v>0.23416159884713617</x:v>
      </x:c>
      <x:c r="F3775" s="2"/>
      <x:c r="G3775" s="2"/>
      <x:c r="H3775" s="2"/>
    </x:row>
    <x:row r="3776" ht="22" customHeight="1">
      <x:c r="A3776" s="2" t="n">
        <x:v>3770</x:v>
      </x:c>
      <x:c r="B3776" s="79" t="n">
        <x:v>1.0129663920362206</x:v>
      </x:c>
      <x:c r="C3776" s="46" t="n">
        <x:f>B3776^2</x:f>
        <x:v>1.0261009113948782</x:v>
      </x:c>
      <x:c r="D3776" s="47" t="n">
        <x:f>'Datos'!$B$26^3/3</x:f>
        <x:v>0.3333333333333333</x:v>
      </x:c>
      <x:c r="E3776" s="46" t="n">
        <x:f>D3776*(C3776-1)</x:f>
        <x:v>0.008700303798292747</x:v>
      </x:c>
      <x:c r="F3776" s="2"/>
      <x:c r="G3776" s="2"/>
      <x:c r="H3776" s="2"/>
    </x:row>
    <x:row r="3777" ht="22" customHeight="1">
      <x:c r="A3777" s="2" t="n">
        <x:v>3771</x:v>
      </x:c>
      <x:c r="B3777" s="79" t="n">
        <x:v>0.29973008082756697</x:v>
      </x:c>
      <x:c r="C3777" s="46" t="n">
        <x:f>B3777^2</x:f>
        <x:v>0.08983812135289983</x:v>
      </x:c>
      <x:c r="D3777" s="47" t="n">
        <x:f>'Datos'!$B$26^3/3</x:f>
        <x:v>0.3333333333333333</x:v>
      </x:c>
      <x:c r="E3777" s="46" t="n">
        <x:f>D3777*(C3777-1)</x:f>
        <x:v>-0.3033872928823667</x:v>
      </x:c>
      <x:c r="F3777" s="2"/>
      <x:c r="G3777" s="2"/>
      <x:c r="H3777" s="2"/>
    </x:row>
    <x:row r="3778" ht="22" customHeight="1">
      <x:c r="A3778" s="2" t="n">
        <x:v>3772</x:v>
      </x:c>
      <x:c r="B3778" s="79" t="n">
        <x:v>0.24625580760346705</x:v>
      </x:c>
      <x:c r="C3778" s="46" t="n">
        <x:f>B3778^2</x:f>
        <x:v>0.06064192277843578</x:v>
      </x:c>
      <x:c r="D3778" s="47" t="n">
        <x:f>'Datos'!$B$26^3/3</x:f>
        <x:v>0.3333333333333333</x:v>
      </x:c>
      <x:c r="E3778" s="46" t="n">
        <x:f>D3778*(C3778-1)</x:f>
        <x:v>-0.3131193590738547</x:v>
      </x:c>
      <x:c r="F3778" s="2"/>
      <x:c r="G3778" s="2"/>
      <x:c r="H3778" s="2"/>
    </x:row>
    <x:row r="3779" ht="22" customHeight="1">
      <x:c r="A3779" s="2" t="n">
        <x:v>3773</x:v>
      </x:c>
      <x:c r="B3779" s="79" t="n">
        <x:v>1.5852611530150462</x:v>
      </x:c>
      <x:c r="C3779" s="46" t="n">
        <x:f>B3779^2</x:f>
        <x:v>2.5130529232585936</x:v>
      </x:c>
      <x:c r="D3779" s="47" t="n">
        <x:f>'Datos'!$B$26^3/3</x:f>
        <x:v>0.3333333333333333</x:v>
      </x:c>
      <x:c r="E3779" s="46" t="n">
        <x:f>D3779*(C3779-1)</x:f>
        <x:v>0.5043509744195311</x:v>
      </x:c>
      <x:c r="F3779" s="2"/>
      <x:c r="G3779" s="2"/>
      <x:c r="H3779" s="2"/>
    </x:row>
    <x:row r="3780" ht="22" customHeight="1">
      <x:c r="A3780" s="2" t="n">
        <x:v>3774</x:v>
      </x:c>
      <x:c r="B3780" s="79" t="n">
        <x:v>0.8015918659463794</x:v>
      </x:c>
      <x:c r="C3780" s="46" t="n">
        <x:f>B3780^2</x:f>
        <x:v>0.6425495195513984</x:v>
      </x:c>
      <x:c r="D3780" s="47" t="n">
        <x:f>'Datos'!$B$26^3/3</x:f>
        <x:v>0.3333333333333333</x:v>
      </x:c>
      <x:c r="E3780" s="46" t="n">
        <x:f>D3780*(C3780-1)</x:f>
        <x:v>-0.11915016014953386</x:v>
      </x:c>
      <x:c r="F3780" s="2"/>
      <x:c r="G3780" s="2"/>
      <x:c r="H3780" s="2"/>
    </x:row>
    <x:row r="3781" ht="22" customHeight="1">
      <x:c r="A3781" s="2" t="n">
        <x:v>3775</x:v>
      </x:c>
      <x:c r="B3781" s="79" t="n">
        <x:v>-0.5592046899257956</x:v>
      </x:c>
      <x:c r="C3781" s="46" t="n">
        <x:f>B3781^2</x:f>
        <x:v>0.31270988523500526</x:v>
      </x:c>
      <x:c r="D3781" s="47" t="n">
        <x:f>'Datos'!$B$26^3/3</x:f>
        <x:v>0.3333333333333333</x:v>
      </x:c>
      <x:c r="E3781" s="46" t="n">
        <x:f>D3781*(C3781-1)</x:f>
        <x:v>-0.22909670492166492</x:v>
      </x:c>
      <x:c r="F3781" s="2"/>
      <x:c r="G3781" s="2"/>
      <x:c r="H3781" s="2"/>
    </x:row>
    <x:row r="3782" ht="22" customHeight="1">
      <x:c r="A3782" s="2" t="n">
        <x:v>3776</x:v>
      </x:c>
      <x:c r="B3782" s="79" t="n">
        <x:v>-0.8449946363166515</x:v>
      </x:c>
      <x:c r="C3782" s="46" t="n">
        <x:f>B3782^2</x:f>
        <x:v>0.7140159354039102</x:v>
      </x:c>
      <x:c r="D3782" s="47" t="n">
        <x:f>'Datos'!$B$26^3/3</x:f>
        <x:v>0.3333333333333333</x:v>
      </x:c>
      <x:c r="E3782" s="46" t="n">
        <x:f>D3782*(C3782-1)</x:f>
        <x:v>-0.09532802153202993</x:v>
      </x:c>
      <x:c r="F3782" s="2"/>
      <x:c r="G3782" s="2"/>
      <x:c r="H3782" s="2"/>
    </x:row>
    <x:row r="3783" ht="22" customHeight="1">
      <x:c r="A3783" s="2" t="n">
        <x:v>3777</x:v>
      </x:c>
      <x:c r="B3783" s="79" t="n">
        <x:v>0.4788249961879638</x:v>
      </x:c>
      <x:c r="C3783" s="46" t="n">
        <x:f>B3783^2</x:f>
        <x:v>0.22927337697440356</x:v>
      </x:c>
      <x:c r="D3783" s="47" t="n">
        <x:f>'Datos'!$B$26^3/3</x:f>
        <x:v>0.3333333333333333</x:v>
      </x:c>
      <x:c r="E3783" s="46" t="n">
        <x:f>D3783*(C3783-1)</x:f>
        <x:v>-0.2569088743418655</x:v>
      </x:c>
      <x:c r="F3783" s="2"/>
      <x:c r="G3783" s="2"/>
      <x:c r="H3783" s="2"/>
    </x:row>
    <x:row r="3784" ht="22" customHeight="1">
      <x:c r="A3784" s="2" t="n">
        <x:v>3778</x:v>
      </x:c>
      <x:c r="B3784" s="79" t="n">
        <x:v>-0.9199089439154746</x:v>
      </x:c>
      <x:c r="C3784" s="46" t="n">
        <x:f>B3784^2</x:f>
        <x:v>0.8462324650956838</x:v>
      </x:c>
      <x:c r="D3784" s="47" t="n">
        <x:f>'Datos'!$B$26^3/3</x:f>
        <x:v>0.3333333333333333</x:v>
      </x:c>
      <x:c r="E3784" s="46" t="n">
        <x:f>D3784*(C3784-1)</x:f>
        <x:v>-0.05125584496810538</x:v>
      </x:c>
      <x:c r="F3784" s="2"/>
      <x:c r="G3784" s="2"/>
      <x:c r="H3784" s="2"/>
    </x:row>
    <x:row r="3785" ht="22" customHeight="1">
      <x:c r="A3785" s="2" t="n">
        <x:v>3779</x:v>
      </x:c>
      <x:c r="B3785" s="79" t="n">
        <x:v>-0.8222092257531222</x:v>
      </x:c>
      <x:c r="C3785" s="46" t="n">
        <x:f>B3785^2</x:f>
        <x:v>0.6760280109135486</x:v>
      </x:c>
      <x:c r="D3785" s="47" t="n">
        <x:f>'Datos'!$B$26^3/3</x:f>
        <x:v>0.3333333333333333</x:v>
      </x:c>
      <x:c r="E3785" s="46" t="n">
        <x:f>D3785*(C3785-1)</x:f>
        <x:v>-0.10799066302881713</x:v>
      </x:c>
      <x:c r="F3785" s="2"/>
      <x:c r="G3785" s="2"/>
      <x:c r="H3785" s="2"/>
    </x:row>
    <x:row r="3786" ht="22" customHeight="1">
      <x:c r="A3786" s="2" t="n">
        <x:v>3780</x:v>
      </x:c>
      <x:c r="B3786" s="79" t="n">
        <x:v>-1.215991641989787</x:v>
      </x:c>
      <x:c r="C3786" s="46" t="n">
        <x:f>B3786^2</x:f>
        <x:v>1.4786356733890182</x:v>
      </x:c>
      <x:c r="D3786" s="47" t="n">
        <x:f>'Datos'!$B$26^3/3</x:f>
        <x:v>0.3333333333333333</x:v>
      </x:c>
      <x:c r="E3786" s="46" t="n">
        <x:f>D3786*(C3786-1)</x:f>
        <x:v>0.15954522446300606</x:v>
      </x:c>
      <x:c r="F3786" s="2"/>
      <x:c r="G3786" s="2"/>
      <x:c r="H3786" s="2"/>
    </x:row>
    <x:row r="3787" ht="22" customHeight="1">
      <x:c r="A3787" s="2" t="n">
        <x:v>3781</x:v>
      </x:c>
      <x:c r="B3787" s="79" t="n">
        <x:v>-1.6077182826387064</x:v>
      </x:c>
      <x:c r="C3787" s="46" t="n">
        <x:f>B3787^2</x:f>
        <x:v>2.5847580763307514</x:v>
      </x:c>
      <x:c r="D3787" s="47" t="n">
        <x:f>'Datos'!$B$26^3/3</x:f>
        <x:v>0.3333333333333333</x:v>
      </x:c>
      <x:c r="E3787" s="46" t="n">
        <x:f>D3787*(C3787-1)</x:f>
        <x:v>0.5282526921102504</x:v>
      </x:c>
      <x:c r="F3787" s="2"/>
      <x:c r="G3787" s="2"/>
      <x:c r="H3787" s="2"/>
    </x:row>
    <x:row r="3788" ht="22" customHeight="1">
      <x:c r="A3788" s="2" t="n">
        <x:v>3782</x:v>
      </x:c>
      <x:c r="B3788" s="79" t="n">
        <x:v>0.7957526341023463</x:v>
      </x:c>
      <x:c r="C3788" s="46" t="n">
        <x:f>B3788^2</x:f>
        <x:v>0.6332222546808226</x:v>
      </x:c>
      <x:c r="D3788" s="47" t="n">
        <x:f>'Datos'!$B$26^3/3</x:f>
        <x:v>0.3333333333333333</x:v>
      </x:c>
      <x:c r="E3788" s="46" t="n">
        <x:f>D3788*(C3788-1)</x:f>
        <x:v>-0.1222592484397258</x:v>
      </x:c>
      <x:c r="F3788" s="2"/>
      <x:c r="G3788" s="2"/>
      <x:c r="H3788" s="2"/>
    </x:row>
    <x:row r="3789" ht="22" customHeight="1">
      <x:c r="A3789" s="2" t="n">
        <x:v>3783</x:v>
      </x:c>
      <x:c r="B3789" s="79" t="n">
        <x:v>-1.0483843445208207</x:v>
      </x:c>
      <x:c r="C3789" s="46" t="n">
        <x:f>B3789^2</x:f>
        <x:v>1.099109733836351</x:v>
      </x:c>
      <x:c r="D3789" s="47" t="n">
        <x:f>'Datos'!$B$26^3/3</x:f>
        <x:v>0.3333333333333333</x:v>
      </x:c>
      <x:c r="E3789" s="46" t="n">
        <x:f>D3789*(C3789-1)</x:f>
        <x:v>0.0330365779454503</x:v>
      </x:c>
      <x:c r="F3789" s="2"/>
      <x:c r="G3789" s="2"/>
      <x:c r="H3789" s="2"/>
    </x:row>
    <x:row r="3790" ht="22" customHeight="1">
      <x:c r="A3790" s="2" t="n">
        <x:v>3784</x:v>
      </x:c>
      <x:c r="B3790" s="79" t="n">
        <x:v>-0.121206894866873</x:v>
      </x:c>
      <x:c r="C3790" s="46" t="n">
        <x:f>B3790^2</x:f>
        <x:v>0.014691111363269204</x:v>
      </x:c>
      <x:c r="D3790" s="47" t="n">
        <x:f>'Datos'!$B$26^3/3</x:f>
        <x:v>0.3333333333333333</x:v>
      </x:c>
      <x:c r="E3790" s="46" t="n">
        <x:f>D3790*(C3790-1)</x:f>
        <x:v>-0.3284362962122436</x:v>
      </x:c>
      <x:c r="F3790" s="2"/>
      <x:c r="G3790" s="2"/>
      <x:c r="H3790" s="2"/>
    </x:row>
    <x:row r="3791" ht="22" customHeight="1">
      <x:c r="A3791" s="2" t="n">
        <x:v>3785</x:v>
      </x:c>
      <x:c r="B3791" s="79" t="n">
        <x:v>1.350509649293906</x:v>
      </x:c>
      <x:c r="C3791" s="46" t="n">
        <x:f>B3791^2</x:f>
        <x:v>1.8238763128359488</x:v>
      </x:c>
      <x:c r="D3791" s="47" t="n">
        <x:f>'Datos'!$B$26^3/3</x:f>
        <x:v>0.3333333333333333</x:v>
      </x:c>
      <x:c r="E3791" s="46" t="n">
        <x:f>D3791*(C3791-1)</x:f>
        <x:v>0.2746254376119829</x:v>
      </x:c>
      <x:c r="F3791" s="2"/>
      <x:c r="G3791" s="2"/>
      <x:c r="H3791" s="2"/>
    </x:row>
    <x:row r="3792" ht="22" customHeight="1">
      <x:c r="A3792" s="2" t="n">
        <x:v>3786</x:v>
      </x:c>
      <x:c r="B3792" s="79" t="n">
        <x:v>-0.1631971953508981</x:v>
      </x:c>
      <x:c r="C3792" s="46" t="n">
        <x:f>B3792^2</x:f>
        <x:v>0.026633324570399197</x:v>
      </x:c>
      <x:c r="D3792" s="47" t="n">
        <x:f>'Datos'!$B$26^3/3</x:f>
        <x:v>0.3333333333333333</x:v>
      </x:c>
      <x:c r="E3792" s="46" t="n">
        <x:f>D3792*(C3792-1)</x:f>
        <x:v>-0.32445555847653357</x:v>
      </x:c>
      <x:c r="F3792" s="2"/>
      <x:c r="G3792" s="2"/>
      <x:c r="H3792" s="2"/>
    </x:row>
    <x:row r="3793" ht="22" customHeight="1">
      <x:c r="A3793" s="2" t="n">
        <x:v>3787</x:v>
      </x:c>
      <x:c r="B3793" s="79" t="n">
        <x:v>-0.5002881311117363</x:v>
      </x:c>
      <x:c r="C3793" s="46" t="n">
        <x:f>B3793^2</x:f>
        <x:v>0.2502882141312739</x:v>
      </x:c>
      <x:c r="D3793" s="47" t="n">
        <x:f>'Datos'!$B$26^3/3</x:f>
        <x:v>0.3333333333333333</x:v>
      </x:c>
      <x:c r="E3793" s="46" t="n">
        <x:f>D3793*(C3793-1)</x:f>
        <x:v>-0.2499039286229087</x:v>
      </x:c>
      <x:c r="F3793" s="2"/>
      <x:c r="G3793" s="2"/>
      <x:c r="H3793" s="2"/>
    </x:row>
    <x:row r="3794" ht="22" customHeight="1">
      <x:c r="A3794" s="2" t="n">
        <x:v>3788</x:v>
      </x:c>
      <x:c r="B3794" s="79" t="n">
        <x:v>-0.40470552364503587</x:v>
      </x:c>
      <x:c r="C3794" s="46" t="n">
        <x:f>B3794^2</x:f>
        <x:v>0.1637865608688027</x:v>
      </x:c>
      <x:c r="D3794" s="47" t="n">
        <x:f>'Datos'!$B$26^3/3</x:f>
        <x:v>0.3333333333333333</x:v>
      </x:c>
      <x:c r="E3794" s="46" t="n">
        <x:f>D3794*(C3794-1)</x:f>
        <x:v>-0.2787378130437324</x:v>
      </x:c>
      <x:c r="F3794" s="2"/>
      <x:c r="G3794" s="2"/>
      <x:c r="H3794" s="2"/>
    </x:row>
    <x:row r="3795" ht="22" customHeight="1">
      <x:c r="A3795" s="2" t="n">
        <x:v>3789</x:v>
      </x:c>
      <x:c r="B3795" s="79" t="n">
        <x:v>1.0021267430676983</x:v>
      </x:c>
      <x:c r="C3795" s="46" t="n">
        <x:f>B3795^2</x:f>
        <x:v>1.0042580091714726</x:v>
      </x:c>
      <x:c r="D3795" s="47" t="n">
        <x:f>'Datos'!$B$26^3/3</x:f>
        <x:v>0.3333333333333333</x:v>
      </x:c>
      <x:c r="E3795" s="46" t="n">
        <x:f>D3795*(C3795-1)</x:f>
        <x:v>0.0014193363904908551</x:v>
      </x:c>
      <x:c r="F3795" s="2"/>
      <x:c r="G3795" s="2"/>
      <x:c r="H3795" s="2"/>
    </x:row>
    <x:row r="3796" ht="22" customHeight="1">
      <x:c r="A3796" s="2" t="n">
        <x:v>3790</x:v>
      </x:c>
      <x:c r="B3796" s="79" t="n">
        <x:v>-1.6803270256711962</x:v>
      </x:c>
      <x:c r="C3796" s="46" t="n">
        <x:f>B3796^2</x:f>
        <x:v>2.823498913201009</x:v>
      </x:c>
      <x:c r="D3796" s="47" t="n">
        <x:f>'Datos'!$B$26^3/3</x:f>
        <x:v>0.3333333333333333</x:v>
      </x:c>
      <x:c r="E3796" s="46" t="n">
        <x:f>D3796*(C3796-1)</x:f>
        <x:v>0.607832971067003</x:v>
      </x:c>
      <x:c r="F3796" s="2"/>
      <x:c r="G3796" s="2"/>
      <x:c r="H3796" s="2"/>
    </x:row>
    <x:row r="3797" ht="22" customHeight="1">
      <x:c r="A3797" s="2" t="n">
        <x:v>3791</x:v>
      </x:c>
      <x:c r="B3797" s="79" t="n">
        <x:v>-1.2654308395327332</x:v>
      </x:c>
      <x:c r="C3797" s="46" t="n">
        <x:f>B3797^2</x:f>
        <x:v>1.6013152096405179</x:v>
      </x:c>
      <x:c r="D3797" s="47" t="n">
        <x:f>'Datos'!$B$26^3/3</x:f>
        <x:v>0.3333333333333333</x:v>
      </x:c>
      <x:c r="E3797" s="46" t="n">
        <x:f>D3797*(C3797-1)</x:f>
        <x:v>0.20043840321350595</x:v>
      </x:c>
      <x:c r="F3797" s="2"/>
      <x:c r="G3797" s="2"/>
      <x:c r="H3797" s="2"/>
    </x:row>
    <x:row r="3798" ht="22" customHeight="1">
      <x:c r="A3798" s="2" t="n">
        <x:v>3792</x:v>
      </x:c>
      <x:c r="B3798" s="79" t="n">
        <x:v>-0.9013200674368059</x:v>
      </x:c>
      <x:c r="C3798" s="46" t="n">
        <x:f>B3798^2</x:f>
        <x:v>0.8123778639642883</x:v>
      </x:c>
      <x:c r="D3798" s="47" t="n">
        <x:f>'Datos'!$B$26^3/3</x:f>
        <x:v>0.3333333333333333</x:v>
      </x:c>
      <x:c r="E3798" s="46" t="n">
        <x:f>D3798*(C3798-1)</x:f>
        <x:v>-0.06254071201190388</x:v>
      </x:c>
      <x:c r="F3798" s="2"/>
      <x:c r="G3798" s="2"/>
      <x:c r="H3798" s="2"/>
    </x:row>
    <x:row r="3799" ht="22" customHeight="1">
      <x:c r="A3799" s="2" t="n">
        <x:v>3793</x:v>
      </x:c>
      <x:c r="B3799" s="79" t="n">
        <x:v>-1.749356942238942</x:v>
      </x:c>
      <x:c r="C3799" s="46" t="n">
        <x:f>B3799^2</x:f>
        <x:v>3.060249711359581</x:v>
      </x:c>
      <x:c r="D3799" s="47" t="n">
        <x:f>'Datos'!$B$26^3/3</x:f>
        <x:v>0.3333333333333333</x:v>
      </x:c>
      <x:c r="E3799" s="46" t="n">
        <x:f>D3799*(C3799-1)</x:f>
        <x:v>0.6867499037865269</x:v>
      </x:c>
      <x:c r="F3799" s="2"/>
      <x:c r="G3799" s="2"/>
      <x:c r="H3799" s="2"/>
    </x:row>
    <x:row r="3800" ht="22" customHeight="1">
      <x:c r="A3800" s="2" t="n">
        <x:v>3794</x:v>
      </x:c>
      <x:c r="B3800" s="79" t="n">
        <x:v>-0.008766987538089101</x:v>
      </x:c>
      <x:c r="C3800" s="46" t="n">
        <x:f>B3800^2</x:f>
        <x:v>0.0000768600704930096</x:v>
      </x:c>
      <x:c r="D3800" s="47" t="n">
        <x:f>'Datos'!$B$26^3/3</x:f>
        <x:v>0.3333333333333333</x:v>
      </x:c>
      <x:c r="E3800" s="46" t="n">
        <x:f>D3800*(C3800-1)</x:f>
        <x:v>-0.33330771330983566</x:v>
      </x:c>
      <x:c r="F3800" s="2"/>
      <x:c r="G3800" s="2"/>
      <x:c r="H3800" s="2"/>
    </x:row>
    <x:row r="3801" ht="22" customHeight="1">
      <x:c r="A3801" s="2" t="n">
        <x:v>3795</x:v>
      </x:c>
      <x:c r="B3801" s="79" t="n">
        <x:v>0.6431926549736726</x:v>
      </x:c>
      <x:c r="C3801" s="46" t="n">
        <x:f>B3801^2</x:f>
        <x:v>0.4136967914120819</x:v>
      </x:c>
      <x:c r="D3801" s="47" t="n">
        <x:f>'Datos'!$B$26^3/3</x:f>
        <x:v>0.3333333333333333</x:v>
      </x:c>
      <x:c r="E3801" s="46" t="n">
        <x:f>D3801*(C3801-1)</x:f>
        <x:v>-0.19543440286263936</x:v>
      </x:c>
      <x:c r="F3801" s="2"/>
      <x:c r="G3801" s="2"/>
      <x:c r="H3801" s="2"/>
    </x:row>
    <x:row r="3802" ht="22" customHeight="1">
      <x:c r="A3802" s="2" t="n">
        <x:v>3796</x:v>
      </x:c>
      <x:c r="B3802" s="79" t="n">
        <x:v>-0.3290119241900946</x:v>
      </x:c>
      <x:c r="C3802" s="46" t="n">
        <x:f>B3802^2</x:f>
        <x:v>0.10824884625926857</x:v>
      </x:c>
      <x:c r="D3802" s="47" t="n">
        <x:f>'Datos'!$B$26^3/3</x:f>
        <x:v>0.3333333333333333</x:v>
      </x:c>
      <x:c r="E3802" s="46" t="n">
        <x:f>D3802*(C3802-1)</x:f>
        <x:v>-0.2972503845802438</x:v>
      </x:c>
      <x:c r="F3802" s="2"/>
      <x:c r="G3802" s="2"/>
      <x:c r="H3802" s="2"/>
    </x:row>
    <x:row r="3803" ht="22" customHeight="1">
      <x:c r="A3803" s="2" t="n">
        <x:v>3797</x:v>
      </x:c>
      <x:c r="B3803" s="79" t="n">
        <x:v>-0.934460182451955</x:v>
      </x:c>
      <x:c r="C3803" s="46" t="n">
        <x:f>B3803^2</x:f>
        <x:v>0.873215832588141</x:v>
      </x:c>
      <x:c r="D3803" s="47" t="n">
        <x:f>'Datos'!$B$26^3/3</x:f>
        <x:v>0.3333333333333333</x:v>
      </x:c>
      <x:c r="E3803" s="46" t="n">
        <x:f>D3803*(C3803-1)</x:f>
        <x:v>-0.042261389137286345</x:v>
      </x:c>
      <x:c r="F3803" s="2"/>
      <x:c r="G3803" s="2"/>
      <x:c r="H3803" s="2"/>
    </x:row>
    <x:row r="3804" ht="22" customHeight="1">
      <x:c r="A3804" s="2" t="n">
        <x:v>3798</x:v>
      </x:c>
      <x:c r="B3804" s="79" t="n">
        <x:v>-0.9696785418953229</x:v>
      </x:c>
      <x:c r="C3804" s="46" t="n">
        <x:f>B3804^2</x:f>
        <x:v>0.9402764746122394</x:v>
      </x:c>
      <x:c r="D3804" s="47" t="n">
        <x:f>'Datos'!$B$26^3/3</x:f>
        <x:v>0.3333333333333333</x:v>
      </x:c>
      <x:c r="E3804" s="46" t="n">
        <x:f>D3804*(C3804-1)</x:f>
        <x:v>-0.0199078417959202</x:v>
      </x:c>
      <x:c r="F3804" s="2"/>
      <x:c r="G3804" s="2"/>
      <x:c r="H3804" s="2"/>
    </x:row>
    <x:row r="3805" ht="22" customHeight="1">
      <x:c r="A3805" s="2" t="n">
        <x:v>3799</x:v>
      </x:c>
      <x:c r="B3805" s="79" t="n">
        <x:v>-0.421876715668974</x:v>
      </x:c>
      <x:c r="C3805" s="46" t="n">
        <x:f>B3805^2</x:f>
        <x:v>0.17797996322364032</x:v>
      </x:c>
      <x:c r="D3805" s="47" t="n">
        <x:f>'Datos'!$B$26^3/3</x:f>
        <x:v>0.3333333333333333</x:v>
      </x:c>
      <x:c r="E3805" s="46" t="n">
        <x:f>D3805*(C3805-1)</x:f>
        <x:v>-0.2740066789254532</x:v>
      </x:c>
      <x:c r="F3805" s="2"/>
      <x:c r="G3805" s="2"/>
      <x:c r="H3805" s="2"/>
    </x:row>
    <x:row r="3806" ht="22" customHeight="1">
      <x:c r="A3806" s="2" t="n">
        <x:v>3800</x:v>
      </x:c>
      <x:c r="B3806" s="79" t="n">
        <x:v>0.3619169470588945</x:v>
      </x:c>
      <x:c r="C3806" s="46" t="n">
        <x:f>B3806^2</x:f>
        <x:v>0.13098387656843063</x:v>
      </x:c>
      <x:c r="D3806" s="47" t="n">
        <x:f>'Datos'!$B$26^3/3</x:f>
        <x:v>0.3333333333333333</x:v>
      </x:c>
      <x:c r="E3806" s="46" t="n">
        <x:f>D3806*(C3806-1)</x:f>
        <x:v>-0.2896720411438565</x:v>
      </x:c>
      <x:c r="F3806" s="2"/>
      <x:c r="G3806" s="2"/>
      <x:c r="H3806" s="2"/>
    </x:row>
    <x:row r="3807" ht="22" customHeight="1">
      <x:c r="A3807" s="2" t="n">
        <x:v>3801</x:v>
      </x:c>
      <x:c r="B3807" s="79" t="n">
        <x:v>-0.5050670814378682</x:v>
      </x:c>
      <x:c r="C3807" s="46" t="n">
        <x:f>B3807^2</x:f>
        <x:v>0.25509275675216614</x:v>
      </x:c>
      <x:c r="D3807" s="47" t="n">
        <x:f>'Datos'!$B$26^3/3</x:f>
        <x:v>0.3333333333333333</x:v>
      </x:c>
      <x:c r="E3807" s="46" t="n">
        <x:f>D3807*(C3807-1)</x:f>
        <x:v>-0.2483024144159446</x:v>
      </x:c>
      <x:c r="F3807" s="2"/>
      <x:c r="G3807" s="2"/>
      <x:c r="H3807" s="2"/>
    </x:row>
    <x:row r="3808" ht="22" customHeight="1">
      <x:c r="A3808" s="2" t="n">
        <x:v>3802</x:v>
      </x:c>
      <x:c r="B3808" s="79" t="n">
        <x:v>-0.6551914032910917</x:v>
      </x:c>
      <x:c r="C3808" s="46" t="n">
        <x:f>B3808^2</x:f>
        <x:v>0.42927577494655</x:v>
      </x:c>
      <x:c r="D3808" s="47" t="n">
        <x:f>'Datos'!$B$26^3/3</x:f>
        <x:v>0.3333333333333333</x:v>
      </x:c>
      <x:c r="E3808" s="46" t="n">
        <x:f>D3808*(C3808-1)</x:f>
        <x:v>-0.19024140835115</x:v>
      </x:c>
      <x:c r="F3808" s="2"/>
      <x:c r="G3808" s="2"/>
      <x:c r="H3808" s="2"/>
    </x:row>
    <x:row r="3809" ht="22" customHeight="1">
      <x:c r="A3809" s="2" t="n">
        <x:v>3803</x:v>
      </x:c>
      <x:c r="B3809" s="79" t="n">
        <x:v>0.05857095331893496</x:v>
      </x:c>
      <x:c r="C3809" s="46" t="n">
        <x:f>B3809^2</x:f>
        <x:v>0.0034305565726888577</x:v>
      </x:c>
      <x:c r="D3809" s="47" t="n">
        <x:f>'Datos'!$B$26^3/3</x:f>
        <x:v>0.3333333333333333</x:v>
      </x:c>
      <x:c r="E3809" s="46" t="n">
        <x:f>D3809*(C3809-1)</x:f>
        <x:v>-0.33218981447577034</x:v>
      </x:c>
      <x:c r="F3809" s="2"/>
      <x:c r="G3809" s="2"/>
      <x:c r="H3809" s="2"/>
    </x:row>
    <x:row r="3810" ht="22" customHeight="1">
      <x:c r="A3810" s="2" t="n">
        <x:v>3804</x:v>
      </x:c>
      <x:c r="B3810" s="79" t="n">
        <x:v>1.1008462044730274</x:v>
      </x:c>
      <x:c r="C3810" s="46" t="n">
        <x:f>B3810^2</x:f>
        <x:v>1.2118623659026704</x:v>
      </x:c>
      <x:c r="D3810" s="47" t="n">
        <x:f>'Datos'!$B$26^3/3</x:f>
        <x:v>0.3333333333333333</x:v>
      </x:c>
      <x:c r="E3810" s="46" t="n">
        <x:f>D3810*(C3810-1)</x:f>
        <x:v>0.07062078863422346</x:v>
      </x:c>
      <x:c r="F3810" s="2"/>
      <x:c r="G3810" s="2"/>
      <x:c r="H3810" s="2"/>
    </x:row>
    <x:row r="3811" ht="22" customHeight="1">
      <x:c r="A3811" s="2" t="n">
        <x:v>3805</x:v>
      </x:c>
      <x:c r="B3811" s="79" t="n">
        <x:v>-0.06482678956070469</x:v>
      </x:c>
      <x:c r="C3811" s="46" t="n">
        <x:f>B3811^2</x:f>
        <x:v>0.00420251264474789</x:v>
      </x:c>
      <x:c r="D3811" s="47" t="n">
        <x:f>'Datos'!$B$26^3/3</x:f>
        <x:v>0.3333333333333333</x:v>
      </x:c>
      <x:c r="E3811" s="46" t="n">
        <x:f>D3811*(C3811-1)</x:f>
        <x:v>-0.331932495785084</x:v>
      </x:c>
      <x:c r="F3811" s="2"/>
      <x:c r="G3811" s="2"/>
      <x:c r="H3811" s="2"/>
    </x:row>
    <x:row r="3812" ht="22" customHeight="1">
      <x:c r="A3812" s="2" t="n">
        <x:v>3806</x:v>
      </x:c>
      <x:c r="B3812" s="79" t="n">
        <x:v>0.8048458293600972</x:v>
      </x:c>
      <x:c r="C3812" s="46" t="n">
        <x:f>B3812^2</x:f>
        <x:v>0.6477768090383427</x:v>
      </x:c>
      <x:c r="D3812" s="47" t="n">
        <x:f>'Datos'!$B$26^3/3</x:f>
        <x:v>0.3333333333333333</x:v>
      </x:c>
      <x:c r="E3812" s="46" t="n">
        <x:f>D3812*(C3812-1)</x:f>
        <x:v>-0.11740773032055243</x:v>
      </x:c>
      <x:c r="F3812" s="2"/>
      <x:c r="G3812" s="2"/>
      <x:c r="H3812" s="2"/>
    </x:row>
    <x:row r="3813" ht="22" customHeight="1">
      <x:c r="A3813" s="2" t="n">
        <x:v>3807</x:v>
      </x:c>
      <x:c r="B3813" s="79" t="n">
        <x:v>1.0155924167003267</x:v>
      </x:c>
      <x:c r="C3813" s="46" t="n">
        <x:f>B3813^2</x:f>
        <x:v>1.0314279568592102</x:v>
      </x:c>
      <x:c r="D3813" s="47" t="n">
        <x:f>'Datos'!$B$26^3/3</x:f>
        <x:v>0.3333333333333333</x:v>
      </x:c>
      <x:c r="E3813" s="46" t="n">
        <x:f>D3813*(C3813-1)</x:f>
        <x:v>0.010475985619736727</x:v>
      </x:c>
      <x:c r="F3813" s="2"/>
      <x:c r="G3813" s="2"/>
      <x:c r="H3813" s="2"/>
    </x:row>
    <x:row r="3814" ht="22" customHeight="1">
      <x:c r="A3814" s="2" t="n">
        <x:v>3808</x:v>
      </x:c>
      <x:c r="B3814" s="79" t="n">
        <x:v>0.2783407689991589</x:v>
      </x:c>
      <x:c r="C3814" s="46" t="n">
        <x:f>B3814^2</x:f>
        <x:v>0.07747358368704313</x:v>
      </x:c>
      <x:c r="D3814" s="47" t="n">
        <x:f>'Datos'!$B$26^3/3</x:f>
        <x:v>0.3333333333333333</x:v>
      </x:c>
      <x:c r="E3814" s="46" t="n">
        <x:f>D3814*(C3814-1)</x:f>
        <x:v>-0.30750880543765224</x:v>
      </x:c>
      <x:c r="F3814" s="2"/>
      <x:c r="G3814" s="2"/>
      <x:c r="H3814" s="2"/>
    </x:row>
    <x:row r="3815" ht="22" customHeight="1">
      <x:c r="A3815" s="2" t="n">
        <x:v>3809</x:v>
      </x:c>
      <x:c r="B3815" s="79" t="n">
        <x:v>0.6432679157860843</x:v>
      </x:c>
      <x:c r="C3815" s="46" t="n">
        <x:f>B3815^2</x:f>
        <x:v>0.4137936114797729</x:v>
      </x:c>
      <x:c r="D3815" s="47" t="n">
        <x:f>'Datos'!$B$26^3/3</x:f>
        <x:v>0.3333333333333333</x:v>
      </x:c>
      <x:c r="E3815" s="46" t="n">
        <x:f>D3815*(C3815-1)</x:f>
        <x:v>-0.19540212950674235</x:v>
      </x:c>
      <x:c r="F3815" s="2"/>
      <x:c r="G3815" s="2"/>
      <x:c r="H3815" s="2"/>
    </x:row>
    <x:row r="3816" ht="22" customHeight="1">
      <x:c r="A3816" s="2" t="n">
        <x:v>3810</x:v>
      </x:c>
      <x:c r="B3816" s="79" t="n">
        <x:v>0.1616337116484013</x:v>
      </x:c>
      <x:c r="C3816" s="46" t="n">
        <x:f>B3816^2</x:f>
        <x:v>0.026125456741238534</x:v>
      </x:c>
      <x:c r="D3816" s="47" t="n">
        <x:f>'Datos'!$B$26^3/3</x:f>
        <x:v>0.3333333333333333</x:v>
      </x:c>
      <x:c r="E3816" s="46" t="n">
        <x:f>D3816*(C3816-1)</x:f>
        <x:v>-0.32462484775292044</x:v>
      </x:c>
      <x:c r="F3816" s="2"/>
      <x:c r="G3816" s="2"/>
      <x:c r="H3816" s="2"/>
    </x:row>
    <x:row r="3817" ht="22" customHeight="1">
      <x:c r="A3817" s="2" t="n">
        <x:v>3811</x:v>
      </x:c>
      <x:c r="B3817" s="79" t="n">
        <x:v>1.7249408305017258</x:v>
      </x:c>
      <x:c r="C3817" s="46" t="n">
        <x:f>B3817^2</x:f>
        <x:v>2.9754208687319834</x:v>
      </x:c>
      <x:c r="D3817" s="47" t="n">
        <x:f>'Datos'!$B$26^3/3</x:f>
        <x:v>0.3333333333333333</x:v>
      </x:c>
      <x:c r="E3817" s="46" t="n">
        <x:f>D3817*(C3817-1)</x:f>
        <x:v>0.6584736229106611</x:v>
      </x:c>
      <x:c r="F3817" s="2"/>
      <x:c r="G3817" s="2"/>
      <x:c r="H3817" s="2"/>
    </x:row>
    <x:row r="3818" ht="22" customHeight="1">
      <x:c r="A3818" s="2" t="n">
        <x:v>3812</x:v>
      </x:c>
      <x:c r="B3818" s="79" t="n">
        <x:v>1.2956013578529064</x:v>
      </x:c>
      <x:c r="C3818" s="46" t="n">
        <x:f>B3818^2</x:f>
        <x:v>1.678582878470295</x:v>
      </x:c>
      <x:c r="D3818" s="47" t="n">
        <x:f>'Datos'!$B$26^3/3</x:f>
        <x:v>0.3333333333333333</x:v>
      </x:c>
      <x:c r="E3818" s="46" t="n">
        <x:f>D3818*(C3818-1)</x:f>
        <x:v>0.22619429282343165</x:v>
      </x:c>
      <x:c r="F3818" s="2"/>
      <x:c r="G3818" s="2"/>
      <x:c r="H3818" s="2"/>
    </x:row>
    <x:row r="3819" ht="22" customHeight="1">
      <x:c r="A3819" s="2" t="n">
        <x:v>3813</x:v>
      </x:c>
      <x:c r="B3819" s="79" t="n">
        <x:v>-2.386593528903064</x:v>
      </x:c>
      <x:c r="C3819" s="46" t="n">
        <x:f>B3819^2</x:f>
        <x:v>5.69582867220198</x:v>
      </x:c>
      <x:c r="D3819" s="47" t="n">
        <x:f>'Datos'!$B$26^3/3</x:f>
        <x:v>0.3333333333333333</x:v>
      </x:c>
      <x:c r="E3819" s="46" t="n">
        <x:f>D3819*(C3819-1)</x:f>
        <x:v>1.5652762240673266</x:v>
      </x:c>
      <x:c r="F3819" s="2"/>
      <x:c r="G3819" s="2"/>
      <x:c r="H3819" s="2"/>
    </x:row>
    <x:row r="3820" ht="22" customHeight="1">
      <x:c r="A3820" s="2" t="n">
        <x:v>3814</x:v>
      </x:c>
      <x:c r="B3820" s="79" t="n">
        <x:v>-0.4955087923934214</x:v>
      </x:c>
      <x:c r="C3820" s="46" t="n">
        <x:f>B3820^2</x:f>
        <x:v>0.24552896333918678</x:v>
      </x:c>
      <x:c r="D3820" s="47" t="n">
        <x:f>'Datos'!$B$26^3/3</x:f>
        <x:v>0.3333333333333333</x:v>
      </x:c>
      <x:c r="E3820" s="46" t="n">
        <x:f>D3820*(C3820-1)</x:f>
        <x:v>-0.2514903455536044</x:v>
      </x:c>
      <x:c r="F3820" s="2"/>
      <x:c r="G3820" s="2"/>
      <x:c r="H3820" s="2"/>
    </x:row>
    <x:row r="3821" ht="22" customHeight="1">
      <x:c r="A3821" s="2" t="n">
        <x:v>3815</x:v>
      </x:c>
      <x:c r="B3821" s="79" t="n">
        <x:v>-0.7736594787200695</x:v>
      </x:c>
      <x:c r="C3821" s="46" t="n">
        <x:f>B3821^2</x:f>
        <x:v>0.5985489890134096</x:v>
      </x:c>
      <x:c r="D3821" s="47" t="n">
        <x:f>'Datos'!$B$26^3/3</x:f>
        <x:v>0.3333333333333333</x:v>
      </x:c>
      <x:c r="E3821" s="46" t="n">
        <x:f>D3821*(C3821-1)</x:f>
        <x:v>-0.1338170036621968</x:v>
      </x:c>
      <x:c r="F3821" s="2"/>
      <x:c r="G3821" s="2"/>
      <x:c r="H3821" s="2"/>
    </x:row>
    <x:row r="3822" ht="22" customHeight="1">
      <x:c r="A3822" s="2" t="n">
        <x:v>3816</x:v>
      </x:c>
      <x:c r="B3822" s="79" t="n">
        <x:v>-0.9110971120714452</x:v>
      </x:c>
      <x:c r="C3822" s="46" t="n">
        <x:f>B3822^2</x:f>
        <x:v>0.8300979476249275</x:v>
      </x:c>
      <x:c r="D3822" s="47" t="n">
        <x:f>'Datos'!$B$26^3/3</x:f>
        <x:v>0.3333333333333333</x:v>
      </x:c>
      <x:c r="E3822" s="46" t="n">
        <x:f>D3822*(C3822-1)</x:f>
        <x:v>-0.0566340174583575</x:v>
      </x:c>
      <x:c r="F3822" s="2"/>
      <x:c r="G3822" s="2"/>
      <x:c r="H3822" s="2"/>
    </x:row>
    <x:row r="3823" ht="22" customHeight="1">
      <x:c r="A3823" s="2" t="n">
        <x:v>3817</x:v>
      </x:c>
      <x:c r="B3823" s="79" t="n">
        <x:v>-2.249559366760138</x:v>
      </x:c>
      <x:c r="C3823" s="46" t="n">
        <x:f>B3823^2</x:f>
        <x:v>5.0605173445782725</x:v>
      </x:c>
      <x:c r="D3823" s="47" t="n">
        <x:f>'Datos'!$B$26^3/3</x:f>
        <x:v>0.3333333333333333</x:v>
      </x:c>
      <x:c r="E3823" s="46" t="n">
        <x:f>D3823*(C3823-1)</x:f>
        <x:v>1.3535057815260907</x:v>
      </x:c>
      <x:c r="F3823" s="2"/>
      <x:c r="G3823" s="2"/>
      <x:c r="H3823" s="2"/>
    </x:row>
    <x:row r="3824" ht="22" customHeight="1">
      <x:c r="A3824" s="2" t="n">
        <x:v>3818</x:v>
      </x:c>
      <x:c r="B3824" s="79" t="n">
        <x:v>-0.6856296032723337</x:v>
      </x:c>
      <x:c r="C3824" s="46" t="n">
        <x:f>B3824^2</x:f>
        <x:v>0.4700879528833777</x:v>
      </x:c>
      <x:c r="D3824" s="47" t="n">
        <x:f>'Datos'!$B$26^3/3</x:f>
        <x:v>0.3333333333333333</x:v>
      </x:c>
      <x:c r="E3824" s="46" t="n">
        <x:f>D3824*(C3824-1)</x:f>
        <x:v>-0.1766373490388741</x:v>
      </x:c>
      <x:c r="F3824" s="2"/>
      <x:c r="G3824" s="2"/>
      <x:c r="H3824" s="2"/>
    </x:row>
    <x:row r="3825" ht="22" customHeight="1">
      <x:c r="A3825" s="2" t="n">
        <x:v>3819</x:v>
      </x:c>
      <x:c r="B3825" s="79" t="n">
        <x:v>0.3281044715038332</x:v>
      </x:c>
      <x:c r="C3825" s="46" t="n">
        <x:f>B3825^2</x:f>
        <x:v>0.10765254422080969</x:v>
      </x:c>
      <x:c r="D3825" s="47" t="n">
        <x:f>'Datos'!$B$26^3/3</x:f>
        <x:v>0.3333333333333333</x:v>
      </x:c>
      <x:c r="E3825" s="46" t="n">
        <x:f>D3825*(C3825-1)</x:f>
        <x:v>-0.29744915192639676</x:v>
      </x:c>
      <x:c r="F3825" s="2"/>
      <x:c r="G3825" s="2"/>
      <x:c r="H3825" s="2"/>
    </x:row>
    <x:row r="3826" ht="22" customHeight="1">
      <x:c r="A3826" s="2" t="n">
        <x:v>3820</x:v>
      </x:c>
      <x:c r="B3826" s="79" t="n">
        <x:v>-0.548568817206989</x:v>
      </x:c>
      <x:c r="C3826" s="46" t="n">
        <x:f>B3826^2</x:f>
        <x:v>0.30092774721187493</x:v>
      </x:c>
      <x:c r="D3826" s="47" t="n">
        <x:f>'Datos'!$B$26^3/3</x:f>
        <x:v>0.3333333333333333</x:v>
      </x:c>
      <x:c r="E3826" s="46" t="n">
        <x:f>D3826*(C3826-1)</x:f>
        <x:v>-0.23302408426270832</x:v>
      </x:c>
      <x:c r="F3826" s="2"/>
      <x:c r="G3826" s="2"/>
      <x:c r="H3826" s="2"/>
    </x:row>
    <x:row r="3827" ht="22" customHeight="1">
      <x:c r="A3827" s="2" t="n">
        <x:v>3821</x:v>
      </x:c>
      <x:c r="B3827" s="79" t="n">
        <x:v>-0.021393750830976204</x:v>
      </x:c>
      <x:c r="C3827" s="46" t="n">
        <x:f>B3827^2</x:f>
        <x:v>0.00045769257461789504</x:v>
      </x:c>
      <x:c r="D3827" s="47" t="n">
        <x:f>'Datos'!$B$26^3/3</x:f>
        <x:v>0.3333333333333333</x:v>
      </x:c>
      <x:c r="E3827" s="46" t="n">
        <x:f>D3827*(C3827-1)</x:f>
        <x:v>-0.333180769141794</x:v>
      </x:c>
      <x:c r="F3827" s="2"/>
      <x:c r="G3827" s="2"/>
      <x:c r="H3827" s="2"/>
    </x:row>
    <x:row r="3828" ht="22" customHeight="1">
      <x:c r="A3828" s="2" t="n">
        <x:v>3822</x:v>
      </x:c>
      <x:c r="B3828" s="79" t="n">
        <x:v>0.04374593754355968</x:v>
      </x:c>
      <x:c r="C3828" s="46" t="n">
        <x:f>B3828^2</x:f>
        <x:v>0.0019137070515650246</x:v>
      </x:c>
      <x:c r="D3828" s="47" t="n">
        <x:f>'Datos'!$B$26^3/3</x:f>
        <x:v>0.3333333333333333</x:v>
      </x:c>
      <x:c r="E3828" s="46" t="n">
        <x:f>D3828*(C3828-1)</x:f>
        <x:v>-0.3326954309828116</x:v>
      </x:c>
      <x:c r="F3828" s="2"/>
      <x:c r="G3828" s="2"/>
      <x:c r="H3828" s="2"/>
    </x:row>
    <x:row r="3829" ht="22" customHeight="1">
      <x:c r="A3829" s="2" t="n">
        <x:v>3823</x:v>
      </x:c>
      <x:c r="B3829" s="79" t="n">
        <x:v>-1.4139174014150573</x:v>
      </x:c>
      <x:c r="C3829" s="46" t="n">
        <x:f>B3829^2</x:f>
        <x:v>1.9991624180243082</x:v>
      </x:c>
      <x:c r="D3829" s="47" t="n">
        <x:f>'Datos'!$B$26^3/3</x:f>
        <x:v>0.3333333333333333</x:v>
      </x:c>
      <x:c r="E3829" s="46" t="n">
        <x:f>D3829*(C3829-1)</x:f>
        <x:v>0.333054139341436</x:v>
      </x:c>
      <x:c r="F3829" s="2"/>
      <x:c r="G3829" s="2"/>
      <x:c r="H3829" s="2"/>
    </x:row>
    <x:row r="3830" ht="22" customHeight="1">
      <x:c r="A3830" s="2" t="n">
        <x:v>3824</x:v>
      </x:c>
      <x:c r="B3830" s="79" t="n">
        <x:v>0.870716463039997</x:v>
      </x:c>
      <x:c r="C3830" s="46" t="n">
        <x:f>B3830^2</x:f>
        <x:v>0.7581471590088824</x:v>
      </x:c>
      <x:c r="D3830" s="47" t="n">
        <x:f>'Datos'!$B$26^3/3</x:f>
        <x:v>0.3333333333333333</x:v>
      </x:c>
      <x:c r="E3830" s="46" t="n">
        <x:f>D3830*(C3830-1)</x:f>
        <x:v>-0.08061761366370586</x:v>
      </x:c>
      <x:c r="F3830" s="2"/>
      <x:c r="G3830" s="2"/>
      <x:c r="H3830" s="2"/>
    </x:row>
    <x:row r="3831" ht="22" customHeight="1">
      <x:c r="A3831" s="2" t="n">
        <x:v>3825</x:v>
      </x:c>
      <x:c r="B3831" s="79" t="n">
        <x:v>-1.7527072620961415</x:v>
      </x:c>
      <x:c r="C3831" s="46" t="n">
        <x:f>B3831^2</x:f>
        <x:v>3.071982746604552</x:v>
      </x:c>
      <x:c r="D3831" s="47" t="n">
        <x:f>'Datos'!$B$26^3/3</x:f>
        <x:v>0.3333333333333333</x:v>
      </x:c>
      <x:c r="E3831" s="46" t="n">
        <x:f>D3831*(C3831-1)</x:f>
        <x:v>0.6906609155348507</x:v>
      </x:c>
      <x:c r="F3831" s="2"/>
      <x:c r="G3831" s="2"/>
      <x:c r="H3831" s="2"/>
    </x:row>
    <x:row r="3832" ht="22" customHeight="1">
      <x:c r="A3832" s="2" t="n">
        <x:v>3826</x:v>
      </x:c>
      <x:c r="B3832" s="79" t="n">
        <x:v>1.2818093853983796</x:v>
      </x:c>
      <x:c r="C3832" s="46" t="n">
        <x:f>B3832^2</x:f>
        <x:v>1.6430353004953717</x:v>
      </x:c>
      <x:c r="D3832" s="47" t="n">
        <x:f>'Datos'!$B$26^3/3</x:f>
        <x:v>0.3333333333333333</x:v>
      </x:c>
      <x:c r="E3832" s="46" t="n">
        <x:f>D3832*(C3832-1)</x:f>
        <x:v>0.2143451001651239</x:v>
      </x:c>
      <x:c r="F3832" s="2"/>
      <x:c r="G3832" s="2"/>
      <x:c r="H3832" s="2"/>
    </x:row>
    <x:row r="3833" ht="22" customHeight="1">
      <x:c r="A3833" s="2" t="n">
        <x:v>3827</x:v>
      </x:c>
      <x:c r="B3833" s="79" t="n">
        <x:v>1.3610436731526734</x:v>
      </x:c>
      <x:c r="C3833" s="46" t="n">
        <x:f>B3833^2</x:f>
        <x:v>1.8524398802289213</x:v>
      </x:c>
      <x:c r="D3833" s="47" t="n">
        <x:f>'Datos'!$B$26^3/3</x:f>
        <x:v>0.3333333333333333</x:v>
      </x:c>
      <x:c r="E3833" s="46" t="n">
        <x:f>D3833*(C3833-1)</x:f>
        <x:v>0.28414662674297375</x:v>
      </x:c>
      <x:c r="F3833" s="2"/>
      <x:c r="G3833" s="2"/>
      <x:c r="H3833" s="2"/>
    </x:row>
    <x:row r="3834" ht="22" customHeight="1">
      <x:c r="A3834" s="2" t="n">
        <x:v>3828</x:v>
      </x:c>
      <x:c r="B3834" s="79" t="n">
        <x:v>-0.05057944863571364</x:v>
      </x:c>
      <x:c r="C3834" s="46" t="n">
        <x:f>B3834^2</x:f>
        <x:v>0.0025582806242927946</x:v>
      </x:c>
      <x:c r="D3834" s="47" t="n">
        <x:f>'Datos'!$B$26^3/3</x:f>
        <x:v>0.3333333333333333</x:v>
      </x:c>
      <x:c r="E3834" s="46" t="n">
        <x:f>D3834*(C3834-1)</x:f>
        <x:v>-0.3324805731252357</x:v>
      </x:c>
      <x:c r="F3834" s="2"/>
      <x:c r="G3834" s="2"/>
      <x:c r="H3834" s="2"/>
    </x:row>
    <x:row r="3835" ht="22" customHeight="1">
      <x:c r="A3835" s="2" t="n">
        <x:v>3829</x:v>
      </x:c>
      <x:c r="B3835" s="79" t="n">
        <x:v>0.9515780642897497</x:v>
      </x:c>
      <x:c r="C3835" s="46" t="n">
        <x:f>B3835^2</x:f>
        <x:v>0.905500812437427</x:v>
      </x:c>
      <x:c r="D3835" s="47" t="n">
        <x:f>'Datos'!$B$26^3/3</x:f>
        <x:v>0.3333333333333333</x:v>
      </x:c>
      <x:c r="E3835" s="46" t="n">
        <x:f>D3835*(C3835-1)</x:f>
        <x:v>-0.03149972918752434</x:v>
      </x:c>
      <x:c r="F3835" s="2"/>
      <x:c r="G3835" s="2"/>
      <x:c r="H3835" s="2"/>
    </x:row>
    <x:row r="3836" ht="22" customHeight="1">
      <x:c r="A3836" s="2" t="n">
        <x:v>3830</x:v>
      </x:c>
      <x:c r="B3836" s="79" t="n">
        <x:v>1.1029261271724329</x:v>
      </x:c>
      <x:c r="C3836" s="46" t="n">
        <x:f>B3836^2</x:f>
        <x:v>1.2164460419995815</x:v>
      </x:c>
      <x:c r="D3836" s="47" t="n">
        <x:f>'Datos'!$B$26^3/3</x:f>
        <x:v>0.3333333333333333</x:v>
      </x:c>
      <x:c r="E3836" s="46" t="n">
        <x:f>D3836*(C3836-1)</x:f>
        <x:v>0.07214868066652716</x:v>
      </x:c>
      <x:c r="F3836" s="2"/>
      <x:c r="G3836" s="2"/>
      <x:c r="H3836" s="2"/>
    </x:row>
    <x:row r="3837" ht="22" customHeight="1">
      <x:c r="A3837" s="2" t="n">
        <x:v>3831</x:v>
      </x:c>
      <x:c r="B3837" s="79" t="n">
        <x:v>-0.7222812678691668</x:v>
      </x:c>
      <x:c r="C3837" s="46" t="n">
        <x:f>B3837^2</x:f>
        <x:v>0.521690229914691</x:v>
      </x:c>
      <x:c r="D3837" s="47" t="n">
        <x:f>'Datos'!$B$26^3/3</x:f>
        <x:v>0.3333333333333333</x:v>
      </x:c>
      <x:c r="E3837" s="46" t="n">
        <x:f>D3837*(C3837-1)</x:f>
        <x:v>-0.1594365900284363</x:v>
      </x:c>
      <x:c r="F3837" s="2"/>
      <x:c r="G3837" s="2"/>
      <x:c r="H3837" s="2"/>
    </x:row>
    <x:row r="3838" ht="22" customHeight="1">
      <x:c r="A3838" s="2" t="n">
        <x:v>3832</x:v>
      </x:c>
      <x:c r="B3838" s="79" t="n">
        <x:v>-1.3738293243511377</x:v>
      </x:c>
      <x:c r="C3838" s="46" t="n">
        <x:f>B3838^2</x:f>
        <x:v>1.8874070124471034</x:v>
      </x:c>
      <x:c r="D3838" s="47" t="n">
        <x:f>'Datos'!$B$26^3/3</x:f>
        <x:v>0.3333333333333333</x:v>
      </x:c>
      <x:c r="E3838" s="46" t="n">
        <x:f>D3838*(C3838-1)</x:f>
        <x:v>0.2958023374823678</x:v>
      </x:c>
      <x:c r="F3838" s="2"/>
      <x:c r="G3838" s="2"/>
      <x:c r="H3838" s="2"/>
    </x:row>
    <x:row r="3839" ht="22" customHeight="1">
      <x:c r="A3839" s="2" t="n">
        <x:v>3833</x:v>
      </x:c>
      <x:c r="B3839" s="79" t="n">
        <x:v>0.6021736699920877</x:v>
      </x:c>
      <x:c r="C3839" s="46" t="n">
        <x:f>B3839^2</x:f>
        <x:v>0.3626131288317397</x:v>
      </x:c>
      <x:c r="D3839" s="47" t="n">
        <x:f>'Datos'!$B$26^3/3</x:f>
        <x:v>0.3333333333333333</x:v>
      </x:c>
      <x:c r="E3839" s="46" t="n">
        <x:f>D3839*(C3839-1)</x:f>
        <x:v>-0.2124622903894201</x:v>
      </x:c>
      <x:c r="F3839" s="2"/>
      <x:c r="G3839" s="2"/>
      <x:c r="H3839" s="2"/>
    </x:row>
    <x:row r="3840" ht="22" customHeight="1">
      <x:c r="A3840" s="2" t="n">
        <x:v>3834</x:v>
      </x:c>
      <x:c r="B3840" s="79" t="n">
        <x:v>-0.40571946182685953</x:v>
      </x:c>
      <x:c r="C3840" s="46" t="n">
        <x:f>B3840^2</x:f>
        <x:v>0.16460828170507652</x:v>
      </x:c>
      <x:c r="D3840" s="47" t="n">
        <x:f>'Datos'!$B$26^3/3</x:f>
        <x:v>0.3333333333333333</x:v>
      </x:c>
      <x:c r="E3840" s="46" t="n">
        <x:f>D3840*(C3840-1)</x:f>
        <x:v>-0.27846390609830785</x:v>
      </x:c>
      <x:c r="F3840" s="2"/>
      <x:c r="G3840" s="2"/>
      <x:c r="H3840" s="2"/>
    </x:row>
    <x:row r="3841" ht="22" customHeight="1">
      <x:c r="A3841" s="2" t="n">
        <x:v>3835</x:v>
      </x:c>
      <x:c r="B3841" s="79" t="n">
        <x:v>0.7776527592712492</x:v>
      </x:c>
      <x:c r="C3841" s="46" t="n">
        <x:f>B3841^2</x:f>
        <x:v>0.6047438140021875</x:v>
      </x:c>
      <x:c r="D3841" s="47" t="n">
        <x:f>'Datos'!$B$26^3/3</x:f>
        <x:v>0.3333333333333333</x:v>
      </x:c>
      <x:c r="E3841" s="46" t="n">
        <x:f>D3841*(C3841-1)</x:f>
        <x:v>-0.13175206199927084</x:v>
      </x:c>
      <x:c r="F3841" s="2"/>
      <x:c r="G3841" s="2"/>
      <x:c r="H3841" s="2"/>
    </x:row>
    <x:row r="3842" ht="22" customHeight="1">
      <x:c r="A3842" s="2" t="n">
        <x:v>3836</x:v>
      </x:c>
      <x:c r="B3842" s="79" t="n">
        <x:v>-0.48190624804388454</x:v>
      </x:c>
      <x:c r="C3842" s="46" t="n">
        <x:f>B3842^2</x:f>
        <x:v>0.23223363190373397</x:v>
      </x:c>
      <x:c r="D3842" s="47" t="n">
        <x:f>'Datos'!$B$26^3/3</x:f>
        <x:v>0.3333333333333333</x:v>
      </x:c>
      <x:c r="E3842" s="46" t="n">
        <x:f>D3842*(C3842-1)</x:f>
        <x:v>-0.25592212269875536</x:v>
      </x:c>
      <x:c r="F3842" s="2"/>
      <x:c r="G3842" s="2"/>
      <x:c r="H3842" s="2"/>
    </x:row>
    <x:row r="3843" ht="22" customHeight="1">
      <x:c r="A3843" s="2" t="n">
        <x:v>3837</x:v>
      </x:c>
      <x:c r="B3843" s="79" t="n">
        <x:v>0.1741880736037643</x:v>
      </x:c>
      <x:c r="C3843" s="46" t="n">
        <x:f>B3843^2</x:f>
        <x:v>0.030341484985790406</x:v>
      </x:c>
      <x:c r="D3843" s="47" t="n">
        <x:f>'Datos'!$B$26^3/3</x:f>
        <x:v>0.3333333333333333</x:v>
      </x:c>
      <x:c r="E3843" s="46" t="n">
        <x:f>D3843*(C3843-1)</x:f>
        <x:v>-0.3232195050047365</x:v>
      </x:c>
      <x:c r="F3843" s="2"/>
      <x:c r="G3843" s="2"/>
      <x:c r="H3843" s="2"/>
    </x:row>
    <x:row r="3844" ht="22" customHeight="1">
      <x:c r="A3844" s="2" t="n">
        <x:v>3838</x:v>
      </x:c>
      <x:c r="B3844" s="79" t="n">
        <x:v>-1.1522424817108916</x:v>
      </x:c>
      <x:c r="C3844" s="46" t="n">
        <x:f>B3844^2</x:f>
        <x:v>1.3276627366592744</x:v>
      </x:c>
      <x:c r="D3844" s="47" t="n">
        <x:f>'Datos'!$B$26^3/3</x:f>
        <x:v>0.3333333333333333</x:v>
      </x:c>
      <x:c r="E3844" s="46" t="n">
        <x:f>D3844*(C3844-1)</x:f>
        <x:v>0.10922091221975812</x:v>
      </x:c>
      <x:c r="F3844" s="2"/>
      <x:c r="G3844" s="2"/>
      <x:c r="H3844" s="2"/>
    </x:row>
    <x:row r="3845" ht="22" customHeight="1">
      <x:c r="A3845" s="2" t="n">
        <x:v>3839</x:v>
      </x:c>
      <x:c r="B3845" s="79" t="n">
        <x:v>0.07942078094291198</x:v>
      </x:c>
      <x:c r="C3845" s="46" t="n">
        <x:f>B3845^2</x:f>
        <x:v>0.006307660445582011</x:v>
      </x:c>
      <x:c r="D3845" s="47" t="n">
        <x:f>'Datos'!$B$26^3/3</x:f>
        <x:v>0.3333333333333333</x:v>
      </x:c>
      <x:c r="E3845" s="46" t="n">
        <x:f>D3845*(C3845-1)</x:f>
        <x:v>-0.33123077985147265</x:v>
      </x:c>
      <x:c r="F3845" s="2"/>
      <x:c r="G3845" s="2"/>
      <x:c r="H3845" s="2"/>
    </x:row>
    <x:row r="3846" ht="22" customHeight="1">
      <x:c r="A3846" s="2" t="n">
        <x:v>3840</x:v>
      </x:c>
      <x:c r="B3846" s="79" t="n">
        <x:v>-0.3700482490231813</x:v>
      </x:c>
      <x:c r="C3846" s="46" t="n">
        <x:f>B3846^2</x:f>
        <x:v>0.1369357066051224</x:v>
      </x:c>
      <x:c r="D3846" s="47" t="n">
        <x:f>'Datos'!$B$26^3/3</x:f>
        <x:v>0.3333333333333333</x:v>
      </x:c>
      <x:c r="E3846" s="46" t="n">
        <x:f>D3846*(C3846-1)</x:f>
        <x:v>-0.2876880977982925</x:v>
      </x:c>
      <x:c r="F3846" s="2"/>
      <x:c r="G3846" s="2"/>
      <x:c r="H3846" s="2"/>
    </x:row>
    <x:row r="3847" ht="22" customHeight="1">
      <x:c r="A3847" s="2" t="n">
        <x:v>3841</x:v>
      </x:c>
      <x:c r="B3847" s="79" t="n">
        <x:v>0.1081304050204784</x:v>
      </x:c>
      <x:c r="C3847" s="46" t="n">
        <x:f>B3847^2</x:f>
        <x:v>0.011692184489892699</x:v>
      </x:c>
      <x:c r="D3847" s="47" t="n">
        <x:f>'Datos'!$B$26^3/3</x:f>
        <x:v>0.3333333333333333</x:v>
      </x:c>
      <x:c r="E3847" s="46" t="n">
        <x:f>D3847*(C3847-1)</x:f>
        <x:v>-0.32943593850336905</x:v>
      </x:c>
      <x:c r="F3847" s="2"/>
      <x:c r="G3847" s="2"/>
      <x:c r="H3847" s="2"/>
    </x:row>
    <x:row r="3848" ht="22" customHeight="1">
      <x:c r="A3848" s="2" t="n">
        <x:v>3842</x:v>
      </x:c>
      <x:c r="B3848" s="79" t="n">
        <x:v>0.5679967008837122</x:v>
      </x:c>
      <x:c r="C3848" s="46" t="n">
        <x:f>B3848^2</x:f>
        <x:v>0.32262025221478124</x:v>
      </x:c>
      <x:c r="D3848" s="47" t="n">
        <x:f>'Datos'!$B$26^3/3</x:f>
        <x:v>0.3333333333333333</x:v>
      </x:c>
      <x:c r="E3848" s="46" t="n">
        <x:f>D3848*(C3848-1)</x:f>
        <x:v>-0.2257932492617396</x:v>
      </x:c>
      <x:c r="F3848" s="2"/>
      <x:c r="G3848" s="2"/>
      <x:c r="H3848" s="2"/>
    </x:row>
    <x:row r="3849" ht="22" customHeight="1">
      <x:c r="A3849" s="2" t="n">
        <x:v>3843</x:v>
      </x:c>
      <x:c r="B3849" s="79" t="n">
        <x:v>-1.595989349661605</x:v>
      </x:c>
      <x:c r="C3849" s="46" t="n">
        <x:f>B3849^2</x:f>
        <x:v>2.547182004233273</x:v>
      </x:c>
      <x:c r="D3849" s="47" t="n">
        <x:f>'Datos'!$B$26^3/3</x:f>
        <x:v>0.3333333333333333</x:v>
      </x:c>
      <x:c r="E3849" s="46" t="n">
        <x:f>D3849*(C3849-1)</x:f>
        <x:v>0.5157273347444243</x:v>
      </x:c>
      <x:c r="F3849" s="2"/>
      <x:c r="G3849" s="2"/>
      <x:c r="H3849" s="2"/>
    </x:row>
    <x:row r="3850" ht="22" customHeight="1">
      <x:c r="A3850" s="2" t="n">
        <x:v>3844</x:v>
      </x:c>
      <x:c r="B3850" s="79" t="n">
        <x:v>-1.2746411712346537</x:v>
      </x:c>
      <x:c r="C3850" s="46" t="n">
        <x:f>B3850^2</x:f>
        <x:v>1.6247101154064498</x:v>
      </x:c>
      <x:c r="D3850" s="47" t="n">
        <x:f>'Datos'!$B$26^3/3</x:f>
        <x:v>0.3333333333333333</x:v>
      </x:c>
      <x:c r="E3850" s="46" t="n">
        <x:f>D3850*(C3850-1)</x:f>
        <x:v>0.20823670513548326</x:v>
      </x:c>
      <x:c r="F3850" s="2"/>
      <x:c r="G3850" s="2"/>
      <x:c r="H3850" s="2"/>
    </x:row>
    <x:row r="3851" ht="22" customHeight="1">
      <x:c r="A3851" s="2" t="n">
        <x:v>3845</x:v>
      </x:c>
      <x:c r="B3851" s="79" t="n">
        <x:v>0.9711888121704213</x:v>
      </x:c>
      <x:c r="C3851" s="46" t="n">
        <x:f>B3851^2</x:f>
        <x:v>0.9432077088849938</x:v>
      </x:c>
      <x:c r="D3851" s="47" t="n">
        <x:f>'Datos'!$B$26^3/3</x:f>
        <x:v>0.3333333333333333</x:v>
      </x:c>
      <x:c r="E3851" s="46" t="n">
        <x:f>D3851*(C3851-1)</x:f>
        <x:v>-0.018930763705002053</x:v>
      </x:c>
      <x:c r="F3851" s="2"/>
      <x:c r="G3851" s="2"/>
      <x:c r="H3851" s="2"/>
    </x:row>
    <x:row r="3852" ht="22" customHeight="1">
      <x:c r="A3852" s="2" t="n">
        <x:v>3846</x:v>
      </x:c>
      <x:c r="B3852" s="79" t="n">
        <x:v>0.1774663223393951</x:v>
      </x:c>
      <x:c r="C3852" s="46" t="n">
        <x:f>B3852^2</x:f>
        <x:v>0.03149429556467009</x:v>
      </x:c>
      <x:c r="D3852" s="47" t="n">
        <x:f>'Datos'!$B$26^3/3</x:f>
        <x:v>0.3333333333333333</x:v>
      </x:c>
      <x:c r="E3852" s="46" t="n">
        <x:f>D3852*(C3852-1)</x:f>
        <x:v>-0.3228352348117766</x:v>
      </x:c>
      <x:c r="F3852" s="2"/>
      <x:c r="G3852" s="2"/>
      <x:c r="H3852" s="2"/>
    </x:row>
    <x:row r="3853" ht="22" customHeight="1">
      <x:c r="A3853" s="2" t="n">
        <x:v>3847</x:v>
      </x:c>
      <x:c r="B3853" s="79" t="n">
        <x:v>1.7032176177305338</x:v>
      </x:c>
      <x:c r="C3853" s="46" t="n">
        <x:f>B3853^2</x:f>
        <x:v>2.9009502533476748</x:v>
      </x:c>
      <x:c r="D3853" s="47" t="n">
        <x:f>'Datos'!$B$26^3/3</x:f>
        <x:v>0.3333333333333333</x:v>
      </x:c>
      <x:c r="E3853" s="46" t="n">
        <x:f>D3853*(C3853-1)</x:f>
        <x:v>0.6336500844492249</x:v>
      </x:c>
      <x:c r="F3853" s="2"/>
      <x:c r="G3853" s="2"/>
      <x:c r="H3853" s="2"/>
    </x:row>
    <x:row r="3854" ht="22" customHeight="1">
      <x:c r="A3854" s="2" t="n">
        <x:v>3848</x:v>
      </x:c>
      <x:c r="B3854" s="79" t="n">
        <x:v>-1.003251992043542</x:v>
      </x:c>
      <x:c r="C3854" s="46" t="n">
        <x:f>B3854^2</x:f>
        <x:v>1.0065145595393354</x:v>
      </x:c>
      <x:c r="D3854" s="47" t="n">
        <x:f>'Datos'!$B$26^3/3</x:f>
        <x:v>0.3333333333333333</x:v>
      </x:c>
      <x:c r="E3854" s="46" t="n">
        <x:f>D3854*(C3854-1)</x:f>
        <x:v>0.002171519846445147</x:v>
      </x:c>
      <x:c r="F3854" s="2"/>
      <x:c r="G3854" s="2"/>
      <x:c r="H3854" s="2"/>
    </x:row>
    <x:row r="3855" ht="22" customHeight="1">
      <x:c r="A3855" s="2" t="n">
        <x:v>3849</x:v>
      </x:c>
      <x:c r="B3855" s="79" t="n">
        <x:v>-1.2519980756898155</x:v>
      </x:c>
      <x:c r="C3855" s="46" t="n">
        <x:f>B3855^2</x:f>
        <x:v>1.5674991815310009</x:v>
      </x:c>
      <x:c r="D3855" s="47" t="n">
        <x:f>'Datos'!$B$26^3/3</x:f>
        <x:v>0.3333333333333333</x:v>
      </x:c>
      <x:c r="E3855" s="46" t="n">
        <x:f>D3855*(C3855-1)</x:f>
        <x:v>0.18916639384366696</x:v>
      </x:c>
      <x:c r="F3855" s="2"/>
      <x:c r="G3855" s="2"/>
      <x:c r="H3855" s="2"/>
    </x:row>
    <x:row r="3856" ht="22" customHeight="1">
      <x:c r="A3856" s="2" t="n">
        <x:v>3850</x:v>
      </x:c>
      <x:c r="B3856" s="79" t="n">
        <x:v>0.5359530378378493</x:v>
      </x:c>
      <x:c r="C3856" s="46" t="n">
        <x:f>B3856^2</x:f>
        <x:v>0.28724565876761915</x:v>
      </x:c>
      <x:c r="D3856" s="47" t="n">
        <x:f>'Datos'!$B$26^3/3</x:f>
        <x:v>0.3333333333333333</x:v>
      </x:c>
      <x:c r="E3856" s="46" t="n">
        <x:f>D3856*(C3856-1)</x:f>
        <x:v>-0.23758478041079362</x:v>
      </x:c>
      <x:c r="F3856" s="2"/>
      <x:c r="G3856" s="2"/>
      <x:c r="H3856" s="2"/>
    </x:row>
    <x:row r="3857" ht="22" customHeight="1">
      <x:c r="A3857" s="2" t="n">
        <x:v>3851</x:v>
      </x:c>
      <x:c r="B3857" s="79" t="n">
        <x:v>-0.8796187736563741</x:v>
      </x:c>
      <x:c r="C3857" s="46" t="n">
        <x:f>B3857^2</x:f>
        <x:v>0.7737291869687435</x:v>
      </x:c>
      <x:c r="D3857" s="47" t="n">
        <x:f>'Datos'!$B$26^3/3</x:f>
        <x:v>0.3333333333333333</x:v>
      </x:c>
      <x:c r="E3857" s="46" t="n">
        <x:f>D3857*(C3857-1)</x:f>
        <x:v>-0.07542360434375217</x:v>
      </x:c>
      <x:c r="F3857" s="2"/>
      <x:c r="G3857" s="2"/>
      <x:c r="H3857" s="2"/>
    </x:row>
    <x:row r="3858" ht="22" customHeight="1">
      <x:c r="A3858" s="2" t="n">
        <x:v>3852</x:v>
      </x:c>
      <x:c r="B3858" s="79" t="n">
        <x:v>0.29262327374888936</x:v>
      </x:c>
      <x:c r="C3858" s="46" t="n">
        <x:f>B3858^2</x:f>
        <x:v>0.08562838033951743</x:v>
      </x:c>
      <x:c r="D3858" s="47" t="n">
        <x:f>'Datos'!$B$26^3/3</x:f>
        <x:v>0.3333333333333333</x:v>
      </x:c>
      <x:c r="E3858" s="46" t="n">
        <x:f>D3858*(C3858-1)</x:f>
        <x:v>-0.30479053988682747</x:v>
      </x:c>
      <x:c r="F3858" s="2"/>
      <x:c r="G3858" s="2"/>
      <x:c r="H3858" s="2"/>
    </x:row>
    <x:row r="3859" ht="22" customHeight="1">
      <x:c r="A3859" s="2" t="n">
        <x:v>3853</x:v>
      </x:c>
      <x:c r="B3859" s="79" t="n">
        <x:v>-0.29544889873629193</x:v>
      </x:c>
      <x:c r="C3859" s="46" t="n">
        <x:f>B3859^2</x:f>
        <x:v>0.08729005176448769</x:v>
      </x:c>
      <x:c r="D3859" s="47" t="n">
        <x:f>'Datos'!$B$26^3/3</x:f>
        <x:v>0.3333333333333333</x:v>
      </x:c>
      <x:c r="E3859" s="46" t="n">
        <x:f>D3859*(C3859-1)</x:f>
        <x:v>-0.3042366494118374</x:v>
      </x:c>
      <x:c r="F3859" s="2"/>
      <x:c r="G3859" s="2"/>
      <x:c r="H3859" s="2"/>
    </x:row>
    <x:row r="3860" ht="22" customHeight="1">
      <x:c r="A3860" s="2" t="n">
        <x:v>3854</x:v>
      </x:c>
      <x:c r="B3860" s="79" t="n">
        <x:v>0.32857893025629276</x:v>
      </x:c>
      <x:c r="C3860" s="46" t="n">
        <x:f>B3860^2</x:f>
        <x:v>0.1079641134083697</x:v>
      </x:c>
      <x:c r="D3860" s="47" t="n">
        <x:f>'Datos'!$B$26^3/3</x:f>
        <x:v>0.3333333333333333</x:v>
      </x:c>
      <x:c r="E3860" s="46" t="n">
        <x:f>D3860*(C3860-1)</x:f>
        <x:v>-0.2973452955305434</x:v>
      </x:c>
      <x:c r="F3860" s="2"/>
      <x:c r="G3860" s="2"/>
      <x:c r="H3860" s="2"/>
    </x:row>
    <x:row r="3861" ht="22" customHeight="1">
      <x:c r="A3861" s="2" t="n">
        <x:v>3855</x:v>
      </x:c>
      <x:c r="B3861" s="79" t="n">
        <x:v>0.7075461956450011</x:v>
      </x:c>
      <x:c r="C3861" s="46" t="n">
        <x:f>B3861^2</x:f>
        <x:v>0.5006216189717142</x:v>
      </x:c>
      <x:c r="D3861" s="47" t="n">
        <x:f>'Datos'!$B$26^3/3</x:f>
        <x:v>0.3333333333333333</x:v>
      </x:c>
      <x:c r="E3861" s="46" t="n">
        <x:f>D3861*(C3861-1)</x:f>
        <x:v>-0.16645946034276193</x:v>
      </x:c>
      <x:c r="F3861" s="2"/>
      <x:c r="G3861" s="2"/>
      <x:c r="H3861" s="2"/>
    </x:row>
    <x:row r="3862" ht="22" customHeight="1">
      <x:c r="A3862" s="2" t="n">
        <x:v>3856</x:v>
      </x:c>
      <x:c r="B3862" s="79" t="n">
        <x:v>1.180994751505891</x:v>
      </x:c>
      <x:c r="C3862" s="46" t="n">
        <x:f>B3862^2</x:f>
        <x:v>1.3947486030844611</x:v>
      </x:c>
      <x:c r="D3862" s="47" t="n">
        <x:f>'Datos'!$B$26^3/3</x:f>
        <x:v>0.3333333333333333</x:v>
      </x:c>
      <x:c r="E3862" s="46" t="n">
        <x:f>D3862*(C3862-1)</x:f>
        <x:v>0.13158286769482036</x:v>
      </x:c>
      <x:c r="F3862" s="2"/>
      <x:c r="G3862" s="2"/>
      <x:c r="H3862" s="2"/>
    </x:row>
    <x:row r="3863" ht="22" customHeight="1">
      <x:c r="A3863" s="2" t="n">
        <x:v>3857</x:v>
      </x:c>
      <x:c r="B3863" s="79" t="n">
        <x:v>1.8297232678829434</x:v>
      </x:c>
      <x:c r="C3863" s="46" t="n">
        <x:f>B3863^2</x:f>
        <x:v>3.3478872370322375</x:v>
      </x:c>
      <x:c r="D3863" s="47" t="n">
        <x:f>'Datos'!$B$26^3/3</x:f>
        <x:v>0.3333333333333333</x:v>
      </x:c>
      <x:c r="E3863" s="46" t="n">
        <x:f>D3863*(C3863-1)</x:f>
        <x:v>0.7826290790107457</x:v>
      </x:c>
      <x:c r="F3863" s="2"/>
      <x:c r="G3863" s="2"/>
      <x:c r="H3863" s="2"/>
    </x:row>
    <x:row r="3864" ht="22" customHeight="1">
      <x:c r="A3864" s="2" t="n">
        <x:v>3858</x:v>
      </x:c>
      <x:c r="B3864" s="79" t="n">
        <x:v>-0.14182515646372476</x:v>
      </x:c>
      <x:c r="C3864" s="46" t="n">
        <x:f>B3864^2</x:f>
        <x:v>0.02011437500596001</x:v>
      </x:c>
      <x:c r="D3864" s="47" t="n">
        <x:f>'Datos'!$B$26^3/3</x:f>
        <x:v>0.3333333333333333</x:v>
      </x:c>
      <x:c r="E3864" s="46" t="n">
        <x:f>D3864*(C3864-1)</x:f>
        <x:v>-0.32662854166467997</x:v>
      </x:c>
      <x:c r="F3864" s="2"/>
      <x:c r="G3864" s="2"/>
      <x:c r="H3864" s="2"/>
    </x:row>
    <x:row r="3865" ht="22" customHeight="1">
      <x:c r="A3865" s="2" t="n">
        <x:v>3859</x:v>
      </x:c>
      <x:c r="B3865" s="79" t="n">
        <x:v>1.0697274969675743</x:v>
      </x:c>
      <x:c r="C3865" s="46" t="n">
        <x:f>B3865^2</x:f>
        <x:v>1.1443169177685117</x:v>
      </x:c>
      <x:c r="D3865" s="47" t="n">
        <x:f>'Datos'!$B$26^3/3</x:f>
        <x:v>0.3333333333333333</x:v>
      </x:c>
      <x:c r="E3865" s="46" t="n">
        <x:f>D3865*(C3865-1)</x:f>
        <x:v>0.048105639256170576</x:v>
      </x:c>
      <x:c r="F3865" s="2"/>
      <x:c r="G3865" s="2"/>
      <x:c r="H3865" s="2"/>
    </x:row>
    <x:row r="3866" ht="22" customHeight="1">
      <x:c r="A3866" s="2" t="n">
        <x:v>3860</x:v>
      </x:c>
      <x:c r="B3866" s="79" t="n">
        <x:v>-0.253723998616392</x:v>
      </x:c>
      <x:c r="C3866" s="46" t="n">
        <x:f>B3866^2</x:f>
        <x:v>0.06437586747389089</x:v>
      </x:c>
      <x:c r="D3866" s="47" t="n">
        <x:f>'Datos'!$B$26^3/3</x:f>
        <x:v>0.3333333333333333</x:v>
      </x:c>
      <x:c r="E3866" s="46" t="n">
        <x:f>D3866*(C3866-1)</x:f>
        <x:v>-0.31187471084203633</x:v>
      </x:c>
      <x:c r="F3866" s="2"/>
      <x:c r="G3866" s="2"/>
      <x:c r="H3866" s="2"/>
    </x:row>
    <x:row r="3867" ht="22" customHeight="1">
      <x:c r="A3867" s="2" t="n">
        <x:v>3861</x:v>
      </x:c>
      <x:c r="B3867" s="79" t="n">
        <x:v>-0.9282452486661118</x:v>
      </x:c>
      <x:c r="C3867" s="46" t="n">
        <x:f>B3867^2</x:f>
        <x:v>0.8616392416712118</x:v>
      </x:c>
      <x:c r="D3867" s="47" t="n">
        <x:f>'Datos'!$B$26^3/3</x:f>
        <x:v>0.3333333333333333</x:v>
      </x:c>
      <x:c r="E3867" s="46" t="n">
        <x:f>D3867*(C3867-1)</x:f>
        <x:v>-0.04612025277626275</x:v>
      </x:c>
      <x:c r="F3867" s="2"/>
      <x:c r="G3867" s="2"/>
      <x:c r="H3867" s="2"/>
    </x:row>
    <x:row r="3868" ht="22" customHeight="1">
      <x:c r="A3868" s="2" t="n">
        <x:v>3862</x:v>
      </x:c>
      <x:c r="B3868" s="79" t="n">
        <x:v>-0.7461547909933938</x:v>
      </x:c>
      <x:c r="C3868" s="46" t="n">
        <x:f>B3868^2</x:f>
        <x:v>0.5567469721223951</x:v>
      </x:c>
      <x:c r="D3868" s="47" t="n">
        <x:f>'Datos'!$B$26^3/3</x:f>
        <x:v>0.3333333333333333</x:v>
      </x:c>
      <x:c r="E3868" s="46" t="n">
        <x:f>D3868*(C3868-1)</x:f>
        <x:v>-0.14775100929253496</x:v>
      </x:c>
      <x:c r="F3868" s="2"/>
      <x:c r="G3868" s="2"/>
      <x:c r="H3868" s="2"/>
    </x:row>
    <x:row r="3869" ht="22" customHeight="1">
      <x:c r="A3869" s="2" t="n">
        <x:v>3863</x:v>
      </x:c>
      <x:c r="B3869" s="79" t="n">
        <x:v>0.14122450902301636</x:v>
      </x:c>
      <x:c r="C3869" s="46" t="n">
        <x:f>B3869^2</x:f>
        <x:v>0.019944361948792032</x:v>
      </x:c>
      <x:c r="D3869" s="47" t="n">
        <x:f>'Datos'!$B$26^3/3</x:f>
        <x:v>0.3333333333333333</x:v>
      </x:c>
      <x:c r="E3869" s="46" t="n">
        <x:f>D3869*(C3869-1)</x:f>
        <x:v>-0.32668521268373596</x:v>
      </x:c>
      <x:c r="F3869" s="2"/>
      <x:c r="G3869" s="2"/>
      <x:c r="H3869" s="2"/>
    </x:row>
    <x:row r="3870" ht="22" customHeight="1">
      <x:c r="A3870" s="2" t="n">
        <x:v>3864</x:v>
      </x:c>
      <x:c r="B3870" s="79" t="n">
        <x:v>-0.5474882564128907</x:v>
      </x:c>
      <x:c r="C3870" s="46" t="n">
        <x:f>B3870^2</x:f>
        <x:v>0.2997433909100271</x:v>
      </x:c>
      <x:c r="D3870" s="47" t="n">
        <x:f>'Datos'!$B$26^3/3</x:f>
        <x:v>0.3333333333333333</x:v>
      </x:c>
      <x:c r="E3870" s="46" t="n">
        <x:f>D3870*(C3870-1)</x:f>
        <x:v>-0.23341886969665762</x:v>
      </x:c>
      <x:c r="F3870" s="2"/>
      <x:c r="G3870" s="2"/>
      <x:c r="H3870" s="2"/>
    </x:row>
    <x:row r="3871" ht="22" customHeight="1">
      <x:c r="A3871" s="2" t="n">
        <x:v>3865</x:v>
      </x:c>
      <x:c r="B3871" s="79" t="n">
        <x:v>0.9013592230485633</x:v>
      </x:c>
      <x:c r="C3871" s="46" t="n">
        <x:f>B3871^2</x:f>
        <x:v>0.8124484489747097</x:v>
      </x:c>
      <x:c r="D3871" s="47" t="n">
        <x:f>'Datos'!$B$26^3/3</x:f>
        <x:v>0.3333333333333333</x:v>
      </x:c>
      <x:c r="E3871" s="46" t="n">
        <x:f>D3871*(C3871-1)</x:f>
        <x:v>-0.06251718367509676</x:v>
      </x:c>
      <x:c r="F3871" s="2"/>
      <x:c r="G3871" s="2"/>
      <x:c r="H3871" s="2"/>
    </x:row>
    <x:row r="3872" ht="22" customHeight="1">
      <x:c r="A3872" s="2" t="n">
        <x:v>3866</x:v>
      </x:c>
      <x:c r="B3872" s="79" t="n">
        <x:v>0.9772110452411343</x:v>
      </x:c>
      <x:c r="C3872" s="46" t="n">
        <x:f>B3872^2</x:f>
        <x:v>0.9549414269412703</x:v>
      </x:c>
      <x:c r="D3872" s="47" t="n">
        <x:f>'Datos'!$B$26^3/3</x:f>
        <x:v>0.3333333333333333</x:v>
      </x:c>
      <x:c r="E3872" s="46" t="n">
        <x:f>D3872*(C3872-1)</x:f>
        <x:v>-0.01501952435290991</x:v>
      </x:c>
      <x:c r="F3872" s="2"/>
      <x:c r="G3872" s="2"/>
      <x:c r="H3872" s="2"/>
    </x:row>
    <x:row r="3873" ht="22" customHeight="1">
      <x:c r="A3873" s="2" t="n">
        <x:v>3867</x:v>
      </x:c>
      <x:c r="B3873" s="79" t="n">
        <x:v>0.1822282170127629</x:v>
      </x:c>
      <x:c r="C3873" s="46" t="n">
        <x:f>B3873^2</x:f>
        <x:v>0.03320712307565061</x:v>
      </x:c>
      <x:c r="D3873" s="47" t="n">
        <x:f>'Datos'!$B$26^3/3</x:f>
        <x:v>0.3333333333333333</x:v>
      </x:c>
      <x:c r="E3873" s="46" t="n">
        <x:f>D3873*(C3873-1)</x:f>
        <x:v>-0.32226429230811643</x:v>
      </x:c>
      <x:c r="F3873" s="2"/>
      <x:c r="G3873" s="2"/>
      <x:c r="H3873" s="2"/>
    </x:row>
    <x:row r="3874" ht="22" customHeight="1">
      <x:c r="A3874" s="2" t="n">
        <x:v>3868</x:v>
      </x:c>
      <x:c r="B3874" s="79" t="n">
        <x:v>-0.6688021464277224</x:v>
      </x:c>
      <x:c r="C3874" s="46" t="n">
        <x:f>B3874^2</x:f>
        <x:v>0.4472963110663286</x:v>
      </x:c>
      <x:c r="D3874" s="47" t="n">
        <x:f>'Datos'!$B$26^3/3</x:f>
        <x:v>0.3333333333333333</x:v>
      </x:c>
      <x:c r="E3874" s="46" t="n">
        <x:f>D3874*(C3874-1)</x:f>
        <x:v>-0.18423456297789045</x:v>
      </x:c>
      <x:c r="F3874" s="2"/>
      <x:c r="G3874" s="2"/>
      <x:c r="H3874" s="2"/>
    </x:row>
    <x:row r="3875" ht="22" customHeight="1">
      <x:c r="A3875" s="2" t="n">
        <x:v>3869</x:v>
      </x:c>
      <x:c r="B3875" s="79" t="n">
        <x:v>-0.3391978201713016</x:v>
      </x:c>
      <x:c r="C3875" s="46" t="n">
        <x:f>B3875^2</x:f>
        <x:v>0.11505516120896267</x:v>
      </x:c>
      <x:c r="D3875" s="47" t="n">
        <x:f>'Datos'!$B$26^3/3</x:f>
        <x:v>0.3333333333333333</x:v>
      </x:c>
      <x:c r="E3875" s="46" t="n">
        <x:f>D3875*(C3875-1)</x:f>
        <x:v>-0.29498161293034575</x:v>
      </x:c>
      <x:c r="F3875" s="2"/>
      <x:c r="G3875" s="2"/>
      <x:c r="H3875" s="2"/>
    </x:row>
    <x:row r="3876" ht="22" customHeight="1">
      <x:c r="A3876" s="2" t="n">
        <x:v>3870</x:v>
      </x:c>
      <x:c r="B3876" s="79" t="n">
        <x:v>-1.1927797054461187</x:v>
      </x:c>
      <x:c r="C3876" s="46" t="n">
        <x:f>B3876^2</x:f>
        <x:v>1.4227234257241297</x:v>
      </x:c>
      <x:c r="D3876" s="47" t="n">
        <x:f>'Datos'!$B$26^3/3</x:f>
        <x:v>0.3333333333333333</x:v>
      </x:c>
      <x:c r="E3876" s="46" t="n">
        <x:f>D3876*(C3876-1)</x:f>
        <x:v>0.1409078085747099</x:v>
      </x:c>
      <x:c r="F3876" s="2"/>
      <x:c r="G3876" s="2"/>
      <x:c r="H3876" s="2"/>
    </x:row>
    <x:row r="3877" ht="22" customHeight="1">
      <x:c r="A3877" s="2" t="n">
        <x:v>3871</x:v>
      </x:c>
      <x:c r="B3877" s="79" t="n">
        <x:v>1.493657416434479</x:v>
      </x:c>
      <x:c r="C3877" s="46" t="n">
        <x:f>B3877^2</x:f>
        <x:v>2.231012477669722</x:v>
      </x:c>
      <x:c r="D3877" s="47" t="n">
        <x:f>'Datos'!$B$26^3/3</x:f>
        <x:v>0.3333333333333333</x:v>
      </x:c>
      <x:c r="E3877" s="46" t="n">
        <x:f>D3877*(C3877-1)</x:f>
        <x:v>0.41033749255657403</x:v>
      </x:c>
      <x:c r="F3877" s="2"/>
      <x:c r="G3877" s="2"/>
      <x:c r="H3877" s="2"/>
    </x:row>
    <x:row r="3878" ht="22" customHeight="1">
      <x:c r="A3878" s="2" t="n">
        <x:v>3872</x:v>
      </x:c>
      <x:c r="B3878" s="79" t="n">
        <x:v>-0.3810851442791852</x:v>
      </x:c>
      <x:c r="C3878" s="46" t="n">
        <x:f>B3878^2</x:f>
        <x:v>0.14522588719028742</x:v>
      </x:c>
      <x:c r="D3878" s="47" t="n">
        <x:f>'Datos'!$B$26^3/3</x:f>
        <x:v>0.3333333333333333</x:v>
      </x:c>
      <x:c r="E3878" s="46" t="n">
        <x:f>D3878*(C3878-1)</x:f>
        <x:v>-0.2849247042699042</x:v>
      </x:c>
      <x:c r="F3878" s="2"/>
      <x:c r="G3878" s="2"/>
      <x:c r="H3878" s="2"/>
    </x:row>
    <x:row r="3879" ht="22" customHeight="1">
      <x:c r="A3879" s="2" t="n">
        <x:v>3873</x:v>
      </x:c>
      <x:c r="B3879" s="79" t="n">
        <x:v>0.3347902820482275</x:v>
      </x:c>
      <x:c r="C3879" s="46" t="n">
        <x:f>B3879^2</x:f>
        <x:v>0.11208453295393174</x:v>
      </x:c>
      <x:c r="D3879" s="47" t="n">
        <x:f>'Datos'!$B$26^3/3</x:f>
        <x:v>0.3333333333333333</x:v>
      </x:c>
      <x:c r="E3879" s="46" t="n">
        <x:f>D3879*(C3879-1)</x:f>
        <x:v>-0.2959718223486894</x:v>
      </x:c>
      <x:c r="F3879" s="2"/>
      <x:c r="G3879" s="2"/>
      <x:c r="H3879" s="2"/>
    </x:row>
    <x:row r="3880" ht="22" customHeight="1">
      <x:c r="A3880" s="2" t="n">
        <x:v>3874</x:v>
      </x:c>
      <x:c r="B3880" s="79" t="n">
        <x:v>0.1184966130689438</x:v>
      </x:c>
      <x:c r="C3880" s="46" t="n">
        <x:f>B3880^2</x:f>
        <x:v>0.014041447308810982</x:v>
      </x:c>
      <x:c r="D3880" s="47" t="n">
        <x:f>'Datos'!$B$26^3/3</x:f>
        <x:v>0.3333333333333333</x:v>
      </x:c>
      <x:c r="E3880" s="46" t="n">
        <x:f>D3880*(C3880-1)</x:f>
        <x:v>-0.328652850897063</x:v>
      </x:c>
      <x:c r="F3880" s="2"/>
      <x:c r="G3880" s="2"/>
      <x:c r="H3880" s="2"/>
    </x:row>
    <x:row r="3881" ht="22" customHeight="1">
      <x:c r="A3881" s="2" t="n">
        <x:v>3875</x:v>
      </x:c>
      <x:c r="B3881" s="79" t="n">
        <x:v>1.3293101195188795</x:v>
      </x:c>
      <x:c r="C3881" s="46" t="n">
        <x:f>B3881^2</x:f>
        <x:v>1.7670653938552976</x:v>
      </x:c>
      <x:c r="D3881" s="47" t="n">
        <x:f>'Datos'!$B$26^3/3</x:f>
        <x:v>0.3333333333333333</x:v>
      </x:c>
      <x:c r="E3881" s="46" t="n">
        <x:f>D3881*(C3881-1)</x:f>
        <x:v>0.25568846461843253</x:v>
      </x:c>
      <x:c r="F3881" s="2"/>
      <x:c r="G3881" s="2"/>
      <x:c r="H3881" s="2"/>
    </x:row>
    <x:row r="3882" ht="22" customHeight="1">
      <x:c r="A3882" s="2" t="n">
        <x:v>3876</x:v>
      </x:c>
      <x:c r="B3882" s="79" t="n">
        <x:v>-0.809422549981787</x:v>
      </x:c>
      <x:c r="C3882" s="46" t="n">
        <x:f>B3882^2</x:f>
        <x:v>0.6551648644190184</x:v>
      </x:c>
      <x:c r="D3882" s="47" t="n">
        <x:f>'Datos'!$B$26^3/3</x:f>
        <x:v>0.3333333333333333</x:v>
      </x:c>
      <x:c r="E3882" s="46" t="n">
        <x:f>D3882*(C3882-1)</x:f>
        <x:v>-0.11494504519366051</x:v>
      </x:c>
      <x:c r="F3882" s="2"/>
      <x:c r="G3882" s="2"/>
      <x:c r="H3882" s="2"/>
    </x:row>
    <x:row r="3883" ht="22" customHeight="1">
      <x:c r="A3883" s="2" t="n">
        <x:v>3877</x:v>
      </x:c>
      <x:c r="B3883" s="79" t="n">
        <x:v>0.4970828343703019</x:v>
      </x:c>
      <x:c r="C3883" s="46" t="n">
        <x:f>B3883^2</x:f>
        <x:v>0.24709134422561296</x:v>
      </x:c>
      <x:c r="D3883" s="47" t="n">
        <x:f>'Datos'!$B$26^3/3</x:f>
        <x:v>0.3333333333333333</x:v>
      </x:c>
      <x:c r="E3883" s="46" t="n">
        <x:f>D3883*(C3883-1)</x:f>
        <x:v>-0.25096955192479564</x:v>
      </x:c>
      <x:c r="F3883" s="2"/>
      <x:c r="G3883" s="2"/>
      <x:c r="H3883" s="2"/>
    </x:row>
    <x:row r="3884" ht="22" customHeight="1">
      <x:c r="A3884" s="2" t="n">
        <x:v>3878</x:v>
      </x:c>
      <x:c r="B3884" s="79" t="n">
        <x:v>-0.8238316869439415</x:v>
      </x:c>
      <x:c r="C3884" s="46" t="n">
        <x:f>B3884^2</x:f>
        <x:v>0.6786986484129004</x:v>
      </x:c>
      <x:c r="D3884" s="47" t="n">
        <x:f>'Datos'!$B$26^3/3</x:f>
        <x:v>0.3333333333333333</x:v>
      </x:c>
      <x:c r="E3884" s="46" t="n">
        <x:f>D3884*(C3884-1)</x:f>
        <x:v>-0.10710045052903319</x:v>
      </x:c>
      <x:c r="F3884" s="2"/>
      <x:c r="G3884" s="2"/>
      <x:c r="H3884" s="2"/>
    </x:row>
    <x:row r="3885" ht="22" customHeight="1">
      <x:c r="A3885" s="2" t="n">
        <x:v>3879</x:v>
      </x:c>
      <x:c r="B3885" s="79" t="n">
        <x:v>-1.149834312791616</x:v>
      </x:c>
      <x:c r="C3885" s="46" t="n">
        <x:f>B3885^2</x:f>
        <x:v>1.3221189468729677</x:v>
      </x:c>
      <x:c r="D3885" s="47" t="n">
        <x:f>'Datos'!$B$26^3/3</x:f>
        <x:v>0.3333333333333333</x:v>
      </x:c>
      <x:c r="E3885" s="46" t="n">
        <x:f>D3885*(C3885-1)</x:f>
        <x:v>0.10737298229098924</x:v>
      </x:c>
      <x:c r="F3885" s="2"/>
      <x:c r="G3885" s="2"/>
      <x:c r="H3885" s="2"/>
    </x:row>
    <x:row r="3886" ht="22" customHeight="1">
      <x:c r="A3886" s="2" t="n">
        <x:v>3880</x:v>
      </x:c>
      <x:c r="B3886" s="79" t="n">
        <x:v>0.7358750261752258</x:v>
      </x:c>
      <x:c r="C3886" s="46" t="n">
        <x:f>B3886^2</x:f>
        <x:v>0.5415120541483893</x:v>
      </x:c>
      <x:c r="D3886" s="47" t="n">
        <x:f>'Datos'!$B$26^3/3</x:f>
        <x:v>0.3333333333333333</x:v>
      </x:c>
      <x:c r="E3886" s="46" t="n">
        <x:f>D3886*(C3886-1)</x:f>
        <x:v>-0.15282931528387023</x:v>
      </x:c>
      <x:c r="F3886" s="2"/>
      <x:c r="G3886" s="2"/>
      <x:c r="H3886" s="2"/>
    </x:row>
    <x:row r="3887" ht="22" customHeight="1">
      <x:c r="A3887" s="2" t="n">
        <x:v>3881</x:v>
      </x:c>
      <x:c r="B3887" s="79" t="n">
        <x:v>0.517550711897801</x:v>
      </x:c>
      <x:c r="C3887" s="46" t="n">
        <x:f>B3887^2</x:f>
        <x:v>0.2678587393859206</x:v>
      </x:c>
      <x:c r="D3887" s="47" t="n">
        <x:f>'Datos'!$B$26^3/3</x:f>
        <x:v>0.3333333333333333</x:v>
      </x:c>
      <x:c r="E3887" s="46" t="n">
        <x:f>D3887*(C3887-1)</x:f>
        <x:v>-0.2440470868713598</x:v>
      </x:c>
      <x:c r="F3887" s="2"/>
      <x:c r="G3887" s="2"/>
      <x:c r="H3887" s="2"/>
    </x:row>
    <x:row r="3888" ht="22" customHeight="1">
      <x:c r="A3888" s="2" t="n">
        <x:v>3882</x:v>
      </x:c>
      <x:c r="B3888" s="79" t="n">
        <x:v>0.24634589591501657</x:v>
      </x:c>
      <x:c r="C3888" s="46" t="n">
        <x:f>B3888^2</x:f>
        <x:v>0.060686300434172176</x:v>
      </x:c>
      <x:c r="D3888" s="47" t="n">
        <x:f>'Datos'!$B$26^3/3</x:f>
        <x:v>0.3333333333333333</x:v>
      </x:c>
      <x:c r="E3888" s="46" t="n">
        <x:f>D3888*(C3888-1)</x:f>
        <x:v>-0.3131045665219426</x:v>
      </x:c>
      <x:c r="F3888" s="2"/>
      <x:c r="G3888" s="2"/>
      <x:c r="H3888" s="2"/>
    </x:row>
    <x:row r="3889" ht="22" customHeight="1">
      <x:c r="A3889" s="2" t="n">
        <x:v>3883</x:v>
      </x:c>
      <x:c r="B3889" s="79" t="n">
        <x:v>-0.4794072906562816</x:v>
      </x:c>
      <x:c r="C3889" s="46" t="n">
        <x:f>B3889^2</x:f>
        <x:v>0.2298313503343965</x:v>
      </x:c>
      <x:c r="D3889" s="47" t="n">
        <x:f>'Datos'!$B$26^3/3</x:f>
        <x:v>0.3333333333333333</x:v>
      </x:c>
      <x:c r="E3889" s="46" t="n">
        <x:f>D3889*(C3889-1)</x:f>
        <x:v>-0.2567228832218678</x:v>
      </x:c>
      <x:c r="F3889" s="2"/>
      <x:c r="G3889" s="2"/>
      <x:c r="H3889" s="2"/>
    </x:row>
    <x:row r="3890" ht="22" customHeight="1">
      <x:c r="A3890" s="2" t="n">
        <x:v>3884</x:v>
      </x:c>
      <x:c r="B3890" s="79" t="n">
        <x:v>-0.6373325344577173</x:v>
      </x:c>
      <x:c r="C3890" s="46" t="n">
        <x:f>B3890^2</x:f>
        <x:v>0.4061927594782974</x:v>
      </x:c>
      <x:c r="D3890" s="47" t="n">
        <x:f>'Datos'!$B$26^3/3</x:f>
        <x:v>0.3333333333333333</x:v>
      </x:c>
      <x:c r="E3890" s="46" t="n">
        <x:f>D3890*(C3890-1)</x:f>
        <x:v>-0.1979357468405675</x:v>
      </x:c>
      <x:c r="F3890" s="2"/>
      <x:c r="G3890" s="2"/>
      <x:c r="H3890" s="2"/>
    </x:row>
    <x:row r="3891" ht="22" customHeight="1">
      <x:c r="A3891" s="2" t="n">
        <x:v>3885</x:v>
      </x:c>
      <x:c r="B3891" s="79" t="n">
        <x:v>-0.9218016322853209</x:v>
      </x:c>
      <x:c r="C3891" s="46" t="n">
        <x:f>B3891^2</x:f>
        <x:v>0.8497182492838818</x:v>
      </x:c>
      <x:c r="D3891" s="47" t="n">
        <x:f>'Datos'!$B$26^3/3</x:f>
        <x:v>0.3333333333333333</x:v>
      </x:c>
      <x:c r="E3891" s="46" t="n">
        <x:f>D3891*(C3891-1)</x:f>
        <x:v>-0.050093916905372717</x:v>
      </x:c>
      <x:c r="F3891" s="2"/>
      <x:c r="G3891" s="2"/>
      <x:c r="H3891" s="2"/>
    </x:row>
    <x:row r="3892" ht="22" customHeight="1">
      <x:c r="A3892" s="2" t="n">
        <x:v>3886</x:v>
      </x:c>
      <x:c r="B3892" s="79" t="n">
        <x:v>-1.8116627002931847</x:v>
      </x:c>
      <x:c r="C3892" s="46" t="n">
        <x:f>B3892^2</x:f>
        <x:v>3.2821217396335935</x:v>
      </x:c>
      <x:c r="D3892" s="47" t="n">
        <x:f>'Datos'!$B$26^3/3</x:f>
        <x:v>0.3333333333333333</x:v>
      </x:c>
      <x:c r="E3892" s="46" t="n">
        <x:f>D3892*(C3892-1)</x:f>
        <x:v>0.7607072465445311</x:v>
      </x:c>
      <x:c r="F3892" s="2"/>
      <x:c r="G3892" s="2"/>
      <x:c r="H3892" s="2"/>
    </x:row>
    <x:row r="3893" ht="22" customHeight="1">
      <x:c r="A3893" s="2" t="n">
        <x:v>3887</x:v>
      </x:c>
      <x:c r="B3893" s="79" t="n">
        <x:v>2.436340432243141</x:v>
      </x:c>
      <x:c r="C3893" s="46" t="n">
        <x:f>B3893^2</x:f>
        <x:v>5.935754701782694</x:v>
      </x:c>
      <x:c r="D3893" s="47" t="n">
        <x:f>'Datos'!$B$26^3/3</x:f>
        <x:v>0.3333333333333333</x:v>
      </x:c>
      <x:c r="E3893" s="46" t="n">
        <x:f>D3893*(C3893-1)</x:f>
        <x:v>1.645251567260898</x:v>
      </x:c>
      <x:c r="F3893" s="2"/>
      <x:c r="G3893" s="2"/>
      <x:c r="H3893" s="2"/>
    </x:row>
    <x:row r="3894" ht="22" customHeight="1">
      <x:c r="A3894" s="2" t="n">
        <x:v>3888</x:v>
      </x:c>
      <x:c r="B3894" s="79" t="n">
        <x:v>-0.24828317235534877</x:v>
      </x:c>
      <x:c r="C3894" s="46" t="n">
        <x:f>B3894^2</x:f>
        <x:v>0.06164453367483583</x:v>
      </x:c>
      <x:c r="D3894" s="47" t="n">
        <x:f>'Datos'!$B$26^3/3</x:f>
        <x:v>0.3333333333333333</x:v>
      </x:c>
      <x:c r="E3894" s="46" t="n">
        <x:f>D3894*(C3894-1)</x:f>
        <x:v>-0.31278515544172136</x:v>
      </x:c>
      <x:c r="F3894" s="2"/>
      <x:c r="G3894" s="2"/>
      <x:c r="H3894" s="2"/>
    </x:row>
    <x:row r="3895" ht="22" customHeight="1">
      <x:c r="A3895" s="2" t="n">
        <x:v>3889</x:v>
      </x:c>
      <x:c r="B3895" s="79" t="n">
        <x:v>-0.9063669359743444</x:v>
      </x:c>
      <x:c r="C3895" s="46" t="n">
        <x:f>B3895^2</x:f>
        <x:v>0.8215010226275212</x:v>
      </x:c>
      <x:c r="D3895" s="47" t="n">
        <x:f>'Datos'!$B$26^3/3</x:f>
        <x:v>0.3333333333333333</x:v>
      </x:c>
      <x:c r="E3895" s="46" t="n">
        <x:f>D3895*(C3895-1)</x:f>
        <x:v>-0.05949965912415959</x:v>
      </x:c>
      <x:c r="F3895" s="2"/>
      <x:c r="G3895" s="2"/>
      <x:c r="H3895" s="2"/>
    </x:row>
    <x:row r="3896" ht="22" customHeight="1">
      <x:c r="A3896" s="2" t="n">
        <x:v>3890</x:v>
      </x:c>
      <x:c r="B3896" s="79" t="n">
        <x:v>0.12227021613802935</x:v>
      </x:c>
      <x:c r="C3896" s="46" t="n">
        <x:f>B3896^2</x:f>
        <x:v>0.014950005754440414</x:v>
      </x:c>
      <x:c r="D3896" s="47" t="n">
        <x:f>'Datos'!$B$26^3/3</x:f>
        <x:v>0.3333333333333333</x:v>
      </x:c>
      <x:c r="E3896" s="46" t="n">
        <x:f>D3896*(C3896-1)</x:f>
        <x:v>-0.32834999808185317</x:v>
      </x:c>
      <x:c r="F3896" s="2"/>
      <x:c r="G3896" s="2"/>
      <x:c r="H3896" s="2"/>
    </x:row>
    <x:row r="3897" ht="22" customHeight="1">
      <x:c r="A3897" s="2" t="n">
        <x:v>3891</x:v>
      </x:c>
      <x:c r="B3897" s="79" t="n">
        <x:v>0.4541488805679247</x:v>
      </x:c>
      <x:c r="C3897" s="46" t="n">
        <x:f>B3897^2</x:f>
        <x:v>0.20625120572109912</x:v>
      </x:c>
      <x:c r="D3897" s="47" t="n">
        <x:f>'Datos'!$B$26^3/3</x:f>
        <x:v>0.3333333333333333</x:v>
      </x:c>
      <x:c r="E3897" s="46" t="n">
        <x:f>D3897*(C3897-1)</x:f>
        <x:v>-0.2645829314263003</x:v>
      </x:c>
      <x:c r="F3897" s="2"/>
      <x:c r="G3897" s="2"/>
      <x:c r="H3897" s="2"/>
    </x:row>
    <x:row r="3898" ht="22" customHeight="1">
      <x:c r="A3898" s="2" t="n">
        <x:v>3892</x:v>
      </x:c>
      <x:c r="B3898" s="79" t="n">
        <x:v>1.8055012620686892</x:v>
      </x:c>
      <x:c r="C3898" s="46" t="n">
        <x:f>B3898^2</x:f>
        <x:v>3.2598348073316297</x:v>
      </x:c>
      <x:c r="D3898" s="47" t="n">
        <x:f>'Datos'!$B$26^3/3</x:f>
        <x:v>0.3333333333333333</x:v>
      </x:c>
      <x:c r="E3898" s="46" t="n">
        <x:f>D3898*(C3898-1)</x:f>
        <x:v>0.7532782691105432</x:v>
      </x:c>
      <x:c r="F3898" s="2"/>
      <x:c r="G3898" s="2"/>
      <x:c r="H3898" s="2"/>
    </x:row>
    <x:row r="3899" ht="22" customHeight="1">
      <x:c r="A3899" s="2" t="n">
        <x:v>3893</x:v>
      </x:c>
      <x:c r="B3899" s="79" t="n">
        <x:v>0.029184158881767334</x:v>
      </x:c>
      <x:c r="C3899" s="46" t="n">
        <x:f>B3899^2</x:f>
        <x:v>0.0008517151296362392</x:v>
      </x:c>
      <x:c r="D3899" s="47" t="n">
        <x:f>'Datos'!$B$26^3/3</x:f>
        <x:v>0.3333333333333333</x:v>
      </x:c>
      <x:c r="E3899" s="46" t="n">
        <x:f>D3899*(C3899-1)</x:f>
        <x:v>-0.33304942829012124</x:v>
      </x:c>
      <x:c r="F3899" s="2"/>
      <x:c r="G3899" s="2"/>
      <x:c r="H3899" s="2"/>
    </x:row>
    <x:row r="3900" ht="22" customHeight="1">
      <x:c r="A3900" s="2" t="n">
        <x:v>3894</x:v>
      </x:c>
      <x:c r="B3900" s="79" t="n">
        <x:v>0.8942579022778581</x:v>
      </x:c>
      <x:c r="C3900" s="46" t="n">
        <x:f>B3900^2</x:f>
        <x:v>0.7996971957863951</x:v>
      </x:c>
      <x:c r="D3900" s="47" t="n">
        <x:f>'Datos'!$B$26^3/3</x:f>
        <x:v>0.3333333333333333</x:v>
      </x:c>
      <x:c r="E3900" s="46" t="n">
        <x:f>D3900*(C3900-1)</x:f>
        <x:v>-0.06676760140453497</x:v>
      </x:c>
      <x:c r="F3900" s="2"/>
      <x:c r="G3900" s="2"/>
      <x:c r="H3900" s="2"/>
    </x:row>
    <x:row r="3901" ht="22" customHeight="1">
      <x:c r="A3901" s="2" t="n">
        <x:v>3895</x:v>
      </x:c>
      <x:c r="B3901" s="79" t="n">
        <x:v>-0.7029606762168051</x:v>
      </x:c>
      <x:c r="C3901" s="46" t="n">
        <x:f>B3901^2</x:f>
        <x:v>0.49415371230718796</x:v>
      </x:c>
      <x:c r="D3901" s="47" t="n">
        <x:f>'Datos'!$B$26^3/3</x:f>
        <x:v>0.3333333333333333</x:v>
      </x:c>
      <x:c r="E3901" s="46" t="n">
        <x:f>D3901*(C3901-1)</x:f>
        <x:v>-0.16861542923093734</x:v>
      </x:c>
      <x:c r="F3901" s="2"/>
      <x:c r="G3901" s="2"/>
      <x:c r="H3901" s="2"/>
    </x:row>
    <x:row r="3902" ht="22" customHeight="1">
      <x:c r="A3902" s="2" t="n">
        <x:v>3896</x:v>
      </x:c>
      <x:c r="B3902" s="79" t="n">
        <x:v>-1.1917820895123024</x:v>
      </x:c>
      <x:c r="C3902" s="46" t="n">
        <x:f>B3902^2</x:f>
        <x:v>1.4203445488823094</x:v>
      </x:c>
      <x:c r="D3902" s="47" t="n">
        <x:f>'Datos'!$B$26^3/3</x:f>
        <x:v>0.3333333333333333</x:v>
      </x:c>
      <x:c r="E3902" s="46" t="n">
        <x:f>D3902*(C3902-1)</x:f>
        <x:v>0.14011484962743648</x:v>
      </x:c>
      <x:c r="F3902" s="2"/>
      <x:c r="G3902" s="2"/>
      <x:c r="H3902" s="2"/>
    </x:row>
    <x:row r="3903" ht="22" customHeight="1">
      <x:c r="A3903" s="2" t="n">
        <x:v>3897</x:v>
      </x:c>
      <x:c r="B3903" s="79" t="n">
        <x:v>0.8947925274810712</x:v>
      </x:c>
      <x:c r="C3903" s="46" t="n">
        <x:f>B3903^2</x:f>
        <x:v>0.8006536672359635</x:v>
      </x:c>
      <x:c r="D3903" s="47" t="n">
        <x:f>'Datos'!$B$26^3/3</x:f>
        <x:v>0.3333333333333333</x:v>
      </x:c>
      <x:c r="E3903" s="46" t="n">
        <x:f>D3903*(C3903-1)</x:f>
        <x:v>-0.06644877758801215</x:v>
      </x:c>
      <x:c r="F3903" s="2"/>
      <x:c r="G3903" s="2"/>
      <x:c r="H3903" s="2"/>
    </x:row>
    <x:row r="3904" ht="22" customHeight="1">
      <x:c r="A3904" s="2" t="n">
        <x:v>3898</x:v>
      </x:c>
      <x:c r="B3904" s="79" t="n">
        <x:v>-0.3710850556572095</x:v>
      </x:c>
      <x:c r="C3904" s="46" t="n">
        <x:f>B3904^2</x:f>
        <x:v>0.13770411853211428</x:v>
      </x:c>
      <x:c r="D3904" s="47" t="n">
        <x:f>'Datos'!$B$26^3/3</x:f>
        <x:v>0.3333333333333333</x:v>
      </x:c>
      <x:c r="E3904" s="46" t="n">
        <x:f>D3904*(C3904-1)</x:f>
        <x:v>-0.2874319604892952</x:v>
      </x:c>
      <x:c r="F3904" s="2"/>
      <x:c r="G3904" s="2"/>
      <x:c r="H3904" s="2"/>
    </x:row>
    <x:row r="3905" ht="22" customHeight="1">
      <x:c r="A3905" s="2" t="n">
        <x:v>3899</x:v>
      </x:c>
      <x:c r="B3905" s="79" t="n">
        <x:v>-1.8384443503230024</x:v>
      </x:c>
      <x:c r="C3905" s="46" t="n">
        <x:f>B3905^2</x:f>
        <x:v>3.3798776292345662</x:v>
      </x:c>
      <x:c r="D3905" s="47" t="n">
        <x:f>'Datos'!$B$26^3/3</x:f>
        <x:v>0.3333333333333333</x:v>
      </x:c>
      <x:c r="E3905" s="46" t="n">
        <x:f>D3905*(C3905-1)</x:f>
        <x:v>0.7932925430781887</x:v>
      </x:c>
      <x:c r="F3905" s="2"/>
      <x:c r="G3905" s="2"/>
      <x:c r="H3905" s="2"/>
    </x:row>
    <x:row r="3906" ht="22" customHeight="1">
      <x:c r="A3906" s="2" t="n">
        <x:v>3900</x:v>
      </x:c>
      <x:c r="B3906" s="79" t="n">
        <x:v>0.5728190453244896</x:v>
      </x:c>
      <x:c r="C3906" s="46" t="n">
        <x:f>B3906^2</x:f>
        <x:v>0.32812165868645965</x:v>
      </x:c>
      <x:c r="D3906" s="47" t="n">
        <x:f>'Datos'!$B$26^3/3</x:f>
        <x:v>0.3333333333333333</x:v>
      </x:c>
      <x:c r="E3906" s="46" t="n">
        <x:f>D3906*(C3906-1)</x:f>
        <x:v>-0.22395944710451343</x:v>
      </x:c>
      <x:c r="F3906" s="2"/>
      <x:c r="G3906" s="2"/>
      <x:c r="H3906" s="2"/>
    </x:row>
    <x:row r="3907" ht="22" customHeight="1">
      <x:c r="A3907" s="2" t="n">
        <x:v>3901</x:v>
      </x:c>
      <x:c r="B3907" s="79" t="n">
        <x:v>-1.3910385264132696</x:v>
      </x:c>
      <x:c r="C3907" s="46" t="n">
        <x:f>B3907^2</x:f>
        <x:v>1.9349881819660006</x:v>
      </x:c>
      <x:c r="D3907" s="47" t="n">
        <x:f>'Datos'!$B$26^3/3</x:f>
        <x:v>0.3333333333333333</x:v>
      </x:c>
      <x:c r="E3907" s="46" t="n">
        <x:f>D3907*(C3907-1)</x:f>
        <x:v>0.3116627273220002</x:v>
      </x:c>
      <x:c r="F3907" s="2"/>
      <x:c r="G3907" s="2"/>
      <x:c r="H3907" s="2"/>
    </x:row>
    <x:row r="3908" ht="22" customHeight="1">
      <x:c r="A3908" s="2" t="n">
        <x:v>3902</x:v>
      </x:c>
      <x:c r="B3908" s="79" t="n">
        <x:v>-0.9536449909798864</x:v>
      </x:c>
      <x:c r="C3908" s="46" t="n">
        <x:f>B3908^2</x:f>
        <x:v>0.9094387688210277</x:v>
      </x:c>
      <x:c r="D3908" s="47" t="n">
        <x:f>'Datos'!$B$26^3/3</x:f>
        <x:v>0.3333333333333333</x:v>
      </x:c>
      <x:c r="E3908" s="46" t="n">
        <x:f>D3908*(C3908-1)</x:f>
        <x:v>-0.03018707705965743</x:v>
      </x:c>
      <x:c r="F3908" s="2"/>
      <x:c r="G3908" s="2"/>
      <x:c r="H3908" s="2"/>
    </x:row>
    <x:row r="3909" ht="22" customHeight="1">
      <x:c r="A3909" s="2" t="n">
        <x:v>3903</x:v>
      </x:c>
      <x:c r="B3909" s="79" t="n">
        <x:v>-1.387748416215298</x:v>
      </x:c>
      <x:c r="C3909" s="46" t="n">
        <x:f>B3909^2</x:f>
        <x:v>1.925845666708068</x:v>
      </x:c>
      <x:c r="D3909" s="47" t="n">
        <x:f>'Datos'!$B$26^3/3</x:f>
        <x:v>0.3333333333333333</x:v>
      </x:c>
      <x:c r="E3909" s="46" t="n">
        <x:f>D3909*(C3909-1)</x:f>
        <x:v>0.3086152222360226</x:v>
      </x:c>
      <x:c r="F3909" s="2"/>
      <x:c r="G3909" s="2"/>
      <x:c r="H3909" s="2"/>
    </x:row>
    <x:row r="3910" ht="22" customHeight="1">
      <x:c r="A3910" s="2" t="n">
        <x:v>3904</x:v>
      </x:c>
      <x:c r="B3910" s="79" t="n">
        <x:v>1.283514313861515</x:v>
      </x:c>
      <x:c r="C3910" s="46" t="n">
        <x:f>B3910^2</x:f>
        <x:v>1.6474089938873957</x:v>
      </x:c>
      <x:c r="D3910" s="47" t="n">
        <x:f>'Datos'!$B$26^3/3</x:f>
        <x:v>0.3333333333333333</x:v>
      </x:c>
      <x:c r="E3910" s="46" t="n">
        <x:f>D3910*(C3910-1)</x:f>
        <x:v>0.21580299796246522</x:v>
      </x:c>
      <x:c r="F3910" s="2"/>
      <x:c r="G3910" s="2"/>
      <x:c r="H3910" s="2"/>
    </x:row>
    <x:row r="3911" ht="22" customHeight="1">
      <x:c r="A3911" s="2" t="n">
        <x:v>3905</x:v>
      </x:c>
      <x:c r="B3911" s="79" t="n">
        <x:v>1.5808293272641678</x:v>
      </x:c>
      <x:c r="C3911" s="46" t="n">
        <x:f>B3911^2</x:f>
        <x:v>2.4990213619384813</x:v>
      </x:c>
      <x:c r="D3911" s="47" t="n">
        <x:f>'Datos'!$B$26^3/3</x:f>
        <x:v>0.3333333333333333</x:v>
      </x:c>
      <x:c r="E3911" s="46" t="n">
        <x:f>D3911*(C3911-1)</x:f>
        <x:v>0.4996737873128271</x:v>
      </x:c>
      <x:c r="F3911" s="2"/>
      <x:c r="G3911" s="2"/>
      <x:c r="H3911" s="2"/>
    </x:row>
    <x:row r="3912" ht="22" customHeight="1">
      <x:c r="A3912" s="2" t="n">
        <x:v>3906</x:v>
      </x:c>
      <x:c r="B3912" s="79" t="n">
        <x:v>0.9621064939576627</x:v>
      </x:c>
      <x:c r="C3912" s="46" t="n">
        <x:f>B3912^2</x:f>
        <x:v>0.9256489057155061</x:v>
      </x:c>
      <x:c r="D3912" s="47" t="n">
        <x:f>'Datos'!$B$26^3/3</x:f>
        <x:v>0.3333333333333333</x:v>
      </x:c>
      <x:c r="E3912" s="46" t="n">
        <x:f>D3912*(C3912-1)</x:f>
        <x:v>-0.02478369809483131</x:v>
      </x:c>
      <x:c r="F3912" s="2"/>
      <x:c r="G3912" s="2"/>
      <x:c r="H3912" s="2"/>
    </x:row>
    <x:row r="3913" ht="22" customHeight="1">
      <x:c r="A3913" s="2" t="n">
        <x:v>3907</x:v>
      </x:c>
      <x:c r="B3913" s="79" t="n">
        <x:v>-0.3207587270132811</x:v>
      </x:c>
      <x:c r="C3913" s="46" t="n">
        <x:f>B3913^2</x:f>
        <x:v>0.1028861609551806</x:v>
      </x:c>
      <x:c r="D3913" s="47" t="n">
        <x:f>'Datos'!$B$26^3/3</x:f>
        <x:v>0.3333333333333333</x:v>
      </x:c>
      <x:c r="E3913" s="46" t="n">
        <x:f>D3913*(C3913-1)</x:f>
        <x:v>-0.29903794634827313</x:v>
      </x:c>
      <x:c r="F3913" s="2"/>
      <x:c r="G3913" s="2"/>
      <x:c r="H3913" s="2"/>
    </x:row>
    <x:row r="3914" ht="22" customHeight="1">
      <x:c r="A3914" s="2" t="n">
        <x:v>3908</x:v>
      </x:c>
      <x:c r="B3914" s="79" t="n">
        <x:v>0.4648280344519102</x:v>
      </x:c>
      <x:c r="C3914" s="46" t="n">
        <x:f>B3914^2</x:f>
        <x:v>0.2160651016124262</x:v>
      </x:c>
      <x:c r="D3914" s="47" t="n">
        <x:f>'Datos'!$B$26^3/3</x:f>
        <x:v>0.3333333333333333</x:v>
      </x:c>
      <x:c r="E3914" s="46" t="n">
        <x:f>D3914*(C3914-1)</x:f>
        <x:v>-0.2613116327958579</x:v>
      </x:c>
      <x:c r="F3914" s="2"/>
      <x:c r="G3914" s="2"/>
      <x:c r="H3914" s="2"/>
    </x:row>
    <x:row r="3915" ht="22" customHeight="1">
      <x:c r="A3915" s="2" t="n">
        <x:v>3909</x:v>
      </x:c>
      <x:c r="B3915" s="79" t="n">
        <x:v>-0.8211710082445101</x:v>
      </x:c>
      <x:c r="C3915" s="46" t="n">
        <x:f>B3915^2</x:f>
        <x:v>0.6743218247813052</x:v>
      </x:c>
      <x:c r="D3915" s="47" t="n">
        <x:f>'Datos'!$B$26^3/3</x:f>
        <x:v>0.3333333333333333</x:v>
      </x:c>
      <x:c r="E3915" s="46" t="n">
        <x:f>D3915*(C3915-1)</x:f>
        <x:v>-0.10855939173956493</x:v>
      </x:c>
      <x:c r="F3915" s="2"/>
      <x:c r="G3915" s="2"/>
      <x:c r="H3915" s="2"/>
    </x:row>
    <x:row r="3916" ht="22" customHeight="1">
      <x:c r="A3916" s="2" t="n">
        <x:v>3910</x:v>
      </x:c>
      <x:c r="B3916" s="79" t="n">
        <x:v>0.4396907700355494</x:v>
      </x:c>
      <x:c r="C3916" s="46" t="n">
        <x:f>B3916^2</x:f>
        <x:v>0.1933279732544544</x:v>
      </x:c>
      <x:c r="D3916" s="47" t="n">
        <x:f>'Datos'!$B$26^3/3</x:f>
        <x:v>0.3333333333333333</x:v>
      </x:c>
      <x:c r="E3916" s="46" t="n">
        <x:f>D3916*(C3916-1)</x:f>
        <x:v>-0.26889067558184854</x:v>
      </x:c>
      <x:c r="F3916" s="2"/>
      <x:c r="G3916" s="2"/>
      <x:c r="H3916" s="2"/>
    </x:row>
    <x:row r="3917" ht="22" customHeight="1">
      <x:c r="A3917" s="2" t="n">
        <x:v>3911</x:v>
      </x:c>
      <x:c r="B3917" s="79" t="n">
        <x:v>1.4082927025784422</x:v>
      </x:c>
      <x:c r="C3917" s="46" t="n">
        <x:f>B3917^2</x:f>
        <x:v>1.9832883361356926</x:v>
      </x:c>
      <x:c r="D3917" s="47" t="n">
        <x:f>'Datos'!$B$26^3/3</x:f>
        <x:v>0.3333333333333333</x:v>
      </x:c>
      <x:c r="E3917" s="46" t="n">
        <x:f>D3917*(C3917-1)</x:f>
        <x:v>0.3277627787118975</x:v>
      </x:c>
      <x:c r="F3917" s="2"/>
      <x:c r="G3917" s="2"/>
      <x:c r="H3917" s="2"/>
    </x:row>
    <x:row r="3918" ht="22" customHeight="1">
      <x:c r="A3918" s="2" t="n">
        <x:v>3912</x:v>
      </x:c>
      <x:c r="B3918" s="79" t="n">
        <x:v>0.8992176380822369</x:v>
      </x:c>
      <x:c r="C3918" s="46" t="n">
        <x:f>B3918^2</x:f>
        <x:v>0.8085923606381967</x:v>
      </x:c>
      <x:c r="D3918" s="47" t="n">
        <x:f>'Datos'!$B$26^3/3</x:f>
        <x:v>0.3333333333333333</x:v>
      </x:c>
      <x:c r="E3918" s="46" t="n">
        <x:f>D3918*(C3918-1)</x:f>
        <x:v>-0.06380254645393442</x:v>
      </x:c>
      <x:c r="F3918" s="2"/>
      <x:c r="G3918" s="2"/>
      <x:c r="H3918" s="2"/>
    </x:row>
    <x:row r="3919" ht="22" customHeight="1">
      <x:c r="A3919" s="2" t="n">
        <x:v>3913</x:v>
      </x:c>
      <x:c r="B3919" s="79" t="n">
        <x:v>-0.6595491882818251</x:v>
      </x:c>
      <x:c r="C3919" s="46" t="n">
        <x:f>B3919^2</x:f>
        <x:v>0.4350051317632143</x:v>
      </x:c>
      <x:c r="D3919" s="47" t="n">
        <x:f>'Datos'!$B$26^3/3</x:f>
        <x:v>0.3333333333333333</x:v>
      </x:c>
      <x:c r="E3919" s="46" t="n">
        <x:f>D3919*(C3919-1)</x:f>
        <x:v>-0.18833162274559523</x:v>
      </x:c>
      <x:c r="F3919" s="2"/>
      <x:c r="G3919" s="2"/>
      <x:c r="H3919" s="2"/>
    </x:row>
    <x:row r="3920" ht="22" customHeight="1">
      <x:c r="A3920" s="2" t="n">
        <x:v>3914</x:v>
      </x:c>
      <x:c r="B3920" s="79" t="n">
        <x:v>1.5070088782951363</x:v>
      </x:c>
      <x:c r="C3920" s="46" t="n">
        <x:f>B3920^2</x:f>
        <x:v>2.271075759260365</x:v>
      </x:c>
      <x:c r="D3920" s="47" t="n">
        <x:f>'Datos'!$B$26^3/3</x:f>
        <x:v>0.3333333333333333</x:v>
      </x:c>
      <x:c r="E3920" s="46" t="n">
        <x:f>D3920*(C3920-1)</x:f>
        <x:v>0.423691919753455</x:v>
      </x:c>
      <x:c r="F3920" s="2"/>
      <x:c r="G3920" s="2"/>
      <x:c r="H3920" s="2"/>
    </x:row>
    <x:row r="3921" ht="22" customHeight="1">
      <x:c r="A3921" s="2" t="n">
        <x:v>3915</x:v>
      </x:c>
      <x:c r="B3921" s="79" t="n">
        <x:v>1.0837170553875668</x:v>
      </x:c>
      <x:c r="C3921" s="46" t="n">
        <x:f>B3921^2</x:f>
        <x:v>1.1744426561378984</x:v>
      </x:c>
      <x:c r="D3921" s="47" t="n">
        <x:f>'Datos'!$B$26^3/3</x:f>
        <x:v>0.3333333333333333</x:v>
      </x:c>
      <x:c r="E3921" s="46" t="n">
        <x:f>D3921*(C3921-1)</x:f>
        <x:v>0.058147552045966146</x:v>
      </x:c>
      <x:c r="F3921" s="2"/>
      <x:c r="G3921" s="2"/>
      <x:c r="H3921" s="2"/>
    </x:row>
    <x:row r="3922" ht="22" customHeight="1">
      <x:c r="A3922" s="2" t="n">
        <x:v>3916</x:v>
      </x:c>
      <x:c r="B3922" s="79" t="n">
        <x:v>0.20648914347127817</x:v>
      </x:c>
      <x:c r="C3922" s="46" t="n">
        <x:f>B3922^2</x:f>
        <x:v>0.0426377663715021</x:v>
      </x:c>
      <x:c r="D3922" s="47" t="n">
        <x:f>'Datos'!$B$26^3/3</x:f>
        <x:v>0.3333333333333333</x:v>
      </x:c>
      <x:c r="E3922" s="46" t="n">
        <x:f>D3922*(C3922-1)</x:f>
        <x:v>-0.3191207445428326</x:v>
      </x:c>
      <x:c r="F3922" s="2"/>
      <x:c r="G3922" s="2"/>
      <x:c r="H3922" s="2"/>
    </x:row>
    <x:row r="3923" ht="22" customHeight="1">
      <x:c r="A3923" s="2" t="n">
        <x:v>3917</x:v>
      </x:c>
      <x:c r="B3923" s="79" t="n">
        <x:v>0.04994302538733193</x:v>
      </x:c>
      <x:c r="C3923" s="46" t="n">
        <x:f>B3923^2</x:f>
        <x:v>0.002494305784839682</x:v>
      </x:c>
      <x:c r="D3923" s="47" t="n">
        <x:f>'Datos'!$B$26^3/3</x:f>
        <x:v>0.3333333333333333</x:v>
      </x:c>
      <x:c r="E3923" s="46" t="n">
        <x:f>D3923*(C3923-1)</x:f>
        <x:v>-0.3325018980717201</x:v>
      </x:c>
      <x:c r="F3923" s="2"/>
      <x:c r="G3923" s="2"/>
      <x:c r="H3923" s="2"/>
    </x:row>
    <x:row r="3924" ht="22" customHeight="1">
      <x:c r="A3924" s="2" t="n">
        <x:v>3918</x:v>
      </x:c>
      <x:c r="B3924" s="79" t="n">
        <x:v>1.3256251351399717</x:v>
      </x:c>
      <x:c r="C3924" s="46" t="n">
        <x:f>B3924^2</x:f>
        <x:v>1.7572819989148682</x:v>
      </x:c>
      <x:c r="D3924" s="47" t="n">
        <x:f>'Datos'!$B$26^3/3</x:f>
        <x:v>0.3333333333333333</x:v>
      </x:c>
      <x:c r="E3924" s="46" t="n">
        <x:f>D3924*(C3924-1)</x:f>
        <x:v>0.25242733297162273</x:v>
      </x:c>
      <x:c r="F3924" s="2"/>
      <x:c r="G3924" s="2"/>
      <x:c r="H3924" s="2"/>
    </x:row>
    <x:row r="3925" ht="22" customHeight="1">
      <x:c r="A3925" s="2" t="n">
        <x:v>3919</x:v>
      </x:c>
      <x:c r="B3925" s="79" t="n">
        <x:v>-0.0552372863187202</x:v>
      </x:c>
      <x:c r="C3925" s="46" t="n">
        <x:f>B3925^2</x:f>
        <x:v>0.0030511577998562738</x:v>
      </x:c>
      <x:c r="D3925" s="47" t="n">
        <x:f>'Datos'!$B$26^3/3</x:f>
        <x:v>0.3333333333333333</x:v>
      </x:c>
      <x:c r="E3925" s="46" t="n">
        <x:f>D3925*(C3925-1)</x:f>
        <x:v>-0.3323162807333812</x:v>
      </x:c>
      <x:c r="F3925" s="2"/>
      <x:c r="G3925" s="2"/>
      <x:c r="H3925" s="2"/>
    </x:row>
    <x:row r="3926" ht="22" customHeight="1">
      <x:c r="A3926" s="2" t="n">
        <x:v>3920</x:v>
      </x:c>
      <x:c r="B3926" s="79" t="n">
        <x:v>-1.1868680124983173</x:v>
      </x:c>
      <x:c r="C3926" s="46" t="n">
        <x:f>B3926^2</x:f>
        <x:v>1.408655679091706</x:v>
      </x:c>
      <x:c r="D3926" s="47" t="n">
        <x:f>'Datos'!$B$26^3/3</x:f>
        <x:v>0.3333333333333333</x:v>
      </x:c>
      <x:c r="E3926" s="46" t="n">
        <x:f>D3926*(C3926-1)</x:f>
        <x:v>0.13621855969723531</x:v>
      </x:c>
      <x:c r="F3926" s="2"/>
      <x:c r="G3926" s="2"/>
      <x:c r="H3926" s="2"/>
    </x:row>
    <x:row r="3927" ht="22" customHeight="1">
      <x:c r="A3927" s="2" t="n">
        <x:v>3921</x:v>
      </x:c>
      <x:c r="B3927" s="79" t="n">
        <x:v>-1.4588508605287163</x:v>
      </x:c>
      <x:c r="C3927" s="46" t="n">
        <x:f>B3927^2</x:f>
        <x:v>2.128245833265376</x:v>
      </x:c>
      <x:c r="D3927" s="47" t="n">
        <x:f>'Datos'!$B$26^3/3</x:f>
        <x:v>0.3333333333333333</x:v>
      </x:c>
      <x:c r="E3927" s="46" t="n">
        <x:f>D3927*(C3927-1)</x:f>
        <x:v>0.376081944421792</x:v>
      </x:c>
      <x:c r="F3927" s="2"/>
      <x:c r="G3927" s="2"/>
      <x:c r="H3927" s="2"/>
    </x:row>
    <x:row r="3928" ht="22" customHeight="1">
      <x:c r="A3928" s="2" t="n">
        <x:v>3922</x:v>
      </x:c>
      <x:c r="B3928" s="79" t="n">
        <x:v>0.5196479888982555</x:v>
      </x:c>
      <x:c r="C3928" s="46" t="n">
        <x:f>B3928^2</x:f>
        <x:v>0.27003403236600143</x:v>
      </x:c>
      <x:c r="D3928" s="47" t="n">
        <x:f>'Datos'!$B$26^3/3</x:f>
        <x:v>0.3333333333333333</x:v>
      </x:c>
      <x:c r="E3928" s="46" t="n">
        <x:f>D3928*(C3928-1)</x:f>
        <x:v>-0.24332198921133286</x:v>
      </x:c>
      <x:c r="F3928" s="2"/>
      <x:c r="G3928" s="2"/>
      <x:c r="H3928" s="2"/>
    </x:row>
    <x:row r="3929" ht="22" customHeight="1">
      <x:c r="A3929" s="2" t="n">
        <x:v>3923</x:v>
      </x:c>
      <x:c r="B3929" s="79" t="n">
        <x:v>0.35669108432903185</x:v>
      </x:c>
      <x:c r="C3929" s="46" t="n">
        <x:f>B3929^2</x:f>
        <x:v>0.1272285296398205</x:v>
      </x:c>
      <x:c r="D3929" s="47" t="n">
        <x:f>'Datos'!$B$26^3/3</x:f>
        <x:v>0.3333333333333333</x:v>
      </x:c>
      <x:c r="E3929" s="46" t="n">
        <x:f>D3929*(C3929-1)</x:f>
        <x:v>-0.2909238234533931</x:v>
      </x:c>
      <x:c r="F3929" s="2"/>
      <x:c r="G3929" s="2"/>
      <x:c r="H3929" s="2"/>
    </x:row>
    <x:row r="3930" ht="22" customHeight="1">
      <x:c r="A3930" s="2" t="n">
        <x:v>3924</x:v>
      </x:c>
      <x:c r="B3930" s="79" t="n">
        <x:v>-0.6439716020310322</x:v>
      </x:c>
      <x:c r="C3930" s="46" t="n">
        <x:f>B3930^2</x:f>
        <x:v>0.4146994242224141</x:v>
      </x:c>
      <x:c r="D3930" s="47" t="n">
        <x:f>'Datos'!$B$26^3/3</x:f>
        <x:v>0.3333333333333333</x:v>
      </x:c>
      <x:c r="E3930" s="46" t="n">
        <x:f>D3930*(C3930-1)</x:f>
        <x:v>-0.19510019192586195</x:v>
      </x:c>
      <x:c r="F3930" s="2"/>
      <x:c r="G3930" s="2"/>
      <x:c r="H3930" s="2"/>
    </x:row>
    <x:row r="3931" ht="22" customHeight="1">
      <x:c r="A3931" s="2" t="n">
        <x:v>3925</x:v>
      </x:c>
      <x:c r="B3931" s="79" t="n">
        <x:v>-0.5598625918041272</x:v>
      </x:c>
      <x:c r="C3931" s="46" t="n">
        <x:f>B3931^2</x:f>
        <x:v>0.3134461217016348</x:v>
      </x:c>
      <x:c r="D3931" s="47" t="n">
        <x:f>'Datos'!$B$26^3/3</x:f>
        <x:v>0.3333333333333333</x:v>
      </x:c>
      <x:c r="E3931" s="46" t="n">
        <x:f>D3931*(C3931-1)</x:f>
        <x:v>-0.22885129276612173</x:v>
      </x:c>
      <x:c r="F3931" s="2"/>
      <x:c r="G3931" s="2"/>
      <x:c r="H3931" s="2"/>
    </x:row>
    <x:row r="3932" ht="22" customHeight="1">
      <x:c r="A3932" s="2" t="n">
        <x:v>3926</x:v>
      </x:c>
      <x:c r="B3932" s="79" t="n">
        <x:v>-0.4143832652189962</x:v>
      </x:c>
      <x:c r="C3932" s="46" t="n">
        <x:f>B3932^2</x:f>
        <x:v>0.17171349049355694</x:v>
      </x:c>
      <x:c r="D3932" s="47" t="n">
        <x:f>'Datos'!$B$26^3/3</x:f>
        <x:v>0.3333333333333333</x:v>
      </x:c>
      <x:c r="E3932" s="46" t="n">
        <x:f>D3932*(C3932-1)</x:f>
        <x:v>-0.27609550316881437</x:v>
      </x:c>
      <x:c r="F3932" s="2"/>
      <x:c r="G3932" s="2"/>
      <x:c r="H3932" s="2"/>
    </x:row>
    <x:row r="3933" ht="22" customHeight="1">
      <x:c r="A3933" s="2" t="n">
        <x:v>3927</x:v>
      </x:c>
      <x:c r="B3933" s="79" t="n">
        <x:v>0.2640942581067984</x:v>
      </x:c>
      <x:c r="C3933" s="46" t="n">
        <x:f>B3933^2</x:f>
        <x:v>0.06974577716498023</x:v>
      </x:c>
      <x:c r="D3933" s="47" t="n">
        <x:f>'Datos'!$B$26^3/3</x:f>
        <x:v>0.3333333333333333</x:v>
      </x:c>
      <x:c r="E3933" s="46" t="n">
        <x:f>D3933*(C3933-1)</x:f>
        <x:v>-0.3100847409450066</x:v>
      </x:c>
      <x:c r="F3933" s="2"/>
      <x:c r="G3933" s="2"/>
      <x:c r="H3933" s="2"/>
    </x:row>
    <x:row r="3934" ht="22" customHeight="1">
      <x:c r="A3934" s="2" t="n">
        <x:v>3928</x:v>
      </x:c>
      <x:c r="B3934" s="79" t="n">
        <x:v>-0.9446159867434774</x:v>
      </x:c>
      <x:c r="C3934" s="46" t="n">
        <x:f>B3934^2</x:f>
        <x:v>0.8922993624113534</x:v>
      </x:c>
      <x:c r="D3934" s="47" t="n">
        <x:f>'Datos'!$B$26^3/3</x:f>
        <x:v>0.3333333333333333</x:v>
      </x:c>
      <x:c r="E3934" s="46" t="n">
        <x:f>D3934*(C3934-1)</x:f>
        <x:v>-0.03590021252954885</x:v>
      </x:c>
      <x:c r="F3934" s="2"/>
      <x:c r="G3934" s="2"/>
      <x:c r="H3934" s="2"/>
    </x:row>
    <x:row r="3935" ht="22" customHeight="1">
      <x:c r="A3935" s="2" t="n">
        <x:v>3929</x:v>
      </x:c>
      <x:c r="B3935" s="79" t="n">
        <x:v>-0.1012170560616705</x:v>
      </x:c>
      <x:c r="C3935" s="46" t="n">
        <x:f>B3935^2</x:f>
        <x:v>0.010244892437791349</x:v>
      </x:c>
      <x:c r="D3935" s="47" t="n">
        <x:f>'Datos'!$B$26^3/3</x:f>
        <x:v>0.3333333333333333</x:v>
      </x:c>
      <x:c r="E3935" s="46" t="n">
        <x:f>D3935*(C3935-1)</x:f>
        <x:v>-0.32991836918740286</x:v>
      </x:c>
      <x:c r="F3935" s="2"/>
      <x:c r="G3935" s="2"/>
      <x:c r="H3935" s="2"/>
    </x:row>
    <x:row r="3936" ht="22" customHeight="1">
      <x:c r="A3936" s="2" t="n">
        <x:v>3930</x:v>
      </x:c>
      <x:c r="B3936" s="79" t="n">
        <x:v>-0.689802990849198</x:v>
      </x:c>
      <x:c r="C3936" s="46" t="n">
        <x:f>B3936^2</x:f>
        <x:v>0.4758281661844988</x:v>
      </x:c>
      <x:c r="D3936" s="47" t="n">
        <x:f>'Datos'!$B$26^3/3</x:f>
        <x:v>0.3333333333333333</x:v>
      </x:c>
      <x:c r="E3936" s="46" t="n">
        <x:f>D3936*(C3936-1)</x:f>
        <x:v>-0.17472394460516708</x:v>
      </x:c>
      <x:c r="F3936" s="2"/>
      <x:c r="G3936" s="2"/>
      <x:c r="H3936" s="2"/>
    </x:row>
    <x:row r="3937" ht="22" customHeight="1">
      <x:c r="A3937" s="2" t="n">
        <x:v>3931</x:v>
      </x:c>
      <x:c r="B3937" s="79" t="n">
        <x:v>-0.13832246673297294</x:v>
      </x:c>
      <x:c r="C3937" s="46" t="n">
        <x:f>B3937^2</x:f>
        <x:v>0.019133104803094405</x:v>
      </x:c>
      <x:c r="D3937" s="47" t="n">
        <x:f>'Datos'!$B$26^3/3</x:f>
        <x:v>0.3333333333333333</x:v>
      </x:c>
      <x:c r="E3937" s="46" t="n">
        <x:f>D3937*(C3937-1)</x:f>
        <x:v>-0.32695563173230185</x:v>
      </x:c>
      <x:c r="F3937" s="2"/>
      <x:c r="G3937" s="2"/>
      <x:c r="H3937" s="2"/>
    </x:row>
    <x:row r="3938" ht="22" customHeight="1">
      <x:c r="A3938" s="2" t="n">
        <x:v>3932</x:v>
      </x:c>
      <x:c r="B3938" s="79" t="n">
        <x:v>0.41642492357105976</x:v>
      </x:c>
      <x:c r="C3938" s="46" t="n">
        <x:f>B3938^2</x:f>
        <x:v>0.17340971697116295</x:v>
      </x:c>
      <x:c r="D3938" s="47" t="n">
        <x:f>'Datos'!$B$26^3/3</x:f>
        <x:v>0.3333333333333333</x:v>
      </x:c>
      <x:c r="E3938" s="46" t="n">
        <x:f>D3938*(C3938-1)</x:f>
        <x:v>-0.2755300943429457</x:v>
      </x:c>
      <x:c r="F3938" s="2"/>
      <x:c r="G3938" s="2"/>
      <x:c r="H3938" s="2"/>
    </x:row>
    <x:row r="3939" ht="22" customHeight="1">
      <x:c r="A3939" s="2" t="n">
        <x:v>3933</x:v>
      </x:c>
      <x:c r="B3939" s="79" t="n">
        <x:v>-0.7059611681944571</x:v>
      </x:c>
      <x:c r="C3939" s="46" t="n">
        <x:f>B3939^2</x:f>
        <x:v>0.49838117099848256</x:v>
      </x:c>
      <x:c r="D3939" s="47" t="n">
        <x:f>'Datos'!$B$26^3/3</x:f>
        <x:v>0.3333333333333333</x:v>
      </x:c>
      <x:c r="E3939" s="46" t="n">
        <x:f>D3939*(C3939-1)</x:f>
        <x:v>-0.16720627633383914</x:v>
      </x:c>
      <x:c r="F3939" s="2"/>
      <x:c r="G3939" s="2"/>
      <x:c r="H3939" s="2"/>
    </x:row>
    <x:row r="3940" ht="22" customHeight="1">
      <x:c r="A3940" s="2" t="n">
        <x:v>3934</x:v>
      </x:c>
      <x:c r="B3940" s="79" t="n">
        <x:v>-0.32255534827339727</x:v>
      </x:c>
      <x:c r="C3940" s="46" t="n">
        <x:f>B3940^2</x:f>
        <x:v>0.10404195269977261</x:v>
      </x:c>
      <x:c r="D3940" s="47" t="n">
        <x:f>'Datos'!$B$26^3/3</x:f>
        <x:v>0.3333333333333333</x:v>
      </x:c>
      <x:c r="E3940" s="46" t="n">
        <x:f>D3940*(C3940-1)</x:f>
        <x:v>-0.29865268243340914</x:v>
      </x:c>
      <x:c r="F3940" s="2"/>
      <x:c r="G3940" s="2"/>
      <x:c r="H3940" s="2"/>
    </x:row>
    <x:row r="3941" ht="22" customHeight="1">
      <x:c r="A3941" s="2" t="n">
        <x:v>3935</x:v>
      </x:c>
      <x:c r="B3941" s="79" t="n">
        <x:v>0.4055055320115658</x:v>
      </x:c>
      <x:c r="C3941" s="46" t="n">
        <x:f>B3941^2</x:f>
        <x:v>0.164434736491983</x:v>
      </x:c>
      <x:c r="D3941" s="47" t="n">
        <x:f>'Datos'!$B$26^3/3</x:f>
        <x:v>0.3333333333333333</x:v>
      </x:c>
      <x:c r="E3941" s="46" t="n">
        <x:f>D3941*(C3941-1)</x:f>
        <x:v>-0.2785217545026723</x:v>
      </x:c>
      <x:c r="F3941" s="2"/>
      <x:c r="G3941" s="2"/>
      <x:c r="H3941" s="2"/>
    </x:row>
    <x:row r="3942" ht="22" customHeight="1">
      <x:c r="A3942" s="2" t="n">
        <x:v>3936</x:v>
      </x:c>
      <x:c r="B3942" s="79" t="n">
        <x:v>-0.6194144026502251</x:v>
      </x:c>
      <x:c r="C3942" s="46" t="n">
        <x:f>B3942^2</x:f>
        <x:v>0.38367420221053516</x:v>
      </x:c>
      <x:c r="D3942" s="47" t="n">
        <x:f>'Datos'!$B$26^3/3</x:f>
        <x:v>0.3333333333333333</x:v>
      </x:c>
      <x:c r="E3942" s="46" t="n">
        <x:f>D3942*(C3942-1)</x:f>
        <x:v>-0.20544193259648827</x:v>
      </x:c>
      <x:c r="F3942" s="2"/>
      <x:c r="G3942" s="2"/>
      <x:c r="H3942" s="2"/>
    </x:row>
    <x:row r="3943" ht="22" customHeight="1">
      <x:c r="A3943" s="2" t="n">
        <x:v>3937</x:v>
      </x:c>
      <x:c r="B3943" s="79" t="n">
        <x:v>0.12651484923374756</x:v>
      </x:c>
      <x:c r="C3943" s="46" t="n">
        <x:f>B3943^2</x:f>
        <x:v>0.016006007076637876</x:v>
      </x:c>
      <x:c r="D3943" s="47" t="n">
        <x:f>'Datos'!$B$26^3/3</x:f>
        <x:v>0.3333333333333333</x:v>
      </x:c>
      <x:c r="E3943" s="46" t="n">
        <x:f>D3943*(C3943-1)</x:f>
        <x:v>-0.3279979976411207</x:v>
      </x:c>
      <x:c r="F3943" s="2"/>
      <x:c r="G3943" s="2"/>
      <x:c r="H3943" s="2"/>
    </x:row>
    <x:row r="3944" ht="22" customHeight="1">
      <x:c r="A3944" s="2" t="n">
        <x:v>3938</x:v>
      </x:c>
      <x:c r="B3944" s="79" t="n">
        <x:v>-1.5572000790876155</x:v>
      </x:c>
      <x:c r="C3944" s="46" t="n">
        <x:f>B3944^2</x:f>
        <x:v>2.424872086310476</x:v>
      </x:c>
      <x:c r="D3944" s="47" t="n">
        <x:f>'Datos'!$B$26^3/3</x:f>
        <x:v>0.3333333333333333</x:v>
      </x:c>
      <x:c r="E3944" s="46" t="n">
        <x:f>D3944*(C3944-1)</x:f>
        <x:v>0.47495736210349193</x:v>
      </x:c>
      <x:c r="F3944" s="2"/>
      <x:c r="G3944" s="2"/>
      <x:c r="H3944" s="2"/>
    </x:row>
    <x:row r="3945" ht="22" customHeight="1">
      <x:c r="A3945" s="2" t="n">
        <x:v>3939</x:v>
      </x:c>
      <x:c r="B3945" s="79" t="n">
        <x:v>0.5485445706052448</x:v>
      </x:c>
      <x:c r="C3945" s="46" t="n">
        <x:f>B3945^2</x:f>
        <x:v>0.30090114594049233</x:v>
      </x:c>
      <x:c r="D3945" s="47" t="n">
        <x:f>'Datos'!$B$26^3/3</x:f>
        <x:v>0.3333333333333333</x:v>
      </x:c>
      <x:c r="E3945" s="46" t="n">
        <x:f>D3945*(C3945-1)</x:f>
        <x:v>-0.2330329513531692</x:v>
      </x:c>
      <x:c r="F3945" s="2"/>
      <x:c r="G3945" s="2"/>
      <x:c r="H3945" s="2"/>
    </x:row>
    <x:row r="3946" ht="22" customHeight="1">
      <x:c r="A3946" s="2" t="n">
        <x:v>3940</x:v>
      </x:c>
      <x:c r="B3946" s="79" t="n">
        <x:v>-0.6810868400604789</x:v>
      </x:c>
      <x:c r="C3946" s="46" t="n">
        <x:f>B3946^2</x:f>
        <x:v>0.4638792837035684</x:v>
      </x:c>
      <x:c r="D3946" s="47" t="n">
        <x:f>'Datos'!$B$26^3/3</x:f>
        <x:v>0.3333333333333333</x:v>
      </x:c>
      <x:c r="E3946" s="46" t="n">
        <x:f>D3946*(C3946-1)</x:f>
        <x:v>-0.17870690543214388</x:v>
      </x:c>
      <x:c r="F3946" s="2"/>
      <x:c r="G3946" s="2"/>
      <x:c r="H3946" s="2"/>
    </x:row>
    <x:row r="3947" ht="22" customHeight="1">
      <x:c r="A3947" s="2" t="n">
        <x:v>3941</x:v>
      </x:c>
      <x:c r="B3947" s="79" t="n">
        <x:v>-0.9921342804317419</x:v>
      </x:c>
      <x:c r="C3947" s="46" t="n">
        <x:f>B3947^2</x:f>
        <x:v>0.9843304304078103</x:v>
      </x:c>
      <x:c r="D3947" s="47" t="n">
        <x:f>'Datos'!$B$26^3/3</x:f>
        <x:v>0.3333333333333333</x:v>
      </x:c>
      <x:c r="E3947" s="46" t="n">
        <x:f>D3947*(C3947-1)</x:f>
        <x:v>-0.005223189864063227</x:v>
      </x:c>
      <x:c r="F3947" s="2"/>
      <x:c r="G3947" s="2"/>
      <x:c r="H3947" s="2"/>
    </x:row>
    <x:row r="3948" ht="22" customHeight="1">
      <x:c r="A3948" s="2" t="n">
        <x:v>3942</x:v>
      </x:c>
      <x:c r="B3948" s="79" t="n">
        <x:v>-0.1584027808685702</x:v>
      </x:c>
      <x:c r="C3948" s="46" t="n">
        <x:f>B3948^2</x:f>
        <x:v>0.025091440986896273</x:v>
      </x:c>
      <x:c r="D3948" s="47" t="n">
        <x:f>'Datos'!$B$26^3/3</x:f>
        <x:v>0.3333333333333333</x:v>
      </x:c>
      <x:c r="E3948" s="46" t="n">
        <x:f>D3948*(C3948-1)</x:f>
        <x:v>-0.32496951967103455</x:v>
      </x:c>
      <x:c r="F3948" s="2"/>
      <x:c r="G3948" s="2"/>
      <x:c r="H3948" s="2"/>
    </x:row>
    <x:row r="3949" ht="22" customHeight="1">
      <x:c r="A3949" s="2" t="n">
        <x:v>3943</x:v>
      </x:c>
      <x:c r="B3949" s="79" t="n">
        <x:v>1.6198389969975981</x:v>
      </x:c>
      <x:c r="C3949" s="46" t="n">
        <x:f>B3949^2</x:f>
        <x:v>2.6238783761941846</x:v>
      </x:c>
      <x:c r="D3949" s="47" t="n">
        <x:f>'Datos'!$B$26^3/3</x:f>
        <x:v>0.3333333333333333</x:v>
      </x:c>
      <x:c r="E3949" s="46" t="n">
        <x:f>D3949*(C3949-1)</x:f>
        <x:v>0.5412927920647281</x:v>
      </x:c>
      <x:c r="F3949" s="2"/>
      <x:c r="G3949" s="2"/>
      <x:c r="H3949" s="2"/>
    </x:row>
    <x:row r="3950" ht="22" customHeight="1">
      <x:c r="A3950" s="2" t="n">
        <x:v>3944</x:v>
      </x:c>
      <x:c r="B3950" s="79" t="n">
        <x:v>0.4645824937568294</x:v>
      </x:c>
      <x:c r="C3950" s="46" t="n">
        <x:f>B3950^2</x:f>
        <x:v>0.21583689350531443</x:v>
      </x:c>
      <x:c r="D3950" s="47" t="n">
        <x:f>'Datos'!$B$26^3/3</x:f>
        <x:v>0.3333333333333333</x:v>
      </x:c>
      <x:c r="E3950" s="46" t="n">
        <x:f>D3950*(C3950-1)</x:f>
        <x:v>-0.26138770216489515</x:v>
      </x:c>
      <x:c r="F3950" s="2"/>
      <x:c r="G3950" s="2"/>
      <x:c r="H3950" s="2"/>
    </x:row>
    <x:row r="3951" ht="22" customHeight="1">
      <x:c r="A3951" s="2" t="n">
        <x:v>3945</x:v>
      </x:c>
      <x:c r="B3951" s="79" t="n">
        <x:v>-0.09627919980043437</x:v>
      </x:c>
      <x:c r="C3951" s="46" t="n">
        <x:f>B3951^2</x:f>
        <x:v>0.00926968431421196</x:v>
      </x:c>
      <x:c r="D3951" s="47" t="n">
        <x:f>'Datos'!$B$26^3/3</x:f>
        <x:v>0.3333333333333333</x:v>
      </x:c>
      <x:c r="E3951" s="46" t="n">
        <x:f>D3951*(C3951-1)</x:f>
        <x:v>-0.33024343856192934</x:v>
      </x:c>
      <x:c r="F3951" s="2"/>
      <x:c r="G3951" s="2"/>
      <x:c r="H3951" s="2"/>
    </x:row>
    <x:row r="3952" ht="22" customHeight="1">
      <x:c r="A3952" s="2" t="n">
        <x:v>3946</x:v>
      </x:c>
      <x:c r="B3952" s="79" t="n">
        <x:v>1.6487188490598959</x:v>
      </x:c>
      <x:c r="C3952" s="46" t="n">
        <x:f>B3952^2</x:f>
        <x:v>2.7182738432453877</x:v>
      </x:c>
      <x:c r="D3952" s="47" t="n">
        <x:f>'Datos'!$B$26^3/3</x:f>
        <x:v>0.3333333333333333</x:v>
      </x:c>
      <x:c r="E3952" s="46" t="n">
        <x:f>D3952*(C3952-1)</x:f>
        <x:v>0.5727579477484626</x:v>
      </x:c>
      <x:c r="F3952" s="2"/>
      <x:c r="G3952" s="2"/>
      <x:c r="H3952" s="2"/>
    </x:row>
    <x:row r="3953" ht="22" customHeight="1">
      <x:c r="A3953" s="2" t="n">
        <x:v>3947</x:v>
      </x:c>
      <x:c r="B3953" s="79" t="n">
        <x:v>0.4611440757513353</x:v>
      </x:c>
      <x:c r="C3953" s="46" t="n">
        <x:f>B3953^2</x:f>
        <x:v>0.21265385860055327</x:v>
      </x:c>
      <x:c r="D3953" s="47" t="n">
        <x:f>'Datos'!$B$26^3/3</x:f>
        <x:v>0.3333333333333333</x:v>
      </x:c>
      <x:c r="E3953" s="46" t="n">
        <x:f>D3953*(C3953-1)</x:f>
        <x:v>-0.26244871379981555</x:v>
      </x:c>
      <x:c r="F3953" s="2"/>
      <x:c r="G3953" s="2"/>
      <x:c r="H3953" s="2"/>
    </x:row>
    <x:row r="3954" ht="22" customHeight="1">
      <x:c r="A3954" s="2" t="n">
        <x:v>3948</x:v>
      </x:c>
      <x:c r="B3954" s="79" t="n">
        <x:v>0.432463479694111</x:v>
      </x:c>
      <x:c r="C3954" s="46" t="n">
        <x:f>B3954^2</x:f>
        <x:v>0.18702466126913875</x:v>
      </x:c>
      <x:c r="D3954" s="47" t="n">
        <x:f>'Datos'!$B$26^3/3</x:f>
        <x:v>0.3333333333333333</x:v>
      </x:c>
      <x:c r="E3954" s="46" t="n">
        <x:f>D3954*(C3954-1)</x:f>
        <x:v>-0.27099177957695375</x:v>
      </x:c>
      <x:c r="F3954" s="2"/>
      <x:c r="G3954" s="2"/>
      <x:c r="H3954" s="2"/>
    </x:row>
    <x:row r="3955" ht="22" customHeight="1">
      <x:c r="A3955" s="2" t="n">
        <x:v>3949</x:v>
      </x:c>
      <x:c r="B3955" s="79" t="n">
        <x:v>-0.8894577506008704</x:v>
      </x:c>
      <x:c r="C3955" s="46" t="n">
        <x:f>B3955^2</x:f>
        <x:v>0.7911350901039602</x:v>
      </x:c>
      <x:c r="D3955" s="47" t="n">
        <x:f>'Datos'!$B$26^3/3</x:f>
        <x:v>0.3333333333333333</x:v>
      </x:c>
      <x:c r="E3955" s="46" t="n">
        <x:f>D3955*(C3955-1)</x:f>
        <x:v>-0.06962163663201326</x:v>
      </x:c>
      <x:c r="F3955" s="2"/>
      <x:c r="G3955" s="2"/>
      <x:c r="H3955" s="2"/>
    </x:row>
    <x:row r="3956" ht="22" customHeight="1">
      <x:c r="A3956" s="2" t="n">
        <x:v>3950</x:v>
      </x:c>
      <x:c r="B3956" s="79" t="n">
        <x:v>0.574943886660304</x:v>
      </x:c>
      <x:c r="C3956" s="46" t="n">
        <x:f>B3956^2</x:f>
        <x:v>0.33056047280805656</x:v>
      </x:c>
      <x:c r="D3956" s="47" t="n">
        <x:f>'Datos'!$B$26^3/3</x:f>
        <x:v>0.3333333333333333</x:v>
      </x:c>
      <x:c r="E3956" s="46" t="n">
        <x:f>D3956*(C3956-1)</x:f>
        <x:v>-0.22314650906398115</x:v>
      </x:c>
      <x:c r="F3956" s="2"/>
      <x:c r="G3956" s="2"/>
      <x:c r="H3956" s="2"/>
    </x:row>
    <x:row r="3957" ht="22" customHeight="1">
      <x:c r="A3957" s="2" t="n">
        <x:v>3951</x:v>
      </x:c>
      <x:c r="B3957" s="79" t="n">
        <x:v>-0.06101316099364941</x:v>
      </x:c>
      <x:c r="C3957" s="46" t="n">
        <x:f>B3957^2</x:f>
        <x:v>0.0037226058144369818</x:v>
      </x:c>
      <x:c r="D3957" s="47" t="n">
        <x:f>'Datos'!$B$26^3/3</x:f>
        <x:v>0.3333333333333333</x:v>
      </x:c>
      <x:c r="E3957" s="46" t="n">
        <x:f>D3957*(C3957-1)</x:f>
        <x:v>-0.332092464728521</x:v>
      </x:c>
      <x:c r="F3957" s="2"/>
      <x:c r="G3957" s="2"/>
      <x:c r="H3957" s="2"/>
    </x:row>
    <x:row r="3958" ht="22" customHeight="1">
      <x:c r="A3958" s="2" t="n">
        <x:v>3952</x:v>
      </x:c>
      <x:c r="B3958" s="79" t="n">
        <x:v>0.4184788379344268</x:v>
      </x:c>
      <x:c r="C3958" s="46" t="n">
        <x:f>B3958^2</x:f>
        <x:v>0.17512453779894827</x:v>
      </x:c>
      <x:c r="D3958" s="47" t="n">
        <x:f>'Datos'!$B$26^3/3</x:f>
        <x:v>0.3333333333333333</x:v>
      </x:c>
      <x:c r="E3958" s="46" t="n">
        <x:f>D3958*(C3958-1)</x:f>
        <x:v>-0.27495848740035056</x:v>
      </x:c>
      <x:c r="F3958" s="2"/>
      <x:c r="G3958" s="2"/>
      <x:c r="H3958" s="2"/>
    </x:row>
    <x:row r="3959" ht="22" customHeight="1">
      <x:c r="A3959" s="2" t="n">
        <x:v>3953</x:v>
      </x:c>
      <x:c r="B3959" s="79" t="n">
        <x:v>1.225261805242276</x:v>
      </x:c>
      <x:c r="C3959" s="46" t="n">
        <x:f>B3959^2</x:f>
        <x:v>1.501266491385561</x:v>
      </x:c>
      <x:c r="D3959" s="47" t="n">
        <x:f>'Datos'!$B$26^3/3</x:f>
        <x:v>0.3333333333333333</x:v>
      </x:c>
      <x:c r="E3959" s="46" t="n">
        <x:f>D3959*(C3959-1)</x:f>
        <x:v>0.16708883046185363</x:v>
      </x:c>
      <x:c r="F3959" s="2"/>
      <x:c r="G3959" s="2"/>
      <x:c r="H3959" s="2"/>
    </x:row>
    <x:row r="3960" ht="22" customHeight="1">
      <x:c r="A3960" s="2" t="n">
        <x:v>3954</x:v>
      </x:c>
      <x:c r="B3960" s="79" t="n">
        <x:v>1.1775314786608226</x:v>
      </x:c>
      <x:c r="C3960" s="46" t="n">
        <x:f>B3960^2</x:f>
        <x:v>1.3865803832371435</x:v>
      </x:c>
      <x:c r="D3960" s="47" t="n">
        <x:f>'Datos'!$B$26^3/3</x:f>
        <x:v>0.3333333333333333</x:v>
      </x:c>
      <x:c r="E3960" s="46" t="n">
        <x:f>D3960*(C3960-1)</x:f>
        <x:v>0.12886012774571448</x:v>
      </x:c>
      <x:c r="F3960" s="2"/>
      <x:c r="G3960" s="2"/>
      <x:c r="H3960" s="2"/>
    </x:row>
    <x:row r="3961" ht="22" customHeight="1">
      <x:c r="A3961" s="2" t="n">
        <x:v>3955</x:v>
      </x:c>
      <x:c r="B3961" s="79" t="n">
        <x:v>-0.4257412378047179</x:v>
      </x:c>
      <x:c r="C3961" s="46" t="n">
        <x:f>B3961^2</x:f>
        <x:v>0.18125560156749335</x:v>
      </x:c>
      <x:c r="D3961" s="47" t="n">
        <x:f>'Datos'!$B$26^3/3</x:f>
        <x:v>0.3333333333333333</x:v>
      </x:c>
      <x:c r="E3961" s="46" t="n">
        <x:f>D3961*(C3961-1)</x:f>
        <x:v>-0.2729147994775022</x:v>
      </x:c>
      <x:c r="F3961" s="2"/>
      <x:c r="G3961" s="2"/>
      <x:c r="H3961" s="2"/>
    </x:row>
    <x:row r="3962" ht="22" customHeight="1">
      <x:c r="A3962" s="2" t="n">
        <x:v>3956</x:v>
      </x:c>
      <x:c r="B3962" s="79" t="n">
        <x:v>-0.3170313152550391</x:v>
      </x:c>
      <x:c r="C3962" s="46" t="n">
        <x:f>B3962^2</x:f>
        <x:v>0.10050885485233997</x:v>
      </x:c>
      <x:c r="D3962" s="47" t="n">
        <x:f>'Datos'!$B$26^3/3</x:f>
        <x:v>0.3333333333333333</x:v>
      </x:c>
      <x:c r="E3962" s="46" t="n">
        <x:f>D3962*(C3962-1)</x:f>
        <x:v>-0.29983038171588666</x:v>
      </x:c>
      <x:c r="F3962" s="2"/>
      <x:c r="G3962" s="2"/>
      <x:c r="H3962" s="2"/>
    </x:row>
    <x:row r="3963" ht="22" customHeight="1">
      <x:c r="A3963" s="2" t="n">
        <x:v>3957</x:v>
      </x:c>
      <x:c r="B3963" s="79" t="n">
        <x:v>2.0434298150312844</x:v>
      </x:c>
      <x:c r="C3963" s="46" t="n">
        <x:f>B3963^2</x:f>
        <x:v>4.1756054089587895</x:v>
      </x:c>
      <x:c r="D3963" s="47" t="n">
        <x:f>'Datos'!$B$26^3/3</x:f>
        <x:v>0.3333333333333333</x:v>
      </x:c>
      <x:c r="E3963" s="46" t="n">
        <x:f>D3963*(C3963-1)</x:f>
        <x:v>1.0585351363195965</x:v>
      </x:c>
      <x:c r="F3963" s="2"/>
      <x:c r="G3963" s="2"/>
      <x:c r="H3963" s="2"/>
    </x:row>
    <x:row r="3964" ht="22" customHeight="1">
      <x:c r="A3964" s="2" t="n">
        <x:v>3958</x:v>
      </x:c>
      <x:c r="B3964" s="79" t="n">
        <x:v>-0.06579769977895655</x:v>
      </x:c>
      <x:c r="C3964" s="46" t="n">
        <x:f>B3964^2</x:f>
        <x:v>0.004329337296201699</x:v>
      </x:c>
      <x:c r="D3964" s="47" t="n">
        <x:f>'Datos'!$B$26^3/3</x:f>
        <x:v>0.3333333333333333</x:v>
      </x:c>
      <x:c r="E3964" s="46" t="n">
        <x:f>D3964*(C3964-1)</x:f>
        <x:v>-0.3318902209012661</x:v>
      </x:c>
      <x:c r="F3964" s="2"/>
      <x:c r="G3964" s="2"/>
      <x:c r="H3964" s="2"/>
    </x:row>
    <x:row r="3965" ht="22" customHeight="1">
      <x:c r="A3965" s="2" t="n">
        <x:v>3959</x:v>
      </x:c>
      <x:c r="B3965" s="79" t="n">
        <x:v>1.2970215384054582</x:v>
      </x:c>
      <x:c r="C3965" s="46" t="n">
        <x:f>B3965^2</x:f>
        <x:v>1.6822648710876615</x:v>
      </x:c>
      <x:c r="D3965" s="47" t="n">
        <x:f>'Datos'!$B$26^3/3</x:f>
        <x:v>0.3333333333333333</x:v>
      </x:c>
      <x:c r="E3965" s="46" t="n">
        <x:f>D3965*(C3965-1)</x:f>
        <x:v>0.22742162369588717</x:v>
      </x:c>
      <x:c r="F3965" s="2"/>
      <x:c r="G3965" s="2"/>
      <x:c r="H3965" s="2"/>
    </x:row>
    <x:row r="3966" ht="22" customHeight="1">
      <x:c r="A3966" s="2" t="n">
        <x:v>3960</x:v>
      </x:c>
      <x:c r="B3966" s="79" t="n">
        <x:v>-0.3871777031654068</x:v>
      </x:c>
      <x:c r="C3966" s="46" t="n">
        <x:f>B3966^2</x:f>
        <x:v>0.14990657382843986</x:v>
      </x:c>
      <x:c r="D3966" s="47" t="n">
        <x:f>'Datos'!$B$26^3/3</x:f>
        <x:v>0.3333333333333333</x:v>
      </x:c>
      <x:c r="E3966" s="46" t="n">
        <x:f>D3966*(C3966-1)</x:f>
        <x:v>-0.28336447539052</x:v>
      </x:c>
      <x:c r="F3966" s="2"/>
      <x:c r="G3966" s="2"/>
      <x:c r="H3966" s="2"/>
    </x:row>
    <x:row r="3967" ht="22" customHeight="1">
      <x:c r="A3967" s="2" t="n">
        <x:v>3961</x:v>
      </x:c>
      <x:c r="B3967" s="79" t="n">
        <x:v>-1.383870967790313</x:v>
      </x:c>
      <x:c r="C3967" s="46" t="n">
        <x:f>B3967^2</x:f>
        <x:v>1.9150988554928974</x:v>
      </x:c>
      <x:c r="D3967" s="47" t="n">
        <x:f>'Datos'!$B$26^3/3</x:f>
        <x:v>0.3333333333333333</x:v>
      </x:c>
      <x:c r="E3967" s="46" t="n">
        <x:f>D3967*(C3967-1)</x:f>
        <x:v>0.3050329518309658</x:v>
      </x:c>
      <x:c r="F3967" s="2"/>
      <x:c r="G3967" s="2"/>
      <x:c r="H3967" s="2"/>
    </x:row>
    <x:row r="3968" ht="22" customHeight="1">
      <x:c r="A3968" s="2" t="n">
        <x:v>3962</x:v>
      </x:c>
      <x:c r="B3968" s="79" t="n">
        <x:v>-2.4689072505761867</x:v>
      </x:c>
      <x:c r="C3968" s="46" t="n">
        <x:f>B3968^2</x:f>
        <x:v>6.095503011947665</x:v>
      </x:c>
      <x:c r="D3968" s="47" t="n">
        <x:f>'Datos'!$B$26^3/3</x:f>
        <x:v>0.3333333333333333</x:v>
      </x:c>
      <x:c r="E3968" s="46" t="n">
        <x:f>D3968*(C3968-1)</x:f>
        <x:v>1.698501003982555</x:v>
      </x:c>
      <x:c r="F3968" s="2"/>
      <x:c r="G3968" s="2"/>
      <x:c r="H3968" s="2"/>
    </x:row>
    <x:row r="3969" ht="22" customHeight="1">
      <x:c r="A3969" s="2" t="n">
        <x:v>3963</x:v>
      </x:c>
      <x:c r="B3969" s="79" t="n">
        <x:v>-0.010958521892853346</x:v>
      </x:c>
      <x:c r="C3969" s="46" t="n">
        <x:f>B3969^2</x:f>
        <x:v>0.00012008920207614607</x:v>
      </x:c>
      <x:c r="D3969" s="47" t="n">
        <x:f>'Datos'!$B$26^3/3</x:f>
        <x:v>0.3333333333333333</x:v>
      </x:c>
      <x:c r="E3969" s="46" t="n">
        <x:f>D3969*(C3969-1)</x:f>
        <x:v>-0.3332933035993079</x:v>
      </x:c>
      <x:c r="F3969" s="2"/>
      <x:c r="G3969" s="2"/>
      <x:c r="H3969" s="2"/>
    </x:row>
    <x:row r="3970" ht="22" customHeight="1">
      <x:c r="A3970" s="2" t="n">
        <x:v>3964</x:v>
      </x:c>
      <x:c r="B3970" s="79" t="n">
        <x:v>-1.9016910904638593</x:v>
      </x:c>
      <x:c r="C3970" s="46" t="n">
        <x:f>B3970^2</x:f>
        <x:v>3.6164290035496225</x:v>
      </x:c>
      <x:c r="D3970" s="47" t="n">
        <x:f>'Datos'!$B$26^3/3</x:f>
        <x:v>0.3333333333333333</x:v>
      </x:c>
      <x:c r="E3970" s="46" t="n">
        <x:f>D3970*(C3970-1)</x:f>
        <x:v>0.8721430011832074</x:v>
      </x:c>
      <x:c r="F3970" s="2"/>
      <x:c r="G3970" s="2"/>
      <x:c r="H3970" s="2"/>
    </x:row>
    <x:row r="3971" ht="22" customHeight="1">
      <x:c r="A3971" s="2" t="n">
        <x:v>3965</x:v>
      </x:c>
      <x:c r="B3971" s="79" t="n">
        <x:v>-0.7906667053925961</x:v>
      </x:c>
      <x:c r="C3971" s="46" t="n">
        <x:f>B3971^2</x:f>
        <x:v>0.6251538390163823</x:v>
      </x:c>
      <x:c r="D3971" s="47" t="n">
        <x:f>'Datos'!$B$26^3/3</x:f>
        <x:v>0.3333333333333333</x:v>
      </x:c>
      <x:c r="E3971" s="46" t="n">
        <x:f>D3971*(C3971-1)</x:f>
        <x:v>-0.12494872032787255</x:v>
      </x:c>
      <x:c r="F3971" s="2"/>
      <x:c r="G3971" s="2"/>
      <x:c r="H3971" s="2"/>
    </x:row>
    <x:row r="3972" ht="22" customHeight="1">
      <x:c r="A3972" s="2" t="n">
        <x:v>3966</x:v>
      </x:c>
      <x:c r="B3972" s="79" t="n">
        <x:v>0.5232163878503759</x:v>
      </x:c>
      <x:c r="C3972" s="46" t="n">
        <x:f>B3972^2</x:f>
        <x:v>0.27375538851519504</x:v>
      </x:c>
      <x:c r="D3972" s="47" t="n">
        <x:f>'Datos'!$B$26^3/3</x:f>
        <x:v>0.3333333333333333</x:v>
      </x:c>
      <x:c r="E3972" s="46" t="n">
        <x:f>D3972*(C3972-1)</x:f>
        <x:v>-0.24208153716160163</x:v>
      </x:c>
      <x:c r="F3972" s="2"/>
      <x:c r="G3972" s="2"/>
      <x:c r="H3972" s="2"/>
    </x:row>
    <x:row r="3973" ht="22" customHeight="1">
      <x:c r="A3973" s="2" t="n">
        <x:v>3967</x:v>
      </x:c>
      <x:c r="B3973" s="79" t="n">
        <x:v>1.5474597227864582</x:v>
      </x:c>
      <x:c r="C3973" s="46" t="n">
        <x:f>B3973^2</x:f>
        <x:v>2.394631593646342</x:v>
      </x:c>
      <x:c r="D3973" s="47" t="n">
        <x:f>'Datos'!$B$26^3/3</x:f>
        <x:v>0.3333333333333333</x:v>
      </x:c>
      <x:c r="E3973" s="46" t="n">
        <x:f>D3973*(C3973-1)</x:f>
        <x:v>0.4648771978821139</x:v>
      </x:c>
      <x:c r="F3973" s="2"/>
      <x:c r="G3973" s="2"/>
      <x:c r="H3973" s="2"/>
    </x:row>
    <x:row r="3974" ht="22" customHeight="1">
      <x:c r="A3974" s="2" t="n">
        <x:v>3968</x:v>
      </x:c>
      <x:c r="B3974" s="79" t="n">
        <x:v>0.07258932062989505</x:v>
      </x:c>
      <x:c r="C3974" s="46" t="n">
        <x:f>B3974^2</x:f>
        <x:v>0.0052692094695097075</x:v>
      </x:c>
      <x:c r="D3974" s="47" t="n">
        <x:f>'Datos'!$B$26^3/3</x:f>
        <x:v>0.3333333333333333</x:v>
      </x:c>
      <x:c r="E3974" s="46" t="n">
        <x:f>D3974*(C3974-1)</x:f>
        <x:v>-0.3315769301768301</x:v>
      </x:c>
      <x:c r="F3974" s="2"/>
      <x:c r="G3974" s="2"/>
      <x:c r="H3974" s="2"/>
    </x:row>
    <x:row r="3975" ht="22" customHeight="1">
      <x:c r="A3975" s="2" t="n">
        <x:v>3969</x:v>
      </x:c>
      <x:c r="B3975" s="79" t="n">
        <x:v>-0.3773290097009874</x:v>
      </x:c>
      <x:c r="C3975" s="46" t="n">
        <x:f>B3975^2</x:f>
        <x:v>0.14237718156192783</x:v>
      </x:c>
      <x:c r="D3975" s="47" t="n">
        <x:f>'Datos'!$B$26^3/3</x:f>
        <x:v>0.3333333333333333</x:v>
      </x:c>
      <x:c r="E3975" s="46" t="n">
        <x:f>D3975*(C3975-1)</x:f>
        <x:v>-0.28587427281269073</x:v>
      </x:c>
      <x:c r="F3975" s="2"/>
      <x:c r="G3975" s="2"/>
      <x:c r="H3975" s="2"/>
    </x:row>
    <x:row r="3976" ht="22" customHeight="1">
      <x:c r="A3976" s="2" t="n">
        <x:v>3970</x:v>
      </x:c>
      <x:c r="B3976" s="79" t="n">
        <x:v>-0.8687602996097069</x:v>
      </x:c>
      <x:c r="C3976" s="46" t="n">
        <x:f>B3976^2</x:f>
        <x:v>0.7547444581779477</x:v>
      </x:c>
      <x:c r="D3976" s="47" t="n">
        <x:f>'Datos'!$B$26^3/3</x:f>
        <x:v>0.3333333333333333</x:v>
      </x:c>
      <x:c r="E3976" s="46" t="n">
        <x:f>D3976*(C3976-1)</x:f>
        <x:v>-0.08175184727401744</x:v>
      </x:c>
      <x:c r="F3976" s="2"/>
      <x:c r="G3976" s="2"/>
      <x:c r="H3976" s="2"/>
    </x:row>
    <x:row r="3977" ht="22" customHeight="1">
      <x:c r="A3977" s="2" t="n">
        <x:v>3971</x:v>
      </x:c>
      <x:c r="B3977" s="79" t="n">
        <x:v>0.8711105871885515</x:v>
      </x:c>
      <x:c r="C3977" s="46" t="n">
        <x:f>B3977^2</x:f>
        <x:v>0.758833655111983</x:v>
      </x:c>
      <x:c r="D3977" s="47" t="n">
        <x:f>'Datos'!$B$26^3/3</x:f>
        <x:v>0.3333333333333333</x:v>
      </x:c>
      <x:c r="E3977" s="46" t="n">
        <x:f>D3977*(C3977-1)</x:f>
        <x:v>-0.080388781629339</x:v>
      </x:c>
      <x:c r="F3977" s="2"/>
      <x:c r="G3977" s="2"/>
      <x:c r="H3977" s="2"/>
    </x:row>
    <x:row r="3978" ht="22" customHeight="1">
      <x:c r="A3978" s="2" t="n">
        <x:v>3972</x:v>
      </x:c>
      <x:c r="B3978" s="79" t="n">
        <x:v>0.39237314122000216</x:v>
      </x:c>
      <x:c r="C3978" s="46" t="n">
        <x:f>B3978^2</x:f>
        <x:v>0.15395668195085177</x:v>
      </x:c>
      <x:c r="D3978" s="47" t="n">
        <x:f>'Datos'!$B$26^3/3</x:f>
        <x:v>0.3333333333333333</x:v>
      </x:c>
      <x:c r="E3978" s="46" t="n">
        <x:f>D3978*(C3978-1)</x:f>
        <x:v>-0.28201443934971604</x:v>
      </x:c>
      <x:c r="F3978" s="2"/>
      <x:c r="G3978" s="2"/>
      <x:c r="H3978" s="2"/>
    </x:row>
    <x:row r="3979" ht="22" customHeight="1">
      <x:c r="A3979" s="2" t="n">
        <x:v>3973</x:v>
      </x:c>
      <x:c r="B3979" s="79" t="n">
        <x:v>-2.138749716816961</x:v>
      </x:c>
      <x:c r="C3979" s="46" t="n">
        <x:f>B3979^2</x:f>
        <x:v>4.574250351184632</x:v>
      </x:c>
      <x:c r="D3979" s="47" t="n">
        <x:f>'Datos'!$B$26^3/3</x:f>
        <x:v>0.3333333333333333</x:v>
      </x:c>
      <x:c r="E3979" s="46" t="n">
        <x:f>D3979*(C3979-1)</x:f>
        <x:v>1.1914167837282106</x:v>
      </x:c>
      <x:c r="F3979" s="2"/>
      <x:c r="G3979" s="2"/>
      <x:c r="H3979" s="2"/>
    </x:row>
    <x:row r="3980" ht="22" customHeight="1">
      <x:c r="A3980" s="2" t="n">
        <x:v>3974</x:v>
      </x:c>
      <x:c r="B3980" s="79" t="n">
        <x:v>0.6963849808822533</x:v>
      </x:c>
      <x:c r="C3980" s="46" t="n">
        <x:f>B3980^2</x:f>
        <x:v>0.4849520415983763</x:v>
      </x:c>
      <x:c r="D3980" s="47" t="n">
        <x:f>'Datos'!$B$26^3/3</x:f>
        <x:v>0.3333333333333333</x:v>
      </x:c>
      <x:c r="E3980" s="46" t="n">
        <x:f>D3980*(C3980-1)</x:f>
        <x:v>-0.1716826528005412</x:v>
      </x:c>
      <x:c r="F3980" s="2"/>
      <x:c r="G3980" s="2"/>
      <x:c r="H3980" s="2"/>
    </x:row>
    <x:row r="3981" ht="22" customHeight="1">
      <x:c r="A3981" s="2" t="n">
        <x:v>3975</x:v>
      </x:c>
      <x:c r="B3981" s="79" t="n">
        <x:v>1.044490131553109</x:v>
      </x:c>
      <x:c r="C3981" s="46" t="n">
        <x:f>B3981^2</x:f>
        <x:v>1.090959634911831</x:v>
      </x:c>
      <x:c r="D3981" s="47" t="n">
        <x:f>'Datos'!$B$26^3/3</x:f>
        <x:v>0.3333333333333333</x:v>
      </x:c>
      <x:c r="E3981" s="46" t="n">
        <x:f>D3981*(C3981-1)</x:f>
        <x:v>0.030319878303943632</x:v>
      </x:c>
      <x:c r="F3981" s="2"/>
      <x:c r="G3981" s="2"/>
      <x:c r="H3981" s="2"/>
    </x:row>
    <x:row r="3982" ht="22" customHeight="1">
      <x:c r="A3982" s="2" t="n">
        <x:v>3976</x:v>
      </x:c>
      <x:c r="B3982" s="79" t="n">
        <x:v>0.3439883036085314</x:v>
      </x:c>
      <x:c r="C3982" s="46" t="n">
        <x:f>B3982^2</x:f>
        <x:v>0.11832795301947517</x:v>
      </x:c>
      <x:c r="D3982" s="47" t="n">
        <x:f>'Datos'!$B$26^3/3</x:f>
        <x:v>0.3333333333333333</x:v>
      </x:c>
      <x:c r="E3982" s="46" t="n">
        <x:f>D3982*(C3982-1)</x:f>
        <x:v>-0.29389068232684157</x:v>
      </x:c>
      <x:c r="F3982" s="2"/>
      <x:c r="G3982" s="2"/>
      <x:c r="H3982" s="2"/>
    </x:row>
    <x:row r="3983" ht="22" customHeight="1">
      <x:c r="A3983" s="2" t="n">
        <x:v>3977</x:v>
      </x:c>
      <x:c r="B3983" s="79" t="n">
        <x:v>1.1106336546876665</x:v>
      </x:c>
      <x:c r="C3983" s="46" t="n">
        <x:f>B3983^2</x:f>
        <x:v>1.2335071149248829</x:v>
      </x:c>
      <x:c r="D3983" s="47" t="n">
        <x:f>'Datos'!$B$26^3/3</x:f>
        <x:v>0.3333333333333333</x:v>
      </x:c>
      <x:c r="E3983" s="46" t="n">
        <x:f>D3983*(C3983-1)</x:f>
        <x:v>0.07783570497496095</x:v>
      </x:c>
      <x:c r="F3983" s="2"/>
      <x:c r="G3983" s="2"/>
      <x:c r="H3983" s="2"/>
    </x:row>
    <x:row r="3984" ht="22" customHeight="1">
      <x:c r="A3984" s="2" t="n">
        <x:v>3978</x:v>
      </x:c>
      <x:c r="B3984" s="79" t="n">
        <x:v>-0.7774935578541846</x:v>
      </x:c>
      <x:c r="C3984" s="46" t="n">
        <x:f>B3984^2</x:f>
        <x:v>0.6044962325047584</x:v>
      </x:c>
      <x:c r="D3984" s="47" t="n">
        <x:f>'Datos'!$B$26^3/3</x:f>
        <x:v>0.3333333333333333</x:v>
      </x:c>
      <x:c r="E3984" s="46" t="n">
        <x:f>D3984*(C3984-1)</x:f>
        <x:v>-0.13183458916508053</x:v>
      </x:c>
      <x:c r="F3984" s="2"/>
      <x:c r="G3984" s="2"/>
      <x:c r="H3984" s="2"/>
    </x:row>
    <x:row r="3985" ht="22" customHeight="1">
      <x:c r="A3985" s="2" t="n">
        <x:v>3979</x:v>
      </x:c>
      <x:c r="B3985" s="79" t="n">
        <x:v>0.5927505423851737</x:v>
      </x:c>
      <x:c r="C3985" s="46" t="n">
        <x:f>B3985^2</x:f>
        <x:v>0.35135320549791754</x:v>
      </x:c>
      <x:c r="D3985" s="47" t="n">
        <x:f>'Datos'!$B$26^3/3</x:f>
        <x:v>0.3333333333333333</x:v>
      </x:c>
      <x:c r="E3985" s="46" t="n">
        <x:f>D3985*(C3985-1)</x:f>
        <x:v>-0.2162155981673608</x:v>
      </x:c>
      <x:c r="F3985" s="2"/>
      <x:c r="G3985" s="2"/>
      <x:c r="H3985" s="2"/>
    </x:row>
    <x:row r="3986" ht="22" customHeight="1">
      <x:c r="A3986" s="2" t="n">
        <x:v>3980</x:v>
      </x:c>
      <x:c r="B3986" s="79" t="n">
        <x:v>-2.1466215381488736</x:v>
      </x:c>
      <x:c r="C3986" s="46" t="n">
        <x:f>B3986^2</x:f>
        <x:v>4.607984028044636</x:v>
      </x:c>
      <x:c r="D3986" s="47" t="n">
        <x:f>'Datos'!$B$26^3/3</x:f>
        <x:v>0.3333333333333333</x:v>
      </x:c>
      <x:c r="E3986" s="46" t="n">
        <x:f>D3986*(C3986-1)</x:f>
        <x:v>1.2026613426815453</x:v>
      </x:c>
      <x:c r="F3986" s="2"/>
      <x:c r="G3986" s="2"/>
      <x:c r="H3986" s="2"/>
    </x:row>
    <x:row r="3987" ht="22" customHeight="1">
      <x:c r="A3987" s="2" t="n">
        <x:v>3981</x:v>
      </x:c>
      <x:c r="B3987" s="79" t="n">
        <x:v>0.9006241689441089</x:v>
      </x:c>
      <x:c r="C3987" s="46" t="n">
        <x:f>B3987^2</x:f>
        <x:v>0.8111238936862668</x:v>
      </x:c>
      <x:c r="D3987" s="47" t="n">
        <x:f>'Datos'!$B$26^3/3</x:f>
        <x:v>0.3333333333333333</x:v>
      </x:c>
      <x:c r="E3987" s="46" t="n">
        <x:f>D3987*(C3987-1)</x:f>
        <x:v>-0.06295870210457773</x:v>
      </x:c>
      <x:c r="F3987" s="2"/>
      <x:c r="G3987" s="2"/>
      <x:c r="H3987" s="2"/>
    </x:row>
    <x:row r="3988" ht="22" customHeight="1">
      <x:c r="A3988" s="2" t="n">
        <x:v>3982</x:v>
      </x:c>
      <x:c r="B3988" s="79" t="n">
        <x:v>0.5936566627344889</x:v>
      </x:c>
      <x:c r="C3988" s="46" t="n">
        <x:f>B3988^2</x:f>
        <x:v>0.3524282332090507</x:v>
      </x:c>
      <x:c r="D3988" s="47" t="n">
        <x:f>'Datos'!$B$26^3/3</x:f>
        <x:v>0.3333333333333333</x:v>
      </x:c>
      <x:c r="E3988" s="46" t="n">
        <x:f>D3988*(C3988-1)</x:f>
        <x:v>-0.2158572555969831</x:v>
      </x:c>
      <x:c r="F3988" s="2"/>
      <x:c r="G3988" s="2"/>
      <x:c r="H3988" s="2"/>
    </x:row>
    <x:row r="3989" ht="22" customHeight="1">
      <x:c r="A3989" s="2" t="n">
        <x:v>3983</x:v>
      </x:c>
      <x:c r="B3989" s="79" t="n">
        <x:v>-0.242492133374068</x:v>
      </x:c>
      <x:c r="C3989" s="46" t="n">
        <x:f>B3989^2</x:f>
        <x:v>0.058802434748306785</x:v>
      </x:c>
      <x:c r="D3989" s="47" t="n">
        <x:f>'Datos'!$B$26^3/3</x:f>
        <x:v>0.3333333333333333</x:v>
      </x:c>
      <x:c r="E3989" s="46" t="n">
        <x:f>D3989*(C3989-1)</x:f>
        <x:v>-0.3137325217505644</x:v>
      </x:c>
      <x:c r="F3989" s="2"/>
      <x:c r="G3989" s="2"/>
      <x:c r="H3989" s="2"/>
    </x:row>
    <x:row r="3990" ht="22" customHeight="1">
      <x:c r="A3990" s="2" t="n">
        <x:v>3984</x:v>
      </x:c>
      <x:c r="B3990" s="79" t="n">
        <x:v>-0.6609055127404968</x:v>
      </x:c>
      <x:c r="C3990" s="46" t="n">
        <x:f>B3990^2</x:f>
        <x:v>0.43679609677077896</x:v>
      </x:c>
      <x:c r="D3990" s="47" t="n">
        <x:f>'Datos'!$B$26^3/3</x:f>
        <x:v>0.3333333333333333</x:v>
      </x:c>
      <x:c r="E3990" s="46" t="n">
        <x:f>D3990*(C3990-1)</x:f>
        <x:v>-0.18773463440974036</x:v>
      </x:c>
      <x:c r="F3990" s="2"/>
      <x:c r="G3990" s="2"/>
      <x:c r="H3990" s="2"/>
    </x:row>
    <x:row r="3991" ht="22" customHeight="1">
      <x:c r="A3991" s="2" t="n">
        <x:v>3985</x:v>
      </x:c>
      <x:c r="B3991" s="79" t="n">
        <x:v>0.8497521116269533</x:v>
      </x:c>
      <x:c r="C3991" s="46" t="n">
        <x:f>B3991^2</x:f>
        <x:v>0.7220786512144661</x:v>
      </x:c>
      <x:c r="D3991" s="47" t="n">
        <x:f>'Datos'!$B$26^3/3</x:f>
        <x:v>0.3333333333333333</x:v>
      </x:c>
      <x:c r="E3991" s="46" t="n">
        <x:f>D3991*(C3991-1)</x:f>
        <x:v>-0.09264044959517795</x:v>
      </x:c>
      <x:c r="F3991" s="2"/>
      <x:c r="G3991" s="2"/>
      <x:c r="H3991" s="2"/>
    </x:row>
    <x:row r="3992" ht="22" customHeight="1">
      <x:c r="A3992" s="2" t="n">
        <x:v>3986</x:v>
      </x:c>
      <x:c r="B3992" s="79" t="n">
        <x:v>-0.5520527106969072</x:v>
      </x:c>
      <x:c r="C3992" s="46" t="n">
        <x:f>B3992^2</x:f>
        <x:v>0.30476219538780314</x:v>
      </x:c>
      <x:c r="D3992" s="47" t="n">
        <x:f>'Datos'!$B$26^3/3</x:f>
        <x:v>0.3333333333333333</x:v>
      </x:c>
      <x:c r="E3992" s="46" t="n">
        <x:f>D3992*(C3992-1)</x:f>
        <x:v>-0.23174593487073228</x:v>
      </x:c>
      <x:c r="F3992" s="2"/>
      <x:c r="G3992" s="2"/>
      <x:c r="H3992" s="2"/>
    </x:row>
    <x:row r="3993" ht="22" customHeight="1">
      <x:c r="A3993" s="2" t="n">
        <x:v>3987</x:v>
      </x:c>
      <x:c r="B3993" s="79" t="n">
        <x:v>-0.8787909456727758</x:v>
      </x:c>
      <x:c r="C3993" s="46" t="n">
        <x:f>B3993^2</x:f>
        <x:v>0.7722735261964516</x:v>
      </x:c>
      <x:c r="D3993" s="47" t="n">
        <x:f>'Datos'!$B$26^3/3</x:f>
        <x:v>0.3333333333333333</x:v>
      </x:c>
      <x:c r="E3993" s="46" t="n">
        <x:f>D3993*(C3993-1)</x:f>
        <x:v>-0.07590882460118278</x:v>
      </x:c>
      <x:c r="F3993" s="2"/>
      <x:c r="G3993" s="2"/>
      <x:c r="H3993" s="2"/>
    </x:row>
    <x:row r="3994" ht="22" customHeight="1">
      <x:c r="A3994" s="2" t="n">
        <x:v>3988</x:v>
      </x:c>
      <x:c r="B3994" s="79" t="n">
        <x:v>0.04809551449217844</x:v>
      </x:c>
      <x:c r="C3994" s="46" t="n">
        <x:f>B3994^2</x:f>
        <x:v>0.0023131785142673465</x:v>
      </x:c>
      <x:c r="D3994" s="47" t="n">
        <x:f>'Datos'!$B$26^3/3</x:f>
        <x:v>0.3333333333333333</x:v>
      </x:c>
      <x:c r="E3994" s="46" t="n">
        <x:f>D3994*(C3994-1)</x:f>
        <x:v>-0.3325622738285775</x:v>
      </x:c>
      <x:c r="F3994" s="2"/>
      <x:c r="G3994" s="2"/>
      <x:c r="H3994" s="2"/>
    </x:row>
    <x:row r="3995" ht="22" customHeight="1">
      <x:c r="A3995" s="2" t="n">
        <x:v>3989</x:v>
      </x:c>
      <x:c r="B3995" s="79" t="n">
        <x:v>-0.5424931014732836</x:v>
      </x:c>
      <x:c r="C3995" s="46" t="n">
        <x:f>B3995^2</x:f>
        <x:v>0.2942987651461023</x:v>
      </x:c>
      <x:c r="D3995" s="47" t="n">
        <x:f>'Datos'!$B$26^3/3</x:f>
        <x:v>0.3333333333333333</x:v>
      </x:c>
      <x:c r="E3995" s="46" t="n">
        <x:f>D3995*(C3995-1)</x:f>
        <x:v>-0.23523374495129923</x:v>
      </x:c>
      <x:c r="F3995" s="2"/>
      <x:c r="G3995" s="2"/>
      <x:c r="H3995" s="2"/>
    </x:row>
    <x:row r="3996" ht="22" customHeight="1">
      <x:c r="A3996" s="2" t="n">
        <x:v>3990</x:v>
      </x:c>
      <x:c r="B3996" s="79" t="n">
        <x:v>-0.7338666099104459</x:v>
      </x:c>
      <x:c r="C3996" s="46" t="n">
        <x:f>B3996^2</x:f>
        <x:v>0.5385602011414506</x:v>
      </x:c>
      <x:c r="D3996" s="47" t="n">
        <x:f>'Datos'!$B$26^3/3</x:f>
        <x:v>0.3333333333333333</x:v>
      </x:c>
      <x:c r="E3996" s="46" t="n">
        <x:f>D3996*(C3996-1)</x:f>
        <x:v>-0.1538132662861831</x:v>
      </x:c>
      <x:c r="F3996" s="2"/>
      <x:c r="G3996" s="2"/>
      <x:c r="H3996" s="2"/>
    </x:row>
    <x:row r="3997" ht="22" customHeight="1">
      <x:c r="A3997" s="2" t="n">
        <x:v>3991</x:v>
      </x:c>
      <x:c r="B3997" s="79" t="n">
        <x:v>0.8574656185373377</x:v>
      </x:c>
      <x:c r="C3997" s="46" t="n">
        <x:f>B3997^2</x:f>
        <x:v>0.7352472869736192</x:v>
      </x:c>
      <x:c r="D3997" s="47" t="n">
        <x:f>'Datos'!$B$26^3/3</x:f>
        <x:v>0.3333333333333333</x:v>
      </x:c>
      <x:c r="E3997" s="46" t="n">
        <x:f>D3997*(C3997-1)</x:f>
        <x:v>-0.08825090434212693</x:v>
      </x:c>
      <x:c r="F3997" s="2"/>
      <x:c r="G3997" s="2"/>
      <x:c r="H3997" s="2"/>
    </x:row>
    <x:row r="3998" ht="22" customHeight="1">
      <x:c r="A3998" s="2" t="n">
        <x:v>3992</x:v>
      </x:c>
      <x:c r="B3998" s="79" t="n">
        <x:v>0.8132509657363343</x:v>
      </x:c>
      <x:c r="C3998" s="46" t="n">
        <x:f>B3998^2</x:f>
        <x:v>0.6613771332710803</x:v>
      </x:c>
      <x:c r="D3998" s="47" t="n">
        <x:f>'Datos'!$B$26^3/3</x:f>
        <x:v>0.3333333333333333</x:v>
      </x:c>
      <x:c r="E3998" s="46" t="n">
        <x:f>D3998*(C3998-1)</x:f>
        <x:v>-0.11287428890963991</x:v>
      </x:c>
      <x:c r="F3998" s="2"/>
      <x:c r="G3998" s="2"/>
      <x:c r="H3998" s="2"/>
    </x:row>
    <x:row r="3999" ht="22" customHeight="1">
      <x:c r="A3999" s="2" t="n">
        <x:v>3993</x:v>
      </x:c>
      <x:c r="B3999" s="79" t="n">
        <x:v>0.4303696827315801</x:v>
      </x:c>
      <x:c r="C3999" s="46" t="n">
        <x:f>B3999^2</x:f>
        <x:v>0.18521806381448092</x:v>
      </x:c>
      <x:c r="D3999" s="47" t="n">
        <x:f>'Datos'!$B$26^3/3</x:f>
        <x:v>0.3333333333333333</x:v>
      </x:c>
      <x:c r="E3999" s="46" t="n">
        <x:f>D3999*(C3999-1)</x:f>
        <x:v>-0.2715939787285063</x:v>
      </x:c>
      <x:c r="F3999" s="2"/>
      <x:c r="G3999" s="2"/>
      <x:c r="H3999" s="2"/>
    </x:row>
    <x:row r="4000" ht="22" customHeight="1">
      <x:c r="A4000" s="2" t="n">
        <x:v>3994</x:v>
      </x:c>
      <x:c r="B4000" s="79" t="n">
        <x:v>1.1221035582001404</x:v>
      </x:c>
      <x:c r="C4000" s="46" t="n">
        <x:f>B4000^2</x:f>
        <x:v>1.2591163953254159</x:v>
      </x:c>
      <x:c r="D4000" s="47" t="n">
        <x:f>'Datos'!$B$26^3/3</x:f>
        <x:v>0.3333333333333333</x:v>
      </x:c>
      <x:c r="E4000" s="46" t="n">
        <x:f>D4000*(C4000-1)</x:f>
        <x:v>0.08637213177513861</x:v>
      </x:c>
      <x:c r="F4000" s="2"/>
      <x:c r="G4000" s="2"/>
      <x:c r="H4000" s="2"/>
    </x:row>
    <x:row r="4001" ht="22" customHeight="1">
      <x:c r="A4001" s="2" t="n">
        <x:v>3995</x:v>
      </x:c>
      <x:c r="B4001" s="79" t="n">
        <x:v>-1.2553275841882359</x:v>
      </x:c>
      <x:c r="C4001" s="46" t="n">
        <x:f>B4001^2</x:f>
        <x:v>1.5758473436238725</x:v>
      </x:c>
      <x:c r="D4001" s="47" t="n">
        <x:f>'Datos'!$B$26^3/3</x:f>
        <x:v>0.3333333333333333</x:v>
      </x:c>
      <x:c r="E4001" s="46" t="n">
        <x:f>D4001*(C4001-1)</x:f>
        <x:v>0.19194911454129082</x:v>
      </x:c>
      <x:c r="F4001" s="2"/>
      <x:c r="G4001" s="2"/>
      <x:c r="H4001" s="2"/>
    </x:row>
    <x:row r="4002" ht="22" customHeight="1">
      <x:c r="A4002" s="2" t="n">
        <x:v>3996</x:v>
      </x:c>
      <x:c r="B4002" s="79" t="n">
        <x:v>-0.5869957152037923</x:v>
      </x:c>
      <x:c r="C4002" s="46" t="n">
        <x:f>B4002^2</x:f>
        <x:v>0.3445639696676117</x:v>
      </x:c>
      <x:c r="D4002" s="47" t="n">
        <x:f>'Datos'!$B$26^3/3</x:f>
        <x:v>0.3333333333333333</x:v>
      </x:c>
      <x:c r="E4002" s="46" t="n">
        <x:f>D4002*(C4002-1)</x:f>
        <x:v>-0.21847867677746274</x:v>
      </x:c>
      <x:c r="F4002" s="2"/>
      <x:c r="G4002" s="2"/>
      <x:c r="H4002" s="2"/>
    </x:row>
    <x:row r="4003" ht="22" customHeight="1">
      <x:c r="A4003" s="2" t="n">
        <x:v>3997</x:v>
      </x:c>
      <x:c r="B4003" s="79" t="n">
        <x:v>0.45161636034654057</x:v>
      </x:c>
      <x:c r="C4003" s="46" t="n">
        <x:f>B4003^2</x:f>
        <x:v>0.20395733693265639</x:v>
      </x:c>
      <x:c r="D4003" s="47" t="n">
        <x:f>'Datos'!$B$26^3/3</x:f>
        <x:v>0.3333333333333333</x:v>
      </x:c>
      <x:c r="E4003" s="46" t="n">
        <x:f>D4003*(C4003-1)</x:f>
        <x:v>-0.26534755435578117</x:v>
      </x:c>
      <x:c r="F4003" s="2"/>
      <x:c r="G4003" s="2"/>
      <x:c r="H4003" s="2"/>
    </x:row>
    <x:row r="4004" ht="22" customHeight="1">
      <x:c r="A4004" s="2" t="n">
        <x:v>3998</x:v>
      </x:c>
      <x:c r="B4004" s="79" t="n">
        <x:v>1.363534691406375</x:v>
      </x:c>
      <x:c r="C4004" s="46" t="n">
        <x:f>B4004^2</x:f>
        <x:v>1.8592268546686785</x:v>
      </x:c>
      <x:c r="D4004" s="47" t="n">
        <x:f>'Datos'!$B$26^3/3</x:f>
        <x:v>0.3333333333333333</x:v>
      </x:c>
      <x:c r="E4004" s="46" t="n">
        <x:f>D4004*(C4004-1)</x:f>
        <x:v>0.28640895155622614</x:v>
      </x:c>
      <x:c r="F4004" s="2"/>
      <x:c r="G4004" s="2"/>
      <x:c r="H4004" s="2"/>
    </x:row>
    <x:row r="4005" ht="22" customHeight="1">
      <x:c r="A4005" s="2" t="n">
        <x:v>3999</x:v>
      </x:c>
      <x:c r="B4005" s="79" t="n">
        <x:v>-1.128259881326702</x:v>
      </x:c>
      <x:c r="C4005" s="46" t="n">
        <x:f>B4005^2</x:f>
        <x:v>1.2729703598113435</x:v>
      </x:c>
      <x:c r="D4005" s="47" t="n">
        <x:f>'Datos'!$B$26^3/3</x:f>
        <x:v>0.3333333333333333</x:v>
      </x:c>
      <x:c r="E4005" s="46" t="n">
        <x:f>D4005*(C4005-1)</x:f>
        <x:v>0.0909901199371145</x:v>
      </x:c>
      <x:c r="F4005" s="2"/>
      <x:c r="G4005" s="2"/>
      <x:c r="H4005" s="2"/>
    </x:row>
    <x:row r="4006" ht="22" customHeight="1">
      <x:c r="A4006" s="2" t="n">
        <x:v>4000</x:v>
      </x:c>
      <x:c r="B4006" s="79" t="n">
        <x:v>-0.1739983871833607</x:v>
      </x:c>
      <x:c r="C4006" s="46" t="n">
        <x:f>B4006^2</x:f>
        <x:v>0.030275438742410697</x:v>
      </x:c>
      <x:c r="D4006" s="47" t="n">
        <x:f>'Datos'!$B$26^3/3</x:f>
        <x:v>0.3333333333333333</x:v>
      </x:c>
      <x:c r="E4006" s="46" t="n">
        <x:f>D4006*(C4006-1)</x:f>
        <x:v>-0.3232415204191964</x:v>
      </x:c>
      <x:c r="F4006" s="2"/>
      <x:c r="G4006" s="2"/>
      <x:c r="H4006" s="2"/>
    </x:row>
    <x:row r="4007" ht="22" customHeight="1">
      <x:c r="A4007" s="2" t="n">
        <x:v>4001</x:v>
      </x:c>
      <x:c r="B4007" s="79" t="n">
        <x:v>1.1666722173636028</x:v>
      </x:c>
      <x:c r="C4007" s="46" t="n">
        <x:f>B4007^2</x:f>
        <x:v>1.3611240627681058</x:v>
      </x:c>
      <x:c r="D4007" s="47" t="n">
        <x:f>'Datos'!$B$26^3/3</x:f>
        <x:v>0.3333333333333333</x:v>
      </x:c>
      <x:c r="E4007" s="46" t="n">
        <x:f>D4007*(C4007-1)</x:f>
        <x:v>0.1203746875893686</x:v>
      </x:c>
      <x:c r="F4007" s="2"/>
      <x:c r="G4007" s="2"/>
      <x:c r="H4007" s="2"/>
    </x:row>
    <x:row r="4008" ht="22" customHeight="1">
      <x:c r="A4008" s="2" t="n">
        <x:v>4002</x:v>
      </x:c>
      <x:c r="B4008" s="79" t="n">
        <x:v>-1.4140386146646804</x:v>
      </x:c>
      <x:c r="C4008" s="46" t="n">
        <x:f>B4008^2</x:f>
        <x:v>1.9995052037628085</x:v>
      </x:c>
      <x:c r="D4008" s="47" t="n">
        <x:f>'Datos'!$B$26^3/3</x:f>
        <x:v>0.3333333333333333</x:v>
      </x:c>
      <x:c r="E4008" s="46" t="n">
        <x:f>D4008*(C4008-1)</x:f>
        <x:v>0.3331684012542695</x:v>
      </x:c>
      <x:c r="F4008" s="2"/>
      <x:c r="G4008" s="2"/>
      <x:c r="H4008" s="2"/>
    </x:row>
    <x:row r="4009" ht="22" customHeight="1">
      <x:c r="A4009" s="2" t="n">
        <x:v>4003</x:v>
      </x:c>
      <x:c r="B4009" s="79" t="n">
        <x:v>1.7009991749304105</x:v>
      </x:c>
      <x:c r="C4009" s="46" t="n">
        <x:f>B4009^2</x:f>
        <x:v>2.893398193113937</x:v>
      </x:c>
      <x:c r="D4009" s="47" t="n">
        <x:f>'Datos'!$B$26^3/3</x:f>
        <x:v>0.3333333333333333</x:v>
      </x:c>
      <x:c r="E4009" s="46" t="n">
        <x:f>D4009*(C4009-1)</x:f>
        <x:v>0.6311327310379791</x:v>
      </x:c>
      <x:c r="F4009" s="2"/>
      <x:c r="G4009" s="2"/>
      <x:c r="H4009" s="2"/>
    </x:row>
    <x:row r="4010" ht="22" customHeight="1">
      <x:c r="A4010" s="2" t="n">
        <x:v>4004</x:v>
      </x:c>
      <x:c r="B4010" s="79" t="n">
        <x:v>-0.8341557098992193</x:v>
      </x:c>
      <x:c r="C4010" s="46" t="n">
        <x:f>B4010^2</x:f>
        <x:v>0.6958157483574705</x:v>
      </x:c>
      <x:c r="D4010" s="47" t="n">
        <x:f>'Datos'!$B$26^3/3</x:f>
        <x:v>0.3333333333333333</x:v>
      </x:c>
      <x:c r="E4010" s="46" t="n">
        <x:f>D4010*(C4010-1)</x:f>
        <x:v>-0.10139475054750982</x:v>
      </x:c>
      <x:c r="F4010" s="2"/>
      <x:c r="G4010" s="2"/>
      <x:c r="H4010" s="2"/>
    </x:row>
    <x:row r="4011" ht="22" customHeight="1">
      <x:c r="A4011" s="2" t="n">
        <x:v>4005</x:v>
      </x:c>
      <x:c r="B4011" s="79" t="n">
        <x:v>2.3157561023453175</x:v>
      </x:c>
      <x:c r="C4011" s="46" t="n">
        <x:f>B4011^2</x:f>
        <x:v>5.362726325549577</x:v>
      </x:c>
      <x:c r="D4011" s="47" t="n">
        <x:f>'Datos'!$B$26^3/3</x:f>
        <x:v>0.3333333333333333</x:v>
      </x:c>
      <x:c r="E4011" s="46" t="n">
        <x:f>D4011*(C4011-1)</x:f>
        <x:v>1.4542421085165256</x:v>
      </x:c>
      <x:c r="F4011" s="2"/>
      <x:c r="G4011" s="2"/>
      <x:c r="H4011" s="2"/>
    </x:row>
    <x:row r="4012" ht="22" customHeight="1">
      <x:c r="A4012" s="2" t="n">
        <x:v>4006</x:v>
      </x:c>
      <x:c r="B4012" s="79" t="n">
        <x:v>1.2216854717783188</x:v>
      </x:c>
      <x:c r="C4012" s="46" t="n">
        <x:f>B4012^2</x:f>
        <x:v>1.4925153919542133</x:v>
      </x:c>
      <x:c r="D4012" s="47" t="n">
        <x:f>'Datos'!$B$26^3/3</x:f>
        <x:v>0.3333333333333333</x:v>
      </x:c>
      <x:c r="E4012" s="46" t="n">
        <x:f>D4012*(C4012-1)</x:f>
        <x:v>0.1641717973180711</x:v>
      </x:c>
      <x:c r="F4012" s="2"/>
      <x:c r="G4012" s="2"/>
      <x:c r="H4012" s="2"/>
    </x:row>
    <x:row r="4013" ht="22" customHeight="1">
      <x:c r="A4013" s="2" t="n">
        <x:v>4007</x:v>
      </x:c>
      <x:c r="B4013" s="79" t="n">
        <x:v>0.8121610204607336</x:v>
      </x:c>
      <x:c r="C4013" s="46" t="n">
        <x:f>B4013^2</x:f>
        <x:v>0.6596055231558201</x:v>
      </x:c>
      <x:c r="D4013" s="47" t="n">
        <x:f>'Datos'!$B$26^3/3</x:f>
        <x:v>0.3333333333333333</x:v>
      </x:c>
      <x:c r="E4013" s="46" t="n">
        <x:f>D4013*(C4013-1)</x:f>
        <x:v>-0.11346482561472662</x:v>
      </x:c>
      <x:c r="F4013" s="2"/>
      <x:c r="G4013" s="2"/>
      <x:c r="H4013" s="2"/>
    </x:row>
    <x:row r="4014" ht="22" customHeight="1">
      <x:c r="A4014" s="2" t="n">
        <x:v>4008</x:v>
      </x:c>
      <x:c r="B4014" s="79" t="n">
        <x:v>1.346844888290316</x:v>
      </x:c>
      <x:c r="C4014" s="46" t="n">
        <x:f>B4014^2</x:f>
        <x:v>1.8139911531137536</x:v>
      </x:c>
      <x:c r="D4014" s="47" t="n">
        <x:f>'Datos'!$B$26^3/3</x:f>
        <x:v>0.3333333333333333</x:v>
      </x:c>
      <x:c r="E4014" s="46" t="n">
        <x:f>D4014*(C4014-1)</x:f>
        <x:v>0.2713303843712512</x:v>
      </x:c>
      <x:c r="F4014" s="2"/>
      <x:c r="G4014" s="2"/>
      <x:c r="H4014" s="2"/>
    </x:row>
    <x:row r="4015" ht="22" customHeight="1">
      <x:c r="A4015" s="2" t="n">
        <x:v>4009</x:v>
      </x:c>
      <x:c r="B4015" s="79" t="n">
        <x:v>-0.008911608972321062</x:v>
      </x:c>
      <x:c r="C4015" s="46" t="n">
        <x:f>B4015^2</x:f>
        <x:v>0.00007941677447555326</x:v>
      </x:c>
      <x:c r="D4015" s="47" t="n">
        <x:f>'Datos'!$B$26^3/3</x:f>
        <x:v>0.3333333333333333</x:v>
      </x:c>
      <x:c r="E4015" s="46" t="n">
        <x:f>D4015*(C4015-1)</x:f>
        <x:v>-0.3333068610751748</x:v>
      </x:c>
      <x:c r="F4015" s="2"/>
      <x:c r="G4015" s="2"/>
      <x:c r="H4015" s="2"/>
    </x:row>
    <x:row r="4016" ht="22" customHeight="1">
      <x:c r="A4016" s="2" t="n">
        <x:v>4010</x:v>
      </x:c>
      <x:c r="B4016" s="79" t="n">
        <x:v>-0.48397156144104464</x:v>
      </x:c>
      <x:c r="C4016" s="46" t="n">
        <x:f>B4016^2</x:f>
        <x:v>0.23422847228368285</x:v>
      </x:c>
      <x:c r="D4016" s="47" t="n">
        <x:f>'Datos'!$B$26^3/3</x:f>
        <x:v>0.3333333333333333</x:v>
      </x:c>
      <x:c r="E4016" s="46" t="n">
        <x:f>D4016*(C4016-1)</x:f>
        <x:v>-0.25525717590543906</x:v>
      </x:c>
      <x:c r="F4016" s="2"/>
      <x:c r="G4016" s="2"/>
      <x:c r="H4016" s="2"/>
    </x:row>
    <x:row r="4017" ht="22" customHeight="1">
      <x:c r="A4017" s="2" t="n">
        <x:v>4011</x:v>
      </x:c>
      <x:c r="B4017" s="79" t="n">
        <x:v>0.15968072696199015</x:v>
      </x:c>
      <x:c r="C4017" s="46" t="n">
        <x:f>B4017^2</x:f>
        <x:v>0.02549793456310965</x:v>
      </x:c>
      <x:c r="D4017" s="47" t="n">
        <x:f>'Datos'!$B$26^3/3</x:f>
        <x:v>0.3333333333333333</x:v>
      </x:c>
      <x:c r="E4017" s="46" t="n">
        <x:f>D4017*(C4017-1)</x:f>
        <x:v>-0.32483402181229676</x:v>
      </x:c>
      <x:c r="F4017" s="2"/>
      <x:c r="G4017" s="2"/>
      <x:c r="H4017" s="2"/>
    </x:row>
    <x:row r="4018" ht="22" customHeight="1">
      <x:c r="A4018" s="2" t="n">
        <x:v>4012</x:v>
      </x:c>
      <x:c r="B4018" s="79" t="n">
        <x:v>-2.0813591739536297</x:v>
      </x:c>
      <x:c r="C4018" s="46" t="n">
        <x:f>B4018^2</x:f>
        <x:v>4.332056011000936</x:v>
      </x:c>
      <x:c r="D4018" s="47" t="n">
        <x:f>'Datos'!$B$26^3/3</x:f>
        <x:v>0.3333333333333333</x:v>
      </x:c>
      <x:c r="E4018" s="46" t="n">
        <x:f>D4018*(C4018-1)</x:f>
        <x:v>1.1106853370003118</x:v>
      </x:c>
      <x:c r="F4018" s="2"/>
      <x:c r="G4018" s="2"/>
      <x:c r="H4018" s="2"/>
    </x:row>
    <x:row r="4019" ht="22" customHeight="1">
      <x:c r="A4019" s="2" t="n">
        <x:v>4013</x:v>
      </x:c>
      <x:c r="B4019" s="79" t="n">
        <x:v>0.46603519723922743</x:v>
      </x:c>
      <x:c r="C4019" s="46" t="n">
        <x:f>B4019^2</x:f>
        <x:v>0.21718880506580562</x:v>
      </x:c>
      <x:c r="D4019" s="47" t="n">
        <x:f>'Datos'!$B$26^3/3</x:f>
        <x:v>0.3333333333333333</x:v>
      </x:c>
      <x:c r="E4019" s="46" t="n">
        <x:f>D4019*(C4019-1)</x:f>
        <x:v>-0.2609370649780648</x:v>
      </x:c>
      <x:c r="F4019" s="2"/>
      <x:c r="G4019" s="2"/>
      <x:c r="H4019" s="2"/>
    </x:row>
    <x:row r="4020" ht="22" customHeight="1">
      <x:c r="A4020" s="2" t="n">
        <x:v>4014</x:v>
      </x:c>
      <x:c r="B4020" s="79" t="n">
        <x:v>1.3575771677502433</x:v>
      </x:c>
      <x:c r="C4020" s="46" t="n">
        <x:f>B4020^2</x:f>
        <x:v>1.8430157663967721</x:v>
      </x:c>
      <x:c r="D4020" s="47" t="n">
        <x:f>'Datos'!$B$26^3/3</x:f>
        <x:v>0.3333333333333333</x:v>
      </x:c>
      <x:c r="E4020" s="46" t="n">
        <x:f>D4020*(C4020-1)</x:f>
        <x:v>0.2810052554655907</x:v>
      </x:c>
      <x:c r="F4020" s="2"/>
      <x:c r="G4020" s="2"/>
      <x:c r="H4020" s="2"/>
    </x:row>
    <x:row r="4021" ht="22" customHeight="1">
      <x:c r="A4021" s="2" t="n">
        <x:v>4015</x:v>
      </x:c>
      <x:c r="B4021" s="79" t="n">
        <x:v>0.04139002183771335</x:v>
      </x:c>
      <x:c r="C4021" s="46" t="n">
        <x:f>B4021^2</x:f>
        <x:v>0.001713133907726388</x:v>
      </x:c>
      <x:c r="D4021" s="47" t="n">
        <x:f>'Datos'!$B$26^3/3</x:f>
        <x:v>0.3333333333333333</x:v>
      </x:c>
      <x:c r="E4021" s="46" t="n">
        <x:f>D4021*(C4021-1)</x:f>
        <x:v>-0.3327622886974245</x:v>
      </x:c>
      <x:c r="F4021" s="2"/>
      <x:c r="G4021" s="2"/>
      <x:c r="H4021" s="2"/>
    </x:row>
    <x:row r="4022" ht="22" customHeight="1">
      <x:c r="A4022" s="2" t="n">
        <x:v>4016</x:v>
      </x:c>
      <x:c r="B4022" s="79" t="n">
        <x:v>0.16440281978144558</x:v>
      </x:c>
      <x:c r="C4022" s="46" t="n">
        <x:f>B4022^2</x:f>
        <x:v>0.027028287152090474</x:v>
      </x:c>
      <x:c r="D4022" s="47" t="n">
        <x:f>'Datos'!$B$26^3/3</x:f>
        <x:v>0.3333333333333333</x:v>
      </x:c>
      <x:c r="E4022" s="46" t="n">
        <x:f>D4022*(C4022-1)</x:f>
        <x:v>-0.32432390428263647</x:v>
      </x:c>
      <x:c r="F4022" s="2"/>
      <x:c r="G4022" s="2"/>
      <x:c r="H4022" s="2"/>
    </x:row>
    <x:row r="4023" ht="22" customHeight="1">
      <x:c r="A4023" s="2" t="n">
        <x:v>4017</x:v>
      </x:c>
      <x:c r="B4023" s="79" t="n">
        <x:v>-0.8044476561329919</x:v>
      </x:c>
      <x:c r="C4023" s="46" t="n">
        <x:f>B4023^2</x:f>
        <x:v>0.6471360314578642</x:v>
      </x:c>
      <x:c r="D4023" s="47" t="n">
        <x:f>'Datos'!$B$26^3/3</x:f>
        <x:v>0.3333333333333333</x:v>
      </x:c>
      <x:c r="E4023" s="46" t="n">
        <x:f>D4023*(C4023-1)</x:f>
        <x:v>-0.11762132284737858</x:v>
      </x:c>
      <x:c r="F4023" s="2"/>
      <x:c r="G4023" s="2"/>
      <x:c r="H4023" s="2"/>
    </x:row>
    <x:row r="4024" ht="22" customHeight="1">
      <x:c r="A4024" s="2" t="n">
        <x:v>4018</x:v>
      </x:c>
      <x:c r="B4024" s="79" t="n">
        <x:v>0.25676405519555706</x:v>
      </x:c>
      <x:c r="C4024" s="46" t="n">
        <x:f>B4024^2</x:f>
        <x:v>0.06592778004046708</x:v>
      </x:c>
      <x:c r="D4024" s="47" t="n">
        <x:f>'Datos'!$B$26^3/3</x:f>
        <x:v>0.3333333333333333</x:v>
      </x:c>
      <x:c r="E4024" s="46" t="n">
        <x:f>D4024*(C4024-1)</x:f>
        <x:v>-0.3113574066531776</x:v>
      </x:c>
      <x:c r="F4024" s="2"/>
      <x:c r="G4024" s="2"/>
      <x:c r="H4024" s="2"/>
    </x:row>
    <x:row r="4025" ht="22" customHeight="1">
      <x:c r="A4025" s="2" t="n">
        <x:v>4019</x:v>
      </x:c>
      <x:c r="B4025" s="79" t="n">
        <x:v>-0.13757275388981358</x:v>
      </x:c>
      <x:c r="C4025" s="46" t="n">
        <x:f>B4025^2</x:f>
        <x:v>0.018926262612827215</x:v>
      </x:c>
      <x:c r="D4025" s="47" t="n">
        <x:f>'Datos'!$B$26^3/3</x:f>
        <x:v>0.3333333333333333</x:v>
      </x:c>
      <x:c r="E4025" s="46" t="n">
        <x:f>D4025*(C4025-1)</x:f>
        <x:v>-0.3270245791290576</x:v>
      </x:c>
      <x:c r="F4025" s="2"/>
      <x:c r="G4025" s="2"/>
      <x:c r="H4025" s="2"/>
    </x:row>
    <x:row r="4026" ht="22" customHeight="1">
      <x:c r="A4026" s="2" t="n">
        <x:v>4020</x:v>
      </x:c>
      <x:c r="B4026" s="79" t="n">
        <x:v>0.22881238452064767</x:v>
      </x:c>
      <x:c r="C4026" s="46" t="n">
        <x:f>B4026^2</x:f>
        <x:v>0.052355107310024726</x:v>
      </x:c>
      <x:c r="D4026" s="47" t="n">
        <x:f>'Datos'!$B$26^3/3</x:f>
        <x:v>0.3333333333333333</x:v>
      </x:c>
      <x:c r="E4026" s="46" t="n">
        <x:f>D4026*(C4026-1)</x:f>
        <x:v>-0.31588163089665844</x:v>
      </x:c>
      <x:c r="F4026" s="2"/>
      <x:c r="G4026" s="2"/>
      <x:c r="H4026" s="2"/>
    </x:row>
    <x:row r="4027" ht="22" customHeight="1">
      <x:c r="A4027" s="2" t="n">
        <x:v>4021</x:v>
      </x:c>
      <x:c r="B4027" s="79" t="n">
        <x:v>1.2500514823551219</x:v>
      </x:c>
      <x:c r="C4027" s="46" t="n">
        <x:f>B4027^2</x:f>
        <x:v>1.5626287085382375</x:v>
      </x:c>
      <x:c r="D4027" s="47" t="n">
        <x:f>'Datos'!$B$26^3/3</x:f>
        <x:v>0.3333333333333333</x:v>
      </x:c>
      <x:c r="E4027" s="46" t="n">
        <x:f>D4027*(C4027-1)</x:f>
        <x:v>0.18754290284607916</x:v>
      </x:c>
      <x:c r="F4027" s="2"/>
      <x:c r="G4027" s="2"/>
      <x:c r="H4027" s="2"/>
    </x:row>
    <x:row r="4028" ht="22" customHeight="1">
      <x:c r="A4028" s="2" t="n">
        <x:v>4022</x:v>
      </x:c>
      <x:c r="B4028" s="79" t="n">
        <x:v>1.6325355268357544</x:v>
      </x:c>
      <x:c r="C4028" s="46" t="n">
        <x:f>B4028^2</x:f>
        <x:v>2.6651722463808944</x:v>
      </x:c>
      <x:c r="D4028" s="47" t="n">
        <x:f>'Datos'!$B$26^3/3</x:f>
        <x:v>0.3333333333333333</x:v>
      </x:c>
      <x:c r="E4028" s="46" t="n">
        <x:f>D4028*(C4028-1)</x:f>
        <x:v>0.5550574154602981</x:v>
      </x:c>
      <x:c r="F4028" s="2"/>
      <x:c r="G4028" s="2"/>
      <x:c r="H4028" s="2"/>
    </x:row>
    <x:row r="4029" ht="22" customHeight="1">
      <x:c r="A4029" s="2" t="n">
        <x:v>4023</x:v>
      </x:c>
      <x:c r="B4029" s="79" t="n">
        <x:v>-0.6310141377166573</x:v>
      </x:c>
      <x:c r="C4029" s="46" t="n">
        <x:f>B4029^2</x:f>
        <x:v>0.3981788419982965</x:v>
      </x:c>
      <x:c r="D4029" s="47" t="n">
        <x:f>'Datos'!$B$26^3/3</x:f>
        <x:v>0.3333333333333333</x:v>
      </x:c>
      <x:c r="E4029" s="46" t="n">
        <x:f>D4029*(C4029-1)</x:f>
        <x:v>-0.20060705266723447</x:v>
      </x:c>
      <x:c r="F4029" s="2"/>
      <x:c r="G4029" s="2"/>
      <x:c r="H4029" s="2"/>
    </x:row>
    <x:row r="4030" ht="22" customHeight="1">
      <x:c r="A4030" s="2" t="n">
        <x:v>4024</x:v>
      </x:c>
      <x:c r="B4030" s="79" t="n">
        <x:v>0.009636490216020588</x:v>
      </x:c>
      <x:c r="C4030" s="46" t="n">
        <x:f>B4030^2</x:f>
        <x:v>0.00009286194368346052</x:v>
      </x:c>
      <x:c r="D4030" s="47" t="n">
        <x:f>'Datos'!$B$26^3/3</x:f>
        <x:v>0.3333333333333333</x:v>
      </x:c>
      <x:c r="E4030" s="46" t="n">
        <x:f>D4030*(C4030-1)</x:f>
        <x:v>-0.3333023793521055</x:v>
      </x:c>
      <x:c r="F4030" s="2"/>
      <x:c r="G4030" s="2"/>
      <x:c r="H4030" s="2"/>
    </x:row>
    <x:row r="4031" ht="22" customHeight="1">
      <x:c r="A4031" s="2" t="n">
        <x:v>4025</x:v>
      </x:c>
      <x:c r="B4031" s="79" t="n">
        <x:v>-1.1367236762322404</x:v>
      </x:c>
      <x:c r="C4031" s="46" t="n">
        <x:f>B4031^2</x:f>
        <x:v>1.2921407161069391</x:v>
      </x:c>
      <x:c r="D4031" s="47" t="n">
        <x:f>'Datos'!$B$26^3/3</x:f>
        <x:v>0.3333333333333333</x:v>
      </x:c>
      <x:c r="E4031" s="46" t="n">
        <x:f>D4031*(C4031-1)</x:f>
        <x:v>0.09738023870231305</x:v>
      </x:c>
      <x:c r="F4031" s="2"/>
      <x:c r="G4031" s="2"/>
      <x:c r="H4031" s="2"/>
    </x:row>
    <x:row r="4032" ht="22" customHeight="1">
      <x:c r="A4032" s="2" t="n">
        <x:v>4026</x:v>
      </x:c>
      <x:c r="B4032" s="79" t="n">
        <x:v>0.5359713834651051</x:v>
      </x:c>
      <x:c r="C4032" s="46" t="n">
        <x:f>B4032^2</x:f>
        <x:v>0.28726532389349874</x:v>
      </x:c>
      <x:c r="D4032" s="47" t="n">
        <x:f>'Datos'!$B$26^3/3</x:f>
        <x:v>0.3333333333333333</x:v>
      </x:c>
      <x:c r="E4032" s="46" t="n">
        <x:f>D4032*(C4032-1)</x:f>
        <x:v>-0.23757822536883372</x:v>
      </x:c>
      <x:c r="F4032" s="2"/>
      <x:c r="G4032" s="2"/>
      <x:c r="H4032" s="2"/>
    </x:row>
    <x:row r="4033" ht="22" customHeight="1">
      <x:c r="A4033" s="2" t="n">
        <x:v>4027</x:v>
      </x:c>
      <x:c r="B4033" s="79" t="n">
        <x:v>-1.6118071536865064</x:v>
      </x:c>
      <x:c r="C4033" s="46" t="n">
        <x:f>B4033^2</x:f>
        <x:v>2.5979223006749974</x:v>
      </x:c>
      <x:c r="D4033" s="47" t="n">
        <x:f>'Datos'!$B$26^3/3</x:f>
        <x:v>0.3333333333333333</x:v>
      </x:c>
      <x:c r="E4033" s="46" t="n">
        <x:f>D4033*(C4033-1)</x:f>
        <x:v>0.5326407668916657</x:v>
      </x:c>
      <x:c r="F4033" s="2"/>
      <x:c r="G4033" s="2"/>
      <x:c r="H4033" s="2"/>
    </x:row>
    <x:row r="4034" ht="22" customHeight="1">
      <x:c r="A4034" s="2" t="n">
        <x:v>4028</x:v>
      </x:c>
      <x:c r="B4034" s="79" t="n">
        <x:v>0.23615328203192107</x:v>
      </x:c>
      <x:c r="C4034" s="46" t="n">
        <x:f>B4034^2</x:f>
        <x:v>0.05576837261444805</x:v>
      </x:c>
      <x:c r="D4034" s="47" t="n">
        <x:f>'Datos'!$B$26^3/3</x:f>
        <x:v>0.3333333333333333</x:v>
      </x:c>
      <x:c r="E4034" s="46" t="n">
        <x:f>D4034*(C4034-1)</x:f>
        <x:v>-0.314743875795184</x:v>
      </x:c>
      <x:c r="F4034" s="2"/>
      <x:c r="G4034" s="2"/>
      <x:c r="H4034" s="2"/>
    </x:row>
    <x:row r="4035" ht="22" customHeight="1">
      <x:c r="A4035" s="2" t="n">
        <x:v>4029</x:v>
      </x:c>
      <x:c r="B4035" s="79" t="n">
        <x:v>-0.7256328926117086</x:v>
      </x:c>
      <x:c r="C4035" s="46" t="n">
        <x:f>B4035^2</x:f>
        <x:v>0.5265430948400355</x:v>
      </x:c>
      <x:c r="D4035" s="47" t="n">
        <x:f>'Datos'!$B$26^3/3</x:f>
        <x:v>0.3333333333333333</x:v>
      </x:c>
      <x:c r="E4035" s="46" t="n">
        <x:f>D4035*(C4035-1)</x:f>
        <x:v>-0.15781896838665482</x:v>
      </x:c>
      <x:c r="F4035" s="2"/>
      <x:c r="G4035" s="2"/>
      <x:c r="H4035" s="2"/>
    </x:row>
    <x:row r="4036" ht="22" customHeight="1">
      <x:c r="A4036" s="2" t="n">
        <x:v>4030</x:v>
      </x:c>
      <x:c r="B4036" s="79" t="n">
        <x:v>-1.105803234451767</x:v>
      </x:c>
      <x:c r="C4036" s="46" t="n">
        <x:f>B4036^2</x:f>
        <x:v>1.2228007933239895</x:v>
      </x:c>
      <x:c r="D4036" s="47" t="n">
        <x:f>'Datos'!$B$26^3/3</x:f>
        <x:v>0.3333333333333333</x:v>
      </x:c>
      <x:c r="E4036" s="46" t="n">
        <x:f>D4036*(C4036-1)</x:f>
        <x:v>0.0742669311079965</x:v>
      </x:c>
      <x:c r="F4036" s="2"/>
      <x:c r="G4036" s="2"/>
      <x:c r="H4036" s="2"/>
    </x:row>
    <x:row r="4037" ht="22" customHeight="1">
      <x:c r="A4037" s="2" t="n">
        <x:v>4031</x:v>
      </x:c>
      <x:c r="B4037" s="79" t="n">
        <x:v>-1.9029037032370748</x:v>
      </x:c>
      <x:c r="C4037" s="46" t="n">
        <x:f>B4037^2</x:f>
        <x:v>3.6210425037933733</x:v>
      </x:c>
      <x:c r="D4037" s="47" t="n">
        <x:f>'Datos'!$B$26^3/3</x:f>
        <x:v>0.3333333333333333</x:v>
      </x:c>
      <x:c r="E4037" s="46" t="n">
        <x:f>D4037*(C4037-1)</x:f>
        <x:v>0.8736808345977911</x:v>
      </x:c>
      <x:c r="F4037" s="2"/>
      <x:c r="G4037" s="2"/>
      <x:c r="H4037" s="2"/>
    </x:row>
    <x:row r="4038" ht="22" customHeight="1">
      <x:c r="A4038" s="2" t="n">
        <x:v>4032</x:v>
      </x:c>
      <x:c r="B4038" s="79" t="n">
        <x:v>-0.7175487780124538</x:v>
      </x:c>
      <x:c r="C4038" s="46" t="n">
        <x:f>B4038^2</x:f>
        <x:v>0.5148762488271657</x:v>
      </x:c>
      <x:c r="D4038" s="47" t="n">
        <x:f>'Datos'!$B$26^3/3</x:f>
        <x:v>0.3333333333333333</x:v>
      </x:c>
      <x:c r="E4038" s="46" t="n">
        <x:f>D4038*(C4038-1)</x:f>
        <x:v>-0.16170791705761145</x:v>
      </x:c>
      <x:c r="F4038" s="2"/>
      <x:c r="G4038" s="2"/>
      <x:c r="H4038" s="2"/>
    </x:row>
    <x:row r="4039" ht="22" customHeight="1">
      <x:c r="A4039" s="2" t="n">
        <x:v>4033</x:v>
      </x:c>
      <x:c r="B4039" s="79" t="n">
        <x:v>-1.4316896475801242</x:v>
      </x:c>
      <x:c r="C4039" s="46" t="n">
        <x:f>B4039^2</x:f>
        <x:v>2.0497352469881003</x:v>
      </x:c>
      <x:c r="D4039" s="47" t="n">
        <x:f>'Datos'!$B$26^3/3</x:f>
        <x:v>0.3333333333333333</x:v>
      </x:c>
      <x:c r="E4039" s="46" t="n">
        <x:f>D4039*(C4039-1)</x:f>
        <x:v>0.3499117489960334</x:v>
      </x:c>
      <x:c r="F4039" s="2"/>
      <x:c r="G4039" s="2"/>
      <x:c r="H4039" s="2"/>
    </x:row>
    <x:row r="4040" ht="22" customHeight="1">
      <x:c r="A4040" s="2" t="n">
        <x:v>4034</x:v>
      </x:c>
      <x:c r="B4040" s="79" t="n">
        <x:v>-0.9464887686077696</x:v>
      </x:c>
      <x:c r="C4040" s="46" t="n">
        <x:f>B4040^2</x:f>
        <x:v>0.8958409891006521</x:v>
      </x:c>
      <x:c r="D4040" s="47" t="n">
        <x:f>'Datos'!$B$26^3/3</x:f>
        <x:v>0.3333333333333333</x:v>
      </x:c>
      <x:c r="E4040" s="46" t="n">
        <x:f>D4040*(C4040-1)</x:f>
        <x:v>-0.03471967029978262</x:v>
      </x:c>
      <x:c r="F4040" s="2"/>
      <x:c r="G4040" s="2"/>
      <x:c r="H4040" s="2"/>
    </x:row>
    <x:row r="4041" ht="22" customHeight="1">
      <x:c r="A4041" s="2" t="n">
        <x:v>4035</x:v>
      </x:c>
      <x:c r="B4041" s="79" t="n">
        <x:v>-0.9806909735951285</x:v>
      </x:c>
      <x:c r="C4041" s="46" t="n">
        <x:f>B4041^2</x:f>
        <x:v>0.961754785690961</x:v>
      </x:c>
      <x:c r="D4041" s="47" t="n">
        <x:f>'Datos'!$B$26^3/3</x:f>
        <x:v>0.3333333333333333</x:v>
      </x:c>
      <x:c r="E4041" s="46" t="n">
        <x:f>D4041*(C4041-1)</x:f>
        <x:v>-0.01274840476967968</x:v>
      </x:c>
      <x:c r="F4041" s="2"/>
      <x:c r="G4041" s="2"/>
      <x:c r="H4041" s="2"/>
    </x:row>
    <x:row r="4042" ht="22" customHeight="1">
      <x:c r="A4042" s="2" t="n">
        <x:v>4036</x:v>
      </x:c>
      <x:c r="B4042" s="79" t="n">
        <x:v>-0.5599690998203579</x:v>
      </x:c>
      <x:c r="C4042" s="46" t="n">
        <x:f>B4042^2</x:f>
        <x:v>0.313565392753622</x:v>
      </x:c>
      <x:c r="D4042" s="47" t="n">
        <x:f>'Datos'!$B$26^3/3</x:f>
        <x:v>0.3333333333333333</x:v>
      </x:c>
      <x:c r="E4042" s="46" t="n">
        <x:f>D4042*(C4042-1)</x:f>
        <x:v>-0.22881153574879268</x:v>
      </x:c>
      <x:c r="F4042" s="2"/>
      <x:c r="G4042" s="2"/>
      <x:c r="H4042" s="2"/>
    </x:row>
    <x:row r="4043" ht="22" customHeight="1">
      <x:c r="A4043" s="2" t="n">
        <x:v>4037</x:v>
      </x:c>
      <x:c r="B4043" s="79" t="n">
        <x:v>2.6868924186735907</x:v>
      </x:c>
      <x:c r="C4043" s="46" t="n">
        <x:f>B4043^2</x:f>
        <x:v>7.219390869525618</x:v>
      </x:c>
      <x:c r="D4043" s="47" t="n">
        <x:f>'Datos'!$B$26^3/3</x:f>
        <x:v>0.3333333333333333</x:v>
      </x:c>
      <x:c r="E4043" s="46" t="n">
        <x:f>D4043*(C4043-1)</x:f>
        <x:v>2.0731302898418726</x:v>
      </x:c>
      <x:c r="F4043" s="2"/>
      <x:c r="G4043" s="2"/>
      <x:c r="H4043" s="2"/>
    </x:row>
    <x:row r="4044" ht="22" customHeight="1">
      <x:c r="A4044" s="2" t="n">
        <x:v>4038</x:v>
      </x:c>
      <x:c r="B4044" s="79" t="n">
        <x:v>-0.0020340922794944358</x:v>
      </x:c>
      <x:c r="C4044" s="46" t="n">
        <x:f>B4044^2</x:f>
        <x:v>0.00000413753140149887</x:v>
      </x:c>
      <x:c r="D4044" s="47" t="n">
        <x:f>'Datos'!$B$26^3/3</x:f>
        <x:v>0.3333333333333333</x:v>
      </x:c>
      <x:c r="E4044" s="46" t="n">
        <x:f>D4044*(C4044-1)</x:f>
        <x:v>-0.3333319541561995</x:v>
      </x:c>
      <x:c r="F4044" s="2"/>
      <x:c r="G4044" s="2"/>
      <x:c r="H4044" s="2"/>
    </x:row>
    <x:row r="4045" ht="22" customHeight="1">
      <x:c r="A4045" s="2" t="n">
        <x:v>4039</x:v>
      </x:c>
      <x:c r="B4045" s="79" t="n">
        <x:v>2.4377302490462105</x:v>
      </x:c>
      <x:c r="C4045" s="46" t="n">
        <x:f>B4045^2</x:f>
        <x:v>5.9425287671149</x:v>
      </x:c>
      <x:c r="D4045" s="47" t="n">
        <x:f>'Datos'!$B$26^3/3</x:f>
        <x:v>0.3333333333333333</x:v>
      </x:c>
      <x:c r="E4045" s="46" t="n">
        <x:f>D4045*(C4045-1)</x:f>
        <x:v>1.6475095890382998</x:v>
      </x:c>
      <x:c r="F4045" s="2"/>
      <x:c r="G4045" s="2"/>
      <x:c r="H4045" s="2"/>
    </x:row>
    <x:row r="4046" ht="22" customHeight="1">
      <x:c r="A4046" s="2" t="n">
        <x:v>4040</x:v>
      </x:c>
      <x:c r="B4046" s="79" t="n">
        <x:v>1.3532645499281941</x:v>
      </x:c>
      <x:c r="C4046" s="46" t="n">
        <x:f>B4046^2</x:f>
        <x:v>1.8313249420923579</x:v>
      </x:c>
      <x:c r="D4046" s="47" t="n">
        <x:f>'Datos'!$B$26^3/3</x:f>
        <x:v>0.3333333333333333</x:v>
      </x:c>
      <x:c r="E4046" s="46" t="n">
        <x:f>D4046*(C4046-1)</x:f>
        <x:v>0.27710831403078595</x:v>
      </x:c>
      <x:c r="F4046" s="2"/>
      <x:c r="G4046" s="2"/>
      <x:c r="H4046" s="2"/>
    </x:row>
    <x:row r="4047" ht="22" customHeight="1">
      <x:c r="A4047" s="2" t="n">
        <x:v>4041</x:v>
      </x:c>
      <x:c r="B4047" s="79" t="n">
        <x:v>-1.1255453910286102</x:v>
      </x:c>
      <x:c r="C4047" s="46" t="n">
        <x:f>B4047^2</x:f>
        <x:v>1.266852427265747</x:v>
      </x:c>
      <x:c r="D4047" s="47" t="n">
        <x:f>'Datos'!$B$26^3/3</x:f>
        <x:v>0.3333333333333333</x:v>
      </x:c>
      <x:c r="E4047" s="46" t="n">
        <x:f>D4047*(C4047-1)</x:f>
        <x:v>0.08895080908858236</x:v>
      </x:c>
      <x:c r="F4047" s="2"/>
      <x:c r="G4047" s="2"/>
      <x:c r="H4047" s="2"/>
    </x:row>
    <x:row r="4048" ht="22" customHeight="1">
      <x:c r="A4048" s="2" t="n">
        <x:v>4042</x:v>
      </x:c>
      <x:c r="B4048" s="79" t="n">
        <x:v>-0.41907720153601546</x:v>
      </x:c>
      <x:c r="C4048" s="46" t="n">
        <x:f>B4048^2</x:f>
        <x:v>0.17562570084725812</x:v>
      </x:c>
      <x:c r="D4048" s="47" t="n">
        <x:f>'Datos'!$B$26^3/3</x:f>
        <x:v>0.3333333333333333</x:v>
      </x:c>
      <x:c r="E4048" s="46" t="n">
        <x:f>D4048*(C4048-1)</x:f>
        <x:v>-0.2747914330509139</x:v>
      </x:c>
      <x:c r="F4048" s="2"/>
      <x:c r="G4048" s="2"/>
      <x:c r="H4048" s="2"/>
    </x:row>
    <x:row r="4049" ht="22" customHeight="1">
      <x:c r="A4049" s="2" t="n">
        <x:v>4043</x:v>
      </x:c>
      <x:c r="B4049" s="79" t="n">
        <x:v>0.40067768332282544</x:v>
      </x:c>
      <x:c r="C4049" s="46" t="n">
        <x:f>B4049^2</x:f>
        <x:v>0.1605426059129464</x:v>
      </x:c>
      <x:c r="D4049" s="47" t="n">
        <x:f>'Datos'!$B$26^3/3</x:f>
        <x:v>0.3333333333333333</x:v>
      </x:c>
      <x:c r="E4049" s="46" t="n">
        <x:f>D4049*(C4049-1)</x:f>
        <x:v>-0.27981913136235115</x:v>
      </x:c>
      <x:c r="F4049" s="2"/>
      <x:c r="G4049" s="2"/>
      <x:c r="H4049" s="2"/>
    </x:row>
    <x:row r="4050" ht="22" customHeight="1">
      <x:c r="A4050" s="2" t="n">
        <x:v>4044</x:v>
      </x:c>
      <x:c r="B4050" s="79" t="n">
        <x:v>-1.4051834861902255</x:v>
      </x:c>
      <x:c r="C4050" s="46" t="n">
        <x:f>B4050^2</x:f>
        <x:v>1.9745406298617156</x:v>
      </x:c>
      <x:c r="D4050" s="47" t="n">
        <x:f>'Datos'!$B$26^3/3</x:f>
        <x:v>0.3333333333333333</x:v>
      </x:c>
      <x:c r="E4050" s="46" t="n">
        <x:f>D4050*(C4050-1)</x:f>
        <x:v>0.3248468766205719</x:v>
      </x:c>
      <x:c r="F4050" s="2"/>
      <x:c r="G4050" s="2"/>
      <x:c r="H4050" s="2"/>
    </x:row>
    <x:row r="4051" ht="22" customHeight="1">
      <x:c r="A4051" s="2" t="n">
        <x:v>4045</x:v>
      </x:c>
      <x:c r="B4051" s="79" t="n">
        <x:v>-1.0447977929296188</x:v>
      </x:c>
      <x:c r="C4051" s="46" t="n">
        <x:f>B4051^2</x:f>
        <x:v>1.0916024281106027</x:v>
      </x:c>
      <x:c r="D4051" s="47" t="n">
        <x:f>'Datos'!$B$26^3/3</x:f>
        <x:v>0.3333333333333333</x:v>
      </x:c>
      <x:c r="E4051" s="46" t="n">
        <x:f>D4051*(C4051-1)</x:f>
        <x:v>0.030534142703534235</x:v>
      </x:c>
      <x:c r="F4051" s="2"/>
      <x:c r="G4051" s="2"/>
      <x:c r="H4051" s="2"/>
    </x:row>
    <x:row r="4052" ht="22" customHeight="1">
      <x:c r="A4052" s="2" t="n">
        <x:v>4046</x:v>
      </x:c>
      <x:c r="B4052" s="79" t="n">
        <x:v>-0.4553899269452582</x:v>
      </x:c>
      <x:c r="C4052" s="46" t="n">
        <x:f>B4052^2</x:f>
        <x:v>0.2073799855632076</x:v>
      </x:c>
      <x:c r="D4052" s="47" t="n">
        <x:f>'Datos'!$B$26^3/3</x:f>
        <x:v>0.3333333333333333</x:v>
      </x:c>
      <x:c r="E4052" s="46" t="n">
        <x:f>D4052*(C4052-1)</x:f>
        <x:v>-0.2642066714789308</x:v>
      </x:c>
      <x:c r="F4052" s="2"/>
      <x:c r="G4052" s="2"/>
      <x:c r="H4052" s="2"/>
    </x:row>
    <x:row r="4053" ht="22" customHeight="1">
      <x:c r="A4053" s="2" t="n">
        <x:v>4047</x:v>
      </x:c>
      <x:c r="B4053" s="79" t="n">
        <x:v>1.7622982016421973</x:v>
      </x:c>
      <x:c r="C4053" s="46" t="n">
        <x:f>B4053^2</x:f>
        <x:v>3.105694951511323</x:v>
      </x:c>
      <x:c r="D4053" s="47" t="n">
        <x:f>'Datos'!$B$26^3/3</x:f>
        <x:v>0.3333333333333333</x:v>
      </x:c>
      <x:c r="E4053" s="46" t="n">
        <x:f>D4053*(C4053-1)</x:f>
        <x:v>0.7018983171704409</x:v>
      </x:c>
      <x:c r="F4053" s="2"/>
      <x:c r="G4053" s="2"/>
      <x:c r="H4053" s="2"/>
    </x:row>
    <x:row r="4054" ht="22" customHeight="1">
      <x:c r="A4054" s="2" t="n">
        <x:v>4048</x:v>
      </x:c>
      <x:c r="B4054" s="79" t="n">
        <x:v>-0.2847802321405751</x:v>
      </x:c>
      <x:c r="C4054" s="46" t="n">
        <x:f>B4054^2</x:f>
        <x:v>0.08109978061803982</x:v>
      </x:c>
      <x:c r="D4054" s="47" t="n">
        <x:f>'Datos'!$B$26^3/3</x:f>
        <x:v>0.3333333333333333</x:v>
      </x:c>
      <x:c r="E4054" s="46" t="n">
        <x:f>D4054*(C4054-1)</x:f>
        <x:v>-0.30630007312732005</x:v>
      </x:c>
      <x:c r="F4054" s="2"/>
      <x:c r="G4054" s="2"/>
      <x:c r="H4054" s="2"/>
    </x:row>
    <x:row r="4055" ht="22" customHeight="1">
      <x:c r="A4055" s="2" t="n">
        <x:v>4049</x:v>
      </x:c>
      <x:c r="B4055" s="79" t="n">
        <x:v>-0.36178863971748065</x:v>
      </x:c>
      <x:c r="C4055" s="46" t="n">
        <x:f>B4055^2</x:f>
        <x:v>0.13089101982862503</x:v>
      </x:c>
      <x:c r="D4055" s="47" t="n">
        <x:f>'Datos'!$B$26^3/3</x:f>
        <x:v>0.3333333333333333</x:v>
      </x:c>
      <x:c r="E4055" s="46" t="n">
        <x:f>D4055*(C4055-1)</x:f>
        <x:v>-0.2897029933904583</x:v>
      </x:c>
      <x:c r="F4055" s="2"/>
      <x:c r="G4055" s="2"/>
      <x:c r="H4055" s="2"/>
    </x:row>
    <x:row r="4056" ht="22" customHeight="1">
      <x:c r="A4056" s="2" t="n">
        <x:v>4050</x:v>
      </x:c>
      <x:c r="B4056" s="79" t="n">
        <x:v>1.5221747752215788</x:v>
      </x:c>
      <x:c r="C4056" s="46" t="n">
        <x:f>B4056^2</x:f>
        <x:v>2.317016046320864</x:v>
      </x:c>
      <x:c r="D4056" s="47" t="n">
        <x:f>'Datos'!$B$26^3/3</x:f>
        <x:v>0.3333333333333333</x:v>
      </x:c>
      <x:c r="E4056" s="46" t="n">
        <x:f>D4056*(C4056-1)</x:f>
        <x:v>0.4390053487736214</x:v>
      </x:c>
      <x:c r="F4056" s="2"/>
      <x:c r="G4056" s="2"/>
      <x:c r="H4056" s="2"/>
    </x:row>
    <x:row r="4057" ht="22" customHeight="1">
      <x:c r="A4057" s="2" t="n">
        <x:v>4051</x:v>
      </x:c>
      <x:c r="B4057" s="79" t="n">
        <x:v>1.9717083476220825</x:v>
      </x:c>
      <x:c r="C4057" s="46" t="n">
        <x:f>B4057^2</x:f>
        <x:v>3.8876338080826027</x:v>
      </x:c>
      <x:c r="D4057" s="47" t="n">
        <x:f>'Datos'!$B$26^3/3</x:f>
        <x:v>0.3333333333333333</x:v>
      </x:c>
      <x:c r="E4057" s="46" t="n">
        <x:f>D4057*(C4057-1)</x:f>
        <x:v>0.9625446026942008</x:v>
      </x:c>
      <x:c r="F4057" s="2"/>
      <x:c r="G4057" s="2"/>
      <x:c r="H4057" s="2"/>
    </x:row>
    <x:row r="4058" ht="22" customHeight="1">
      <x:c r="A4058" s="2" t="n">
        <x:v>4052</x:v>
      </x:c>
      <x:c r="B4058" s="79" t="n">
        <x:v>0.14576982791775225</x:v>
      </x:c>
      <x:c r="C4058" s="46" t="n">
        <x:f>B4058^2</x:f>
        <x:v>0.021248842731171103</x:v>
      </x:c>
      <x:c r="D4058" s="47" t="n">
        <x:f>'Datos'!$B$26^3/3</x:f>
        <x:v>0.3333333333333333</x:v>
      </x:c>
      <x:c r="E4058" s="46" t="n">
        <x:f>D4058*(C4058-1)</x:f>
        <x:v>-0.3262503857562763</x:v>
      </x:c>
      <x:c r="F4058" s="2"/>
      <x:c r="G4058" s="2"/>
      <x:c r="H4058" s="2"/>
    </x:row>
    <x:row r="4059" ht="22" customHeight="1">
      <x:c r="A4059" s="2" t="n">
        <x:v>4053</x:v>
      </x:c>
      <x:c r="B4059" s="79" t="n">
        <x:v>-0.5187294373015052</x:v>
      </x:c>
      <x:c r="C4059" s="46" t="n">
        <x:f>B4059^2</x:f>
        <x:v>0.2690802291231362</x:v>
      </x:c>
      <x:c r="D4059" s="47" t="n">
        <x:f>'Datos'!$B$26^3/3</x:f>
        <x:v>0.3333333333333333</x:v>
      </x:c>
      <x:c r="E4059" s="46" t="n">
        <x:f>D4059*(C4059-1)</x:f>
        <x:v>-0.24363992362562126</x:v>
      </x:c>
      <x:c r="F4059" s="2"/>
      <x:c r="G4059" s="2"/>
      <x:c r="H4059" s="2"/>
    </x:row>
    <x:row r="4060" ht="22" customHeight="1">
      <x:c r="A4060" s="2" t="n">
        <x:v>4054</x:v>
      </x:c>
      <x:c r="B4060" s="79" t="n">
        <x:v>-0.6398707333458337</x:v>
      </x:c>
      <x:c r="C4060" s="46" t="n">
        <x:f>B4060^2</x:f>
        <x:v>0.409434555392535</x:v>
      </x:c>
      <x:c r="D4060" s="47" t="n">
        <x:f>'Datos'!$B$26^3/3</x:f>
        <x:v>0.3333333333333333</x:v>
      </x:c>
      <x:c r="E4060" s="46" t="n">
        <x:f>D4060*(C4060-1)</x:f>
        <x:v>-0.19685514820248834</x:v>
      </x:c>
      <x:c r="F4060" s="2"/>
      <x:c r="G4060" s="2"/>
      <x:c r="H4060" s="2"/>
    </x:row>
    <x:row r="4061" ht="22" customHeight="1">
      <x:c r="A4061" s="2" t="n">
        <x:v>4055</x:v>
      </x:c>
      <x:c r="B4061" s="79" t="n">
        <x:v>0.2685742041352316</x:v>
      </x:c>
      <x:c r="C4061" s="46" t="n">
        <x:f>B4061^2</x:f>
        <x:v>0.07213210312687304</x:v>
      </x:c>
      <x:c r="D4061" s="47" t="n">
        <x:f>'Datos'!$B$26^3/3</x:f>
        <x:v>0.3333333333333333</x:v>
      </x:c>
      <x:c r="E4061" s="46" t="n">
        <x:f>D4061*(C4061-1)</x:f>
        <x:v>-0.30928929895770896</x:v>
      </x:c>
      <x:c r="F4061" s="2"/>
      <x:c r="G4061" s="2"/>
      <x:c r="H4061" s="2"/>
    </x:row>
    <x:row r="4062" ht="22" customHeight="1">
      <x:c r="A4062" s="2" t="n">
        <x:v>4056</x:v>
      </x:c>
      <x:c r="B4062" s="79" t="n">
        <x:v>-0.4412300505720283</x:v>
      </x:c>
      <x:c r="C4062" s="46" t="n">
        <x:f>B4062^2</x:f>
        <x:v>0.19468395752779466</x:v>
      </x:c>
      <x:c r="D4062" s="47" t="n">
        <x:f>'Datos'!$B$26^3/3</x:f>
        <x:v>0.3333333333333333</x:v>
      </x:c>
      <x:c r="E4062" s="46" t="n">
        <x:f>D4062*(C4062-1)</x:f>
        <x:v>-0.2684386808240684</x:v>
      </x:c>
      <x:c r="F4062" s="2"/>
      <x:c r="G4062" s="2"/>
      <x:c r="H4062" s="2"/>
    </x:row>
    <x:row r="4063" ht="22" customHeight="1">
      <x:c r="A4063" s="2" t="n">
        <x:v>4057</x:v>
      </x:c>
      <x:c r="B4063" s="79" t="n">
        <x:v>-1.4867306528750723</x:v>
      </x:c>
      <x:c r="C4063" s="46" t="n">
        <x:f>B4063^2</x:f>
        <x:v>2.2103680341983387</x:v>
      </x:c>
      <x:c r="D4063" s="47" t="n">
        <x:f>'Datos'!$B$26^3/3</x:f>
        <x:v>0.3333333333333333</x:v>
      </x:c>
      <x:c r="E4063" s="46" t="n">
        <x:f>D4063*(C4063-1)</x:f>
        <x:v>0.4034560113994462</x:v>
      </x:c>
      <x:c r="F4063" s="2"/>
      <x:c r="G4063" s="2"/>
      <x:c r="H4063" s="2"/>
    </x:row>
    <x:row r="4064" ht="22" customHeight="1">
      <x:c r="A4064" s="2" t="n">
        <x:v>4058</x:v>
      </x:c>
      <x:c r="B4064" s="79" t="n">
        <x:v>0.49267533521571233</x:v>
      </x:c>
      <x:c r="C4064" s="46" t="n">
        <x:f>B4064^2</x:f>
        <x:v>0.24272898592991451</x:v>
      </x:c>
      <x:c r="D4064" s="47" t="n">
        <x:f>'Datos'!$B$26^3/3</x:f>
        <x:v>0.3333333333333333</x:v>
      </x:c>
      <x:c r="E4064" s="46" t="n">
        <x:f>D4064*(C4064-1)</x:f>
        <x:v>-0.25242367135669513</x:v>
      </x:c>
      <x:c r="F4064" s="2"/>
      <x:c r="G4064" s="2"/>
      <x:c r="H4064" s="2"/>
    </x:row>
    <x:row r="4065" ht="22" customHeight="1">
      <x:c r="A4065" s="2" t="n">
        <x:v>4059</x:v>
      </x:c>
      <x:c r="B4065" s="79" t="n">
        <x:v>1.00507684014682</x:v>
      </x:c>
      <x:c r="C4065" s="46" t="n">
        <x:f>B4065^2</x:f>
        <x:v>1.0101794545995164</x:v>
      </x:c>
      <x:c r="D4065" s="47" t="n">
        <x:f>'Datos'!$B$26^3/3</x:f>
        <x:v>0.3333333333333333</x:v>
      </x:c>
      <x:c r="E4065" s="46" t="n">
        <x:f>D4065*(C4065-1)</x:f>
        <x:v>0.0033931515331721376</x:v>
      </x:c>
      <x:c r="F4065" s="2"/>
      <x:c r="G4065" s="2"/>
      <x:c r="H4065" s="2"/>
    </x:row>
    <x:row r="4066" ht="22" customHeight="1">
      <x:c r="A4066" s="2" t="n">
        <x:v>4060</x:v>
      </x:c>
      <x:c r="B4066" s="79" t="n">
        <x:v>1.785080286436504</x:v>
      </x:c>
      <x:c r="C4066" s="46" t="n">
        <x:f>B4066^2</x:f>
        <x:v>3.1865116290242312</x:v>
      </x:c>
      <x:c r="D4066" s="47" t="n">
        <x:f>'Datos'!$B$26^3/3</x:f>
        <x:v>0.3333333333333333</x:v>
      </x:c>
      <x:c r="E4066" s="46" t="n">
        <x:f>D4066*(C4066-1)</x:f>
        <x:v>0.7288372096747437</x:v>
      </x:c>
      <x:c r="F4066" s="2"/>
      <x:c r="G4066" s="2"/>
      <x:c r="H4066" s="2"/>
    </x:row>
    <x:row r="4067" ht="22" customHeight="1">
      <x:c r="A4067" s="2" t="n">
        <x:v>4061</x:v>
      </x:c>
      <x:c r="B4067" s="79" t="n">
        <x:v>0.5570795945879011</x:v>
      </x:c>
      <x:c r="C4067" s="46" t="n">
        <x:f>B4067^2</x:f>
        <x:v>0.31033767470622026</x:v>
      </x:c>
      <x:c r="D4067" s="47" t="n">
        <x:f>'Datos'!$B$26^3/3</x:f>
        <x:v>0.3333333333333333</x:v>
      </x:c>
      <x:c r="E4067" s="46" t="n">
        <x:f>D4067*(C4067-1)</x:f>
        <x:v>-0.22988744176459322</x:v>
      </x:c>
      <x:c r="F4067" s="2"/>
      <x:c r="G4067" s="2"/>
      <x:c r="H4067" s="2"/>
    </x:row>
    <x:row r="4068" ht="22" customHeight="1">
      <x:c r="A4068" s="2" t="n">
        <x:v>4062</x:v>
      </x:c>
      <x:c r="B4068" s="79" t="n">
        <x:v>-0.40571609805032627</x:v>
      </x:c>
      <x:c r="C4068" s="46" t="n">
        <x:f>B4068^2</x:f>
        <x:v>0.16460555221718196</x:v>
      </x:c>
      <x:c r="D4068" s="47" t="n">
        <x:f>'Datos'!$B$26^3/3</x:f>
        <x:v>0.3333333333333333</x:v>
      </x:c>
      <x:c r="E4068" s="46" t="n">
        <x:f>D4068*(C4068-1)</x:f>
        <x:v>-0.27846481592760597</x:v>
      </x:c>
      <x:c r="F4068" s="2"/>
      <x:c r="G4068" s="2"/>
      <x:c r="H4068" s="2"/>
    </x:row>
    <x:row r="4069" ht="22" customHeight="1">
      <x:c r="A4069" s="2" t="n">
        <x:v>4063</x:v>
      </x:c>
      <x:c r="B4069" s="79" t="n">
        <x:v>0.796333575624364</x:v>
      </x:c>
      <x:c r="C4069" s="46" t="n">
        <x:f>B4069^2</x:f>
        <x:v>0.6341471636666847</x:v>
      </x:c>
      <x:c r="D4069" s="47" t="n">
        <x:f>'Datos'!$B$26^3/3</x:f>
        <x:v>0.3333333333333333</x:v>
      </x:c>
      <x:c r="E4069" s="46" t="n">
        <x:f>D4069*(C4069-1)</x:f>
        <x:v>-0.12195094544443844</x:v>
      </x:c>
      <x:c r="F4069" s="2"/>
      <x:c r="G4069" s="2"/>
      <x:c r="H4069" s="2"/>
    </x:row>
    <x:row r="4070" ht="22" customHeight="1">
      <x:c r="A4070" s="2" t="n">
        <x:v>4064</x:v>
      </x:c>
      <x:c r="B4070" s="79" t="n">
        <x:v>-0.16567856173931614</x:v>
      </x:c>
      <x:c r="C4070" s="46" t="n">
        <x:f>B4070^2</x:f>
        <x:v>0.02744938582000839</x:v>
      </x:c>
      <x:c r="D4070" s="47" t="n">
        <x:f>'Datos'!$B$26^3/3</x:f>
        <x:v>0.3333333333333333</x:v>
      </x:c>
      <x:c r="E4070" s="46" t="n">
        <x:f>D4070*(C4070-1)</x:f>
        <x:v>-0.32418353805999717</x:v>
      </x:c>
      <x:c r="F4070" s="2"/>
      <x:c r="G4070" s="2"/>
      <x:c r="H4070" s="2"/>
    </x:row>
    <x:row r="4071" ht="22" customHeight="1">
      <x:c r="A4071" s="2" t="n">
        <x:v>4065</x:v>
      </x:c>
      <x:c r="B4071" s="79" t="n">
        <x:v>-1.9639650809313283</x:v>
      </x:c>
      <x:c r="C4071" s="46" t="n">
        <x:f>B4071^2</x:f>
        <x:v>3.8571588391175986</x:v>
      </x:c>
      <x:c r="D4071" s="47" t="n">
        <x:f>'Datos'!$B$26^3/3</x:f>
        <x:v>0.3333333333333333</x:v>
      </x:c>
      <x:c r="E4071" s="46" t="n">
        <x:f>D4071*(C4071-1)</x:f>
        <x:v>0.9523862797058662</x:v>
      </x:c>
      <x:c r="F4071" s="2"/>
      <x:c r="G4071" s="2"/>
      <x:c r="H4071" s="2"/>
    </x:row>
    <x:row r="4072" ht="22" customHeight="1">
      <x:c r="A4072" s="2" t="n">
        <x:v>4066</x:v>
      </x:c>
      <x:c r="B4072" s="79" t="n">
        <x:v>1.58822017067987</x:v>
      </x:c>
      <x:c r="C4072" s="46" t="n">
        <x:f>B4072^2</x:f>
        <x:v>2.5224433105543955</x:v>
      </x:c>
      <x:c r="D4072" s="47" t="n">
        <x:f>'Datos'!$B$26^3/3</x:f>
        <x:v>0.3333333333333333</x:v>
      </x:c>
      <x:c r="E4072" s="46" t="n">
        <x:f>D4072*(C4072-1)</x:f>
        <x:v>0.5074811035181318</x:v>
      </x:c>
      <x:c r="F4072" s="2"/>
      <x:c r="G4072" s="2"/>
      <x:c r="H4072" s="2"/>
    </x:row>
    <x:row r="4073" ht="22" customHeight="1">
      <x:c r="A4073" s="2" t="n">
        <x:v>4067</x:v>
      </x:c>
      <x:c r="B4073" s="79" t="n">
        <x:v>-2.4486041567422085</x:v>
      </x:c>
      <x:c r="C4073" s="46" t="n">
        <x:f>B4073^2</x:f>
        <x:v>5.995662316415222</x:v>
      </x:c>
      <x:c r="D4073" s="47" t="n">
        <x:f>'Datos'!$B$26^3/3</x:f>
        <x:v>0.3333333333333333</x:v>
      </x:c>
      <x:c r="E4073" s="46" t="n">
        <x:f>D4073*(C4073-1)</x:f>
        <x:v>1.6652207721384074</x:v>
      </x:c>
      <x:c r="F4073" s="2"/>
      <x:c r="G4073" s="2"/>
      <x:c r="H4073" s="2"/>
    </x:row>
    <x:row r="4074" ht="22" customHeight="1">
      <x:c r="A4074" s="2" t="n">
        <x:v>4068</x:v>
      </x:c>
      <x:c r="B4074" s="79" t="n">
        <x:v>0.584660149551353</x:v>
      </x:c>
      <x:c r="C4074" s="46" t="n">
        <x:f>B4074^2</x:f>
        <x:v>0.3418274904734105</x:v>
      </x:c>
      <x:c r="D4074" s="47" t="n">
        <x:f>'Datos'!$B$26^3/3</x:f>
        <x:v>0.3333333333333333</x:v>
      </x:c>
      <x:c r="E4074" s="46" t="n">
        <x:f>D4074*(C4074-1)</x:f>
        <x:v>-0.21939083650886318</x:v>
      </x:c>
      <x:c r="F4074" s="2"/>
      <x:c r="G4074" s="2"/>
      <x:c r="H4074" s="2"/>
    </x:row>
    <x:row r="4075" ht="22" customHeight="1">
      <x:c r="A4075" s="2" t="n">
        <x:v>4069</x:v>
      </x:c>
      <x:c r="B4075" s="79" t="n">
        <x:v>1.5594122437245799</x:v>
      </x:c>
      <x:c r="C4075" s="46" t="n">
        <x:f>B4075^2</x:f>
        <x:v>2.4317665458781286</x:v>
      </x:c>
      <x:c r="D4075" s="47" t="n">
        <x:f>'Datos'!$B$26^3/3</x:f>
        <x:v>0.3333333333333333</x:v>
      </x:c>
      <x:c r="E4075" s="46" t="n">
        <x:f>D4075*(C4075-1)</x:f>
        <x:v>0.4772555152927095</x:v>
      </x:c>
      <x:c r="F4075" s="2"/>
      <x:c r="G4075" s="2"/>
      <x:c r="H4075" s="2"/>
    </x:row>
    <x:row r="4076" ht="22" customHeight="1">
      <x:c r="A4076" s="2" t="n">
        <x:v>4070</x:v>
      </x:c>
      <x:c r="B4076" s="79" t="n">
        <x:v>1.2190567018344158</x:v>
      </x:c>
      <x:c r="C4076" s="46" t="n">
        <x:f>B4076^2</x:f>
        <x:v>1.4860992422874038</x:v>
      </x:c>
      <x:c r="D4076" s="47" t="n">
        <x:f>'Datos'!$B$26^3/3</x:f>
        <x:v>0.3333333333333333</x:v>
      </x:c>
      <x:c r="E4076" s="46" t="n">
        <x:f>D4076*(C4076-1)</x:f>
        <x:v>0.16203308076246792</x:v>
      </x:c>
      <x:c r="F4076" s="2"/>
      <x:c r="G4076" s="2"/>
      <x:c r="H4076" s="2"/>
    </x:row>
    <x:row r="4077" ht="22" customHeight="1">
      <x:c r="A4077" s="2" t="n">
        <x:v>4071</x:v>
      </x:c>
      <x:c r="B4077" s="79" t="n">
        <x:v>0.20520337074438602</x:v>
      </x:c>
      <x:c r="C4077" s="46" t="n">
        <x:f>B4077^2</x:f>
        <x:v>0.04210842336485794</x:v>
      </x:c>
      <x:c r="D4077" s="47" t="n">
        <x:f>'Datos'!$B$26^3/3</x:f>
        <x:v>0.3333333333333333</x:v>
      </x:c>
      <x:c r="E4077" s="46" t="n">
        <x:f>D4077*(C4077-1)</x:f>
        <x:v>-0.319297192211714</x:v>
      </x:c>
      <x:c r="F4077" s="2"/>
      <x:c r="G4077" s="2"/>
      <x:c r="H4077" s="2"/>
    </x:row>
    <x:row r="4078" ht="22" customHeight="1">
      <x:c r="A4078" s="2" t="n">
        <x:v>4072</x:v>
      </x:c>
      <x:c r="B4078" s="79" t="n">
        <x:v>0.9152866457999772</x:v>
      </x:c>
      <x:c r="C4078" s="46" t="n">
        <x:f>B4078^2</x:f>
        <x:v>0.8377496439797729</x:v>
      </x:c>
      <x:c r="D4078" s="47" t="n">
        <x:f>'Datos'!$B$26^3/3</x:f>
        <x:v>0.3333333333333333</x:v>
      </x:c>
      <x:c r="E4078" s="46" t="n">
        <x:f>D4078*(C4078-1)</x:f>
        <x:v>-0.05408345200674236</x:v>
      </x:c>
      <x:c r="F4078" s="2"/>
      <x:c r="G4078" s="2"/>
      <x:c r="H4078" s="2"/>
    </x:row>
    <x:row r="4079" ht="22" customHeight="1">
      <x:c r="A4079" s="2" t="n">
        <x:v>4073</x:v>
      </x:c>
      <x:c r="B4079" s="79" t="n">
        <x:v>-1.17733538642295</x:v>
      </x:c>
      <x:c r="C4079" s="46" t="n">
        <x:f>B4079^2</x:f>
        <x:v>1.3861186121236773</x:v>
      </x:c>
      <x:c r="D4079" s="47" t="n">
        <x:f>'Datos'!$B$26^3/3</x:f>
        <x:v>0.3333333333333333</x:v>
      </x:c>
      <x:c r="E4079" s="46" t="n">
        <x:f>D4079*(C4079-1)</x:f>
        <x:v>0.12870620404122574</x:v>
      </x:c>
      <x:c r="F4079" s="2"/>
      <x:c r="G4079" s="2"/>
      <x:c r="H4079" s="2"/>
    </x:row>
    <x:row r="4080" ht="22" customHeight="1">
      <x:c r="A4080" s="2" t="n">
        <x:v>4074</x:v>
      </x:c>
      <x:c r="B4080" s="79" t="n">
        <x:v>1.0052990800883144</x:v>
      </x:c>
      <x:c r="C4080" s="46" t="n">
        <x:f>B4080^2</x:f>
        <x:v>1.010626240426411</x:v>
      </x:c>
      <x:c r="D4080" s="47" t="n">
        <x:f>'Datos'!$B$26^3/3</x:f>
        <x:v>0.3333333333333333</x:v>
      </x:c>
      <x:c r="E4080" s="46" t="n">
        <x:f>D4080*(C4080-1)</x:f>
        <x:v>0.0035420801421370087</x:v>
      </x:c>
      <x:c r="F4080" s="2"/>
      <x:c r="G4080" s="2"/>
      <x:c r="H4080" s="2"/>
    </x:row>
    <x:row r="4081" ht="22" customHeight="1">
      <x:c r="A4081" s="2" t="n">
        <x:v>4075</x:v>
      </x:c>
      <x:c r="B4081" s="79" t="n">
        <x:v>-0.17351467456770436</x:v>
      </x:c>
      <x:c r="C4081" s="46" t="n">
        <x:f>B4081^2</x:f>
        <x:v>0.03010734229033635</x:v>
      </x:c>
      <x:c r="D4081" s="47" t="n">
        <x:f>'Datos'!$B$26^3/3</x:f>
        <x:v>0.3333333333333333</x:v>
      </x:c>
      <x:c r="E4081" s="46" t="n">
        <x:f>D4081*(C4081-1)</x:f>
        <x:v>-0.32329755256988785</x:v>
      </x:c>
      <x:c r="F4081" s="2"/>
      <x:c r="G4081" s="2"/>
      <x:c r="H4081" s="2"/>
    </x:row>
    <x:row r="4082" ht="22" customHeight="1">
      <x:c r="A4082" s="2" t="n">
        <x:v>4076</x:v>
      </x:c>
      <x:c r="B4082" s="79" t="n">
        <x:v>-1.390140341729756</x:v>
      </x:c>
      <x:c r="C4082" s="46" t="n">
        <x:f>B4082^2</x:f>
        <x:v>1.9324901697045227</x:v>
      </x:c>
      <x:c r="D4082" s="47" t="n">
        <x:f>'Datos'!$B$26^3/3</x:f>
        <x:v>0.3333333333333333</x:v>
      </x:c>
      <x:c r="E4082" s="46" t="n">
        <x:f>D4082*(C4082-1)</x:f>
        <x:v>0.3108300565681742</x:v>
      </x:c>
      <x:c r="F4082" s="2"/>
      <x:c r="G4082" s="2"/>
      <x:c r="H4082" s="2"/>
    </x:row>
    <x:row r="4083" ht="22" customHeight="1">
      <x:c r="A4083" s="2" t="n">
        <x:v>4077</x:v>
      </x:c>
      <x:c r="B4083" s="79" t="n">
        <x:v>1.1259122781323125</x:v>
      </x:c>
      <x:c r="C4083" s="46" t="n">
        <x:f>B4083^2</x:f>
        <x:v>1.2676784580490938</x:v>
      </x:c>
      <x:c r="D4083" s="47" t="n">
        <x:f>'Datos'!$B$26^3/3</x:f>
        <x:v>0.3333333333333333</x:v>
      </x:c>
      <x:c r="E4083" s="46" t="n">
        <x:f>D4083*(C4083-1)</x:f>
        <x:v>0.08922615268303127</x:v>
      </x:c>
      <x:c r="F4083" s="2"/>
      <x:c r="G4083" s="2"/>
      <x:c r="H4083" s="2"/>
    </x:row>
    <x:row r="4084" ht="22" customHeight="1">
      <x:c r="A4084" s="2" t="n">
        <x:v>4078</x:v>
      </x:c>
      <x:c r="B4084" s="79" t="n">
        <x:v>-0.10469577669599113</x:v>
      </x:c>
      <x:c r="C4084" s="46" t="n">
        <x:f>B4084^2</x:f>
        <x:v>0.01096120565797684</x:v>
      </x:c>
      <x:c r="D4084" s="47" t="n">
        <x:f>'Datos'!$B$26^3/3</x:f>
        <x:v>0.3333333333333333</x:v>
      </x:c>
      <x:c r="E4084" s="46" t="n">
        <x:f>D4084*(C4084-1)</x:f>
        <x:v>-0.3296795981140077</x:v>
      </x:c>
      <x:c r="F4084" s="2"/>
      <x:c r="G4084" s="2"/>
      <x:c r="H4084" s="2"/>
    </x:row>
    <x:row r="4085" ht="22" customHeight="1">
      <x:c r="A4085" s="2" t="n">
        <x:v>4079</x:v>
      </x:c>
      <x:c r="B4085" s="79" t="n">
        <x:v>0.6768172714849542</x:v>
      </x:c>
      <x:c r="C4085" s="46" t="n">
        <x:f>B4085^2</x:f>
        <x:v>0.45808161898033817</x:v>
      </x:c>
      <x:c r="D4085" s="47" t="n">
        <x:f>'Datos'!$B$26^3/3</x:f>
        <x:v>0.3333333333333333</x:v>
      </x:c>
      <x:c r="E4085" s="46" t="n">
        <x:f>D4085*(C4085-1)</x:f>
        <x:v>-0.18063946033988726</x:v>
      </x:c>
      <x:c r="F4085" s="2"/>
      <x:c r="G4085" s="2"/>
      <x:c r="H4085" s="2"/>
    </x:row>
    <x:row r="4086" ht="22" customHeight="1">
      <x:c r="A4086" s="2" t="n">
        <x:v>4080</x:v>
      </x:c>
      <x:c r="B4086" s="79" t="n">
        <x:v>0.5383773029992776</x:v>
      </x:c>
      <x:c r="C4086" s="46" t="n">
        <x:f>B4086^2</x:f>
        <x:v>0.2898501203847759</x:v>
      </x:c>
      <x:c r="D4086" s="47" t="n">
        <x:f>'Datos'!$B$26^3/3</x:f>
        <x:v>0.3333333333333333</x:v>
      </x:c>
      <x:c r="E4086" s="46" t="n">
        <x:f>D4086*(C4086-1)</x:f>
        <x:v>-0.23671662653840803</x:v>
      </x:c>
      <x:c r="F4086" s="2"/>
      <x:c r="G4086" s="2"/>
      <x:c r="H4086" s="2"/>
    </x:row>
    <x:row r="4087" ht="22" customHeight="1">
      <x:c r="A4087" s="2" t="n">
        <x:v>4081</x:v>
      </x:c>
      <x:c r="B4087" s="79" t="n">
        <x:v>-0.6816322245974333</x:v>
      </x:c>
      <x:c r="C4087" s="46" t="n">
        <x:f>B4087^2</x:f>
        <x:v>0.4646224896096458</x:v>
      </x:c>
      <x:c r="D4087" s="47" t="n">
        <x:f>'Datos'!$B$26^3/3</x:f>
        <x:v>0.3333333333333333</x:v>
      </x:c>
      <x:c r="E4087" s="46" t="n">
        <x:f>D4087*(C4087-1)</x:f>
        <x:v>-0.17845917013011806</x:v>
      </x:c>
      <x:c r="F4087" s="2"/>
      <x:c r="G4087" s="2"/>
      <x:c r="H4087" s="2"/>
    </x:row>
    <x:row r="4088" ht="22" customHeight="1">
      <x:c r="A4088" s="2" t="n">
        <x:v>4082</x:v>
      </x:c>
      <x:c r="B4088" s="79" t="n">
        <x:v>0.34843598408286336</x:v>
      </x:c>
      <x:c r="C4088" s="46" t="n">
        <x:f>B4088^2</x:f>
        <x:v>0.12140763500379341</x:v>
      </x:c>
      <x:c r="D4088" s="47" t="n">
        <x:f>'Datos'!$B$26^3/3</x:f>
        <x:v>0.3333333333333333</x:v>
      </x:c>
      <x:c r="E4088" s="46" t="n">
        <x:f>D4088*(C4088-1)</x:f>
        <x:v>-0.2928641216654022</x:v>
      </x:c>
      <x:c r="F4088" s="2"/>
      <x:c r="G4088" s="2"/>
      <x:c r="H4088" s="2"/>
    </x:row>
    <x:row r="4089" ht="22" customHeight="1">
      <x:c r="A4089" s="2" t="n">
        <x:v>4083</x:v>
      </x:c>
      <x:c r="B4089" s="79" t="n">
        <x:v>-1.6902383642389693</x:v>
      </x:c>
      <x:c r="C4089" s="46" t="n">
        <x:f>B4089^2</x:f>
        <x:v>2.8569057279452266</x:v>
      </x:c>
      <x:c r="D4089" s="47" t="n">
        <x:f>'Datos'!$B$26^3/3</x:f>
        <x:v>0.3333333333333333</x:v>
      </x:c>
      <x:c r="E4089" s="46" t="n">
        <x:f>D4089*(C4089-1)</x:f>
        <x:v>0.6189685759817422</x:v>
      </x:c>
      <x:c r="F4089" s="2"/>
      <x:c r="G4089" s="2"/>
      <x:c r="H4089" s="2"/>
    </x:row>
    <x:row r="4090" ht="22" customHeight="1">
      <x:c r="A4090" s="2" t="n">
        <x:v>4084</x:v>
      </x:c>
      <x:c r="B4090" s="79" t="n">
        <x:v>-0.8089781814400896</x:v>
      </x:c>
      <x:c r="C4090" s="46" t="n">
        <x:f>B4090^2</x:f>
        <x:v>0.6544456980461145</x:v>
      </x:c>
      <x:c r="D4090" s="47" t="n">
        <x:f>'Datos'!$B$26^3/3</x:f>
        <x:v>0.3333333333333333</x:v>
      </x:c>
      <x:c r="E4090" s="46" t="n">
        <x:f>D4090*(C4090-1)</x:f>
        <x:v>-0.11518476731796182</x:v>
      </x:c>
      <x:c r="F4090" s="2"/>
      <x:c r="G4090" s="2"/>
      <x:c r="H4090" s="2"/>
    </x:row>
    <x:row r="4091" ht="22" customHeight="1">
      <x:c r="A4091" s="2" t="n">
        <x:v>4085</x:v>
      </x:c>
      <x:c r="B4091" s="79" t="n">
        <x:v>0.4088940161452196</x:v>
      </x:c>
      <x:c r="C4091" s="46" t="n">
        <x:f>B4091^2</x:f>
        <x:v>0.1671943164393671</x:v>
      </x:c>
      <x:c r="D4091" s="47" t="n">
        <x:f>'Datos'!$B$26^3/3</x:f>
        <x:v>0.3333333333333333</x:v>
      </x:c>
      <x:c r="E4091" s="46" t="n">
        <x:f>D4091*(C4091-1)</x:f>
        <x:v>-0.27760189452021095</x:v>
      </x:c>
      <x:c r="F4091" s="2"/>
      <x:c r="G4091" s="2"/>
      <x:c r="H4091" s="2"/>
    </x:row>
    <x:row r="4092" ht="22" customHeight="1">
      <x:c r="A4092" s="2" t="n">
        <x:v>4086</x:v>
      </x:c>
      <x:c r="B4092" s="79" t="n">
        <x:v>-1.3873717063782174</x:v>
      </x:c>
      <x:c r="C4092" s="46" t="n">
        <x:f>B4092^2</x:f>
        <x:v>1.9248002516588065</x:v>
      </x:c>
      <x:c r="D4092" s="47" t="n">
        <x:f>'Datos'!$B$26^3/3</x:f>
        <x:v>0.3333333333333333</x:v>
      </x:c>
      <x:c r="E4092" s="46" t="n">
        <x:f>D4092*(C4092-1)</x:f>
        <x:v>0.3082667505529355</x:v>
      </x:c>
      <x:c r="F4092" s="2"/>
      <x:c r="G4092" s="2"/>
      <x:c r="H4092" s="2"/>
    </x:row>
    <x:row r="4093" ht="22" customHeight="1">
      <x:c r="A4093" s="2" t="n">
        <x:v>4087</x:v>
      </x:c>
      <x:c r="B4093" s="79" t="n">
        <x:v>0.8082099851183776</x:v>
      </x:c>
      <x:c r="C4093" s="46" t="n">
        <x:f>B4093^2</x:f>
        <x:v>0.6532033800450482</x:v>
      </x:c>
      <x:c r="D4093" s="47" t="n">
        <x:f>'Datos'!$B$26^3/3</x:f>
        <x:v>0.3333333333333333</x:v>
      </x:c>
      <x:c r="E4093" s="46" t="n">
        <x:f>D4093*(C4093-1)</x:f>
        <x:v>-0.11559887331831727</x:v>
      </x:c>
      <x:c r="F4093" s="2"/>
      <x:c r="G4093" s="2"/>
      <x:c r="H4093" s="2"/>
    </x:row>
    <x:row r="4094" ht="22" customHeight="1">
      <x:c r="A4094" s="2" t="n">
        <x:v>4088</x:v>
      </x:c>
      <x:c r="B4094" s="79" t="n">
        <x:v>0.32817283982575424</x:v>
      </x:c>
      <x:c r="C4094" s="46" t="n">
        <x:f>B4094^2</x:f>
        <x:v>0.10769741279930015</x:v>
      </x:c>
      <x:c r="D4094" s="47" t="n">
        <x:f>'Datos'!$B$26^3/3</x:f>
        <x:v>0.3333333333333333</x:v>
      </x:c>
      <x:c r="E4094" s="46" t="n">
        <x:f>D4094*(C4094-1)</x:f>
        <x:v>-0.2974341957335666</x:v>
      </x:c>
      <x:c r="F4094" s="2"/>
      <x:c r="G4094" s="2"/>
      <x:c r="H4094" s="2"/>
    </x:row>
    <x:row r="4095" ht="22" customHeight="1">
      <x:c r="A4095" s="2" t="n">
        <x:v>4089</x:v>
      </x:c>
      <x:c r="B4095" s="79" t="n">
        <x:v>0.9435879196795728</x:v>
      </x:c>
      <x:c r="C4095" s="46" t="n">
        <x:f>B4095^2</x:f>
        <x:v>0.8903581621652239</x:v>
      </x:c>
      <x:c r="D4095" s="47" t="n">
        <x:f>'Datos'!$B$26^3/3</x:f>
        <x:v>0.3333333333333333</x:v>
      </x:c>
      <x:c r="E4095" s="46" t="n">
        <x:f>D4095*(C4095-1)</x:f>
        <x:v>-0.036547279278258696</x:v>
      </x:c>
      <x:c r="F4095" s="2"/>
      <x:c r="G4095" s="2"/>
      <x:c r="H4095" s="2"/>
    </x:row>
    <x:row r="4096" ht="22" customHeight="1">
      <x:c r="A4096" s="2" t="n">
        <x:v>4090</x:v>
      </x:c>
      <x:c r="B4096" s="79" t="n">
        <x:v>0.5366139525023191</x:v>
      </x:c>
      <x:c r="C4096" s="46" t="n">
        <x:f>B4096^2</x:f>
        <x:v>0.2879545340201612</x:v>
      </x:c>
      <x:c r="D4096" s="47" t="n">
        <x:f>'Datos'!$B$26^3/3</x:f>
        <x:v>0.3333333333333333</x:v>
      </x:c>
      <x:c r="E4096" s="46" t="n">
        <x:f>D4096*(C4096-1)</x:f>
        <x:v>-0.23734848865994623</x:v>
      </x:c>
      <x:c r="F4096" s="2"/>
      <x:c r="G4096" s="2"/>
      <x:c r="H4096" s="2"/>
    </x:row>
    <x:row r="4097" ht="22" customHeight="1">
      <x:c r="A4097" s="2" t="n">
        <x:v>4091</x:v>
      </x:c>
      <x:c r="B4097" s="79" t="n">
        <x:v>-2.49986062380908</x:v>
      </x:c>
      <x:c r="C4097" s="46" t="n">
        <x:f>B4097^2</x:f>
        <x:v>6.249303138471122</x:v>
      </x:c>
      <x:c r="D4097" s="47" t="n">
        <x:f>'Datos'!$B$26^3/3</x:f>
        <x:v>0.3333333333333333</x:v>
      </x:c>
      <x:c r="E4097" s="46" t="n">
        <x:f>D4097*(C4097-1)</x:f>
        <x:v>1.7497677128237072</x:v>
      </x:c>
      <x:c r="F4097" s="2"/>
      <x:c r="G4097" s="2"/>
      <x:c r="H4097" s="2"/>
    </x:row>
    <x:row r="4098" ht="22" customHeight="1">
      <x:c r="A4098" s="2" t="n">
        <x:v>4092</x:v>
      </x:c>
      <x:c r="B4098" s="79" t="n">
        <x:v>0.14922724012455568</x:v>
      </x:c>
      <x:c r="C4098" s="46" t="n">
        <x:f>B4098^2</x:f>
        <x:v>0.0222687691951918</x:v>
      </x:c>
      <x:c r="D4098" s="47" t="n">
        <x:f>'Datos'!$B$26^3/3</x:f>
        <x:v>0.3333333333333333</x:v>
      </x:c>
      <x:c r="E4098" s="46" t="n">
        <x:f>D4098*(C4098-1)</x:f>
        <x:v>-0.3259104102682694</x:v>
      </x:c>
      <x:c r="F4098" s="2"/>
      <x:c r="G4098" s="2"/>
      <x:c r="H4098" s="2"/>
    </x:row>
    <x:row r="4099" ht="22" customHeight="1">
      <x:c r="A4099" s="2" t="n">
        <x:v>4093</x:v>
      </x:c>
      <x:c r="B4099" s="79" t="n">
        <x:v>-0.39378783595445227</x:v>
      </x:c>
      <x:c r="C4099" s="46" t="n">
        <x:f>B4099^2</x:f>
        <x:v>0.15506885974569062</x:v>
      </x:c>
      <x:c r="D4099" s="47" t="n">
        <x:f>'Datos'!$B$26^3/3</x:f>
        <x:v>0.3333333333333333</x:v>
      </x:c>
      <x:c r="E4099" s="46" t="n">
        <x:f>D4099*(C4099-1)</x:f>
        <x:v>-0.2816437134181031</x:v>
      </x:c>
      <x:c r="F4099" s="2"/>
      <x:c r="G4099" s="2"/>
      <x:c r="H4099" s="2"/>
    </x:row>
    <x:row r="4100" ht="22" customHeight="1">
      <x:c r="A4100" s="2" t="n">
        <x:v>4094</x:v>
      </x:c>
      <x:c r="B4100" s="79" t="n">
        <x:v>-0.08285620169464356</x:v>
      </x:c>
      <x:c r="C4100" s="46" t="n">
        <x:f>B4100^2</x:f>
        <x:v>0.0068651501592634535</x:v>
      </x:c>
      <x:c r="D4100" s="47" t="n">
        <x:f>'Datos'!$B$26^3/3</x:f>
        <x:v>0.3333333333333333</x:v>
      </x:c>
      <x:c r="E4100" s="46" t="n">
        <x:f>D4100*(C4100-1)</x:f>
        <x:v>-0.33104494994691214</x:v>
      </x:c>
      <x:c r="F4100" s="2"/>
      <x:c r="G4100" s="2"/>
      <x:c r="H4100" s="2"/>
    </x:row>
    <x:row r="4101" ht="22" customHeight="1">
      <x:c r="A4101" s="2" t="n">
        <x:v>4095</x:v>
      </x:c>
      <x:c r="B4101" s="79" t="n">
        <x:v>-0.4504085530199205</x:v>
      </x:c>
      <x:c r="C4101" s="46" t="n">
        <x:f>B4101^2</x:f>
        <x:v>0.20286786463349854</x:v>
      </x:c>
      <x:c r="D4101" s="47" t="n">
        <x:f>'Datos'!$B$26^3/3</x:f>
        <x:v>0.3333333333333333</x:v>
      </x:c>
      <x:c r="E4101" s="46" t="n">
        <x:f>D4101*(C4101-1)</x:f>
        <x:v>-0.2657107117888338</x:v>
      </x:c>
      <x:c r="F4101" s="2"/>
      <x:c r="G4101" s="2"/>
      <x:c r="H4101" s="2"/>
    </x:row>
    <x:row r="4102" ht="22" customHeight="1">
      <x:c r="A4102" s="2" t="n">
        <x:v>4096</x:v>
      </x:c>
      <x:c r="B4102" s="79" t="n">
        <x:v>-0.2892512035445182</x:v>
      </x:c>
      <x:c r="C4102" s="46" t="n">
        <x:f>B4102^2</x:f>
        <x:v>0.08366625875195231</x:v>
      </x:c>
      <x:c r="D4102" s="47" t="n">
        <x:f>'Datos'!$B$26^3/3</x:f>
        <x:v>0.3333333333333333</x:v>
      </x:c>
      <x:c r="E4102" s="46" t="n">
        <x:f>D4102*(C4102-1)</x:f>
        <x:v>-0.30544458041601585</x:v>
      </x:c>
      <x:c r="F4102" s="2"/>
      <x:c r="G4102" s="2"/>
      <x:c r="H4102" s="2"/>
    </x:row>
    <x:row r="4103" ht="22" customHeight="1">
      <x:c r="A4103" s="2" t="n">
        <x:v>4097</x:v>
      </x:c>
      <x:c r="B4103" s="79" t="n">
        <x:v>2.4658091732205647</x:v>
      </x:c>
      <x:c r="C4103" s="46" t="n">
        <x:f>B4103^2</x:f>
        <x:v>6.080214878738685</x:v>
      </x:c>
      <x:c r="D4103" s="47" t="n">
        <x:f>'Datos'!$B$26^3/3</x:f>
        <x:v>0.3333333333333333</x:v>
      </x:c>
      <x:c r="E4103" s="46" t="n">
        <x:f>D4103*(C4103-1)</x:f>
        <x:v>1.6934049595795617</x:v>
      </x:c>
      <x:c r="F4103" s="2"/>
      <x:c r="G4103" s="2"/>
      <x:c r="H4103" s="2"/>
    </x:row>
    <x:row r="4104" ht="22" customHeight="1">
      <x:c r="A4104" s="2" t="n">
        <x:v>4098</x:v>
      </x:c>
      <x:c r="B4104" s="79" t="n">
        <x:v>0.4781480425822161</x:v>
      </x:c>
      <x:c r="C4104" s="46" t="n">
        <x:f>B4104^2</x:f>
        <x:v>0.22862555062520473</x:v>
      </x:c>
      <x:c r="D4104" s="47" t="n">
        <x:f>'Datos'!$B$26^3/3</x:f>
        <x:v>0.3333333333333333</x:v>
      </x:c>
      <x:c r="E4104" s="46" t="n">
        <x:f>D4104*(C4104-1)</x:f>
        <x:v>-0.25712481645826507</x:v>
      </x:c>
      <x:c r="F4104" s="2"/>
      <x:c r="G4104" s="2"/>
      <x:c r="H4104" s="2"/>
    </x:row>
    <x:row r="4105" ht="22" customHeight="1">
      <x:c r="A4105" s="2" t="n">
        <x:v>4099</x:v>
      </x:c>
      <x:c r="B4105" s="79" t="n">
        <x:v>-2.6044844079708005</x:v>
      </x:c>
      <x:c r="C4105" s="46" t="n">
        <x:f>B4105^2</x:f>
        <x:v>6.7833390313630115</x:v>
      </x:c>
      <x:c r="D4105" s="47" t="n">
        <x:f>'Datos'!$B$26^3/3</x:f>
        <x:v>0.3333333333333333</x:v>
      </x:c>
      <x:c r="E4105" s="46" t="n">
        <x:f>D4105*(C4105-1)</x:f>
        <x:v>1.9277796771210038</x:v>
      </x:c>
      <x:c r="F4105" s="2"/>
      <x:c r="G4105" s="2"/>
      <x:c r="H4105" s="2"/>
    </x:row>
    <x:row r="4106" ht="22" customHeight="1">
      <x:c r="A4106" s="2" t="n">
        <x:v>4100</x:v>
      </x:c>
      <x:c r="B4106" s="79" t="n">
        <x:v>-0.4528822718601651</x:v>
      </x:c>
      <x:c r="C4106" s="46" t="n">
        <x:f>B4106^2</x:f>
        <x:v>0.2051023521652245</x:v>
      </x:c>
      <x:c r="D4106" s="47" t="n">
        <x:f>'Datos'!$B$26^3/3</x:f>
        <x:v>0.3333333333333333</x:v>
      </x:c>
      <x:c r="E4106" s="46" t="n">
        <x:f>D4106*(C4106-1)</x:f>
        <x:v>-0.2649658826115918</x:v>
      </x:c>
      <x:c r="F4106" s="2"/>
      <x:c r="G4106" s="2"/>
      <x:c r="H4106" s="2"/>
    </x:row>
    <x:row r="4107" ht="22" customHeight="1">
      <x:c r="A4107" s="2" t="n">
        <x:v>4101</x:v>
      </x:c>
      <x:c r="B4107" s="79" t="n">
        <x:v>0.44147461085027573</x:v>
      </x:c>
      <x:c r="C4107" s="46" t="n">
        <x:f>B4107^2</x:f>
        <x:v>0.1948998320254024</x:v>
      </x:c>
      <x:c r="D4107" s="47" t="n">
        <x:f>'Datos'!$B$26^3/3</x:f>
        <x:v>0.3333333333333333</x:v>
      </x:c>
      <x:c r="E4107" s="46" t="n">
        <x:f>D4107*(C4107-1)</x:f>
        <x:v>-0.26836672265819916</x:v>
      </x:c>
      <x:c r="F4107" s="2"/>
      <x:c r="G4107" s="2"/>
      <x:c r="H4107" s="2"/>
    </x:row>
    <x:row r="4108" ht="22" customHeight="1">
      <x:c r="A4108" s="2" t="n">
        <x:v>4102</x:v>
      </x:c>
      <x:c r="B4108" s="79" t="n">
        <x:v>-1.577857501625958</x:v>
      </x:c>
      <x:c r="C4108" s="46" t="n">
        <x:f>B4108^2</x:f>
        <x:v>2.48963429543731</x:v>
      </x:c>
      <x:c r="D4108" s="47" t="n">
        <x:f>'Datos'!$B$26^3/3</x:f>
        <x:v>0.3333333333333333</x:v>
      </x:c>
      <x:c r="E4108" s="46" t="n">
        <x:f>D4108*(C4108-1)</x:f>
        <x:v>0.49654476514576995</x:v>
      </x:c>
      <x:c r="F4108" s="2"/>
      <x:c r="G4108" s="2"/>
      <x:c r="H4108" s="2"/>
    </x:row>
    <x:row r="4109" ht="22" customHeight="1">
      <x:c r="A4109" s="2" t="n">
        <x:v>4103</x:v>
      </x:c>
      <x:c r="B4109" s="79" t="n">
        <x:v>2.0348334941058015</x:v>
      </x:c>
      <x:c r="C4109" s="46" t="n">
        <x:f>B4109^2</x:f>
        <x:v>4.140547348734825</x:v>
      </x:c>
      <x:c r="D4109" s="47" t="n">
        <x:f>'Datos'!$B$26^3/3</x:f>
        <x:v>0.3333333333333333</x:v>
      </x:c>
      <x:c r="E4109" s="46" t="n">
        <x:f>D4109*(C4109-1)</x:f>
        <x:v>1.0468491162449416</x:v>
      </x:c>
      <x:c r="F4109" s="2"/>
      <x:c r="G4109" s="2"/>
      <x:c r="H4109" s="2"/>
    </x:row>
    <x:row r="4110" ht="22" customHeight="1">
      <x:c r="A4110" s="2" t="n">
        <x:v>4104</x:v>
      </x:c>
      <x:c r="B4110" s="79" t="n">
        <x:v>0.35717751374915496</x:v>
      </x:c>
      <x:c r="C4110" s="46" t="n">
        <x:f>B4110^2</x:f>
        <x:v>0.12757577632802777</x:v>
      </x:c>
      <x:c r="D4110" s="47" t="n">
        <x:f>'Datos'!$B$26^3/3</x:f>
        <x:v>0.3333333333333333</x:v>
      </x:c>
      <x:c r="E4110" s="46" t="n">
        <x:f>D4110*(C4110-1)</x:f>
        <x:v>-0.29080807455732405</x:v>
      </x:c>
      <x:c r="F4110" s="2"/>
      <x:c r="G4110" s="2"/>
      <x:c r="H4110" s="2"/>
    </x:row>
    <x:row r="4111" ht="22" customHeight="1">
      <x:c r="A4111" s="2" t="n">
        <x:v>4105</x:v>
      </x:c>
      <x:c r="B4111" s="79" t="n">
        <x:v>0.2997744814448419</x:v>
      </x:c>
      <x:c r="C4111" s="46" t="n">
        <x:f>B4111^2</x:f>
        <x:v>0.08986473972552388</x:v>
      </x:c>
      <x:c r="D4111" s="47" t="n">
        <x:f>'Datos'!$B$26^3/3</x:f>
        <x:v>0.3333333333333333</x:v>
      </x:c>
      <x:c r="E4111" s="46" t="n">
        <x:f>D4111*(C4111-1)</x:f>
        <x:v>-0.303378420091492</x:v>
      </x:c>
      <x:c r="F4111" s="2"/>
      <x:c r="G4111" s="2"/>
      <x:c r="H4111" s="2"/>
    </x:row>
    <x:row r="4112" ht="22" customHeight="1">
      <x:c r="A4112" s="2" t="n">
        <x:v>4106</x:v>
      </x:c>
      <x:c r="B4112" s="79" t="n">
        <x:v>0.15370556508214486</x:v>
      </x:c>
      <x:c r="C4112" s="46" t="n">
        <x:f>B4112^2</x:f>
        <x:v>0.02362540073722147</x:v>
      </x:c>
      <x:c r="D4112" s="47" t="n">
        <x:f>'Datos'!$B$26^3/3</x:f>
        <x:v>0.3333333333333333</x:v>
      </x:c>
      <x:c r="E4112" s="46" t="n">
        <x:f>D4112*(C4112-1)</x:f>
        <x:v>-0.3254581997542595</x:v>
      </x:c>
      <x:c r="F4112" s="2"/>
      <x:c r="G4112" s="2"/>
      <x:c r="H4112" s="2"/>
    </x:row>
    <x:row r="4113" ht="22" customHeight="1">
      <x:c r="A4113" s="2" t="n">
        <x:v>4107</x:v>
      </x:c>
      <x:c r="B4113" s="79" t="n">
        <x:v>-1.2872299890479906</x:v>
      </x:c>
      <x:c r="C4113" s="46" t="n">
        <x:f>B4113^2</x:f>
        <x:v>1.65696104470449</x:v>
      </x:c>
      <x:c r="D4113" s="47" t="n">
        <x:f>'Datos'!$B$26^3/3</x:f>
        <x:v>0.3333333333333333</x:v>
      </x:c>
      <x:c r="E4113" s="46" t="n">
        <x:f>D4113*(C4113-1)</x:f>
        <x:v>0.21898701490149666</x:v>
      </x:c>
      <x:c r="F4113" s="2"/>
      <x:c r="G4113" s="2"/>
      <x:c r="H4113" s="2"/>
    </x:row>
    <x:row r="4114" ht="22" customHeight="1">
      <x:c r="A4114" s="2" t="n">
        <x:v>4108</x:v>
      </x:c>
      <x:c r="B4114" s="79" t="n">
        <x:v>0.06105618540002071</x:v>
      </x:c>
      <x:c r="C4114" s="46" t="n">
        <x:f>B4114^2</x:f>
        <x:v>0.003727857775601702</x:v>
      </x:c>
      <x:c r="D4114" s="47" t="n">
        <x:f>'Datos'!$B$26^3/3</x:f>
        <x:v>0.3333333333333333</x:v>
      </x:c>
      <x:c r="E4114" s="46" t="n">
        <x:f>D4114*(C4114-1)</x:f>
        <x:v>-0.3320907140747994</x:v>
      </x:c>
      <x:c r="F4114" s="2"/>
      <x:c r="G4114" s="2"/>
      <x:c r="H4114" s="2"/>
    </x:row>
    <x:row r="4115" ht="22" customHeight="1">
      <x:c r="A4115" s="2" t="n">
        <x:v>4109</x:v>
      </x:c>
      <x:c r="B4115" s="79" t="n">
        <x:v>1.4212014252042064</x:v>
      </x:c>
      <x:c r="C4115" s="46" t="n">
        <x:f>B4115^2</x:f>
        <x:v>2.0198134910024677</x:v>
      </x:c>
      <x:c r="D4115" s="47" t="n">
        <x:f>'Datos'!$B$26^3/3</x:f>
        <x:v>0.3333333333333333</x:v>
      </x:c>
      <x:c r="E4115" s="46" t="n">
        <x:f>D4115*(C4115-1)</x:f>
        <x:v>0.33993783033415587</x:v>
      </x:c>
      <x:c r="F4115" s="2"/>
      <x:c r="G4115" s="2"/>
      <x:c r="H4115" s="2"/>
    </x:row>
    <x:row r="4116" ht="22" customHeight="1">
      <x:c r="A4116" s="2" t="n">
        <x:v>4110</x:v>
      </x:c>
      <x:c r="B4116" s="79" t="n">
        <x:v>-1.7796200774067932</x:v>
      </x:c>
      <x:c r="C4116" s="46" t="n">
        <x:f>B4116^2</x:f>
        <x:v>3.1670476199093605</x:v>
      </x:c>
      <x:c r="D4116" s="47" t="n">
        <x:f>'Datos'!$B$26^3/3</x:f>
        <x:v>0.3333333333333333</x:v>
      </x:c>
      <x:c r="E4116" s="46" t="n">
        <x:f>D4116*(C4116-1)</x:f>
        <x:v>0.7223492066364534</x:v>
      </x:c>
      <x:c r="F4116" s="2"/>
      <x:c r="G4116" s="2"/>
      <x:c r="H4116" s="2"/>
    </x:row>
    <x:row r="4117" ht="22" customHeight="1">
      <x:c r="A4117" s="2" t="n">
        <x:v>4111</x:v>
      </x:c>
      <x:c r="B4117" s="79" t="n">
        <x:v>1.7203753493998113</x:v>
      </x:c>
      <x:c r="C4117" s="46" t="n">
        <x:f>B4117^2</x:f>
        <x:v>2.9596913428225227</x:v>
      </x:c>
      <x:c r="D4117" s="47" t="n">
        <x:f>'Datos'!$B$26^3/3</x:f>
        <x:v>0.3333333333333333</x:v>
      </x:c>
      <x:c r="E4117" s="46" t="n">
        <x:f>D4117*(C4117-1)</x:f>
        <x:v>0.6532304476075075</x:v>
      </x:c>
      <x:c r="F4117" s="2"/>
      <x:c r="G4117" s="2"/>
      <x:c r="H4117" s="2"/>
    </x:row>
    <x:row r="4118" ht="22" customHeight="1">
      <x:c r="A4118" s="2" t="n">
        <x:v>4112</x:v>
      </x:c>
      <x:c r="B4118" s="79" t="n">
        <x:v>1.6327572157808117</x:v>
      </x:c>
      <x:c r="C4118" s="46" t="n">
        <x:f>B4118^2</x:f>
        <x:v>2.665896125684308</x:v>
      </x:c>
      <x:c r="D4118" s="47" t="n">
        <x:f>'Datos'!$B$26^3/3</x:f>
        <x:v>0.3333333333333333</x:v>
      </x:c>
      <x:c r="E4118" s="46" t="n">
        <x:f>D4118*(C4118-1)</x:f>
        <x:v>0.5552987085614359</x:v>
      </x:c>
      <x:c r="F4118" s="2"/>
      <x:c r="G4118" s="2"/>
      <x:c r="H4118" s="2"/>
    </x:row>
    <x:row r="4119" ht="22" customHeight="1">
      <x:c r="A4119" s="2" t="n">
        <x:v>4113</x:v>
      </x:c>
      <x:c r="B4119" s="79" t="n">
        <x:v>0.9084850192165561</x:v>
      </x:c>
      <x:c r="C4119" s="46" t="n">
        <x:f>B4119^2</x:f>
        <x:v>0.8253450301409063</x:v>
      </x:c>
      <x:c r="D4119" s="47" t="n">
        <x:f>'Datos'!$B$26^3/3</x:f>
        <x:v>0.3333333333333333</x:v>
      </x:c>
      <x:c r="E4119" s="46" t="n">
        <x:f>D4119*(C4119-1)</x:f>
        <x:v>-0.05821832328636456</x:v>
      </x:c>
      <x:c r="F4119" s="2"/>
      <x:c r="G4119" s="2"/>
      <x:c r="H4119" s="2"/>
    </x:row>
    <x:row r="4120" ht="22" customHeight="1">
      <x:c r="A4120" s="2" t="n">
        <x:v>4114</x:v>
      </x:c>
      <x:c r="B4120" s="79" t="n">
        <x:v>-0.09294605285012171</x:v>
      </x:c>
      <x:c r="C4120" s="46" t="n">
        <x:f>B4120^2</x:f>
        <x:v>0.008638968740417618</x:v>
      </x:c>
      <x:c r="D4120" s="47" t="n">
        <x:f>'Datos'!$B$26^3/3</x:f>
        <x:v>0.3333333333333333</x:v>
      </x:c>
      <x:c r="E4120" s="46" t="n">
        <x:f>D4120*(C4120-1)</x:f>
        <x:v>-0.33045367708652745</x:v>
      </x:c>
      <x:c r="F4120" s="2"/>
      <x:c r="G4120" s="2"/>
      <x:c r="H4120" s="2"/>
    </x:row>
    <x:row r="4121" ht="22" customHeight="1">
      <x:c r="A4121" s="2" t="n">
        <x:v>4115</x:v>
      </x:c>
      <x:c r="B4121" s="79" t="n">
        <x:v>-0.8297582743289432</x:v>
      </x:c>
      <x:c r="C4121" s="46" t="n">
        <x:f>B4121^2</x:f>
        <x:v>0.6884987938173458</x:v>
      </x:c>
      <x:c r="D4121" s="47" t="n">
        <x:f>'Datos'!$B$26^3/3</x:f>
        <x:v>0.3333333333333333</x:v>
      </x:c>
      <x:c r="E4121" s="46" t="n">
        <x:f>D4121*(C4121-1)</x:f>
        <x:v>-0.10383373539421806</x:v>
      </x:c>
      <x:c r="F4121" s="2"/>
      <x:c r="G4121" s="2"/>
      <x:c r="H4121" s="2"/>
    </x:row>
    <x:row r="4122" ht="22" customHeight="1">
      <x:c r="A4122" s="2" t="n">
        <x:v>4116</x:v>
      </x:c>
      <x:c r="B4122" s="79" t="n">
        <x:v>-0.9303239584133551</x:v>
      </x:c>
      <x:c r="C4122" s="46" t="n">
        <x:f>B4122^2</x:f>
        <x:v>0.8655026675978942</x:v>
      </x:c>
      <x:c r="D4122" s="47" t="n">
        <x:f>'Datos'!$B$26^3/3</x:f>
        <x:v>0.3333333333333333</x:v>
      </x:c>
      <x:c r="E4122" s="46" t="n">
        <x:f>D4122*(C4122-1)</x:f>
        <x:v>-0.04483244413403527</x:v>
      </x:c>
      <x:c r="F4122" s="2"/>
      <x:c r="G4122" s="2"/>
      <x:c r="H4122" s="2"/>
    </x:row>
    <x:row r="4123" ht="22" customHeight="1">
      <x:c r="A4123" s="2" t="n">
        <x:v>4117</x:v>
      </x:c>
      <x:c r="B4123" s="79" t="n">
        <x:v>0.538419435186415</x:v>
      </x:c>
      <x:c r="C4123" s="46" t="n">
        <x:f>B4123^2</x:f>
        <x:v>0.28989548818645816</x:v>
      </x:c>
      <x:c r="D4123" s="47" t="n">
        <x:f>'Datos'!$B$26^3/3</x:f>
        <x:v>0.3333333333333333</x:v>
      </x:c>
      <x:c r="E4123" s="46" t="n">
        <x:f>D4123*(C4123-1)</x:f>
        <x:v>-0.23670150393784728</x:v>
      </x:c>
      <x:c r="F4123" s="2"/>
      <x:c r="G4123" s="2"/>
      <x:c r="H4123" s="2"/>
    </x:row>
    <x:row r="4124" ht="22" customHeight="1">
      <x:c r="A4124" s="2" t="n">
        <x:v>4118</x:v>
      </x:c>
      <x:c r="B4124" s="79" t="n">
        <x:v>1.9036199259424542</x:v>
      </x:c>
      <x:c r="C4124" s="46" t="n">
        <x:f>B4124^2</x:f>
        <x:v>3.6237688224451547</x:v>
      </x:c>
      <x:c r="D4124" s="47" t="n">
        <x:f>'Datos'!$B$26^3/3</x:f>
        <x:v>0.3333333333333333</x:v>
      </x:c>
      <x:c r="E4124" s="46" t="n">
        <x:f>D4124*(C4124-1)</x:f>
        <x:v>0.8745896074817182</x:v>
      </x:c>
      <x:c r="F4124" s="2"/>
      <x:c r="G4124" s="2"/>
      <x:c r="H4124" s="2"/>
    </x:row>
    <x:row r="4125" ht="22" customHeight="1">
      <x:c r="A4125" s="2" t="n">
        <x:v>4119</x:v>
      </x:c>
      <x:c r="B4125" s="79" t="n">
        <x:v>-1.1429059668363495</x:v>
      </x:c>
      <x:c r="C4125" s="46" t="n">
        <x:f>B4125^2</x:f>
        <x:v>1.3062340490301307</x:v>
      </x:c>
      <x:c r="D4125" s="47" t="n">
        <x:f>'Datos'!$B$26^3/3</x:f>
        <x:v>0.3333333333333333</x:v>
      </x:c>
      <x:c r="E4125" s="46" t="n">
        <x:f>D4125*(C4125-1)</x:f>
        <x:v>0.1020780163433769</x:v>
      </x:c>
      <x:c r="F4125" s="2"/>
      <x:c r="G4125" s="2"/>
      <x:c r="H4125" s="2"/>
    </x:row>
    <x:row r="4126" ht="22" customHeight="1">
      <x:c r="A4126" s="2" t="n">
        <x:v>4120</x:v>
      </x:c>
      <x:c r="B4126" s="79" t="n">
        <x:v>-2.6957668060648374</x:v>
      </x:c>
      <x:c r="C4126" s="46" t="n">
        <x:f>B4126^2</x:f>
        <x:v>7.267158672681015</x:v>
      </x:c>
      <x:c r="D4126" s="47" t="n">
        <x:f>'Datos'!$B$26^3/3</x:f>
        <x:v>0.3333333333333333</x:v>
      </x:c>
      <x:c r="E4126" s="46" t="n">
        <x:f>D4126*(C4126-1)</x:f>
        <x:v>2.0890528908936714</x:v>
      </x:c>
      <x:c r="F4126" s="2"/>
      <x:c r="G4126" s="2"/>
      <x:c r="H4126" s="2"/>
    </x:row>
    <x:row r="4127" ht="22" customHeight="1">
      <x:c r="A4127" s="2" t="n">
        <x:v>4121</x:v>
      </x:c>
      <x:c r="B4127" s="79" t="n">
        <x:v>-1.393098573395999</x:v>
      </x:c>
      <x:c r="C4127" s="46" t="n">
        <x:f>B4127^2</x:f>
        <x:v>1.9407236351979678</x:v>
      </x:c>
      <x:c r="D4127" s="47" t="n">
        <x:f>'Datos'!$B$26^3/3</x:f>
        <x:v>0.3333333333333333</x:v>
      </x:c>
      <x:c r="E4127" s="46" t="n">
        <x:f>D4127*(C4127-1)</x:f>
        <x:v>0.31357454506598925</x:v>
      </x:c>
      <x:c r="F4127" s="2"/>
      <x:c r="G4127" s="2"/>
      <x:c r="H4127" s="2"/>
    </x:row>
    <x:row r="4128" ht="22" customHeight="1">
      <x:c r="A4128" s="2" t="n">
        <x:v>4122</x:v>
      </x:c>
      <x:c r="B4128" s="79" t="n">
        <x:v>-0.2750885940125424</x:v>
      </x:c>
      <x:c r="C4128" s="46" t="n">
        <x:f>B4128^2</x:f>
        <x:v>0.07567373455579736</x:v>
      </x:c>
      <x:c r="D4128" s="47" t="n">
        <x:f>'Datos'!$B$26^3/3</x:f>
        <x:v>0.3333333333333333</x:v>
      </x:c>
      <x:c r="E4128" s="46" t="n">
        <x:f>D4128*(C4128-1)</x:f>
        <x:v>-0.3081087551480675</x:v>
      </x:c>
      <x:c r="F4128" s="2"/>
      <x:c r="G4128" s="2"/>
      <x:c r="H4128" s="2"/>
    </x:row>
    <x:row r="4129" ht="22" customHeight="1">
      <x:c r="A4129" s="2" t="n">
        <x:v>4123</x:v>
      </x:c>
      <x:c r="B4129" s="79" t="n">
        <x:v>-0.9796857256757051</x:v>
      </x:c>
      <x:c r="C4129" s="46" t="n">
        <x:f>B4129^2</x:f>
        <x:v>0.9597841210927329</x:v>
      </x:c>
      <x:c r="D4129" s="47" t="n">
        <x:f>'Datos'!$B$26^3/3</x:f>
        <x:v>0.3333333333333333</x:v>
      </x:c>
      <x:c r="E4129" s="46" t="n">
        <x:f>D4129*(C4129-1)</x:f>
        <x:v>-0.013405292969089025</x:v>
      </x:c>
      <x:c r="F4129" s="2"/>
      <x:c r="G4129" s="2"/>
      <x:c r="H4129" s="2"/>
    </x:row>
    <x:row r="4130" ht="22" customHeight="1">
      <x:c r="A4130" s="2" t="n">
        <x:v>4124</x:v>
      </x:c>
      <x:c r="B4130" s="79" t="n">
        <x:v>1.233600392759736</x:v>
      </x:c>
      <x:c r="C4130" s="46" t="n">
        <x:f>B4130^2</x:f>
        <x:v>1.521769929016975</x:v>
      </x:c>
      <x:c r="D4130" s="47" t="n">
        <x:f>'Datos'!$B$26^3/3</x:f>
        <x:v>0.3333333333333333</x:v>
      </x:c>
      <x:c r="E4130" s="46" t="n">
        <x:f>D4130*(C4130-1)</x:f>
        <x:v>0.173923309672325</x:v>
      </x:c>
      <x:c r="F4130" s="2"/>
      <x:c r="G4130" s="2"/>
      <x:c r="H4130" s="2"/>
    </x:row>
    <x:row r="4131" ht="22" customHeight="1">
      <x:c r="A4131" s="2" t="n">
        <x:v>4125</x:v>
      </x:c>
      <x:c r="B4131" s="79" t="n">
        <x:v>-1.5435410951392763</x:v>
      </x:c>
      <x:c r="C4131" s="46" t="n">
        <x:f>B4131^2</x:f>
        <x:v>2.3825191123837564</x:v>
      </x:c>
      <x:c r="D4131" s="47" t="n">
        <x:f>'Datos'!$B$26^3/3</x:f>
        <x:v>0.3333333333333333</x:v>
      </x:c>
      <x:c r="E4131" s="46" t="n">
        <x:f>D4131*(C4131-1)</x:f>
        <x:v>0.46083970412791875</x:v>
      </x:c>
      <x:c r="F4131" s="2"/>
      <x:c r="G4131" s="2"/>
      <x:c r="H4131" s="2"/>
    </x:row>
    <x:row r="4132" ht="22" customHeight="1">
      <x:c r="A4132" s="2" t="n">
        <x:v>4126</x:v>
      </x:c>
      <x:c r="B4132" s="79" t="n">
        <x:v>0.6310127970873293</x:v>
      </x:c>
      <x:c r="C4132" s="46" t="n">
        <x:f>B4132^2</x:f>
        <x:v>0.398177150087975</x:v>
      </x:c>
      <x:c r="D4132" s="47" t="n">
        <x:f>'Datos'!$B$26^3/3</x:f>
        <x:v>0.3333333333333333</x:v>
      </x:c>
      <x:c r="E4132" s="46" t="n">
        <x:f>D4132*(C4132-1)</x:f>
        <x:v>-0.20060761663734167</x:v>
      </x:c>
      <x:c r="F4132" s="2"/>
      <x:c r="G4132" s="2"/>
      <x:c r="H4132" s="2"/>
    </x:row>
    <x:row r="4133" ht="22" customHeight="1">
      <x:c r="A4133" s="2" t="n">
        <x:v>4127</x:v>
      </x:c>
      <x:c r="B4133" s="79" t="n">
        <x:v>1.753547533324436</x:v>
      </x:c>
      <x:c r="C4133" s="46" t="n">
        <x:f>B4133^2</x:f>
        <x:v>3.074928951628214</x:v>
      </x:c>
      <x:c r="D4133" s="47" t="n">
        <x:f>'Datos'!$B$26^3/3</x:f>
        <x:v>0.3333333333333333</x:v>
      </x:c>
      <x:c r="E4133" s="46" t="n">
        <x:f>D4133*(C4133-1)</x:f>
        <x:v>0.6916429838760713</x:v>
      </x:c>
      <x:c r="F4133" s="2"/>
      <x:c r="G4133" s="2"/>
      <x:c r="H4133" s="2"/>
    </x:row>
    <x:row r="4134" ht="22" customHeight="1">
      <x:c r="A4134" s="2" t="n">
        <x:v>4128</x:v>
      </x:c>
      <x:c r="B4134" s="79" t="n">
        <x:v>0.3747610482251432</x:v>
      </x:c>
      <x:c r="C4134" s="46" t="n">
        <x:f>B4134^2</x:f>
        <x:v>0.14044584326680812</x:v>
      </x:c>
      <x:c r="D4134" s="47" t="n">
        <x:f>'Datos'!$B$26^3/3</x:f>
        <x:v>0.3333333333333333</x:v>
      </x:c>
      <x:c r="E4134" s="46" t="n">
        <x:f>D4134*(C4134-1)</x:f>
        <x:v>-0.2865180522443973</x:v>
      </x:c>
      <x:c r="F4134" s="2"/>
      <x:c r="G4134" s="2"/>
      <x:c r="H4134" s="2"/>
    </x:row>
    <x:row r="4135" ht="22" customHeight="1">
      <x:c r="A4135" s="2" t="n">
        <x:v>4129</x:v>
      </x:c>
      <x:c r="B4135" s="79" t="n">
        <x:v>-1.3167411109172933</x:v>
      </x:c>
      <x:c r="C4135" s="46" t="n">
        <x:f>B4135^2</x:f>
        <x:v>1.7338071531797077</x:v>
      </x:c>
      <x:c r="D4135" s="47" t="n">
        <x:f>'Datos'!$B$26^3/3</x:f>
        <x:v>0.3333333333333333</x:v>
      </x:c>
      <x:c r="E4135" s="46" t="n">
        <x:f>D4135*(C4135-1)</x:f>
        <x:v>0.2446023843932359</x:v>
      </x:c>
      <x:c r="F4135" s="2"/>
      <x:c r="G4135" s="2"/>
      <x:c r="H4135" s="2"/>
    </x:row>
    <x:row r="4136" ht="22" customHeight="1">
      <x:c r="A4136" s="2" t="n">
        <x:v>4130</x:v>
      </x:c>
      <x:c r="B4136" s="79" t="n">
        <x:v>1.2275756287356965</x:v>
      </x:c>
      <x:c r="C4136" s="46" t="n">
        <x:f>B4136^2</x:f>
        <x:v>1.5069419242658406</x:v>
      </x:c>
      <x:c r="D4136" s="47" t="n">
        <x:f>'Datos'!$B$26^3/3</x:f>
        <x:v>0.3333333333333333</x:v>
      </x:c>
      <x:c r="E4136" s="46" t="n">
        <x:f>D4136*(C4136-1)</x:f>
        <x:v>0.16898064142194685</x:v>
      </x:c>
      <x:c r="F4136" s="2"/>
      <x:c r="G4136" s="2"/>
      <x:c r="H4136" s="2"/>
    </x:row>
    <x:row r="4137" ht="22" customHeight="1">
      <x:c r="A4137" s="2" t="n">
        <x:v>4131</x:v>
      </x:c>
      <x:c r="B4137" s="79" t="n">
        <x:v>1.561137983185804</x:v>
      </x:c>
      <x:c r="C4137" s="46" t="n">
        <x:f>B4137^2</x:f>
        <x:v>2.43715180254544</x:v>
      </x:c>
      <x:c r="D4137" s="47" t="n">
        <x:f>'Datos'!$B$26^3/3</x:f>
        <x:v>0.3333333333333333</x:v>
      </x:c>
      <x:c r="E4137" s="46" t="n">
        <x:f>D4137*(C4137-1)</x:f>
        <x:v>0.47905060084847995</x:v>
      </x:c>
      <x:c r="F4137" s="2"/>
      <x:c r="G4137" s="2"/>
      <x:c r="H4137" s="2"/>
    </x:row>
    <x:row r="4138" ht="22" customHeight="1">
      <x:c r="A4138" s="2" t="n">
        <x:v>4132</x:v>
      </x:c>
      <x:c r="B4138" s="79" t="n">
        <x:v>-1.7022804779893765</x:v>
      </x:c>
      <x:c r="C4138" s="46" t="n">
        <x:f>B4138^2</x:f>
        <x:v>2.89775882574374</x:v>
      </x:c>
      <x:c r="D4138" s="47" t="n">
        <x:f>'Datos'!$B$26^3/3</x:f>
        <x:v>0.3333333333333333</x:v>
      </x:c>
      <x:c r="E4138" s="46" t="n">
        <x:f>D4138*(C4138-1)</x:f>
        <x:v>0.6325862752479133</x:v>
      </x:c>
      <x:c r="F4138" s="2"/>
      <x:c r="G4138" s="2"/>
      <x:c r="H4138" s="2"/>
    </x:row>
    <x:row r="4139" ht="22" customHeight="1">
      <x:c r="A4139" s="2" t="n">
        <x:v>4133</x:v>
      </x:c>
      <x:c r="B4139" s="79" t="n">
        <x:v>0.7480782461468296</x:v>
      </x:c>
      <x:c r="C4139" s="46" t="n">
        <x:f>B4139^2</x:f>
        <x:v>0.5596210623581166</x:v>
      </x:c>
      <x:c r="D4139" s="47" t="n">
        <x:f>'Datos'!$B$26^3/3</x:f>
        <x:v>0.3333333333333333</x:v>
      </x:c>
      <x:c r="E4139" s="46" t="n">
        <x:f>D4139*(C4139-1)</x:f>
        <x:v>-0.14679297921396112</x:v>
      </x:c>
      <x:c r="F4139" s="2"/>
      <x:c r="G4139" s="2"/>
      <x:c r="H4139" s="2"/>
    </x:row>
    <x:row r="4140" ht="22" customHeight="1">
      <x:c r="A4140" s="2" t="n">
        <x:v>4134</x:v>
      </x:c>
      <x:c r="B4140" s="79" t="n">
        <x:v>0.27067305763297916</x:v>
      </x:c>
      <x:c r="C4140" s="46" t="n">
        <x:f>B4140^2</x:f>
        <x:v>0.07326390412838606</x:v>
      </x:c>
      <x:c r="D4140" s="47" t="n">
        <x:f>'Datos'!$B$26^3/3</x:f>
        <x:v>0.3333333333333333</x:v>
      </x:c>
      <x:c r="E4140" s="46" t="n">
        <x:f>D4140*(C4140-1)</x:f>
        <x:v>-0.3089120319572046</x:v>
      </x:c>
      <x:c r="F4140" s="2"/>
      <x:c r="G4140" s="2"/>
      <x:c r="H4140" s="2"/>
    </x:row>
    <x:row r="4141" ht="22" customHeight="1">
      <x:c r="A4141" s="2" t="n">
        <x:v>4135</x:v>
      </x:c>
      <x:c r="B4141" s="79" t="n">
        <x:v>0.4735004253368863</x:v>
      </x:c>
      <x:c r="C4141" s="46" t="n">
        <x:f>B4141^2</x:f>
        <x:v>0.22420265279421223</x:v>
      </x:c>
      <x:c r="D4141" s="47" t="n">
        <x:f>'Datos'!$B$26^3/3</x:f>
        <x:v>0.3333333333333333</x:v>
      </x:c>
      <x:c r="E4141" s="46" t="n">
        <x:f>D4141*(C4141-1)</x:f>
        <x:v>-0.25859911573526256</x:v>
      </x:c>
      <x:c r="F4141" s="2"/>
      <x:c r="G4141" s="2"/>
      <x:c r="H4141" s="2"/>
    </x:row>
    <x:row r="4142" ht="22" customHeight="1">
      <x:c r="A4142" s="2" t="n">
        <x:v>4136</x:v>
      </x:c>
      <x:c r="B4142" s="79" t="n">
        <x:v>0.5096936374946034</x:v>
      </x:c>
      <x:c r="C4142" s="46" t="n">
        <x:f>B4142^2</x:f>
        <x:v>0.2597876041024802</x:v>
      </x:c>
      <x:c r="D4142" s="47" t="n">
        <x:f>'Datos'!$B$26^3/3</x:f>
        <x:v>0.3333333333333333</x:v>
      </x:c>
      <x:c r="E4142" s="46" t="n">
        <x:f>D4142*(C4142-1)</x:f>
        <x:v>-0.24673746529917323</x:v>
      </x:c>
      <x:c r="F4142" s="2"/>
      <x:c r="G4142" s="2"/>
      <x:c r="H4142" s="2"/>
    </x:row>
    <x:row r="4143" ht="22" customHeight="1">
      <x:c r="A4143" s="2" t="n">
        <x:v>4137</x:v>
      </x:c>
      <x:c r="B4143" s="79" t="n">
        <x:v>-1.3846937296878892</x:v>
      </x:c>
      <x:c r="C4143" s="46" t="n">
        <x:f>B4143^2</x:f>
        <x:v>1.917376725036957</x:v>
      </x:c>
      <x:c r="D4143" s="47" t="n">
        <x:f>'Datos'!$B$26^3/3</x:f>
        <x:v>0.3333333333333333</x:v>
      </x:c>
      <x:c r="E4143" s="46" t="n">
        <x:f>D4143*(C4143-1)</x:f>
        <x:v>0.30579224167898567</x:v>
      </x:c>
      <x:c r="F4143" s="2"/>
      <x:c r="G4143" s="2"/>
      <x:c r="H4143" s="2"/>
    </x:row>
    <x:row r="4144" ht="22" customHeight="1">
      <x:c r="A4144" s="2" t="n">
        <x:v>4138</x:v>
      </x:c>
      <x:c r="B4144" s="79" t="n">
        <x:v>-1.031158477565383</x:v>
      </x:c>
      <x:c r="C4144" s="46" t="n">
        <x:f>B4144^2</x:f>
        <x:v>1.0632878058549586</x:v>
      </x:c>
      <x:c r="D4144" s="47" t="n">
        <x:f>'Datos'!$B$26^3/3</x:f>
        <x:v>0.3333333333333333</x:v>
      </x:c>
      <x:c r="E4144" s="46" t="n">
        <x:f>D4144*(C4144-1)</x:f>
        <x:v>0.02109593528498621</x:v>
      </x:c>
      <x:c r="F4144" s="2"/>
      <x:c r="G4144" s="2"/>
      <x:c r="H4144" s="2"/>
    </x:row>
    <x:row r="4145" ht="22" customHeight="1">
      <x:c r="A4145" s="2" t="n">
        <x:v>4139</x:v>
      </x:c>
      <x:c r="B4145" s="79" t="n">
        <x:v>-1.1320620108081612</x:v>
      </x:c>
      <x:c r="C4145" s="46" t="n">
        <x:f>B4145^2</x:f>
        <x:v>1.2815643963150172</x:v>
      </x:c>
      <x:c r="D4145" s="47" t="n">
        <x:f>'Datos'!$B$26^3/3</x:f>
        <x:v>0.3333333333333333</x:v>
      </x:c>
      <x:c r="E4145" s="46" t="n">
        <x:f>D4145*(C4145-1)</x:f>
        <x:v>0.09385479877167238</x:v>
      </x:c>
      <x:c r="F4145" s="2"/>
      <x:c r="G4145" s="2"/>
      <x:c r="H4145" s="2"/>
    </x:row>
    <x:row r="4146" ht="22" customHeight="1">
      <x:c r="A4146" s="2" t="n">
        <x:v>4140</x:v>
      </x:c>
      <x:c r="B4146" s="79" t="n">
        <x:v>-0.7307065772493369</x:v>
      </x:c>
      <x:c r="C4146" s="46" t="n">
        <x:f>B4146^2</x:f>
        <x:v>0.5339321020354411</x:v>
      </x:c>
      <x:c r="D4146" s="47" t="n">
        <x:f>'Datos'!$B$26^3/3</x:f>
        <x:v>0.3333333333333333</x:v>
      </x:c>
      <x:c r="E4146" s="46" t="n">
        <x:f>D4146*(C4146-1)</x:f>
        <x:v>-0.1553559659881863</x:v>
      </x:c>
      <x:c r="F4146" s="2"/>
      <x:c r="G4146" s="2"/>
      <x:c r="H4146" s="2"/>
    </x:row>
    <x:row r="4147" ht="22" customHeight="1">
      <x:c r="A4147" s="2" t="n">
        <x:v>4141</x:v>
      </x:c>
      <x:c r="B4147" s="79" t="n">
        <x:v>0.27893222057542927</x:v>
      </x:c>
      <x:c r="C4147" s="46" t="n">
        <x:f>B4147^2</x:f>
        <x:v>0.07780318367513993</x:v>
      </x:c>
      <x:c r="D4147" s="47" t="n">
        <x:f>'Datos'!$B$26^3/3</x:f>
        <x:v>0.3333333333333333</x:v>
      </x:c>
      <x:c r="E4147" s="46" t="n">
        <x:f>D4147*(C4147-1)</x:f>
        <x:v>-0.30739893877495333</x:v>
      </x:c>
      <x:c r="F4147" s="2"/>
      <x:c r="G4147" s="2"/>
      <x:c r="H4147" s="2"/>
    </x:row>
    <x:row r="4148" ht="22" customHeight="1">
      <x:c r="A4148" s="2" t="n">
        <x:v>4142</x:v>
      </x:c>
      <x:c r="B4148" s="79" t="n">
        <x:v>2.3032198383414246</x:v>
      </x:c>
      <x:c r="C4148" s="46" t="n">
        <x:f>B4148^2</x:f>
        <x:v>5.304821623729498</x:v>
      </x:c>
      <x:c r="D4148" s="47" t="n">
        <x:f>'Datos'!$B$26^3/3</x:f>
        <x:v>0.3333333333333333</x:v>
      </x:c>
      <x:c r="E4148" s="46" t="n">
        <x:f>D4148*(C4148-1)</x:f>
        <x:v>1.434940541243166</x:v>
      </x:c>
      <x:c r="F4148" s="2"/>
      <x:c r="G4148" s="2"/>
      <x:c r="H4148" s="2"/>
    </x:row>
    <x:row r="4149" ht="22" customHeight="1">
      <x:c r="A4149" s="2" t="n">
        <x:v>4143</x:v>
      </x:c>
      <x:c r="B4149" s="79" t="n">
        <x:v>0.804608240777455</x:v>
      </x:c>
      <x:c r="C4149" s="46" t="n">
        <x:f>B4149^2</x:f>
        <x:v>0.647394421126991</x:v>
      </x:c>
      <x:c r="D4149" s="47" t="n">
        <x:f>'Datos'!$B$26^3/3</x:f>
        <x:v>0.3333333333333333</x:v>
      </x:c>
      <x:c r="E4149" s="46" t="n">
        <x:f>D4149*(C4149-1)</x:f>
        <x:v>-0.11753519295766968</x:v>
      </x:c>
      <x:c r="F4149" s="2"/>
      <x:c r="G4149" s="2"/>
      <x:c r="H4149" s="2"/>
    </x:row>
    <x:row r="4150" ht="22" customHeight="1">
      <x:c r="A4150" s="2" t="n">
        <x:v>4144</x:v>
      </x:c>
      <x:c r="B4150" s="79" t="n">
        <x:v>-1.0449351107572245</x:v>
      </x:c>
      <x:c r="C4150" s="46" t="n">
        <x:f>B4150^2</x:f>
        <x:v>1.091889385693213</x:v>
      </x:c>
      <x:c r="D4150" s="47" t="n">
        <x:f>'Datos'!$B$26^3/3</x:f>
        <x:v>0.3333333333333333</x:v>
      </x:c>
      <x:c r="E4150" s="46" t="n">
        <x:f>D4150*(C4150-1)</x:f>
        <x:v>0.03062979523107101</x:v>
      </x:c>
      <x:c r="F4150" s="2"/>
      <x:c r="G4150" s="2"/>
      <x:c r="H4150" s="2"/>
    </x:row>
    <x:row r="4151" ht="22" customHeight="1">
      <x:c r="A4151" s="2" t="n">
        <x:v>4145</x:v>
      </x:c>
      <x:c r="B4151" s="79" t="n">
        <x:v>-0.6169579433146939</x:v>
      </x:c>
      <x:c r="C4151" s="46" t="n">
        <x:f>B4151^2</x:f>
        <x:v>0.38063710381909704</x:v>
      </x:c>
      <x:c r="D4151" s="47" t="n">
        <x:f>'Datos'!$B$26^3/3</x:f>
        <x:v>0.3333333333333333</x:v>
      </x:c>
      <x:c r="E4151" s="46" t="n">
        <x:f>D4151*(C4151-1)</x:f>
        <x:v>-0.20645429872696766</x:v>
      </x:c>
      <x:c r="F4151" s="2"/>
      <x:c r="G4151" s="2"/>
      <x:c r="H4151" s="2"/>
    </x:row>
    <x:row r="4152" ht="22" customHeight="1">
      <x:c r="A4152" s="2" t="n">
        <x:v>4146</x:v>
      </x:c>
      <x:c r="B4152" s="79" t="n">
        <x:v>-0.3287540659489616</x:v>
      </x:c>
      <x:c r="C4152" s="46" t="n">
        <x:f>B4152^2</x:f>
        <x:v>0.1080792358779742</x:v>
      </x:c>
      <x:c r="D4152" s="47" t="n">
        <x:f>'Datos'!$B$26^3/3</x:f>
        <x:v>0.3333333333333333</x:v>
      </x:c>
      <x:c r="E4152" s="46" t="n">
        <x:f>D4152*(C4152-1)</x:f>
        <x:v>-0.2973069213740086</x:v>
      </x:c>
      <x:c r="F4152" s="2"/>
      <x:c r="G4152" s="2"/>
      <x:c r="H4152" s="2"/>
    </x:row>
    <x:row r="4153" ht="22" customHeight="1">
      <x:c r="A4153" s="2" t="n">
        <x:v>4147</x:v>
      </x:c>
      <x:c r="B4153" s="79" t="n">
        <x:v>2.4792395394234066</x:v>
      </x:c>
      <x:c r="C4153" s="46" t="n">
        <x:f>B4153^2</x:f>
        <x:v>6.146628693840385</x:v>
      </x:c>
      <x:c r="D4153" s="47" t="n">
        <x:f>'Datos'!$B$26^3/3</x:f>
        <x:v>0.3333333333333333</x:v>
      </x:c>
      <x:c r="E4153" s="46" t="n">
        <x:f>D4153*(C4153-1)</x:f>
        <x:v>1.7155428979467948</x:v>
      </x:c>
      <x:c r="F4153" s="2"/>
      <x:c r="G4153" s="2"/>
      <x:c r="H4153" s="2"/>
    </x:row>
    <x:row r="4154" ht="22" customHeight="1">
      <x:c r="A4154" s="2" t="n">
        <x:v>4148</x:v>
      </x:c>
      <x:c r="B4154" s="79" t="n">
        <x:v>0.19080318045895273</x:v>
      </x:c>
      <x:c r="C4154" s="46" t="n">
        <x:f>B4154^2</x:f>
        <x:v>0.03640585367325168</x:v>
      </x:c>
      <x:c r="D4154" s="47" t="n">
        <x:f>'Datos'!$B$26^3/3</x:f>
        <x:v>0.3333333333333333</x:v>
      </x:c>
      <x:c r="E4154" s="46" t="n">
        <x:f>D4154*(C4154-1)</x:f>
        <x:v>-0.3211980487755828</x:v>
      </x:c>
      <x:c r="F4154" s="2"/>
      <x:c r="G4154" s="2"/>
      <x:c r="H4154" s="2"/>
    </x:row>
    <x:row r="4155" ht="22" customHeight="1">
      <x:c r="A4155" s="2" t="n">
        <x:v>4149</x:v>
      </x:c>
      <x:c r="B4155" s="79" t="n">
        <x:v>0.17739136242605305</x:v>
      </x:c>
      <x:c r="C4155" s="46" t="n">
        <x:f>B4155^2</x:f>
        <x:v>0.031467695463371304</x:v>
      </x:c>
      <x:c r="D4155" s="47" t="n">
        <x:f>'Datos'!$B$26^3/3</x:f>
        <x:v>0.3333333333333333</x:v>
      </x:c>
      <x:c r="E4155" s="46" t="n">
        <x:f>D4155*(C4155-1)</x:f>
        <x:v>-0.32284410151220955</x:v>
      </x:c>
      <x:c r="F4155" s="2"/>
      <x:c r="G4155" s="2"/>
      <x:c r="H4155" s="2"/>
    </x:row>
    <x:row r="4156" ht="22" customHeight="1">
      <x:c r="A4156" s="2" t="n">
        <x:v>4150</x:v>
      </x:c>
      <x:c r="B4156" s="79" t="n">
        <x:v>-0.251428691804974</x:v>
      </x:c>
      <x:c r="C4156" s="46" t="n">
        <x:f>B4156^2</x:f>
        <x:v>0.0632163870627606</x:v>
      </x:c>
      <x:c r="D4156" s="47" t="n">
        <x:f>'Datos'!$B$26^3/3</x:f>
        <x:v>0.3333333333333333</x:v>
      </x:c>
      <x:c r="E4156" s="46" t="n">
        <x:f>D4156*(C4156-1)</x:f>
        <x:v>-0.3122612043124131</x:v>
      </x:c>
      <x:c r="F4156" s="2"/>
      <x:c r="G4156" s="2"/>
      <x:c r="H4156" s="2"/>
    </x:row>
    <x:row r="4157" ht="22" customHeight="1">
      <x:c r="A4157" s="2" t="n">
        <x:v>4151</x:v>
      </x:c>
      <x:c r="B4157" s="79" t="n">
        <x:v>0.35242936249195406</x:v>
      </x:c>
      <x:c r="C4157" s="46" t="n">
        <x:f>B4157^2</x:f>
        <x:v>0.12420645554648516</x:v>
      </x:c>
      <x:c r="D4157" s="47" t="n">
        <x:f>'Datos'!$B$26^3/3</x:f>
        <x:v>0.3333333333333333</x:v>
      </x:c>
      <x:c r="E4157" s="46" t="n">
        <x:f>D4157*(C4157-1)</x:f>
        <x:v>-0.2919311814845049</x:v>
      </x:c>
      <x:c r="F4157" s="2"/>
      <x:c r="G4157" s="2"/>
      <x:c r="H4157" s="2"/>
    </x:row>
    <x:row r="4158" ht="22" customHeight="1">
      <x:c r="A4158" s="2" t="n">
        <x:v>4152</x:v>
      </x:c>
      <x:c r="B4158" s="79" t="n">
        <x:v>-1.8049121175707408</x:v>
      </x:c>
      <x:c r="C4158" s="46" t="n">
        <x:f>B4158^2</x:f>
        <x:v>3.2577077521536957</x:v>
      </x:c>
      <x:c r="D4158" s="47" t="n">
        <x:f>'Datos'!$B$26^3/3</x:f>
        <x:v>0.3333333333333333</x:v>
      </x:c>
      <x:c r="E4158" s="46" t="n">
        <x:f>D4158*(C4158-1)</x:f>
        <x:v>0.7525692507178985</x:v>
      </x:c>
      <x:c r="F4158" s="2"/>
      <x:c r="G4158" s="2"/>
      <x:c r="H4158" s="2"/>
    </x:row>
    <x:row r="4159" ht="22" customHeight="1">
      <x:c r="A4159" s="2" t="n">
        <x:v>4153</x:v>
      </x:c>
      <x:c r="B4159" s="79" t="n">
        <x:v>-1.4421029580299911</x:v>
      </x:c>
      <x:c r="C4159" s="46" t="n">
        <x:f>B4159^2</x:f>
        <x:v>2.0796609415588505</x:v>
      </x:c>
      <x:c r="D4159" s="47" t="n">
        <x:f>'Datos'!$B$26^3/3</x:f>
        <x:v>0.3333333333333333</x:v>
      </x:c>
      <x:c r="E4159" s="46" t="n">
        <x:f>D4159*(C4159-1)</x:f>
        <x:v>0.3598869805196168</x:v>
      </x:c>
      <x:c r="F4159" s="2"/>
      <x:c r="G4159" s="2"/>
      <x:c r="H4159" s="2"/>
    </x:row>
    <x:row r="4160" ht="22" customHeight="1">
      <x:c r="A4160" s="2" t="n">
        <x:v>4154</x:v>
      </x:c>
      <x:c r="B4160" s="79" t="n">
        <x:v>-0.5823913537223359</x:v>
      </x:c>
      <x:c r="C4160" s="46" t="n">
        <x:f>B4160^2</x:f>
        <x:v>0.3391796888905349</x:v>
      </x:c>
      <x:c r="D4160" s="47" t="n">
        <x:f>'Datos'!$B$26^3/3</x:f>
        <x:v>0.3333333333333333</x:v>
      </x:c>
      <x:c r="E4160" s="46" t="n">
        <x:f>D4160*(C4160-1)</x:f>
        <x:v>-0.22027343703648833</x:v>
      </x:c>
      <x:c r="F4160" s="2"/>
      <x:c r="G4160" s="2"/>
      <x:c r="H4160" s="2"/>
    </x:row>
    <x:row r="4161" ht="22" customHeight="1">
      <x:c r="A4161" s="2" t="n">
        <x:v>4155</x:v>
      </x:c>
      <x:c r="B4161" s="79" t="n">
        <x:v>-0.855066165256154</x:v>
      </x:c>
      <x:c r="C4161" s="46" t="n">
        <x:f>B4161^2</x:f>
        <x:v>0.7311381469658644</x:v>
      </x:c>
      <x:c r="D4161" s="47" t="n">
        <x:f>'Datos'!$B$26^3/3</x:f>
        <x:v>0.3333333333333333</x:v>
      </x:c>
      <x:c r="E4161" s="46" t="n">
        <x:f>D4161*(C4161-1)</x:f>
        <x:v>-0.08962061767804519</x:v>
      </x:c>
      <x:c r="F4161" s="2"/>
      <x:c r="G4161" s="2"/>
      <x:c r="H4161" s="2"/>
    </x:row>
    <x:row r="4162" ht="22" customHeight="1">
      <x:c r="A4162" s="2" t="n">
        <x:v>4156</x:v>
      </x:c>
      <x:c r="B4162" s="79" t="n">
        <x:v>-0.0029009029052918683</x:v>
      </x:c>
      <x:c r="C4162" s="46" t="n">
        <x:f>B4162^2</x:f>
        <x:v>0.000008415237665930803</x:v>
      </x:c>
      <x:c r="D4162" s="47" t="n">
        <x:f>'Datos'!$B$26^3/3</x:f>
        <x:v>0.3333333333333333</x:v>
      </x:c>
      <x:c r="E4162" s="46" t="n">
        <x:f>D4162*(C4162-1)</x:f>
        <x:v>-0.33333052825411136</x:v>
      </x:c>
      <x:c r="F4162" s="2"/>
      <x:c r="G4162" s="2"/>
      <x:c r="H4162" s="2"/>
    </x:row>
    <x:row r="4163" ht="22" customHeight="1">
      <x:c r="A4163" s="2" t="n">
        <x:v>4157</x:v>
      </x:c>
      <x:c r="B4163" s="79" t="n">
        <x:v>-0.0006454660922357717</x:v>
      </x:c>
      <x:c r="C4163" s="46" t="n">
        <x:f>B4163^2</x:f>
        <x:v>4.166264762261177e-7</x:v>
      </x:c>
      <x:c r="D4163" s="47" t="n">
        <x:f>'Datos'!$B$26^3/3</x:f>
        <x:v>0.3333333333333333</x:v>
      </x:c>
      <x:c r="E4163" s="46" t="n">
        <x:f>D4163*(C4163-1)</x:f>
        <x:v>-0.33333319445784126</x:v>
      </x:c>
      <x:c r="F4163" s="2"/>
      <x:c r="G4163" s="2"/>
      <x:c r="H4163" s="2"/>
    </x:row>
    <x:row r="4164" ht="22" customHeight="1">
      <x:c r="A4164" s="2" t="n">
        <x:v>4158</x:v>
      </x:c>
      <x:c r="B4164" s="79" t="n">
        <x:v>-1.2169823441171435</x:v>
      </x:c>
      <x:c r="C4164" s="46" t="n">
        <x:f>B4164^2</x:f>
        <x:v>1.4810460258928573</x:v>
      </x:c>
      <x:c r="D4164" s="47" t="n">
        <x:f>'Datos'!$B$26^3/3</x:f>
        <x:v>0.3333333333333333</x:v>
      </x:c>
      <x:c r="E4164" s="46" t="n">
        <x:f>D4164*(C4164-1)</x:f>
        <x:v>0.1603486752976191</x:v>
      </x:c>
      <x:c r="F4164" s="2"/>
      <x:c r="G4164" s="2"/>
      <x:c r="H4164" s="2"/>
    </x:row>
    <x:row r="4165" ht="22" customHeight="1">
      <x:c r="A4165" s="2" t="n">
        <x:v>4159</x:v>
      </x:c>
      <x:c r="B4165" s="79" t="n">
        <x:v>-0.7773557525772058</x:v>
      </x:c>
      <x:c r="C4165" s="46" t="n">
        <x:f>B4165^2</x:f>
        <x:v>0.6042819660648739</x:v>
      </x:c>
      <x:c r="D4165" s="47" t="n">
        <x:f>'Datos'!$B$26^3/3</x:f>
        <x:v>0.3333333333333333</x:v>
      </x:c>
      <x:c r="E4165" s="46" t="n">
        <x:f>D4165*(C4165-1)</x:f>
        <x:v>-0.13190601131170868</x:v>
      </x:c>
      <x:c r="F4165" s="2"/>
      <x:c r="G4165" s="2"/>
      <x:c r="H4165" s="2"/>
    </x:row>
    <x:row r="4166" ht="22" customHeight="1">
      <x:c r="A4166" s="2" t="n">
        <x:v>4160</x:v>
      </x:c>
      <x:c r="B4166" s="79" t="n">
        <x:v>-0.24497502147028827</x:v>
      </x:c>
      <x:c r="C4166" s="46" t="n">
        <x:f>B4166^2</x:f>
        <x:v>0.060012761144368196</x:v>
      </x:c>
      <x:c r="D4166" s="47" t="n">
        <x:f>'Datos'!$B$26^3/3</x:f>
        <x:v>0.3333333333333333</x:v>
      </x:c>
      <x:c r="E4166" s="46" t="n">
        <x:f>D4166*(C4166-1)</x:f>
        <x:v>-0.31332907961854395</x:v>
      </x:c>
      <x:c r="F4166" s="2"/>
      <x:c r="G4166" s="2"/>
      <x:c r="H4166" s="2"/>
    </x:row>
    <x:row r="4167" ht="22" customHeight="1">
      <x:c r="A4167" s="2" t="n">
        <x:v>4161</x:v>
      </x:c>
      <x:c r="B4167" s="79" t="n">
        <x:v>-0.9551778055632495</x:v>
      </x:c>
      <x:c r="C4167" s="46" t="n">
        <x:f>B4167^2</x:f>
        <x:v>0.9123646402406248</x:v>
      </x:c>
      <x:c r="D4167" s="47" t="n">
        <x:f>'Datos'!$B$26^3/3</x:f>
        <x:v>0.3333333333333333</x:v>
      </x:c>
      <x:c r="E4167" s="46" t="n">
        <x:f>D4167*(C4167-1)</x:f>
        <x:v>-0.0292117865864584</x:v>
      </x:c>
      <x:c r="F4167" s="2"/>
      <x:c r="G4167" s="2"/>
      <x:c r="H4167" s="2"/>
    </x:row>
    <x:row r="4168" ht="22" customHeight="1">
      <x:c r="A4168" s="2" t="n">
        <x:v>4162</x:v>
      </x:c>
      <x:c r="B4168" s="79" t="n">
        <x:v>-0.05651326589676062</x:v>
      </x:c>
      <x:c r="C4168" s="46" t="n">
        <x:f>B4168^2</x:f>
        <x:v>0.0031937492223179666</x:v>
      </x:c>
      <x:c r="D4168" s="47" t="n">
        <x:f>'Datos'!$B$26^3/3</x:f>
        <x:v>0.3333333333333333</x:v>
      </x:c>
      <x:c r="E4168" s="46" t="n">
        <x:f>D4168*(C4168-1)</x:f>
        <x:v>-0.3322687502592273</x:v>
      </x:c>
      <x:c r="F4168" s="2"/>
      <x:c r="G4168" s="2"/>
      <x:c r="H4168" s="2"/>
    </x:row>
    <x:row r="4169" ht="22" customHeight="1">
      <x:c r="A4169" s="2" t="n">
        <x:v>4163</x:v>
      </x:c>
      <x:c r="B4169" s="79" t="n">
        <x:v>-1.5073351689455126</x:v>
      </x:c>
      <x:c r="C4169" s="46" t="n">
        <x:f>B4169^2</x:f>
        <x:v>2.272059311539997</x:v>
      </x:c>
      <x:c r="D4169" s="47" t="n">
        <x:f>'Datos'!$B$26^3/3</x:f>
        <x:v>0.3333333333333333</x:v>
      </x:c>
      <x:c r="E4169" s="46" t="n">
        <x:f>D4169*(C4169-1)</x:f>
        <x:v>0.4240197705133323</x:v>
      </x:c>
      <x:c r="F4169" s="2"/>
      <x:c r="G4169" s="2"/>
      <x:c r="H4169" s="2"/>
    </x:row>
    <x:row r="4170" ht="22" customHeight="1">
      <x:c r="A4170" s="2" t="n">
        <x:v>4164</x:v>
      </x:c>
      <x:c r="B4170" s="79" t="n">
        <x:v>-0.9601573524445928</x:v>
      </x:c>
      <x:c r="C4170" s="46" t="n">
        <x:f>B4170^2</x:f>
        <x:v>0.92190214145341</x:v>
      </x:c>
      <x:c r="D4170" s="47" t="n">
        <x:f>'Datos'!$B$26^3/3</x:f>
        <x:v>0.3333333333333333</x:v>
      </x:c>
      <x:c r="E4170" s="46" t="n">
        <x:f>D4170*(C4170-1)</x:f>
        <x:v>-0.026032619515530004</x:v>
      </x:c>
      <x:c r="F4170" s="2"/>
      <x:c r="G4170" s="2"/>
      <x:c r="H4170" s="2"/>
    </x:row>
    <x:row r="4171" ht="22" customHeight="1">
      <x:c r="A4171" s="2" t="n">
        <x:v>4165</x:v>
      </x:c>
      <x:c r="B4171" s="79" t="n">
        <x:v>-0.43805857433515316</x:v>
      </x:c>
      <x:c r="C4171" s="46" t="n">
        <x:f>B4171^2</x:f>
        <x:v>0.1918953145485469</x:v>
      </x:c>
      <x:c r="D4171" s="47" t="n">
        <x:f>'Datos'!$B$26^3/3</x:f>
        <x:v>0.3333333333333333</x:v>
      </x:c>
      <x:c r="E4171" s="46" t="n">
        <x:f>D4171*(C4171-1)</x:f>
        <x:v>-0.2693682284838177</x:v>
      </x:c>
      <x:c r="F4171" s="2"/>
      <x:c r="G4171" s="2"/>
      <x:c r="H4171" s="2"/>
    </x:row>
    <x:row r="4172" ht="22" customHeight="1">
      <x:c r="A4172" s="2" t="n">
        <x:v>4166</x:v>
      </x:c>
      <x:c r="B4172" s="79" t="n">
        <x:v>0.21817560382602813</x:v>
      </x:c>
      <x:c r="C4172" s="46" t="n">
        <x:f>B4172^2</x:f>
        <x:v>0.04760059410485198</x:v>
      </x:c>
      <x:c r="D4172" s="47" t="n">
        <x:f>'Datos'!$B$26^3/3</x:f>
        <x:v>0.3333333333333333</x:v>
      </x:c>
      <x:c r="E4172" s="46" t="n">
        <x:f>D4172*(C4172-1)</x:f>
        <x:v>-0.317466468631716</x:v>
      </x:c>
      <x:c r="F4172" s="2"/>
      <x:c r="G4172" s="2"/>
      <x:c r="H4172" s="2"/>
    </x:row>
    <x:row r="4173" ht="22" customHeight="1">
      <x:c r="A4173" s="2" t="n">
        <x:v>4167</x:v>
      </x:c>
      <x:c r="B4173" s="79" t="n">
        <x:v>0.13083546611667113</x:v>
      </x:c>
      <x:c r="C4173" s="46" t="n">
        <x:f>B4173^2</x:f>
        <x:v>0.0171179191939666</x:v>
      </x:c>
      <x:c r="D4173" s="47" t="n">
        <x:f>'Datos'!$B$26^3/3</x:f>
        <x:v>0.3333333333333333</x:v>
      </x:c>
      <x:c r="E4173" s="46" t="n">
        <x:f>D4173*(C4173-1)</x:f>
        <x:v>-0.3276273602686778</x:v>
      </x:c>
      <x:c r="F4173" s="2"/>
      <x:c r="G4173" s="2"/>
      <x:c r="H4173" s="2"/>
    </x:row>
    <x:row r="4174" ht="22" customHeight="1">
      <x:c r="A4174" s="2" t="n">
        <x:v>4168</x:v>
      </x:c>
      <x:c r="B4174" s="79" t="n">
        <x:v>-0.6400925005753284</x:v>
      </x:c>
      <x:c r="C4174" s="46" t="n">
        <x:f>B4174^2</x:f>
        <x:v>0.4097184092927768</x:v>
      </x:c>
      <x:c r="D4174" s="47" t="n">
        <x:f>'Datos'!$B$26^3/3</x:f>
        <x:v>0.3333333333333333</x:v>
      </x:c>
      <x:c r="E4174" s="46" t="n">
        <x:f>D4174*(C4174-1)</x:f>
        <x:v>-0.19676053023574105</x:v>
      </x:c>
      <x:c r="F4174" s="2"/>
      <x:c r="G4174" s="2"/>
      <x:c r="H4174" s="2"/>
    </x:row>
    <x:row r="4175" ht="22" customHeight="1">
      <x:c r="A4175" s="2" t="n">
        <x:v>4169</x:v>
      </x:c>
      <x:c r="B4175" s="79" t="n">
        <x:v>0.10012382693418617</x:v>
      </x:c>
      <x:c r="C4175" s="46" t="n">
        <x:f>B4175^2</x:f>
        <x:v>0.010024780719946865</x:v>
      </x:c>
      <x:c r="D4175" s="47" t="n">
        <x:f>'Datos'!$B$26^3/3</x:f>
        <x:v>0.3333333333333333</x:v>
      </x:c>
      <x:c r="E4175" s="46" t="n">
        <x:f>D4175*(C4175-1)</x:f>
        <x:v>-0.3299917397600177</x:v>
      </x:c>
      <x:c r="F4175" s="2"/>
      <x:c r="G4175" s="2"/>
      <x:c r="H4175" s="2"/>
    </x:row>
    <x:row r="4176" ht="22" customHeight="1">
      <x:c r="A4176" s="2" t="n">
        <x:v>4170</x:v>
      </x:c>
      <x:c r="B4176" s="79" t="n">
        <x:v>-1.3374207666356948</x:v>
      </x:c>
      <x:c r="C4176" s="46" t="n">
        <x:f>B4176^2</x:f>
        <x:v>1.7886943070284096</x:v>
      </x:c>
      <x:c r="D4176" s="47" t="n">
        <x:f>'Datos'!$B$26^3/3</x:f>
        <x:v>0.3333333333333333</x:v>
      </x:c>
      <x:c r="E4176" s="46" t="n">
        <x:f>D4176*(C4176-1)</x:f>
        <x:v>0.2628981023428032</x:v>
      </x:c>
      <x:c r="F4176" s="2"/>
      <x:c r="G4176" s="2"/>
      <x:c r="H4176" s="2"/>
    </x:row>
    <x:row r="4177" ht="22" customHeight="1">
      <x:c r="A4177" s="2" t="n">
        <x:v>4171</x:v>
      </x:c>
      <x:c r="B4177" s="79" t="n">
        <x:v>0.6647539686206414</x:v>
      </x:c>
      <x:c r="C4177" s="46" t="n">
        <x:f>B4177^2</x:f>
        <x:v>0.4418978387968927</x:v>
      </x:c>
      <x:c r="D4177" s="47" t="n">
        <x:f>'Datos'!$B$26^3/3</x:f>
        <x:v>0.3333333333333333</x:v>
      </x:c>
      <x:c r="E4177" s="46" t="n">
        <x:f>D4177*(C4177-1)</x:f>
        <x:v>-0.1860340537343691</x:v>
      </x:c>
      <x:c r="F4177" s="2"/>
      <x:c r="G4177" s="2"/>
      <x:c r="H4177" s="2"/>
    </x:row>
    <x:row r="4178" ht="22" customHeight="1">
      <x:c r="A4178" s="2" t="n">
        <x:v>4172</x:v>
      </x:c>
      <x:c r="B4178" s="79" t="n">
        <x:v>-0.24805858850580828</x:v>
      </x:c>
      <x:c r="C4178" s="46" t="n">
        <x:f>B4178^2</x:f>
        <x:v>0.06153306333149392</x:v>
      </x:c>
      <x:c r="D4178" s="47" t="n">
        <x:f>'Datos'!$B$26^3/3</x:f>
        <x:v>0.3333333333333333</x:v>
      </x:c>
      <x:c r="E4178" s="46" t="n">
        <x:f>D4178*(C4178-1)</x:f>
        <x:v>-0.31282231222283535</x:v>
      </x:c>
      <x:c r="F4178" s="2"/>
      <x:c r="G4178" s="2"/>
      <x:c r="H4178" s="2"/>
    </x:row>
    <x:row r="4179" ht="22" customHeight="1">
      <x:c r="A4179" s="2" t="n">
        <x:v>4173</x:v>
      </x:c>
      <x:c r="B4179" s="79" t="n">
        <x:v>0.713777907007312</x:v>
      </x:c>
      <x:c r="C4179" s="46" t="n">
        <x:f>B4179^2</x:f>
        <x:v>0.5094789005317389</x:v>
      </x:c>
      <x:c r="D4179" s="47" t="n">
        <x:f>'Datos'!$B$26^3/3</x:f>
        <x:v>0.3333333333333333</x:v>
      </x:c>
      <x:c r="E4179" s="46" t="n">
        <x:f>D4179*(C4179-1)</x:f>
        <x:v>-0.163507033156087</x:v>
      </x:c>
      <x:c r="F4179" s="2"/>
      <x:c r="G4179" s="2"/>
      <x:c r="H4179" s="2"/>
    </x:row>
    <x:row r="4180" ht="22" customHeight="1">
      <x:c r="A4180" s="2" t="n">
        <x:v>4174</x:v>
      </x:c>
      <x:c r="B4180" s="79" t="n">
        <x:v>0.9526901075215882</x:v>
      </x:c>
      <x:c r="C4180" s="46" t="n">
        <x:f>B4180^2</x:f>
        <x:v>0.9076184409694953</x:v>
      </x:c>
      <x:c r="D4180" s="47" t="n">
        <x:f>'Datos'!$B$26^3/3</x:f>
        <x:v>0.3333333333333333</x:v>
      </x:c>
      <x:c r="E4180" s="46" t="n">
        <x:f>D4180*(C4180-1)</x:f>
        <x:v>-0.030793853010168237</x:v>
      </x:c>
      <x:c r="F4180" s="2"/>
      <x:c r="G4180" s="2"/>
      <x:c r="H4180" s="2"/>
    </x:row>
    <x:row r="4181" ht="22" customHeight="1">
      <x:c r="A4181" s="2" t="n">
        <x:v>4175</x:v>
      </x:c>
      <x:c r="B4181" s="79" t="n">
        <x:v>-0.5175011554101081</x:v>
      </x:c>
      <x:c r="C4181" s="46" t="n">
        <x:f>B4181^2</x:f>
        <x:v>0.26780744585079685</x:v>
      </x:c>
      <x:c r="D4181" s="47" t="n">
        <x:f>'Datos'!$B$26^3/3</x:f>
        <x:v>0.3333333333333333</x:v>
      </x:c>
      <x:c r="E4181" s="46" t="n">
        <x:f>D4181*(C4181-1)</x:f>
        <x:v>-0.24406418471640104</x:v>
      </x:c>
      <x:c r="F4181" s="2"/>
      <x:c r="G4181" s="2"/>
      <x:c r="H4181" s="2"/>
    </x:row>
    <x:row r="4182" ht="22" customHeight="1">
      <x:c r="A4182" s="2" t="n">
        <x:v>4176</x:v>
      </x:c>
      <x:c r="B4182" s="79" t="n">
        <x:v>0.37163667100213577</x:v>
      </x:c>
      <x:c r="C4182" s="46" t="n">
        <x:f>B4182^2</x:f>
        <x:v>0.1381138152335497</x:v>
      </x:c>
      <x:c r="D4182" s="47" t="n">
        <x:f>'Datos'!$B$26^3/3</x:f>
        <x:v>0.3333333333333333</x:v>
      </x:c>
      <x:c r="E4182" s="46" t="n">
        <x:f>D4182*(C4182-1)</x:f>
        <x:v>-0.28729539492215006</x:v>
      </x:c>
      <x:c r="F4182" s="2"/>
      <x:c r="G4182" s="2"/>
      <x:c r="H4182" s="2"/>
    </x:row>
    <x:row r="4183" ht="22" customHeight="1">
      <x:c r="A4183" s="2" t="n">
        <x:v>4177</x:v>
      </x:c>
      <x:c r="B4183" s="79" t="n">
        <x:v>-0.14157329888149353</x:v>
      </x:c>
      <x:c r="C4183" s="46" t="n">
        <x:f>B4183^2</x:f>
        <x:v>0.020042998956188697</x:v>
      </x:c>
      <x:c r="D4183" s="47" t="n">
        <x:f>'Datos'!$B$26^3/3</x:f>
        <x:v>0.3333333333333333</x:v>
      </x:c>
      <x:c r="E4183" s="46" t="n">
        <x:f>D4183*(C4183-1)</x:f>
        <x:v>-0.32665233368127045</x:v>
      </x:c>
      <x:c r="F4183" s="2"/>
      <x:c r="G4183" s="2"/>
      <x:c r="H4183" s="2"/>
    </x:row>
    <x:row r="4184" ht="22" customHeight="1">
      <x:c r="A4184" s="2" t="n">
        <x:v>4178</x:v>
      </x:c>
      <x:c r="B4184" s="79" t="n">
        <x:v>0.5526972660571903</x:v>
      </x:c>
      <x:c r="C4184" s="46" t="n">
        <x:f>B4184^2</x:f>
        <x:v>0.3054742679070926</x:v>
      </x:c>
      <x:c r="D4184" s="47" t="n">
        <x:f>'Datos'!$B$26^3/3</x:f>
        <x:v>0.3333333333333333</x:v>
      </x:c>
      <x:c r="E4184" s="46" t="n">
        <x:f>D4184*(C4184-1)</x:f>
        <x:v>-0.23150857736430247</x:v>
      </x:c>
      <x:c r="F4184" s="2"/>
      <x:c r="G4184" s="2"/>
      <x:c r="H4184" s="2"/>
    </x:row>
    <x:row r="4185" ht="22" customHeight="1">
      <x:c r="A4185" s="2" t="n">
        <x:v>4179</x:v>
      </x:c>
      <x:c r="B4185" s="79" t="n">
        <x:v>-0.6630715855041492</x:v>
      </x:c>
      <x:c r="C4185" s="46" t="n">
        <x:f>B4185^2</x:f>
        <x:v>0.4396639275029863</x:v>
      </x:c>
      <x:c r="D4185" s="47" t="n">
        <x:f>'Datos'!$B$26^3/3</x:f>
        <x:v>0.3333333333333333</x:v>
      </x:c>
      <x:c r="E4185" s="46" t="n">
        <x:f>D4185*(C4185-1)</x:f>
        <x:v>-0.1867786908323379</x:v>
      </x:c>
      <x:c r="F4185" s="2"/>
      <x:c r="G4185" s="2"/>
      <x:c r="H4185" s="2"/>
    </x:row>
    <x:row r="4186" ht="22" customHeight="1">
      <x:c r="A4186" s="2" t="n">
        <x:v>4180</x:v>
      </x:c>
      <x:c r="B4186" s="79" t="n">
        <x:v>0.4132908019214516</x:v>
      </x:c>
      <x:c r="C4186" s="46" t="n">
        <x:f>B4186^2</x:f>
        <x:v>0.17080928695287656</x:v>
      </x:c>
      <x:c r="D4186" s="47" t="n">
        <x:f>'Datos'!$B$26^3/3</x:f>
        <x:v>0.3333333333333333</x:v>
      </x:c>
      <x:c r="E4186" s="46" t="n">
        <x:f>D4186*(C4186-1)</x:f>
        <x:v>-0.27639690434904113</x:v>
      </x:c>
      <x:c r="F4186" s="2"/>
      <x:c r="G4186" s="2"/>
      <x:c r="H4186" s="2"/>
    </x:row>
    <x:row r="4187" ht="22" customHeight="1">
      <x:c r="A4187" s="2" t="n">
        <x:v>4181</x:v>
      </x:c>
      <x:c r="B4187" s="79" t="n">
        <x:v>-0.3137259206711693</x:v>
      </x:c>
      <x:c r="C4187" s="46" t="n">
        <x:f>B4187^2</x:f>
        <x:v>0.0984239533009728</x:v>
      </x:c>
      <x:c r="D4187" s="47" t="n">
        <x:f>'Datos'!$B$26^3/3</x:f>
        <x:v>0.3333333333333333</x:v>
      </x:c>
      <x:c r="E4187" s="46" t="n">
        <x:f>D4187*(C4187-1)</x:f>
        <x:v>-0.30052534889967575</x:v>
      </x:c>
      <x:c r="F4187" s="2"/>
      <x:c r="G4187" s="2"/>
      <x:c r="H4187" s="2"/>
    </x:row>
    <x:row r="4188" ht="22" customHeight="1">
      <x:c r="A4188" s="2" t="n">
        <x:v>4182</x:v>
      </x:c>
      <x:c r="B4188" s="79" t="n">
        <x:v>0.10287010032999827</x:v>
      </x:c>
      <x:c r="C4188" s="46" t="n">
        <x:f>B4188^2</x:f>
        <x:v>0.01058225754190391</x:v>
      </x:c>
      <x:c r="D4188" s="47" t="n">
        <x:f>'Datos'!$B$26^3/3</x:f>
        <x:v>0.3333333333333333</x:v>
      </x:c>
      <x:c r="E4188" s="46" t="n">
        <x:f>D4188*(C4188-1)</x:f>
        <x:v>-0.32980591415269866</x:v>
      </x:c>
      <x:c r="F4188" s="2"/>
      <x:c r="G4188" s="2"/>
      <x:c r="H4188" s="2"/>
    </x:row>
    <x:row r="4189" ht="22" customHeight="1">
      <x:c r="A4189" s="2" t="n">
        <x:v>4183</x:v>
      </x:c>
      <x:c r="B4189" s="79" t="n">
        <x:v>0.5032166731065211</x:v>
      </x:c>
      <x:c r="C4189" s="46" t="n">
        <x:f>B4189^2</x:f>
        <x:v>0.2532270200923953</x:v>
      </x:c>
      <x:c r="D4189" s="47" t="n">
        <x:f>'Datos'!$B$26^3/3</x:f>
        <x:v>0.3333333333333333</x:v>
      </x:c>
      <x:c r="E4189" s="46" t="n">
        <x:f>D4189*(C4189-1)</x:f>
        <x:v>-0.24892432663586822</x:v>
      </x:c>
      <x:c r="F4189" s="2"/>
      <x:c r="G4189" s="2"/>
      <x:c r="H4189" s="2"/>
    </x:row>
    <x:row r="4190" ht="22" customHeight="1">
      <x:c r="A4190" s="2" t="n">
        <x:v>4184</x:v>
      </x:c>
      <x:c r="B4190" s="79" t="n">
        <x:v>0.960077616256022</x:v>
      </x:c>
      <x:c r="C4190" s="46" t="n">
        <x:f>B4190^2</x:f>
        <x:v>0.9217490292358453</x:v>
      </x:c>
      <x:c r="D4190" s="47" t="n">
        <x:f>'Datos'!$B$26^3/3</x:f>
        <x:v>0.3333333333333333</x:v>
      </x:c>
      <x:c r="E4190" s="46" t="n">
        <x:f>D4190*(C4190-1)</x:f>
        <x:v>-0.026083656921384885</x:v>
      </x:c>
      <x:c r="F4190" s="2"/>
      <x:c r="G4190" s="2"/>
      <x:c r="H4190" s="2"/>
    </x:row>
    <x:row r="4191" ht="22" customHeight="1">
      <x:c r="A4191" s="2" t="n">
        <x:v>4185</x:v>
      </x:c>
      <x:c r="B4191" s="79" t="n">
        <x:v>-0.5310228948640611</x:v>
      </x:c>
      <x:c r="C4191" s="46" t="n">
        <x:f>B4191^2</x:f>
        <x:v>0.28198531486980766</x:v>
      </x:c>
      <x:c r="D4191" s="47" t="n">
        <x:f>'Datos'!$B$26^3/3</x:f>
        <x:v>0.3333333333333333</x:v>
      </x:c>
      <x:c r="E4191" s="46" t="n">
        <x:f>D4191*(C4191-1)</x:f>
        <x:v>-0.23933822837673074</x:v>
      </x:c>
      <x:c r="F4191" s="2"/>
      <x:c r="G4191" s="2"/>
      <x:c r="H4191" s="2"/>
    </x:row>
    <x:row r="4192" ht="22" customHeight="1">
      <x:c r="A4192" s="2" t="n">
        <x:v>4186</x:v>
      </x:c>
      <x:c r="B4192" s="79" t="n">
        <x:v>1.8005964731928152</x:v>
      </x:c>
      <x:c r="C4192" s="46" t="n">
        <x:f>B4192^2</x:f>
        <x:v>3.2421476592744045</x:v>
      </x:c>
      <x:c r="D4192" s="47" t="n">
        <x:f>'Datos'!$B$26^3/3</x:f>
        <x:v>0.3333333333333333</x:v>
      </x:c>
      <x:c r="E4192" s="46" t="n">
        <x:f>D4192*(C4192-1)</x:f>
        <x:v>0.7473825530914682</x:v>
      </x:c>
      <x:c r="F4192" s="2"/>
      <x:c r="G4192" s="2"/>
      <x:c r="H4192" s="2"/>
    </x:row>
    <x:row r="4193" ht="22" customHeight="1">
      <x:c r="A4193" s="2" t="n">
        <x:v>4187</x:v>
      </x:c>
      <x:c r="B4193" s="79" t="n">
        <x:v>-2.9115478464347504</x:v>
      </x:c>
      <x:c r="C4193" s="46" t="n">
        <x:f>B4193^2</x:f>
        <x:v>8.477110862078833</x:v>
      </x:c>
      <x:c r="D4193" s="47" t="n">
        <x:f>'Datos'!$B$26^3/3</x:f>
        <x:v>0.3333333333333333</x:v>
      </x:c>
      <x:c r="E4193" s="46" t="n">
        <x:f>D4193*(C4193-1)</x:f>
        <x:v>2.492370287359611</x:v>
      </x:c>
      <x:c r="F4193" s="2"/>
      <x:c r="G4193" s="2"/>
      <x:c r="H4193" s="2"/>
    </x:row>
    <x:row r="4194" ht="22" customHeight="1">
      <x:c r="A4194" s="2" t="n">
        <x:v>4188</x:v>
      </x:c>
      <x:c r="B4194" s="79" t="n">
        <x:v>0.800581670089921</x:v>
      </x:c>
      <x:c r="C4194" s="46" t="n">
        <x:f>B4194^2</x:f>
        <x:v>0.6409310104839671</x:v>
      </x:c>
      <x:c r="D4194" s="47" t="n">
        <x:f>'Datos'!$B$26^3/3</x:f>
        <x:v>0.3333333333333333</x:v>
      </x:c>
      <x:c r="E4194" s="46" t="n">
        <x:f>D4194*(C4194-1)</x:f>
        <x:v>-0.11968966317201098</x:v>
      </x:c>
      <x:c r="F4194" s="2"/>
      <x:c r="G4194" s="2"/>
      <x:c r="H4194" s="2"/>
    </x:row>
    <x:row r="4195" ht="22" customHeight="1">
      <x:c r="A4195" s="2" t="n">
        <x:v>4189</x:v>
      </x:c>
      <x:c r="B4195" s="79" t="n">
        <x:v>2.1694551048547654</x:v>
      </x:c>
      <x:c r="C4195" s="46" t="n">
        <x:f>B4195^2</x:f>
        <x:v>4.706535451980401</x:v>
      </x:c>
      <x:c r="D4195" s="47" t="n">
        <x:f>'Datos'!$B$26^3/3</x:f>
        <x:v>0.3333333333333333</x:v>
      </x:c>
      <x:c r="E4195" s="46" t="n">
        <x:f>D4195*(C4195-1)</x:f>
        <x:v>1.2355118173268003</x:v>
      </x:c>
      <x:c r="F4195" s="2"/>
      <x:c r="G4195" s="2"/>
      <x:c r="H4195" s="2"/>
    </x:row>
    <x:row r="4196" ht="22" customHeight="1">
      <x:c r="A4196" s="2" t="n">
        <x:v>4190</x:v>
      </x:c>
      <x:c r="B4196" s="79" t="n">
        <x:v>1.0293820820968682</x:v>
      </x:c>
      <x:c r="C4196" s="46" t="n">
        <x:f>B4196^2</x:f>
        <x:v>1.0596274709420834</x:v>
      </x:c>
      <x:c r="D4196" s="47" t="n">
        <x:f>'Datos'!$B$26^3/3</x:f>
        <x:v>0.3333333333333333</x:v>
      </x:c>
      <x:c r="E4196" s="46" t="n">
        <x:f>D4196*(C4196-1)</x:f>
        <x:v>0.01987582364736114</x:v>
      </x:c>
      <x:c r="F4196" s="2"/>
      <x:c r="G4196" s="2"/>
      <x:c r="H4196" s="2"/>
    </x:row>
    <x:row r="4197" ht="22" customHeight="1">
      <x:c r="A4197" s="2" t="n">
        <x:v>4191</x:v>
      </x:c>
      <x:c r="B4197" s="79" t="n">
        <x:v>1.1898765986194022</x:v>
      </x:c>
      <x:c r="C4197" s="46" t="n">
        <x:f>B4197^2</x:f>
        <x:v>1.415806319942078</x:v>
      </x:c>
      <x:c r="D4197" s="47" t="n">
        <x:f>'Datos'!$B$26^3/3</x:f>
        <x:v>0.3333333333333333</x:v>
      </x:c>
      <x:c r="E4197" s="46" t="n">
        <x:f>D4197*(C4197-1)</x:f>
        <x:v>0.13860210664735934</x:v>
      </x:c>
      <x:c r="F4197" s="2"/>
      <x:c r="G4197" s="2"/>
      <x:c r="H4197" s="2"/>
    </x:row>
    <x:row r="4198" ht="22" customHeight="1">
      <x:c r="A4198" s="2" t="n">
        <x:v>4192</x:v>
      </x:c>
      <x:c r="B4198" s="79" t="n">
        <x:v>-0.02095025070523725</x:v>
      </x:c>
      <x:c r="C4198" s="46" t="n">
        <x:f>B4198^2</x:f>
        <x:v>0.0004389130046122939</x:v>
      </x:c>
      <x:c r="D4198" s="47" t="n">
        <x:f>'Datos'!$B$26^3/3</x:f>
        <x:v>0.3333333333333333</x:v>
      </x:c>
      <x:c r="E4198" s="46" t="n">
        <x:f>D4198*(C4198-1)</x:f>
        <x:v>-0.33318702899846253</x:v>
      </x:c>
      <x:c r="F4198" s="2"/>
      <x:c r="G4198" s="2"/>
      <x:c r="H4198" s="2"/>
    </x:row>
    <x:row r="4199" ht="22" customHeight="1">
      <x:c r="A4199" s="2" t="n">
        <x:v>4193</x:v>
      </x:c>
      <x:c r="B4199" s="79" t="n">
        <x:v>1.1751962015592756</x:v>
      </x:c>
      <x:c r="C4199" s="46" t="n">
        <x:f>B4199^2</x:f>
        <x:v>1.3810861121593496</x:v>
      </x:c>
      <x:c r="D4199" s="47" t="n">
        <x:f>'Datos'!$B$26^3/3</x:f>
        <x:v>0.3333333333333333</x:v>
      </x:c>
      <x:c r="E4199" s="46" t="n">
        <x:f>D4199*(C4199-1)</x:f>
        <x:v>0.12702870405311653</x:v>
      </x:c>
      <x:c r="F4199" s="2"/>
      <x:c r="G4199" s="2"/>
      <x:c r="H4199" s="2"/>
    </x:row>
    <x:row r="4200" ht="22" customHeight="1">
      <x:c r="A4200" s="2" t="n">
        <x:v>4194</x:v>
      </x:c>
      <x:c r="B4200" s="79" t="n">
        <x:v>-0.37955602188032317</x:v>
      </x:c>
      <x:c r="C4200" s="46" t="n">
        <x:f>B4200^2</x:f>
        <x:v>0.14406277374561635</x:v>
      </x:c>
      <x:c r="D4200" s="47" t="n">
        <x:f>'Datos'!$B$26^3/3</x:f>
        <x:v>0.3333333333333333</x:v>
      </x:c>
      <x:c r="E4200" s="46" t="n">
        <x:f>D4200*(C4200-1)</x:f>
        <x:v>-0.2853124087514612</x:v>
      </x:c>
      <x:c r="F4200" s="2"/>
      <x:c r="G4200" s="2"/>
      <x:c r="H4200" s="2"/>
    </x:row>
    <x:row r="4201" ht="22" customHeight="1">
      <x:c r="A4201" s="2" t="n">
        <x:v>4195</x:v>
      </x:c>
      <x:c r="B4201" s="79" t="n">
        <x:v>-2.20883988445258</x:v>
      </x:c>
      <x:c r="C4201" s="46" t="n">
        <x:f>B4201^2</x:f>
        <x:v>4.878973635148486</x:v>
      </x:c>
      <x:c r="D4201" s="47" t="n">
        <x:f>'Datos'!$B$26^3/3</x:f>
        <x:v>0.3333333333333333</x:v>
      </x:c>
      <x:c r="E4201" s="46" t="n">
        <x:f>D4201*(C4201-1)</x:f>
        <x:v>1.292991211716162</x:v>
      </x:c>
      <x:c r="F4201" s="2"/>
      <x:c r="G4201" s="2"/>
      <x:c r="H4201" s="2"/>
    </x:row>
    <x:row r="4202" ht="22" customHeight="1">
      <x:c r="A4202" s="2" t="n">
        <x:v>4196</x:v>
      </x:c>
      <x:c r="B4202" s="79" t="n">
        <x:v>-0.35632796110290493</x:v>
      </x:c>
      <x:c r="C4202" s="46" t="n">
        <x:f>B4202^2</x:f>
        <x:v>0.12696961586375333</x:v>
      </x:c>
      <x:c r="D4202" s="47" t="n">
        <x:f>'Datos'!$B$26^3/3</x:f>
        <x:v>0.3333333333333333</x:v>
      </x:c>
      <x:c r="E4202" s="46" t="n">
        <x:f>D4202*(C4202-1)</x:f>
        <x:v>-0.29101012804541554</x:v>
      </x:c>
      <x:c r="F4202" s="2"/>
      <x:c r="G4202" s="2"/>
      <x:c r="H4202" s="2"/>
    </x:row>
    <x:row r="4203" ht="22" customHeight="1">
      <x:c r="A4203" s="2" t="n">
        <x:v>4197</x:v>
      </x:c>
      <x:c r="B4203" s="79" t="n">
        <x:v>0.1805096817861705</x:v>
      </x:c>
      <x:c r="C4203" s="46" t="n">
        <x:f>B4203^2</x:f>
        <x:v>0.032583745218544534</x:v>
      </x:c>
      <x:c r="D4203" s="47" t="n">
        <x:f>'Datos'!$B$26^3/3</x:f>
        <x:v>0.3333333333333333</x:v>
      </x:c>
      <x:c r="E4203" s="46" t="n">
        <x:f>D4203*(C4203-1)</x:f>
        <x:v>-0.3224720849271518</x:v>
      </x:c>
      <x:c r="F4203" s="2"/>
      <x:c r="G4203" s="2"/>
      <x:c r="H4203" s="2"/>
    </x:row>
    <x:row r="4204" ht="22" customHeight="1">
      <x:c r="A4204" s="2" t="n">
        <x:v>4198</x:v>
      </x:c>
      <x:c r="B4204" s="79" t="n">
        <x:v>-1.4618244793620205</x:v>
      </x:c>
      <x:c r="C4204" s="46" t="n">
        <x:f>B4204^2</x:f>
        <x:v>2.136930808462042</x:v>
      </x:c>
      <x:c r="D4204" s="47" t="n">
        <x:f>'Datos'!$B$26^3/3</x:f>
        <x:v>0.3333333333333333</x:v>
      </x:c>
      <x:c r="E4204" s="46" t="n">
        <x:f>D4204*(C4204-1)</x:f>
        <x:v>0.37897693615401407</x:v>
      </x:c>
      <x:c r="F4204" s="2"/>
      <x:c r="G4204" s="2"/>
      <x:c r="H4204" s="2"/>
    </x:row>
    <x:row r="4205" ht="22" customHeight="1">
      <x:c r="A4205" s="2" t="n">
        <x:v>4199</x:v>
      </x:c>
      <x:c r="B4205" s="79" t="n">
        <x:v>0.6889935583109486</x:v>
      </x:c>
      <x:c r="C4205" s="46" t="n">
        <x:f>B4205^2</x:f>
        <x:v>0.47471212339398244</x:v>
      </x:c>
      <x:c r="D4205" s="47" t="n">
        <x:f>'Datos'!$B$26^3/3</x:f>
        <x:v>0.3333333333333333</x:v>
      </x:c>
      <x:c r="E4205" s="46" t="n">
        <x:f>D4205*(C4205-1)</x:f>
        <x:v>-0.17509595886867252</x:v>
      </x:c>
      <x:c r="F4205" s="2"/>
      <x:c r="G4205" s="2"/>
      <x:c r="H4205" s="2"/>
    </x:row>
    <x:row r="4206" ht="22" customHeight="1">
      <x:c r="A4206" s="2" t="n">
        <x:v>4200</x:v>
      </x:c>
      <x:c r="B4206" s="79" t="n">
        <x:v>0.7910272549604894</x:v>
      </x:c>
      <x:c r="C4206" s="46" t="n">
        <x:f>B4206^2</x:f>
        <x:v>0.6257241180903271</x:v>
      </x:c>
      <x:c r="D4206" s="47" t="n">
        <x:f>'Datos'!$B$26^3/3</x:f>
        <x:v>0.3333333333333333</x:v>
      </x:c>
      <x:c r="E4206" s="46" t="n">
        <x:f>D4206*(C4206-1)</x:f>
        <x:v>-0.12475862730322429</x:v>
      </x:c>
      <x:c r="F4206" s="2"/>
      <x:c r="G4206" s="2"/>
      <x:c r="H4206" s="2"/>
    </x:row>
    <x:row r="4207" ht="22" customHeight="1">
      <x:c r="A4207" s="2" t="n">
        <x:v>4201</x:v>
      </x:c>
      <x:c r="B4207" s="79" t="n">
        <x:v>-0.9213493848914325</x:v>
      </x:c>
      <x:c r="C4207" s="46" t="n">
        <x:f>B4207^2</x:f>
        <x:v>0.848884689039821</x:v>
      </x:c>
      <x:c r="D4207" s="47" t="n">
        <x:f>'Datos'!$B$26^3/3</x:f>
        <x:v>0.3333333333333333</x:v>
      </x:c>
      <x:c r="E4207" s="46" t="n">
        <x:f>D4207*(C4207-1)</x:f>
        <x:v>-0.05037177032005968</x:v>
      </x:c>
      <x:c r="F4207" s="2"/>
      <x:c r="G4207" s="2"/>
      <x:c r="H4207" s="2"/>
    </x:row>
    <x:row r="4208" ht="22" customHeight="1">
      <x:c r="A4208" s="2" t="n">
        <x:v>4202</x:v>
      </x:c>
      <x:c r="B4208" s="79" t="n">
        <x:v>0.5291014109051585</x:v>
      </x:c>
      <x:c r="C4208" s="46" t="n">
        <x:f>B4208^2</x:f>
        <x:v>0.2799483030218294</x:v>
      </x:c>
      <x:c r="D4208" s="47" t="n">
        <x:f>'Datos'!$B$26^3/3</x:f>
        <x:v>0.3333333333333333</x:v>
      </x:c>
      <x:c r="E4208" s="46" t="n">
        <x:f>D4208*(C4208-1)</x:f>
        <x:v>-0.24001723232605687</x:v>
      </x:c>
      <x:c r="F4208" s="2"/>
      <x:c r="G4208" s="2"/>
      <x:c r="H4208" s="2"/>
    </x:row>
    <x:row r="4209" ht="22" customHeight="1">
      <x:c r="A4209" s="2" t="n">
        <x:v>4203</x:v>
      </x:c>
      <x:c r="B4209" s="79" t="n">
        <x:v>0.5324715794689462</x:v>
      </x:c>
      <x:c r="C4209" s="46" t="n">
        <x:f>B4209^2</x:f>
        <x:v>0.28352598294215425</x:v>
      </x:c>
      <x:c r="D4209" s="47" t="n">
        <x:f>'Datos'!$B$26^3/3</x:f>
        <x:v>0.3333333333333333</x:v>
      </x:c>
      <x:c r="E4209" s="46" t="n">
        <x:f>D4209*(C4209-1)</x:f>
        <x:v>-0.23882467235261523</x:v>
      </x:c>
      <x:c r="F4209" s="2"/>
      <x:c r="G4209" s="2"/>
      <x:c r="H4209" s="2"/>
    </x:row>
    <x:row r="4210" ht="22" customHeight="1">
      <x:c r="A4210" s="2" t="n">
        <x:v>4204</x:v>
      </x:c>
      <x:c r="B4210" s="79" t="n">
        <x:v>-0.39087257614291443</x:v>
      </x:c>
      <x:c r="C4210" s="46" t="n">
        <x:f>B4210^2</x:f>
        <x:v>0.15278137078059845</x:v>
      </x:c>
      <x:c r="D4210" s="47" t="n">
        <x:f>'Datos'!$B$26^3/3</x:f>
        <x:v>0.3333333333333333</x:v>
      </x:c>
      <x:c r="E4210" s="46" t="n">
        <x:f>D4210*(C4210-1)</x:f>
        <x:v>-0.28240620973980046</x:v>
      </x:c>
      <x:c r="F4210" s="2"/>
      <x:c r="G4210" s="2"/>
      <x:c r="H4210" s="2"/>
    </x:row>
    <x:row r="4211" ht="22" customHeight="1">
      <x:c r="A4211" s="2" t="n">
        <x:v>4205</x:v>
      </x:c>
      <x:c r="B4211" s="79" t="n">
        <x:v>-0.3031007066914128</x:v>
      </x:c>
      <x:c r="C4211" s="46" t="n">
        <x:f>B4211^2</x:f>
        <x:v>0.09187003839683386</x:v>
      </x:c>
      <x:c r="D4211" s="47" t="n">
        <x:f>'Datos'!$B$26^3/3</x:f>
        <x:v>0.3333333333333333</x:v>
      </x:c>
      <x:c r="E4211" s="46" t="n">
        <x:f>D4211*(C4211-1)</x:f>
        <x:v>-0.30270998720105535</x:v>
      </x:c>
      <x:c r="F4211" s="2"/>
      <x:c r="G4211" s="2"/>
      <x:c r="H4211" s="2"/>
    </x:row>
    <x:row r="4212" ht="22" customHeight="1">
      <x:c r="A4212" s="2" t="n">
        <x:v>4206</x:v>
      </x:c>
      <x:c r="B4212" s="79" t="n">
        <x:v>-0.06940102501633924</x:v>
      </x:c>
      <x:c r="C4212" s="46" t="n">
        <x:f>B4212^2</x:f>
        <x:v>0.004816502273318545</x:v>
      </x:c>
      <x:c r="D4212" s="47" t="n">
        <x:f>'Datos'!$B$26^3/3</x:f>
        <x:v>0.3333333333333333</x:v>
      </x:c>
      <x:c r="E4212" s="46" t="n">
        <x:f>D4212*(C4212-1)</x:f>
        <x:v>-0.3317278325755605</x:v>
      </x:c>
      <x:c r="F4212" s="2"/>
      <x:c r="G4212" s="2"/>
      <x:c r="H4212" s="2"/>
    </x:row>
    <x:row r="4213" ht="22" customHeight="1">
      <x:c r="A4213" s="2" t="n">
        <x:v>4207</x:v>
      </x:c>
      <x:c r="B4213" s="79" t="n">
        <x:v>-1.1465254150876165</x:v>
      </x:c>
      <x:c r="C4213" s="46" t="n">
        <x:f>B4213^2</x:f>
        <x:v>1.3145205274418315</x:v>
      </x:c>
      <x:c r="D4213" s="47" t="n">
        <x:f>'Datos'!$B$26^3/3</x:f>
        <x:v>0.3333333333333333</x:v>
      </x:c>
      <x:c r="E4213" s="46" t="n">
        <x:f>D4213*(C4213-1)</x:f>
        <x:v>0.10484017581394381</x:v>
      </x:c>
      <x:c r="F4213" s="2"/>
      <x:c r="G4213" s="2"/>
      <x:c r="H4213" s="2"/>
    </x:row>
    <x:row r="4214" ht="22" customHeight="1">
      <x:c r="A4214" s="2" t="n">
        <x:v>4208</x:v>
      </x:c>
      <x:c r="B4214" s="79" t="n">
        <x:v>-0.6921689183984591</x:v>
      </x:c>
      <x:c r="C4214" s="46" t="n">
        <x:f>B4214^2</x:f>
        <x:v>0.4790978115968927</x:v>
      </x:c>
      <x:c r="D4214" s="47" t="n">
        <x:f>'Datos'!$B$26^3/3</x:f>
        <x:v>0.3333333333333333</x:v>
      </x:c>
      <x:c r="E4214" s="46" t="n">
        <x:f>D4214*(C4214-1)</x:f>
        <x:v>-0.17363406280103577</x:v>
      </x:c>
      <x:c r="F4214" s="2"/>
      <x:c r="G4214" s="2"/>
      <x:c r="H4214" s="2"/>
    </x:row>
    <x:row r="4215" ht="22" customHeight="1">
      <x:c r="A4215" s="2" t="n">
        <x:v>4209</x:v>
      </x:c>
      <x:c r="B4215" s="79" t="n">
        <x:v>-1.319716502334212</x:v>
      </x:c>
      <x:c r="C4215" s="46" t="n">
        <x:f>B4215^2</x:f>
        <x:v>1.741651646533246</x:v>
      </x:c>
      <x:c r="D4215" s="47" t="n">
        <x:f>'Datos'!$B$26^3/3</x:f>
        <x:v>0.3333333333333333</x:v>
      </x:c>
      <x:c r="E4215" s="46" t="n">
        <x:f>D4215*(C4215-1)</x:f>
        <x:v>0.24721721551108194</x:v>
      </x:c>
      <x:c r="F4215" s="2"/>
      <x:c r="G4215" s="2"/>
      <x:c r="H4215" s="2"/>
    </x:row>
    <x:row r="4216" ht="22" customHeight="1">
      <x:c r="A4216" s="2" t="n">
        <x:v>4210</x:v>
      </x:c>
      <x:c r="B4216" s="79" t="n">
        <x:v>1.1102948156496673</x:v>
      </x:c>
      <x:c r="C4216" s="46" t="n">
        <x:f>B4216^2</x:f>
        <x:v>1.2327545776585287</x:v>
      </x:c>
      <x:c r="D4216" s="47" t="n">
        <x:f>'Datos'!$B$26^3/3</x:f>
        <x:v>0.3333333333333333</x:v>
      </x:c>
      <x:c r="E4216" s="46" t="n">
        <x:f>D4216*(C4216-1)</x:f>
        <x:v>0.07758485921950956</x:v>
      </x:c>
      <x:c r="F4216" s="2"/>
      <x:c r="G4216" s="2"/>
      <x:c r="H4216" s="2"/>
    </x:row>
    <x:row r="4217" ht="22" customHeight="1">
      <x:c r="A4217" s="2" t="n">
        <x:v>4211</x:v>
      </x:c>
      <x:c r="B4217" s="79" t="n">
        <x:v>1.1216965649522501</x:v>
      </x:c>
      <x:c r="C4217" s="46" t="n">
        <x:f>B4217^2</x:f>
        <x:v>1.2582031838256775</x:v>
      </x:c>
      <x:c r="D4217" s="47" t="n">
        <x:f>'Datos'!$B$26^3/3</x:f>
        <x:v>0.3333333333333333</x:v>
      </x:c>
      <x:c r="E4217" s="46" t="n">
        <x:f>D4217*(C4217-1)</x:f>
        <x:v>0.0860677279418925</x:v>
      </x:c>
      <x:c r="F4217" s="2"/>
      <x:c r="G4217" s="2"/>
      <x:c r="H4217" s="2"/>
    </x:row>
    <x:row r="4218" ht="22" customHeight="1">
      <x:c r="A4218" s="2" t="n">
        <x:v>4212</x:v>
      </x:c>
      <x:c r="B4218" s="79" t="n">
        <x:v>-0.6915187014388758</x:v>
      </x:c>
      <x:c r="C4218" s="46" t="n">
        <x:f>B4218^2</x:f>
        <x:v>0.4781981144397091</x:v>
      </x:c>
      <x:c r="D4218" s="47" t="n">
        <x:f>'Datos'!$B$26^3/3</x:f>
        <x:v>0.3333333333333333</x:v>
      </x:c>
      <x:c r="E4218" s="46" t="n">
        <x:f>D4218*(C4218-1)</x:f>
        <x:v>-0.17393396185343027</x:v>
      </x:c>
      <x:c r="F4218" s="2"/>
      <x:c r="G4218" s="2"/>
      <x:c r="H4218" s="2"/>
    </x:row>
    <x:row r="4219" ht="22" customHeight="1">
      <x:c r="A4219" s="2" t="n">
        <x:v>4213</x:v>
      </x:c>
      <x:c r="B4219" s="79" t="n">
        <x:v>0.8191041166410649</x:v>
      </x:c>
      <x:c r="C4219" s="46" t="n">
        <x:f>B4219^2</x:f>
        <x:v>0.6709315538983391</x:v>
      </x:c>
      <x:c r="D4219" s="47" t="n">
        <x:f>'Datos'!$B$26^3/3</x:f>
        <x:v>0.3333333333333333</x:v>
      </x:c>
      <x:c r="E4219" s="46" t="n">
        <x:f>D4219*(C4219-1)</x:f>
        <x:v>-0.10968948203388695</x:v>
      </x:c>
      <x:c r="F4219" s="2"/>
      <x:c r="G4219" s="2"/>
      <x:c r="H4219" s="2"/>
    </x:row>
    <x:row r="4220" ht="22" customHeight="1">
      <x:c r="A4220" s="2" t="n">
        <x:v>4214</x:v>
      </x:c>
      <x:c r="B4220" s="79" t="n">
        <x:v>-2.1805366458962774</x:v>
      </x:c>
      <x:c r="C4220" s="46" t="n">
        <x:f>B4220^2</x:f>
        <x:v>4.754740064096588</x:v>
      </x:c>
      <x:c r="D4220" s="47" t="n">
        <x:f>'Datos'!$B$26^3/3</x:f>
        <x:v>0.3333333333333333</x:v>
      </x:c>
      <x:c r="E4220" s="46" t="n">
        <x:f>D4220*(C4220-1)</x:f>
        <x:v>1.251580021365529</x:v>
      </x:c>
      <x:c r="F4220" s="2"/>
      <x:c r="G4220" s="2"/>
      <x:c r="H4220" s="2"/>
    </x:row>
    <x:row r="4221" ht="22" customHeight="1">
      <x:c r="A4221" s="2" t="n">
        <x:v>4215</x:v>
      </x:c>
      <x:c r="B4221" s="79" t="n">
        <x:v>-0.7627908441771226</x:v>
      </x:c>
      <x:c r="C4221" s="46" t="n">
        <x:f>B4221^2</x:f>
        <x:v>0.5818498719604474</x:v>
      </x:c>
      <x:c r="D4221" s="47" t="n">
        <x:f>'Datos'!$B$26^3/3</x:f>
        <x:v>0.3333333333333333</x:v>
      </x:c>
      <x:c r="E4221" s="46" t="n">
        <x:f>D4221*(C4221-1)</x:f>
        <x:v>-0.1393833760131842</x:v>
      </x:c>
      <x:c r="F4221" s="2"/>
      <x:c r="G4221" s="2"/>
      <x:c r="H4221" s="2"/>
    </x:row>
    <x:row r="4222" ht="22" customHeight="1">
      <x:c r="A4222" s="2" t="n">
        <x:v>4216</x:v>
      </x:c>
      <x:c r="B4222" s="79" t="n">
        <x:v>1.0944580249184093</x:v>
      </x:c>
      <x:c r="C4222" s="46" t="n">
        <x:f>B4222^2</x:f>
        <x:v>1.1978383683083054</x:v>
      </x:c>
      <x:c r="D4222" s="47" t="n">
        <x:f>'Datos'!$B$26^3/3</x:f>
        <x:v>0.3333333333333333</x:v>
      </x:c>
      <x:c r="E4222" s="46" t="n">
        <x:f>D4222*(C4222-1)</x:f>
        <x:v>0.06594612276943512</x:v>
      </x:c>
      <x:c r="F4222" s="2"/>
      <x:c r="G4222" s="2"/>
      <x:c r="H4222" s="2"/>
    </x:row>
    <x:row r="4223" ht="22" customHeight="1">
      <x:c r="A4223" s="2" t="n">
        <x:v>4217</x:v>
      </x:c>
      <x:c r="B4223" s="79" t="n">
        <x:v>-1.224266696524288</x:v>
      </x:c>
      <x:c r="C4223" s="46" t="n">
        <x:f>B4223^2</x:f>
        <x:v>1.4988289442184934</x:v>
      </x:c>
      <x:c r="D4223" s="47" t="n">
        <x:f>'Datos'!$B$26^3/3</x:f>
        <x:v>0.3333333333333333</x:v>
      </x:c>
      <x:c r="E4223" s="46" t="n">
        <x:f>D4223*(C4223-1)</x:f>
        <x:v>0.1662763147394978</x:v>
      </x:c>
      <x:c r="F4223" s="2"/>
      <x:c r="G4223" s="2"/>
      <x:c r="H4223" s="2"/>
    </x:row>
    <x:row r="4224" ht="22" customHeight="1">
      <x:c r="A4224" s="2" t="n">
        <x:v>4218</x:v>
      </x:c>
      <x:c r="B4224" s="79" t="n">
        <x:v>0.39851649014696205</x:v>
      </x:c>
      <x:c r="C4224" s="46" t="n">
        <x:f>B4224^2</x:f>
        <x:v>0.1588153929190537</x:v>
      </x:c>
      <x:c r="D4224" s="47" t="n">
        <x:f>'Datos'!$B$26^3/3</x:f>
        <x:v>0.3333333333333333</x:v>
      </x:c>
      <x:c r="E4224" s="46" t="n">
        <x:f>D4224*(C4224-1)</x:f>
        <x:v>-0.2803948690269821</x:v>
      </x:c>
      <x:c r="F4224" s="2"/>
      <x:c r="G4224" s="2"/>
      <x:c r="H4224" s="2"/>
    </x:row>
    <x:row r="4225" ht="22" customHeight="1">
      <x:c r="A4225" s="2" t="n">
        <x:v>4219</x:v>
      </x:c>
      <x:c r="B4225" s="79" t="n">
        <x:v>1.759398093827888</x:v>
      </x:c>
      <x:c r="C4225" s="46" t="n">
        <x:f>B4225^2</x:f>
        <x:v>3.0954816525652054</x:v>
      </x:c>
      <x:c r="D4225" s="47" t="n">
        <x:f>'Datos'!$B$26^3/3</x:f>
        <x:v>0.3333333333333333</x:v>
      </x:c>
      <x:c r="E4225" s="46" t="n">
        <x:f>D4225*(C4225-1)</x:f>
        <x:v>0.6984938841884017</x:v>
      </x:c>
      <x:c r="F4225" s="2"/>
      <x:c r="G4225" s="2"/>
      <x:c r="H4225" s="2"/>
    </x:row>
    <x:row r="4226" ht="22" customHeight="1">
      <x:c r="A4226" s="2" t="n">
        <x:v>4220</x:v>
      </x:c>
      <x:c r="B4226" s="79" t="n">
        <x:v>-0.941728075122681</x:v>
      </x:c>
      <x:c r="C4226" s="46" t="n">
        <x:f>B4226^2</x:f>
        <x:v>0.8868517674742699</x:v>
      </x:c>
      <x:c r="D4226" s="47" t="n">
        <x:f>'Datos'!$B$26^3/3</x:f>
        <x:v>0.3333333333333333</x:v>
      </x:c>
      <x:c r="E4226" s="46" t="n">
        <x:f>D4226*(C4226-1)</x:f>
        <x:v>-0.03771607750857671</x:v>
      </x:c>
      <x:c r="F4226" s="2"/>
      <x:c r="G4226" s="2"/>
      <x:c r="H4226" s="2"/>
    </x:row>
    <x:row r="4227" ht="22" customHeight="1">
      <x:c r="A4227" s="2" t="n">
        <x:v>4221</x:v>
      </x:c>
      <x:c r="B4227" s="79" t="n">
        <x:v>-0.15831772230596977</x:v>
      </x:c>
      <x:c r="C4227" s="46" t="n">
        <x:f>B4227^2</x:f>
        <x:v>0.025064501196150158</x:v>
      </x:c>
      <x:c r="D4227" s="47" t="n">
        <x:f>'Datos'!$B$26^3/3</x:f>
        <x:v>0.3333333333333333</x:v>
      </x:c>
      <x:c r="E4227" s="46" t="n">
        <x:f>D4227*(C4227-1)</x:f>
        <x:v>-0.3249784996012833</x:v>
      </x:c>
      <x:c r="F4227" s="2"/>
      <x:c r="G4227" s="2"/>
      <x:c r="H4227" s="2"/>
    </x:row>
    <x:row r="4228" ht="22" customHeight="1">
      <x:c r="A4228" s="2" t="n">
        <x:v>4222</x:v>
      </x:c>
      <x:c r="B4228" s="79" t="n">
        <x:v>1.0992417586264605</x:v>
      </x:c>
      <x:c r="C4228" s="46" t="n">
        <x:f>B4228^2</x:f>
        <x:v>1.2083324439081935</x:v>
      </x:c>
      <x:c r="D4228" s="47" t="n">
        <x:f>'Datos'!$B$26^3/3</x:f>
        <x:v>0.3333333333333333</x:v>
      </x:c>
      <x:c r="E4228" s="46" t="n">
        <x:f>D4228*(C4228-1)</x:f>
        <x:v>0.06944414796939782</x:v>
      </x:c>
      <x:c r="F4228" s="2"/>
      <x:c r="G4228" s="2"/>
      <x:c r="H4228" s="2"/>
    </x:row>
    <x:row r="4229" ht="22" customHeight="1">
      <x:c r="A4229" s="2" t="n">
        <x:v>4223</x:v>
      </x:c>
      <x:c r="B4229" s="79" t="n">
        <x:v>-0.7885272720876465</x:v>
      </x:c>
      <x:c r="C4229" s="46" t="n">
        <x:f>B4229^2</x:f>
        <x:v>0.6217752588259853</x:v>
      </x:c>
      <x:c r="D4229" s="47" t="n">
        <x:f>'Datos'!$B$26^3/3</x:f>
        <x:v>0.3333333333333333</x:v>
      </x:c>
      <x:c r="E4229" s="46" t="n">
        <x:f>D4229*(C4229-1)</x:f>
        <x:v>-0.12607491372467156</x:v>
      </x:c>
      <x:c r="F4229" s="2"/>
      <x:c r="G4229" s="2"/>
      <x:c r="H4229" s="2"/>
    </x:row>
    <x:row r="4230" ht="22" customHeight="1">
      <x:c r="A4230" s="2" t="n">
        <x:v>4224</x:v>
      </x:c>
      <x:c r="B4230" s="79" t="n">
        <x:v>-1.0165705885024423</x:v>
      </x:c>
      <x:c r="C4230" s="46" t="n">
        <x:f>B4230^2</x:f>
        <x:v>1.0334157614082018</x:v>
      </x:c>
      <x:c r="D4230" s="47" t="n">
        <x:f>'Datos'!$B$26^3/3</x:f>
        <x:v>0.3333333333333333</x:v>
      </x:c>
      <x:c r="E4230" s="46" t="n">
        <x:f>D4230*(C4230-1)</x:f>
        <x:v>0.011138587136067263</x:v>
      </x:c>
      <x:c r="F4230" s="2"/>
      <x:c r="G4230" s="2"/>
      <x:c r="H4230" s="2"/>
    </x:row>
    <x:row r="4231" ht="22" customHeight="1">
      <x:c r="A4231" s="2" t="n">
        <x:v>4225</x:v>
      </x:c>
      <x:c r="B4231" s="79" t="n">
        <x:v>-0.5265952906872985</x:v>
      </x:c>
      <x:c r="C4231" s="46" t="n">
        <x:f>B4231^2</x:f>
        <x:v>0.2773026001740404</x:v>
      </x:c>
      <x:c r="D4231" s="47" t="n">
        <x:f>'Datos'!$B$26^3/3</x:f>
        <x:v>0.3333333333333333</x:v>
      </x:c>
      <x:c r="E4231" s="46" t="n">
        <x:f>D4231*(C4231-1)</x:f>
        <x:v>-0.24089913327531987</x:v>
      </x:c>
      <x:c r="F4231" s="2"/>
      <x:c r="G4231" s="2"/>
      <x:c r="H4231" s="2"/>
    </x:row>
    <x:row r="4232" ht="22" customHeight="1">
      <x:c r="A4232" s="2" t="n">
        <x:v>4226</x:v>
      </x:c>
      <x:c r="B4232" s="79" t="n">
        <x:v>-0.12234814666272954</x:v>
      </x:c>
      <x:c r="C4232" s="46" t="n">
        <x:f>B4232^2</x:f>
        <x:v>0.014969068991804777</x:v>
      </x:c>
      <x:c r="D4232" s="47" t="n">
        <x:f>'Datos'!$B$26^3/3</x:f>
        <x:v>0.3333333333333333</x:v>
      </x:c>
      <x:c r="E4232" s="46" t="n">
        <x:f>D4232*(C4232-1)</x:f>
        <x:v>-0.3283436436693984</x:v>
      </x:c>
      <x:c r="F4232" s="2"/>
      <x:c r="G4232" s="2"/>
      <x:c r="H4232" s="2"/>
    </x:row>
    <x:row r="4233" ht="22" customHeight="1">
      <x:c r="A4233" s="2" t="n">
        <x:v>4227</x:v>
      </x:c>
      <x:c r="B4233" s="79" t="n">
        <x:v>-0.6848195708645447</x:v>
      </x:c>
      <x:c r="C4233" s="46" t="n">
        <x:f>B4233^2</x:f>
        <x:v>0.46897784463909914</x:v>
      </x:c>
      <x:c r="D4233" s="47" t="n">
        <x:f>'Datos'!$B$26^3/3</x:f>
        <x:v>0.3333333333333333</x:v>
      </x:c>
      <x:c r="E4233" s="46" t="n">
        <x:f>D4233*(C4233-1)</x:f>
        <x:v>-0.1770073851203003</x:v>
      </x:c>
      <x:c r="F4233" s="2"/>
      <x:c r="G4233" s="2"/>
      <x:c r="H4233" s="2"/>
    </x:row>
    <x:row r="4234" ht="22" customHeight="1">
      <x:c r="A4234" s="2" t="n">
        <x:v>4228</x:v>
      </x:c>
      <x:c r="B4234" s="79" t="n">
        <x:v>-0.9506453555660186</x:v>
      </x:c>
      <x:c r="C4234" s="46" t="n">
        <x:f>B4234^2</x:f>
        <x:v>0.9037265920592419</x:v>
      </x:c>
      <x:c r="D4234" s="47" t="n">
        <x:f>'Datos'!$B$26^3/3</x:f>
        <x:v>0.3333333333333333</x:v>
      </x:c>
      <x:c r="E4234" s="46" t="n">
        <x:f>D4234*(C4234-1)</x:f>
        <x:v>-0.032091135980252705</x:v>
      </x:c>
      <x:c r="F4234" s="2"/>
      <x:c r="G4234" s="2"/>
      <x:c r="H4234" s="2"/>
    </x:row>
    <x:row r="4235" ht="22" customHeight="1">
      <x:c r="A4235" s="2" t="n">
        <x:v>4229</x:v>
      </x:c>
      <x:c r="B4235" s="79" t="n">
        <x:v>1.0102810010844985</x:v>
      </x:c>
      <x:c r="C4235" s="46" t="n">
        <x:f>B4235^2</x:f>
        <x:v>1.0206677011522964</x:v>
      </x:c>
      <x:c r="D4235" s="47" t="n">
        <x:f>'Datos'!$B$26^3/3</x:f>
        <x:v>0.3333333333333333</x:v>
      </x:c>
      <x:c r="E4235" s="46" t="n">
        <x:f>D4235*(C4235-1)</x:f>
        <x:v>0.006889233717432145</x:v>
      </x:c>
      <x:c r="F4235" s="2"/>
      <x:c r="G4235" s="2"/>
      <x:c r="H4235" s="2"/>
    </x:row>
    <x:row r="4236" ht="22" customHeight="1">
      <x:c r="A4236" s="2" t="n">
        <x:v>4230</x:v>
      </x:c>
      <x:c r="B4236" s="79" t="n">
        <x:v>0.6806994049533788</x:v>
      </x:c>
      <x:c r="C4236" s="46" t="n">
        <x:f>B4236^2</x:f>
        <x:v>0.46335167990388393</x:v>
      </x:c>
      <x:c r="D4236" s="47" t="n">
        <x:f>'Datos'!$B$26^3/3</x:f>
        <x:v>0.3333333333333333</x:v>
      </x:c>
      <x:c r="E4236" s="46" t="n">
        <x:f>D4236*(C4236-1)</x:f>
        <x:v>-0.178882773365372</x:v>
      </x:c>
      <x:c r="F4236" s="2"/>
      <x:c r="G4236" s="2"/>
      <x:c r="H4236" s="2"/>
    </x:row>
    <x:row r="4237" ht="22" customHeight="1">
      <x:c r="A4237" s="2" t="n">
        <x:v>4231</x:v>
      </x:c>
      <x:c r="B4237" s="79" t="n">
        <x:v>0.361396599529971</x:v>
      </x:c>
      <x:c r="C4237" s="46" t="n">
        <x:f>B4237^2</x:f>
        <x:v>0.13060750215182623</x:v>
      </x:c>
      <x:c r="D4237" s="47" t="n">
        <x:f>'Datos'!$B$26^3/3</x:f>
        <x:v>0.3333333333333333</x:v>
      </x:c>
      <x:c r="E4237" s="46" t="n">
        <x:f>D4237*(C4237-1)</x:f>
        <x:v>-0.2897974992827246</x:v>
      </x:c>
      <x:c r="F4237" s="2"/>
      <x:c r="G4237" s="2"/>
      <x:c r="H4237" s="2"/>
    </x:row>
    <x:row r="4238" ht="22" customHeight="1">
      <x:c r="A4238" s="2" t="n">
        <x:v>4232</x:v>
      </x:c>
      <x:c r="B4238" s="79" t="n">
        <x:v>0.743034397772383</x:v>
      </x:c>
      <x:c r="C4238" s="46" t="n">
        <x:f>B4238^2</x:f>
        <x:v>0.5521001162729678</x:v>
      </x:c>
      <x:c r="D4238" s="47" t="n">
        <x:f>'Datos'!$B$26^3/3</x:f>
        <x:v>0.3333333333333333</x:v>
      </x:c>
      <x:c r="E4238" s="46" t="n">
        <x:f>D4238*(C4238-1)</x:f>
        <x:v>-0.14929996124234404</x:v>
      </x:c>
      <x:c r="F4238" s="2"/>
      <x:c r="G4238" s="2"/>
      <x:c r="H4238" s="2"/>
    </x:row>
    <x:row r="4239" ht="22" customHeight="1">
      <x:c r="A4239" s="2" t="n">
        <x:v>4233</x:v>
      </x:c>
      <x:c r="B4239" s="79" t="n">
        <x:v>-0.944470983754679</x:v>
      </x:c>
      <x:c r="C4239" s="46" t="n">
        <x:f>B4239^2</x:f>
        <x:v>0.892025439154531</x:v>
      </x:c>
      <x:c r="D4239" s="47" t="n">
        <x:f>'Datos'!$B$26^3/3</x:f>
        <x:v>0.3333333333333333</x:v>
      </x:c>
      <x:c r="E4239" s="46" t="n">
        <x:f>D4239*(C4239-1)</x:f>
        <x:v>-0.03599152028182299</x:v>
      </x:c>
      <x:c r="F4239" s="2"/>
      <x:c r="G4239" s="2"/>
      <x:c r="H4239" s="2"/>
    </x:row>
    <x:row r="4240" ht="22" customHeight="1">
      <x:c r="A4240" s="2" t="n">
        <x:v>4234</x:v>
      </x:c>
      <x:c r="B4240" s="79" t="n">
        <x:v>0.49795000555943186</x:v>
      </x:c>
      <x:c r="C4240" s="46" t="n">
        <x:f>B4240^2</x:f>
        <x:v>0.24795420803663823</x:v>
      </x:c>
      <x:c r="D4240" s="47" t="n">
        <x:f>'Datos'!$B$26^3/3</x:f>
        <x:v>0.3333333333333333</x:v>
      </x:c>
      <x:c r="E4240" s="46" t="n">
        <x:f>D4240*(C4240-1)</x:f>
        <x:v>-0.2506819306544539</x:v>
      </x:c>
      <x:c r="F4240" s="2"/>
      <x:c r="G4240" s="2"/>
      <x:c r="H4240" s="2"/>
    </x:row>
    <x:row r="4241" ht="22" customHeight="1">
      <x:c r="A4241" s="2" t="n">
        <x:v>4235</x:v>
      </x:c>
      <x:c r="B4241" s="79" t="n">
        <x:v>0.6345059785915169</x:v>
      </x:c>
      <x:c r="C4241" s="46" t="n">
        <x:f>B4241^2</x:f>
        <x:v>0.4025978368683785</x:v>
      </x:c>
      <x:c r="D4241" s="47" t="n">
        <x:f>'Datos'!$B$26^3/3</x:f>
        <x:v>0.3333333333333333</x:v>
      </x:c>
      <x:c r="E4241" s="46" t="n">
        <x:f>D4241*(C4241-1)</x:f>
        <x:v>-0.19913405437720716</x:v>
      </x:c>
      <x:c r="F4241" s="2"/>
      <x:c r="G4241" s="2"/>
      <x:c r="H4241" s="2"/>
    </x:row>
    <x:row r="4242" ht="22" customHeight="1">
      <x:c r="A4242" s="2" t="n">
        <x:v>4236</x:v>
      </x:c>
      <x:c r="B4242" s="79" t="n">
        <x:v>-0.6810436118048107</x:v>
      </x:c>
      <x:c r="C4242" s="46" t="n">
        <x:f>B4242^2</x:f>
        <x:v>0.4638204011801416</x:v>
      </x:c>
      <x:c r="D4242" s="47" t="n">
        <x:f>'Datos'!$B$26^3/3</x:f>
        <x:v>0.3333333333333333</x:v>
      </x:c>
      <x:c r="E4242" s="46" t="n">
        <x:f>D4242*(C4242-1)</x:f>
        <x:v>-0.17872653293995278</x:v>
      </x:c>
      <x:c r="F4242" s="2"/>
      <x:c r="G4242" s="2"/>
      <x:c r="H4242" s="2"/>
    </x:row>
    <x:row r="4243" ht="22" customHeight="1">
      <x:c r="A4243" s="2" t="n">
        <x:v>4237</x:v>
      </x:c>
      <x:c r="B4243" s="79" t="n">
        <x:v>0.5430448681654179</x:v>
      </x:c>
      <x:c r="C4243" s="46" t="n">
        <x:f>B4243^2</x:f>
        <x:v>0.29489772884079607</x:v>
      </x:c>
      <x:c r="D4243" s="47" t="n">
        <x:f>'Datos'!$B$26^3/3</x:f>
        <x:v>0.3333333333333333</x:v>
      </x:c>
      <x:c r="E4243" s="46" t="n">
        <x:f>D4243*(C4243-1)</x:f>
        <x:v>-0.23503409038640127</x:v>
      </x:c>
      <x:c r="F4243" s="2"/>
      <x:c r="G4243" s="2"/>
      <x:c r="H4243" s="2"/>
    </x:row>
    <x:row r="4244" ht="22" customHeight="1">
      <x:c r="A4244" s="2" t="n">
        <x:v>4238</x:v>
      </x:c>
      <x:c r="B4244" s="79" t="n">
        <x:v>-0.34328424218156617</x:v>
      </x:c>
      <x:c r="C4244" s="46" t="n">
        <x:f>B4244^2</x:f>
        <x:v>0.11784407093017217</x:v>
      </x:c>
      <x:c r="D4244" s="47" t="n">
        <x:f>'Datos'!$B$26^3/3</x:f>
        <x:v>0.3333333333333333</x:v>
      </x:c>
      <x:c r="E4244" s="46" t="n">
        <x:f>D4244*(C4244-1)</x:f>
        <x:v>-0.2940519763566093</x:v>
      </x:c>
      <x:c r="F4244" s="2"/>
      <x:c r="G4244" s="2"/>
      <x:c r="H4244" s="2"/>
    </x:row>
    <x:row r="4245" ht="22" customHeight="1">
      <x:c r="A4245" s="2" t="n">
        <x:v>4239</x:v>
      </x:c>
      <x:c r="B4245" s="79" t="n">
        <x:v>1.3489016114461803</x:v>
      </x:c>
      <x:c r="C4245" s="46" t="n">
        <x:f>B4245^2</x:f>
        <x:v>1.819535557362102</x:v>
      </x:c>
      <x:c r="D4245" s="47" t="n">
        <x:f>'Datos'!$B$26^3/3</x:f>
        <x:v>0.3333333333333333</x:v>
      </x:c>
      <x:c r="E4245" s="46" t="n">
        <x:f>D4245*(C4245-1)</x:f>
        <x:v>0.2731785191207006</x:v>
      </x:c>
      <x:c r="F4245" s="2"/>
      <x:c r="G4245" s="2"/>
      <x:c r="H4245" s="2"/>
    </x:row>
    <x:row r="4246" ht="22" customHeight="1">
      <x:c r="A4246" s="2" t="n">
        <x:v>4240</x:v>
      </x:c>
      <x:c r="B4246" s="79" t="n">
        <x:v>-1.813629710823586</x:v>
      </x:c>
      <x:c r="C4246" s="46" t="n">
        <x:f>B4246^2</x:f>
        <x:v>3.289252727982044</x:v>
      </x:c>
      <x:c r="D4246" s="47" t="n">
        <x:f>'Datos'!$B$26^3/3</x:f>
        <x:v>0.3333333333333333</x:v>
      </x:c>
      <x:c r="E4246" s="46" t="n">
        <x:f>D4246*(C4246-1)</x:f>
        <x:v>0.7630842426606812</x:v>
      </x:c>
      <x:c r="F4246" s="2"/>
      <x:c r="G4246" s="2"/>
      <x:c r="H4246" s="2"/>
    </x:row>
    <x:row r="4247" ht="22" customHeight="1">
      <x:c r="A4247" s="2" t="n">
        <x:v>4241</x:v>
      </x:c>
      <x:c r="B4247" s="79" t="n">
        <x:v>-0.5266832849144815</x:v>
      </x:c>
      <x:c r="C4247" s="46" t="n">
        <x:f>B4247^2</x:f>
        <x:v>0.27739528260830887</x:v>
      </x:c>
      <x:c r="D4247" s="47" t="n">
        <x:f>'Datos'!$B$26^3/3</x:f>
        <x:v>0.3333333333333333</x:v>
      </x:c>
      <x:c r="E4247" s="46" t="n">
        <x:f>D4247*(C4247-1)</x:f>
        <x:v>-0.2408682391305637</x:v>
      </x:c>
      <x:c r="F4247" s="2"/>
      <x:c r="G4247" s="2"/>
      <x:c r="H4247" s="2"/>
    </x:row>
    <x:row r="4248" ht="22" customHeight="1">
      <x:c r="A4248" s="2" t="n">
        <x:v>4242</x:v>
      </x:c>
      <x:c r="B4248" s="79" t="n">
        <x:v>0.7052328311554822</x:v>
      </x:c>
      <x:c r="C4248" s="46" t="n">
        <x:f>B4248^2</x:f>
        <x:v>0.4973533461395768</x:v>
      </x:c>
      <x:c r="D4248" s="47" t="n">
        <x:f>'Datos'!$B$26^3/3</x:f>
        <x:v>0.3333333333333333</x:v>
      </x:c>
      <x:c r="E4248" s="46" t="n">
        <x:f>D4248*(C4248-1)</x:f>
        <x:v>-0.16754888462014106</x:v>
      </x:c>
      <x:c r="F4248" s="2"/>
      <x:c r="G4248" s="2"/>
      <x:c r="H4248" s="2"/>
    </x:row>
    <x:row r="4249" ht="22" customHeight="1">
      <x:c r="A4249" s="2" t="n">
        <x:v>4243</x:v>
      </x:c>
      <x:c r="B4249" s="79" t="n">
        <x:v>0.34688949460574353</x:v>
      </x:c>
      <x:c r="C4249" s="46" t="n">
        <x:f>B4249^2</x:f>
        <x:v>0.12033232146782817</x:v>
      </x:c>
      <x:c r="D4249" s="47" t="n">
        <x:f>'Datos'!$B$26^3/3</x:f>
        <x:v>0.3333333333333333</x:v>
      </x:c>
      <x:c r="E4249" s="46" t="n">
        <x:f>D4249*(C4249-1)</x:f>
        <x:v>-0.29322255951072396</x:v>
      </x:c>
      <x:c r="F4249" s="2"/>
      <x:c r="G4249" s="2"/>
      <x:c r="H4249" s="2"/>
    </x:row>
    <x:row r="4250" ht="22" customHeight="1">
      <x:c r="A4250" s="2" t="n">
        <x:v>4244</x:v>
      </x:c>
      <x:c r="B4250" s="79" t="n">
        <x:v>-1.1416787234926844</x:v>
      </x:c>
      <x:c r="C4250" s="46" t="n">
        <x:f>B4250^2</x:f>
        <x:v>1.3034303076758853</x:v>
      </x:c>
      <x:c r="D4250" s="47" t="n">
        <x:f>'Datos'!$B$26^3/3</x:f>
        <x:v>0.3333333333333333</x:v>
      </x:c>
      <x:c r="E4250" s="46" t="n">
        <x:f>D4250*(C4250-1)</x:f>
        <x:v>0.10114343589196176</x:v>
      </x:c>
      <x:c r="F4250" s="2"/>
      <x:c r="G4250" s="2"/>
      <x:c r="H4250" s="2"/>
    </x:row>
    <x:row r="4251" ht="22" customHeight="1">
      <x:c r="A4251" s="2" t="n">
        <x:v>4245</x:v>
      </x:c>
      <x:c r="B4251" s="79" t="n">
        <x:v>0.606370170717372</x:v>
      </x:c>
      <x:c r="C4251" s="46" t="n">
        <x:f>B4251^2</x:f>
        <x:v>0.36768478393581483</x:v>
      </x:c>
      <x:c r="D4251" s="47" t="n">
        <x:f>'Datos'!$B$26^3/3</x:f>
        <x:v>0.3333333333333333</x:v>
      </x:c>
      <x:c r="E4251" s="46" t="n">
        <x:f>D4251*(C4251-1)</x:f>
        <x:v>-0.2107717386880617</x:v>
      </x:c>
      <x:c r="F4251" s="2"/>
      <x:c r="G4251" s="2"/>
      <x:c r="H4251" s="2"/>
    </x:row>
    <x:row r="4252" ht="22" customHeight="1">
      <x:c r="A4252" s="2" t="n">
        <x:v>4246</x:v>
      </x:c>
      <x:c r="B4252" s="79" t="n">
        <x:v>0.057733147573352614</x:v>
      </x:c>
      <x:c r="C4252" s="46" t="n">
        <x:f>B4252^2</x:f>
        <x:v>0.003333116328726511</x:v>
      </x:c>
      <x:c r="D4252" s="47" t="n">
        <x:f>'Datos'!$B$26^3/3</x:f>
        <x:v>0.3333333333333333</x:v>
      </x:c>
      <x:c r="E4252" s="46" t="n">
        <x:f>D4252*(C4252-1)</x:f>
        <x:v>-0.3322222945570912</x:v>
      </x:c>
      <x:c r="F4252" s="2"/>
      <x:c r="G4252" s="2"/>
      <x:c r="H4252" s="2"/>
    </x:row>
    <x:row r="4253" ht="22" customHeight="1">
      <x:c r="A4253" s="2" t="n">
        <x:v>4247</x:v>
      </x:c>
      <x:c r="B4253" s="79" t="n">
        <x:v>1.1993171643970462</x:v>
      </x:c>
      <x:c r="C4253" s="46" t="n">
        <x:f>B4253^2</x:f>
        <x:v>1.4383616608173715</x:v>
      </x:c>
      <x:c r="D4253" s="47" t="n">
        <x:f>'Datos'!$B$26^3/3</x:f>
        <x:v>0.3333333333333333</x:v>
      </x:c>
      <x:c r="E4253" s="46" t="n">
        <x:f>D4253*(C4253-1)</x:f>
        <x:v>0.1461205536057905</x:v>
      </x:c>
      <x:c r="F4253" s="2"/>
      <x:c r="G4253" s="2"/>
      <x:c r="H4253" s="2"/>
    </x:row>
    <x:row r="4254" ht="22" customHeight="1">
      <x:c r="A4254" s="2" t="n">
        <x:v>4248</x:v>
      </x:c>
      <x:c r="B4254" s="79" t="n">
        <x:v>0.20488959226381534</x:v>
      </x:c>
      <x:c r="C4254" s="46" t="n">
        <x:f>B4254^2</x:f>
        <x:v>0.0419797450180325</x:v>
      </x:c>
      <x:c r="D4254" s="47" t="n">
        <x:f>'Datos'!$B$26^3/3</x:f>
        <x:v>0.3333333333333333</x:v>
      </x:c>
      <x:c r="E4254" s="46" t="n">
        <x:f>D4254*(C4254-1)</x:f>
        <x:v>-0.31934008499398914</x:v>
      </x:c>
      <x:c r="F4254" s="2"/>
      <x:c r="G4254" s="2"/>
      <x:c r="H4254" s="2"/>
    </x:row>
    <x:row r="4255" ht="22" customHeight="1">
      <x:c r="A4255" s="2" t="n">
        <x:v>4249</x:v>
      </x:c>
      <x:c r="B4255" s="79" t="n">
        <x:v>0.6140868163092379</x:v>
      </x:c>
      <x:c r="C4255" s="46" t="n">
        <x:f>B4255^2</x:f>
        <x:v>0.3771026179648157</x:v>
      </x:c>
      <x:c r="D4255" s="47" t="n">
        <x:f>'Datos'!$B$26^3/3</x:f>
        <x:v>0.3333333333333333</x:v>
      </x:c>
      <x:c r="E4255" s="46" t="n">
        <x:f>D4255*(C4255-1)</x:f>
        <x:v>-0.20763246067839475</x:v>
      </x:c>
      <x:c r="F4255" s="2"/>
      <x:c r="G4255" s="2"/>
      <x:c r="H4255" s="2"/>
    </x:row>
    <x:row r="4256" ht="22" customHeight="1">
      <x:c r="A4256" s="2" t="n">
        <x:v>4250</x:v>
      </x:c>
      <x:c r="B4256" s="79" t="n">
        <x:v>-1.2730977420564304</x:v>
      </x:c>
      <x:c r="C4256" s="46" t="n">
        <x:f>B4256^2</x:f>
        <x:v>1.6207778608291816</x:v>
      </x:c>
      <x:c r="D4256" s="47" t="n">
        <x:f>'Datos'!$B$26^3/3</x:f>
        <x:v>0.3333333333333333</x:v>
      </x:c>
      <x:c r="E4256" s="46" t="n">
        <x:f>D4256*(C4256-1)</x:f>
        <x:v>0.2069259536097272</x:v>
      </x:c>
      <x:c r="F4256" s="2"/>
      <x:c r="G4256" s="2"/>
      <x:c r="H4256" s="2"/>
    </x:row>
    <x:row r="4257" ht="22" customHeight="1">
      <x:c r="A4257" s="2" t="n">
        <x:v>4251</x:v>
      </x:c>
      <x:c r="B4257" s="79" t="n">
        <x:v>-0.386649766296563</x:v>
      </x:c>
      <x:c r="C4257" s="46" t="n">
        <x:f>B4257^2</x:f>
        <x:v>0.14949804177718679</x:v>
      </x:c>
      <x:c r="D4257" s="47" t="n">
        <x:f>'Datos'!$B$26^3/3</x:f>
        <x:v>0.3333333333333333</x:v>
      </x:c>
      <x:c r="E4257" s="46" t="n">
        <x:f>D4257*(C4257-1)</x:f>
        <x:v>-0.2835006527409377</x:v>
      </x:c>
      <x:c r="F4257" s="2"/>
      <x:c r="G4257" s="2"/>
      <x:c r="H4257" s="2"/>
    </x:row>
    <x:row r="4258" ht="22" customHeight="1">
      <x:c r="A4258" s="2" t="n">
        <x:v>4252</x:v>
      </x:c>
      <x:c r="B4258" s="79" t="n">
        <x:v>0.9400320332994911</x:v>
      </x:c>
      <x:c r="C4258" s="46" t="n">
        <x:f>B4258^2</x:f>
        <x:v>0.8836602236291756</x:v>
      </x:c>
      <x:c r="D4258" s="47" t="n">
        <x:f>'Datos'!$B$26^3/3</x:f>
        <x:v>0.3333333333333333</x:v>
      </x:c>
      <x:c r="E4258" s="46" t="n">
        <x:f>D4258*(C4258-1)</x:f>
        <x:v>-0.03877992545694146</x:v>
      </x:c>
      <x:c r="F4258" s="2"/>
      <x:c r="G4258" s="2"/>
      <x:c r="H4258" s="2"/>
    </x:row>
    <x:row r="4259" ht="22" customHeight="1">
      <x:c r="A4259" s="2" t="n">
        <x:v>4253</x:v>
      </x:c>
      <x:c r="B4259" s="79" t="n">
        <x:v>0.36011661851182275</x:v>
      </x:c>
      <x:c r="C4259" s="46" t="n">
        <x:f>B4259^2</x:f>
        <x:v>0.12968397892838968</x:v>
      </x:c>
      <x:c r="D4259" s="47" t="n">
        <x:f>'Datos'!$B$26^3/3</x:f>
        <x:v>0.3333333333333333</x:v>
      </x:c>
      <x:c r="E4259" s="46" t="n">
        <x:f>D4259*(C4259-1)</x:f>
        <x:v>-0.2901053403572034</x:v>
      </x:c>
      <x:c r="F4259" s="2"/>
      <x:c r="G4259" s="2"/>
      <x:c r="H4259" s="2"/>
    </x:row>
    <x:row r="4260" ht="22" customHeight="1">
      <x:c r="A4260" s="2" t="n">
        <x:v>4254</x:v>
      </x:c>
      <x:c r="B4260" s="79" t="n">
        <x:v>0.14577372676849423</x:v>
      </x:c>
      <x:c r="C4260" s="46" t="n">
        <x:f>B4260^2</x:f>
        <x:v>0.021249979415975614</x:v>
      </x:c>
      <x:c r="D4260" s="47" t="n">
        <x:f>'Datos'!$B$26^3/3</x:f>
        <x:v>0.3333333333333333</x:v>
      </x:c>
      <x:c r="E4260" s="46" t="n">
        <x:f>D4260*(C4260-1)</x:f>
        <x:v>-0.3262500068613414</x:v>
      </x:c>
      <x:c r="F4260" s="2"/>
      <x:c r="G4260" s="2"/>
      <x:c r="H4260" s="2"/>
    </x:row>
    <x:row r="4261" ht="22" customHeight="1">
      <x:c r="A4261" s="2" t="n">
        <x:v>4255</x:v>
      </x:c>
      <x:c r="B4261" s="79" t="n">
        <x:v>0.7369097876100862</x:v>
      </x:c>
      <x:c r="C4261" s="46" t="n">
        <x:f>B4261^2</x:f>
        <x:v>0.5430360350755423</x:v>
      </x:c>
      <x:c r="D4261" s="47" t="n">
        <x:f>'Datos'!$B$26^3/3</x:f>
        <x:v>0.3333333333333333</x:v>
      </x:c>
      <x:c r="E4261" s="46" t="n">
        <x:f>D4261*(C4261-1)</x:f>
        <x:v>-0.15232132164148587</x:v>
      </x:c>
      <x:c r="F4261" s="2"/>
      <x:c r="G4261" s="2"/>
      <x:c r="H4261" s="2"/>
    </x:row>
    <x:row r="4262" ht="22" customHeight="1">
      <x:c r="A4262" s="2" t="n">
        <x:v>4256</x:v>
      </x:c>
      <x:c r="B4262" s="79" t="n">
        <x:v>-1.480523739827649</x:v>
      </x:c>
      <x:c r="C4262" s="46" t="n">
        <x:f>B4262^2</x:f>
        <x:v>2.191950544193248</x:v>
      </x:c>
      <x:c r="D4262" s="47" t="n">
        <x:f>'Datos'!$B$26^3/3</x:f>
        <x:v>0.3333333333333333</x:v>
      </x:c>
      <x:c r="E4262" s="46" t="n">
        <x:f>D4262*(C4262-1)</x:f>
        <x:v>0.39731684806441603</x:v>
      </x:c>
      <x:c r="F4262" s="2"/>
      <x:c r="G4262" s="2"/>
      <x:c r="H4262" s="2"/>
    </x:row>
    <x:row r="4263" ht="22" customHeight="1">
      <x:c r="A4263" s="2" t="n">
        <x:v>4257</x:v>
      </x:c>
      <x:c r="B4263" s="79" t="n">
        <x:v>-1.0355455189408844</x:v>
      </x:c>
      <x:c r="C4263" s="46" t="n">
        <x:f>B4263^2</x:f>
        <x:v>1.0723545217985455</x:v>
      </x:c>
      <x:c r="D4263" s="47" t="n">
        <x:f>'Datos'!$B$26^3/3</x:f>
        <x:v>0.3333333333333333</x:v>
      </x:c>
      <x:c r="E4263" s="46" t="n">
        <x:f>D4263*(C4263-1)</x:f>
        <x:v>0.024118173932848503</x:v>
      </x:c>
      <x:c r="F4263" s="2"/>
      <x:c r="G4263" s="2"/>
      <x:c r="H4263" s="2"/>
    </x:row>
    <x:row r="4264" ht="22" customHeight="1">
      <x:c r="A4264" s="2" t="n">
        <x:v>4258</x:v>
      </x:c>
      <x:c r="B4264" s="79" t="n">
        <x:v>0.6338308752469428</x:v>
      </x:c>
      <x:c r="C4264" s="46" t="n">
        <x:f>B4264^2</x:f>
        <x:v>0.4017415784163056</x:v>
      </x:c>
      <x:c r="D4264" s="47" t="n">
        <x:f>'Datos'!$B$26^3/3</x:f>
        <x:v>0.3333333333333333</x:v>
      </x:c>
      <x:c r="E4264" s="46" t="n">
        <x:f>D4264*(C4264-1)</x:f>
        <x:v>-0.19941947386123143</x:v>
      </x:c>
      <x:c r="F4264" s="2"/>
      <x:c r="G4264" s="2"/>
      <x:c r="H4264" s="2"/>
    </x:row>
    <x:row r="4265" ht="22" customHeight="1">
      <x:c r="A4265" s="2" t="n">
        <x:v>4259</x:v>
      </x:c>
      <x:c r="B4265" s="79" t="n">
        <x:v>-0.7933852379864071</x:v>
      </x:c>
      <x:c r="C4265" s="46" t="n">
        <x:f>B4265^2</x:f>
        <x:v>0.6294601358547479</x:v>
      </x:c>
      <x:c r="D4265" s="47" t="n">
        <x:f>'Datos'!$B$26^3/3</x:f>
        <x:v>0.3333333333333333</x:v>
      </x:c>
      <x:c r="E4265" s="46" t="n">
        <x:f>D4265*(C4265-1)</x:f>
        <x:v>-0.12351328804841735</x:v>
      </x:c>
      <x:c r="F4265" s="2"/>
      <x:c r="G4265" s="2"/>
      <x:c r="H4265" s="2"/>
    </x:row>
    <x:row r="4266" ht="22" customHeight="1">
      <x:c r="A4266" s="2" t="n">
        <x:v>4260</x:v>
      </x:c>
      <x:c r="B4266" s="79" t="n">
        <x:v>0.33290959021111516</x:v>
      </x:c>
      <x:c r="C4266" s="46" t="n">
        <x:f>B4266^2</x:f>
        <x:v>0.11082879525453262</x:v>
      </x:c>
      <x:c r="D4266" s="47" t="n">
        <x:f>'Datos'!$B$26^3/3</x:f>
        <x:v>0.3333333333333333</x:v>
      </x:c>
      <x:c r="E4266" s="46" t="n">
        <x:f>D4266*(C4266-1)</x:f>
        <x:v>-0.29639040158182245</x:v>
      </x:c>
      <x:c r="F4266" s="2"/>
      <x:c r="G4266" s="2"/>
      <x:c r="H4266" s="2"/>
    </x:row>
    <x:row r="4267" ht="22" customHeight="1">
      <x:c r="A4267" s="2" t="n">
        <x:v>4261</x:v>
      </x:c>
      <x:c r="B4267" s="79" t="n">
        <x:v>-0.5376147048403297</x:v>
      </x:c>
      <x:c r="C4267" s="46" t="n">
        <x:f>B4267^2</x:f>
        <x:v>0.2890295708605548</x:v>
      </x:c>
      <x:c r="D4267" s="47" t="n">
        <x:f>'Datos'!$B$26^3/3</x:f>
        <x:v>0.3333333333333333</x:v>
      </x:c>
      <x:c r="E4267" s="46" t="n">
        <x:f>D4267*(C4267-1)</x:f>
        <x:v>-0.23699014304648172</x:v>
      </x:c>
      <x:c r="F4267" s="2"/>
      <x:c r="G4267" s="2"/>
      <x:c r="H4267" s="2"/>
    </x:row>
    <x:row r="4268" ht="22" customHeight="1">
      <x:c r="A4268" s="2" t="n">
        <x:v>4262</x:v>
      </x:c>
      <x:c r="B4268" s="79" t="n">
        <x:v>-1.0754027996415807</x:v>
      </x:c>
      <x:c r="C4268" s="46" t="n">
        <x:f>B4268^2</x:f>
        <x:v>1.1564911814769498</x:v>
      </x:c>
      <x:c r="D4268" s="47" t="n">
        <x:f>'Datos'!$B$26^3/3</x:f>
        <x:v>0.3333333333333333</x:v>
      </x:c>
      <x:c r="E4268" s="46" t="n">
        <x:f>D4268*(C4268-1)</x:f>
        <x:v>0.05216372715898328</x:v>
      </x:c>
      <x:c r="F4268" s="2"/>
      <x:c r="G4268" s="2"/>
      <x:c r="H4268" s="2"/>
    </x:row>
    <x:row r="4269" ht="22" customHeight="1">
      <x:c r="A4269" s="2" t="n">
        <x:v>4263</x:v>
      </x:c>
      <x:c r="B4269" s="79" t="n">
        <x:v>-0.40550027321587095</x:v>
      </x:c>
      <x:c r="C4269" s="46" t="n">
        <x:f>B4269^2</x:f>
        <x:v>0.164430471578146</x:v>
      </x:c>
      <x:c r="D4269" s="47" t="n">
        <x:f>'Datos'!$B$26^3/3</x:f>
        <x:v>0.3333333333333333</x:v>
      </x:c>
      <x:c r="E4269" s="46" t="n">
        <x:f>D4269*(C4269-1)</x:f>
        <x:v>-0.278523176140618</x:v>
      </x:c>
      <x:c r="F4269" s="2"/>
      <x:c r="G4269" s="2"/>
      <x:c r="H4269" s="2"/>
    </x:row>
    <x:row r="4270" ht="22" customHeight="1">
      <x:c r="A4270" s="2" t="n">
        <x:v>4264</x:v>
      </x:c>
      <x:c r="B4270" s="79" t="n">
        <x:v>-1.5847211594492656</x:v>
      </x:c>
      <x:c r="C4270" s="46" t="n">
        <x:f>B4270^2</x:f>
        <x:v>2.511341153206225</x:v>
      </x:c>
      <x:c r="D4270" s="47" t="n">
        <x:f>'Datos'!$B$26^3/3</x:f>
        <x:v>0.3333333333333333</x:v>
      </x:c>
      <x:c r="E4270" s="46" t="n">
        <x:f>D4270*(C4270-1)</x:f>
        <x:v>0.503780384402075</x:v>
      </x:c>
      <x:c r="F4270" s="2"/>
      <x:c r="G4270" s="2"/>
      <x:c r="H4270" s="2"/>
    </x:row>
    <x:row r="4271" ht="22" customHeight="1">
      <x:c r="A4271" s="2" t="n">
        <x:v>4265</x:v>
      </x:c>
      <x:c r="B4271" s="79" t="n">
        <x:v>-0.9445053076137286</x:v>
      </x:c>
      <x:c r="C4271" s="46" t="n">
        <x:f>B4271^2</x:f>
        <x:v>0.8920902761105042</x:v>
      </x:c>
      <x:c r="D4271" s="47" t="n">
        <x:f>'Datos'!$B$26^3/3</x:f>
        <x:v>0.3333333333333333</x:v>
      </x:c>
      <x:c r="E4271" s="46" t="n">
        <x:f>D4271*(C4271-1)</x:f>
        <x:v>-0.03596990796316527</x:v>
      </x:c>
      <x:c r="F4271" s="2"/>
      <x:c r="G4271" s="2"/>
      <x:c r="H4271" s="2"/>
    </x:row>
    <x:row r="4272" ht="22" customHeight="1">
      <x:c r="A4272" s="2" t="n">
        <x:v>4266</x:v>
      </x:c>
      <x:c r="B4272" s="79" t="n">
        <x:v>0.6178083899985802</x:v>
      </x:c>
      <x:c r="C4272" s="46" t="n">
        <x:f>B4272^2</x:f>
        <x:v>0.3816872067526378</x:v>
      </x:c>
      <x:c r="D4272" s="47" t="n">
        <x:f>'Datos'!$B$26^3/3</x:f>
        <x:v>0.3333333333333333</x:v>
      </x:c>
      <x:c r="E4272" s="46" t="n">
        <x:f>D4272*(C4272-1)</x:f>
        <x:v>-0.20610426441578739</x:v>
      </x:c>
      <x:c r="F4272" s="2"/>
      <x:c r="G4272" s="2"/>
      <x:c r="H4272" s="2"/>
    </x:row>
    <x:row r="4273" ht="22" customHeight="1">
      <x:c r="A4273" s="2" t="n">
        <x:v>4267</x:v>
      </x:c>
      <x:c r="B4273" s="79" t="n">
        <x:v>-0.36126416347805523</x:v>
      </x:c>
      <x:c r="C4273" s="46" t="n">
        <x:f>B4273^2</x:f>
        <x:v>0.130511795813499</x:v>
      </x:c>
      <x:c r="D4273" s="47" t="n">
        <x:f>'Datos'!$B$26^3/3</x:f>
        <x:v>0.3333333333333333</x:v>
      </x:c>
      <x:c r="E4273" s="46" t="n">
        <x:f>D4273*(C4273-1)</x:f>
        <x:v>-0.2898294013955003</x:v>
      </x:c>
      <x:c r="F4273" s="2"/>
      <x:c r="G4273" s="2"/>
      <x:c r="H4273" s="2"/>
    </x:row>
    <x:row r="4274" ht="22" customHeight="1">
      <x:c r="A4274" s="2" t="n">
        <x:v>4268</x:v>
      </x:c>
      <x:c r="B4274" s="79" t="n">
        <x:v>-0.927464695892185</x:v>
      </x:c>
      <x:c r="C4274" s="46" t="n">
        <x:f>B4274^2</x:f>
        <x:v>0.8601907621263833</x:v>
      </x:c>
      <x:c r="D4274" s="47" t="n">
        <x:f>'Datos'!$B$26^3/3</x:f>
        <x:v>0.3333333333333333</x:v>
      </x:c>
      <x:c r="E4274" s="46" t="n">
        <x:f>D4274*(C4274-1)</x:f>
        <x:v>-0.04660307929120555</x:v>
      </x:c>
      <x:c r="F4274" s="2"/>
      <x:c r="G4274" s="2"/>
      <x:c r="H4274" s="2"/>
    </x:row>
    <x:row r="4275" ht="22" customHeight="1">
      <x:c r="A4275" s="2" t="n">
        <x:v>4269</x:v>
      </x:c>
      <x:c r="B4275" s="79" t="n">
        <x:v>-0.11805920591397145</x:v>
      </x:c>
      <x:c r="C4275" s="46" t="n">
        <x:f>B4275^2</x:f>
        <x:v>0.013937976101037513</x:v>
      </x:c>
      <x:c r="D4275" s="47" t="n">
        <x:f>'Datos'!$B$26^3/3</x:f>
        <x:v>0.3333333333333333</x:v>
      </x:c>
      <x:c r="E4275" s="46" t="n">
        <x:f>D4275*(C4275-1)</x:f>
        <x:v>-0.32868734129965416</x:v>
      </x:c>
      <x:c r="F4275" s="2"/>
      <x:c r="G4275" s="2"/>
      <x:c r="H4275" s="2"/>
    </x:row>
    <x:row r="4276" ht="22" customHeight="1">
      <x:c r="A4276" s="2" t="n">
        <x:v>4270</x:v>
      </x:c>
      <x:c r="B4276" s="79" t="n">
        <x:v>0.18818506997512446</x:v>
      </x:c>
      <x:c r="C4276" s="46" t="n">
        <x:f>B4276^2</x:f>
        <x:v>0.03541362056154249</x:v>
      </x:c>
      <x:c r="D4276" s="47" t="n">
        <x:f>'Datos'!$B$26^3/3</x:f>
        <x:v>0.3333333333333333</x:v>
      </x:c>
      <x:c r="E4276" s="46" t="n">
        <x:f>D4276*(C4276-1)</x:f>
        <x:v>-0.32152879314615246</x:v>
      </x:c>
      <x:c r="F4276" s="2"/>
      <x:c r="G4276" s="2"/>
      <x:c r="H4276" s="2"/>
    </x:row>
    <x:row r="4277" ht="22" customHeight="1">
      <x:c r="A4277" s="2" t="n">
        <x:v>4271</x:v>
      </x:c>
      <x:c r="B4277" s="79" t="n">
        <x:v>-0.29392792104114746</x:v>
      </x:c>
      <x:c r="C4277" s="46" t="n">
        <x:f>B4277^2</x:f>
        <x:v>0.08639362276757101</x:v>
      </x:c>
      <x:c r="D4277" s="47" t="n">
        <x:f>'Datos'!$B$26^3/3</x:f>
        <x:v>0.3333333333333333</x:v>
      </x:c>
      <x:c r="E4277" s="46" t="n">
        <x:f>D4277*(C4277-1)</x:f>
        <x:v>-0.3045354590774763</x:v>
      </x:c>
      <x:c r="F4277" s="2"/>
      <x:c r="G4277" s="2"/>
      <x:c r="H4277" s="2"/>
    </x:row>
    <x:row r="4278" ht="22" customHeight="1">
      <x:c r="A4278" s="2" t="n">
        <x:v>4272</x:v>
      </x:c>
      <x:c r="B4278" s="79" t="n">
        <x:v>-0.16657553397706928</x:v>
      </x:c>
      <x:c r="C4278" s="46" t="n">
        <x:f>B4278^2</x:f>
        <x:v>0.027747408519745765</x:v>
      </x:c>
      <x:c r="D4278" s="47" t="n">
        <x:f>'Datos'!$B$26^3/3</x:f>
        <x:v>0.3333333333333333</x:v>
      </x:c>
      <x:c r="E4278" s="46" t="n">
        <x:f>D4278*(C4278-1)</x:f>
        <x:v>-0.32408419716008474</x:v>
      </x:c>
      <x:c r="F4278" s="2"/>
      <x:c r="G4278" s="2"/>
      <x:c r="H4278" s="2"/>
    </x:row>
    <x:row r="4279" ht="22" customHeight="1">
      <x:c r="A4279" s="2" t="n">
        <x:v>4273</x:v>
      </x:c>
      <x:c r="B4279" s="79" t="n">
        <x:v>0.2923077778599978</x:v>
      </x:c>
      <x:c r="C4279" s="46" t="n">
        <x:f>B4279^2</x:f>
        <x:v>0.08544383699744981</x:v>
      </x:c>
      <x:c r="D4279" s="47" t="n">
        <x:f>'Datos'!$B$26^3/3</x:f>
        <x:v>0.3333333333333333</x:v>
      </x:c>
      <x:c r="E4279" s="46" t="n">
        <x:f>D4279*(C4279-1)</x:f>
        <x:v>-0.3048520543341834</x:v>
      </x:c>
      <x:c r="F4279" s="2"/>
      <x:c r="G4279" s="2"/>
      <x:c r="H4279" s="2"/>
    </x:row>
    <x:row r="4280" ht="22" customHeight="1">
      <x:c r="A4280" s="2" t="n">
        <x:v>4274</x:v>
      </x:c>
      <x:c r="B4280" s="79" t="n">
        <x:v>0.1087960819449236</x:v>
      </x:c>
      <x:c r="C4280" s="46" t="n">
        <x:f>B4280^2</x:f>
        <x:v>0.011836587446566531</x:v>
      </x:c>
      <x:c r="D4280" s="47" t="n">
        <x:f>'Datos'!$B$26^3/3</x:f>
        <x:v>0.3333333333333333</x:v>
      </x:c>
      <x:c r="E4280" s="46" t="n">
        <x:f>D4280*(C4280-1)</x:f>
        <x:v>-0.3293878041844778</x:v>
      </x:c>
      <x:c r="F4280" s="2"/>
      <x:c r="G4280" s="2"/>
      <x:c r="H4280" s="2"/>
    </x:row>
    <x:row r="4281" ht="22" customHeight="1">
      <x:c r="A4281" s="2" t="n">
        <x:v>4275</x:v>
      </x:c>
      <x:c r="B4281" s="79" t="n">
        <x:v>-0.004933256419465316</x:v>
      </x:c>
      <x:c r="C4281" s="46" t="n">
        <x:f>B4281^2</x:f>
        <x:v>0.00002433701890019575</x:v>
      </x:c>
      <x:c r="D4281" s="47" t="n">
        <x:f>'Datos'!$B$26^3/3</x:f>
        <x:v>0.3333333333333333</x:v>
      </x:c>
      <x:c r="E4281" s="46" t="n">
        <x:f>D4281*(C4281-1)</x:f>
        <x:v>-0.33332522099369993</x:v>
      </x:c>
      <x:c r="F4281" s="2"/>
      <x:c r="G4281" s="2"/>
      <x:c r="H4281" s="2"/>
    </x:row>
    <x:row r="4282" ht="22" customHeight="1">
      <x:c r="A4282" s="2" t="n">
        <x:v>4276</x:v>
      </x:c>
      <x:c r="B4282" s="79" t="n">
        <x:v>-0.059924582904214714</x:v>
      </x:c>
      <x:c r="C4282" s="46" t="n">
        <x:f>B4282^2</x:f>
        <x:v>0.0035909556362441024</x:v>
      </x:c>
      <x:c r="D4282" s="47" t="n">
        <x:f>'Datos'!$B$26^3/3</x:f>
        <x:v>0.3333333333333333</x:v>
      </x:c>
      <x:c r="E4282" s="46" t="n">
        <x:f>D4282*(C4282-1)</x:f>
        <x:v>-0.3321363481212519</x:v>
      </x:c>
      <x:c r="F4282" s="2"/>
      <x:c r="G4282" s="2"/>
      <x:c r="H4282" s="2"/>
    </x:row>
    <x:row r="4283" ht="22" customHeight="1">
      <x:c r="A4283" s="2" t="n">
        <x:v>4277</x:v>
      </x:c>
      <x:c r="B4283" s="79" t="n">
        <x:v>-1.6153522488201593</x:v>
      </x:c>
      <x:c r="C4283" s="46" t="n">
        <x:f>B4283^2</x:f>
        <x:v>2.609362887768346</x:v>
      </x:c>
      <x:c r="D4283" s="47" t="n">
        <x:f>'Datos'!$B$26^3/3</x:f>
        <x:v>0.3333333333333333</x:v>
      </x:c>
      <x:c r="E4283" s="46" t="n">
        <x:f>D4283*(C4283-1)</x:f>
        <x:v>0.5364542959227819</x:v>
      </x:c>
      <x:c r="F4283" s="2"/>
      <x:c r="G4283" s="2"/>
      <x:c r="H4283" s="2"/>
    </x:row>
    <x:row r="4284" ht="22" customHeight="1">
      <x:c r="A4284" s="2" t="n">
        <x:v>4278</x:v>
      </x:c>
      <x:c r="B4284" s="79" t="n">
        <x:v>-0.3631372237279232</x:v>
      </x:c>
      <x:c r="C4284" s="46" t="n">
        <x:f>B4284^2</x:f>
        <x:v>0.13186864325682374</x:v>
      </x:c>
      <x:c r="D4284" s="47" t="n">
        <x:f>'Datos'!$B$26^3/3</x:f>
        <x:v>0.3333333333333333</x:v>
      </x:c>
      <x:c r="E4284" s="46" t="n">
        <x:f>D4284*(C4284-1)</x:f>
        <x:v>-0.2893771189143921</x:v>
      </x:c>
      <x:c r="F4284" s="2"/>
      <x:c r="G4284" s="2"/>
      <x:c r="H4284" s="2"/>
    </x:row>
    <x:row r="4285" ht="22" customHeight="1">
      <x:c r="A4285" s="2" t="n">
        <x:v>4279</x:v>
      </x:c>
      <x:c r="B4285" s="79" t="n">
        <x:v>1.104578670748795</x:v>
      </x:c>
      <x:c r="C4285" s="46" t="n">
        <x:f>B4285^2</x:f>
        <x:v>1.220094039873175</x:v>
      </x:c>
      <x:c r="D4285" s="47" t="n">
        <x:f>'Datos'!$B$26^3/3</x:f>
        <x:v>0.3333333333333333</x:v>
      </x:c>
      <x:c r="E4285" s="46" t="n">
        <x:f>D4285*(C4285-1)</x:f>
        <x:v>0.073364679957725</x:v>
      </x:c>
      <x:c r="F4285" s="2"/>
      <x:c r="G4285" s="2"/>
      <x:c r="H4285" s="2"/>
    </x:row>
    <x:row r="4286" ht="22" customHeight="1">
      <x:c r="A4286" s="2" t="n">
        <x:v>4280</x:v>
      </x:c>
      <x:c r="B4286" s="79" t="n">
        <x:v>-0.47166432118568813</x:v>
      </x:c>
      <x:c r="C4286" s="46" t="n">
        <x:f>B4286^2</x:f>
        <x:v>0.22246723187955597</x:v>
      </x:c>
      <x:c r="D4286" s="47" t="n">
        <x:f>'Datos'!$B$26^3/3</x:f>
        <x:v>0.3333333333333333</x:v>
      </x:c>
      <x:c r="E4286" s="46" t="n">
        <x:f>D4286*(C4286-1)</x:f>
        <x:v>-0.25917758937348134</x:v>
      </x:c>
      <x:c r="F4286" s="2"/>
      <x:c r="G4286" s="2"/>
      <x:c r="H4286" s="2"/>
    </x:row>
    <x:row r="4287" ht="22" customHeight="1">
      <x:c r="A4287" s="2" t="n">
        <x:v>4281</x:v>
      </x:c>
      <x:c r="B4287" s="79" t="n">
        <x:v>0.8723109552968982</x:v>
      </x:c>
      <x:c r="C4287" s="46" t="n">
        <x:f>B4287^2</x:f>
        <x:v>0.7609264027309871</x:v>
      </x:c>
      <x:c r="D4287" s="47" t="n">
        <x:f>'Datos'!$B$26^3/3</x:f>
        <x:v>0.3333333333333333</x:v>
      </x:c>
      <x:c r="E4287" s="46" t="n">
        <x:f>D4287*(C4287-1)</x:f>
        <x:v>-0.07969119908967096</x:v>
      </x:c>
      <x:c r="F4287" s="2"/>
      <x:c r="G4287" s="2"/>
      <x:c r="H4287" s="2"/>
    </x:row>
    <x:row r="4288" ht="22" customHeight="1">
      <x:c r="A4288" s="2" t="n">
        <x:v>4282</x:v>
      </x:c>
      <x:c r="B4288" s="79" t="n">
        <x:v>1.5921331733698936</x:v>
      </x:c>
      <x:c r="C4288" s="46" t="n">
        <x:f>B4288^2</x:f>
        <x:v>2.5348880417448876</x:v>
      </x:c>
      <x:c r="D4288" s="47" t="n">
        <x:f>'Datos'!$B$26^3/3</x:f>
        <x:v>0.3333333333333333</x:v>
      </x:c>
      <x:c r="E4288" s="46" t="n">
        <x:f>D4288*(C4288-1)</x:f>
        <x:v>0.5116293472482958</x:v>
      </x:c>
      <x:c r="F4288" s="2"/>
      <x:c r="G4288" s="2"/>
      <x:c r="H4288" s="2"/>
    </x:row>
    <x:row r="4289" ht="22" customHeight="1">
      <x:c r="A4289" s="2" t="n">
        <x:v>4283</x:v>
      </x:c>
      <x:c r="B4289" s="79" t="n">
        <x:v>0.22153540796173737</x:v>
      </x:c>
      <x:c r="C4289" s="46" t="n">
        <x:f>B4289^2</x:f>
        <x:v>0.04907793698077341</x:v>
      </x:c>
      <x:c r="D4289" s="47" t="n">
        <x:f>'Datos'!$B$26^3/3</x:f>
        <x:v>0.3333333333333333</x:v>
      </x:c>
      <x:c r="E4289" s="46" t="n">
        <x:f>D4289*(C4289-1)</x:f>
        <x:v>-0.3169740210064088</x:v>
      </x:c>
      <x:c r="F4289" s="2"/>
      <x:c r="G4289" s="2"/>
      <x:c r="H4289" s="2"/>
    </x:row>
    <x:row r="4290" ht="22" customHeight="1">
      <x:c r="A4290" s="2" t="n">
        <x:v>4284</x:v>
      </x:c>
      <x:c r="B4290" s="79" t="n">
        <x:v>0.4255697827045725</x:v>
      </x:c>
      <x:c r="C4290" s="46" t="n">
        <x:f>B4290^2</x:f>
        <x:v>0.18110963995121707</x:v>
      </x:c>
      <x:c r="D4290" s="47" t="n">
        <x:f>'Datos'!$B$26^3/3</x:f>
        <x:v>0.3333333333333333</x:v>
      </x:c>
      <x:c r="E4290" s="46" t="n">
        <x:f>D4290*(C4290-1)</x:f>
        <x:v>-0.27296345334959426</x:v>
      </x:c>
      <x:c r="F4290" s="2"/>
      <x:c r="G4290" s="2"/>
      <x:c r="H4290" s="2"/>
    </x:row>
    <x:row r="4291" ht="22" customHeight="1">
      <x:c r="A4291" s="2" t="n">
        <x:v>4285</x:v>
      </x:c>
      <x:c r="B4291" s="79" t="n">
        <x:v>-1.6977763309280214</x:v>
      </x:c>
      <x:c r="C4291" s="46" t="n">
        <x:f>B4291^2</x:f>
        <x:v>2.8824444698594145</x:v>
      </x:c>
      <x:c r="D4291" s="47" t="n">
        <x:f>'Datos'!$B$26^3/3</x:f>
        <x:v>0.3333333333333333</x:v>
      </x:c>
      <x:c r="E4291" s="46" t="n">
        <x:f>D4291*(C4291-1)</x:f>
        <x:v>0.6274814899531381</x:v>
      </x:c>
      <x:c r="F4291" s="2"/>
      <x:c r="G4291" s="2"/>
      <x:c r="H4291" s="2"/>
    </x:row>
    <x:row r="4292" ht="22" customHeight="1">
      <x:c r="A4292" s="2" t="n">
        <x:v>4286</x:v>
      </x:c>
      <x:c r="B4292" s="79" t="n">
        <x:v>0.004901203411504676</x:v>
      </x:c>
      <x:c r="C4292" s="46" t="n">
        <x:f>B4292^2</x:f>
        <x:v>0.00002402179488094507</x:v>
      </x:c>
      <x:c r="D4292" s="47" t="n">
        <x:f>'Datos'!$B$26^3/3</x:f>
        <x:v>0.3333333333333333</x:v>
      </x:c>
      <x:c r="E4292" s="46" t="n">
        <x:f>D4292*(C4292-1)</x:f>
        <x:v>-0.333325326068373</x:v>
      </x:c>
      <x:c r="F4292" s="2"/>
      <x:c r="G4292" s="2"/>
      <x:c r="H4292" s="2"/>
    </x:row>
    <x:row r="4293" ht="22" customHeight="1">
      <x:c r="A4293" s="2" t="n">
        <x:v>4287</x:v>
      </x:c>
      <x:c r="B4293" s="79" t="n">
        <x:v>-0.7856817794341739</x:v>
      </x:c>
      <x:c r="C4293" s="46" t="n">
        <x:f>B4293^2</x:f>
        <x:v>0.6172958585348499</x:v>
      </x:c>
      <x:c r="D4293" s="47" t="n">
        <x:f>'Datos'!$B$26^3/3</x:f>
        <x:v>0.3333333333333333</x:v>
      </x:c>
      <x:c r="E4293" s="46" t="n">
        <x:f>D4293*(C4293-1)</x:f>
        <x:v>-0.12756804715505002</x:v>
      </x:c>
      <x:c r="F4293" s="2"/>
      <x:c r="G4293" s="2"/>
      <x:c r="H4293" s="2"/>
    </x:row>
    <x:row r="4294" ht="22" customHeight="1">
      <x:c r="A4294" s="2" t="n">
        <x:v>4288</x:v>
      </x:c>
      <x:c r="B4294" s="79" t="n">
        <x:v>-0.8816446524612038</x:v>
      </x:c>
      <x:c r="C4294" s="46" t="n">
        <x:f>B4294^2</x:f>
        <x:v>0.7772972932134369</x:v>
      </x:c>
      <x:c r="D4294" s="47" t="n">
        <x:f>'Datos'!$B$26^3/3</x:f>
        <x:v>0.3333333333333333</x:v>
      </x:c>
      <x:c r="E4294" s="46" t="n">
        <x:f>D4294*(C4294-1)</x:f>
        <x:v>-0.07423423559552103</x:v>
      </x:c>
      <x:c r="F4294" s="2"/>
      <x:c r="G4294" s="2"/>
      <x:c r="H4294" s="2"/>
    </x:row>
    <x:row r="4295" ht="22" customHeight="1">
      <x:c r="A4295" s="2" t="n">
        <x:v>4289</x:v>
      </x:c>
      <x:c r="B4295" s="79" t="n">
        <x:v>0.737638481592816</x:v>
      </x:c>
      <x:c r="C4295" s="46" t="n">
        <x:f>B4295^2</x:f>
        <x:v>0.5441105295265551</x:v>
      </x:c>
      <x:c r="D4295" s="47" t="n">
        <x:f>'Datos'!$B$26^3/3</x:f>
        <x:v>0.3333333333333333</x:v>
      </x:c>
      <x:c r="E4295" s="46" t="n">
        <x:f>D4295*(C4295-1)</x:f>
        <x:v>-0.1519631568244816</x:v>
      </x:c>
      <x:c r="F4295" s="2"/>
      <x:c r="G4295" s="2"/>
      <x:c r="H4295" s="2"/>
    </x:row>
    <x:row r="4296" ht="22" customHeight="1">
      <x:c r="A4296" s="2" t="n">
        <x:v>4290</x:v>
      </x:c>
      <x:c r="B4296" s="79" t="n">
        <x:v>-0.9469123154726725</x:v>
      </x:c>
      <x:c r="C4296" s="46" t="n">
        <x:f>B4296^2</x:f>
        <x:v>0.896642933193818</x:v>
      </x:c>
      <x:c r="D4296" s="47" t="n">
        <x:f>'Datos'!$B$26^3/3</x:f>
        <x:v>0.3333333333333333</x:v>
      </x:c>
      <x:c r="E4296" s="46" t="n">
        <x:f>D4296*(C4296-1)</x:f>
        <x:v>-0.03445235560206065</x:v>
      </x:c>
      <x:c r="F4296" s="2"/>
      <x:c r="G4296" s="2"/>
      <x:c r="H4296" s="2"/>
    </x:row>
    <x:row r="4297" ht="22" customHeight="1">
      <x:c r="A4297" s="2" t="n">
        <x:v>4291</x:v>
      </x:c>
      <x:c r="B4297" s="79" t="n">
        <x:v>0.7853112560124204</x:v>
      </x:c>
      <x:c r="C4297" s="46" t="n">
        <x:f>B4297^2</x:f>
        <x:v>0.6167137688198052</x:v>
      </x:c>
      <x:c r="D4297" s="47" t="n">
        <x:f>'Datos'!$B$26^3/3</x:f>
        <x:v>0.3333333333333333</x:v>
      </x:c>
      <x:c r="E4297" s="46" t="n">
        <x:f>D4297*(C4297-1)</x:f>
        <x:v>-0.12776207706006493</x:v>
      </x:c>
      <x:c r="F4297" s="2"/>
      <x:c r="G4297" s="2"/>
      <x:c r="H4297" s="2"/>
    </x:row>
    <x:row r="4298" ht="22" customHeight="1">
      <x:c r="A4298" s="2" t="n">
        <x:v>4292</x:v>
      </x:c>
      <x:c r="B4298" s="79" t="n">
        <x:v>0.653025954790748</x:v>
      </x:c>
      <x:c r="C4298" s="46" t="n">
        <x:f>B4298^2</x:f>
        <x:v>0.426442897630368</x:v>
      </x:c>
      <x:c r="D4298" s="47" t="n">
        <x:f>'Datos'!$B$26^3/3</x:f>
        <x:v>0.3333333333333333</x:v>
      </x:c>
      <x:c r="E4298" s="46" t="n">
        <x:f>D4298*(C4298-1)</x:f>
        <x:v>-0.19118570078987732</x:v>
      </x:c>
      <x:c r="F4298" s="2"/>
      <x:c r="G4298" s="2"/>
      <x:c r="H4298" s="2"/>
    </x:row>
    <x:row r="4299" ht="22" customHeight="1">
      <x:c r="A4299" s="2" t="n">
        <x:v>4293</x:v>
      </x:c>
      <x:c r="B4299" s="79" t="n">
        <x:v>0.8478283815385133</x:v>
      </x:c>
      <x:c r="C4299" s="46" t="n">
        <x:f>B4299^2</x:f>
        <x:v>0.7188129645422148</x:v>
      </x:c>
      <x:c r="D4299" s="47" t="n">
        <x:f>'Datos'!$B$26^3/3</x:f>
        <x:v>0.3333333333333333</x:v>
      </x:c>
      <x:c r="E4299" s="46" t="n">
        <x:f>D4299*(C4299-1)</x:f>
        <x:v>-0.09372901181926174</x:v>
      </x:c>
      <x:c r="F4299" s="2"/>
      <x:c r="G4299" s="2"/>
      <x:c r="H4299" s="2"/>
    </x:row>
    <x:row r="4300" ht="22" customHeight="1">
      <x:c r="A4300" s="2" t="n">
        <x:v>4294</x:v>
      </x:c>
      <x:c r="B4300" s="79" t="n">
        <x:v>-0.4011669407487507</x:v>
      </x:c>
      <x:c r="C4300" s="46" t="n">
        <x:f>B4300^2</x:f>
        <x:v>0.16093491434971166</x:v>
      </x:c>
      <x:c r="D4300" s="47" t="n">
        <x:f>'Datos'!$B$26^3/3</x:f>
        <x:v>0.3333333333333333</x:v>
      </x:c>
      <x:c r="E4300" s="46" t="n">
        <x:f>D4300*(C4300-1)</x:f>
        <x:v>-0.27968836188342944</x:v>
      </x:c>
      <x:c r="F4300" s="2"/>
      <x:c r="G4300" s="2"/>
      <x:c r="H4300" s="2"/>
    </x:row>
    <x:row r="4301" ht="22" customHeight="1">
      <x:c r="A4301" s="2" t="n">
        <x:v>4295</x:v>
      </x:c>
      <x:c r="B4301" s="79" t="n">
        <x:v>-0.9204558722973545</x:v>
      </x:c>
      <x:c r="C4301" s="46" t="n">
        <x:f>B4301^2</x:f>
        <x:v>0.8472390128466838</x:v>
      </x:c>
      <x:c r="D4301" s="47" t="n">
        <x:f>'Datos'!$B$26^3/3</x:f>
        <x:v>0.3333333333333333</x:v>
      </x:c>
      <x:c r="E4301" s="46" t="n">
        <x:f>D4301*(C4301-1)</x:f>
        <x:v>-0.0509203290511054</x:v>
      </x:c>
      <x:c r="F4301" s="2"/>
      <x:c r="G4301" s="2"/>
      <x:c r="H4301" s="2"/>
    </x:row>
    <x:row r="4302" ht="22" customHeight="1">
      <x:c r="A4302" s="2" t="n">
        <x:v>4296</x:v>
      </x:c>
      <x:c r="B4302" s="79" t="n">
        <x:v>0.6429788306834162</x:v>
      </x:c>
      <x:c r="C4302" s="46" t="n">
        <x:f>B4302^2</x:f>
        <x:v>0.4134217767070132</x:v>
      </x:c>
      <x:c r="D4302" s="47" t="n">
        <x:f>'Datos'!$B$26^3/3</x:f>
        <x:v>0.3333333333333333</x:v>
      </x:c>
      <x:c r="E4302" s="46" t="n">
        <x:f>D4302*(C4302-1)</x:f>
        <x:v>-0.1955260744309956</x:v>
      </x:c>
      <x:c r="F4302" s="2"/>
      <x:c r="G4302" s="2"/>
      <x:c r="H4302" s="2"/>
    </x:row>
    <x:row r="4303" ht="22" customHeight="1">
      <x:c r="A4303" s="2" t="n">
        <x:v>4297</x:v>
      </x:c>
      <x:c r="B4303" s="79" t="n">
        <x:v>-0.10711478562438093</x:v>
      </x:c>
      <x:c r="C4303" s="46" t="n">
        <x:f>B4303^2</x:f>
        <x:v>0.011473577299357083</x:v>
      </x:c>
      <x:c r="D4303" s="47" t="n">
        <x:f>'Datos'!$B$26^3/3</x:f>
        <x:v>0.3333333333333333</x:v>
      </x:c>
      <x:c r="E4303" s="46" t="n">
        <x:f>D4303*(C4303-1)</x:f>
        <x:v>-0.32950880756688095</x:v>
      </x:c>
      <x:c r="F4303" s="2"/>
      <x:c r="G4303" s="2"/>
      <x:c r="H4303" s="2"/>
    </x:row>
    <x:row r="4304" ht="22" customHeight="1">
      <x:c r="A4304" s="2" t="n">
        <x:v>4298</x:v>
      </x:c>
      <x:c r="B4304" s="79" t="n">
        <x:v>-1.6642083504029241</x:v>
      </x:c>
      <x:c r="C4304" s="46" t="n">
        <x:f>B4304^2</x:f>
        <x:v>2.7695894335508218</x:v>
      </x:c>
      <x:c r="D4304" s="47" t="n">
        <x:f>'Datos'!$B$26^3/3</x:f>
        <x:v>0.3333333333333333</x:v>
      </x:c>
      <x:c r="E4304" s="46" t="n">
        <x:f>D4304*(C4304-1)</x:f>
        <x:v>0.5898631445169406</x:v>
      </x:c>
      <x:c r="F4304" s="2"/>
      <x:c r="G4304" s="2"/>
      <x:c r="H4304" s="2"/>
    </x:row>
    <x:row r="4305" ht="22" customHeight="1">
      <x:c r="A4305" s="2" t="n">
        <x:v>4299</x:v>
      </x:c>
      <x:c r="B4305" s="79" t="n">
        <x:v>-0.9267315701906627</x:v>
      </x:c>
      <x:c r="C4305" s="46" t="n">
        <x:f>B4305^2</x:f>
        <x:v>0.8588314031880511</x:v>
      </x:c>
      <x:c r="D4305" s="47" t="n">
        <x:f>'Datos'!$B$26^3/3</x:f>
        <x:v>0.3333333333333333</x:v>
      </x:c>
      <x:c r="E4305" s="46" t="n">
        <x:f>D4305*(C4305-1)</x:f>
        <x:v>-0.04705619893731631</x:v>
      </x:c>
      <x:c r="F4305" s="2"/>
      <x:c r="G4305" s="2"/>
      <x:c r="H4305" s="2"/>
    </x:row>
    <x:row r="4306" ht="22" customHeight="1">
      <x:c r="A4306" s="2" t="n">
        <x:v>4300</x:v>
      </x:c>
      <x:c r="B4306" s="79" t="n">
        <x:v>0.5070826488773154</x:v>
      </x:c>
      <x:c r="C4306" s="46" t="n">
        <x:f>B4306^2</x:f>
        <x:v>0.2571328127924347</x:v>
      </x:c>
      <x:c r="D4306" s="47" t="n">
        <x:f>'Datos'!$B$26^3/3</x:f>
        <x:v>0.3333333333333333</x:v>
      </x:c>
      <x:c r="E4306" s="46" t="n">
        <x:f>D4306*(C4306-1)</x:f>
        <x:v>-0.2476223957358551</x:v>
      </x:c>
      <x:c r="F4306" s="2"/>
      <x:c r="G4306" s="2"/>
      <x:c r="H4306" s="2"/>
    </x:row>
    <x:row r="4307" ht="22" customHeight="1">
      <x:c r="A4307" s="2" t="n">
        <x:v>4301</x:v>
      </x:c>
      <x:c r="B4307" s="79" t="n">
        <x:v>2.2769035171955285</x:v>
      </x:c>
      <x:c r="C4307" s="46" t="n">
        <x:f>B4307^2</x:f>
        <x:v>5.184289626617368</x:v>
      </x:c>
      <x:c r="D4307" s="47" t="n">
        <x:f>'Datos'!$B$26^3/3</x:f>
        <x:v>0.3333333333333333</x:v>
      </x:c>
      <x:c r="E4307" s="46" t="n">
        <x:f>D4307*(C4307-1)</x:f>
        <x:v>1.394763208872456</x:v>
      </x:c>
      <x:c r="F4307" s="2"/>
      <x:c r="G4307" s="2"/>
      <x:c r="H4307" s="2"/>
    </x:row>
    <x:row r="4308" ht="22" customHeight="1">
      <x:c r="A4308" s="2" t="n">
        <x:v>4302</x:v>
      </x:c>
      <x:c r="B4308" s="79" t="n">
        <x:v>0.9081008758354054</x:v>
      </x:c>
      <x:c r="C4308" s="46" t="n">
        <x:f>B4308^2</x:f>
        <x:v>0.8246472006930304</x:v>
      </x:c>
      <x:c r="D4308" s="47" t="n">
        <x:f>'Datos'!$B$26^3/3</x:f>
        <x:v>0.3333333333333333</x:v>
      </x:c>
      <x:c r="E4308" s="46" t="n">
        <x:f>D4308*(C4308-1)</x:f>
        <x:v>-0.05845093310232319</x:v>
      </x:c>
      <x:c r="F4308" s="2"/>
      <x:c r="G4308" s="2"/>
      <x:c r="H4308" s="2"/>
    </x:row>
    <x:row r="4309" ht="22" customHeight="1">
      <x:c r="A4309" s="2" t="n">
        <x:v>4303</x:v>
      </x:c>
      <x:c r="B4309" s="79" t="n">
        <x:v>0.261302682089418</x:v>
      </x:c>
      <x:c r="C4309" s="46" t="n">
        <x:f>B4309^2</x:f>
        <x:v>0.06827909166712344</x:v>
      </x:c>
      <x:c r="D4309" s="47" t="n">
        <x:f>'Datos'!$B$26^3/3</x:f>
        <x:v>0.3333333333333333</x:v>
      </x:c>
      <x:c r="E4309" s="46" t="n">
        <x:f>D4309*(C4309-1)</x:f>
        <x:v>-0.31057363611095884</x:v>
      </x:c>
      <x:c r="F4309" s="2"/>
      <x:c r="G4309" s="2"/>
      <x:c r="H4309" s="2"/>
    </x:row>
    <x:row r="4310" ht="22" customHeight="1">
      <x:c r="A4310" s="2" t="n">
        <x:v>4304</x:v>
      </x:c>
      <x:c r="B4310" s="79" t="n">
        <x:v>-0.49870967679927525</x:v>
      </x:c>
      <x:c r="C4310" s="46" t="n">
        <x:f>B4310^2</x:f>
        <x:v>0.24871134173323758</x:v>
      </x:c>
      <x:c r="D4310" s="47" t="n">
        <x:f>'Datos'!$B$26^3/3</x:f>
        <x:v>0.3333333333333333</x:v>
      </x:c>
      <x:c r="E4310" s="46" t="n">
        <x:f>D4310*(C4310-1)</x:f>
        <x:v>-0.2504295527555874</x:v>
      </x:c>
      <x:c r="F4310" s="2"/>
      <x:c r="G4310" s="2"/>
      <x:c r="H4310" s="2"/>
    </x:row>
    <x:row r="4311" ht="22" customHeight="1">
      <x:c r="A4311" s="2" t="n">
        <x:v>4305</x:v>
      </x:c>
      <x:c r="B4311" s="79" t="n">
        <x:v>-2.357822031605172</x:v>
      </x:c>
      <x:c r="C4311" s="46" t="n">
        <x:f>B4311^2</x:f>
        <x:v>5.55932473272274</x:v>
      </x:c>
      <x:c r="D4311" s="47" t="n">
        <x:f>'Datos'!$B$26^3/3</x:f>
        <x:v>0.3333333333333333</x:v>
      </x:c>
      <x:c r="E4311" s="46" t="n">
        <x:f>D4311*(C4311-1)</x:f>
        <x:v>1.51977491090758</x:v>
      </x:c>
      <x:c r="F4311" s="2"/>
      <x:c r="G4311" s="2"/>
      <x:c r="H4311" s="2"/>
    </x:row>
    <x:row r="4312" ht="22" customHeight="1">
      <x:c r="A4312" s="2" t="n">
        <x:v>4306</x:v>
      </x:c>
      <x:c r="B4312" s="79" t="n">
        <x:v>-0.40907959886534706</x:v>
      </x:c>
      <x:c r="C4312" s="46" t="n">
        <x:f>B4312^2</x:f>
        <x:v>0.16734611820783327</x:v>
      </x:c>
      <x:c r="D4312" s="47" t="n">
        <x:f>'Datos'!$B$26^3/3</x:f>
        <x:v>0.3333333333333333</x:v>
      </x:c>
      <x:c r="E4312" s="46" t="n">
        <x:f>D4312*(C4312-1)</x:f>
        <x:v>-0.2775512939307222</x:v>
      </x:c>
      <x:c r="F4312" s="2"/>
      <x:c r="G4312" s="2"/>
      <x:c r="H4312" s="2"/>
    </x:row>
    <x:row r="4313" ht="22" customHeight="1">
      <x:c r="A4313" s="2" t="n">
        <x:v>4307</x:v>
      </x:c>
      <x:c r="B4313" s="79" t="n">
        <x:v>0.16056020120238565</x:v>
      </x:c>
      <x:c r="C4313" s="46" t="n">
        <x:f>B4313^2</x:f>
        <x:v>0.02577957821015056</x:v>
      </x:c>
      <x:c r="D4313" s="47" t="n">
        <x:f>'Datos'!$B$26^3/3</x:f>
        <x:v>0.3333333333333333</x:v>
      </x:c>
      <x:c r="E4313" s="46" t="n">
        <x:f>D4313*(C4313-1)</x:f>
        <x:v>-0.3247401405966165</x:v>
      </x:c>
      <x:c r="F4313" s="2"/>
      <x:c r="G4313" s="2"/>
      <x:c r="H4313" s="2"/>
    </x:row>
    <x:row r="4314" ht="22" customHeight="1">
      <x:c r="A4314" s="2" t="n">
        <x:v>4308</x:v>
      </x:c>
      <x:c r="B4314" s="79" t="n">
        <x:v>-0.4991298842158416</x:v>
      </x:c>
      <x:c r="C4314" s="46" t="n">
        <x:f>B4314^2</x:f>
        <x:v>0.24913064131731943</x:v>
      </x:c>
      <x:c r="D4314" s="47" t="n">
        <x:f>'Datos'!$B$26^3/3</x:f>
        <x:v>0.3333333333333333</x:v>
      </x:c>
      <x:c r="E4314" s="46" t="n">
        <x:f>D4314*(C4314-1)</x:f>
        <x:v>-0.25028978622756015</x:v>
      </x:c>
      <x:c r="F4314" s="2"/>
      <x:c r="G4314" s="2"/>
      <x:c r="H4314" s="2"/>
    </x:row>
    <x:row r="4315" ht="22" customHeight="1">
      <x:c r="A4315" s="2" t="n">
        <x:v>4309</x:v>
      </x:c>
      <x:c r="B4315" s="79" t="n">
        <x:v>-0.1298773468087816</x:v>
      </x:c>
      <x:c r="C4315" s="46" t="n">
        <x:f>B4315^2</x:f>
        <x:v>0.016868125214088533</x:v>
      </x:c>
      <x:c r="D4315" s="47" t="n">
        <x:f>'Datos'!$B$26^3/3</x:f>
        <x:v>0.3333333333333333</x:v>
      </x:c>
      <x:c r="E4315" s="46" t="n">
        <x:f>D4315*(C4315-1)</x:f>
        <x:v>-0.3277106249286371</x:v>
      </x:c>
      <x:c r="F4315" s="2"/>
      <x:c r="G4315" s="2"/>
      <x:c r="H4315" s="2"/>
    </x:row>
    <x:row r="4316" ht="22" customHeight="1">
      <x:c r="A4316" s="2" t="n">
        <x:v>4310</x:v>
      </x:c>
      <x:c r="B4316" s="79" t="n">
        <x:v>0.5732501813098986</x:v>
      </x:c>
      <x:c r="C4316" s="46" t="n">
        <x:f>B4316^2</x:f>
        <x:v>0.3286157703718316</x:v>
      </x:c>
      <x:c r="D4316" s="47" t="n">
        <x:f>'Datos'!$B$26^3/3</x:f>
        <x:v>0.3333333333333333</x:v>
      </x:c>
      <x:c r="E4316" s="46" t="n">
        <x:f>D4316*(C4316-1)</x:f>
        <x:v>-0.22379474320938947</x:v>
      </x:c>
      <x:c r="F4316" s="2"/>
      <x:c r="G4316" s="2"/>
      <x:c r="H4316" s="2"/>
    </x:row>
    <x:row r="4317" ht="22" customHeight="1">
      <x:c r="A4317" s="2" t="n">
        <x:v>4311</x:v>
      </x:c>
      <x:c r="B4317" s="79" t="n">
        <x:v>0.27615363398318177</x:v>
      </x:c>
      <x:c r="C4317" s="46" t="n">
        <x:f>B4317^2</x:f>
        <x:v>0.07626082956211712</x:v>
      </x:c>
      <x:c r="D4317" s="47" t="n">
        <x:f>'Datos'!$B$26^3/3</x:f>
        <x:v>0.3333333333333333</x:v>
      </x:c>
      <x:c r="E4317" s="46" t="n">
        <x:f>D4317*(C4317-1)</x:f>
        <x:v>-0.3079130568126276</x:v>
      </x:c>
      <x:c r="F4317" s="2"/>
      <x:c r="G4317" s="2"/>
      <x:c r="H4317" s="2"/>
    </x:row>
    <x:row r="4318" ht="22" customHeight="1">
      <x:c r="A4318" s="2" t="n">
        <x:v>4312</x:v>
      </x:c>
      <x:c r="B4318" s="79" t="n">
        <x:v>0.7486268179726437</x:v>
      </x:c>
      <x:c r="C4318" s="46" t="n">
        <x:f>B4318^2</x:f>
        <x:v>0.5604421125878458</x:v>
      </x:c>
      <x:c r="D4318" s="47" t="n">
        <x:f>'Datos'!$B$26^3/3</x:f>
        <x:v>0.3333333333333333</x:v>
      </x:c>
      <x:c r="E4318" s="46" t="n">
        <x:f>D4318*(C4318-1)</x:f>
        <x:v>-0.14651929580405137</x:v>
      </x:c>
      <x:c r="F4318" s="2"/>
      <x:c r="G4318" s="2"/>
      <x:c r="H4318" s="2"/>
    </x:row>
    <x:row r="4319" ht="22" customHeight="1">
      <x:c r="A4319" s="2" t="n">
        <x:v>4313</x:v>
      </x:c>
      <x:c r="B4319" s="79" t="n">
        <x:v>0.9791698169222345</x:v>
      </x:c>
      <x:c r="C4319" s="46" t="n">
        <x:f>B4319^2</x:f>
        <x:v>0.9587735303715222</x:v>
      </x:c>
      <x:c r="D4319" s="47" t="n">
        <x:f>'Datos'!$B$26^3/3</x:f>
        <x:v>0.3333333333333333</x:v>
      </x:c>
      <x:c r="E4319" s="46" t="n">
        <x:f>D4319*(C4319-1)</x:f>
        <x:v>-0.013742156542825918</x:v>
      </x:c>
      <x:c r="F4319" s="2"/>
      <x:c r="G4319" s="2"/>
      <x:c r="H4319" s="2"/>
    </x:row>
    <x:row r="4320" ht="22" customHeight="1">
      <x:c r="A4320" s="2" t="n">
        <x:v>4314</x:v>
      </x:c>
      <x:c r="B4320" s="79" t="n">
        <x:v>-0.5008090636554808</x:v>
      </x:c>
      <x:c r="C4320" s="46" t="n">
        <x:f>B4320^2</x:f>
        <x:v>0.25080971823947945</x:v>
      </x:c>
      <x:c r="D4320" s="47" t="n">
        <x:f>'Datos'!$B$26^3/3</x:f>
        <x:v>0.3333333333333333</x:v>
      </x:c>
      <x:c r="E4320" s="46" t="n">
        <x:f>D4320*(C4320-1)</x:f>
        <x:v>-0.24973009392017348</x:v>
      </x:c>
      <x:c r="F4320" s="2"/>
      <x:c r="G4320" s="2"/>
      <x:c r="H4320" s="2"/>
    </x:row>
    <x:row r="4321" ht="22" customHeight="1">
      <x:c r="A4321" s="2" t="n">
        <x:v>4315</x:v>
      </x:c>
      <x:c r="B4321" s="79" t="n">
        <x:v>1.3904238648156961</x:v>
      </x:c>
      <x:c r="C4321" s="46" t="n">
        <x:f>B4321^2</x:f>
        <x:v>1.9332785238490173</x:v>
      </x:c>
      <x:c r="D4321" s="47" t="n">
        <x:f>'Datos'!$B$26^3/3</x:f>
        <x:v>0.3333333333333333</x:v>
      </x:c>
      <x:c r="E4321" s="46" t="n">
        <x:f>D4321*(C4321-1)</x:f>
        <x:v>0.31109284128300574</x:v>
      </x:c>
      <x:c r="F4321" s="2"/>
      <x:c r="G4321" s="2"/>
      <x:c r="H4321" s="2"/>
    </x:row>
    <x:row r="4322" ht="22" customHeight="1">
      <x:c r="A4322" s="2" t="n">
        <x:v>4316</x:v>
      </x:c>
      <x:c r="B4322" s="79" t="n">
        <x:v>0.984092093048826</x:v>
      </x:c>
      <x:c r="C4322" s="46" t="n">
        <x:f>B4322^2</x:f>
        <x:v>0.9684372476012193</x:v>
      </x:c>
      <x:c r="D4322" s="47" t="n">
        <x:f>'Datos'!$B$26^3/3</x:f>
        <x:v>0.3333333333333333</x:v>
      </x:c>
      <x:c r="E4322" s="46" t="n">
        <x:f>D4322*(C4322-1)</x:f>
        <x:v>-0.010520917466260233</x:v>
      </x:c>
      <x:c r="F4322" s="2"/>
      <x:c r="G4322" s="2"/>
      <x:c r="H4322" s="2"/>
    </x:row>
    <x:row r="4323" ht="22" customHeight="1">
      <x:c r="A4323" s="2" t="n">
        <x:v>4317</x:v>
      </x:c>
      <x:c r="B4323" s="79" t="n">
        <x:v>0.45147875762684825</x:v>
      </x:c>
      <x:c r="C4323" s="46" t="n">
        <x:f>B4323^2</x:f>
        <x:v>0.20383306858828237</x:v>
      </x:c>
      <x:c r="D4323" s="47" t="n">
        <x:f>'Datos'!$B$26^3/3</x:f>
        <x:v>0.3333333333333333</x:v>
      </x:c>
      <x:c r="E4323" s="46" t="n">
        <x:f>D4323*(C4323-1)</x:f>
        <x:v>-0.2653889771372392</x:v>
      </x:c>
      <x:c r="F4323" s="2"/>
      <x:c r="G4323" s="2"/>
      <x:c r="H4323" s="2"/>
    </x:row>
    <x:row r="4324" ht="22" customHeight="1">
      <x:c r="A4324" s="2" t="n">
        <x:v>4318</x:v>
      </x:c>
      <x:c r="B4324" s="79" t="n">
        <x:v>-1.0760556749763854</x:v>
      </x:c>
      <x:c r="C4324" s="46" t="n">
        <x:f>B4324^2</x:f>
        <x:v>1.1578958156488846</x:v>
      </x:c>
      <x:c r="D4324" s="47" t="n">
        <x:f>'Datos'!$B$26^3/3</x:f>
        <x:v>0.3333333333333333</x:v>
      </x:c>
      <x:c r="E4324" s="46" t="n">
        <x:f>D4324*(C4324-1)</x:f>
        <x:v>0.05263193854962818</x:v>
      </x:c>
      <x:c r="F4324" s="2"/>
      <x:c r="G4324" s="2"/>
      <x:c r="H4324" s="2"/>
    </x:row>
    <x:row r="4325" ht="22" customHeight="1">
      <x:c r="A4325" s="2" t="n">
        <x:v>4319</x:v>
      </x:c>
      <x:c r="B4325" s="79" t="n">
        <x:v>-0.33323828136334976</x:v>
      </x:c>
      <x:c r="C4325" s="46" t="n">
        <x:f>B4325^2</x:f>
        <x:v>0.11104775216599906</x:v>
      </x:c>
      <x:c r="D4325" s="47" t="n">
        <x:f>'Datos'!$B$26^3/3</x:f>
        <x:v>0.3333333333333333</x:v>
      </x:c>
      <x:c r="E4325" s="46" t="n">
        <x:f>D4325*(C4325-1)</x:f>
        <x:v>-0.296317415944667</x:v>
      </x:c>
      <x:c r="F4325" s="2"/>
      <x:c r="G4325" s="2"/>
      <x:c r="H4325" s="2"/>
    </x:row>
    <x:row r="4326" ht="22" customHeight="1">
      <x:c r="A4326" s="2" t="n">
        <x:v>4320</x:v>
      </x:c>
      <x:c r="B4326" s="79" t="n">
        <x:v>2.226241927906218</x:v>
      </x:c>
      <x:c r="C4326" s="46" t="n">
        <x:f>B4326^2</x:f>
        <x:v>4.956153121567595</x:v>
      </x:c>
      <x:c r="D4326" s="47" t="n">
        <x:f>'Datos'!$B$26^3/3</x:f>
        <x:v>0.3333333333333333</x:v>
      </x:c>
      <x:c r="E4326" s="46" t="n">
        <x:f>D4326*(C4326-1)</x:f>
        <x:v>1.3187177071891982</x:v>
      </x:c>
      <x:c r="F4326" s="2"/>
      <x:c r="G4326" s="2"/>
      <x:c r="H4326" s="2"/>
    </x:row>
    <x:row r="4327" ht="22" customHeight="1">
      <x:c r="A4327" s="2" t="n">
        <x:v>4321</x:v>
      </x:c>
      <x:c r="B4327" s="79" t="n">
        <x:v>-0.8340190799163053</x:v>
      </x:c>
      <x:c r="C4327" s="46" t="n">
        <x:f>B4327^2</x:f>
        <x:v>0.6955878256644404</x:v>
      </x:c>
      <x:c r="D4327" s="47" t="n">
        <x:f>'Datos'!$B$26^3/3</x:f>
        <x:v>0.3333333333333333</x:v>
      </x:c>
      <x:c r="E4327" s="46" t="n">
        <x:f>D4327*(C4327-1)</x:f>
        <x:v>-0.10147072477851984</x:v>
      </x:c>
      <x:c r="F4327" s="2"/>
      <x:c r="G4327" s="2"/>
      <x:c r="H4327" s="2"/>
    </x:row>
    <x:row r="4328" ht="22" customHeight="1">
      <x:c r="A4328" s="2" t="n">
        <x:v>4322</x:v>
      </x:c>
      <x:c r="B4328" s="79" t="n">
        <x:v>0.03507174400489946</x:v>
      </x:c>
      <x:c r="C4328" s="46" t="n">
        <x:f>B4328^2</x:f>
        <x:v>0.001230027227545201</x:v>
      </x:c>
      <x:c r="D4328" s="47" t="n">
        <x:f>'Datos'!$B$26^3/3</x:f>
        <x:v>0.3333333333333333</x:v>
      </x:c>
      <x:c r="E4328" s="46" t="n">
        <x:f>D4328*(C4328-1)</x:f>
        <x:v>-0.33292332425748494</x:v>
      </x:c>
      <x:c r="F4328" s="2"/>
      <x:c r="G4328" s="2"/>
      <x:c r="H4328" s="2"/>
    </x:row>
    <x:row r="4329" ht="22" customHeight="1">
      <x:c r="A4329" s="2" t="n">
        <x:v>4323</x:v>
      </x:c>
      <x:c r="B4329" s="79" t="n">
        <x:v>-0.7708544771234107</x:v>
      </x:c>
      <x:c r="C4329" s="46" t="n">
        <x:f>B4329^2</x:f>
        <x:v>0.594216624901207</x:v>
      </x:c>
      <x:c r="D4329" s="47" t="n">
        <x:f>'Datos'!$B$26^3/3</x:f>
        <x:v>0.3333333333333333</x:v>
      </x:c>
      <x:c r="E4329" s="46" t="n">
        <x:f>D4329*(C4329-1)</x:f>
        <x:v>-0.135261125032931</x:v>
      </x:c>
      <x:c r="F4329" s="2"/>
      <x:c r="G4329" s="2"/>
      <x:c r="H4329" s="2"/>
    </x:row>
    <x:row r="4330" ht="22" customHeight="1">
      <x:c r="A4330" s="2" t="n">
        <x:v>4324</x:v>
      </x:c>
      <x:c r="B4330" s="79" t="n">
        <x:v>-0.464767446975028</x:v>
      </x:c>
      <x:c r="C4330" s="46" t="n">
        <x:f>B4330^2</x:f>
        <x:v>0.21600877976768545</x:v>
      </x:c>
      <x:c r="D4330" s="47" t="n">
        <x:f>'Datos'!$B$26^3/3</x:f>
        <x:v>0.3333333333333333</x:v>
      </x:c>
      <x:c r="E4330" s="46" t="n">
        <x:f>D4330*(C4330-1)</x:f>
        <x:v>-0.2613304067441048</x:v>
      </x:c>
      <x:c r="F4330" s="2"/>
      <x:c r="G4330" s="2"/>
      <x:c r="H4330" s="2"/>
    </x:row>
    <x:row r="4331" ht="22" customHeight="1">
      <x:c r="A4331" s="2" t="n">
        <x:v>4325</x:v>
      </x:c>
      <x:c r="B4331" s="79" t="n">
        <x:v>0.26106744028094425</x:v>
      </x:c>
      <x:c r="C4331" s="46" t="n">
        <x:f>B4331^2</x:f>
        <x:v>0.06815620837484439</x:v>
      </x:c>
      <x:c r="D4331" s="47" t="n">
        <x:f>'Datos'!$B$26^3/3</x:f>
        <x:v>0.3333333333333333</x:v>
      </x:c>
      <x:c r="E4331" s="46" t="n">
        <x:f>D4331*(C4331-1)</x:f>
        <x:v>-0.3106145972083852</x:v>
      </x:c>
      <x:c r="F4331" s="2"/>
      <x:c r="G4331" s="2"/>
      <x:c r="H4331" s="2"/>
    </x:row>
    <x:row r="4332" ht="22" customHeight="1">
      <x:c r="A4332" s="2" t="n">
        <x:v>4326</x:v>
      </x:c>
      <x:c r="B4332" s="79" t="n">
        <x:v>1.2351844284500042</x:v>
      </x:c>
      <x:c r="C4332" s="46" t="n">
        <x:f>B4332^2</x:f>
        <x:v>1.5256805722853635</x:v>
      </x:c>
      <x:c r="D4332" s="47" t="n">
        <x:f>'Datos'!$B$26^3/3</x:f>
        <x:v>0.3333333333333333</x:v>
      </x:c>
      <x:c r="E4332" s="46" t="n">
        <x:f>D4332*(C4332-1)</x:f>
        <x:v>0.17522685742845448</x:v>
      </x:c>
      <x:c r="F4332" s="2"/>
      <x:c r="G4332" s="2"/>
      <x:c r="H4332" s="2"/>
    </x:row>
    <x:row r="4333" ht="22" customHeight="1">
      <x:c r="A4333" s="2" t="n">
        <x:v>4327</x:v>
      </x:c>
      <x:c r="B4333" s="79" t="n">
        <x:v>-0.5895382092361217</x:v>
      </x:c>
      <x:c r="C4333" s="46" t="n">
        <x:f>B4333^2</x:f>
        <x:v>0.34755530014933317</x:v>
      </x:c>
      <x:c r="D4333" s="47" t="n">
        <x:f>'Datos'!$B$26^3/3</x:f>
        <x:v>0.3333333333333333</x:v>
      </x:c>
      <x:c r="E4333" s="46" t="n">
        <x:f>D4333*(C4333-1)</x:f>
        <x:v>-0.21748156661688892</x:v>
      </x:c>
      <x:c r="F4333" s="2"/>
      <x:c r="G4333" s="2"/>
      <x:c r="H4333" s="2"/>
    </x:row>
    <x:row r="4334" ht="22" customHeight="1">
      <x:c r="A4334" s="2" t="n">
        <x:v>4328</x:v>
      </x:c>
      <x:c r="B4334" s="79" t="n">
        <x:v>0.4525258718818619</x:v>
      </x:c>
      <x:c r="C4334" s="46" t="n">
        <x:f>B4334^2</x:f>
        <x:v>0.20477966472243928</x:v>
      </x:c>
      <x:c r="D4334" s="47" t="n">
        <x:f>'Datos'!$B$26^3/3</x:f>
        <x:v>0.3333333333333333</x:v>
      </x:c>
      <x:c r="E4334" s="46" t="n">
        <x:f>D4334*(C4334-1)</x:f>
        <x:v>-0.26507344509252023</x:v>
      </x:c>
      <x:c r="F4334" s="2"/>
      <x:c r="G4334" s="2"/>
      <x:c r="H4334" s="2"/>
    </x:row>
    <x:row r="4335" ht="22" customHeight="1">
      <x:c r="A4335" s="2" t="n">
        <x:v>4329</x:v>
      </x:c>
      <x:c r="B4335" s="79" t="n">
        <x:v>-2.4820372836429128</x:v>
      </x:c>
      <x:c r="C4335" s="46" t="n">
        <x:f>B4335^2</x:f>
        <x:v>6.160509077393489</x:v>
      </x:c>
      <x:c r="D4335" s="47" t="n">
        <x:f>'Datos'!$B$26^3/3</x:f>
        <x:v>0.3333333333333333</x:v>
      </x:c>
      <x:c r="E4335" s="46" t="n">
        <x:f>D4335*(C4335-1)</x:f>
        <x:v>1.7201696924644962</x:v>
      </x:c>
      <x:c r="F4335" s="2"/>
      <x:c r="G4335" s="2"/>
      <x:c r="H4335" s="2"/>
    </x:row>
    <x:row r="4336" ht="22" customHeight="1">
      <x:c r="A4336" s="2" t="n">
        <x:v>4330</x:v>
      </x:c>
      <x:c r="B4336" s="79" t="n">
        <x:v>-0.01861494757499433</x:v>
      </x:c>
      <x:c r="C4336" s="46" t="n">
        <x:f>B4336^2</x:f>
        <x:v>0.0003465162732197873</x:v>
      </x:c>
      <x:c r="D4336" s="47" t="n">
        <x:f>'Datos'!$B$26^3/3</x:f>
        <x:v>0.3333333333333333</x:v>
      </x:c>
      <x:c r="E4336" s="46" t="n">
        <x:f>D4336*(C4336-1)</x:f>
        <x:v>-0.33321782790892673</x:v>
      </x:c>
      <x:c r="F4336" s="2"/>
      <x:c r="G4336" s="2"/>
      <x:c r="H4336" s="2"/>
    </x:row>
    <x:row r="4337" ht="22" customHeight="1">
      <x:c r="A4337" s="2" t="n">
        <x:v>4331</x:v>
      </x:c>
      <x:c r="B4337" s="79" t="n">
        <x:v>-1.5844020685846738</x:v>
      </x:c>
      <x:c r="C4337" s="46" t="n">
        <x:f>B4337^2</x:f>
        <x:v>2.5103299149353933</x:v>
      </x:c>
      <x:c r="D4337" s="47" t="n">
        <x:f>'Datos'!$B$26^3/3</x:f>
        <x:v>0.3333333333333333</x:v>
      </x:c>
      <x:c r="E4337" s="46" t="n">
        <x:f>D4337*(C4337-1)</x:f>
        <x:v>0.5034433049784643</x:v>
      </x:c>
      <x:c r="F4337" s="2"/>
      <x:c r="G4337" s="2"/>
      <x:c r="H4337" s="2"/>
    </x:row>
    <x:row r="4338" ht="22" customHeight="1">
      <x:c r="A4338" s="2" t="n">
        <x:v>4332</x:v>
      </x:c>
      <x:c r="B4338" s="79" t="n">
        <x:v>-0.4402505890507122</x:v>
      </x:c>
      <x:c r="C4338" s="46" t="n">
        <x:f>B4338^2</x:f>
        <x:v>0.19382058115949904</x:v>
      </x:c>
      <x:c r="D4338" s="47" t="n">
        <x:f>'Datos'!$B$26^3/3</x:f>
        <x:v>0.3333333333333333</x:v>
      </x:c>
      <x:c r="E4338" s="46" t="n">
        <x:f>D4338*(C4338-1)</x:f>
        <x:v>-0.2687264729468336</x:v>
      </x:c>
      <x:c r="F4338" s="2"/>
      <x:c r="G4338" s="2"/>
      <x:c r="H4338" s="2"/>
    </x:row>
    <x:row r="4339" ht="22" customHeight="1">
      <x:c r="A4339" s="2" t="n">
        <x:v>4333</x:v>
      </x:c>
      <x:c r="B4339" s="79" t="n">
        <x:v>-2.0997830559831976</x:v>
      </x:c>
      <x:c r="C4339" s="46" t="n">
        <x:f>B4339^2</x:f>
        <x:v>4.409088882194136</x:v>
      </x:c>
      <x:c r="D4339" s="47" t="n">
        <x:f>'Datos'!$B$26^3/3</x:f>
        <x:v>0.3333333333333333</x:v>
      </x:c>
      <x:c r="E4339" s="46" t="n">
        <x:f>D4339*(C4339-1)</x:f>
        <x:v>1.1363629607313785</x:v>
      </x:c>
      <x:c r="F4339" s="2"/>
      <x:c r="G4339" s="2"/>
      <x:c r="H4339" s="2"/>
    </x:row>
    <x:row r="4340" ht="22" customHeight="1">
      <x:c r="A4340" s="2" t="n">
        <x:v>4334</x:v>
      </x:c>
      <x:c r="B4340" s="79" t="n">
        <x:v>-1.094533311823558</x:v>
      </x:c>
      <x:c r="C4340" s="46" t="n">
        <x:f>B4340^2</x:f>
        <x:v>1.1980031706914462</x:v>
      </x:c>
      <x:c r="D4340" s="47" t="n">
        <x:f>'Datos'!$B$26^3/3</x:f>
        <x:v>0.3333333333333333</x:v>
      </x:c>
      <x:c r="E4340" s="46" t="n">
        <x:f>D4340*(C4340-1)</x:f>
        <x:v>0.06600105689714875</x:v>
      </x:c>
      <x:c r="F4340" s="2"/>
      <x:c r="G4340" s="2"/>
      <x:c r="H4340" s="2"/>
    </x:row>
    <x:row r="4341" ht="22" customHeight="1">
      <x:c r="A4341" s="2" t="n">
        <x:v>4335</x:v>
      </x:c>
      <x:c r="B4341" s="79" t="n">
        <x:v>-2.0094204417466774</x:v>
      </x:c>
      <x:c r="C4341" s="46" t="n">
        <x:f>B4341^2</x:f>
        <x:v>4.037770511709413</x:v>
      </x:c>
      <x:c r="D4341" s="47" t="n">
        <x:f>'Datos'!$B$26^3/3</x:f>
        <x:v>0.3333333333333333</x:v>
      </x:c>
      <x:c r="E4341" s="46" t="n">
        <x:f>D4341*(C4341-1)</x:f>
        <x:v>1.0125901705698042</x:v>
      </x:c>
      <x:c r="F4341" s="2"/>
      <x:c r="G4341" s="2"/>
      <x:c r="H4341" s="2"/>
    </x:row>
    <x:row r="4342" ht="22" customHeight="1">
      <x:c r="A4342" s="2" t="n">
        <x:v>4336</x:v>
      </x:c>
      <x:c r="B4342" s="79" t="n">
        <x:v>0.9929234409986281</x:v>
      </x:c>
      <x:c r="C4342" s="46" t="n">
        <x:f>B4342^2</x:f>
        <x:v>0.985896959684556</x:v>
      </x:c>
      <x:c r="D4342" s="47" t="n">
        <x:f>'Datos'!$B$26^3/3</x:f>
        <x:v>0.3333333333333333</x:v>
      </x:c>
      <x:c r="E4342" s="46" t="n">
        <x:f>D4342*(C4342-1)</x:f>
        <x:v>-0.004701013438481319</x:v>
      </x:c>
      <x:c r="F4342" s="2"/>
      <x:c r="G4342" s="2"/>
      <x:c r="H4342" s="2"/>
    </x:row>
    <x:row r="4343" ht="22" customHeight="1">
      <x:c r="A4343" s="2" t="n">
        <x:v>4337</x:v>
      </x:c>
      <x:c r="B4343" s="79" t="n">
        <x:v>0.3954158279301771</x:v>
      </x:c>
      <x:c r="C4343" s="46" t="n">
        <x:f>B4343^2</x:f>
        <x:v>0.1563536769777074</x:v>
      </x:c>
      <x:c r="D4343" s="47" t="n">
        <x:f>'Datos'!$B$26^3/3</x:f>
        <x:v>0.3333333333333333</x:v>
      </x:c>
      <x:c r="E4343" s="46" t="n">
        <x:f>D4343*(C4343-1)</x:f>
        <x:v>-0.28121544100743084</x:v>
      </x:c>
      <x:c r="F4343" s="2"/>
      <x:c r="G4343" s="2"/>
      <x:c r="H4343" s="2"/>
    </x:row>
    <x:row r="4344" ht="22" customHeight="1">
      <x:c r="A4344" s="2" t="n">
        <x:v>4338</x:v>
      </x:c>
      <x:c r="B4344" s="79" t="n">
        <x:v>-1.2644766462944403</x:v>
      </x:c>
      <x:c r="C4344" s="46" t="n">
        <x:f>B4344^2</x:f>
        <x:v>1.5989011890240352</x:v>
      </x:c>
      <x:c r="D4344" s="47" t="n">
        <x:f>'Datos'!$B$26^3/3</x:f>
        <x:v>0.3333333333333333</x:v>
      </x:c>
      <x:c r="E4344" s="46" t="n">
        <x:f>D4344*(C4344-1)</x:f>
        <x:v>0.1996337296746784</x:v>
      </x:c>
      <x:c r="F4344" s="2"/>
      <x:c r="G4344" s="2"/>
      <x:c r="H4344" s="2"/>
    </x:row>
    <x:row r="4345" ht="22" customHeight="1">
      <x:c r="A4345" s="2" t="n">
        <x:v>4339</x:v>
      </x:c>
      <x:c r="B4345" s="79" t="n">
        <x:v>-1.3556911492895034</x:v>
      </x:c>
      <x:c r="C4345" s="46" t="n">
        <x:f>B4345^2</x:f>
        <x:v>1.8378984922618946</x:v>
      </x:c>
      <x:c r="D4345" s="47" t="n">
        <x:f>'Datos'!$B$26^3/3</x:f>
        <x:v>0.3333333333333333</x:v>
      </x:c>
      <x:c r="E4345" s="46" t="n">
        <x:f>D4345*(C4345-1)</x:f>
        <x:v>0.27929949742063154</x:v>
      </x:c>
      <x:c r="F4345" s="2"/>
      <x:c r="G4345" s="2"/>
      <x:c r="H4345" s="2"/>
    </x:row>
    <x:row r="4346" ht="22" customHeight="1">
      <x:c r="A4346" s="2" t="n">
        <x:v>4340</x:v>
      </x:c>
      <x:c r="B4346" s="79" t="n">
        <x:v>1.5513433174762659</x:v>
      </x:c>
      <x:c r="C4346" s="46" t="n">
        <x:f>B4346^2</x:f>
        <x:v>2.406666088678266</x:v>
      </x:c>
      <x:c r="D4346" s="47" t="n">
        <x:f>'Datos'!$B$26^3/3</x:f>
        <x:v>0.3333333333333333</x:v>
      </x:c>
      <x:c r="E4346" s="46" t="n">
        <x:f>D4346*(C4346-1)</x:f>
        <x:v>0.46888869622608864</x:v>
      </x:c>
      <x:c r="F4346" s="2"/>
      <x:c r="G4346" s="2"/>
      <x:c r="H4346" s="2"/>
    </x:row>
    <x:row r="4347" ht="22" customHeight="1">
      <x:c r="A4347" s="2" t="n">
        <x:v>4341</x:v>
      </x:c>
      <x:c r="B4347" s="79" t="n">
        <x:v>0.6450563196402247</x:v>
      </x:c>
      <x:c r="C4347" s="46" t="n">
        <x:f>B4347^2</x:f>
        <x:v>0.4160976555077917</x:v>
      </x:c>
      <x:c r="D4347" s="47" t="n">
        <x:f>'Datos'!$B$26^3/3</x:f>
        <x:v>0.3333333333333333</x:v>
      </x:c>
      <x:c r="E4347" s="46" t="n">
        <x:f>D4347*(C4347-1)</x:f>
        <x:v>-0.19463411483073606</x:v>
      </x:c>
      <x:c r="F4347" s="2"/>
      <x:c r="G4347" s="2"/>
      <x:c r="H4347" s="2"/>
    </x:row>
    <x:row r="4348" ht="22" customHeight="1">
      <x:c r="A4348" s="2" t="n">
        <x:v>4342</x:v>
      </x:c>
      <x:c r="B4348" s="79" t="n">
        <x:v>0.4330743356945087</x:v>
      </x:c>
      <x:c r="C4348" s="46" t="n">
        <x:f>B4348^2</x:f>
        <x:v>0.18755338023724002</x:v>
      </x:c>
      <x:c r="D4348" s="47" t="n">
        <x:f>'Datos'!$B$26^3/3</x:f>
        <x:v>0.3333333333333333</x:v>
      </x:c>
      <x:c r="E4348" s="46" t="n">
        <x:f>D4348*(C4348-1)</x:f>
        <x:v>-0.27081553992092</x:v>
      </x:c>
      <x:c r="F4348" s="2"/>
      <x:c r="G4348" s="2"/>
      <x:c r="H4348" s="2"/>
    </x:row>
    <x:row r="4349" ht="22" customHeight="1">
      <x:c r="A4349" s="2" t="n">
        <x:v>4343</x:v>
      </x:c>
      <x:c r="B4349" s="79" t="n">
        <x:v>-0.07698516426690827</x:v>
      </x:c>
      <x:c r="C4349" s="46" t="n">
        <x:f>B4349^2</x:f>
        <x:v>0.00592671551720285</x:v>
      </x:c>
      <x:c r="D4349" s="47" t="n">
        <x:f>'Datos'!$B$26^3/3</x:f>
        <x:v>0.3333333333333333</x:v>
      </x:c>
      <x:c r="E4349" s="46" t="n">
        <x:f>D4349*(C4349-1)</x:f>
        <x:v>-0.3313577614942657</x:v>
      </x:c>
      <x:c r="F4349" s="2"/>
      <x:c r="G4349" s="2"/>
      <x:c r="H4349" s="2"/>
    </x:row>
    <x:row r="4350" ht="22" customHeight="1">
      <x:c r="A4350" s="2" t="n">
        <x:v>4344</x:v>
      </x:c>
      <x:c r="B4350" s="79" t="n">
        <x:v>0.42045455619613636</x:v>
      </x:c>
      <x:c r="C4350" s="46" t="n">
        <x:f>B4350^2</x:f>
        <x:v>0.17678203382608998</x:v>
      </x:c>
      <x:c r="D4350" s="47" t="n">
        <x:f>'Datos'!$B$26^3/3</x:f>
        <x:v>0.3333333333333333</x:v>
      </x:c>
      <x:c r="E4350" s="46" t="n">
        <x:f>D4350*(C4350-1)</x:f>
        <x:v>-0.2744059887246367</x:v>
      </x:c>
      <x:c r="F4350" s="2"/>
      <x:c r="G4350" s="2"/>
      <x:c r="H4350" s="2"/>
    </x:row>
    <x:row r="4351" ht="22" customHeight="1">
      <x:c r="A4351" s="2" t="n">
        <x:v>4345</x:v>
      </x:c>
      <x:c r="B4351" s="79" t="n">
        <x:v>0.5117231521007705</x:v>
      </x:c>
      <x:c r="C4351" s="46" t="n">
        <x:f>B4351^2</x:f>
        <x:v>0.2618605843959483</x:v>
      </x:c>
      <x:c r="D4351" s="47" t="n">
        <x:f>'Datos'!$B$26^3/3</x:f>
        <x:v>0.3333333333333333</x:v>
      </x:c>
      <x:c r="E4351" s="46" t="n">
        <x:f>D4351*(C4351-1)</x:f>
        <x:v>-0.24604647186801723</x:v>
      </x:c>
      <x:c r="F4351" s="2"/>
      <x:c r="G4351" s="2"/>
      <x:c r="H4351" s="2"/>
    </x:row>
    <x:row r="4352" ht="22" customHeight="1">
      <x:c r="A4352" s="2" t="n">
        <x:v>4346</x:v>
      </x:c>
      <x:c r="B4352" s="79" t="n">
        <x:v>0.5045198898958314</x:v>
      </x:c>
      <x:c r="C4352" s="46" t="n">
        <x:f>B4352^2</x:f>
        <x:v>0.25454031930050186</x:v>
      </x:c>
      <x:c r="D4352" s="47" t="n">
        <x:f>'Datos'!$B$26^3/3</x:f>
        <x:v>0.3333333333333333</x:v>
      </x:c>
      <x:c r="E4352" s="46" t="n">
        <x:f>D4352*(C4352-1)</x:f>
        <x:v>-0.24848656023316607</x:v>
      </x:c>
      <x:c r="F4352" s="2"/>
      <x:c r="G4352" s="2"/>
      <x:c r="H4352" s="2"/>
    </x:row>
    <x:row r="4353" ht="22" customHeight="1">
      <x:c r="A4353" s="2" t="n">
        <x:v>4347</x:v>
      </x:c>
      <x:c r="B4353" s="79" t="n">
        <x:v>0.05895438552059206</x:v>
      </x:c>
      <x:c r="C4353" s="46" t="n">
        <x:f>B4353^2</x:f>
        <x:v>0.0034756195721105947</x:v>
      </x:c>
      <x:c r="D4353" s="47" t="n">
        <x:f>'Datos'!$B$26^3/3</x:f>
        <x:v>0.3333333333333333</x:v>
      </x:c>
      <x:c r="E4353" s="46" t="n">
        <x:f>D4353*(C4353-1)</x:f>
        <x:v>-0.3321747934759631</x:v>
      </x:c>
      <x:c r="F4353" s="2"/>
      <x:c r="G4353" s="2"/>
      <x:c r="H4353" s="2"/>
    </x:row>
    <x:row r="4354" ht="22" customHeight="1">
      <x:c r="A4354" s="2" t="n">
        <x:v>4348</x:v>
      </x:c>
      <x:c r="B4354" s="79" t="n">
        <x:v>-0.3532955819409605</x:v>
      </x:c>
      <x:c r="C4354" s="46" t="n">
        <x:f>B4354^2</x:f>
        <x:v>0.12481776821900194</x:v>
      </x:c>
      <x:c r="D4354" s="47" t="n">
        <x:f>'Datos'!$B$26^3/3</x:f>
        <x:v>0.3333333333333333</x:v>
      </x:c>
      <x:c r="E4354" s="46" t="n">
        <x:f>D4354*(C4354-1)</x:f>
        <x:v>-0.291727410593666</x:v>
      </x:c>
      <x:c r="F4354" s="2"/>
      <x:c r="G4354" s="2"/>
      <x:c r="H4354" s="2"/>
    </x:row>
    <x:row r="4355" ht="22" customHeight="1">
      <x:c r="A4355" s="2" t="n">
        <x:v>4349</x:v>
      </x:c>
      <x:c r="B4355" s="79" t="n">
        <x:v>1.6393401488945165</x:v>
      </x:c>
      <x:c r="C4355" s="46" t="n">
        <x:f>B4355^2</x:f>
        <x:v>2.6874361237774957</x:v>
      </x:c>
      <x:c r="D4355" s="47" t="n">
        <x:f>'Datos'!$B$26^3/3</x:f>
        <x:v>0.3333333333333333</x:v>
      </x:c>
      <x:c r="E4355" s="46" t="n">
        <x:f>D4355*(C4355-1)</x:f>
        <x:v>0.5624787079258319</x:v>
      </x:c>
      <x:c r="F4355" s="2"/>
      <x:c r="G4355" s="2"/>
      <x:c r="H4355" s="2"/>
    </x:row>
    <x:row r="4356" ht="22" customHeight="1">
      <x:c r="A4356" s="2" t="n">
        <x:v>4350</x:v>
      </x:c>
      <x:c r="B4356" s="79" t="n">
        <x:v>1.4459009446477251</x:v>
      </x:c>
      <x:c r="C4356" s="46" t="n">
        <x:f>B4356^2</x:f>
        <x:v>2.090629541733184</x:v>
      </x:c>
      <x:c r="D4356" s="47" t="n">
        <x:f>'Datos'!$B$26^3/3</x:f>
        <x:v>0.3333333333333333</x:v>
      </x:c>
      <x:c r="E4356" s="46" t="n">
        <x:f>D4356*(C4356-1)</x:f>
        <x:v>0.36354318057772794</x:v>
      </x:c>
      <x:c r="F4356" s="2"/>
      <x:c r="G4356" s="2"/>
      <x:c r="H4356" s="2"/>
    </x:row>
    <x:row r="4357" ht="22" customHeight="1">
      <x:c r="A4357" s="2" t="n">
        <x:v>4351</x:v>
      </x:c>
      <x:c r="B4357" s="79" t="n">
        <x:v>-0.9616752035132453</x:v>
      </x:c>
      <x:c r="C4357" s="46" t="n">
        <x:f>B4357^2</x:f>
        <x:v>0.9248191970522418</x:v>
      </x:c>
      <x:c r="D4357" s="47" t="n">
        <x:f>'Datos'!$B$26^3/3</x:f>
        <x:v>0.3333333333333333</x:v>
      </x:c>
      <x:c r="E4357" s="46" t="n">
        <x:f>D4357*(C4357-1)</x:f>
        <x:v>-0.025060267649252732</x:v>
      </x:c>
      <x:c r="F4357" s="2"/>
      <x:c r="G4357" s="2"/>
      <x:c r="H4357" s="2"/>
    </x:row>
    <x:row r="4358" ht="22" customHeight="1">
      <x:c r="A4358" s="2" t="n">
        <x:v>4352</x:v>
      </x:c>
      <x:c r="B4358" s="79" t="n">
        <x:v>-0.5239168120320945</x:v>
      </x:c>
      <x:c r="C4358" s="46" t="n">
        <x:f>B4358^2</x:f>
        <x:v>0.27448882592987306</x:v>
      </x:c>
      <x:c r="D4358" s="47" t="n">
        <x:f>'Datos'!$B$26^3/3</x:f>
        <x:v>0.3333333333333333</x:v>
      </x:c>
      <x:c r="E4358" s="46" t="n">
        <x:f>D4358*(C4358-1)</x:f>
        <x:v>-0.24183705802337566</x:v>
      </x:c>
      <x:c r="F4358" s="2"/>
      <x:c r="G4358" s="2"/>
      <x:c r="H4358" s="2"/>
    </x:row>
    <x:row r="4359" ht="22" customHeight="1">
      <x:c r="A4359" s="2" t="n">
        <x:v>4353</x:v>
      </x:c>
      <x:c r="B4359" s="79" t="n">
        <x:v>0.10369187565419964</x:v>
      </x:c>
      <x:c r="C4359" s="46" t="n">
        <x:f>B4359^2</x:f>
        <x:v>0.010752005076686</x:v>
      </x:c>
      <x:c r="D4359" s="47" t="n">
        <x:f>'Datos'!$B$26^3/3</x:f>
        <x:v>0.3333333333333333</x:v>
      </x:c>
      <x:c r="E4359" s="46" t="n">
        <x:f>D4359*(C4359-1)</x:f>
        <x:v>-0.32974933164110465</x:v>
      </x:c>
      <x:c r="F4359" s="2"/>
      <x:c r="G4359" s="2"/>
      <x:c r="H4359" s="2"/>
    </x:row>
    <x:row r="4360" ht="22" customHeight="1">
      <x:c r="A4360" s="2" t="n">
        <x:v>4354</x:v>
      </x:c>
      <x:c r="B4360" s="79" t="n">
        <x:v>-0.9871532629490622</x:v>
      </x:c>
      <x:c r="C4360" s="46" t="n">
        <x:f>B4360^2</x:f>
        <x:v>0.9744715645509804</x:v>
      </x:c>
      <x:c r="D4360" s="47" t="n">
        <x:f>'Datos'!$B$26^3/3</x:f>
        <x:v>0.3333333333333333</x:v>
      </x:c>
      <x:c r="E4360" s="46" t="n">
        <x:f>D4360*(C4360-1)</x:f>
        <x:v>-0.008509478483006538</x:v>
      </x:c>
      <x:c r="F4360" s="2"/>
      <x:c r="G4360" s="2"/>
      <x:c r="H4360" s="2"/>
    </x:row>
    <x:row r="4361" ht="22" customHeight="1">
      <x:c r="A4361" s="2" t="n">
        <x:v>4355</x:v>
      </x:c>
      <x:c r="B4361" s="79" t="n">
        <x:v>-0.8387057175750319</x:v>
      </x:c>
      <x:c r="C4361" s="46" t="n">
        <x:f>B4361^2</x:f>
        <x:v>0.7034272806930492</x:v>
      </x:c>
      <x:c r="D4361" s="47" t="n">
        <x:f>'Datos'!$B$26^3/3</x:f>
        <x:v>0.3333333333333333</x:v>
      </x:c>
      <x:c r="E4361" s="46" t="n">
        <x:f>D4361*(C4361-1)</x:f>
        <x:v>-0.09885757310231694</x:v>
      </x:c>
      <x:c r="F4361" s="2"/>
      <x:c r="G4361" s="2"/>
      <x:c r="H4361" s="2"/>
    </x:row>
    <x:row r="4362" ht="22" customHeight="1">
      <x:c r="A4362" s="2" t="n">
        <x:v>4356</x:v>
      </x:c>
      <x:c r="B4362" s="79" t="n">
        <x:v>-0.17266752916277464</x:v>
      </x:c>
      <x:c r="C4362" s="46" t="n">
        <x:f>B4362^2</x:f>
        <x:v>0.02981407562717763</x:v>
      </x:c>
      <x:c r="D4362" s="47" t="n">
        <x:f>'Datos'!$B$26^3/3</x:f>
        <x:v>0.3333333333333333</x:v>
      </x:c>
      <x:c r="E4362" s="46" t="n">
        <x:f>D4362*(C4362-1)</x:f>
        <x:v>-0.3233953081242741</x:v>
      </x:c>
      <x:c r="F4362" s="2"/>
      <x:c r="G4362" s="2"/>
      <x:c r="H4362" s="2"/>
    </x:row>
    <x:row r="4363" ht="22" customHeight="1">
      <x:c r="A4363" s="2" t="n">
        <x:v>4357</x:v>
      </x:c>
      <x:c r="B4363" s="79" t="n">
        <x:v>1.2300980324794062</x:v>
      </x:c>
      <x:c r="C4363" s="46" t="n">
        <x:f>B4363^2</x:f>
        <x:v>1.5131411695097063</x:v>
      </x:c>
      <x:c r="D4363" s="47" t="n">
        <x:f>'Datos'!$B$26^3/3</x:f>
        <x:v>0.3333333333333333</x:v>
      </x:c>
      <x:c r="E4363" s="46" t="n">
        <x:f>D4363*(C4363-1)</x:f>
        <x:v>0.17104705650323543</x:v>
      </x:c>
      <x:c r="F4363" s="2"/>
      <x:c r="G4363" s="2"/>
      <x:c r="H4363" s="2"/>
    </x:row>
    <x:row r="4364" ht="22" customHeight="1">
      <x:c r="A4364" s="2" t="n">
        <x:v>4358</x:v>
      </x:c>
      <x:c r="B4364" s="79" t="n">
        <x:v>-1.1998917478188753</x:v>
      </x:c>
      <x:c r="C4364" s="46" t="n">
        <x:f>B4364^2</x:f>
        <x:v>1.4397402064838354</x:v>
      </x:c>
      <x:c r="D4364" s="47" t="n">
        <x:f>'Datos'!$B$26^3/3</x:f>
        <x:v>0.3333333333333333</x:v>
      </x:c>
      <x:c r="E4364" s="46" t="n">
        <x:f>D4364*(C4364-1)</x:f>
        <x:v>0.1465800688279451</x:v>
      </x:c>
      <x:c r="F4364" s="2"/>
      <x:c r="G4364" s="2"/>
      <x:c r="H4364" s="2"/>
    </x:row>
    <x:row r="4365" ht="22" customHeight="1">
      <x:c r="A4365" s="2" t="n">
        <x:v>4359</x:v>
      </x:c>
      <x:c r="B4365" s="79" t="n">
        <x:v>1.1524446741300427</x:v>
      </x:c>
      <x:c r="C4365" s="46" t="n">
        <x:f>B4365^2</x:f>
        <x:v>1.3281287269307003</x:v>
      </x:c>
      <x:c r="D4365" s="47" t="n">
        <x:f>'Datos'!$B$26^3/3</x:f>
        <x:v>0.3333333333333333</x:v>
      </x:c>
      <x:c r="E4365" s="46" t="n">
        <x:f>D4365*(C4365-1)</x:f>
        <x:v>0.10937624231023342</x:v>
      </x:c>
      <x:c r="F4365" s="2"/>
      <x:c r="G4365" s="2"/>
      <x:c r="H4365" s="2"/>
    </x:row>
    <x:row r="4366" ht="22" customHeight="1">
      <x:c r="A4366" s="2" t="n">
        <x:v>4360</x:v>
      </x:c>
      <x:c r="B4366" s="79" t="n">
        <x:v>-0.33378863310380535</x:v>
      </x:c>
      <x:c r="C4366" s="46" t="n">
        <x:f>B4366^2</x:f>
        <x:v>0.11141485158930678</x:v>
      </x:c>
      <x:c r="D4366" s="47" t="n">
        <x:f>'Datos'!$B$26^3/3</x:f>
        <x:v>0.3333333333333333</x:v>
      </x:c>
      <x:c r="E4366" s="46" t="n">
        <x:f>D4366*(C4366-1)</x:f>
        <x:v>-0.29619504947023106</x:v>
      </x:c>
      <x:c r="F4366" s="2"/>
      <x:c r="G4366" s="2"/>
      <x:c r="H4366" s="2"/>
    </x:row>
    <x:row r="4367" ht="22" customHeight="1">
      <x:c r="A4367" s="2" t="n">
        <x:v>4361</x:v>
      </x:c>
      <x:c r="B4367" s="79" t="n">
        <x:v>0.23744162764732718</x:v>
      </x:c>
      <x:c r="C4367" s="46" t="n">
        <x:f>B4367^2</x:f>
        <x:v>0.056378526539811964</x:v>
      </x:c>
      <x:c r="D4367" s="47" t="n">
        <x:f>'Datos'!$B$26^3/3</x:f>
        <x:v>0.3333333333333333</x:v>
      </x:c>
      <x:c r="E4367" s="46" t="n">
        <x:f>D4367*(C4367-1)</x:f>
        <x:v>-0.314540491153396</x:v>
      </x:c>
      <x:c r="F4367" s="2"/>
      <x:c r="G4367" s="2"/>
      <x:c r="H4367" s="2"/>
    </x:row>
    <x:row r="4368" ht="22" customHeight="1">
      <x:c r="A4368" s="2" t="n">
        <x:v>4362</x:v>
      </x:c>
      <x:c r="B4368" s="79" t="n">
        <x:v>0.7011553290485236</x:v>
      </x:c>
      <x:c r="C4368" s="46" t="n">
        <x:f>B4368^2</x:f>
        <x:v>0.4916187954531434</x:v>
      </x:c>
      <x:c r="D4368" s="47" t="n">
        <x:f>'Datos'!$B$26^3/3</x:f>
        <x:v>0.3333333333333333</x:v>
      </x:c>
      <x:c r="E4368" s="46" t="n">
        <x:f>D4368*(C4368-1)</x:f>
        <x:v>-0.16946040151561884</x:v>
      </x:c>
      <x:c r="F4368" s="2"/>
      <x:c r="G4368" s="2"/>
      <x:c r="H4368" s="2"/>
    </x:row>
    <x:row r="4369" ht="22" customHeight="1">
      <x:c r="A4369" s="2" t="n">
        <x:v>4363</x:v>
      </x:c>
      <x:c r="B4369" s="79" t="n">
        <x:v>-0.5084254836526219</x:v>
      </x:c>
      <x:c r="C4369" s="46" t="n">
        <x:f>B4369^2</x:f>
        <x:v>0.2584964724274025</x:v>
      </x:c>
      <x:c r="D4369" s="47" t="n">
        <x:f>'Datos'!$B$26^3/3</x:f>
        <x:v>0.3333333333333333</x:v>
      </x:c>
      <x:c r="E4369" s="46" t="n">
        <x:f>D4369*(C4369-1)</x:f>
        <x:v>-0.24716784252419916</x:v>
      </x:c>
      <x:c r="F4369" s="2"/>
      <x:c r="G4369" s="2"/>
      <x:c r="H4369" s="2"/>
    </x:row>
    <x:row r="4370" ht="22" customHeight="1">
      <x:c r="A4370" s="2" t="n">
        <x:v>4364</x:v>
      </x:c>
      <x:c r="B4370" s="79" t="n">
        <x:v>-0.13365090182507997</x:v>
      </x:c>
      <x:c r="C4370" s="46" t="n">
        <x:f>B4370^2</x:f>
        <x:v>0.017862563558657164</x:v>
      </x:c>
      <x:c r="D4370" s="47" t="n">
        <x:f>'Datos'!$B$26^3/3</x:f>
        <x:v>0.3333333333333333</x:v>
      </x:c>
      <x:c r="E4370" s="46" t="n">
        <x:f>D4370*(C4370-1)</x:f>
        <x:v>-0.3273791454804476</x:v>
      </x:c>
      <x:c r="F4370" s="2"/>
      <x:c r="G4370" s="2"/>
      <x:c r="H4370" s="2"/>
    </x:row>
    <x:row r="4371" ht="22" customHeight="1">
      <x:c r="A4371" s="2" t="n">
        <x:v>4365</x:v>
      </x:c>
      <x:c r="B4371" s="79" t="n">
        <x:v>-0.835140594461999</x:v>
      </x:c>
      <x:c r="C4371" s="46" t="n">
        <x:f>B4371^2</x:f>
        <x:v>0.697459812518341</x:v>
      </x:c>
      <x:c r="D4371" s="47" t="n">
        <x:f>'Datos'!$B$26^3/3</x:f>
        <x:v>0.3333333333333333</x:v>
      </x:c>
      <x:c r="E4371" s="46" t="n">
        <x:f>D4371*(C4371-1)</x:f>
        <x:v>-0.100846729160553</x:v>
      </x:c>
      <x:c r="F4371" s="2"/>
      <x:c r="G4371" s="2"/>
      <x:c r="H4371" s="2"/>
    </x:row>
    <x:row r="4372" ht="22" customHeight="1">
      <x:c r="A4372" s="2" t="n">
        <x:v>4366</x:v>
      </x:c>
      <x:c r="B4372" s="79" t="n">
        <x:v>-1.7446623206805365</x:v>
      </x:c>
      <x:c r="C4372" s="46" t="n">
        <x:f>B4372^2</x:f>
        <x:v>3.0438466132023954</x:v>
      </x:c>
      <x:c r="D4372" s="47" t="n">
        <x:f>'Datos'!$B$26^3/3</x:f>
        <x:v>0.3333333333333333</x:v>
      </x:c>
      <x:c r="E4372" s="46" t="n">
        <x:f>D4372*(C4372-1)</x:f>
        <x:v>0.6812822044007985</x:v>
      </x:c>
      <x:c r="F4372" s="2"/>
      <x:c r="G4372" s="2"/>
      <x:c r="H4372" s="2"/>
    </x:row>
    <x:row r="4373" ht="22" customHeight="1">
      <x:c r="A4373" s="2" t="n">
        <x:v>4367</x:v>
      </x:c>
      <x:c r="B4373" s="79" t="n">
        <x:v>0.16254652405000405</x:v>
      </x:c>
      <x:c r="C4373" s="46" t="n">
        <x:f>B4373^2</x:f>
        <x:v>0.026421372480738545</x:v>
      </x:c>
      <x:c r="D4373" s="47" t="n">
        <x:f>'Datos'!$B$26^3/3</x:f>
        <x:v>0.3333333333333333</x:v>
      </x:c>
      <x:c r="E4373" s="46" t="n">
        <x:f>D4373*(C4373-1)</x:f>
        <x:v>-0.32452620917308717</x:v>
      </x:c>
      <x:c r="F4373" s="2"/>
      <x:c r="G4373" s="2"/>
      <x:c r="H4373" s="2"/>
    </x:row>
    <x:row r="4374" ht="22" customHeight="1">
      <x:c r="A4374" s="2" t="n">
        <x:v>4368</x:v>
      </x:c>
      <x:c r="B4374" s="79" t="n">
        <x:v>0.39028466579930277</x:v>
      </x:c>
      <x:c r="C4374" s="46" t="n">
        <x:f>B4374^2</x:f>
        <x:v>0.15232212035807344</x:v>
      </x:c>
      <x:c r="D4374" s="47" t="n">
        <x:f>'Datos'!$B$26^3/3</x:f>
        <x:v>0.3333333333333333</x:v>
      </x:c>
      <x:c r="E4374" s="46" t="n">
        <x:f>D4374*(C4374-1)</x:f>
        <x:v>-0.2825592932139755</x:v>
      </x:c>
      <x:c r="F4374" s="2"/>
      <x:c r="G4374" s="2"/>
      <x:c r="H4374" s="2"/>
    </x:row>
    <x:row r="4375" ht="22" customHeight="1">
      <x:c r="A4375" s="2" t="n">
        <x:v>4369</x:v>
      </x:c>
      <x:c r="B4375" s="79" t="n">
        <x:v>-1.0075178361743506</x:v>
      </x:c>
      <x:c r="C4375" s="46" t="n">
        <x:f>B4375^2</x:f>
        <x:v>1.0150921902094456</x:v>
      </x:c>
      <x:c r="D4375" s="47" t="n">
        <x:f>'Datos'!$B$26^3/3</x:f>
        <x:v>0.3333333333333333</x:v>
      </x:c>
      <x:c r="E4375" s="46" t="n">
        <x:f>D4375*(C4375-1)</x:f>
        <x:v>0.005030730069815211</x:v>
      </x:c>
      <x:c r="F4375" s="2"/>
      <x:c r="G4375" s="2"/>
      <x:c r="H4375" s="2"/>
    </x:row>
    <x:row r="4376" ht="22" customHeight="1">
      <x:c r="A4376" s="2" t="n">
        <x:v>4370</x:v>
      </x:c>
      <x:c r="B4376" s="79" t="n">
        <x:v>-2.703410341841456</x:v>
      </x:c>
      <x:c r="C4376" s="46" t="n">
        <x:f>B4376^2</x:f>
        <x:v>7.308427476375337</x:v>
      </x:c>
      <x:c r="D4376" s="47" t="n">
        <x:f>'Datos'!$B$26^3/3</x:f>
        <x:v>0.3333333333333333</x:v>
      </x:c>
      <x:c r="E4376" s="46" t="n">
        <x:f>D4376*(C4376-1)</x:f>
        <x:v>2.102809158791779</x:v>
      </x:c>
      <x:c r="F4376" s="2"/>
      <x:c r="G4376" s="2"/>
      <x:c r="H4376" s="2"/>
    </x:row>
    <x:row r="4377" ht="22" customHeight="1">
      <x:c r="A4377" s="2" t="n">
        <x:v>4371</x:v>
      </x:c>
      <x:c r="B4377" s="79" t="n">
        <x:v>-0.7129637812440989</x:v>
      </x:c>
      <x:c r="C4377" s="46" t="n">
        <x:f>B4377^2</x:f>
        <x:v>0.5083173533658832</x:v>
      </x:c>
      <x:c r="D4377" s="47" t="n">
        <x:f>'Datos'!$B$26^3/3</x:f>
        <x:v>0.3333333333333333</x:v>
      </x:c>
      <x:c r="E4377" s="46" t="n">
        <x:f>D4377*(C4377-1)</x:f>
        <x:v>-0.16389421554470557</x:v>
      </x:c>
      <x:c r="F4377" s="2"/>
      <x:c r="G4377" s="2"/>
      <x:c r="H4377" s="2"/>
    </x:row>
    <x:row r="4378" ht="22" customHeight="1">
      <x:c r="A4378" s="2" t="n">
        <x:v>4372</x:v>
      </x:c>
      <x:c r="B4378" s="79" t="n">
        <x:v>-0.19881379423407303</x:v>
      </x:c>
      <x:c r="C4378" s="46" t="n">
        <x:f>B4378^2</x:f>
        <x:v>0.03952692477774833</x:v>
      </x:c>
      <x:c r="D4378" s="47" t="n">
        <x:f>'Datos'!$B$26^3/3</x:f>
        <x:v>0.3333333333333333</x:v>
      </x:c>
      <x:c r="E4378" s="46" t="n">
        <x:f>D4378*(C4378-1)</x:f>
        <x:v>-0.32015769174075054</x:v>
      </x:c>
      <x:c r="F4378" s="2"/>
      <x:c r="G4378" s="2"/>
      <x:c r="H4378" s="2"/>
    </x:row>
    <x:row r="4379" ht="22" customHeight="1">
      <x:c r="A4379" s="2" t="n">
        <x:v>4373</x:v>
      </x:c>
      <x:c r="B4379" s="79" t="n">
        <x:v>-1.3927019188068759</x:v>
      </x:c>
      <x:c r="C4379" s="46" t="n">
        <x:f>B4379^2</x:f>
        <x:v>1.939618634648354</x:v>
      </x:c>
      <x:c r="D4379" s="47" t="n">
        <x:f>'Datos'!$B$26^3/3</x:f>
        <x:v>0.3333333333333333</x:v>
      </x:c>
      <x:c r="E4379" s="46" t="n">
        <x:f>D4379*(C4379-1)</x:f>
        <x:v>0.3132062115494513</x:v>
      </x:c>
      <x:c r="F4379" s="2"/>
      <x:c r="G4379" s="2"/>
      <x:c r="H4379" s="2"/>
    </x:row>
    <x:row r="4380" ht="22" customHeight="1">
      <x:c r="A4380" s="2" t="n">
        <x:v>4374</x:v>
      </x:c>
      <x:c r="B4380" s="79" t="n">
        <x:v>-0.19374126943311984</x:v>
      </x:c>
      <x:c r="C4380" s="46" t="n">
        <x:f>B4380^2</x:f>
        <x:v>0.037535679481556734</x:v>
      </x:c>
      <x:c r="D4380" s="47" t="n">
        <x:f>'Datos'!$B$26^3/3</x:f>
        <x:v>0.3333333333333333</x:v>
      </x:c>
      <x:c r="E4380" s="46" t="n">
        <x:f>D4380*(C4380-1)</x:f>
        <x:v>-0.3208214401728144</x:v>
      </x:c>
      <x:c r="F4380" s="2"/>
      <x:c r="G4380" s="2"/>
      <x:c r="H4380" s="2"/>
    </x:row>
    <x:row r="4381" ht="22" customHeight="1">
      <x:c r="A4381" s="2" t="n">
        <x:v>4375</x:v>
      </x:c>
      <x:c r="B4381" s="79" t="n">
        <x:v>0.3581701650796345</x:v>
      </x:c>
      <x:c r="C4381" s="46" t="n">
        <x:f>B4381^2</x:f>
        <x:v>0.12828586715317264</x:v>
      </x:c>
      <x:c r="D4381" s="47" t="n">
        <x:f>'Datos'!$B$26^3/3</x:f>
        <x:v>0.3333333333333333</x:v>
      </x:c>
      <x:c r="E4381" s="46" t="n">
        <x:f>D4381*(C4381-1)</x:f>
        <x:v>-0.29057137761560914</x:v>
      </x:c>
      <x:c r="F4381" s="2"/>
      <x:c r="G4381" s="2"/>
      <x:c r="H4381" s="2"/>
    </x:row>
    <x:row r="4382" ht="22" customHeight="1">
      <x:c r="A4382" s="2" t="n">
        <x:v>4376</x:v>
      </x:c>
      <x:c r="B4382" s="79" t="n">
        <x:v>-1.284380609404886</x:v>
      </x:c>
      <x:c r="C4382" s="46" t="n">
        <x:f>B4382^2</x:f>
        <x:v>1.6496335498152663</x:v>
      </x:c>
      <x:c r="D4382" s="47" t="n">
        <x:f>'Datos'!$B$26^3/3</x:f>
        <x:v>0.3333333333333333</x:v>
      </x:c>
      <x:c r="E4382" s="46" t="n">
        <x:f>D4382*(C4382-1)</x:f>
        <x:v>0.21654451660508878</x:v>
      </x:c>
      <x:c r="F4382" s="2"/>
      <x:c r="G4382" s="2"/>
      <x:c r="H4382" s="2"/>
    </x:row>
    <x:row r="4383" ht="22" customHeight="1">
      <x:c r="A4383" s="2" t="n">
        <x:v>4377</x:v>
      </x:c>
      <x:c r="B4383" s="79" t="n">
        <x:v>0.33654921879970023</x:v>
      </x:c>
      <x:c r="C4383" s="46" t="n">
        <x:f>B4383^2</x:f>
        <x:v>0.1132653766746885</x:v>
      </x:c>
      <x:c r="D4383" s="47" t="n">
        <x:f>'Datos'!$B$26^3/3</x:f>
        <x:v>0.3333333333333333</x:v>
      </x:c>
      <x:c r="E4383" s="46" t="n">
        <x:f>D4383*(C4383-1)</x:f>
        <x:v>-0.2955782077751038</x:v>
      </x:c>
      <x:c r="F4383" s="2"/>
      <x:c r="G4383" s="2"/>
      <x:c r="H4383" s="2"/>
    </x:row>
    <x:row r="4384" ht="22" customHeight="1">
      <x:c r="A4384" s="2" t="n">
        <x:v>4378</x:v>
      </x:c>
      <x:c r="B4384" s="79" t="n">
        <x:v>0.26575672394433514</x:v>
      </x:c>
      <x:c r="C4384" s="46" t="n">
        <x:f>B4384^2</x:f>
        <x:v>0.07062663632162555</x:v>
      </x:c>
      <x:c r="D4384" s="47" t="n">
        <x:f>'Datos'!$B$26^3/3</x:f>
        <x:v>0.3333333333333333</x:v>
      </x:c>
      <x:c r="E4384" s="46" t="n">
        <x:f>D4384*(C4384-1)</x:f>
        <x:v>-0.3097911212261248</x:v>
      </x:c>
      <x:c r="F4384" s="2"/>
      <x:c r="G4384" s="2"/>
      <x:c r="H4384" s="2"/>
    </x:row>
    <x:row r="4385" ht="22" customHeight="1">
      <x:c r="A4385" s="2" t="n">
        <x:v>4379</x:v>
      </x:c>
      <x:c r="B4385" s="79" t="n">
        <x:v>-0.86595029544796</x:v>
      </x:c>
      <x:c r="C4385" s="46" t="n">
        <x:f>B4385^2</x:f>
        <x:v>0.7498699141864091</x:v>
      </x:c>
      <x:c r="D4385" s="47" t="n">
        <x:f>'Datos'!$B$26^3/3</x:f>
        <x:v>0.3333333333333333</x:v>
      </x:c>
      <x:c r="E4385" s="46" t="n">
        <x:f>D4385*(C4385-1)</x:f>
        <x:v>-0.08337669527119695</x:v>
      </x:c>
      <x:c r="F4385" s="2"/>
      <x:c r="G4385" s="2"/>
      <x:c r="H4385" s="2"/>
    </x:row>
    <x:row r="4386" ht="22" customHeight="1">
      <x:c r="A4386" s="2" t="n">
        <x:v>4380</x:v>
      </x:c>
      <x:c r="B4386" s="79" t="n">
        <x:v>1.5730695452788892</x:v>
      </x:c>
      <x:c r="C4386" s="46" t="n">
        <x:f>B4386^2</x:f>
        <x:v>2.4745477942839313</x:v>
      </x:c>
      <x:c r="D4386" s="47" t="n">
        <x:f>'Datos'!$B$26^3/3</x:f>
        <x:v>0.3333333333333333</x:v>
      </x:c>
      <x:c r="E4386" s="46" t="n">
        <x:f>D4386*(C4386-1)</x:f>
        <x:v>0.4915159314279771</x:v>
      </x:c>
      <x:c r="F4386" s="2"/>
      <x:c r="G4386" s="2"/>
      <x:c r="H4386" s="2"/>
    </x:row>
    <x:row r="4387" ht="22" customHeight="1">
      <x:c r="A4387" s="2" t="n">
        <x:v>4381</x:v>
      </x:c>
      <x:c r="B4387" s="79" t="n">
        <x:v>-0.6876118726476956</x:v>
      </x:c>
      <x:c r="C4387" s="46" t="n">
        <x:f>B4387^2</x:f>
        <x:v>0.4728100874060708</x:v>
      </x:c>
      <x:c r="D4387" s="47" t="n">
        <x:f>'Datos'!$B$26^3/3</x:f>
        <x:v>0.3333333333333333</x:v>
      </x:c>
      <x:c r="E4387" s="46" t="n">
        <x:f>D4387*(C4387-1)</x:f>
        <x:v>-0.17572997086464306</x:v>
      </x:c>
      <x:c r="F4387" s="2"/>
      <x:c r="G4387" s="2"/>
      <x:c r="H4387" s="2"/>
    </x:row>
    <x:row r="4388" ht="22" customHeight="1">
      <x:c r="A4388" s="2" t="n">
        <x:v>4382</x:v>
      </x:c>
      <x:c r="B4388" s="79" t="n">
        <x:v>-0.6638220627930068</x:v>
      </x:c>
      <x:c r="C4388" s="46" t="n">
        <x:f>B4388^2</x:f>
        <x:v>0.44065973105076267</x:v>
      </x:c>
      <x:c r="D4388" s="47" t="n">
        <x:f>'Datos'!$B$26^3/3</x:f>
        <x:v>0.3333333333333333</x:v>
      </x:c>
      <x:c r="E4388" s="46" t="n">
        <x:f>D4388*(C4388-1)</x:f>
        <x:v>-0.18644675631641242</x:v>
      </x:c>
      <x:c r="F4388" s="2"/>
      <x:c r="G4388" s="2"/>
      <x:c r="H4388" s="2"/>
    </x:row>
    <x:row r="4389" ht="22" customHeight="1">
      <x:c r="A4389" s="2" t="n">
        <x:v>4383</x:v>
      </x:c>
      <x:c r="B4389" s="79" t="n">
        <x:v>-0.37245310542639054</x:v>
      </x:c>
      <x:c r="C4389" s="46" t="n">
        <x:f>B4389^2</x:f>
        <x:v>0.138721315741762</x:v>
      </x:c>
      <x:c r="D4389" s="47" t="n">
        <x:f>'Datos'!$B$26^3/3</x:f>
        <x:v>0.3333333333333333</x:v>
      </x:c>
      <x:c r="E4389" s="46" t="n">
        <x:f>D4389*(C4389-1)</x:f>
        <x:v>-0.287092894752746</x:v>
      </x:c>
      <x:c r="F4389" s="2"/>
      <x:c r="G4389" s="2"/>
      <x:c r="H4389" s="2"/>
    </x:row>
    <x:row r="4390" ht="22" customHeight="1">
      <x:c r="A4390" s="2" t="n">
        <x:v>4384</x:v>
      </x:c>
      <x:c r="B4390" s="79" t="n">
        <x:v>-0.9344919187861557</x:v>
      </x:c>
      <x:c r="C4390" s="46" t="n">
        <x:f>B4390^2</x:f>
        <x:v>0.8732751462766309</x:v>
      </x:c>
      <x:c r="D4390" s="47" t="n">
        <x:f>'Datos'!$B$26^3/3</x:f>
        <x:v>0.3333333333333333</x:v>
      </x:c>
      <x:c r="E4390" s="46" t="n">
        <x:f>D4390*(C4390-1)</x:f>
        <x:v>-0.042241617907789686</x:v>
      </x:c>
      <x:c r="F4390" s="2"/>
      <x:c r="G4390" s="2"/>
      <x:c r="H4390" s="2"/>
    </x:row>
    <x:row r="4391" ht="22" customHeight="1">
      <x:c r="A4391" s="2" t="n">
        <x:v>4385</x:v>
      </x:c>
      <x:c r="B4391" s="79" t="n">
        <x:v>-0.5713587137920889</x:v>
      </x:c>
      <x:c r="C4391" s="46" t="n">
        <x:f>B4391^2</x:f>
        <x:v>0.3264507798261502</x:v>
      </x:c>
      <x:c r="D4391" s="47" t="n">
        <x:f>'Datos'!$B$26^3/3</x:f>
        <x:v>0.3333333333333333</x:v>
      </x:c>
      <x:c r="E4391" s="46" t="n">
        <x:f>D4391*(C4391-1)</x:f>
        <x:v>-0.2245164067246166</x:v>
      </x:c>
      <x:c r="F4391" s="2"/>
      <x:c r="G4391" s="2"/>
      <x:c r="H4391" s="2"/>
    </x:row>
    <x:row r="4392" ht="22" customHeight="1">
      <x:c r="A4392" s="2" t="n">
        <x:v>4386</x:v>
      </x:c>
      <x:c r="B4392" s="79" t="n">
        <x:v>1.853851460391909</x:v>
      </x:c>
      <x:c r="C4392" s="46" t="n">
        <x:f>B4392^2</x:f>
        <x:v>3.4367652371972137</x:v>
      </x:c>
      <x:c r="D4392" s="47" t="n">
        <x:f>'Datos'!$B$26^3/3</x:f>
        <x:v>0.3333333333333333</x:v>
      </x:c>
      <x:c r="E4392" s="46" t="n">
        <x:f>D4392*(C4392-1)</x:f>
        <x:v>0.8122550790657379</x:v>
      </x:c>
      <x:c r="F4392" s="2"/>
      <x:c r="G4392" s="2"/>
      <x:c r="H4392" s="2"/>
    </x:row>
    <x:row r="4393" ht="22" customHeight="1">
      <x:c r="A4393" s="2" t="n">
        <x:v>4387</x:v>
      </x:c>
      <x:c r="B4393" s="79" t="n">
        <x:v>-0.8319329537552497</x:v>
      </x:c>
      <x:c r="C4393" s="46" t="n">
        <x:f>B4393^2</x:f>
        <x:v>0.6921124395439344</x:v>
      </x:c>
      <x:c r="D4393" s="47" t="n">
        <x:f>'Datos'!$B$26^3/3</x:f>
        <x:v>0.3333333333333333</x:v>
      </x:c>
      <x:c r="E4393" s="46" t="n">
        <x:f>D4393*(C4393-1)</x:f>
        <x:v>-0.10262918681868852</x:v>
      </x:c>
      <x:c r="F4393" s="2"/>
      <x:c r="G4393" s="2"/>
      <x:c r="H4393" s="2"/>
    </x:row>
    <x:row r="4394" ht="22" customHeight="1">
      <x:c r="A4394" s="2" t="n">
        <x:v>4388</x:v>
      </x:c>
      <x:c r="B4394" s="79" t="n">
        <x:v>-1.0444748250732463</x:v>
      </x:c>
      <x:c r="C4394" s="46" t="n">
        <x:f>B4394^2</x:f>
        <x:v>1.0909276602117886</x:v>
      </x:c>
      <x:c r="D4394" s="47" t="n">
        <x:f>'Datos'!$B$26^3/3</x:f>
        <x:v>0.3333333333333333</x:v>
      </x:c>
      <x:c r="E4394" s="46" t="n">
        <x:f>D4394*(C4394-1)</x:f>
        <x:v>0.030309220070596183</x:v>
      </x:c>
      <x:c r="F4394" s="2"/>
      <x:c r="G4394" s="2"/>
      <x:c r="H4394" s="2"/>
    </x:row>
    <x:row r="4395" ht="22" customHeight="1">
      <x:c r="A4395" s="2" t="n">
        <x:v>4389</x:v>
      </x:c>
      <x:c r="B4395" s="79" t="n">
        <x:v>1.0537581566961334</x:v>
      </x:c>
      <x:c r="C4395" s="46" t="n">
        <x:f>B4395^2</x:f>
        <x:v>1.1104062528036327</x:v>
      </x:c>
      <x:c r="D4395" s="47" t="n">
        <x:f>'Datos'!$B$26^3/3</x:f>
        <x:v>0.3333333333333333</x:v>
      </x:c>
      <x:c r="E4395" s="46" t="n">
        <x:f>D4395*(C4395-1)</x:f>
        <x:v>0.036802084267877566</x:v>
      </x:c>
      <x:c r="F4395" s="2"/>
      <x:c r="G4395" s="2"/>
      <x:c r="H4395" s="2"/>
    </x:row>
    <x:row r="4396" ht="22" customHeight="1">
      <x:c r="A4396" s="2" t="n">
        <x:v>4390</x:v>
      </x:c>
      <x:c r="B4396" s="79" t="n">
        <x:v>-0.06173196877029722</x:v>
      </x:c>
      <x:c r="C4396" s="46" t="n">
        <x:f>B4396^2</x:f>
        <x:v>0.0038108359682569514</x:v>
      </x:c>
      <x:c r="D4396" s="47" t="n">
        <x:f>'Datos'!$B$26^3/3</x:f>
        <x:v>0.3333333333333333</x:v>
      </x:c>
      <x:c r="E4396" s="46" t="n">
        <x:f>D4396*(C4396-1)</x:f>
        <x:v>-0.33206305467724767</x:v>
      </x:c>
      <x:c r="F4396" s="2"/>
      <x:c r="G4396" s="2"/>
      <x:c r="H4396" s="2"/>
    </x:row>
    <x:row r="4397" ht="22" customHeight="1">
      <x:c r="A4397" s="2" t="n">
        <x:v>4391</x:v>
      </x:c>
      <x:c r="B4397" s="79" t="n">
        <x:v>2.021656143109295</x:v>
      </x:c>
      <x:c r="C4397" s="46" t="n">
        <x:f>B4397^2</x:f>
        <x:v>4.087093560971551</x:v>
      </x:c>
      <x:c r="D4397" s="47" t="n">
        <x:f>'Datos'!$B$26^3/3</x:f>
        <x:v>0.3333333333333333</x:v>
      </x:c>
      <x:c r="E4397" s="46" t="n">
        <x:f>D4397*(C4397-1)</x:f>
        <x:v>1.029031186990517</x:v>
      </x:c>
      <x:c r="F4397" s="2"/>
      <x:c r="G4397" s="2"/>
      <x:c r="H4397" s="2"/>
    </x:row>
    <x:row r="4398" ht="22" customHeight="1">
      <x:c r="A4398" s="2" t="n">
        <x:v>4392</x:v>
      </x:c>
      <x:c r="B4398" s="79" t="n">
        <x:v>-0.5743698954713983</x:v>
      </x:c>
      <x:c r="C4398" s="46" t="n">
        <x:f>B4398^2</x:f>
        <x:v>0.32990077682382496</x:v>
      </x:c>
      <x:c r="D4398" s="47" t="n">
        <x:f>'Datos'!$B$26^3/3</x:f>
        <x:v>0.3333333333333333</x:v>
      </x:c>
      <x:c r="E4398" s="46" t="n">
        <x:f>D4398*(C4398-1)</x:f>
        <x:v>-0.22336640772539168</x:v>
      </x:c>
      <x:c r="F4398" s="2"/>
      <x:c r="G4398" s="2"/>
      <x:c r="H4398" s="2"/>
    </x:row>
    <x:row r="4399" ht="22" customHeight="1">
      <x:c r="A4399" s="2" t="n">
        <x:v>4393</x:v>
      </x:c>
      <x:c r="B4399" s="79" t="n">
        <x:v>-1.1028505099350576</x:v>
      </x:c>
      <x:c r="C4399" s="46" t="n">
        <x:f>B4399^2</x:f>
        <x:v>1.2162792472640167</x:v>
      </x:c>
      <x:c r="D4399" s="47" t="n">
        <x:f>'Datos'!$B$26^3/3</x:f>
        <x:v>0.3333333333333333</x:v>
      </x:c>
      <x:c r="E4399" s="46" t="n">
        <x:f>D4399*(C4399-1)</x:f>
        <x:v>0.0720930824213389</x:v>
      </x:c>
      <x:c r="F4399" s="2"/>
      <x:c r="G4399" s="2"/>
      <x:c r="H4399" s="2"/>
    </x:row>
    <x:row r="4400" ht="22" customHeight="1">
      <x:c r="A4400" s="2" t="n">
        <x:v>4394</x:v>
      </x:c>
      <x:c r="B4400" s="79" t="n">
        <x:v>-0.053121658463157265</x:v>
      </x:c>
      <x:c r="C4400" s="46" t="n">
        <x:f>B4400^2</x:f>
        <x:v>0.002821910597876328</x:v>
      </x:c>
      <x:c r="D4400" s="47" t="n">
        <x:f>'Datos'!$B$26^3/3</x:f>
        <x:v>0.3333333333333333</x:v>
      </x:c>
      <x:c r="E4400" s="46" t="n">
        <x:f>D4400*(C4400-1)</x:f>
        <x:v>-0.33239269646737457</x:v>
      </x:c>
      <x:c r="F4400" s="2"/>
      <x:c r="G4400" s="2"/>
      <x:c r="H4400" s="2"/>
    </x:row>
    <x:row r="4401" ht="22" customHeight="1">
      <x:c r="A4401" s="2" t="n">
        <x:v>4395</x:v>
      </x:c>
      <x:c r="B4401" s="79" t="n">
        <x:v>0.0016947711118298543</x:v>
      </x:c>
      <x:c r="C4401" s="46" t="n">
        <x:f>B4401^2</x:f>
        <x:v>0.0000028722491214930003</x:v>
      </x:c>
      <x:c r="D4401" s="47" t="n">
        <x:f>'Datos'!$B$26^3/3</x:f>
        <x:v>0.3333333333333333</x:v>
      </x:c>
      <x:c r="E4401" s="46" t="n">
        <x:f>D4401*(C4401-1)</x:f>
        <x:v>-0.33333237591695947</x:v>
      </x:c>
      <x:c r="F4401" s="2"/>
      <x:c r="G4401" s="2"/>
      <x:c r="H4401" s="2"/>
    </x:row>
    <x:row r="4402" ht="22" customHeight="1">
      <x:c r="A4402" s="2" t="n">
        <x:v>4396</x:v>
      </x:c>
      <x:c r="B4402" s="79" t="n">
        <x:v>-0.34155433860900397</x:v>
      </x:c>
      <x:c r="C4402" s="46" t="n">
        <x:f>B4402^2</x:f>
        <x:v>0.11665936622263415</x:v>
      </x:c>
      <x:c r="D4402" s="47" t="n">
        <x:f>'Datos'!$B$26^3/3</x:f>
        <x:v>0.3333333333333333</x:v>
      </x:c>
      <x:c r="E4402" s="46" t="n">
        <x:f>D4402*(C4402-1)</x:f>
        <x:v>-0.2944468779257886</x:v>
      </x:c>
      <x:c r="F4402" s="2"/>
      <x:c r="G4402" s="2"/>
      <x:c r="H4402" s="2"/>
    </x:row>
    <x:row r="4403" ht="22" customHeight="1">
      <x:c r="A4403" s="2" t="n">
        <x:v>4397</x:v>
      </x:c>
      <x:c r="B4403" s="79" t="n">
        <x:v>-0.5362778259177409</x:v>
      </x:c>
      <x:c r="C4403" s="46" t="n">
        <x:f>B4403^2</x:f>
        <x:v>0.28759390657105877</x:v>
      </x:c>
      <x:c r="D4403" s="47" t="n">
        <x:f>'Datos'!$B$26^3/3</x:f>
        <x:v>0.3333333333333333</x:v>
      </x:c>
      <x:c r="E4403" s="46" t="n">
        <x:f>D4403*(C4403-1)</x:f>
        <x:v>-0.23746869780964708</x:v>
      </x:c>
      <x:c r="F4403" s="2"/>
      <x:c r="G4403" s="2"/>
      <x:c r="H4403" s="2"/>
    </x:row>
    <x:row r="4404" ht="22" customHeight="1">
      <x:c r="A4404" s="2" t="n">
        <x:v>4398</x:v>
      </x:c>
      <x:c r="B4404" s="79" t="n">
        <x:v>0.622078896436531</x:v>
      </x:c>
      <x:c r="C4404" s="46" t="n">
        <x:f>B4404^2</x:f>
        <x:v>0.3869821533916923</x:v>
      </x:c>
      <x:c r="D4404" s="47" t="n">
        <x:f>'Datos'!$B$26^3/3</x:f>
        <x:v>0.3333333333333333</x:v>
      </x:c>
      <x:c r="E4404" s="46" t="n">
        <x:f>D4404*(C4404-1)</x:f>
        <x:v>-0.20433928220276923</x:v>
      </x:c>
      <x:c r="F4404" s="2"/>
      <x:c r="G4404" s="2"/>
      <x:c r="H4404" s="2"/>
    </x:row>
    <x:row r="4405" ht="22" customHeight="1">
      <x:c r="A4405" s="2" t="n">
        <x:v>4399</x:v>
      </x:c>
      <x:c r="B4405" s="79" t="n">
        <x:v>0.11722566015040667</x:v>
      </x:c>
      <x:c r="C4405" s="46" t="n">
        <x:f>B4405^2</x:f>
        <x:v>0.013741855397698642</x:v>
      </x:c>
      <x:c r="D4405" s="47" t="n">
        <x:f>'Datos'!$B$26^3/3</x:f>
        <x:v>0.3333333333333333</x:v>
      </x:c>
      <x:c r="E4405" s="46" t="n">
        <x:f>D4405*(C4405-1)</x:f>
        <x:v>-0.32875271486743374</x:v>
      </x:c>
      <x:c r="F4405" s="2"/>
      <x:c r="G4405" s="2"/>
      <x:c r="H4405" s="2"/>
    </x:row>
    <x:row r="4406" ht="22" customHeight="1">
      <x:c r="A4406" s="2" t="n">
        <x:v>4400</x:v>
      </x:c>
      <x:c r="B4406" s="79" t="n">
        <x:v>1.537173315367152</x:v>
      </x:c>
      <x:c r="C4406" s="46" t="n">
        <x:f>B4406^2</x:f>
        <x:v>2.362901801476842</x:v>
      </x:c>
      <x:c r="D4406" s="47" t="n">
        <x:f>'Datos'!$B$26^3/3</x:f>
        <x:v>0.3333333333333333</x:v>
      </x:c>
      <x:c r="E4406" s="46" t="n">
        <x:f>D4406*(C4406-1)</x:f>
        <x:v>0.4543006004922807</x:v>
      </x:c>
      <x:c r="F4406" s="2"/>
      <x:c r="G4406" s="2"/>
      <x:c r="H4406" s="2"/>
    </x:row>
    <x:row r="4407" ht="22" customHeight="1">
      <x:c r="A4407" s="2" t="n">
        <x:v>4401</x:v>
      </x:c>
      <x:c r="B4407" s="79" t="n">
        <x:v>0.7108684733043671</x:v>
      </x:c>
      <x:c r="C4407" s="46" t="n">
        <x:f>B4407^2</x:f>
        <x:v>0.5053339863380817</x:v>
      </x:c>
      <x:c r="D4407" s="47" t="n">
        <x:f>'Datos'!$B$26^3/3</x:f>
        <x:v>0.3333333333333333</x:v>
      </x:c>
      <x:c r="E4407" s="46" t="n">
        <x:f>D4407*(C4407-1)</x:f>
        <x:v>-0.16488867122063944</x:v>
      </x:c>
      <x:c r="F4407" s="2"/>
      <x:c r="G4407" s="2"/>
      <x:c r="H4407" s="2"/>
    </x:row>
    <x:row r="4408" ht="22" customHeight="1">
      <x:c r="A4408" s="2" t="n">
        <x:v>4402</x:v>
      </x:c>
      <x:c r="B4408" s="79" t="n">
        <x:v>-0.4829677108865468</x:v>
      </x:c>
      <x:c r="C4408" s="46" t="n">
        <x:f>B4408^2</x:f>
        <x:v>0.23325780975899102</x:v>
      </x:c>
      <x:c r="D4408" s="47" t="n">
        <x:f>'Datos'!$B$26^3/3</x:f>
        <x:v>0.3333333333333333</x:v>
      </x:c>
      <x:c r="E4408" s="46" t="n">
        <x:f>D4408*(C4408-1)</x:f>
        <x:v>-0.2555807300803363</x:v>
      </x:c>
      <x:c r="F4408" s="2"/>
      <x:c r="G4408" s="2"/>
      <x:c r="H4408" s="2"/>
    </x:row>
    <x:row r="4409" ht="22" customHeight="1">
      <x:c r="A4409" s="2" t="n">
        <x:v>4403</x:v>
      </x:c>
      <x:c r="B4409" s="79" t="n">
        <x:v>0.9708165944629001</x:v>
      </x:c>
      <x:c r="C4409" s="46" t="n">
        <x:f>B4409^2</x:f>
        <x:v>0.9424848600845431</x:v>
      </x:c>
      <x:c r="D4409" s="47" t="n">
        <x:f>'Datos'!$B$26^3/3</x:f>
        <x:v>0.3333333333333333</x:v>
      </x:c>
      <x:c r="E4409" s="46" t="n">
        <x:f>D4409*(C4409-1)</x:f>
        <x:v>-0.01917171330515229</x:v>
      </x:c>
      <x:c r="F4409" s="2"/>
      <x:c r="G4409" s="2"/>
      <x:c r="H4409" s="2"/>
    </x:row>
    <x:row r="4410" ht="22" customHeight="1">
      <x:c r="A4410" s="2" t="n">
        <x:v>4404</x:v>
      </x:c>
      <x:c r="B4410" s="79" t="n">
        <x:v>0.4626696295824484</x:v>
      </x:c>
      <x:c r="C4410" s="46" t="n">
        <x:f>B4410^2</x:f>
        <x:v>0.21406318613796</x:v>
      </x:c>
      <x:c r="D4410" s="47" t="n">
        <x:f>'Datos'!$B$26^3/3</x:f>
        <x:v>0.3333333333333333</x:v>
      </x:c>
      <x:c r="E4410" s="46" t="n">
        <x:f>D4410*(C4410-1)</x:f>
        <x:v>-0.2619789379540133</x:v>
      </x:c>
      <x:c r="F4410" s="2"/>
      <x:c r="G4410" s="2"/>
      <x:c r="H4410" s="2"/>
    </x:row>
    <x:row r="4411" ht="22" customHeight="1">
      <x:c r="A4411" s="2" t="n">
        <x:v>4405</x:v>
      </x:c>
      <x:c r="B4411" s="79" t="n">
        <x:v>-0.10656529983931214</x:v>
      </x:c>
      <x:c r="C4411" s="46" t="n">
        <x:f>B4411^2</x:f>
        <x:v>0.011356163129842499</x:v>
      </x:c>
      <x:c r="D4411" s="47" t="n">
        <x:f>'Datos'!$B$26^3/3</x:f>
        <x:v>0.3333333333333333</x:v>
      </x:c>
      <x:c r="E4411" s="46" t="n">
        <x:f>D4411*(C4411-1)</x:f>
        <x:v>-0.32954794562338585</x:v>
      </x:c>
      <x:c r="F4411" s="2"/>
      <x:c r="G4411" s="2"/>
      <x:c r="H4411" s="2"/>
    </x:row>
    <x:row r="4412" ht="22" customHeight="1">
      <x:c r="A4412" s="2" t="n">
        <x:v>4406</x:v>
      </x:c>
      <x:c r="B4412" s="79" t="n">
        <x:v>-0.8035772985087645</x:v>
      </x:c>
      <x:c r="C4412" s="46" t="n">
        <x:f>B4412^2</x:f>
        <x:v>0.6457364746786439</x:v>
      </x:c>
      <x:c r="D4412" s="47" t="n">
        <x:f>'Datos'!$B$26^3/3</x:f>
        <x:v>0.3333333333333333</x:v>
      </x:c>
      <x:c r="E4412" s="46" t="n">
        <x:f>D4412*(C4412-1)</x:f>
        <x:v>-0.11808784177378535</x:v>
      </x:c>
      <x:c r="F4412" s="2"/>
      <x:c r="G4412" s="2"/>
      <x:c r="H4412" s="2"/>
    </x:row>
    <x:row r="4413" ht="22" customHeight="1">
      <x:c r="A4413" s="2" t="n">
        <x:v>4407</x:v>
      </x:c>
      <x:c r="B4413" s="79" t="n">
        <x:v>-0.15016182853851684</x:v>
      </x:c>
      <x:c r="C4413" s="46" t="n">
        <x:f>B4413^2</x:f>
        <x:v>0.02254857475003093</x:v>
      </x:c>
      <x:c r="D4413" s="47" t="n">
        <x:f>'Datos'!$B$26^3/3</x:f>
        <x:v>0.3333333333333333</x:v>
      </x:c>
      <x:c r="E4413" s="46" t="n">
        <x:f>D4413*(C4413-1)</x:f>
        <x:v>-0.32581714174998966</x:v>
      </x:c>
      <x:c r="F4413" s="2"/>
      <x:c r="G4413" s="2"/>
      <x:c r="H4413" s="2"/>
    </x:row>
    <x:row r="4414" ht="22" customHeight="1">
      <x:c r="A4414" s="2" t="n">
        <x:v>4408</x:v>
      </x:c>
      <x:c r="B4414" s="79" t="n">
        <x:v>0.3663029195865657</x:v>
      </x:c>
      <x:c r="C4414" s="46" t="n">
        <x:f>B4414^2</x:f>
        <x:v>0.13417782889764202</x:v>
      </x:c>
      <x:c r="D4414" s="47" t="n">
        <x:f>'Datos'!$B$26^3/3</x:f>
        <x:v>0.3333333333333333</x:v>
      </x:c>
      <x:c r="E4414" s="46" t="n">
        <x:f>D4414*(C4414-1)</x:f>
        <x:v>-0.28860739036745264</x:v>
      </x:c>
      <x:c r="F4414" s="2"/>
      <x:c r="G4414" s="2"/>
      <x:c r="H4414" s="2"/>
    </x:row>
    <x:row r="4415" ht="22" customHeight="1">
      <x:c r="A4415" s="2" t="n">
        <x:v>4409</x:v>
      </x:c>
      <x:c r="B4415" s="79" t="n">
        <x:v>1.3296334467697757</x:v>
      </x:c>
      <x:c r="C4415" s="46" t="n">
        <x:f>B4415^2</x:f>
        <x:v>1.7679251027688738</x:v>
      </x:c>
      <x:c r="D4415" s="47" t="n">
        <x:f>'Datos'!$B$26^3/3</x:f>
        <x:v>0.3333333333333333</x:v>
      </x:c>
      <x:c r="E4415" s="46" t="n">
        <x:f>D4415*(C4415-1)</x:f>
        <x:v>0.25597503425629126</x:v>
      </x:c>
      <x:c r="F4415" s="2"/>
      <x:c r="G4415" s="2"/>
      <x:c r="H4415" s="2"/>
    </x:row>
    <x:row r="4416" ht="22" customHeight="1">
      <x:c r="A4416" s="2" t="n">
        <x:v>4410</x:v>
      </x:c>
      <x:c r="B4416" s="79" t="n">
        <x:v>0.16455493270572977</x:v>
      </x:c>
      <x:c r="C4416" s="46" t="n">
        <x:f>B4416^2</x:f>
        <x:v>0.027078325877787253</x:v>
      </x:c>
      <x:c r="D4416" s="47" t="n">
        <x:f>'Datos'!$B$26^3/3</x:f>
        <x:v>0.3333333333333333</x:v>
      </x:c>
      <x:c r="E4416" s="46" t="n">
        <x:f>D4416*(C4416-1)</x:f>
        <x:v>-0.32430722470740425</x:v>
      </x:c>
      <x:c r="F4416" s="2"/>
      <x:c r="G4416" s="2"/>
      <x:c r="H4416" s="2"/>
    </x:row>
    <x:row r="4417" ht="22" customHeight="1">
      <x:c r="A4417" s="2" t="n">
        <x:v>4411</x:v>
      </x:c>
      <x:c r="B4417" s="79" t="n">
        <x:v>-1.6348642201492132</x:v>
      </x:c>
      <x:c r="C4417" s="46" t="n">
        <x:f>B4417^2</x:f>
        <x:v>2.6727810183240948</x:v>
      </x:c>
      <x:c r="D4417" s="47" t="n">
        <x:f>'Datos'!$B$26^3/3</x:f>
        <x:v>0.3333333333333333</x:v>
      </x:c>
      <x:c r="E4417" s="46" t="n">
        <x:f>D4417*(C4417-1)</x:f>
        <x:v>0.5575936727746982</x:v>
      </x:c>
      <x:c r="F4417" s="2"/>
      <x:c r="G4417" s="2"/>
      <x:c r="H4417" s="2"/>
    </x:row>
    <x:row r="4418" ht="22" customHeight="1">
      <x:c r="A4418" s="2" t="n">
        <x:v>4412</x:v>
      </x:c>
      <x:c r="B4418" s="79" t="n">
        <x:v>0.1250991799420026</x:v>
      </x:c>
      <x:c r="C4418" s="46" t="n">
        <x:f>B4418^2</x:f>
        <x:v>0.015649804822161544</x:v>
      </x:c>
      <x:c r="D4418" s="47" t="n">
        <x:f>'Datos'!$B$26^3/3</x:f>
        <x:v>0.3333333333333333</x:v>
      </x:c>
      <x:c r="E4418" s="46" t="n">
        <x:f>D4418*(C4418-1)</x:f>
        <x:v>-0.32811673172594613</x:v>
      </x:c>
      <x:c r="F4418" s="2"/>
      <x:c r="G4418" s="2"/>
      <x:c r="H4418" s="2"/>
    </x:row>
    <x:row r="4419" ht="22" customHeight="1">
      <x:c r="A4419" s="2" t="n">
        <x:v>4413</x:v>
      </x:c>
      <x:c r="B4419" s="79" t="n">
        <x:v>-1.0472193204747877</x:v>
      </x:c>
      <x:c r="C4419" s="46" t="n">
        <x:f>B4419^2</x:f>
        <x:v>1.096668305175676</x:v>
      </x:c>
      <x:c r="D4419" s="47" t="n">
        <x:f>'Datos'!$B$26^3/3</x:f>
        <x:v>0.3333333333333333</x:v>
      </x:c>
      <x:c r="E4419" s="46" t="n">
        <x:f>D4419*(C4419-1)</x:f>
        <x:v>0.03222276839189201</x:v>
      </x:c>
      <x:c r="F4419" s="2"/>
      <x:c r="G4419" s="2"/>
      <x:c r="H4419" s="2"/>
    </x:row>
    <x:row r="4420" ht="22" customHeight="1">
      <x:c r="A4420" s="2" t="n">
        <x:v>4414</x:v>
      </x:c>
      <x:c r="B4420" s="79" t="n">
        <x:v>0.2929988102428954</x:v>
      </x:c>
      <x:c r="C4420" s="46" t="n">
        <x:f>B4420^2</x:f>
        <x:v>0.08584830280375225</x:v>
      </x:c>
      <x:c r="D4420" s="47" t="n">
        <x:f>'Datos'!$B$26^3/3</x:f>
        <x:v>0.3333333333333333</x:v>
      </x:c>
      <x:c r="E4420" s="46" t="n">
        <x:f>D4420*(C4420-1)</x:f>
        <x:v>-0.30471723239874926</x:v>
      </x:c>
      <x:c r="F4420" s="2"/>
      <x:c r="G4420" s="2"/>
      <x:c r="H4420" s="2"/>
    </x:row>
    <x:row r="4421" ht="22" customHeight="1">
      <x:c r="A4421" s="2" t="n">
        <x:v>4415</x:v>
      </x:c>
      <x:c r="B4421" s="79" t="n">
        <x:v>-0.11327909582449529</x:v>
      </x:c>
      <x:c r="C4421" s="46" t="n">
        <x:f>B4421^2</x:f>
        <x:v>0.012832153550815186</x:v>
      </x:c>
      <x:c r="D4421" s="47" t="n">
        <x:f>'Datos'!$B$26^3/3</x:f>
        <x:v>0.3333333333333333</x:v>
      </x:c>
      <x:c r="E4421" s="46" t="n">
        <x:f>D4421*(C4421-1)</x:f>
        <x:v>-0.3290559488163949</x:v>
      </x:c>
      <x:c r="F4421" s="2"/>
      <x:c r="G4421" s="2"/>
      <x:c r="H4421" s="2"/>
    </x:row>
    <x:row r="4422" ht="22" customHeight="1">
      <x:c r="A4422" s="2" t="n">
        <x:v>4416</x:v>
      </x:c>
      <x:c r="B4422" s="79" t="n">
        <x:v>-0.2554313828192266</x:v>
      </x:c>
      <x:c r="C4422" s="46" t="n">
        <x:f>B4422^2</x:f>
        <x:v>0.0652451913289423</x:v>
      </x:c>
      <x:c r="D4422" s="47" t="n">
        <x:f>'Datos'!$B$26^3/3</x:f>
        <x:v>0.3333333333333333</x:v>
      </x:c>
      <x:c r="E4422" s="46" t="n">
        <x:f>D4422*(C4422-1)</x:f>
        <x:v>-0.3115849362236859</x:v>
      </x:c>
      <x:c r="F4422" s="2"/>
      <x:c r="G4422" s="2"/>
      <x:c r="H4422" s="2"/>
    </x:row>
    <x:row r="4423" ht="22" customHeight="1">
      <x:c r="A4423" s="2" t="n">
        <x:v>4417</x:v>
      </x:c>
      <x:c r="B4423" s="79" t="n">
        <x:v>-0.49242386422667095</x:v>
      </x:c>
      <x:c r="C4423" s="46" t="n">
        <x:f>B4423^2</x:f>
        <x:v>0.24248126205992687</x:v>
      </x:c>
      <x:c r="D4423" s="47" t="n">
        <x:f>'Datos'!$B$26^3/3</x:f>
        <x:v>0.3333333333333333</x:v>
      </x:c>
      <x:c r="E4423" s="46" t="n">
        <x:f>D4423*(C4423-1)</x:f>
        <x:v>-0.25250624598002436</x:v>
      </x:c>
      <x:c r="F4423" s="2"/>
      <x:c r="G4423" s="2"/>
      <x:c r="H4423" s="2"/>
    </x:row>
    <x:row r="4424" ht="22" customHeight="1">
      <x:c r="A4424" s="2" t="n">
        <x:v>4418</x:v>
      </x:c>
      <x:c r="B4424" s="79" t="n">
        <x:v>0.459704085000344</x:v>
      </x:c>
      <x:c r="C4424" s="46" t="n">
        <x:f>B4424^2</x:f>
        <x:v>0.2113278457660035</x:v>
      </x:c>
      <x:c r="D4424" s="47" t="n">
        <x:f>'Datos'!$B$26^3/3</x:f>
        <x:v>0.3333333333333333</x:v>
      </x:c>
      <x:c r="E4424" s="46" t="n">
        <x:f>D4424*(C4424-1)</x:f>
        <x:v>-0.2628907180779988</x:v>
      </x:c>
      <x:c r="F4424" s="2"/>
      <x:c r="G4424" s="2"/>
      <x:c r="H4424" s="2"/>
    </x:row>
    <x:row r="4425" ht="22" customHeight="1">
      <x:c r="A4425" s="2" t="n">
        <x:v>4419</x:v>
      </x:c>
      <x:c r="B4425" s="79" t="n">
        <x:v>-0.0725845722628891</x:v>
      </x:c>
      <x:c r="C4425" s="46" t="n">
        <x:f>B4425^2</x:f>
        <x:v>0.00526852013058657</x:v>
      </x:c>
      <x:c r="D4425" s="47" t="n">
        <x:f>'Datos'!$B$26^3/3</x:f>
        <x:v>0.3333333333333333</x:v>
      </x:c>
      <x:c r="E4425" s="46" t="n">
        <x:f>D4425*(C4425-1)</x:f>
        <x:v>-0.33157715995647113</x:v>
      </x:c>
      <x:c r="F4425" s="2"/>
      <x:c r="G4425" s="2"/>
      <x:c r="H4425" s="2"/>
    </x:row>
    <x:row r="4426" ht="22" customHeight="1">
      <x:c r="A4426" s="2" t="n">
        <x:v>4420</x:v>
      </x:c>
      <x:c r="B4426" s="79" t="n">
        <x:v>-0.18025719428978232</x:v>
      </x:c>
      <x:c r="C4426" s="46" t="n">
        <x:f>B4426^2</x:f>
        <x:v>0.03249265609322433</x:v>
      </x:c>
      <x:c r="D4426" s="47" t="n">
        <x:f>'Datos'!$B$26^3/3</x:f>
        <x:v>0.3333333333333333</x:v>
      </x:c>
      <x:c r="E4426" s="46" t="n">
        <x:f>D4426*(C4426-1)</x:f>
        <x:v>-0.3225024479689252</x:v>
      </x:c>
      <x:c r="F4426" s="2"/>
      <x:c r="G4426" s="2"/>
      <x:c r="H4426" s="2"/>
    </x:row>
    <x:row r="4427" ht="22" customHeight="1">
      <x:c r="A4427" s="2" t="n">
        <x:v>4421</x:v>
      </x:c>
      <x:c r="B4427" s="79" t="n">
        <x:v>0.4495901241689399</x:v>
      </x:c>
      <x:c r="C4427" s="46" t="n">
        <x:f>B4427^2</x:f>
        <x:v>0.20213127975024278</x:v>
      </x:c>
      <x:c r="D4427" s="47" t="n">
        <x:f>'Datos'!$B$26^3/3</x:f>
        <x:v>0.3333333333333333</x:v>
      </x:c>
      <x:c r="E4427" s="46" t="n">
        <x:f>D4427*(C4427-1)</x:f>
        <x:v>-0.26595624008325236</x:v>
      </x:c>
      <x:c r="F4427" s="2"/>
      <x:c r="G4427" s="2"/>
      <x:c r="H4427" s="2"/>
    </x:row>
    <x:row r="4428" ht="22" customHeight="1">
      <x:c r="A4428" s="2" t="n">
        <x:v>4422</x:v>
      </x:c>
      <x:c r="B4428" s="79" t="n">
        <x:v>1.8932769402175242</x:v>
      </x:c>
      <x:c r="C4428" s="46" t="n">
        <x:f>B4428^2</x:f>
        <x:v>3.584497572359431</x:v>
      </x:c>
      <x:c r="D4428" s="47" t="n">
        <x:f>'Datos'!$B$26^3/3</x:f>
        <x:v>0.3333333333333333</x:v>
      </x:c>
      <x:c r="E4428" s="46" t="n">
        <x:f>D4428*(C4428-1)</x:f>
        <x:v>0.8614991907864769</x:v>
      </x:c>
      <x:c r="F4428" s="2"/>
      <x:c r="G4428" s="2"/>
      <x:c r="H4428" s="2"/>
    </x:row>
    <x:row r="4429" ht="22" customHeight="1">
      <x:c r="A4429" s="2" t="n">
        <x:v>4423</x:v>
      </x:c>
      <x:c r="B4429" s="79" t="n">
        <x:v>1.6778318206349039</x:v>
      </x:c>
      <x:c r="C4429" s="46" t="n">
        <x:f>B4429^2</x:f>
        <x:v>2.815119618335036</x:v>
      </x:c>
      <x:c r="D4429" s="47" t="n">
        <x:f>'Datos'!$B$26^3/3</x:f>
        <x:v>0.3333333333333333</x:v>
      </x:c>
      <x:c r="E4429" s="46" t="n">
        <x:f>D4429*(C4429-1)</x:f>
        <x:v>0.6050398727783454</x:v>
      </x:c>
      <x:c r="F4429" s="2"/>
      <x:c r="G4429" s="2"/>
      <x:c r="H4429" s="2"/>
    </x:row>
    <x:row r="4430" ht="22" customHeight="1">
      <x:c r="A4430" s="2" t="n">
        <x:v>4424</x:v>
      </x:c>
      <x:c r="B4430" s="79" t="n">
        <x:v>-0.5930215472114233</x:v>
      </x:c>
      <x:c r="C4430" s="46" t="n">
        <x:f>B4430^2</x:f>
        <x:v>0.35167455545703036</x:v>
      </x:c>
      <x:c r="D4430" s="47" t="n">
        <x:f>'Datos'!$B$26^3/3</x:f>
        <x:v>0.3333333333333333</x:v>
      </x:c>
      <x:c r="E4430" s="46" t="n">
        <x:f>D4430*(C4430-1)</x:f>
        <x:v>-0.2161084815143232</x:v>
      </x:c>
      <x:c r="F4430" s="2"/>
      <x:c r="G4430" s="2"/>
      <x:c r="H4430" s="2"/>
    </x:row>
    <x:row r="4431" ht="22" customHeight="1">
      <x:c r="A4431" s="2" t="n">
        <x:v>4425</x:v>
      </x:c>
      <x:c r="B4431" s="79" t="n">
        <x:v>1.00895861640065</x:v>
      </x:c>
      <x:c r="C4431" s="46" t="n">
        <x:f>B4431^2</x:f>
        <x:v>1.0179974896091142</x:v>
      </x:c>
      <x:c r="D4431" s="47" t="n">
        <x:f>'Datos'!$B$26^3/3</x:f>
        <x:v>0.3333333333333333</x:v>
      </x:c>
      <x:c r="E4431" s="46" t="n">
        <x:f>D4431*(C4431-1)</x:f>
        <x:v>0.00599916320303806</x:v>
      </x:c>
      <x:c r="F4431" s="2"/>
      <x:c r="G4431" s="2"/>
      <x:c r="H4431" s="2"/>
    </x:row>
    <x:row r="4432" ht="22" customHeight="1">
      <x:c r="A4432" s="2" t="n">
        <x:v>4426</x:v>
      </x:c>
      <x:c r="B4432" s="79" t="n">
        <x:v>0.32842376735519047</x:v>
      </x:c>
      <x:c r="C4432" s="46" t="n">
        <x:f>B4432^2</x:f>
        <x:v>0.10786217096377627</x:v>
      </x:c>
      <x:c r="D4432" s="47" t="n">
        <x:f>'Datos'!$B$26^3/3</x:f>
        <x:v>0.3333333333333333</x:v>
      </x:c>
      <x:c r="E4432" s="46" t="n">
        <x:f>D4432*(C4432-1)</x:f>
        <x:v>-0.2973792763454079</x:v>
      </x:c>
      <x:c r="F4432" s="2"/>
      <x:c r="G4432" s="2"/>
      <x:c r="H4432" s="2"/>
    </x:row>
    <x:row r="4433" ht="22" customHeight="1">
      <x:c r="A4433" s="2" t="n">
        <x:v>4427</x:v>
      </x:c>
      <x:c r="B4433" s="79" t="n">
        <x:v>-0.7830596827551344</x:v>
      </x:c>
      <x:c r="C4433" s="46" t="n">
        <x:f>B4433^2</x:f>
        <x:v>0.6131824667565717</x:v>
      </x:c>
      <x:c r="D4433" s="47" t="n">
        <x:f>'Datos'!$B$26^3/3</x:f>
        <x:v>0.3333333333333333</x:v>
      </x:c>
      <x:c r="E4433" s="46" t="n">
        <x:f>D4433*(C4433-1)</x:f>
        <x:v>-0.1289391777478094</x:v>
      </x:c>
      <x:c r="F4433" s="2"/>
      <x:c r="G4433" s="2"/>
      <x:c r="H4433" s="2"/>
    </x:row>
    <x:row r="4434" ht="22" customHeight="1">
      <x:c r="A4434" s="2" t="n">
        <x:v>4428</x:v>
      </x:c>
      <x:c r="B4434" s="79" t="n">
        <x:v>-0.2098340351079048</x:v>
      </x:c>
      <x:c r="C4434" s="46" t="n">
        <x:f>B4434^2</x:f>
        <x:v>0.04403032228966542</x:v>
      </x:c>
      <x:c r="D4434" s="47" t="n">
        <x:f>'Datos'!$B$26^3/3</x:f>
        <x:v>0.3333333333333333</x:v>
      </x:c>
      <x:c r="E4434" s="46" t="n">
        <x:f>D4434*(C4434-1)</x:f>
        <x:v>-0.31865655923677816</x:v>
      </x:c>
      <x:c r="F4434" s="2"/>
      <x:c r="G4434" s="2"/>
      <x:c r="H4434" s="2"/>
    </x:row>
    <x:row r="4435" ht="22" customHeight="1">
      <x:c r="A4435" s="2" t="n">
        <x:v>4429</x:v>
      </x:c>
      <x:c r="B4435" s="79" t="n">
        <x:v>0.9770965383321073</x:v>
      </x:c>
      <x:c r="C4435" s="46" t="n">
        <x:f>B4435^2</x:f>
        <x:v>0.9547176452205872</x:v>
      </x:c>
      <x:c r="D4435" s="47" t="n">
        <x:f>'Datos'!$B$26^3/3</x:f>
        <x:v>0.3333333333333333</x:v>
      </x:c>
      <x:c r="E4435" s="46" t="n">
        <x:f>D4435*(C4435-1)</x:f>
        <x:v>-0.01509411825980426</x:v>
      </x:c>
      <x:c r="F4435" s="2"/>
      <x:c r="G4435" s="2"/>
      <x:c r="H4435" s="2"/>
    </x:row>
    <x:row r="4436" ht="22" customHeight="1">
      <x:c r="A4436" s="2" t="n">
        <x:v>4430</x:v>
      </x:c>
      <x:c r="B4436" s="79" t="n">
        <x:v>1.534299724748851</x:v>
      </x:c>
      <x:c r="C4436" s="46" t="n">
        <x:f>B4436^2</x:f>
        <x:v>2.3540756453644</x:v>
      </x:c>
      <x:c r="D4436" s="47" t="n">
        <x:f>'Datos'!$B$26^3/3</x:f>
        <x:v>0.3333333333333333</x:v>
      </x:c>
      <x:c r="E4436" s="46" t="n">
        <x:f>D4436*(C4436-1)</x:f>
        <x:v>0.4513585484548</x:v>
      </x:c>
      <x:c r="F4436" s="2"/>
      <x:c r="G4436" s="2"/>
      <x:c r="H4436" s="2"/>
    </x:row>
    <x:row r="4437" ht="22" customHeight="1">
      <x:c r="A4437" s="2" t="n">
        <x:v>4431</x:v>
      </x:c>
      <x:c r="B4437" s="79" t="n">
        <x:v>1.5549457847959545</x:v>
      </x:c>
      <x:c r="C4437" s="46" t="n">
        <x:f>B4437^2</x:f>
        <x:v>2.4178563936547066</x:v>
      </x:c>
      <x:c r="D4437" s="47" t="n">
        <x:f>'Datos'!$B$26^3/3</x:f>
        <x:v>0.3333333333333333</x:v>
      </x:c>
      <x:c r="E4437" s="46" t="n">
        <x:f>D4437*(C4437-1)</x:f>
        <x:v>0.4726187978849022</x:v>
      </x:c>
      <x:c r="F4437" s="2"/>
      <x:c r="G4437" s="2"/>
      <x:c r="H4437" s="2"/>
    </x:row>
    <x:row r="4438" ht="22" customHeight="1">
      <x:c r="A4438" s="2" t="n">
        <x:v>4432</x:v>
      </x:c>
      <x:c r="B4438" s="79" t="n">
        <x:v>1.463287070935317</x:v>
      </x:c>
      <x:c r="C4438" s="46" t="n">
        <x:f>B4438^2</x:f>
        <x:v>2.1412090519664595</x:v>
      </x:c>
      <x:c r="D4438" s="47" t="n">
        <x:f>'Datos'!$B$26^3/3</x:f>
        <x:v>0.3333333333333333</x:v>
      </x:c>
      <x:c r="E4438" s="46" t="n">
        <x:f>D4438*(C4438-1)</x:f>
        <x:v>0.38040301732215315</x:v>
      </x:c>
      <x:c r="F4438" s="2"/>
      <x:c r="G4438" s="2"/>
      <x:c r="H4438" s="2"/>
    </x:row>
    <x:row r="4439" ht="22" customHeight="1">
      <x:c r="A4439" s="2" t="n">
        <x:v>4433</x:v>
      </x:c>
      <x:c r="B4439" s="79" t="n">
        <x:v>2.070057118347124</x:v>
      </x:c>
      <x:c r="C4439" s="46" t="n">
        <x:f>B4439^2</x:f>
        <x:v>4.285136473219598</x:v>
      </x:c>
      <x:c r="D4439" s="47" t="n">
        <x:f>'Datos'!$B$26^3/3</x:f>
        <x:v>0.3333333333333333</x:v>
      </x:c>
      <x:c r="E4439" s="46" t="n">
        <x:f>D4439*(C4439-1)</x:f>
        <x:v>1.0950454910731993</x:v>
      </x:c>
      <x:c r="F4439" s="2"/>
      <x:c r="G4439" s="2"/>
      <x:c r="H4439" s="2"/>
    </x:row>
    <x:row r="4440" ht="22" customHeight="1">
      <x:c r="A4440" s="2" t="n">
        <x:v>4434</x:v>
      </x:c>
      <x:c r="B4440" s="79" t="n">
        <x:v>-0.743193701108877</x:v>
      </x:c>
      <x:c r="C4440" s="46" t="n">
        <x:f>B4440^2</x:f>
        <x:v>0.5523368773679107</x:v>
      </x:c>
      <x:c r="D4440" s="47" t="n">
        <x:f>'Datos'!$B$26^3/3</x:f>
        <x:v>0.3333333333333333</x:v>
      </x:c>
      <x:c r="E4440" s="46" t="n">
        <x:f>D4440*(C4440-1)</x:f>
        <x:v>-0.1492210408773631</x:v>
      </x:c>
      <x:c r="F4440" s="2"/>
      <x:c r="G4440" s="2"/>
      <x:c r="H4440" s="2"/>
    </x:row>
    <x:row r="4441" ht="22" customHeight="1">
      <x:c r="A4441" s="2" t="n">
        <x:v>4435</x:v>
      </x:c>
      <x:c r="B4441" s="79" t="n">
        <x:v>1.034164615483378</x:v>
      </x:c>
      <x:c r="C4441" s="46" t="n">
        <x:f>B4441^2</x:f>
        <x:v>1.069496451917883</x:v>
      </x:c>
      <x:c r="D4441" s="47" t="n">
        <x:f>'Datos'!$B$26^3/3</x:f>
        <x:v>0.3333333333333333</x:v>
      </x:c>
      <x:c r="E4441" s="46" t="n">
        <x:f>D4441*(C4441-1)</x:f>
        <x:v>0.023165483972627632</x:v>
      </x:c>
      <x:c r="F4441" s="2"/>
      <x:c r="G4441" s="2"/>
      <x:c r="H4441" s="2"/>
    </x:row>
    <x:row r="4442" ht="22" customHeight="1">
      <x:c r="A4442" s="2" t="n">
        <x:v>4436</x:v>
      </x:c>
      <x:c r="B4442" s="79" t="n">
        <x:v>-0.13419210884939434</x:v>
      </x:c>
      <x:c r="C4442" s="46" t="n">
        <x:f>B4442^2</x:f>
        <x:v>0.0180075220774477</x:v>
      </x:c>
      <x:c r="D4442" s="47" t="n">
        <x:f>'Datos'!$B$26^3/3</x:f>
        <x:v>0.3333333333333333</x:v>
      </x:c>
      <x:c r="E4442" s="46" t="n">
        <x:f>D4442*(C4442-1)</x:f>
        <x:v>-0.32733082597418406</x:v>
      </x:c>
      <x:c r="F4442" s="2"/>
      <x:c r="G4442" s="2"/>
      <x:c r="H4442" s="2"/>
    </x:row>
    <x:row r="4443" ht="22" customHeight="1">
      <x:c r="A4443" s="2" t="n">
        <x:v>4437</x:v>
      </x:c>
      <x:c r="B4443" s="79" t="n">
        <x:v>-0.4883839941485346</x:v>
      </x:c>
      <x:c r="C4443" s="46" t="n">
        <x:f>B4443^2</x:f>
        <x:v>0.2385189257404759</x:v>
      </x:c>
      <x:c r="D4443" s="47" t="n">
        <x:f>'Datos'!$B$26^3/3</x:f>
        <x:v>0.3333333333333333</x:v>
      </x:c>
      <x:c r="E4443" s="46" t="n">
        <x:f>D4443*(C4443-1)</x:f>
        <x:v>-0.2538270247531747</x:v>
      </x:c>
      <x:c r="F4443" s="2"/>
      <x:c r="G4443" s="2"/>
      <x:c r="H4443" s="2"/>
    </x:row>
    <x:row r="4444" ht="22" customHeight="1">
      <x:c r="A4444" s="2" t="n">
        <x:v>4438</x:v>
      </x:c>
      <x:c r="B4444" s="79" t="n">
        <x:v>0.3917005847899204</x:v>
      </x:c>
      <x:c r="C4444" s="46" t="n">
        <x:f>B4444^2</x:f>
        <x:v>0.15342934812476564</x:v>
      </x:c>
      <x:c r="D4444" s="47" t="n">
        <x:f>'Datos'!$B$26^3/3</x:f>
        <x:v>0.3333333333333333</x:v>
      </x:c>
      <x:c r="E4444" s="46" t="n">
        <x:f>D4444*(C4444-1)</x:f>
        <x:v>-0.28219021729174476</x:v>
      </x:c>
      <x:c r="F4444" s="2"/>
      <x:c r="G4444" s="2"/>
      <x:c r="H4444" s="2"/>
    </x:row>
    <x:row r="4445" ht="22" customHeight="1">
      <x:c r="A4445" s="2" t="n">
        <x:v>4439</x:v>
      </x:c>
      <x:c r="B4445" s="79" t="n">
        <x:v>-0.31149685348541784</x:v>
      </x:c>
      <x:c r="C4445" s="46" t="n">
        <x:f>B4445^2</x:f>
        <x:v>0.09703028973131586</x:v>
      </x:c>
      <x:c r="D4445" s="47" t="n">
        <x:f>'Datos'!$B$26^3/3</x:f>
        <x:v>0.3333333333333333</x:v>
      </x:c>
      <x:c r="E4445" s="46" t="n">
        <x:f>D4445*(C4445-1)</x:f>
        <x:v>-0.30098990342289467</x:v>
      </x:c>
      <x:c r="F4445" s="2"/>
      <x:c r="G4445" s="2"/>
      <x:c r="H4445" s="2"/>
    </x:row>
    <x:row r="4446" ht="22" customHeight="1">
      <x:c r="A4446" s="2" t="n">
        <x:v>4440</x:v>
      </x:c>
      <x:c r="B4446" s="79" t="n">
        <x:v>-0.870066475986257</x:v>
      </x:c>
      <x:c r="C4446" s="46" t="n">
        <x:f>B4446^2</x:f>
        <x:v>0.7570156726351439</x:v>
      </x:c>
      <x:c r="D4446" s="47" t="n">
        <x:f>'Datos'!$B$26^3/3</x:f>
        <x:v>0.3333333333333333</x:v>
      </x:c>
      <x:c r="E4446" s="46" t="n">
        <x:f>D4446*(C4446-1)</x:f>
        <x:v>-0.08099477578828536</x:v>
      </x:c>
      <x:c r="F4446" s="2"/>
      <x:c r="G4446" s="2"/>
      <x:c r="H4446" s="2"/>
    </x:row>
    <x:row r="4447" ht="22" customHeight="1">
      <x:c r="A4447" s="2" t="n">
        <x:v>4441</x:v>
      </x:c>
      <x:c r="B4447" s="79" t="n">
        <x:v>2.6827026284567603</x:v>
      </x:c>
      <x:c r="C4447" s="46" t="n">
        <x:f>B4447^2</x:f>
        <x:v>7.196893392728811</x:v>
      </x:c>
      <x:c r="D4447" s="47" t="n">
        <x:f>'Datos'!$B$26^3/3</x:f>
        <x:v>0.3333333333333333</x:v>
      </x:c>
      <x:c r="E4447" s="46" t="n">
        <x:f>D4447*(C4447-1)</x:f>
        <x:v>2.0656311309096034</x:v>
      </x:c>
      <x:c r="F4447" s="2"/>
      <x:c r="G4447" s="2"/>
      <x:c r="H4447" s="2"/>
    </x:row>
    <x:row r="4448" ht="22" customHeight="1">
      <x:c r="A4448" s="2" t="n">
        <x:v>4442</x:v>
      </x:c>
      <x:c r="B4448" s="79" t="n">
        <x:v>1.8885839148593035</x:v>
      </x:c>
      <x:c r="C4448" s="46" t="n">
        <x:f>B4448^2</x:f>
        <x:v>3.5667492034652932</x:v>
      </x:c>
      <x:c r="D4448" s="47" t="n">
        <x:f>'Datos'!$B$26^3/3</x:f>
        <x:v>0.3333333333333333</x:v>
      </x:c>
      <x:c r="E4448" s="46" t="n">
        <x:f>D4448*(C4448-1)</x:f>
        <x:v>0.8555830678217644</x:v>
      </x:c>
      <x:c r="F4448" s="2"/>
      <x:c r="G4448" s="2"/>
      <x:c r="H4448" s="2"/>
    </x:row>
    <x:row r="4449" ht="22" customHeight="1">
      <x:c r="A4449" s="2" t="n">
        <x:v>4443</x:v>
      </x:c>
      <x:c r="B4449" s="79" t="n">
        <x:v>-0.9656721829219017</x:v>
      </x:c>
      <x:c r="C4449" s="46" t="n">
        <x:f>B4449^2</x:f>
        <x:v>0.9325227648691508</x:v>
      </x:c>
      <x:c r="D4449" s="47" t="n">
        <x:f>'Datos'!$B$26^3/3</x:f>
        <x:v>0.3333333333333333</x:v>
      </x:c>
      <x:c r="E4449" s="46" t="n">
        <x:f>D4449*(C4449-1)</x:f>
        <x:v>-0.02249241171028308</x:v>
      </x:c>
      <x:c r="F4449" s="2"/>
      <x:c r="G4449" s="2"/>
      <x:c r="H4449" s="2"/>
    </x:row>
    <x:row r="4450" ht="22" customHeight="1">
      <x:c r="A4450" s="2" t="n">
        <x:v>4444</x:v>
      </x:c>
      <x:c r="B4450" s="79" t="n">
        <x:v>-0.15863945823658118</x:v>
      </x:c>
      <x:c r="C4450" s="46" t="n">
        <x:f>B4450^2</x:f>
        <x:v>0.025166477709595986</x:v>
      </x:c>
      <x:c r="D4450" s="47" t="n">
        <x:f>'Datos'!$B$26^3/3</x:f>
        <x:v>0.3333333333333333</x:v>
      </x:c>
      <x:c r="E4450" s="46" t="n">
        <x:f>D4450*(C4450-1)</x:f>
        <x:v>-0.32494450743013464</x:v>
      </x:c>
      <x:c r="F4450" s="2"/>
      <x:c r="G4450" s="2"/>
      <x:c r="H4450" s="2"/>
    </x:row>
    <x:row r="4451" ht="22" customHeight="1">
      <x:c r="A4451" s="2" t="n">
        <x:v>4445</x:v>
      </x:c>
      <x:c r="B4451" s="79" t="n">
        <x:v>-0.8264150578059344</x:v>
      </x:c>
      <x:c r="C4451" s="46" t="n">
        <x:f>B4451^2</x:f>
        <x:v>0.6829618477683859</x:v>
      </x:c>
      <x:c r="D4451" s="47" t="n">
        <x:f>'Datos'!$B$26^3/3</x:f>
        <x:v>0.3333333333333333</x:v>
      </x:c>
      <x:c r="E4451" s="46" t="n">
        <x:f>D4451*(C4451-1)</x:f>
        <x:v>-0.1056793840772047</x:v>
      </x:c>
      <x:c r="F4451" s="2"/>
      <x:c r="G4451" s="2"/>
      <x:c r="H4451" s="2"/>
    </x:row>
    <x:row r="4452" ht="22" customHeight="1">
      <x:c r="A4452" s="2" t="n">
        <x:v>4446</x:v>
      </x:c>
      <x:c r="B4452" s="79" t="n">
        <x:v>2.0658736568322333</x:v>
      </x:c>
      <x:c r="C4452" s="46" t="n">
        <x:f>B4452^2</x:f>
        <x:v>4.267833965993384</x:v>
      </x:c>
      <x:c r="D4452" s="47" t="n">
        <x:f>'Datos'!$B$26^3/3</x:f>
        <x:v>0.3333333333333333</x:v>
      </x:c>
      <x:c r="E4452" s="46" t="n">
        <x:f>D4452*(C4452-1)</x:f>
        <x:v>1.0892779886644615</x:v>
      </x:c>
      <x:c r="F4452" s="2"/>
      <x:c r="G4452" s="2"/>
      <x:c r="H4452" s="2"/>
    </x:row>
    <x:row r="4453" ht="22" customHeight="1">
      <x:c r="A4453" s="2" t="n">
        <x:v>4447</x:v>
      </x:c>
      <x:c r="B4453" s="79" t="n">
        <x:v>0.8549463688858405</x:v>
      </x:c>
      <x:c r="C4453" s="46" t="n">
        <x:f>B4453^2</x:f>
        <x:v>0.7309332936710837</x:v>
      </x:c>
      <x:c r="D4453" s="47" t="n">
        <x:f>'Datos'!$B$26^3/3</x:f>
        <x:v>0.3333333333333333</x:v>
      </x:c>
      <x:c r="E4453" s="46" t="n">
        <x:f>D4453*(C4453-1)</x:f>
        <x:v>-0.08968890210963876</x:v>
      </x:c>
      <x:c r="F4453" s="2"/>
      <x:c r="G4453" s="2"/>
      <x:c r="H4453" s="2"/>
    </x:row>
    <x:row r="4454" ht="22" customHeight="1">
      <x:c r="A4454" s="2" t="n">
        <x:v>4448</x:v>
      </x:c>
      <x:c r="B4454" s="79" t="n">
        <x:v>0.01270161022737024</x:v>
      </x:c>
      <x:c r="C4454" s="46" t="n">
        <x:f>B4454^2</x:f>
        <x:v>0.00016133090236803625</x:v>
      </x:c>
      <x:c r="D4454" s="47" t="n">
        <x:f>'Datos'!$B$26^3/3</x:f>
        <x:v>0.3333333333333333</x:v>
      </x:c>
      <x:c r="E4454" s="46" t="n">
        <x:f>D4454*(C4454-1)</x:f>
        <x:v>-0.3332795563658773</x:v>
      </x:c>
      <x:c r="F4454" s="2"/>
      <x:c r="G4454" s="2"/>
      <x:c r="H4454" s="2"/>
    </x:row>
    <x:row r="4455" ht="22" customHeight="1">
      <x:c r="A4455" s="2" t="n">
        <x:v>4449</x:v>
      </x:c>
      <x:c r="B4455" s="79" t="n">
        <x:v>-0.04783813334549108</x:v>
      </x:c>
      <x:c r="C4455" s="46" t="n">
        <x:f>B4455^2</x:f>
        <x:v>0.0022884870019809853</x:v>
      </x:c>
      <x:c r="D4455" s="47" t="n">
        <x:f>'Datos'!$B$26^3/3</x:f>
        <x:v>0.3333333333333333</x:v>
      </x:c>
      <x:c r="E4455" s="46" t="n">
        <x:f>D4455*(C4455-1)</x:f>
        <x:v>-0.332570504332673</x:v>
      </x:c>
      <x:c r="F4455" s="2"/>
      <x:c r="G4455" s="2"/>
      <x:c r="H4455" s="2"/>
    </x:row>
    <x:row r="4456" ht="22" customHeight="1">
      <x:c r="A4456" s="2" t="n">
        <x:v>4450</x:v>
      </x:c>
      <x:c r="B4456" s="79" t="n">
        <x:v>0.9390632198736645</x:v>
      </x:c>
      <x:c r="C4456" s="46" t="n">
        <x:f>B4456^2</x:f>
        <x:v>0.8818397309194943</x:v>
      </x:c>
      <x:c r="D4456" s="47" t="n">
        <x:f>'Datos'!$B$26^3/3</x:f>
        <x:v>0.3333333333333333</x:v>
      </x:c>
      <x:c r="E4456" s="46" t="n">
        <x:f>D4456*(C4456-1)</x:f>
        <x:v>-0.039386756360168564</x:v>
      </x:c>
      <x:c r="F4456" s="2"/>
      <x:c r="G4456" s="2"/>
      <x:c r="H4456" s="2"/>
    </x:row>
    <x:row r="4457" ht="22" customHeight="1">
      <x:c r="A4457" s="2" t="n">
        <x:v>4451</x:v>
      </x:c>
      <x:c r="B4457" s="79" t="n">
        <x:v>1.2896884686188987</x:v>
      </x:c>
      <x:c r="C4457" s="46" t="n">
        <x:f>B4457^2</x:f>
        <x:v>1.6632963460885601</x:v>
      </x:c>
      <x:c r="D4457" s="47" t="n">
        <x:f>'Datos'!$B$26^3/3</x:f>
        <x:v>0.3333333333333333</x:v>
      </x:c>
      <x:c r="E4457" s="46" t="n">
        <x:f>D4457*(C4457-1)</x:f>
        <x:v>0.22109878202952005</x:v>
      </x:c>
      <x:c r="F4457" s="2"/>
      <x:c r="G4457" s="2"/>
      <x:c r="H4457" s="2"/>
    </x:row>
    <x:row r="4458" ht="22" customHeight="1">
      <x:c r="A4458" s="2" t="n">
        <x:v>4452</x:v>
      </x:c>
      <x:c r="B4458" s="79" t="n">
        <x:v>-0.8397705396353834</x:v>
      </x:c>
      <x:c r="C4458" s="46" t="n">
        <x:f>B4458^2</x:f>
        <x:v>0.705214559239503</x:v>
      </x:c>
      <x:c r="D4458" s="47" t="n">
        <x:f>'Datos'!$B$26^3/3</x:f>
        <x:v>0.3333333333333333</x:v>
      </x:c>
      <x:c r="E4458" s="46" t="n">
        <x:f>D4458*(C4458-1)</x:f>
        <x:v>-0.09826181358683231</x:v>
      </x:c>
      <x:c r="F4458" s="2"/>
      <x:c r="G4458" s="2"/>
      <x:c r="H4458" s="2"/>
    </x:row>
    <x:row r="4459" ht="22" customHeight="1">
      <x:c r="A4459" s="2" t="n">
        <x:v>4453</x:v>
      </x:c>
      <x:c r="B4459" s="79" t="n">
        <x:v>-1.1603410950936475</x:v>
      </x:c>
      <x:c r="C4459" s="46" t="n">
        <x:f>B4459^2</x:f>
        <x:v>1.346391456963125</x:v>
      </x:c>
      <x:c r="D4459" s="47" t="n">
        <x:f>'Datos'!$B$26^3/3</x:f>
        <x:v>0.3333333333333333</x:v>
      </x:c>
      <x:c r="E4459" s="46" t="n">
        <x:f>D4459*(C4459-1)</x:f>
        <x:v>0.11546381898770833</x:v>
      </x:c>
      <x:c r="F4459" s="2"/>
      <x:c r="G4459" s="2"/>
      <x:c r="H4459" s="2"/>
    </x:row>
    <x:row r="4460" ht="22" customHeight="1">
      <x:c r="A4460" s="2" t="n">
        <x:v>4454</x:v>
      </x:c>
      <x:c r="B4460" s="79" t="n">
        <x:v>-1.109025940019905</x:v>
      </x:c>
      <x:c r="C4460" s="46" t="n">
        <x:f>B4460^2</x:f>
        <x:v>1.2299385356370338</x:v>
      </x:c>
      <x:c r="D4460" s="47" t="n">
        <x:f>'Datos'!$B$26^3/3</x:f>
        <x:v>0.3333333333333333</x:v>
      </x:c>
      <x:c r="E4460" s="46" t="n">
        <x:f>D4460*(C4460-1)</x:f>
        <x:v>0.07664617854567793</x:v>
      </x:c>
      <x:c r="F4460" s="2"/>
      <x:c r="G4460" s="2"/>
      <x:c r="H4460" s="2"/>
    </x:row>
    <x:row r="4461" ht="22" customHeight="1">
      <x:c r="A4461" s="2" t="n">
        <x:v>4455</x:v>
      </x:c>
      <x:c r="B4461" s="79" t="n">
        <x:v>0.34811758121743136</x:v>
      </x:c>
      <x:c r="C4461" s="46" t="n">
        <x:f>B4461^2</x:f>
        <x:v>0.12118585035267491</x:v>
      </x:c>
      <x:c r="D4461" s="47" t="n">
        <x:f>'Datos'!$B$26^3/3</x:f>
        <x:v>0.3333333333333333</x:v>
      </x:c>
      <x:c r="E4461" s="46" t="n">
        <x:f>D4461*(C4461-1)</x:f>
        <x:v>-0.29293804988244165</x:v>
      </x:c>
      <x:c r="F4461" s="2"/>
      <x:c r="G4461" s="2"/>
      <x:c r="H4461" s="2"/>
    </x:row>
    <x:row r="4462" ht="22" customHeight="1">
      <x:c r="A4462" s="2" t="n">
        <x:v>4456</x:v>
      </x:c>
      <x:c r="B4462" s="79" t="n">
        <x:v>0.16997606074756796</x:v>
      </x:c>
      <x:c r="C4462" s="46" t="n">
        <x:f>B4462^2</x:f>
        <x:v>0.028891861227260916</x:v>
      </x:c>
      <x:c r="D4462" s="47" t="n">
        <x:f>'Datos'!$B$26^3/3</x:f>
        <x:v>0.3333333333333333</x:v>
      </x:c>
      <x:c r="E4462" s="46" t="n">
        <x:f>D4462*(C4462-1)</x:f>
        <x:v>-0.32370271292424635</x:v>
      </x:c>
      <x:c r="F4462" s="2"/>
      <x:c r="G4462" s="2"/>
      <x:c r="H4462" s="2"/>
    </x:row>
    <x:row r="4463" ht="22" customHeight="1">
      <x:c r="A4463" s="2" t="n">
        <x:v>4457</x:v>
      </x:c>
      <x:c r="B4463" s="79" t="n">
        <x:v>-1.609817596316985</x:v>
      </x:c>
      <x:c r="C4463" s="46" t="n">
        <x:f>B4463^2</x:f>
        <x:v>2.5915126934117954</x:v>
      </x:c>
      <x:c r="D4463" s="47" t="n">
        <x:f>'Datos'!$B$26^3/3</x:f>
        <x:v>0.3333333333333333</x:v>
      </x:c>
      <x:c r="E4463" s="46" t="n">
        <x:f>D4463*(C4463-1)</x:f>
        <x:v>0.5305042311372651</x:v>
      </x:c>
      <x:c r="F4463" s="2"/>
      <x:c r="G4463" s="2"/>
      <x:c r="H4463" s="2"/>
    </x:row>
    <x:row r="4464" ht="22" customHeight="1">
      <x:c r="A4464" s="2" t="n">
        <x:v>4458</x:v>
      </x:c>
      <x:c r="B4464" s="79" t="n">
        <x:v>-0.5703624876890852</x:v>
      </x:c>
      <x:c r="C4464" s="46" t="n">
        <x:f>B4464^2</x:f>
        <x:v>0.3253133673628818</x:v>
      </x:c>
      <x:c r="D4464" s="47" t="n">
        <x:f>'Datos'!$B$26^3/3</x:f>
        <x:v>0.3333333333333333</x:v>
      </x:c>
      <x:c r="E4464" s="46" t="n">
        <x:f>D4464*(C4464-1)</x:f>
        <x:v>-0.2248955442123727</x:v>
      </x:c>
      <x:c r="F4464" s="2"/>
      <x:c r="G4464" s="2"/>
      <x:c r="H4464" s="2"/>
    </x:row>
    <x:row r="4465" ht="22" customHeight="1">
      <x:c r="A4465" s="2" t="n">
        <x:v>4459</x:v>
      </x:c>
      <x:c r="B4465" s="79" t="n">
        <x:v>1.0562605948711545</x:v>
      </x:c>
      <x:c r="C4465" s="46" t="n">
        <x:f>B4465^2</x:f>
        <x:v>1.1156864442775654</x:v>
      </x:c>
      <x:c r="D4465" s="47" t="n">
        <x:f>'Datos'!$B$26^3/3</x:f>
        <x:v>0.3333333333333333</x:v>
      </x:c>
      <x:c r="E4465" s="46" t="n">
        <x:f>D4465*(C4465-1)</x:f>
        <x:v>0.038562148092521786</x:v>
      </x:c>
      <x:c r="F4465" s="2"/>
      <x:c r="G4465" s="2"/>
      <x:c r="H4465" s="2"/>
    </x:row>
    <x:row r="4466" ht="22" customHeight="1">
      <x:c r="A4466" s="2" t="n">
        <x:v>4460</x:v>
      </x:c>
      <x:c r="B4466" s="79" t="n">
        <x:v>0.12216712905950114</x:v>
      </x:c>
      <x:c r="C4466" s="46" t="n">
        <x:f>B4466^2</x:f>
        <x:v>0.014924807422640808</x:v>
      </x:c>
      <x:c r="D4466" s="47" t="n">
        <x:f>'Datos'!$B$26^3/3</x:f>
        <x:v>0.3333333333333333</x:v>
      </x:c>
      <x:c r="E4466" s="46" t="n">
        <x:f>D4466*(C4466-1)</x:f>
        <x:v>-0.3283583975257864</x:v>
      </x:c>
      <x:c r="F4466" s="2"/>
      <x:c r="G4466" s="2"/>
      <x:c r="H4466" s="2"/>
    </x:row>
    <x:row r="4467" ht="22" customHeight="1">
      <x:c r="A4467" s="2" t="n">
        <x:v>4461</x:v>
      </x:c>
      <x:c r="B4467" s="79" t="n">
        <x:v>1.0286011619844293</x:v>
      </x:c>
      <x:c r="C4467" s="46" t="n">
        <x:f>B4467^2</x:f>
        <x:v>1.0580203504357182</x:v>
      </x:c>
      <x:c r="D4467" s="47" t="n">
        <x:f>'Datos'!$B$26^3/3</x:f>
        <x:v>0.3333333333333333</x:v>
      </x:c>
      <x:c r="E4467" s="46" t="n">
        <x:f>D4467*(C4467-1)</x:f>
        <x:v>0.01934011681190606</x:v>
      </x:c>
      <x:c r="F4467" s="2"/>
      <x:c r="G4467" s="2"/>
      <x:c r="H4467" s="2"/>
    </x:row>
    <x:row r="4468" ht="22" customHeight="1">
      <x:c r="A4468" s="2" t="n">
        <x:v>4462</x:v>
      </x:c>
      <x:c r="B4468" s="79" t="n">
        <x:v>0.11188076562614094</x:v>
      </x:c>
      <x:c r="C4468" s="46" t="n">
        <x:f>B4468^2</x:f>
        <x:v>0.01251730571709148</x:v>
      </x:c>
      <x:c r="D4468" s="47" t="n">
        <x:f>'Datos'!$B$26^3/3</x:f>
        <x:v>0.3333333333333333</x:v>
      </x:c>
      <x:c r="E4468" s="46" t="n">
        <x:f>D4468*(C4468-1)</x:f>
        <x:v>-0.3291608980943028</x:v>
      </x:c>
      <x:c r="F4468" s="2"/>
      <x:c r="G4468" s="2"/>
      <x:c r="H4468" s="2"/>
    </x:row>
    <x:row r="4469" ht="22" customHeight="1">
      <x:c r="A4469" s="2" t="n">
        <x:v>4463</x:v>
      </x:c>
      <x:c r="B4469" s="79" t="n">
        <x:v>-0.7123624712115635</x:v>
      </x:c>
      <x:c r="C4469" s="46" t="n">
        <x:f>B4469^2</x:f>
        <x:v>0.5074602903906457</x:v>
      </x:c>
      <x:c r="D4469" s="47" t="n">
        <x:f>'Datos'!$B$26^3/3</x:f>
        <x:v>0.3333333333333333</x:v>
      </x:c>
      <x:c r="E4469" s="46" t="n">
        <x:f>D4469*(C4469-1)</x:f>
        <x:v>-0.1641799032031181</x:v>
      </x:c>
      <x:c r="F4469" s="2"/>
      <x:c r="G4469" s="2"/>
      <x:c r="H4469" s="2"/>
    </x:row>
    <x:row r="4470" ht="22" customHeight="1">
      <x:c r="A4470" s="2" t="n">
        <x:v>4464</x:v>
      </x:c>
      <x:c r="B4470" s="79" t="n">
        <x:v>0.8784474932293257</x:v>
      </x:c>
      <x:c r="C4470" s="46" t="n">
        <x:f>B4470^2</x:f>
        <x:v>0.7716699983608862</x:v>
      </x:c>
      <x:c r="D4470" s="47" t="n">
        <x:f>'Datos'!$B$26^3/3</x:f>
        <x:v>0.3333333333333333</x:v>
      </x:c>
      <x:c r="E4470" s="46" t="n">
        <x:f>D4470*(C4470-1)</x:f>
        <x:v>-0.07611000054637125</x:v>
      </x:c>
      <x:c r="F4470" s="2"/>
      <x:c r="G4470" s="2"/>
      <x:c r="H4470" s="2"/>
    </x:row>
    <x:row r="4471" ht="22" customHeight="1">
      <x:c r="A4471" s="2" t="n">
        <x:v>4465</x:v>
      </x:c>
      <x:c r="B4471" s="79" t="n">
        <x:v>-0.4194545704770894</x:v>
      </x:c>
      <x:c r="C4471" s="46" t="n">
        <x:f>B4471^2</x:f>
        <x:v>0.17594213669411957</x:v>
      </x:c>
      <x:c r="D4471" s="47" t="n">
        <x:f>'Datos'!$B$26^3/3</x:f>
        <x:v>0.3333333333333333</x:v>
      </x:c>
      <x:c r="E4471" s="46" t="n">
        <x:f>D4471*(C4471-1)</x:f>
        <x:v>-0.2746859544352934</x:v>
      </x:c>
      <x:c r="F4471" s="2"/>
      <x:c r="G4471" s="2"/>
      <x:c r="H4471" s="2"/>
    </x:row>
    <x:row r="4472" ht="22" customHeight="1">
      <x:c r="A4472" s="2" t="n">
        <x:v>4466</x:v>
      </x:c>
      <x:c r="B4472" s="79" t="n">
        <x:v>-0.06068244016023455</x:v>
      </x:c>
      <x:c r="C4472" s="46" t="n">
        <x:f>B4472^2</x:f>
        <x:v>0.003682358543800447</x:v>
      </x:c>
      <x:c r="D4472" s="47" t="n">
        <x:f>'Datos'!$B$26^3/3</x:f>
        <x:v>0.3333333333333333</x:v>
      </x:c>
      <x:c r="E4472" s="46" t="n">
        <x:f>D4472*(C4472-1)</x:f>
        <x:v>-0.3321058804853998</x:v>
      </x:c>
      <x:c r="F4472" s="2"/>
      <x:c r="G4472" s="2"/>
      <x:c r="H4472" s="2"/>
    </x:row>
    <x:row r="4473" ht="22" customHeight="1">
      <x:c r="A4473" s="2" t="n">
        <x:v>4467</x:v>
      </x:c>
      <x:c r="B4473" s="79" t="n">
        <x:v>-1.3618114726294823</x:v>
      </x:c>
      <x:c r="C4473" s="46" t="n">
        <x:f>B4473^2</x:f>
        <x:v>1.8545304869852792</x:v>
      </x:c>
      <x:c r="D4473" s="47" t="n">
        <x:f>'Datos'!$B$26^3/3</x:f>
        <x:v>0.3333333333333333</x:v>
      </x:c>
      <x:c r="E4473" s="46" t="n">
        <x:f>D4473*(C4473-1)</x:f>
        <x:v>0.2848434956617597</x:v>
      </x:c>
      <x:c r="F4473" s="2"/>
      <x:c r="G4473" s="2"/>
      <x:c r="H4473" s="2"/>
    </x:row>
    <x:row r="4474" ht="22" customHeight="1">
      <x:c r="A4474" s="2" t="n">
        <x:v>4468</x:v>
      </x:c>
      <x:c r="B4474" s="79" t="n">
        <x:v>0.9796678319378275</x:v>
      </x:c>
      <x:c r="C4474" s="46" t="n">
        <x:f>B4474^2</x:f>
        <x:v>0.9597490609337633</x:v>
      </x:c>
      <x:c r="D4474" s="47" t="n">
        <x:f>'Datos'!$B$26^3/3</x:f>
        <x:v>0.3333333333333333</x:v>
      </x:c>
      <x:c r="E4474" s="46" t="n">
        <x:f>D4474*(C4474-1)</x:f>
        <x:v>-0.013416979688745556</x:v>
      </x:c>
      <x:c r="F4474" s="2"/>
      <x:c r="G4474" s="2"/>
      <x:c r="H4474" s="2"/>
    </x:row>
    <x:row r="4475" ht="22" customHeight="1">
      <x:c r="A4475" s="2" t="n">
        <x:v>4469</x:v>
      </x:c>
      <x:c r="B4475" s="79" t="n">
        <x:v>-0.6809192730785757</x:v>
      </x:c>
      <x:c r="C4475" s="46" t="n">
        <x:f>B4475^2</x:f>
        <x:v>0.46365105644985594</x:v>
      </x:c>
      <x:c r="D4475" s="47" t="n">
        <x:f>'Datos'!$B$26^3/3</x:f>
        <x:v>0.3333333333333333</x:v>
      </x:c>
      <x:c r="E4475" s="46" t="n">
        <x:f>D4475*(C4475-1)</x:f>
        <x:v>-0.17878298118338135</x:v>
      </x:c>
      <x:c r="F4475" s="2"/>
      <x:c r="G4475" s="2"/>
      <x:c r="H4475" s="2"/>
    </x:row>
    <x:row r="4476" ht="22" customHeight="1">
      <x:c r="A4476" s="2" t="n">
        <x:v>4470</x:v>
      </x:c>
      <x:c r="B4476" s="79" t="n">
        <x:v>-0.5108851172478125</x:v>
      </x:c>
      <x:c r="C4476" s="46" t="n">
        <x:f>B4476^2</x:f>
        <x:v>0.2610036030253111</x:v>
      </x:c>
      <x:c r="D4476" s="47" t="n">
        <x:f>'Datos'!$B$26^3/3</x:f>
        <x:v>0.3333333333333333</x:v>
      </x:c>
      <x:c r="E4476" s="46" t="n">
        <x:f>D4476*(C4476-1)</x:f>
        <x:v>-0.24633213232489629</x:v>
      </x:c>
      <x:c r="F4476" s="2"/>
      <x:c r="G4476" s="2"/>
      <x:c r="H4476" s="2"/>
    </x:row>
    <x:row r="4477" ht="22" customHeight="1">
      <x:c r="A4477" s="2" t="n">
        <x:v>4471</x:v>
      </x:c>
      <x:c r="B4477" s="79" t="n">
        <x:v>-0.38774478223499903</x:v>
      </x:c>
      <x:c r="C4477" s="46" t="n">
        <x:f>B4477^2</x:f>
        <x:v>0.15034601615046683</x:v>
      </x:c>
      <x:c r="D4477" s="47" t="n">
        <x:f>'Datos'!$B$26^3/3</x:f>
        <x:v>0.3333333333333333</x:v>
      </x:c>
      <x:c r="E4477" s="46" t="n">
        <x:f>D4477*(C4477-1)</x:f>
        <x:v>-0.28321799461651104</x:v>
      </x:c>
      <x:c r="F4477" s="2"/>
      <x:c r="G4477" s="2"/>
      <x:c r="H4477" s="2"/>
    </x:row>
    <x:row r="4478" ht="22" customHeight="1">
      <x:c r="A4478" s="2" t="n">
        <x:v>4472</x:v>
      </x:c>
      <x:c r="B4478" s="79" t="n">
        <x:v>0.5249294656761774</x:v>
      </x:c>
      <x:c r="C4478" s="46" t="n">
        <x:f>B4478^2</x:f>
        <x:v>0.27555094393507706</x:v>
      </x:c>
      <x:c r="D4478" s="47" t="n">
        <x:f>'Datos'!$B$26^3/3</x:f>
        <x:v>0.3333333333333333</x:v>
      </x:c>
      <x:c r="E4478" s="46" t="n">
        <x:f>D4478*(C4478-1)</x:f>
        <x:v>-0.24148301868830763</x:v>
      </x:c>
      <x:c r="F4478" s="2"/>
      <x:c r="G4478" s="2"/>
      <x:c r="H4478" s="2"/>
    </x:row>
    <x:row r="4479" ht="22" customHeight="1">
      <x:c r="A4479" s="2" t="n">
        <x:v>4473</x:v>
      </x:c>
      <x:c r="B4479" s="79" t="n">
        <x:v>-1.4548373330895932</x:v>
      </x:c>
      <x:c r="C4479" s="46" t="n">
        <x:f>B4479^2</x:f>
        <x:v>2.1165516657512398</x:v>
      </x:c>
      <x:c r="D4479" s="47" t="n">
        <x:f>'Datos'!$B$26^3/3</x:f>
        <x:v>0.3333333333333333</x:v>
      </x:c>
      <x:c r="E4479" s="46" t="n">
        <x:f>D4479*(C4479-1)</x:f>
        <x:v>0.37218388858374657</x:v>
      </x:c>
      <x:c r="F4479" s="2"/>
      <x:c r="G4479" s="2"/>
      <x:c r="H4479" s="2"/>
    </x:row>
    <x:row r="4480" ht="22" customHeight="1">
      <x:c r="A4480" s="2" t="n">
        <x:v>4474</x:v>
      </x:c>
      <x:c r="B4480" s="79" t="n">
        <x:v>-0.29506515847852266</x:v>
      </x:c>
      <x:c r="C4480" s="46" t="n">
        <x:f>B4480^2</x:f>
        <x:v>0.0870634477479557</x:v>
      </x:c>
      <x:c r="D4480" s="47" t="n">
        <x:f>'Datos'!$B$26^3/3</x:f>
        <x:v>0.3333333333333333</x:v>
      </x:c>
      <x:c r="E4480" s="46" t="n">
        <x:f>D4480*(C4480-1)</x:f>
        <x:v>-0.3043121840840147</x:v>
      </x:c>
      <x:c r="F4480" s="2"/>
      <x:c r="G4480" s="2"/>
      <x:c r="H4480" s="2"/>
    </x:row>
    <x:row r="4481" ht="22" customHeight="1">
      <x:c r="A4481" s="2" t="n">
        <x:v>4475</x:v>
      </x:c>
      <x:c r="B4481" s="79" t="n">
        <x:v>-0.6469967002395618</x:v>
      </x:c>
      <x:c r="C4481" s="46" t="n">
        <x:f>B4481^2</x:f>
        <x:v>0.4186047301208814</x:v>
      </x:c>
      <x:c r="D4481" s="47" t="n">
        <x:f>'Datos'!$B$26^3/3</x:f>
        <x:v>0.3333333333333333</x:v>
      </x:c>
      <x:c r="E4481" s="46" t="n">
        <x:f>D4481*(C4481-1)</x:f>
        <x:v>-0.19379842329303953</x:v>
      </x:c>
      <x:c r="F4481" s="2"/>
      <x:c r="G4481" s="2"/>
      <x:c r="H4481" s="2"/>
    </x:row>
    <x:row r="4482" ht="22" customHeight="1">
      <x:c r="A4482" s="2" t="n">
        <x:v>4476</x:v>
      </x:c>
      <x:c r="B4482" s="79" t="n">
        <x:v>-0.5504083113057519</x:v>
      </x:c>
      <x:c r="C4482" s="46" t="n">
        <x:f>B4482^2</x:f>
        <x:v>0.30294930915444945</x:v>
      </x:c>
      <x:c r="D4482" s="47" t="n">
        <x:f>'Datos'!$B$26^3/3</x:f>
        <x:v>0.3333333333333333</x:v>
      </x:c>
      <x:c r="E4482" s="46" t="n">
        <x:f>D4482*(C4482-1)</x:f>
        <x:v>-0.23235023028185015</x:v>
      </x:c>
      <x:c r="F4482" s="2"/>
      <x:c r="G4482" s="2"/>
      <x:c r="H4482" s="2"/>
    </x:row>
    <x:row r="4483" ht="22" customHeight="1">
      <x:c r="A4483" s="2" t="n">
        <x:v>4477</x:v>
      </x:c>
      <x:c r="B4483" s="79" t="n">
        <x:v>-3.06306276146358</x:v>
      </x:c>
      <x:c r="C4483" s="46" t="n">
        <x:f>B4483^2</x:f>
        <x:v>9.382353480664893</x:v>
      </x:c>
      <x:c r="D4483" s="47" t="n">
        <x:f>'Datos'!$B$26^3/3</x:f>
        <x:v>0.3333333333333333</x:v>
      </x:c>
      <x:c r="E4483" s="46" t="n">
        <x:f>D4483*(C4483-1)</x:f>
        <x:v>2.7941178268882974</x:v>
      </x:c>
      <x:c r="F4483" s="2"/>
      <x:c r="G4483" s="2"/>
      <x:c r="H4483" s="2"/>
    </x:row>
    <x:row r="4484" ht="22" customHeight="1">
      <x:c r="A4484" s="2" t="n">
        <x:v>4478</x:v>
      </x:c>
      <x:c r="B4484" s="79" t="n">
        <x:v>-0.3773944886152043</x:v>
      </x:c>
      <x:c r="C4484" s="46" t="n">
        <x:f>B4484^2</x:f>
        <x:v>0.14242660003713156</x:v>
      </x:c>
      <x:c r="D4484" s="47" t="n">
        <x:f>'Datos'!$B$26^3/3</x:f>
        <x:v>0.3333333333333333</x:v>
      </x:c>
      <x:c r="E4484" s="46" t="n">
        <x:f>D4484*(C4484-1)</x:f>
        <x:v>-0.2858577999876228</x:v>
      </x:c>
      <x:c r="F4484" s="2"/>
      <x:c r="G4484" s="2"/>
      <x:c r="H4484" s="2"/>
    </x:row>
    <x:row r="4485" ht="22" customHeight="1">
      <x:c r="A4485" s="2" t="n">
        <x:v>4479</x:v>
      </x:c>
      <x:c r="B4485" s="79" t="n">
        <x:v>0.27012871723172416</x:v>
      </x:c>
      <x:c r="C4485" s="46" t="n">
        <x:f>B4485^2</x:f>
        <x:v>0.0729695238732568</x:v>
      </x:c>
      <x:c r="D4485" s="47" t="n">
        <x:f>'Datos'!$B$26^3/3</x:f>
        <x:v>0.3333333333333333</x:v>
      </x:c>
      <x:c r="E4485" s="46" t="n">
        <x:f>D4485*(C4485-1)</x:f>
        <x:v>-0.30901015870891435</x:v>
      </x:c>
      <x:c r="F4485" s="2"/>
      <x:c r="G4485" s="2"/>
      <x:c r="H4485" s="2"/>
    </x:row>
    <x:row r="4486" ht="22" customHeight="1">
      <x:c r="A4486" s="2" t="n">
        <x:v>4480</x:v>
      </x:c>
      <x:c r="B4486" s="79" t="n">
        <x:v>-1.6681848628108518</x:v>
      </x:c>
      <x:c r="C4486" s="46" t="n">
        <x:f>B4486^2</x:f>
        <x:v>2.78284073651126</x:v>
      </x:c>
      <x:c r="D4486" s="47" t="n">
        <x:f>'Datos'!$B$26^3/3</x:f>
        <x:v>0.3333333333333333</x:v>
      </x:c>
      <x:c r="E4486" s="46" t="n">
        <x:f>D4486*(C4486-1)</x:f>
        <x:v>0.5942802455037534</x:v>
      </x:c>
      <x:c r="F4486" s="2"/>
      <x:c r="G4486" s="2"/>
      <x:c r="H4486" s="2"/>
    </x:row>
    <x:row r="4487" ht="22" customHeight="1">
      <x:c r="A4487" s="2" t="n">
        <x:v>4481</x:v>
      </x:c>
      <x:c r="B4487" s="79" t="n">
        <x:v>0.07605450790158907</x:v>
      </x:c>
      <x:c r="C4487" s="46" t="n">
        <x:f>B4487^2</x:f>
        <x:v>0.005784288172152875</x:v>
      </x:c>
      <x:c r="D4487" s="47" t="n">
        <x:f>'Datos'!$B$26^3/3</x:f>
        <x:v>0.3333333333333333</x:v>
      </x:c>
      <x:c r="E4487" s="46" t="n">
        <x:f>D4487*(C4487-1)</x:f>
        <x:v>-0.331405237275949</x:v>
      </x:c>
      <x:c r="F4487" s="2"/>
      <x:c r="G4487" s="2"/>
      <x:c r="H4487" s="2"/>
    </x:row>
    <x:row r="4488" ht="22" customHeight="1">
      <x:c r="A4488" s="2" t="n">
        <x:v>4482</x:v>
      </x:c>
      <x:c r="B4488" s="79" t="n">
        <x:v>-1.1182439115488778</x:v>
      </x:c>
      <x:c r="C4488" s="46" t="n">
        <x:f>B4488^2</x:f>
        <x:v>1.2504694457161345</x:v>
      </x:c>
      <x:c r="D4488" s="47" t="n">
        <x:f>'Datos'!$B$26^3/3</x:f>
        <x:v>0.3333333333333333</x:v>
      </x:c>
      <x:c r="E4488" s="46" t="n">
        <x:f>D4488*(C4488-1)</x:f>
        <x:v>0.08348981523871149</x:v>
      </x:c>
      <x:c r="F4488" s="2"/>
      <x:c r="G4488" s="2"/>
      <x:c r="H4488" s="2"/>
    </x:row>
    <x:row r="4489" ht="22" customHeight="1">
      <x:c r="A4489" s="2" t="n">
        <x:v>4483</x:v>
      </x:c>
      <x:c r="B4489" s="79" t="n">
        <x:v>0.060333041354006814</x:v>
      </x:c>
      <x:c r="C4489" s="46" t="n">
        <x:f>B4489^2</x:f>
        <x:v>0.0036400758790242965</x:v>
      </x:c>
      <x:c r="D4489" s="47" t="n">
        <x:f>'Datos'!$B$26^3/3</x:f>
        <x:v>0.3333333333333333</x:v>
      </x:c>
      <x:c r="E4489" s="46" t="n">
        <x:f>D4489*(C4489-1)</x:f>
        <x:v>-0.3321199747069919</x:v>
      </x:c>
      <x:c r="F4489" s="2"/>
      <x:c r="G4489" s="2"/>
      <x:c r="H4489" s="2"/>
    </x:row>
    <x:row r="4490" ht="22" customHeight="1">
      <x:c r="A4490" s="2" t="n">
        <x:v>4484</x:v>
      </x:c>
      <x:c r="B4490" s="79" t="n">
        <x:v>0.8133006442703197</x:v>
      </x:c>
      <x:c r="C4490" s="46" t="n">
        <x:f>B4490^2</x:f>
        <x:v>0.6614579379705171</x:v>
      </x:c>
      <x:c r="D4490" s="47" t="n">
        <x:f>'Datos'!$B$26^3/3</x:f>
        <x:v>0.3333333333333333</x:v>
      </x:c>
      <x:c r="E4490" s="46" t="n">
        <x:f>D4490*(C4490-1)</x:f>
        <x:v>-0.11284735400982762</x:v>
      </x:c>
      <x:c r="F4490" s="2"/>
      <x:c r="G4490" s="2"/>
      <x:c r="H4490" s="2"/>
    </x:row>
    <x:row r="4491" ht="22" customHeight="1">
      <x:c r="A4491" s="2" t="n">
        <x:v>4485</x:v>
      </x:c>
      <x:c r="B4491" s="79" t="n">
        <x:v>0.3672836611152297</x:v>
      </x:c>
      <x:c r="C4491" s="46" t="n">
        <x:f>B4491^2</x:f>
        <x:v>0.13489728772220688</x:v>
      </x:c>
      <x:c r="D4491" s="47" t="n">
        <x:f>'Datos'!$B$26^3/3</x:f>
        <x:v>0.3333333333333333</x:v>
      </x:c>
      <x:c r="E4491" s="46" t="n">
        <x:f>D4491*(C4491-1)</x:f>
        <x:v>-0.28836757075926434</x:v>
      </x:c>
      <x:c r="F4491" s="2"/>
      <x:c r="G4491" s="2"/>
      <x:c r="H4491" s="2"/>
    </x:row>
    <x:row r="4492" ht="22" customHeight="1">
      <x:c r="A4492" s="2" t="n">
        <x:v>4486</x:v>
      </x:c>
      <x:c r="B4492" s="79" t="n">
        <x:v>-0.27016665682948515</x:v>
      </x:c>
      <x:c r="C4492" s="46" t="n">
        <x:f>B4492^2</x:f>
        <x:v>0.0729900224624208</x:v>
      </x:c>
      <x:c r="D4492" s="47" t="n">
        <x:f>'Datos'!$B$26^3/3</x:f>
        <x:v>0.3333333333333333</x:v>
      </x:c>
      <x:c r="E4492" s="46" t="n">
        <x:f>D4492*(C4492-1)</x:f>
        <x:v>-0.3090033258458597</x:v>
      </x:c>
      <x:c r="F4492" s="2"/>
      <x:c r="G4492" s="2"/>
      <x:c r="H4492" s="2"/>
    </x:row>
    <x:row r="4493" ht="22" customHeight="1">
      <x:c r="A4493" s="2" t="n">
        <x:v>4487</x:v>
      </x:c>
      <x:c r="B4493" s="79" t="n">
        <x:v>1.9637494290961715</x:v>
      </x:c>
      <x:c r="C4493" s="46" t="n">
        <x:f>B4493^2</x:f>
        <x:v>3.8563118202755393</x:v>
      </x:c>
      <x:c r="D4493" s="47" t="n">
        <x:f>'Datos'!$B$26^3/3</x:f>
        <x:v>0.3333333333333333</x:v>
      </x:c>
      <x:c r="E4493" s="46" t="n">
        <x:f>D4493*(C4493-1)</x:f>
        <x:v>0.9521039400918464</x:v>
      </x:c>
      <x:c r="F4493" s="2"/>
      <x:c r="G4493" s="2"/>
      <x:c r="H4493" s="2"/>
    </x:row>
    <x:row r="4494" ht="22" customHeight="1">
      <x:c r="A4494" s="2" t="n">
        <x:v>4488</x:v>
      </x:c>
      <x:c r="B4494" s="79" t="n">
        <x:v>1.9643954049944539</x:v>
      </x:c>
      <x:c r="C4494" s="46" t="n">
        <x:f>B4494^2</x:f>
        <x:v>3.8588493071633243</x:v>
      </x:c>
      <x:c r="D4494" s="47" t="n">
        <x:f>'Datos'!$B$26^3/3</x:f>
        <x:v>0.3333333333333333</x:v>
      </x:c>
      <x:c r="E4494" s="46" t="n">
        <x:f>D4494*(C4494-1)</x:f>
        <x:v>0.9529497690544414</x:v>
      </x:c>
      <x:c r="F4494" s="2"/>
      <x:c r="G4494" s="2"/>
      <x:c r="H4494" s="2"/>
    </x:row>
    <x:row r="4495" ht="22" customHeight="1">
      <x:c r="A4495" s="2" t="n">
        <x:v>4489</x:v>
      </x:c>
      <x:c r="B4495" s="79" t="n">
        <x:v>-3.4025883168389703</x:v>
      </x:c>
      <x:c r="C4495" s="46" t="n">
        <x:f>B4495^2</x:f>
        <x:v>11.577607253889058</x:v>
      </x:c>
      <x:c r="D4495" s="47" t="n">
        <x:f>'Datos'!$B$26^3/3</x:f>
        <x:v>0.3333333333333333</x:v>
      </x:c>
      <x:c r="E4495" s="46" t="n">
        <x:f>D4495*(C4495-1)</x:f>
        <x:v>3.5258690846296856</x:v>
      </x:c>
      <x:c r="F4495" s="2"/>
      <x:c r="G4495" s="2"/>
      <x:c r="H4495" s="2"/>
    </x:row>
    <x:row r="4496" ht="22" customHeight="1">
      <x:c r="A4496" s="2" t="n">
        <x:v>4490</x:v>
      </x:c>
      <x:c r="B4496" s="79" t="n">
        <x:v>1.3518537063707163</x:v>
      </x:c>
      <x:c r="C4496" s="46" t="n">
        <x:f>B4496^2</x:f>
        <x:v>1.827508443428243</x:v>
      </x:c>
      <x:c r="D4496" s="47" t="n">
        <x:f>'Datos'!$B$26^3/3</x:f>
        <x:v>0.3333333333333333</x:v>
      </x:c>
      <x:c r="E4496" s="46" t="n">
        <x:f>D4496*(C4496-1)</x:f>
        <x:v>0.2758361478094143</x:v>
      </x:c>
      <x:c r="F4496" s="2"/>
      <x:c r="G4496" s="2"/>
      <x:c r="H4496" s="2"/>
    </x:row>
    <x:row r="4497" ht="22" customHeight="1">
      <x:c r="A4497" s="2" t="n">
        <x:v>4491</x:v>
      </x:c>
      <x:c r="B4497" s="79" t="n">
        <x:v>0.5901874368232182</x:v>
      </x:c>
      <x:c r="C4497" s="46" t="n">
        <x:f>B4497^2</x:f>
        <x:v>0.34832121058396015</x:v>
      </x:c>
      <x:c r="D4497" s="47" t="n">
        <x:f>'Datos'!$B$26^3/3</x:f>
        <x:v>0.3333333333333333</x:v>
      </x:c>
      <x:c r="E4497" s="46" t="n">
        <x:f>D4497*(C4497-1)</x:f>
        <x:v>-0.21722626313867993</x:v>
      </x:c>
      <x:c r="F4497" s="2"/>
      <x:c r="G4497" s="2"/>
      <x:c r="H4497" s="2"/>
    </x:row>
    <x:row r="4498" ht="22" customHeight="1">
      <x:c r="A4498" s="2" t="n">
        <x:v>4492</x:v>
      </x:c>
      <x:c r="B4498" s="79" t="n">
        <x:v>-1.9946119625867587</x:v>
      </x:c>
      <x:c r="C4498" s="46" t="n">
        <x:f>B4498^2</x:f>
        <x:v>3.9784768812942013</x:v>
      </x:c>
      <x:c r="D4498" s="47" t="n">
        <x:f>'Datos'!$B$26^3/3</x:f>
        <x:v>0.3333333333333333</x:v>
      </x:c>
      <x:c r="E4498" s="46" t="n">
        <x:f>D4498*(C4498-1)</x:f>
        <x:v>0.9928256270980671</x:v>
      </x:c>
      <x:c r="F4498" s="2"/>
      <x:c r="G4498" s="2"/>
      <x:c r="H4498" s="2"/>
    </x:row>
    <x:row r="4499" ht="22" customHeight="1">
      <x:c r="A4499" s="2" t="n">
        <x:v>4493</x:v>
      </x:c>
      <x:c r="B4499" s="79" t="n">
        <x:v>-2.0476237289845707</x:v>
      </x:c>
      <x:c r="C4499" s="46" t="n">
        <x:f>B4499^2</x:f>
        <x:v>4.192762935500679</x:v>
      </x:c>
      <x:c r="D4499" s="47" t="n">
        <x:f>'Datos'!$B$26^3/3</x:f>
        <x:v>0.3333333333333333</x:v>
      </x:c>
      <x:c r="E4499" s="46" t="n">
        <x:f>D4499*(C4499-1)</x:f>
        <x:v>1.0642543118335595</x:v>
      </x:c>
      <x:c r="F4499" s="2"/>
      <x:c r="G4499" s="2"/>
      <x:c r="H4499" s="2"/>
    </x:row>
    <x:row r="4500" ht="22" customHeight="1">
      <x:c r="A4500" s="2" t="n">
        <x:v>4494</x:v>
      </x:c>
      <x:c r="B4500" s="79" t="n">
        <x:v>1.6276998811141787</x:v>
      </x:c>
      <x:c r="C4500" s="46" t="n">
        <x:f>B4500^2</x:f>
        <x:v>2.6494069029791114</x:v>
      </x:c>
      <x:c r="D4500" s="47" t="n">
        <x:f>'Datos'!$B$26^3/3</x:f>
        <x:v>0.3333333333333333</x:v>
      </x:c>
      <x:c r="E4500" s="46" t="n">
        <x:f>D4500*(C4500-1)</x:f>
        <x:v>0.5498023009930371</x:v>
      </x:c>
      <x:c r="F4500" s="2"/>
      <x:c r="G4500" s="2"/>
      <x:c r="H4500" s="2"/>
    </x:row>
    <x:row r="4501" ht="22" customHeight="1">
      <x:c r="A4501" s="2" t="n">
        <x:v>4495</x:v>
      </x:c>
      <x:c r="B4501" s="79" t="n">
        <x:v>0.48559726034802514</x:v>
      </x:c>
      <x:c r="C4501" s="46" t="n">
        <x:f>B4501^2</x:f>
        <x:v>0.23580469925750772</x:v>
      </x:c>
      <x:c r="D4501" s="47" t="n">
        <x:f>'Datos'!$B$26^3/3</x:f>
        <x:v>0.3333333333333333</x:v>
      </x:c>
      <x:c r="E4501" s="46" t="n">
        <x:f>D4501*(C4501-1)</x:f>
        <x:v>-0.2547317669141641</x:v>
      </x:c>
      <x:c r="F4501" s="2"/>
      <x:c r="G4501" s="2"/>
      <x:c r="H4501" s="2"/>
    </x:row>
    <x:row r="4502" ht="22" customHeight="1">
      <x:c r="A4502" s="2" t="n">
        <x:v>4496</x:v>
      </x:c>
      <x:c r="B4502" s="79" t="n">
        <x:v>0.9569410294153382</x:v>
      </x:c>
      <x:c r="C4502" s="46" t="n">
        <x:f>B4502^2</x:f>
        <x:v>0.9157361337784872</x:v>
      </x:c>
      <x:c r="D4502" s="47" t="n">
        <x:f>'Datos'!$B$26^3/3</x:f>
        <x:v>0.3333333333333333</x:v>
      </x:c>
      <x:c r="E4502" s="46" t="n">
        <x:f>D4502*(C4502-1)</x:f>
        <x:v>-0.02808795540717094</x:v>
      </x:c>
      <x:c r="F4502" s="2"/>
      <x:c r="G4502" s="2"/>
      <x:c r="H4502" s="2"/>
    </x:row>
    <x:row r="4503" ht="22" customHeight="1">
      <x:c r="A4503" s="2" t="n">
        <x:v>4497</x:v>
      </x:c>
      <x:c r="B4503" s="79" t="n">
        <x:v>-1.3987747917050646</x:v>
      </x:c>
      <x:c r="C4503" s="46" t="n">
        <x:f>B4503^2</x:f>
        <x:v>1.9565709179095467</x:v>
      </x:c>
      <x:c r="D4503" s="47" t="n">
        <x:f>'Datos'!$B$26^3/3</x:f>
        <x:v>0.3333333333333333</x:v>
      </x:c>
      <x:c r="E4503" s="46" t="n">
        <x:f>D4503*(C4503-1)</x:f>
        <x:v>0.3188569726365156</x:v>
      </x:c>
      <x:c r="F4503" s="2"/>
      <x:c r="G4503" s="2"/>
      <x:c r="H4503" s="2"/>
    </x:row>
    <x:row r="4504" ht="22" customHeight="1">
      <x:c r="A4504" s="2" t="n">
        <x:v>4498</x:v>
      </x:c>
      <x:c r="B4504" s="79" t="n">
        <x:v>-0.7077346703078616</x:v>
      </x:c>
      <x:c r="C4504" s="46" t="n">
        <x:f>B4504^2</x:f>
        <x:v>0.5008883635557776</x:v>
      </x:c>
      <x:c r="D4504" s="47" t="n">
        <x:f>'Datos'!$B$26^3/3</x:f>
        <x:v>0.3333333333333333</x:v>
      </x:c>
      <x:c r="E4504" s="46" t="n">
        <x:f>D4504*(C4504-1)</x:f>
        <x:v>-0.16637054548140745</x:v>
      </x:c>
      <x:c r="F4504" s="2"/>
      <x:c r="G4504" s="2"/>
      <x:c r="H4504" s="2"/>
    </x:row>
    <x:row r="4505" ht="22" customHeight="1">
      <x:c r="A4505" s="2" t="n">
        <x:v>4499</x:v>
      </x:c>
      <x:c r="B4505" s="79" t="n">
        <x:v>-0.058380331547681</x:v>
      </x:c>
      <x:c r="C4505" s="46" t="n">
        <x:f>B4505^2</x:f>
        <x:v>0.0034082631116171573</x:v>
      </x:c>
      <x:c r="D4505" s="47" t="n">
        <x:f>'Datos'!$B$26^3/3</x:f>
        <x:v>0.3333333333333333</x:v>
      </x:c>
      <x:c r="E4505" s="46" t="n">
        <x:f>D4505*(C4505-1)</x:f>
        <x:v>-0.33219724562946096</x:v>
      </x:c>
      <x:c r="F4505" s="2"/>
      <x:c r="G4505" s="2"/>
      <x:c r="H4505" s="2"/>
    </x:row>
    <x:row r="4506" ht="22" customHeight="1">
      <x:c r="A4506" s="2" t="n">
        <x:v>4500</x:v>
      </x:c>
      <x:c r="B4506" s="79" t="n">
        <x:v>2.712242571474608</x:v>
      </x:c>
      <x:c r="C4506" s="46" t="n">
        <x:f>B4506^2</x:f>
        <x:v>7.3562597665191936</x:v>
      </x:c>
      <x:c r="D4506" s="47" t="n">
        <x:f>'Datos'!$B$26^3/3</x:f>
        <x:v>0.3333333333333333</x:v>
      </x:c>
      <x:c r="E4506" s="46" t="n">
        <x:f>D4506*(C4506-1)</x:f>
        <x:v>2.1187532555063977</x:v>
      </x:c>
      <x:c r="F4506" s="2"/>
      <x:c r="G4506" s="2"/>
      <x:c r="H4506" s="2"/>
    </x:row>
    <x:row r="4507" ht="22" customHeight="1">
      <x:c r="A4507" s="2" t="n">
        <x:v>4501</x:v>
      </x:c>
      <x:c r="B4507" s="79" t="n">
        <x:v>-0.19898016302216479</x:v>
      </x:c>
      <x:c r="C4507" s="46" t="n">
        <x:f>B4507^2</x:f>
        <x:v>0.03959310527632728</x:v>
      </x:c>
      <x:c r="D4507" s="47" t="n">
        <x:f>'Datos'!$B$26^3/3</x:f>
        <x:v>0.3333333333333333</x:v>
      </x:c>
      <x:c r="E4507" s="46" t="n">
        <x:f>D4507*(C4507-1)</x:f>
        <x:v>-0.32013563157455754</x:v>
      </x:c>
      <x:c r="F4507" s="2"/>
      <x:c r="G4507" s="2"/>
      <x:c r="H4507" s="2"/>
    </x:row>
    <x:row r="4508" ht="22" customHeight="1">
      <x:c r="A4508" s="2" t="n">
        <x:v>4502</x:v>
      </x:c>
      <x:c r="B4508" s="79" t="n">
        <x:v>-0.9338827372142443</x:v>
      </x:c>
      <x:c r="C4508" s="46" t="n">
        <x:f>B4508^2</x:f>
        <x:v>0.8721369668667693</x:v>
      </x:c>
      <x:c r="D4508" s="47" t="n">
        <x:f>'Datos'!$B$26^3/3</x:f>
        <x:v>0.3333333333333333</x:v>
      </x:c>
      <x:c r="E4508" s="46" t="n">
        <x:f>D4508*(C4508-1)</x:f>
        <x:v>-0.04262101104441022</x:v>
      </x:c>
      <x:c r="F4508" s="2"/>
      <x:c r="G4508" s="2"/>
      <x:c r="H4508" s="2"/>
    </x:row>
    <x:row r="4509" ht="22" customHeight="1">
      <x:c r="A4509" s="2" t="n">
        <x:v>4503</x:v>
      </x:c>
      <x:c r="B4509" s="79" t="n">
        <x:v>0.03468724703466531</x:v>
      </x:c>
      <x:c r="C4509" s="46" t="n">
        <x:f>B4509^2</x:f>
        <x:v>0.0012032051068438974</x:v>
      </x:c>
      <x:c r="D4509" s="47" t="n">
        <x:f>'Datos'!$B$26^3/3</x:f>
        <x:v>0.3333333333333333</x:v>
      </x:c>
      <x:c r="E4509" s="46" t="n">
        <x:f>D4509*(C4509-1)</x:f>
        <x:v>-0.3329322649643853</x:v>
      </x:c>
      <x:c r="F4509" s="2"/>
      <x:c r="G4509" s="2"/>
      <x:c r="H4509" s="2"/>
    </x:row>
    <x:row r="4510" ht="22" customHeight="1">
      <x:c r="A4510" s="2" t="n">
        <x:v>4504</x:v>
      </x:c>
      <x:c r="B4510" s="79" t="n">
        <x:v>1.3049675615446958</x:v>
      </x:c>
      <x:c r="C4510" s="46" t="n">
        <x:f>B4510^2</x:f>
        <x:v>1.7029403366839095</x:v>
      </x:c>
      <x:c r="D4510" s="47" t="n">
        <x:f>'Datos'!$B$26^3/3</x:f>
        <x:v>0.3333333333333333</x:v>
      </x:c>
      <x:c r="E4510" s="46" t="n">
        <x:f>D4510*(C4510-1)</x:f>
        <x:v>0.23431344556130318</x:v>
      </x:c>
      <x:c r="F4510" s="2"/>
      <x:c r="G4510" s="2"/>
      <x:c r="H4510" s="2"/>
    </x:row>
    <x:row r="4511" ht="22" customHeight="1">
      <x:c r="A4511" s="2" t="n">
        <x:v>4505</x:v>
      </x:c>
      <x:c r="B4511" s="79" t="n">
        <x:v>-0.38807460914487496</x:v>
      </x:c>
      <x:c r="C4511" s="46" t="n">
        <x:f>B4511^2</x:f>
        <x:v>0.15060190226294748</x:v>
      </x:c>
      <x:c r="D4511" s="47" t="n">
        <x:f>'Datos'!$B$26^3/3</x:f>
        <x:v>0.3333333333333333</x:v>
      </x:c>
      <x:c r="E4511" s="46" t="n">
        <x:f>D4511*(C4511-1)</x:f>
        <x:v>-0.2831326992456842</x:v>
      </x:c>
      <x:c r="F4511" s="2"/>
      <x:c r="G4511" s="2"/>
      <x:c r="H4511" s="2"/>
    </x:row>
    <x:row r="4512" ht="22" customHeight="1">
      <x:c r="A4512" s="2" t="n">
        <x:v>4506</x:v>
      </x:c>
      <x:c r="B4512" s="79" t="n">
        <x:v>-2.7202634306570026</x:v>
      </x:c>
      <x:c r="C4512" s="46" t="n">
        <x:f>B4512^2</x:f>
        <x:v>7.399833132169805</x:v>
      </x:c>
      <x:c r="D4512" s="47" t="n">
        <x:f>'Datos'!$B$26^3/3</x:f>
        <x:v>0.3333333333333333</x:v>
      </x:c>
      <x:c r="E4512" s="46" t="n">
        <x:f>D4512*(C4512-1)</x:f>
        <x:v>2.1332777107232683</x:v>
      </x:c>
      <x:c r="F4512" s="2"/>
      <x:c r="G4512" s="2"/>
      <x:c r="H4512" s="2"/>
    </x:row>
    <x:row r="4513" ht="22" customHeight="1">
      <x:c r="A4513" s="2" t="n">
        <x:v>4507</x:v>
      </x:c>
      <x:c r="B4513" s="79" t="n">
        <x:v>0.3975817142288424</x:v>
      </x:c>
      <x:c r="C4513" s="46" t="n">
        <x:f>B4513^2</x:f>
        <x:v>0.15807121948914493</x:v>
      </x:c>
      <x:c r="D4513" s="47" t="n">
        <x:f>'Datos'!$B$26^3/3</x:f>
        <x:v>0.3333333333333333</x:v>
      </x:c>
      <x:c r="E4513" s="46" t="n">
        <x:f>D4513*(C4513-1)</x:f>
        <x:v>-0.2806429268369517</x:v>
      </x:c>
      <x:c r="F4513" s="2"/>
      <x:c r="G4513" s="2"/>
      <x:c r="H4513" s="2"/>
    </x:row>
    <x:row r="4514" ht="22" customHeight="1">
      <x:c r="A4514" s="2" t="n">
        <x:v>4508</x:v>
      </x:c>
      <x:c r="B4514" s="79" t="n">
        <x:v>0.6679042325409882</x:v>
      </x:c>
      <x:c r="C4514" s="46" t="n">
        <x:f>B4514^2</x:f>
        <x:v>0.4460960638461664</x:v>
      </x:c>
      <x:c r="D4514" s="47" t="n">
        <x:f>'Datos'!$B$26^3/3</x:f>
        <x:v>0.3333333333333333</x:v>
      </x:c>
      <x:c r="E4514" s="46" t="n">
        <x:f>D4514*(C4514-1)</x:f>
        <x:v>-0.1846346453846112</x:v>
      </x:c>
      <x:c r="F4514" s="2"/>
      <x:c r="G4514" s="2"/>
      <x:c r="H4514" s="2"/>
    </x:row>
    <x:row r="4515" ht="22" customHeight="1">
      <x:c r="A4515" s="2" t="n">
        <x:v>4509</x:v>
      </x:c>
      <x:c r="B4515" s="79" t="n">
        <x:v>-1.632103017721787</x:v>
      </x:c>
      <x:c r="C4515" s="46" t="n">
        <x:f>B4515^2</x:f>
        <x:v>2.6637602604565638</x:v>
      </x:c>
      <x:c r="D4515" s="47" t="n">
        <x:f>'Datos'!$B$26^3/3</x:f>
        <x:v>0.3333333333333333</x:v>
      </x:c>
      <x:c r="E4515" s="46" t="n">
        <x:f>D4515*(C4515-1)</x:f>
        <x:v>0.5545867534855212</x:v>
      </x:c>
      <x:c r="F4515" s="2"/>
      <x:c r="G4515" s="2"/>
      <x:c r="H4515" s="2"/>
    </x:row>
    <x:row r="4516" ht="22" customHeight="1">
      <x:c r="A4516" s="2" t="n">
        <x:v>4510</x:v>
      </x:c>
      <x:c r="B4516" s="79" t="n">
        <x:v>0.14708552605168768</x:v>
      </x:c>
      <x:c r="C4516" s="46" t="n">
        <x:f>B4516^2</x:f>
        <x:v>0.021634151973901693</x:v>
      </x:c>
      <x:c r="D4516" s="47" t="n">
        <x:f>'Datos'!$B$26^3/3</x:f>
        <x:v>0.3333333333333333</x:v>
      </x:c>
      <x:c r="E4516" s="46" t="n">
        <x:f>D4516*(C4516-1)</x:f>
        <x:v>-0.32612194934203276</x:v>
      </x:c>
      <x:c r="F4516" s="2"/>
      <x:c r="G4516" s="2"/>
      <x:c r="H4516" s="2"/>
    </x:row>
    <x:row r="4517" ht="22" customHeight="1">
      <x:c r="A4517" s="2" t="n">
        <x:v>4511</x:v>
      </x:c>
      <x:c r="B4517" s="79" t="n">
        <x:v>0.15002122328147166</x:v>
      </x:c>
      <x:c r="C4517" s="46" t="n">
        <x:f>B4517^2</x:f>
        <x:v>0.022506367434869175</x:v>
      </x:c>
      <x:c r="D4517" s="47" t="n">
        <x:f>'Datos'!$B$26^3/3</x:f>
        <x:v>0.3333333333333333</x:v>
      </x:c>
      <x:c r="E4517" s="46" t="n">
        <x:f>D4517*(C4517-1)</x:f>
        <x:v>-0.3258312108550436</x:v>
      </x:c>
      <x:c r="F4517" s="2"/>
      <x:c r="G4517" s="2"/>
      <x:c r="H4517" s="2"/>
    </x:row>
    <x:row r="4518" ht="22" customHeight="1">
      <x:c r="A4518" s="2" t="n">
        <x:v>4512</x:v>
      </x:c>
      <x:c r="B4518" s="79" t="n">
        <x:v>1.2452319086814743</x:v>
      </x:c>
      <x:c r="C4518" s="46" t="n">
        <x:f>B4518^2</x:f>
        <x:v>1.5506025063985074</x:v>
      </x:c>
      <x:c r="D4518" s="47" t="n">
        <x:f>'Datos'!$B$26^3/3</x:f>
        <x:v>0.3333333333333333</x:v>
      </x:c>
      <x:c r="E4518" s="46" t="n">
        <x:f>D4518*(C4518-1)</x:f>
        <x:v>0.18353416879950246</x:v>
      </x:c>
      <x:c r="F4518" s="2"/>
      <x:c r="G4518" s="2"/>
      <x:c r="H4518" s="2"/>
    </x:row>
    <x:row r="4519" ht="22" customHeight="1">
      <x:c r="A4519" s="2" t="n">
        <x:v>4513</x:v>
      </x:c>
      <x:c r="B4519" s="79" t="n">
        <x:v>0.019710672979585318</x:v>
      </x:c>
      <x:c r="C4519" s="46" t="n">
        <x:f>B4519^2</x:f>
        <x:v>0.00038851062930815475</x:v>
      </x:c>
      <x:c r="D4519" s="47" t="n">
        <x:f>'Datos'!$B$26^3/3</x:f>
        <x:v>0.3333333333333333</x:v>
      </x:c>
      <x:c r="E4519" s="46" t="n">
        <x:f>D4519*(C4519-1)</x:f>
        <x:v>-0.3332038297902306</x:v>
      </x:c>
      <x:c r="F4519" s="2"/>
      <x:c r="G4519" s="2"/>
      <x:c r="H4519" s="2"/>
    </x:row>
    <x:row r="4520" ht="22" customHeight="1">
      <x:c r="A4520" s="2" t="n">
        <x:v>4514</x:v>
      </x:c>
      <x:c r="B4520" s="79" t="n">
        <x:v>0.7611433111286697</x:v>
      </x:c>
      <x:c r="C4520" s="46" t="n">
        <x:f>B4520^2</x:f>
        <x:v>0.5793391400759149</x:v>
      </x:c>
      <x:c r="D4520" s="47" t="n">
        <x:f>'Datos'!$B$26^3/3</x:f>
        <x:v>0.3333333333333333</x:v>
      </x:c>
      <x:c r="E4520" s="46" t="n">
        <x:f>D4520*(C4520-1)</x:f>
        <x:v>-0.14022028664136169</x:v>
      </x:c>
      <x:c r="F4520" s="2"/>
      <x:c r="G4520" s="2"/>
      <x:c r="H4520" s="2"/>
    </x:row>
    <x:row r="4521" ht="22" customHeight="1">
      <x:c r="A4521" s="2" t="n">
        <x:v>4515</x:v>
      </x:c>
      <x:c r="B4521" s="79" t="n">
        <x:v>0.00745247361684657</x:v>
      </x:c>
      <x:c r="C4521" s="46" t="n">
        <x:f>B4521^2</x:f>
        <x:v>0.00005553936300979419</x:v>
      </x:c>
      <x:c r="D4521" s="47" t="n">
        <x:f>'Datos'!$B$26^3/3</x:f>
        <x:v>0.3333333333333333</x:v>
      </x:c>
      <x:c r="E4521" s="46" t="n">
        <x:f>D4521*(C4521-1)</x:f>
        <x:v>-0.33331482021233005</x:v>
      </x:c>
      <x:c r="F4521" s="2"/>
      <x:c r="G4521" s="2"/>
      <x:c r="H4521" s="2"/>
    </x:row>
    <x:row r="4522" ht="22" customHeight="1">
      <x:c r="A4522" s="2" t="n">
        <x:v>4516</x:v>
      </x:c>
      <x:c r="B4522" s="79" t="n">
        <x:v>-1.1130594813744978</x:v>
      </x:c>
      <x:c r="C4522" s="46" t="n">
        <x:f>B4522^2</x:f>
        <x:v>1.238901409077666</x:v>
      </x:c>
      <x:c r="D4522" s="47" t="n">
        <x:f>'Datos'!$B$26^3/3</x:f>
        <x:v>0.3333333333333333</x:v>
      </x:c>
      <x:c r="E4522" s="46" t="n">
        <x:f>D4522*(C4522-1)</x:f>
        <x:v>0.07963380302588866</x:v>
      </x:c>
      <x:c r="F4522" s="2"/>
      <x:c r="G4522" s="2"/>
      <x:c r="H4522" s="2"/>
    </x:row>
    <x:row r="4523" ht="22" customHeight="1">
      <x:c r="A4523" s="2" t="n">
        <x:v>4517</x:v>
      </x:c>
      <x:c r="B4523" s="79" t="n">
        <x:v>0.295406370734753</x:v>
      </x:c>
      <x:c r="C4523" s="46" t="n">
        <x:f>B4523^2</x:f>
        <x:v>0.08726492387067834</x:v>
      </x:c>
      <x:c r="D4523" s="47" t="n">
        <x:f>'Datos'!$B$26^3/3</x:f>
        <x:v>0.3333333333333333</x:v>
      </x:c>
      <x:c r="E4523" s="46" t="n">
        <x:f>D4523*(C4523-1)</x:f>
        <x:v>-0.30424502537644055</x:v>
      </x:c>
      <x:c r="F4523" s="2"/>
      <x:c r="G4523" s="2"/>
      <x:c r="H4523" s="2"/>
    </x:row>
    <x:row r="4524" ht="22" customHeight="1">
      <x:c r="A4524" s="2" t="n">
        <x:v>4518</x:v>
      </x:c>
      <x:c r="B4524" s="79" t="n">
        <x:v>0.7320901022006628</x:v>
      </x:c>
      <x:c r="C4524" s="46" t="n">
        <x:f>B4524^2</x:f>
        <x:v>0.5359559177401769</x:v>
      </x:c>
      <x:c r="D4524" s="47" t="n">
        <x:f>'Datos'!$B$26^3/3</x:f>
        <x:v>0.3333333333333333</x:v>
      </x:c>
      <x:c r="E4524" s="46" t="n">
        <x:f>D4524*(C4524-1)</x:f>
        <x:v>-0.15468136075327435</x:v>
      </x:c>
      <x:c r="F4524" s="2"/>
      <x:c r="G4524" s="2"/>
      <x:c r="H4524" s="2"/>
    </x:row>
    <x:row r="4525" ht="22" customHeight="1">
      <x:c r="A4525" s="2" t="n">
        <x:v>4519</x:v>
      </x:c>
      <x:c r="B4525" s="79" t="n">
        <x:v>0.48630765907191276</x:v>
      </x:c>
      <x:c r="C4525" s="46" t="n">
        <x:f>B4525^2</x:f>
        <x:v>0.23649513927200372</x:v>
      </x:c>
      <x:c r="D4525" s="47" t="n">
        <x:f>'Datos'!$B$26^3/3</x:f>
        <x:v>0.3333333333333333</x:v>
      </x:c>
      <x:c r="E4525" s="46" t="n">
        <x:f>D4525*(C4525-1)</x:f>
        <x:v>-0.2545016202426654</x:v>
      </x:c>
      <x:c r="F4525" s="2"/>
      <x:c r="G4525" s="2"/>
      <x:c r="H4525" s="2"/>
    </x:row>
    <x:row r="4526" ht="22" customHeight="1">
      <x:c r="A4526" s="2" t="n">
        <x:v>4520</x:v>
      </x:c>
      <x:c r="B4526" s="79" t="n">
        <x:v>-1.5617181856936868</x:v>
      </x:c>
      <x:c r="C4526" s="46" t="n">
        <x:f>B4526^2</x:f>
        <x:v>2.438963691526381</x:v>
      </x:c>
      <x:c r="D4526" s="47" t="n">
        <x:f>'Datos'!$B$26^3/3</x:f>
        <x:v>0.3333333333333333</x:v>
      </x:c>
      <x:c r="E4526" s="46" t="n">
        <x:f>D4526*(C4526-1)</x:f>
        <x:v>0.4796545638421269</x:v>
      </x:c>
      <x:c r="F4526" s="2"/>
      <x:c r="G4526" s="2"/>
      <x:c r="H4526" s="2"/>
    </x:row>
    <x:row r="4527" ht="22" customHeight="1">
      <x:c r="A4527" s="2" t="n">
        <x:v>4521</x:v>
      </x:c>
      <x:c r="B4527" s="79" t="n">
        <x:v>1.308287027405564</x:v>
      </x:c>
      <x:c r="C4527" s="46" t="n">
        <x:f>B4527^2</x:f>
        <x:v>1.711614946077687</x:v>
      </x:c>
      <x:c r="D4527" s="47" t="n">
        <x:f>'Datos'!$B$26^3/3</x:f>
        <x:v>0.3333333333333333</x:v>
      </x:c>
      <x:c r="E4527" s="46" t="n">
        <x:f>D4527*(C4527-1)</x:f>
        <x:v>0.23720498202589568</x:v>
      </x:c>
      <x:c r="F4527" s="2"/>
      <x:c r="G4527" s="2"/>
      <x:c r="H4527" s="2"/>
    </x:row>
    <x:row r="4528" ht="22" customHeight="1">
      <x:c r="A4528" s="2" t="n">
        <x:v>4522</x:v>
      </x:c>
      <x:c r="B4528" s="79" t="n">
        <x:v>1.0132036379697462</x:v>
      </x:c>
      <x:c r="C4528" s="46" t="n">
        <x:f>B4528^2</x:f>
        <x:v>1.0265816119951285</x:v>
      </x:c>
      <x:c r="D4528" s="47" t="n">
        <x:f>'Datos'!$B$26^3/3</x:f>
        <x:v>0.3333333333333333</x:v>
      </x:c>
      <x:c r="E4528" s="46" t="n">
        <x:f>D4528*(C4528-1)</x:f>
        <x:v>0.008860537331709512</x:v>
      </x:c>
      <x:c r="F4528" s="2"/>
      <x:c r="G4528" s="2"/>
      <x:c r="H4528" s="2"/>
    </x:row>
    <x:row r="4529" ht="22" customHeight="1">
      <x:c r="A4529" s="2" t="n">
        <x:v>4523</x:v>
      </x:c>
      <x:c r="B4529" s="79" t="n">
        <x:v>1.4495330199342866</x:v>
      </x:c>
      <x:c r="C4529" s="46" t="n">
        <x:f>B4529^2</x:f>
        <x:v>2.1011459758798128</x:v>
      </x:c>
      <x:c r="D4529" s="47" t="n">
        <x:f>'Datos'!$B$26^3/3</x:f>
        <x:v>0.3333333333333333</x:v>
      </x:c>
      <x:c r="E4529" s="46" t="n">
        <x:f>D4529*(C4529-1)</x:f>
        <x:v>0.36704865862660424</x:v>
      </x:c>
      <x:c r="F4529" s="2"/>
      <x:c r="G4529" s="2"/>
      <x:c r="H4529" s="2"/>
    </x:row>
    <x:row r="4530" ht="22" customHeight="1">
      <x:c r="A4530" s="2" t="n">
        <x:v>4524</x:v>
      </x:c>
      <x:c r="B4530" s="79" t="n">
        <x:v>-1.9210000236678955</x:v>
      </x:c>
      <x:c r="C4530" s="46" t="n">
        <x:f>B4530^2</x:f>
        <x:v>3.690241090932055</x:v>
      </x:c>
      <x:c r="D4530" s="47" t="n">
        <x:f>'Datos'!$B$26^3/3</x:f>
        <x:v>0.3333333333333333</x:v>
      </x:c>
      <x:c r="E4530" s="46" t="n">
        <x:f>D4530*(C4530-1)</x:f>
        <x:v>0.896747030310685</x:v>
      </x:c>
      <x:c r="F4530" s="2"/>
      <x:c r="G4530" s="2"/>
      <x:c r="H4530" s="2"/>
    </x:row>
    <x:row r="4531" ht="22" customHeight="1">
      <x:c r="A4531" s="2" t="n">
        <x:v>4525</x:v>
      </x:c>
      <x:c r="B4531" s="79" t="n">
        <x:v>0.4387904996316725</x:v>
      </x:c>
      <x:c r="C4531" s="46" t="n">
        <x:f>B4531^2</x:f>
        <x:v>0.19253710256701279</x:v>
      </x:c>
      <x:c r="D4531" s="47" t="n">
        <x:f>'Datos'!$B$26^3/3</x:f>
        <x:v>0.3333333333333333</x:v>
      </x:c>
      <x:c r="E4531" s="46" t="n">
        <x:f>D4531*(C4531-1)</x:f>
        <x:v>-0.26915429914432903</x:v>
      </x:c>
      <x:c r="F4531" s="2"/>
      <x:c r="G4531" s="2"/>
      <x:c r="H4531" s="2"/>
    </x:row>
    <x:row r="4532" ht="22" customHeight="1">
      <x:c r="A4532" s="2" t="n">
        <x:v>4526</x:v>
      </x:c>
      <x:c r="B4532" s="79" t="n">
        <x:v>0.44006629359304505</x:v>
      </x:c>
      <x:c r="C4532" s="46" t="n">
        <x:f>B4532^2</x:f>
        <x:v>0.19365834275672011</x:v>
      </x:c>
      <x:c r="D4532" s="47" t="n">
        <x:f>'Datos'!$B$26^3/3</x:f>
        <x:v>0.3333333333333333</x:v>
      </x:c>
      <x:c r="E4532" s="46" t="n">
        <x:f>D4532*(C4532-1)</x:f>
        <x:v>-0.2687805524144266</x:v>
      </x:c>
      <x:c r="F4532" s="2"/>
      <x:c r="G4532" s="2"/>
      <x:c r="H4532" s="2"/>
    </x:row>
    <x:row r="4533" ht="22" customHeight="1">
      <x:c r="A4533" s="2" t="n">
        <x:v>4527</x:v>
      </x:c>
      <x:c r="B4533" s="79" t="n">
        <x:v>-0.17825977932736722</x:v>
      </x:c>
      <x:c r="C4533" s="46" t="n">
        <x:f>B4533^2</x:f>
        <x:v>0.03177654892584166</x:v>
      </x:c>
      <x:c r="D4533" s="47" t="n">
        <x:f>'Datos'!$B$26^3/3</x:f>
        <x:v>0.3333333333333333</x:v>
      </x:c>
      <x:c r="E4533" s="46" t="n">
        <x:f>D4533*(C4533-1)</x:f>
        <x:v>-0.32274115035805273</x:v>
      </x:c>
      <x:c r="F4533" s="2"/>
      <x:c r="G4533" s="2"/>
      <x:c r="H4533" s="2"/>
    </x:row>
    <x:row r="4534" ht="22" customHeight="1">
      <x:c r="A4534" s="2" t="n">
        <x:v>4528</x:v>
      </x:c>
      <x:c r="B4534" s="79" t="n">
        <x:v>-0.9835441754651226</x:v>
      </x:c>
      <x:c r="C4534" s="46" t="n">
        <x:f>B4534^2</x:f>
        <x:v>0.9673591450913679</x:v>
      </x:c>
      <x:c r="D4534" s="47" t="n">
        <x:f>'Datos'!$B$26^3/3</x:f>
        <x:v>0.3333333333333333</x:v>
      </x:c>
      <x:c r="E4534" s="46" t="n">
        <x:f>D4534*(C4534-1)</x:f>
        <x:v>-0.010880284969544036</x:v>
      </x:c>
      <x:c r="F4534" s="2"/>
      <x:c r="G4534" s="2"/>
      <x:c r="H4534" s="2"/>
    </x:row>
    <x:row r="4535" ht="22" customHeight="1">
      <x:c r="A4535" s="2" t="n">
        <x:v>4529</x:v>
      </x:c>
      <x:c r="B4535" s="79" t="n">
        <x:v>-0.9009667222993414</x:v>
      </x:c>
      <x:c r="C4535" s="46" t="n">
        <x:f>B4535^2</x:f>
        <x:v>0.8117410346908185</x:v>
      </x:c>
      <x:c r="D4535" s="47" t="n">
        <x:f>'Datos'!$B$26^3/3</x:f>
        <x:v>0.3333333333333333</x:v>
      </x:c>
      <x:c r="E4535" s="46" t="n">
        <x:f>D4535*(C4535-1)</x:f>
        <x:v>-0.06275298843639383</x:v>
      </x:c>
      <x:c r="F4535" s="2"/>
      <x:c r="G4535" s="2"/>
      <x:c r="H4535" s="2"/>
    </x:row>
    <x:row r="4536" ht="22" customHeight="1">
      <x:c r="A4536" s="2" t="n">
        <x:v>4530</x:v>
      </x:c>
      <x:c r="B4536" s="79" t="n">
        <x:v>-0.43708564428634333</x:v>
      </x:c>
      <x:c r="C4536" s="46" t="n">
        <x:f>B4536^2</x:f>
        <x:v>0.19104386044120786</x:v>
      </x:c>
      <x:c r="D4536" s="47" t="n">
        <x:f>'Datos'!$B$26^3/3</x:f>
        <x:v>0.3333333333333333</x:v>
      </x:c>
      <x:c r="E4536" s="46" t="n">
        <x:f>D4536*(C4536-1)</x:f>
        <x:v>-0.26965204651959734</x:v>
      </x:c>
      <x:c r="F4536" s="2"/>
      <x:c r="G4536" s="2"/>
      <x:c r="H4536" s="2"/>
    </x:row>
    <x:row r="4537" ht="22" customHeight="1">
      <x:c r="A4537" s="2" t="n">
        <x:v>4531</x:v>
      </x:c>
      <x:c r="B4537" s="79" t="n">
        <x:v>-1.265304594482247</x:v>
      </x:c>
      <x:c r="C4537" s="46" t="n">
        <x:f>B4537^2</x:f>
        <x:v>1.6009957168178834</x:v>
      </x:c>
      <x:c r="D4537" s="47" t="n">
        <x:f>'Datos'!$B$26^3/3</x:f>
        <x:v>0.3333333333333333</x:v>
      </x:c>
      <x:c r="E4537" s="46" t="n">
        <x:f>D4537*(C4537-1)</x:f>
        <x:v>0.20033190560596115</x:v>
      </x:c>
      <x:c r="F4537" s="2"/>
      <x:c r="G4537" s="2"/>
      <x:c r="H4537" s="2"/>
    </x:row>
    <x:row r="4538" ht="22" customHeight="1">
      <x:c r="A4538" s="2" t="n">
        <x:v>4532</x:v>
      </x:c>
      <x:c r="B4538" s="79" t="n">
        <x:v>-1.1063589558849996</x:v>
      </x:c>
      <x:c r="C4538" s="46" t="n">
        <x:f>B4538^2</x:f>
        <x:v>1.2240301392669464</x:v>
      </x:c>
      <x:c r="D4538" s="47" t="n">
        <x:f>'Datos'!$B$26^3/3</x:f>
        <x:v>0.3333333333333333</x:v>
      </x:c>
      <x:c r="E4538" s="46" t="n">
        <x:f>D4538*(C4538-1)</x:f>
        <x:v>0.07467671308898212</x:v>
      </x:c>
      <x:c r="F4538" s="2"/>
      <x:c r="G4538" s="2"/>
      <x:c r="H4538" s="2"/>
    </x:row>
    <x:row r="4539" ht="22" customHeight="1">
      <x:c r="A4539" s="2" t="n">
        <x:v>4533</x:v>
      </x:c>
      <x:c r="B4539" s="79" t="n">
        <x:v>0.974813655350533</x:v>
      </x:c>
      <x:c r="C4539" s="46" t="n">
        <x:f>B4539^2</x:f>
        <x:v>0.9502616626578677</x:v>
      </x:c>
      <x:c r="D4539" s="47" t="n">
        <x:f>'Datos'!$B$26^3/3</x:f>
        <x:v>0.3333333333333333</x:v>
      </x:c>
      <x:c r="E4539" s="46" t="n">
        <x:f>D4539*(C4539-1)</x:f>
        <x:v>-0.01657944578071076</x:v>
      </x:c>
      <x:c r="F4539" s="2"/>
      <x:c r="G4539" s="2"/>
      <x:c r="H4539" s="2"/>
    </x:row>
    <x:row r="4540" ht="22" customHeight="1">
      <x:c r="A4540" s="2" t="n">
        <x:v>4534</x:v>
      </x:c>
      <x:c r="B4540" s="79" t="n">
        <x:v>-0.9988346160140615</x:v>
      </x:c>
      <x:c r="C4540" s="46" t="n">
        <x:f>B4540^2</x:f>
        <x:v>0.9976705901479578</x:v>
      </x:c>
      <x:c r="D4540" s="47" t="n">
        <x:f>'Datos'!$B$26^3/3</x:f>
        <x:v>0.3333333333333333</x:v>
      </x:c>
      <x:c r="E4540" s="46" t="n">
        <x:f>D4540*(C4540-1)</x:f>
        <x:v>-0.0007764699506807397</x:v>
      </x:c>
      <x:c r="F4540" s="2"/>
      <x:c r="G4540" s="2"/>
      <x:c r="H4540" s="2"/>
    </x:row>
    <x:row r="4541" ht="22" customHeight="1">
      <x:c r="A4541" s="2" t="n">
        <x:v>4535</x:v>
      </x:c>
      <x:c r="B4541" s="79" t="n">
        <x:v>-0.9571362719319444</x:v>
      </x:c>
      <x:c r="C4541" s="46" t="n">
        <x:f>B4541^2</x:f>
        <x:v>0.916109843047781</x:v>
      </x:c>
      <x:c r="D4541" s="47" t="n">
        <x:f>'Datos'!$B$26^3/3</x:f>
        <x:v>0.3333333333333333</x:v>
      </x:c>
      <x:c r="E4541" s="46" t="n">
        <x:f>D4541*(C4541-1)</x:f>
        <x:v>-0.02796338565073967</x:v>
      </x:c>
      <x:c r="F4541" s="2"/>
      <x:c r="G4541" s="2"/>
      <x:c r="H4541" s="2"/>
    </x:row>
    <x:row r="4542" ht="22" customHeight="1">
      <x:c r="A4542" s="2" t="n">
        <x:v>4536</x:v>
      </x:c>
      <x:c r="B4542" s="79" t="n">
        <x:v>-0.21748202218048707</x:v>
      </x:c>
      <x:c r="C4542" s="46" t="n">
        <x:f>B4542^2</x:f>
        <x:v>0.047298429971713865</x:v>
      </x:c>
      <x:c r="D4542" s="47" t="n">
        <x:f>'Datos'!$B$26^3/3</x:f>
        <x:v>0.3333333333333333</x:v>
      </x:c>
      <x:c r="E4542" s="46" t="n">
        <x:f>D4542*(C4542-1)</x:f>
        <x:v>-0.3175671900094287</x:v>
      </x:c>
      <x:c r="F4542" s="2"/>
      <x:c r="G4542" s="2"/>
      <x:c r="H4542" s="2"/>
    </x:row>
    <x:row r="4543" ht="22" customHeight="1">
      <x:c r="A4543" s="2" t="n">
        <x:v>4537</x:v>
      </x:c>
      <x:c r="B4543" s="79" t="n">
        <x:v>-0.5099551042330867</x:v>
      </x:c>
      <x:c r="C4543" s="46" t="n">
        <x:f>B4543^2</x:f>
        <x:v>0.2600542083333783</x:v>
      </x:c>
      <x:c r="D4543" s="47" t="n">
        <x:f>'Datos'!$B$26^3/3</x:f>
        <x:v>0.3333333333333333</x:v>
      </x:c>
      <x:c r="E4543" s="46" t="n">
        <x:f>D4543*(C4543-1)</x:f>
        <x:v>-0.24664859722220722</x:v>
      </x:c>
      <x:c r="F4543" s="2"/>
      <x:c r="G4543" s="2"/>
      <x:c r="H4543" s="2"/>
    </x:row>
    <x:row r="4544" ht="22" customHeight="1">
      <x:c r="A4544" s="2" t="n">
        <x:v>4538</x:v>
      </x:c>
      <x:c r="B4544" s="79" t="n">
        <x:v>-1.4310880973265923</x:v>
      </x:c>
      <x:c r="C4544" s="46" t="n">
        <x:f>B4544^2</x:f>
        <x:v>2.048013142309846</x:v>
      </x:c>
      <x:c r="D4544" s="47" t="n">
        <x:f>'Datos'!$B$26^3/3</x:f>
        <x:v>0.3333333333333333</x:v>
      </x:c>
      <x:c r="E4544" s="46" t="n">
        <x:f>D4544*(C4544-1)</x:f>
        <x:v>0.34933771410328207</x:v>
      </x:c>
      <x:c r="F4544" s="2"/>
      <x:c r="G4544" s="2"/>
      <x:c r="H4544" s="2"/>
    </x:row>
    <x:row r="4545" ht="22" customHeight="1">
      <x:c r="A4545" s="2" t="n">
        <x:v>4539</x:v>
      </x:c>
      <x:c r="B4545" s="79" t="n">
        <x:v>-0.3026966845144621</x:v>
      </x:c>
      <x:c r="C4545" s="46" t="n">
        <x:f>B4545^2</x:f>
        <x:v>0.09162528281604779</x:v>
      </x:c>
      <x:c r="D4545" s="47" t="n">
        <x:f>'Datos'!$B$26^3/3</x:f>
        <x:v>0.3333333333333333</x:v>
      </x:c>
      <x:c r="E4545" s="46" t="n">
        <x:f>D4545*(C4545-1)</x:f>
        <x:v>-0.3027915723946507</x:v>
      </x:c>
      <x:c r="F4545" s="2"/>
      <x:c r="G4545" s="2"/>
      <x:c r="H4545" s="2"/>
    </x:row>
    <x:row r="4546" ht="22" customHeight="1">
      <x:c r="A4546" s="2" t="n">
        <x:v>4540</x:v>
      </x:c>
      <x:c r="B4546" s="79" t="n">
        <x:v>0.7877067072749151</x:v>
      </x:c>
      <x:c r="C4546" s="46" t="n">
        <x:f>B4546^2</x:f>
        <x:v>0.6204818566858887</x:v>
      </x:c>
      <x:c r="D4546" s="47" t="n">
        <x:f>'Datos'!$B$26^3/3</x:f>
        <x:v>0.3333333333333333</x:v>
      </x:c>
      <x:c r="E4546" s="46" t="n">
        <x:f>D4546*(C4546-1)</x:f>
        <x:v>-0.12650604777137042</x:v>
      </x:c>
      <x:c r="F4546" s="2"/>
      <x:c r="G4546" s="2"/>
      <x:c r="H4546" s="2"/>
    </x:row>
    <x:row r="4547" ht="22" customHeight="1">
      <x:c r="A4547" s="2" t="n">
        <x:v>4541</x:v>
      </x:c>
      <x:c r="B4547" s="79" t="n">
        <x:v>-0.5833579288530637</x:v>
      </x:c>
      <x:c r="C4547" s="46" t="n">
        <x:f>B4547^2</x:f>
        <x:v>0.34030647315573614</x:v>
      </x:c>
      <x:c r="D4547" s="47" t="n">
        <x:f>'Datos'!$B$26^3/3</x:f>
        <x:v>0.3333333333333333</x:v>
      </x:c>
      <x:c r="E4547" s="46" t="n">
        <x:f>D4547*(C4547-1)</x:f>
        <x:v>-0.21989784228142129</x:v>
      </x:c>
      <x:c r="F4547" s="2"/>
      <x:c r="G4547" s="2"/>
      <x:c r="H4547" s="2"/>
    </x:row>
    <x:row r="4548" ht="22" customHeight="1">
      <x:c r="A4548" s="2" t="n">
        <x:v>4542</x:v>
      </x:c>
      <x:c r="B4548" s="79" t="n">
        <x:v>1.44279759505727</x:v>
      </x:c>
      <x:c r="C4548" s="46" t="n">
        <x:f>B4548^2</x:f>
        <x:v>2.0816649003030423</x:v>
      </x:c>
      <x:c r="D4548" s="47" t="n">
        <x:f>'Datos'!$B$26^3/3</x:f>
        <x:v>0.3333333333333333</x:v>
      </x:c>
      <x:c r="E4548" s="46" t="n">
        <x:f>D4548*(C4548-1)</x:f>
        <x:v>0.36055496676768073</x:v>
      </x:c>
      <x:c r="F4548" s="2"/>
      <x:c r="G4548" s="2"/>
      <x:c r="H4548" s="2"/>
    </x:row>
    <x:row r="4549" ht="22" customHeight="1">
      <x:c r="A4549" s="2" t="n">
        <x:v>4543</x:v>
      </x:c>
      <x:c r="B4549" s="79" t="n">
        <x:v>0.768113600704681</x:v>
      </x:c>
      <x:c r="C4549" s="46" t="n">
        <x:f>B4549^2</x:f>
        <x:v>0.5899985035875102</x:v>
      </x:c>
      <x:c r="D4549" s="47" t="n">
        <x:f>'Datos'!$B$26^3/3</x:f>
        <x:v>0.3333333333333333</x:v>
      </x:c>
      <x:c r="E4549" s="46" t="n">
        <x:f>D4549*(C4549-1)</x:f>
        <x:v>-0.13666716547082994</x:v>
      </x:c>
      <x:c r="F4549" s="2"/>
      <x:c r="G4549" s="2"/>
      <x:c r="H4549" s="2"/>
    </x:row>
    <x:row r="4550" ht="22" customHeight="1">
      <x:c r="A4550" s="2" t="n">
        <x:v>4544</x:v>
      </x:c>
      <x:c r="B4550" s="79" t="n">
        <x:v>-1.8290294970313425</x:v>
      </x:c>
      <x:c r="C4550" s="46" t="n">
        <x:f>B4550^2</x:f>
        <x:v>3.345348901010726</x:v>
      </x:c>
      <x:c r="D4550" s="47" t="n">
        <x:f>'Datos'!$B$26^3/3</x:f>
        <x:v>0.3333333333333333</x:v>
      </x:c>
      <x:c r="E4550" s="46" t="n">
        <x:f>D4550*(C4550-1)</x:f>
        <x:v>0.7817829670035753</x:v>
      </x:c>
      <x:c r="F4550" s="2"/>
      <x:c r="G4550" s="2"/>
      <x:c r="H4550" s="2"/>
    </x:row>
    <x:row r="4551" ht="22" customHeight="1">
      <x:c r="A4551" s="2" t="n">
        <x:v>4545</x:v>
      </x:c>
      <x:c r="B4551" s="79" t="n">
        <x:v>0.3037834184855532</x:v>
      </x:c>
      <x:c r="C4551" s="46" t="n">
        <x:f>B4551^2</x:f>
        <x:v>0.09228436534676873</x:v>
      </x:c>
      <x:c r="D4551" s="47" t="n">
        <x:f>'Datos'!$B$26^3/3</x:f>
        <x:v>0.3333333333333333</x:v>
      </x:c>
      <x:c r="E4551" s="46" t="n">
        <x:f>D4551*(C4551-1)</x:f>
        <x:v>-0.30257187821774373</x:v>
      </x:c>
      <x:c r="F4551" s="2"/>
      <x:c r="G4551" s="2"/>
      <x:c r="H4551" s="2"/>
    </x:row>
    <x:row r="4552" ht="22" customHeight="1">
      <x:c r="A4552" s="2" t="n">
        <x:v>4546</x:v>
      </x:c>
      <x:c r="B4552" s="79" t="n">
        <x:v>0.18528167117537866</x:v>
      </x:c>
      <x:c r="C4552" s="46" t="n">
        <x:f>B4552^2</x:f>
        <x:v>0.03432929767354115</x:v>
      </x:c>
      <x:c r="D4552" s="47" t="n">
        <x:f>'Datos'!$B$26^3/3</x:f>
        <x:v>0.3333333333333333</x:v>
      </x:c>
      <x:c r="E4552" s="46" t="n">
        <x:f>D4552*(C4552-1)</x:f>
        <x:v>-0.32189023410881956</x:v>
      </x:c>
      <x:c r="F4552" s="2"/>
      <x:c r="G4552" s="2"/>
      <x:c r="H4552" s="2"/>
    </x:row>
    <x:row r="4553" ht="22" customHeight="1">
      <x:c r="A4553" s="2" t="n">
        <x:v>4547</x:v>
      </x:c>
      <x:c r="B4553" s="79" t="n">
        <x:v>1.055976274326647</x:v>
      </x:c>
      <x:c r="C4553" s="46" t="n">
        <x:f>B4553^2</x:f>
        <x:v>1.115085891940786</x:v>
      </x:c>
      <x:c r="D4553" s="47" t="n">
        <x:f>'Datos'!$B$26^3/3</x:f>
        <x:v>0.3333333333333333</x:v>
      </x:c>
      <x:c r="E4553" s="46" t="n">
        <x:f>D4553*(C4553-1)</x:f>
        <x:v>0.038361963980261995</x:v>
      </x:c>
      <x:c r="F4553" s="2"/>
      <x:c r="G4553" s="2"/>
      <x:c r="H4553" s="2"/>
    </x:row>
    <x:row r="4554" ht="22" customHeight="1">
      <x:c r="A4554" s="2" t="n">
        <x:v>4548</x:v>
      </x:c>
      <x:c r="B4554" s="79" t="n">
        <x:v>-1.423257634508497</x:v>
      </x:c>
      <x:c r="C4554" s="46" t="n">
        <x:f>B4554^2</x:f>
        <x:v>2.0256622941867226</x:v>
      </x:c>
      <x:c r="D4554" s="47" t="n">
        <x:f>'Datos'!$B$26^3/3</x:f>
        <x:v>0.3333333333333333</x:v>
      </x:c>
      <x:c r="E4554" s="46" t="n">
        <x:f>D4554*(C4554-1)</x:f>
        <x:v>0.3418874313955742</x:v>
      </x:c>
      <x:c r="F4554" s="2"/>
      <x:c r="G4554" s="2"/>
      <x:c r="H4554" s="2"/>
    </x:row>
    <x:row r="4555" ht="22" customHeight="1">
      <x:c r="A4555" s="2" t="n">
        <x:v>4549</x:v>
      </x:c>
      <x:c r="B4555" s="79" t="n">
        <x:v>-0.31437538605704746</x:v>
      </x:c>
      <x:c r="C4555" s="46" t="n">
        <x:f>B4555^2</x:f>
        <x:v>0.09883188335851763</x:v>
      </x:c>
      <x:c r="D4555" s="47" t="n">
        <x:f>'Datos'!$B$26^3/3</x:f>
        <x:v>0.3333333333333333</x:v>
      </x:c>
      <x:c r="E4555" s="46" t="n">
        <x:f>D4555*(C4555-1)</x:f>
        <x:v>-0.30038937221382744</x:v>
      </x:c>
      <x:c r="F4555" s="2"/>
      <x:c r="G4555" s="2"/>
      <x:c r="H4555" s="2"/>
    </x:row>
    <x:row r="4556" ht="22" customHeight="1">
      <x:c r="A4556" s="2" t="n">
        <x:v>4550</x:v>
      </x:c>
      <x:c r="B4556" s="79" t="n">
        <x:v>-0.15431097884412445</x:v>
      </x:c>
      <x:c r="C4556" s="46" t="n">
        <x:f>B4556^2</x:f>
        <x:v>0.023811878191831823</x:v>
      </x:c>
      <x:c r="D4556" s="47" t="n">
        <x:f>'Datos'!$B$26^3/3</x:f>
        <x:v>0.3333333333333333</x:v>
      </x:c>
      <x:c r="E4556" s="46" t="n">
        <x:f>D4556*(C4556-1)</x:f>
        <x:v>-0.3253960406027227</x:v>
      </x:c>
      <x:c r="F4556" s="2"/>
      <x:c r="G4556" s="2"/>
      <x:c r="H4556" s="2"/>
    </x:row>
    <x:row r="4557" ht="22" customHeight="1">
      <x:c r="A4557" s="2" t="n">
        <x:v>4551</x:v>
      </x:c>
      <x:c r="B4557" s="79" t="n">
        <x:v>1.8950606431562091</x:v>
      </x:c>
      <x:c r="C4557" s="46" t="n">
        <x:f>B4557^2</x:f>
        <x:v>3.5912548412396252</x:v>
      </x:c>
      <x:c r="D4557" s="47" t="n">
        <x:f>'Datos'!$B$26^3/3</x:f>
        <x:v>0.3333333333333333</x:v>
      </x:c>
      <x:c r="E4557" s="46" t="n">
        <x:f>D4557*(C4557-1)</x:f>
        <x:v>0.8637516137465417</x:v>
      </x:c>
      <x:c r="F4557" s="2"/>
      <x:c r="G4557" s="2"/>
      <x:c r="H4557" s="2"/>
    </x:row>
    <x:row r="4558" ht="22" customHeight="1">
      <x:c r="A4558" s="2" t="n">
        <x:v>4552</x:v>
      </x:c>
      <x:c r="B4558" s="79" t="n">
        <x:v>-0.9517726477624546</x:v>
      </x:c>
      <x:c r="C4558" s="46" t="n">
        <x:f>B4558^2</x:f>
        <x:v>0.9058711730287535</x:v>
      </x:c>
      <x:c r="D4558" s="47" t="n">
        <x:f>'Datos'!$B$26^3/3</x:f>
        <x:v>0.3333333333333333</x:v>
      </x:c>
      <x:c r="E4558" s="46" t="n">
        <x:f>D4558*(C4558-1)</x:f>
        <x:v>-0.031376275657082155</x:v>
      </x:c>
      <x:c r="F4558" s="2"/>
      <x:c r="G4558" s="2"/>
      <x:c r="H4558" s="2"/>
    </x:row>
    <x:row r="4559" ht="22" customHeight="1">
      <x:c r="A4559" s="2" t="n">
        <x:v>4553</x:v>
      </x:c>
      <x:c r="B4559" s="79" t="n">
        <x:v>-0.2714715409109983</x:v>
      </x:c>
      <x:c r="C4559" s="46" t="n">
        <x:f>B4559^2</x:f>
        <x:v>0.07369679752459182</x:v>
      </x:c>
      <x:c r="D4559" s="47" t="n">
        <x:f>'Datos'!$B$26^3/3</x:f>
        <x:v>0.3333333333333333</x:v>
      </x:c>
      <x:c r="E4559" s="46" t="n">
        <x:f>D4559*(C4559-1)</x:f>
        <x:v>-0.30876773415846936</x:v>
      </x:c>
      <x:c r="F4559" s="2"/>
      <x:c r="G4559" s="2"/>
      <x:c r="H4559" s="2"/>
    </x:row>
    <x:row r="4560" ht="22" customHeight="1">
      <x:c r="A4560" s="2" t="n">
        <x:v>4554</x:v>
      </x:c>
      <x:c r="B4560" s="79" t="n">
        <x:v>-0.40718685273718014</x:v>
      </x:c>
      <x:c r="C4560" s="46" t="n">
        <x:f>B4560^2</x:f>
        <x:v>0.16580113304201002</x:v>
      </x:c>
      <x:c r="D4560" s="47" t="n">
        <x:f>'Datos'!$B$26^3/3</x:f>
        <x:v>0.3333333333333333</x:v>
      </x:c>
      <x:c r="E4560" s="46" t="n">
        <x:f>D4560*(C4560-1)</x:f>
        <x:v>-0.2780662889859966</x:v>
      </x:c>
      <x:c r="F4560" s="2"/>
      <x:c r="G4560" s="2"/>
      <x:c r="H4560" s="2"/>
    </x:row>
    <x:row r="4561" ht="22" customHeight="1">
      <x:c r="A4561" s="2" t="n">
        <x:v>4555</x:v>
      </x:c>
      <x:c r="B4561" s="79" t="n">
        <x:v>1.0175568215129907</x:v>
      </x:c>
      <x:c r="C4561" s="46" t="n">
        <x:f>B4561^2</x:f>
        <x:v>1.0354218850076202</x:v>
      </x:c>
      <x:c r="D4561" s="47" t="n">
        <x:f>'Datos'!$B$26^3/3</x:f>
        <x:v>0.3333333333333333</x:v>
      </x:c>
      <x:c r="E4561" s="46" t="n">
        <x:f>D4561*(C4561-1)</x:f>
        <x:v>0.011807295002540075</x:v>
      </x:c>
      <x:c r="F4561" s="2"/>
      <x:c r="G4561" s="2"/>
      <x:c r="H4561" s="2"/>
    </x:row>
    <x:row r="4562" ht="22" customHeight="1">
      <x:c r="A4562" s="2" t="n">
        <x:v>4556</x:v>
      </x:c>
      <x:c r="B4562" s="79" t="n">
        <x:v>-0.5071575318293756</x:v>
      </x:c>
      <x:c r="C4562" s="46" t="n">
        <x:f>B4562^2</x:f>
        <x:v>0.25720876209126414</x:v>
      </x:c>
      <x:c r="D4562" s="47" t="n">
        <x:f>'Datos'!$B$26^3/3</x:f>
        <x:v>0.3333333333333333</x:v>
      </x:c>
      <x:c r="E4562" s="46" t="n">
        <x:f>D4562*(C4562-1)</x:f>
        <x:v>-0.24759707930291192</x:v>
      </x:c>
      <x:c r="F4562" s="2"/>
      <x:c r="G4562" s="2"/>
      <x:c r="H4562" s="2"/>
    </x:row>
    <x:row r="4563" ht="22" customHeight="1">
      <x:c r="A4563" s="2" t="n">
        <x:v>4557</x:v>
      </x:c>
      <x:c r="B4563" s="79" t="n">
        <x:v>0.658458644740745</x:v>
      </x:c>
      <x:c r="C4563" s="46" t="n">
        <x:f>B4563^2</x:f>
        <x:v>0.43356778683381864</x:v>
      </x:c>
      <x:c r="D4563" s="47" t="n">
        <x:f>'Datos'!$B$26^3/3</x:f>
        <x:v>0.3333333333333333</x:v>
      </x:c>
      <x:c r="E4563" s="46" t="n">
        <x:f>D4563*(C4563-1)</x:f>
        <x:v>-0.18881073772206047</x:v>
      </x:c>
      <x:c r="F4563" s="2"/>
      <x:c r="G4563" s="2"/>
      <x:c r="H4563" s="2"/>
    </x:row>
    <x:row r="4564" ht="22" customHeight="1">
      <x:c r="A4564" s="2" t="n">
        <x:v>4558</x:v>
      </x:c>
      <x:c r="B4564" s="79" t="n">
        <x:v>0.14335341098320462</x:v>
      </x:c>
      <x:c r="C4564" s="46" t="n">
        <x:f>B4564^2</x:f>
        <x:v>0.02055020044051957</x:v>
      </x:c>
      <x:c r="D4564" s="47" t="n">
        <x:f>'Datos'!$B$26^3/3</x:f>
        <x:v>0.3333333333333333</x:v>
      </x:c>
      <x:c r="E4564" s="46" t="n">
        <x:f>D4564*(C4564-1)</x:f>
        <x:v>-0.3264832665198268</x:v>
      </x:c>
      <x:c r="F4564" s="2"/>
      <x:c r="G4564" s="2"/>
      <x:c r="H4564" s="2"/>
    </x:row>
    <x:row r="4565" ht="22" customHeight="1">
      <x:c r="A4565" s="2" t="n">
        <x:v>4559</x:v>
      </x:c>
      <x:c r="B4565" s="79" t="n">
        <x:v>-1.8679513981817268</x:v>
      </x:c>
      <x:c r="C4565" s="46" t="n">
        <x:f>B4565^2</x:f>
        <x:v>3.4892424259690684</x:v>
      </x:c>
      <x:c r="D4565" s="47" t="n">
        <x:f>'Datos'!$B$26^3/3</x:f>
        <x:v>0.3333333333333333</x:v>
      </x:c>
      <x:c r="E4565" s="46" t="n">
        <x:f>D4565*(C4565-1)</x:f>
        <x:v>0.8297474753230227</x:v>
      </x:c>
      <x:c r="F4565" s="2"/>
      <x:c r="G4565" s="2"/>
      <x:c r="H4565" s="2"/>
    </x:row>
    <x:row r="4566" ht="22" customHeight="1">
      <x:c r="A4566" s="2" t="n">
        <x:v>4560</x:v>
      </x:c>
      <x:c r="B4566" s="79" t="n">
        <x:v>-0.050181740121395445</x:v>
      </x:c>
      <x:c r="C4566" s="46" t="n">
        <x:f>B4566^2</x:f>
        <x:v>0.0025182070416112693</x:v>
      </x:c>
      <x:c r="D4566" s="47" t="n">
        <x:f>'Datos'!$B$26^3/3</x:f>
        <x:v>0.3333333333333333</x:v>
      </x:c>
      <x:c r="E4566" s="46" t="n">
        <x:f>D4566*(C4566-1)</x:f>
        <x:v>-0.33249393098612956</x:v>
      </x:c>
      <x:c r="F4566" s="2"/>
      <x:c r="G4566" s="2"/>
      <x:c r="H4566" s="2"/>
    </x:row>
    <x:row r="4567" ht="22" customHeight="1">
      <x:c r="A4567" s="2" t="n">
        <x:v>4561</x:v>
      </x:c>
      <x:c r="B4567" s="79" t="n">
        <x:v>0.06335428724774941</x:v>
      </x:c>
      <x:c r="C4567" s="46" t="n">
        <x:f>B4567^2</x:f>
        <x:v>0.004013765712670344</x:v>
      </x:c>
      <x:c r="D4567" s="47" t="n">
        <x:f>'Datos'!$B$26^3/3</x:f>
        <x:v>0.3333333333333333</x:v>
      </x:c>
      <x:c r="E4567" s="46" t="n">
        <x:f>D4567*(C4567-1)</x:f>
        <x:v>-0.3319954114291099</x:v>
      </x:c>
      <x:c r="F4567" s="2"/>
      <x:c r="G4567" s="2"/>
      <x:c r="H4567" s="2"/>
    </x:row>
    <x:row r="4568" ht="22" customHeight="1">
      <x:c r="A4568" s="2" t="n">
        <x:v>4562</x:v>
      </x:c>
      <x:c r="B4568" s="79" t="n">
        <x:v>1.0540001496593554</x:v>
      </x:c>
      <x:c r="C4568" s="46" t="n">
        <x:f>B4568^2</x:f>
        <x:v>1.1109163154819435</x:v>
      </x:c>
      <x:c r="D4568" s="47" t="n">
        <x:f>'Datos'!$B$26^3/3</x:f>
        <x:v>0.3333333333333333</x:v>
      </x:c>
      <x:c r="E4568" s="46" t="n">
        <x:f>D4568*(C4568-1)</x:f>
        <x:v>0.03697210516064782</x:v>
      </x:c>
      <x:c r="F4568" s="2"/>
      <x:c r="G4568" s="2"/>
      <x:c r="H4568" s="2"/>
    </x:row>
    <x:row r="4569" ht="22" customHeight="1">
      <x:c r="A4569" s="2" t="n">
        <x:v>4563</x:v>
      </x:c>
      <x:c r="B4569" s="79" t="n">
        <x:v>0.5781610422513819</x:v>
      </x:c>
      <x:c r="C4569" s="46" t="n">
        <x:f>B4569^2</x:f>
        <x:v>0.33427019077720416</x:v>
      </x:c>
      <x:c r="D4569" s="47" t="n">
        <x:f>'Datos'!$B$26^3/3</x:f>
        <x:v>0.3333333333333333</x:v>
      </x:c>
      <x:c r="E4569" s="46" t="n">
        <x:f>D4569*(C4569-1)</x:f>
        <x:v>-0.22190993640759862</x:v>
      </x:c>
      <x:c r="F4569" s="2"/>
      <x:c r="G4569" s="2"/>
      <x:c r="H4569" s="2"/>
    </x:row>
    <x:row r="4570" ht="22" customHeight="1">
      <x:c r="A4570" s="2" t="n">
        <x:v>4564</x:v>
      </x:c>
      <x:c r="B4570" s="79" t="n">
        <x:v>0.09152573178850636</x:v>
      </x:c>
      <x:c r="C4570" s="46" t="n">
        <x:f>B4570^2</x:f>
        <x:v>0.008376959579421603</x:v>
      </x:c>
      <x:c r="D4570" s="47" t="n">
        <x:f>'Datos'!$B$26^3/3</x:f>
        <x:v>0.3333333333333333</x:v>
      </x:c>
      <x:c r="E4570" s="46" t="n">
        <x:f>D4570*(C4570-1)</x:f>
        <x:v>-0.3305410134735261</x:v>
      </x:c>
      <x:c r="F4570" s="2"/>
      <x:c r="G4570" s="2"/>
      <x:c r="H4570" s="2"/>
    </x:row>
    <x:row r="4571" ht="22" customHeight="1">
      <x:c r="A4571" s="2" t="n">
        <x:v>4565</x:v>
      </x:c>
      <x:c r="B4571" s="79" t="n">
        <x:v>-0.9951805269281665</x:v>
      </x:c>
      <x:c r="C4571" s="46" t="n">
        <x:f>B4571^2</x:f>
        <x:v>0.9903842811770232</x:v>
      </x:c>
      <x:c r="D4571" s="47" t="n">
        <x:f>'Datos'!$B$26^3/3</x:f>
        <x:v>0.3333333333333333</x:v>
      </x:c>
      <x:c r="E4571" s="46" t="n">
        <x:f>D4571*(C4571-1)</x:f>
        <x:v>-0.0032052396076589496</x:v>
      </x:c>
      <x:c r="F4571" s="2"/>
      <x:c r="G4571" s="2"/>
      <x:c r="H4571" s="2"/>
    </x:row>
    <x:row r="4572" ht="22" customHeight="1">
      <x:c r="A4572" s="2" t="n">
        <x:v>4566</x:v>
      </x:c>
      <x:c r="B4572" s="79" t="n">
        <x:v>-0.8708122453651244</x:v>
      </x:c>
      <x:c r="C4572" s="46" t="n">
        <x:f>B4572^2</x:f>
        <x:v>0.7583139666778496</x:v>
      </x:c>
      <x:c r="D4572" s="47" t="n">
        <x:f>'Datos'!$B$26^3/3</x:f>
        <x:v>0.3333333333333333</x:v>
      </x:c>
      <x:c r="E4572" s="46" t="n">
        <x:f>D4572*(C4572-1)</x:f>
        <x:v>-0.08056201110738348</x:v>
      </x:c>
      <x:c r="F4572" s="2"/>
      <x:c r="G4572" s="2"/>
      <x:c r="H4572" s="2"/>
    </x:row>
    <x:row r="4573" ht="22" customHeight="1">
      <x:c r="A4573" s="2" t="n">
        <x:v>4567</x:v>
      </x:c>
      <x:c r="B4573" s="79" t="n">
        <x:v>0.7283975524047152</x:v>
      </x:c>
      <x:c r="C4573" s="46" t="n">
        <x:f>B4573^2</x:f>
        <x:v>0.5305629943491798</x:v>
      </x:c>
      <x:c r="D4573" s="47" t="n">
        <x:f>'Datos'!$B$26^3/3</x:f>
        <x:v>0.3333333333333333</x:v>
      </x:c>
      <x:c r="E4573" s="46" t="n">
        <x:f>D4573*(C4573-1)</x:f>
        <x:v>-0.15647900188360675</x:v>
      </x:c>
      <x:c r="F4573" s="2"/>
      <x:c r="G4573" s="2"/>
      <x:c r="H4573" s="2"/>
    </x:row>
    <x:row r="4574" ht="22" customHeight="1">
      <x:c r="A4574" s="2" t="n">
        <x:v>4568</x:v>
      </x:c>
      <x:c r="B4574" s="79" t="n">
        <x:v>-0.29280734721897816</x:v>
      </x:c>
      <x:c r="C4574" s="46" t="n">
        <x:f>B4574^2</x:f>
        <x:v>0.08573614258541525</x:v>
      </x:c>
      <x:c r="D4574" s="47" t="n">
        <x:f>'Datos'!$B$26^3/3</x:f>
        <x:v>0.3333333333333333</x:v>
      </x:c>
      <x:c r="E4574" s="46" t="n">
        <x:f>D4574*(C4574-1)</x:f>
        <x:v>-0.3047546191381949</x:v>
      </x:c>
      <x:c r="F4574" s="2"/>
      <x:c r="G4574" s="2"/>
      <x:c r="H4574" s="2"/>
    </x:row>
    <x:row r="4575" ht="22" customHeight="1">
      <x:c r="A4575" s="2" t="n">
        <x:v>4569</x:v>
      </x:c>
      <x:c r="B4575" s="79" t="n">
        <x:v>1.9169459850612665</x:v>
      </x:c>
      <x:c r="C4575" s="46" t="n">
        <x:f>B4575^2</x:f>
        <x:v>3.6746819096425094</x:v>
      </x:c>
      <x:c r="D4575" s="47" t="n">
        <x:f>'Datos'!$B$26^3/3</x:f>
        <x:v>0.3333333333333333</x:v>
      </x:c>
      <x:c r="E4575" s="46" t="n">
        <x:f>D4575*(C4575-1)</x:f>
        <x:v>0.8915606365475031</x:v>
      </x:c>
      <x:c r="F4575" s="2"/>
      <x:c r="G4575" s="2"/>
      <x:c r="H4575" s="2"/>
    </x:row>
    <x:row r="4576" ht="22" customHeight="1">
      <x:c r="A4576" s="2" t="n">
        <x:v>4570</x:v>
      </x:c>
      <x:c r="B4576" s="79" t="n">
        <x:v>-0.10940303048193442</x:v>
      </x:c>
      <x:c r="C4576" s="46" t="n">
        <x:f>B4576^2</x:f>
        <x:v>0.011969023078631073</x:v>
      </x:c>
      <x:c r="D4576" s="47" t="n">
        <x:f>'Datos'!$B$26^3/3</x:f>
        <x:v>0.3333333333333333</x:v>
      </x:c>
      <x:c r="E4576" s="46" t="n">
        <x:f>D4576*(C4576-1)</x:f>
        <x:v>-0.3293436589737896</x:v>
      </x:c>
      <x:c r="F4576" s="2"/>
      <x:c r="G4576" s="2"/>
      <x:c r="H4576" s="2"/>
    </x:row>
    <x:row r="4577" ht="22" customHeight="1">
      <x:c r="A4577" s="2" t="n">
        <x:v>4571</x:v>
      </x:c>
      <x:c r="B4577" s="79" t="n">
        <x:v>-0.7599295889541966</x:v>
      </x:c>
      <x:c r="C4577" s="46" t="n">
        <x:f>B4577^2</x:f>
        <x:v>0.5774929801680942</x:v>
      </x:c>
      <x:c r="D4577" s="47" t="n">
        <x:f>'Datos'!$B$26^3/3</x:f>
        <x:v>0.3333333333333333</x:v>
      </x:c>
      <x:c r="E4577" s="46" t="n">
        <x:f>D4577*(C4577-1)</x:f>
        <x:v>-0.1408356732773019</x:v>
      </x:c>
      <x:c r="F4577" s="2"/>
      <x:c r="G4577" s="2"/>
      <x:c r="H4577" s="2"/>
    </x:row>
    <x:row r="4578" ht="22" customHeight="1">
      <x:c r="A4578" s="2" t="n">
        <x:v>4572</x:v>
      </x:c>
      <x:c r="B4578" s="79" t="n">
        <x:v>0.34036657850436863</x:v>
      </x:c>
      <x:c r="C4578" s="46" t="n">
        <x:f>B4578^2</x:f>
        <x:v>0.11584940776277053</x:v>
      </x:c>
      <x:c r="D4578" s="47" t="n">
        <x:f>'Datos'!$B$26^3/3</x:f>
        <x:v>0.3333333333333333</x:v>
      </x:c>
      <x:c r="E4578" s="46" t="n">
        <x:f>D4578*(C4578-1)</x:f>
        <x:v>-0.2947168640790765</x:v>
      </x:c>
      <x:c r="F4578" s="2"/>
      <x:c r="G4578" s="2"/>
      <x:c r="H4578" s="2"/>
    </x:row>
    <x:row r="4579" ht="22" customHeight="1">
      <x:c r="A4579" s="2" t="n">
        <x:v>4573</x:v>
      </x:c>
      <x:c r="B4579" s="79" t="n">
        <x:v>0.1902047254730048</x:v>
      </x:c>
      <x:c r="C4579" s="46" t="n">
        <x:f>B4579^2</x:f>
        <x:v>0.03617783759226112</x:v>
      </x:c>
      <x:c r="D4579" s="47" t="n">
        <x:f>'Datos'!$B$26^3/3</x:f>
        <x:v>0.3333333333333333</x:v>
      </x:c>
      <x:c r="E4579" s="46" t="n">
        <x:f>D4579*(C4579-1)</x:f>
        <x:v>-0.3212740541359129</x:v>
      </x:c>
      <x:c r="F4579" s="2"/>
      <x:c r="G4579" s="2"/>
      <x:c r="H4579" s="2"/>
    </x:row>
    <x:row r="4580" ht="22" customHeight="1">
      <x:c r="A4580" s="2" t="n">
        <x:v>4574</x:v>
      </x:c>
      <x:c r="B4580" s="79" t="n">
        <x:v>-0.806339491284102</x:v>
      </x:c>
      <x:c r="C4580" s="46" t="n">
        <x:f>B4580^2</x:f>
        <x:v>0.6501833752043044</x:v>
      </x:c>
      <x:c r="D4580" s="47" t="n">
        <x:f>'Datos'!$B$26^3/3</x:f>
        <x:v>0.3333333333333333</x:v>
      </x:c>
      <x:c r="E4580" s="46" t="n">
        <x:f>D4580*(C4580-1)</x:f>
        <x:v>-0.1166055415985652</x:v>
      </x:c>
      <x:c r="F4580" s="2"/>
      <x:c r="G4580" s="2"/>
      <x:c r="H4580" s="2"/>
    </x:row>
    <x:row r="4581" ht="22" customHeight="1">
      <x:c r="A4581" s="2" t="n">
        <x:v>4575</x:v>
      </x:c>
      <x:c r="B4581" s="79" t="n">
        <x:v>0.37570243443671214</x:v>
      </x:c>
      <x:c r="C4581" s="46" t="n">
        <x:f>B4581^2</x:f>
        <x:v>0.141152319241672</x:v>
      </x:c>
      <x:c r="D4581" s="47" t="n">
        <x:f>'Datos'!$B$26^3/3</x:f>
        <x:v>0.3333333333333333</x:v>
      </x:c>
      <x:c r="E4581" s="46" t="n">
        <x:f>D4581*(C4581-1)</x:f>
        <x:v>-0.286282560252776</x:v>
      </x:c>
      <x:c r="F4581" s="2"/>
      <x:c r="G4581" s="2"/>
      <x:c r="H4581" s="2"/>
    </x:row>
    <x:row r="4582" ht="22" customHeight="1">
      <x:c r="A4582" s="2" t="n">
        <x:v>4576</x:v>
      </x:c>
      <x:c r="B4582" s="79" t="n">
        <x:v>0.9553477087164072</x:v>
      </x:c>
      <x:c r="C4582" s="46" t="n">
        <x:f>B4582^2</x:f>
        <x:v>0.9126892445496891</x:v>
      </x:c>
      <x:c r="D4582" s="47" t="n">
        <x:f>'Datos'!$B$26^3/3</x:f>
        <x:v>0.3333333333333333</x:v>
      </x:c>
      <x:c r="E4582" s="46" t="n">
        <x:f>D4582*(C4582-1)</x:f>
        <x:v>-0.02910358515010362</x:v>
      </x:c>
      <x:c r="F4582" s="2"/>
      <x:c r="G4582" s="2"/>
      <x:c r="H4582" s="2"/>
    </x:row>
    <x:row r="4583" ht="22" customHeight="1">
      <x:c r="A4583" s="2" t="n">
        <x:v>4577</x:v>
      </x:c>
      <x:c r="B4583" s="79" t="n">
        <x:v>0.2693370927030958</x:v>
      </x:c>
      <x:c r="C4583" s="46" t="n">
        <x:f>B4583^2</x:f>
        <x:v>0.07254246950575602</x:v>
      </x:c>
      <x:c r="D4583" s="47" t="n">
        <x:f>'Datos'!$B$26^3/3</x:f>
        <x:v>0.3333333333333333</x:v>
      </x:c>
      <x:c r="E4583" s="46" t="n">
        <x:f>D4583*(C4583-1)</x:f>
        <x:v>-0.309152510164748</x:v>
      </x:c>
      <x:c r="F4583" s="2"/>
      <x:c r="G4583" s="2"/>
      <x:c r="H4583" s="2"/>
    </x:row>
    <x:row r="4584" ht="22" customHeight="1">
      <x:c r="A4584" s="2" t="n">
        <x:v>4578</x:v>
      </x:c>
      <x:c r="B4584" s="79" t="n">
        <x:v>-1.1806876045707029</x:v>
      </x:c>
      <x:c r="C4584" s="46" t="n">
        <x:f>B4584^2</x:f>
        <x:v>1.3940232195869044</x:v>
      </x:c>
      <x:c r="D4584" s="47" t="n">
        <x:f>'Datos'!$B$26^3/3</x:f>
        <x:v>0.3333333333333333</x:v>
      </x:c>
      <x:c r="E4584" s="46" t="n">
        <x:f>D4584*(C4584-1)</x:f>
        <x:v>0.13134107319563482</x:v>
      </x:c>
      <x:c r="F4584" s="2"/>
      <x:c r="G4584" s="2"/>
      <x:c r="H4584" s="2"/>
    </x:row>
    <x:row r="4585" ht="22" customHeight="1">
      <x:c r="A4585" s="2" t="n">
        <x:v>4579</x:v>
      </x:c>
      <x:c r="B4585" s="79" t="n">
        <x:v>0.008970584304394864</x:v>
      </x:c>
      <x:c r="C4585" s="46" t="n">
        <x:f>B4585^2</x:f>
        <x:v>0.00008047138276225548</x:v>
      </x:c>
      <x:c r="D4585" s="47" t="n">
        <x:f>'Datos'!$B$26^3/3</x:f>
        <x:v>0.3333333333333333</x:v>
      </x:c>
      <x:c r="E4585" s="46" t="n">
        <x:f>D4585*(C4585-1)</x:f>
        <x:v>-0.33330650953907925</x:v>
      </x:c>
      <x:c r="F4585" s="2"/>
      <x:c r="G4585" s="2"/>
      <x:c r="H4585" s="2"/>
    </x:row>
    <x:row r="4586" ht="22" customHeight="1">
      <x:c r="A4586" s="2" t="n">
        <x:v>4580</x:v>
      </x:c>
      <x:c r="B4586" s="79" t="n">
        <x:v>0.16709794488356536</x:v>
      </x:c>
      <x:c r="C4586" s="46" t="n">
        <x:f>B4586^2</x:f>
        <x:v>0.027921723184311045</x:v>
      </x:c>
      <x:c r="D4586" s="47" t="n">
        <x:f>'Datos'!$B$26^3/3</x:f>
        <x:v>0.3333333333333333</x:v>
      </x:c>
      <x:c r="E4586" s="46" t="n">
        <x:f>D4586*(C4586-1)</x:f>
        <x:v>-0.32402609227189627</x:v>
      </x:c>
      <x:c r="F4586" s="2"/>
      <x:c r="G4586" s="2"/>
      <x:c r="H4586" s="2"/>
    </x:row>
    <x:row r="4587" ht="22" customHeight="1">
      <x:c r="A4587" s="2" t="n">
        <x:v>4581</x:v>
      </x:c>
      <x:c r="B4587" s="79" t="n">
        <x:v>0.7372261639163531</x:v>
      </x:c>
      <x:c r="C4587" s="46" t="n">
        <x:f>B4587^2</x:f>
        <x:v>0.5435024167628215</x:v>
      </x:c>
      <x:c r="D4587" s="47" t="n">
        <x:f>'Datos'!$B$26^3/3</x:f>
        <x:v>0.3333333333333333</x:v>
      </x:c>
      <x:c r="E4587" s="46" t="n">
        <x:f>D4587*(C4587-1)</x:f>
        <x:v>-0.1521658610790595</x:v>
      </x:c>
      <x:c r="F4587" s="2"/>
      <x:c r="G4587" s="2"/>
      <x:c r="H4587" s="2"/>
    </x:row>
    <x:row r="4588" ht="22" customHeight="1">
      <x:c r="A4588" s="2" t="n">
        <x:v>4582</x:v>
      </x:c>
      <x:c r="B4588" s="79" t="n">
        <x:v>1.3625723934619935</x:v>
      </x:c>
      <x:c r="C4588" s="46" t="n">
        <x:f>B4588^2</x:f>
        <x:v>1.8566035274247457</x:v>
      </x:c>
      <x:c r="D4588" s="47" t="n">
        <x:f>'Datos'!$B$26^3/3</x:f>
        <x:v>0.3333333333333333</x:v>
      </x:c>
      <x:c r="E4588" s="46" t="n">
        <x:f>D4588*(C4588-1)</x:f>
        <x:v>0.28553450914158185</x:v>
      </x:c>
      <x:c r="F4588" s="2"/>
      <x:c r="G4588" s="2"/>
      <x:c r="H4588" s="2"/>
    </x:row>
    <x:row r="4589" ht="22" customHeight="1">
      <x:c r="A4589" s="2" t="n">
        <x:v>4583</x:v>
      </x:c>
      <x:c r="B4589" s="79" t="n">
        <x:v>-0.33900134642335084</x:v>
      </x:c>
      <x:c r="C4589" s="46" t="n">
        <x:f>B4589^2</x:f>
        <x:v>0.11492191287684472</x:v>
      </x:c>
      <x:c r="D4589" s="47" t="n">
        <x:f>'Datos'!$B$26^3/3</x:f>
        <x:v>0.3333333333333333</x:v>
      </x:c>
      <x:c r="E4589" s="46" t="n">
        <x:f>D4589*(C4589-1)</x:f>
        <x:v>-0.29502602904105174</x:v>
      </x:c>
      <x:c r="F4589" s="2"/>
      <x:c r="G4589" s="2"/>
      <x:c r="H4589" s="2"/>
    </x:row>
    <x:row r="4590" ht="22" customHeight="1">
      <x:c r="A4590" s="2" t="n">
        <x:v>4584</x:v>
      </x:c>
      <x:c r="B4590" s="79" t="n">
        <x:v>1.0345048250801114</x:v>
      </x:c>
      <x:c r="C4590" s="46" t="n">
        <x:f>B4590^2</x:f>
        <x:v>1.070200233114032</x:v>
      </x:c>
      <x:c r="D4590" s="47" t="n">
        <x:f>'Datos'!$B$26^3/3</x:f>
        <x:v>0.3333333333333333</x:v>
      </x:c>
      <x:c r="E4590" s="46" t="n">
        <x:f>D4590*(C4590-1)</x:f>
        <x:v>0.023400077704677297</x:v>
      </x:c>
      <x:c r="F4590" s="2"/>
      <x:c r="G4590" s="2"/>
      <x:c r="H4590" s="2"/>
    </x:row>
    <x:row r="4591" ht="22" customHeight="1">
      <x:c r="A4591" s="2" t="n">
        <x:v>4585</x:v>
      </x:c>
      <x:c r="B4591" s="79" t="n">
        <x:v>1.4188667459378548</x:v>
      </x:c>
      <x:c r="C4591" s="46" t="n">
        <x:f>B4591^2</x:f>
        <x:v>2.013182842728277</x:v>
      </x:c>
      <x:c r="D4591" s="47" t="n">
        <x:f>'Datos'!$B$26^3/3</x:f>
        <x:v>0.3333333333333333</x:v>
      </x:c>
      <x:c r="E4591" s="46" t="n">
        <x:f>D4591*(C4591-1)</x:f>
        <x:v>0.337727614242759</x:v>
      </x:c>
      <x:c r="F4591" s="2"/>
      <x:c r="G4591" s="2"/>
      <x:c r="H4591" s="2"/>
    </x:row>
    <x:row r="4592" ht="22" customHeight="1">
      <x:c r="A4592" s="2" t="n">
        <x:v>4586</x:v>
      </x:c>
      <x:c r="B4592" s="79" t="n">
        <x:v>1.212282362931695</x:v>
      </x:c>
      <x:c r="C4592" s="46" t="n">
        <x:f>B4592^2</x:f>
        <x:v>1.4696285274752539</x:v>
      </x:c>
      <x:c r="D4592" s="47" t="n">
        <x:f>'Datos'!$B$26^3/3</x:f>
        <x:v>0.3333333333333333</x:v>
      </x:c>
      <x:c r="E4592" s="46" t="n">
        <x:f>D4592*(C4592-1)</x:f>
        <x:v>0.15654284249175127</x:v>
      </x:c>
      <x:c r="F4592" s="2"/>
      <x:c r="G4592" s="2"/>
      <x:c r="H4592" s="2"/>
    </x:row>
    <x:row r="4593" ht="22" customHeight="1">
      <x:c r="A4593" s="2" t="n">
        <x:v>4587</x:v>
      </x:c>
      <x:c r="B4593" s="79" t="n">
        <x:v>-1.7975502793393423</x:v>
      </x:c>
      <x:c r="C4593" s="46" t="n">
        <x:f>B4593^2</x:f>
        <x:v>3.2311870067529473</x:v>
      </x:c>
      <x:c r="D4593" s="47" t="n">
        <x:f>'Datos'!$B$26^3/3</x:f>
        <x:v>0.3333333333333333</x:v>
      </x:c>
      <x:c r="E4593" s="46" t="n">
        <x:f>D4593*(C4593-1)</x:f>
        <x:v>0.7437290022509824</x:v>
      </x:c>
      <x:c r="F4593" s="2"/>
      <x:c r="G4593" s="2"/>
      <x:c r="H4593" s="2"/>
    </x:row>
    <x:row r="4594" ht="22" customHeight="1">
      <x:c r="A4594" s="2" t="n">
        <x:v>4588</x:v>
      </x:c>
      <x:c r="B4594" s="79" t="n">
        <x:v>-2.081728144433067</x:v>
      </x:c>
      <x:c r="C4594" s="46" t="n">
        <x:f>B4594^2</x:f>
        <x:v>4.33359206732474</x:v>
      </x:c>
      <x:c r="D4594" s="47" t="n">
        <x:f>'Datos'!$B$26^3/3</x:f>
        <x:v>0.3333333333333333</x:v>
      </x:c>
      <x:c r="E4594" s="46" t="n">
        <x:f>D4594*(C4594-1)</x:f>
        <x:v>1.1111973557749133</x:v>
      </x:c>
      <x:c r="F4594" s="2"/>
      <x:c r="G4594" s="2"/>
      <x:c r="H4594" s="2"/>
    </x:row>
    <x:row r="4595" ht="22" customHeight="1">
      <x:c r="A4595" s="2" t="n">
        <x:v>4589</x:v>
      </x:c>
      <x:c r="B4595" s="79" t="n">
        <x:v>0.7479399628286282</x:v>
      </x:c>
      <x:c r="C4595" s="46" t="n">
        <x:f>B4595^2</x:f>
        <x:v>0.5594141879960897</x:v>
      </x:c>
      <x:c r="D4595" s="47" t="n">
        <x:f>'Datos'!$B$26^3/3</x:f>
        <x:v>0.3333333333333333</x:v>
      </x:c>
      <x:c r="E4595" s="46" t="n">
        <x:f>D4595*(C4595-1)</x:f>
        <x:v>-0.14686193733463676</x:v>
      </x:c>
      <x:c r="F4595" s="2"/>
      <x:c r="G4595" s="2"/>
      <x:c r="H4595" s="2"/>
    </x:row>
    <x:row r="4596" ht="22" customHeight="1">
      <x:c r="A4596" s="2" t="n">
        <x:v>4590</x:v>
      </x:c>
      <x:c r="B4596" s="79" t="n">
        <x:v>1.0076333149147456</x:v>
      </x:c>
      <x:c r="C4596" s="46" t="n">
        <x:f>B4596^2</x:f>
        <x:v>1.015324897326079</x:v>
      </x:c>
      <x:c r="D4596" s="47" t="n">
        <x:f>'Datos'!$B$26^3/3</x:f>
        <x:v>0.3333333333333333</x:v>
      </x:c>
      <x:c r="E4596" s="46" t="n">
        <x:f>D4596*(C4596-1)</x:f>
        <x:v>0.005108299108692963</x:v>
      </x:c>
      <x:c r="F4596" s="2"/>
      <x:c r="G4596" s="2"/>
      <x:c r="H4596" s="2"/>
    </x:row>
    <x:row r="4597" ht="22" customHeight="1">
      <x:c r="A4597" s="2" t="n">
        <x:v>4591</x:v>
      </x:c>
      <x:c r="B4597" s="79" t="n">
        <x:v>0.14545396885459583</x:v>
      </x:c>
      <x:c r="C4597" s="46" t="n">
        <x:f>B4597^2</x:f>
        <x:v>0.021156857055553733</x:v>
      </x:c>
      <x:c r="D4597" s="47" t="n">
        <x:f>'Datos'!$B$26^3/3</x:f>
        <x:v>0.3333333333333333</x:v>
      </x:c>
      <x:c r="E4597" s="46" t="n">
        <x:f>D4597*(C4597-1)</x:f>
        <x:v>-0.32628104764814875</x:v>
      </x:c>
      <x:c r="F4597" s="2"/>
      <x:c r="G4597" s="2"/>
      <x:c r="H4597" s="2"/>
    </x:row>
    <x:row r="4598" ht="22" customHeight="1">
      <x:c r="A4598" s="2" t="n">
        <x:v>4592</x:v>
      </x:c>
      <x:c r="B4598" s="79" t="n">
        <x:v>-0.6059135973359047</x:v>
      </x:c>
      <x:c r="C4598" s="46" t="n">
        <x:f>B4598^2</x:f>
        <x:v>0.36713128743653684</x:v>
      </x:c>
      <x:c r="D4598" s="47" t="n">
        <x:f>'Datos'!$B$26^3/3</x:f>
        <x:v>0.3333333333333333</x:v>
      </x:c>
      <x:c r="E4598" s="46" t="n">
        <x:f>D4598*(C4598-1)</x:f>
        <x:v>-0.21095623752115436</x:v>
      </x:c>
      <x:c r="F4598" s="2"/>
      <x:c r="G4598" s="2"/>
      <x:c r="H4598" s="2"/>
    </x:row>
    <x:row r="4599" ht="22" customHeight="1">
      <x:c r="A4599" s="2" t="n">
        <x:v>4593</x:v>
      </x:c>
      <x:c r="B4599" s="79" t="n">
        <x:v>0.159765162426206</x:v>
      </x:c>
      <x:c r="C4599" s="46" t="n">
        <x:f>B4599^2</x:f>
        <x:v>0.025524907125071987</x:v>
      </x:c>
      <x:c r="D4599" s="47" t="n">
        <x:f>'Datos'!$B$26^3/3</x:f>
        <x:v>0.3333333333333333</x:v>
      </x:c>
      <x:c r="E4599" s="46" t="n">
        <x:f>D4599*(C4599-1)</x:f>
        <x:v>-0.32482503095830934</x:v>
      </x:c>
      <x:c r="F4599" s="2"/>
      <x:c r="G4599" s="2"/>
      <x:c r="H4599" s="2"/>
    </x:row>
    <x:row r="4600" ht="22" customHeight="1">
      <x:c r="A4600" s="2" t="n">
        <x:v>4594</x:v>
      </x:c>
      <x:c r="B4600" s="79" t="n">
        <x:v>0.9239871161312951</x:v>
      </x:c>
      <x:c r="C4600" s="46" t="n">
        <x:f>B4600^2</x:f>
        <x:v>0.8537521907766275</x:v>
      </x:c>
      <x:c r="D4600" s="47" t="n">
        <x:f>'Datos'!$B$26^3/3</x:f>
        <x:v>0.3333333333333333</x:v>
      </x:c>
      <x:c r="E4600" s="46" t="n">
        <x:f>D4600*(C4600-1)</x:f>
        <x:v>-0.04874926974112418</x:v>
      </x:c>
      <x:c r="F4600" s="2"/>
      <x:c r="G4600" s="2"/>
      <x:c r="H4600" s="2"/>
    </x:row>
    <x:row r="4601" ht="22" customHeight="1">
      <x:c r="A4601" s="2" t="n">
        <x:v>4595</x:v>
      </x:c>
      <x:c r="B4601" s="79" t="n">
        <x:v>0.1816340372547745</x:v>
      </x:c>
      <x:c r="C4601" s="46" t="n">
        <x:f>B4601^2</x:f>
        <x:v>0.03299092348946881</x:v>
      </x:c>
      <x:c r="D4601" s="47" t="n">
        <x:f>'Datos'!$B$26^3/3</x:f>
        <x:v>0.3333333333333333</x:v>
      </x:c>
      <x:c r="E4601" s="46" t="n">
        <x:f>D4601*(C4601-1)</x:f>
        <x:v>-0.3223363588368437</x:v>
      </x:c>
      <x:c r="F4601" s="2"/>
      <x:c r="G4601" s="2"/>
      <x:c r="H4601" s="2"/>
    </x:row>
    <x:row r="4602" ht="22" customHeight="1">
      <x:c r="A4602" s="2" t="n">
        <x:v>4596</x:v>
      </x:c>
      <x:c r="B4602" s="79" t="n">
        <x:v>-1.7104808851771753</x:v>
      </x:c>
      <x:c r="C4602" s="46" t="n">
        <x:f>B4602^2</x:f>
        <x:v>2.9257448585564934</x:v>
      </x:c>
      <x:c r="D4602" s="47" t="n">
        <x:f>'Datos'!$B$26^3/3</x:f>
        <x:v>0.3333333333333333</x:v>
      </x:c>
      <x:c r="E4602" s="46" t="n">
        <x:f>D4602*(C4602-1)</x:f>
        <x:v>0.6419149528521644</x:v>
      </x:c>
      <x:c r="F4602" s="2"/>
      <x:c r="G4602" s="2"/>
      <x:c r="H4602" s="2"/>
    </x:row>
    <x:row r="4603" ht="22" customHeight="1">
      <x:c r="A4603" s="2" t="n">
        <x:v>4597</x:v>
      </x:c>
      <x:c r="B4603" s="79" t="n">
        <x:v>1.1301541872998682</x:v>
      </x:c>
      <x:c r="C4603" s="46" t="n">
        <x:f>B4603^2</x:f>
        <x:v>1.2772484870714256</x:v>
      </x:c>
      <x:c r="D4603" s="47" t="n">
        <x:f>'Datos'!$B$26^3/3</x:f>
        <x:v>0.3333333333333333</x:v>
      </x:c>
      <x:c r="E4603" s="46" t="n">
        <x:f>D4603*(C4603-1)</x:f>
        <x:v>0.09241616235714185</x:v>
      </x:c>
      <x:c r="F4603" s="2"/>
      <x:c r="G4603" s="2"/>
      <x:c r="H4603" s="2"/>
    </x:row>
    <x:row r="4604" ht="22" customHeight="1">
      <x:c r="A4604" s="2" t="n">
        <x:v>4598</x:v>
      </x:c>
      <x:c r="B4604" s="79" t="n">
        <x:v>1.1579618427186809</x:v>
      </x:c>
      <x:c r="C4604" s="46" t="n">
        <x:f>B4604^2</x:f>
        <x:v>1.340875629192443</x:v>
      </x:c>
      <x:c r="D4604" s="47" t="n">
        <x:f>'Datos'!$B$26^3/3</x:f>
        <x:v>0.3333333333333333</x:v>
      </x:c>
      <x:c r="E4604" s="46" t="n">
        <x:f>D4604*(C4604-1)</x:f>
        <x:v>0.11362520973081436</x:v>
      </x:c>
      <x:c r="F4604" s="2"/>
      <x:c r="G4604" s="2"/>
      <x:c r="H4604" s="2"/>
    </x:row>
    <x:row r="4605" ht="22" customHeight="1">
      <x:c r="A4605" s="2" t="n">
        <x:v>4599</x:v>
      </x:c>
      <x:c r="B4605" s="79" t="n">
        <x:v>-1.3670312449213569</x:v>
      </x:c>
      <x:c r="C4605" s="46" t="n">
        <x:f>B4605^2</x:f>
        <x:v>1.8687744245912348</x:v>
      </x:c>
      <x:c r="D4605" s="47" t="n">
        <x:f>'Datos'!$B$26^3/3</x:f>
        <x:v>0.3333333333333333</x:v>
      </x:c>
      <x:c r="E4605" s="46" t="n">
        <x:f>D4605*(C4605-1)</x:f>
        <x:v>0.2895914748637449</x:v>
      </x:c>
      <x:c r="F4605" s="2"/>
      <x:c r="G4605" s="2"/>
      <x:c r="H4605" s="2"/>
    </x:row>
    <x:row r="4606" ht="22" customHeight="1">
      <x:c r="A4606" s="2" t="n">
        <x:v>4600</x:v>
      </x:c>
      <x:c r="B4606" s="79" t="n">
        <x:v>0.6997778878691778</x:v>
      </x:c>
      <x:c r="C4606" s="46" t="n">
        <x:f>B4606^2</x:f>
        <x:v>0.4896890923506476</x:v>
      </x:c>
      <x:c r="D4606" s="47" t="n">
        <x:f>'Datos'!$B$26^3/3</x:f>
        <x:v>0.3333333333333333</x:v>
      </x:c>
      <x:c r="E4606" s="46" t="n">
        <x:f>D4606*(C4606-1)</x:f>
        <x:v>-0.17010363588311744</x:v>
      </x:c>
      <x:c r="F4606" s="2"/>
      <x:c r="G4606" s="2"/>
      <x:c r="H4606" s="2"/>
    </x:row>
    <x:row r="4607" ht="22" customHeight="1">
      <x:c r="A4607" s="2" t="n">
        <x:v>4601</x:v>
      </x:c>
      <x:c r="B4607" s="79" t="n">
        <x:v>-0.07964233244114262</x:v>
      </x:c>
      <x:c r="C4607" s="46" t="n">
        <x:f>B4607^2</x:f>
        <x:v>0.006342901116665478</x:v>
      </x:c>
      <x:c r="D4607" s="47" t="n">
        <x:f>'Datos'!$B$26^3/3</x:f>
        <x:v>0.3333333333333333</x:v>
      </x:c>
      <x:c r="E4607" s="46" t="n">
        <x:f>D4607*(C4607-1)</x:f>
        <x:v>-0.3312190329611115</x:v>
      </x:c>
      <x:c r="F4607" s="2"/>
      <x:c r="G4607" s="2"/>
      <x:c r="H4607" s="2"/>
    </x:row>
    <x:row r="4608" ht="22" customHeight="1">
      <x:c r="A4608" s="2" t="n">
        <x:v>4602</x:v>
      </x:c>
      <x:c r="B4608" s="79" t="n">
        <x:v>0.7656050872073892</x:v>
      </x:c>
      <x:c r="C4608" s="46" t="n">
        <x:f>B4608^2</x:f>
        <x:v>0.586151149557834</x:v>
      </x:c>
      <x:c r="D4608" s="47" t="n">
        <x:f>'Datos'!$B$26^3/3</x:f>
        <x:v>0.3333333333333333</x:v>
      </x:c>
      <x:c r="E4608" s="46" t="n">
        <x:f>D4608*(C4608-1)</x:f>
        <x:v>-0.13794961681405532</x:v>
      </x:c>
      <x:c r="F4608" s="2"/>
      <x:c r="G4608" s="2"/>
      <x:c r="H4608" s="2"/>
    </x:row>
    <x:row r="4609" ht="22" customHeight="1">
      <x:c r="A4609" s="2" t="n">
        <x:v>4603</x:v>
      </x:c>
      <x:c r="B4609" s="79" t="n">
        <x:v>1.196931919581721</x:v>
      </x:c>
      <x:c r="C4609" s="46" t="n">
        <x:f>B4609^2</x:f>
        <x:v>1.4326460201135833</x:v>
      </x:c>
      <x:c r="D4609" s="47" t="n">
        <x:f>'Datos'!$B$26^3/3</x:f>
        <x:v>0.3333333333333333</x:v>
      </x:c>
      <x:c r="E4609" s="46" t="n">
        <x:f>D4609*(C4609-1)</x:f>
        <x:v>0.1442153400378611</x:v>
      </x:c>
      <x:c r="F4609" s="2"/>
      <x:c r="G4609" s="2"/>
      <x:c r="H4609" s="2"/>
    </x:row>
    <x:row r="4610" ht="22" customHeight="1">
      <x:c r="A4610" s="2" t="n">
        <x:v>4604</x:v>
      </x:c>
      <x:c r="B4610" s="79" t="n">
        <x:v>1.086495363597681</x:v>
      </x:c>
      <x:c r="C4610" s="46" t="n">
        <x:f>B4610^2</x:f>
        <x:v>1.1804721751192573</x:v>
      </x:c>
      <x:c r="D4610" s="47" t="n">
        <x:f>'Datos'!$B$26^3/3</x:f>
        <x:v>0.3333333333333333</x:v>
      </x:c>
      <x:c r="E4610" s="46" t="n">
        <x:f>D4610*(C4610-1)</x:f>
        <x:v>0.060157391706419094</x:v>
      </x:c>
      <x:c r="F4610" s="2"/>
      <x:c r="G4610" s="2"/>
      <x:c r="H4610" s="2"/>
    </x:row>
    <x:row r="4611" ht="22" customHeight="1">
      <x:c r="A4611" s="2" t="n">
        <x:v>4605</x:v>
      </x:c>
      <x:c r="B4611" s="79" t="n">
        <x:v>-0.6471796965239979</x:v>
      </x:c>
      <x:c r="C4611" s="46" t="n">
        <x:f>B4611^2</x:f>
        <x:v>0.418841559592894</x:v>
      </x:c>
      <x:c r="D4611" s="47" t="n">
        <x:f>'Datos'!$B$26^3/3</x:f>
        <x:v>0.3333333333333333</x:v>
      </x:c>
      <x:c r="E4611" s="46" t="n">
        <x:f>D4611*(C4611-1)</x:f>
        <x:v>-0.19371948013570198</x:v>
      </x:c>
      <x:c r="F4611" s="2"/>
      <x:c r="G4611" s="2"/>
      <x:c r="H4611" s="2"/>
    </x:row>
    <x:row r="4612" ht="22" customHeight="1">
      <x:c r="A4612" s="2" t="n">
        <x:v>4606</x:v>
      </x:c>
      <x:c r="B4612" s="79" t="n">
        <x:v>0.3117277868698621</x:v>
      </x:c>
      <x:c r="C4612" s="46" t="n">
        <x:f>B4612^2</x:f>
        <x:v>0.09717421310678216</x:v>
      </x:c>
      <x:c r="D4612" s="47" t="n">
        <x:f>'Datos'!$B$26^3/3</x:f>
        <x:v>0.3333333333333333</x:v>
      </x:c>
      <x:c r="E4612" s="46" t="n">
        <x:f>D4612*(C4612-1)</x:f>
        <x:v>-0.3009419289644059</x:v>
      </x:c>
      <x:c r="F4612" s="2"/>
      <x:c r="G4612" s="2"/>
      <x:c r="H4612" s="2"/>
    </x:row>
    <x:row r="4613" ht="22" customHeight="1">
      <x:c r="A4613" s="2" t="n">
        <x:v>4607</x:v>
      </x:c>
      <x:c r="B4613" s="79" t="n">
        <x:v>-0.5083107228129948</x:v>
      </x:c>
      <x:c r="C4613" s="46" t="n">
        <x:f>B4613^2</x:f>
        <x:v>0.25837979092666924</x:v>
      </x:c>
      <x:c r="D4613" s="47" t="n">
        <x:f>'Datos'!$B$26^3/3</x:f>
        <x:v>0.3333333333333333</x:v>
      </x:c>
      <x:c r="E4613" s="46" t="n">
        <x:f>D4613*(C4613-1)</x:f>
        <x:v>-0.24720673635777693</x:v>
      </x:c>
      <x:c r="F4613" s="2"/>
      <x:c r="G4613" s="2"/>
      <x:c r="H4613" s="2"/>
    </x:row>
    <x:row r="4614" ht="22" customHeight="1">
      <x:c r="A4614" s="2" t="n">
        <x:v>4608</x:v>
      </x:c>
      <x:c r="B4614" s="79" t="n">
        <x:v>0.6327975014152172</x:v>
      </x:c>
      <x:c r="C4614" s="46" t="n">
        <x:f>B4614^2</x:f>
        <x:v>0.40043267779734176</x:v>
      </x:c>
      <x:c r="D4614" s="47" t="n">
        <x:f>'Datos'!$B$26^3/3</x:f>
        <x:v>0.3333333333333333</x:v>
      </x:c>
      <x:c r="E4614" s="46" t="n">
        <x:f>D4614*(C4614-1)</x:f>
        <x:v>-0.19985577406755275</x:v>
      </x:c>
      <x:c r="F4614" s="2"/>
      <x:c r="G4614" s="2"/>
      <x:c r="H4614" s="2"/>
    </x:row>
    <x:row r="4615" ht="22" customHeight="1">
      <x:c r="A4615" s="2" t="n">
        <x:v>4609</x:v>
      </x:c>
      <x:c r="B4615" s="79" t="n">
        <x:v>1.2907319561191397</x:v>
      </x:c>
      <x:c r="C4615" s="46" t="n">
        <x:f>B4615^2</x:f>
        <x:v>1.6659889825471408</x:v>
      </x:c>
      <x:c r="D4615" s="47" t="n">
        <x:f>'Datos'!$B$26^3/3</x:f>
        <x:v>0.3333333333333333</x:v>
      </x:c>
      <x:c r="E4615" s="46" t="n">
        <x:f>D4615*(C4615-1)</x:f>
        <x:v>0.22199632751571358</x:v>
      </x:c>
      <x:c r="F4615" s="2"/>
      <x:c r="G4615" s="2"/>
      <x:c r="H4615" s="2"/>
    </x:row>
    <x:row r="4616" ht="22" customHeight="1">
      <x:c r="A4616" s="2" t="n">
        <x:v>4610</x:v>
      </x:c>
      <x:c r="B4616" s="79" t="n">
        <x:v>0.064776165800806</x:v>
      </x:c>
      <x:c r="C4616" s="46" t="n">
        <x:f>B4616^2</x:f>
        <x:v>0.004195951655853509</x:v>
      </x:c>
      <x:c r="D4616" s="47" t="n">
        <x:f>'Datos'!$B$26^3/3</x:f>
        <x:v>0.3333333333333333</x:v>
      </x:c>
      <x:c r="E4616" s="46" t="n">
        <x:f>D4616*(C4616-1)</x:f>
        <x:v>-0.33193468278138216</x:v>
      </x:c>
      <x:c r="F4616" s="2"/>
      <x:c r="G4616" s="2"/>
      <x:c r="H4616" s="2"/>
    </x:row>
    <x:row r="4617" ht="22" customHeight="1">
      <x:c r="A4617" s="2" t="n">
        <x:v>4611</x:v>
      </x:c>
      <x:c r="B4617" s="79" t="n">
        <x:v>-0.5959161966708311</x:v>
      </x:c>
      <x:c r="C4617" s="46" t="n">
        <x:f>B4617^2</x:f>
        <x:v>0.3551161134546286</x:v>
      </x:c>
      <x:c r="D4617" s="47" t="n">
        <x:f>'Datos'!$B$26^3/3</x:f>
        <x:v>0.3333333333333333</x:v>
      </x:c>
      <x:c r="E4617" s="46" t="n">
        <x:f>D4617*(C4617-1)</x:f>
        <x:v>-0.2149612955151238</x:v>
      </x:c>
      <x:c r="F4617" s="2"/>
      <x:c r="G4617" s="2"/>
      <x:c r="H4617" s="2"/>
    </x:row>
    <x:row r="4618" ht="22" customHeight="1">
      <x:c r="A4618" s="2" t="n">
        <x:v>4612</x:v>
      </x:c>
      <x:c r="B4618" s="79" t="n">
        <x:v>-0.9355566497229866</x:v>
      </x:c>
      <x:c r="C4618" s="46" t="n">
        <x:f>B4618^2</x:f>
        <x:v>0.875266244840899</x:v>
      </x:c>
      <x:c r="D4618" s="47" t="n">
        <x:f>'Datos'!$B$26^3/3</x:f>
        <x:v>0.3333333333333333</x:v>
      </x:c>
      <x:c r="E4618" s="46" t="n">
        <x:f>D4618*(C4618-1)</x:f>
        <x:v>-0.041577918386367</x:v>
      </x:c>
      <x:c r="F4618" s="2"/>
      <x:c r="G4618" s="2"/>
      <x:c r="H4618" s="2"/>
    </x:row>
    <x:row r="4619" ht="22" customHeight="1">
      <x:c r="A4619" s="2" t="n">
        <x:v>4613</x:v>
      </x:c>
      <x:c r="B4619" s="79" t="n">
        <x:v>2.110238624052545</x:v>
      </x:c>
      <x:c r="C4619" s="46" t="n">
        <x:f>B4619^2</x:f>
        <x:v>4.453107050443179</x:v>
      </x:c>
      <x:c r="D4619" s="47" t="n">
        <x:f>'Datos'!$B$26^3/3</x:f>
        <x:v>0.3333333333333333</x:v>
      </x:c>
      <x:c r="E4619" s="46" t="n">
        <x:f>D4619*(C4619-1)</x:f>
        <x:v>1.1510356834810596</x:v>
      </x:c>
      <x:c r="F4619" s="2"/>
      <x:c r="G4619" s="2"/>
      <x:c r="H4619" s="2"/>
    </x:row>
    <x:row r="4620" ht="22" customHeight="1">
      <x:c r="A4620" s="2" t="n">
        <x:v>4614</x:v>
      </x:c>
      <x:c r="B4620" s="79" t="n">
        <x:v>0.2236690854265904</x:v>
      </x:c>
      <x:c r="C4620" s="46" t="n">
        <x:f>B4620^2</x:f>
        <x:v>0.05002785977556739</x:v>
      </x:c>
      <x:c r="D4620" s="47" t="n">
        <x:f>'Datos'!$B$26^3/3</x:f>
        <x:v>0.3333333333333333</x:v>
      </x:c>
      <x:c r="E4620" s="46" t="n">
        <x:f>D4620*(C4620-1)</x:f>
        <x:v>-0.31665738007481087</x:v>
      </x:c>
      <x:c r="F4620" s="2"/>
      <x:c r="G4620" s="2"/>
      <x:c r="H4620" s="2"/>
    </x:row>
    <x:row r="4621" ht="22" customHeight="1">
      <x:c r="A4621" s="2" t="n">
        <x:v>4615</x:v>
      </x:c>
      <x:c r="B4621" s="79" t="n">
        <x:v>0.945860573942636</x:v>
      </x:c>
      <x:c r="C4621" s="46" t="n">
        <x:f>B4621^2</x:f>
        <x:v>0.8946522253390928</x:v>
      </x:c>
      <x:c r="D4621" s="47" t="n">
        <x:f>'Datos'!$B$26^3/3</x:f>
        <x:v>0.3333333333333333</x:v>
      </x:c>
      <x:c r="E4621" s="46" t="n">
        <x:f>D4621*(C4621-1)</x:f>
        <x:v>-0.035115924886969054</x:v>
      </x:c>
      <x:c r="F4621" s="2"/>
      <x:c r="G4621" s="2"/>
      <x:c r="H4621" s="2"/>
    </x:row>
    <x:row r="4622" ht="22" customHeight="1">
      <x:c r="A4622" s="2" t="n">
        <x:v>4616</x:v>
      </x:c>
      <x:c r="B4622" s="79" t="n">
        <x:v>-0.10975094453530358</x:v>
      </x:c>
      <x:c r="C4622" s="46" t="n">
        <x:f>B4622^2</x:f>
        <x:v>0.012045269826391283</x:v>
      </x:c>
      <x:c r="D4622" s="47" t="n">
        <x:f>'Datos'!$B$26^3/3</x:f>
        <x:v>0.3333333333333333</x:v>
      </x:c>
      <x:c r="E4622" s="46" t="n">
        <x:f>D4622*(C4622-1)</x:f>
        <x:v>-0.32931824339120286</x:v>
      </x:c>
      <x:c r="F4622" s="2"/>
      <x:c r="G4622" s="2"/>
      <x:c r="H4622" s="2"/>
    </x:row>
    <x:row r="4623" ht="22" customHeight="1">
      <x:c r="A4623" s="2" t="n">
        <x:v>4617</x:v>
      </x:c>
      <x:c r="B4623" s="79" t="n">
        <x:v>0.3752487137989917</x:v>
      </x:c>
      <x:c r="C4623" s="46" t="n">
        <x:f>B4623^2</x:f>
        <x:v>0.1408115972077976</x:v>
      </x:c>
      <x:c r="D4623" s="47" t="n">
        <x:f>'Datos'!$B$26^3/3</x:f>
        <x:v>0.3333333333333333</x:v>
      </x:c>
      <x:c r="E4623" s="46" t="n">
        <x:f>D4623*(C4623-1)</x:f>
        <x:v>-0.28639613426406746</x:v>
      </x:c>
      <x:c r="F4623" s="2"/>
      <x:c r="G4623" s="2"/>
      <x:c r="H4623" s="2"/>
    </x:row>
    <x:row r="4624" ht="22" customHeight="1">
      <x:c r="A4624" s="2" t="n">
        <x:v>4618</x:v>
      </x:c>
      <x:c r="B4624" s="79" t="n">
        <x:v>-0.4318986834059513</x:v>
      </x:c>
      <x:c r="C4624" s="46" t="n">
        <x:f>B4624^2</x:f>
        <x:v>0.18653647272779414</x:v>
      </x:c>
      <x:c r="D4624" s="47" t="n">
        <x:f>'Datos'!$B$26^3/3</x:f>
        <x:v>0.3333333333333333</x:v>
      </x:c>
      <x:c r="E4624" s="46" t="n">
        <x:f>D4624*(C4624-1)</x:f>
        <x:v>-0.27115450909073524</x:v>
      </x:c>
      <x:c r="F4624" s="2"/>
      <x:c r="G4624" s="2"/>
      <x:c r="H4624" s="2"/>
    </x:row>
    <x:row r="4625" ht="22" customHeight="1">
      <x:c r="A4625" s="2" t="n">
        <x:v>4619</x:v>
      </x:c>
      <x:c r="B4625" s="79" t="n">
        <x:v>-0.2868664191903834</x:v>
      </x:c>
      <x:c r="C4625" s="46" t="n">
        <x:f>B4625^2</x:f>
        <x:v>0.08229234245911278</x:v>
      </x:c>
      <x:c r="D4625" s="47" t="n">
        <x:f>'Datos'!$B$26^3/3</x:f>
        <x:v>0.3333333333333333</x:v>
      </x:c>
      <x:c r="E4625" s="46" t="n">
        <x:f>D4625*(C4625-1)</x:f>
        <x:v>-0.3059025525136291</x:v>
      </x:c>
      <x:c r="F4625" s="2"/>
      <x:c r="G4625" s="2"/>
      <x:c r="H4625" s="2"/>
    </x:row>
    <x:row r="4626" ht="22" customHeight="1">
      <x:c r="A4626" s="2" t="n">
        <x:v>4620</x:v>
      </x:c>
      <x:c r="B4626" s="79" t="n">
        <x:v>-0.7290122592755169</x:v>
      </x:c>
      <x:c r="C4626" s="46" t="n">
        <x:f>B4626^2</x:f>
        <x:v>0.5314588741739935</x:v>
      </x:c>
      <x:c r="D4626" s="47" t="n">
        <x:f>'Datos'!$B$26^3/3</x:f>
        <x:v>0.3333333333333333</x:v>
      </x:c>
      <x:c r="E4626" s="46" t="n">
        <x:f>D4626*(C4626-1)</x:f>
        <x:v>-0.1561803752753355</x:v>
      </x:c>
      <x:c r="F4626" s="2"/>
      <x:c r="G4626" s="2"/>
      <x:c r="H4626" s="2"/>
    </x:row>
    <x:row r="4627" ht="22" customHeight="1">
      <x:c r="A4627" s="2" t="n">
        <x:v>4621</x:v>
      </x:c>
      <x:c r="B4627" s="79" t="n">
        <x:v>0.7461169239866008</x:v>
      </x:c>
      <x:c r="C4627" s="46" t="n">
        <x:f>B4627^2</x:f>
        <x:v>0.556690464259227</x:v>
      </x:c>
      <x:c r="D4627" s="47" t="n">
        <x:f>'Datos'!$B$26^3/3</x:f>
        <x:v>0.3333333333333333</x:v>
      </x:c>
      <x:c r="E4627" s="46" t="n">
        <x:f>D4627*(C4627-1)</x:f>
        <x:v>-0.14776984524692433</x:v>
      </x:c>
      <x:c r="F4627" s="2"/>
      <x:c r="G4627" s="2"/>
      <x:c r="H4627" s="2"/>
    </x:row>
    <x:row r="4628" ht="22" customHeight="1">
      <x:c r="A4628" s="2" t="n">
        <x:v>4622</x:v>
      </x:c>
      <x:c r="B4628" s="79" t="n">
        <x:v>-2.2221534031563843</x:v>
      </x:c>
      <x:c r="C4628" s="46" t="n">
        <x:f>B4628^2</x:f>
        <x:v>4.937965747159501</x:v>
      </x:c>
      <x:c r="D4628" s="47" t="n">
        <x:f>'Datos'!$B$26^3/3</x:f>
        <x:v>0.3333333333333333</x:v>
      </x:c>
      <x:c r="E4628" s="46" t="n">
        <x:f>D4628*(C4628-1)</x:f>
        <x:v>1.3126552490531669</x:v>
      </x:c>
      <x:c r="F4628" s="2"/>
      <x:c r="G4628" s="2"/>
      <x:c r="H4628" s="2"/>
    </x:row>
    <x:row r="4629" ht="22" customHeight="1">
      <x:c r="A4629" s="2" t="n">
        <x:v>4623</x:v>
      </x:c>
      <x:c r="B4629" s="79" t="n">
        <x:v>-0.7664620869866519</x:v>
      </x:c>
      <x:c r="C4629" s="46" t="n">
        <x:f>B4629^2</x:f>
        <x:v>0.5874641307879339</x:v>
      </x:c>
      <x:c r="D4629" s="47" t="n">
        <x:f>'Datos'!$B$26^3/3</x:f>
        <x:v>0.3333333333333333</x:v>
      </x:c>
      <x:c r="E4629" s="46" t="n">
        <x:f>D4629*(C4629-1)</x:f>
        <x:v>-0.13751195640402203</x:v>
      </x:c>
      <x:c r="F4629" s="2"/>
      <x:c r="G4629" s="2"/>
      <x:c r="H4629" s="2"/>
    </x:row>
    <x:row r="4630" ht="22" customHeight="1">
      <x:c r="A4630" s="2" t="n">
        <x:v>4624</x:v>
      </x:c>
      <x:c r="B4630" s="79" t="n">
        <x:v>0.30665055783851763</x:v>
      </x:c>
      <x:c r="C4630" s="46" t="n">
        <x:f>B4630^2</x:f>
        <x:v>0.09403456462267405</x:v>
      </x:c>
      <x:c r="D4630" s="47" t="n">
        <x:f>'Datos'!$B$26^3/3</x:f>
        <x:v>0.3333333333333333</x:v>
      </x:c>
      <x:c r="E4630" s="46" t="n">
        <x:f>D4630*(C4630-1)</x:f>
        <x:v>-0.30198847845910864</x:v>
      </x:c>
      <x:c r="F4630" s="2"/>
      <x:c r="G4630" s="2"/>
      <x:c r="H4630" s="2"/>
    </x:row>
    <x:row r="4631" ht="22" customHeight="1">
      <x:c r="A4631" s="2" t="n">
        <x:v>4625</x:v>
      </x:c>
      <x:c r="B4631" s="79" t="n">
        <x:v>-0.8935020507720287</x:v>
      </x:c>
      <x:c r="C4631" s="46" t="n">
        <x:f>B4631^2</x:f>
        <x:v>0.798345914733821</x:v>
      </x:c>
      <x:c r="D4631" s="47" t="n">
        <x:f>'Datos'!$B$26^3/3</x:f>
        <x:v>0.3333333333333333</x:v>
      </x:c>
      <x:c r="E4631" s="46" t="n">
        <x:f>D4631*(C4631-1)</x:f>
        <x:v>-0.06721802842205966</x:v>
      </x:c>
      <x:c r="F4631" s="2"/>
      <x:c r="G4631" s="2"/>
      <x:c r="H4631" s="2"/>
    </x:row>
    <x:row r="4632" ht="22" customHeight="1">
      <x:c r="A4632" s="2" t="n">
        <x:v>4626</x:v>
      </x:c>
      <x:c r="B4632" s="79" t="n">
        <x:v>-0.8224180170263425</x:v>
      </x:c>
      <x:c r="C4632" s="46" t="n">
        <x:f>B4632^2</x:f>
        <x:v>0.6763713947295414</x:v>
      </x:c>
      <x:c r="D4632" s="47" t="n">
        <x:f>'Datos'!$B$26^3/3</x:f>
        <x:v>0.3333333333333333</x:v>
      </x:c>
      <x:c r="E4632" s="46" t="n">
        <x:f>D4632*(C4632-1)</x:f>
        <x:v>-0.10787620175681951</x:v>
      </x:c>
      <x:c r="F4632" s="2"/>
      <x:c r="G4632" s="2"/>
      <x:c r="H4632" s="2"/>
    </x:row>
    <x:row r="4633" ht="22" customHeight="1">
      <x:c r="A4633" s="2" t="n">
        <x:v>4627</x:v>
      </x:c>
      <x:c r="B4633" s="79" t="n">
        <x:v>0.2616927806391089</x:v>
      </x:c>
      <x:c r="C4633" s="46" t="n">
        <x:f>B4633^2</x:f>
        <x:v>0.06848311143862877</x:v>
      </x:c>
      <x:c r="D4633" s="47" t="n">
        <x:f>'Datos'!$B$26^3/3</x:f>
        <x:v>0.3333333333333333</x:v>
      </x:c>
      <x:c r="E4633" s="46" t="n">
        <x:f>D4633*(C4633-1)</x:f>
        <x:v>-0.31050562952045707</x:v>
      </x:c>
      <x:c r="F4633" s="2"/>
      <x:c r="G4633" s="2"/>
      <x:c r="H4633" s="2"/>
    </x:row>
    <x:row r="4634" ht="22" customHeight="1">
      <x:c r="A4634" s="2" t="n">
        <x:v>4628</x:v>
      </x:c>
      <x:c r="B4634" s="79" t="n">
        <x:v>-1.1302406268860896</x:v>
      </x:c>
      <x:c r="C4634" s="46" t="n">
        <x:f>B4634^2</x:f>
        <x:v>1.2774438746638608</x:v>
      </x:c>
      <x:c r="D4634" s="47" t="n">
        <x:f>'Datos'!$B$26^3/3</x:f>
        <x:v>0.3333333333333333</x:v>
      </x:c>
      <x:c r="E4634" s="46" t="n">
        <x:f>D4634*(C4634-1)</x:f>
        <x:v>0.09248129155462026</x:v>
      </x:c>
      <x:c r="F4634" s="2"/>
      <x:c r="G4634" s="2"/>
      <x:c r="H4634" s="2"/>
    </x:row>
    <x:row r="4635" ht="22" customHeight="1">
      <x:c r="A4635" s="2" t="n">
        <x:v>4629</x:v>
      </x:c>
      <x:c r="B4635" s="79" t="n">
        <x:v>-0.9568992672498573</x:v>
      </x:c>
      <x:c r="C4635" s="46" t="n">
        <x:f>B4635^2</x:f>
        <x:v>0.9156562076633138</x:v>
      </x:c>
      <x:c r="D4635" s="47" t="n">
        <x:f>'Datos'!$B$26^3/3</x:f>
        <x:v>0.3333333333333333</x:v>
      </x:c>
      <x:c r="E4635" s="46" t="n">
        <x:f>D4635*(C4635-1)</x:f>
        <x:v>-0.028114597445562068</x:v>
      </x:c>
      <x:c r="F4635" s="2"/>
      <x:c r="G4635" s="2"/>
      <x:c r="H4635" s="2"/>
    </x:row>
    <x:row r="4636" ht="22" customHeight="1">
      <x:c r="A4636" s="2" t="n">
        <x:v>4630</x:v>
      </x:c>
      <x:c r="B4636" s="79" t="n">
        <x:v>-0.1625037547048286</x:v>
      </x:c>
      <x:c r="C4636" s="46" t="n">
        <x:f>B4636^2</x:f>
        <x:v>0.026407470293167108</x:v>
      </x:c>
      <x:c r="D4636" s="47" t="n">
        <x:f>'Datos'!$B$26^3/3</x:f>
        <x:v>0.3333333333333333</x:v>
      </x:c>
      <x:c r="E4636" s="46" t="n">
        <x:f>D4636*(C4636-1)</x:f>
        <x:v>-0.32453084323561093</x:v>
      </x:c>
      <x:c r="F4636" s="2"/>
      <x:c r="G4636" s="2"/>
      <x:c r="H4636" s="2"/>
    </x:row>
    <x:row r="4637" ht="22" customHeight="1">
      <x:c r="A4637" s="2" t="n">
        <x:v>4631</x:v>
      </x:c>
      <x:c r="B4637" s="79" t="n">
        <x:v>-0.2075600446862891</x:v>
      </x:c>
      <x:c r="C4637" s="46" t="n">
        <x:f>B4637^2</x:f>
        <x:v>0.04308117215017433</x:v>
      </x:c>
      <x:c r="D4637" s="47" t="n">
        <x:f>'Datos'!$B$26^3/3</x:f>
        <x:v>0.3333333333333333</x:v>
      </x:c>
      <x:c r="E4637" s="46" t="n">
        <x:f>D4637*(C4637-1)</x:f>
        <x:v>-0.3189729426166085</x:v>
      </x:c>
      <x:c r="F4637" s="2"/>
      <x:c r="G4637" s="2"/>
      <x:c r="H4637" s="2"/>
    </x:row>
    <x:row r="4638" ht="22" customHeight="1">
      <x:c r="A4638" s="2" t="n">
        <x:v>4632</x:v>
      </x:c>
      <x:c r="B4638" s="79" t="n">
        <x:v>0.012281542987160913</x:v>
      </x:c>
      <x:c r="C4638" s="46" t="n">
        <x:f>B4638^2</x:f>
        <x:v>0.0001508362981454814</x:v>
      </x:c>
      <x:c r="D4638" s="47" t="n">
        <x:f>'Datos'!$B$26^3/3</x:f>
        <x:v>0.3333333333333333</x:v>
      </x:c>
      <x:c r="E4638" s="46" t="n">
        <x:f>D4638*(C4638-1)</x:f>
        <x:v>-0.3332830545672848</x:v>
      </x:c>
      <x:c r="F4638" s="2"/>
      <x:c r="G4638" s="2"/>
      <x:c r="H4638" s="2"/>
    </x:row>
    <x:row r="4639" ht="22" customHeight="1">
      <x:c r="A4639" s="2" t="n">
        <x:v>4633</x:v>
      </x:c>
      <x:c r="B4639" s="79" t="n">
        <x:v>0.0629352706680673</x:v>
      </x:c>
      <x:c r="C4639" s="46" t="n">
        <x:f>B4639^2</x:f>
        <x:v>0.0039608482940628915</x:v>
      </x:c>
      <x:c r="D4639" s="47" t="n">
        <x:f>'Datos'!$B$26^3/3</x:f>
        <x:v>0.3333333333333333</x:v>
      </x:c>
      <x:c r="E4639" s="46" t="n">
        <x:f>D4639*(C4639-1)</x:f>
        <x:v>-0.3320130505686457</x:v>
      </x:c>
      <x:c r="F4639" s="2"/>
      <x:c r="G4639" s="2"/>
      <x:c r="H4639" s="2"/>
    </x:row>
    <x:row r="4640" ht="22" customHeight="1">
      <x:c r="A4640" s="2" t="n">
        <x:v>4634</x:v>
      </x:c>
      <x:c r="B4640" s="79" t="n">
        <x:v>-0.3560084221036583</x:v>
      </x:c>
      <x:c r="C4640" s="46" t="n">
        <x:f>B4640^2</x:f>
        <x:v>0.12674199660873653</x:v>
      </x:c>
      <x:c r="D4640" s="47" t="n">
        <x:f>'Datos'!$B$26^3/3</x:f>
        <x:v>0.3333333333333333</x:v>
      </x:c>
      <x:c r="E4640" s="46" t="n">
        <x:f>D4640*(C4640-1)</x:f>
        <x:v>-0.29108600113042116</x:v>
      </x:c>
      <x:c r="F4640" s="2"/>
      <x:c r="G4640" s="2"/>
      <x:c r="H4640" s="2"/>
    </x:row>
    <x:row r="4641" ht="22" customHeight="1">
      <x:c r="A4641" s="2" t="n">
        <x:v>4635</x:v>
      </x:c>
      <x:c r="B4641" s="79" t="n">
        <x:v>0.14233020653311593</x:v>
      </x:c>
      <x:c r="C4641" s="46" t="n">
        <x:f>B4641^2</x:f>
        <x:v>0.020257887691759437</x:v>
      </x:c>
      <x:c r="D4641" s="47" t="n">
        <x:f>'Datos'!$B$26^3/3</x:f>
        <x:v>0.3333333333333333</x:v>
      </x:c>
      <x:c r="E4641" s="46" t="n">
        <x:f>D4641*(C4641-1)</x:f>
        <x:v>-0.32658070410274687</x:v>
      </x:c>
      <x:c r="F4641" s="2"/>
      <x:c r="G4641" s="2"/>
      <x:c r="H4641" s="2"/>
    </x:row>
    <x:row r="4642" ht="22" customHeight="1">
      <x:c r="A4642" s="2" t="n">
        <x:v>4636</x:v>
      </x:c>
      <x:c r="B4642" s="79" t="n">
        <x:v>-1.2847346321659707</x:v>
      </x:c>
      <x:c r="C4642" s="46" t="n">
        <x:f>B4642^2</x:f>
        <x:v>1.6505430750866321</x:v>
      </x:c>
      <x:c r="D4642" s="47" t="n">
        <x:f>'Datos'!$B$26^3/3</x:f>
        <x:v>0.3333333333333333</x:v>
      </x:c>
      <x:c r="E4642" s="46" t="n">
        <x:f>D4642*(C4642-1)</x:f>
        <x:v>0.21684769169554402</x:v>
      </x:c>
      <x:c r="F4642" s="2"/>
      <x:c r="G4642" s="2"/>
      <x:c r="H4642" s="2"/>
    </x:row>
    <x:row r="4643" ht="22" customHeight="1">
      <x:c r="A4643" s="2" t="n">
        <x:v>4637</x:v>
      </x:c>
      <x:c r="B4643" s="79" t="n">
        <x:v>-0.011241734496030336</x:v>
      </x:c>
      <x:c r="C4643" s="46" t="n">
        <x:f>B4643^2</x:f>
        <x:v>0.00012637659447923844</x:v>
      </x:c>
      <x:c r="D4643" s="47" t="n">
        <x:f>'Datos'!$B$26^3/3</x:f>
        <x:v>0.3333333333333333</x:v>
      </x:c>
      <x:c r="E4643" s="46" t="n">
        <x:f>D4643*(C4643-1)</x:f>
        <x:v>-0.33329120780184024</x:v>
      </x:c>
      <x:c r="F4643" s="2"/>
      <x:c r="G4643" s="2"/>
      <x:c r="H4643" s="2"/>
    </x:row>
    <x:row r="4644" ht="22" customHeight="1">
      <x:c r="A4644" s="2" t="n">
        <x:v>4638</x:v>
      </x:c>
      <x:c r="B4644" s="79" t="n">
        <x:v>-0.0358270672036505</x:v>
      </x:c>
      <x:c r="C4644" s="46" t="n">
        <x:f>B4644^2</x:f>
        <x:v>0.0012835787444148896</x:v>
      </x:c>
      <x:c r="D4644" s="47" t="n">
        <x:f>'Datos'!$B$26^3/3</x:f>
        <x:v>0.3333333333333333</x:v>
      </x:c>
      <x:c r="E4644" s="46" t="n">
        <x:f>D4644*(C4644-1)</x:f>
        <x:v>-0.3329054737518617</x:v>
      </x:c>
      <x:c r="F4644" s="2"/>
      <x:c r="G4644" s="2"/>
      <x:c r="H4644" s="2"/>
    </x:row>
    <x:row r="4645" ht="22" customHeight="1">
      <x:c r="A4645" s="2" t="n">
        <x:v>4639</x:v>
      </x:c>
      <x:c r="B4645" s="79" t="n">
        <x:v>2.4071248267235887</x:v>
      </x:c>
      <x:c r="C4645" s="46" t="n">
        <x:f>B4645^2</x:f>
        <x:v>5.794249931429067</x:v>
      </x:c>
      <x:c r="D4645" s="47" t="n">
        <x:f>'Datos'!$B$26^3/3</x:f>
        <x:v>0.3333333333333333</x:v>
      </x:c>
      <x:c r="E4645" s="46" t="n">
        <x:f>D4645*(C4645-1)</x:f>
        <x:v>1.5980833104763557</x:v>
      </x:c>
      <x:c r="F4645" s="2"/>
      <x:c r="G4645" s="2"/>
      <x:c r="H4645" s="2"/>
    </x:row>
    <x:row r="4646" ht="22" customHeight="1">
      <x:c r="A4646" s="2" t="n">
        <x:v>4640</x:v>
      </x:c>
      <x:c r="B4646" s="79" t="n">
        <x:v>0.041817715104558964</x:v>
      </x:c>
      <x:c r="C4646" s="46" t="n">
        <x:f>B4646^2</x:f>
        <x:v>0.001748721296566059</x:v>
      </x:c>
      <x:c r="D4646" s="47" t="n">
        <x:f>'Datos'!$B$26^3/3</x:f>
        <x:v>0.3333333333333333</x:v>
      </x:c>
      <x:c r="E4646" s="46" t="n">
        <x:f>D4646*(C4646-1)</x:f>
        <x:v>-0.3327504262344779</x:v>
      </x:c>
      <x:c r="F4646" s="2"/>
      <x:c r="G4646" s="2"/>
      <x:c r="H4646" s="2"/>
    </x:row>
    <x:row r="4647" ht="22" customHeight="1">
      <x:c r="A4647" s="2" t="n">
        <x:v>4641</x:v>
      </x:c>
      <x:c r="B4647" s="79" t="n">
        <x:v>-1.2888336014555974</x:v>
      </x:c>
      <x:c r="C4647" s="46" t="n">
        <x:f>B4647^2</x:f>
        <x:v>1.6610920522410058</x:v>
      </x:c>
      <x:c r="D4647" s="47" t="n">
        <x:f>'Datos'!$B$26^3/3</x:f>
        <x:v>0.3333333333333333</x:v>
      </x:c>
      <x:c r="E4647" s="46" t="n">
        <x:f>D4647*(C4647-1)</x:f>
        <x:v>0.22036401741366857</x:v>
      </x:c>
      <x:c r="F4647" s="2"/>
      <x:c r="G4647" s="2"/>
      <x:c r="H4647" s="2"/>
    </x:row>
    <x:row r="4648" ht="22" customHeight="1">
      <x:c r="A4648" s="2" t="n">
        <x:v>4642</x:v>
      </x:c>
      <x:c r="B4648" s="79" t="n">
        <x:v>-2.4178103033401523</x:v>
      </x:c>
      <x:c r="C4648" s="46" t="n">
        <x:f>B4648^2</x:f>
        <x:v>5.845806662937799</x:v>
      </x:c>
      <x:c r="D4648" s="47" t="n">
        <x:f>'Datos'!$B$26^3/3</x:f>
        <x:v>0.3333333333333333</x:v>
      </x:c>
      <x:c r="E4648" s="46" t="n">
        <x:f>D4648*(C4648-1)</x:f>
        <x:v>1.6152688876459331</x:v>
      </x:c>
      <x:c r="F4648" s="2"/>
      <x:c r="G4648" s="2"/>
      <x:c r="H4648" s="2"/>
    </x:row>
    <x:row r="4649" ht="22" customHeight="1">
      <x:c r="A4649" s="2" t="n">
        <x:v>4643</x:v>
      </x:c>
      <x:c r="B4649" s="79" t="n">
        <x:v>0.26423519537447676</x:v>
      </x:c>
      <x:c r="C4649" s="46" t="n">
        <x:f>B4649^2</x:f>
        <x:v>0.0698202384745879</x:v>
      </x:c>
      <x:c r="D4649" s="47" t="n">
        <x:f>'Datos'!$B$26^3/3</x:f>
        <x:v>0.3333333333333333</x:v>
      </x:c>
      <x:c r="E4649" s="46" t="n">
        <x:f>D4649*(C4649-1)</x:f>
        <x:v>-0.3100599205084707</x:v>
      </x:c>
      <x:c r="F4649" s="2"/>
      <x:c r="G4649" s="2"/>
      <x:c r="H4649" s="2"/>
    </x:row>
    <x:row r="4650" ht="22" customHeight="1">
      <x:c r="A4650" s="2" t="n">
        <x:v>4644</x:v>
      </x:c>
      <x:c r="B4650" s="79" t="n">
        <x:v>0.7222245027959204</x:v>
      </x:c>
      <x:c r="C4650" s="46" t="n">
        <x:f>B4650^2</x:f>
        <x:v>0.5216082324388145</x:v>
      </x:c>
      <x:c r="D4650" s="47" t="n">
        <x:f>'Datos'!$B$26^3/3</x:f>
        <x:v>0.3333333333333333</x:v>
      </x:c>
      <x:c r="E4650" s="46" t="n">
        <x:f>D4650*(C4650-1)</x:f>
        <x:v>-0.15946392252039515</x:v>
      </x:c>
      <x:c r="F4650" s="2"/>
      <x:c r="G4650" s="2"/>
      <x:c r="H4650" s="2"/>
    </x:row>
    <x:row r="4651" ht="22" customHeight="1">
      <x:c r="A4651" s="2" t="n">
        <x:v>4645</x:v>
      </x:c>
      <x:c r="B4651" s="79" t="n">
        <x:v>0.7604356306815502</x:v>
      </x:c>
      <x:c r="C4651" s="46" t="n">
        <x:f>B4651^2</x:f>
        <x:v>0.578262348410047</x:v>
      </x:c>
      <x:c r="D4651" s="47" t="n">
        <x:f>'Datos'!$B$26^3/3</x:f>
        <x:v>0.3333333333333333</x:v>
      </x:c>
      <x:c r="E4651" s="46" t="n">
        <x:f>D4651*(C4651-1)</x:f>
        <x:v>-0.140579217196651</x:v>
      </x:c>
      <x:c r="F4651" s="2"/>
      <x:c r="G4651" s="2"/>
      <x:c r="H4651" s="2"/>
    </x:row>
    <x:row r="4652" ht="22" customHeight="1">
      <x:c r="A4652" s="2" t="n">
        <x:v>4646</x:v>
      </x:c>
      <x:c r="B4652" s="79" t="n">
        <x:v>1.6191845196610317</x:v>
      </x:c>
      <x:c r="C4652" s="46" t="n">
        <x:f>B4652^2</x:f>
        <x:v>2.621758508709926</x:v>
      </x:c>
      <x:c r="D4652" s="47" t="n">
        <x:f>'Datos'!$B$26^3/3</x:f>
        <x:v>0.3333333333333333</x:v>
      </x:c>
      <x:c r="E4652" s="46" t="n">
        <x:f>D4652*(C4652-1)</x:f>
        <x:v>0.5405861695699753</x:v>
      </x:c>
      <x:c r="F4652" s="2"/>
      <x:c r="G4652" s="2"/>
      <x:c r="H4652" s="2"/>
    </x:row>
    <x:row r="4653" ht="22" customHeight="1">
      <x:c r="A4653" s="2" t="n">
        <x:v>4647</x:v>
      </x:c>
      <x:c r="B4653" s="79" t="n">
        <x:v>-0.6891453091774029</x:v>
      </x:c>
      <x:c r="C4653" s="46" t="n">
        <x:f>B4653^2</x:f>
        <x:v>0.47492125716121825</x:v>
      </x:c>
      <x:c r="D4653" s="47" t="n">
        <x:f>'Datos'!$B$26^3/3</x:f>
        <x:v>0.3333333333333333</x:v>
      </x:c>
      <x:c r="E4653" s="46" t="n">
        <x:f>D4653*(C4653-1)</x:f>
        <x:v>-0.17502624761292723</x:v>
      </x:c>
      <x:c r="F4653" s="2"/>
      <x:c r="G4653" s="2"/>
      <x:c r="H4653" s="2"/>
    </x:row>
    <x:row r="4654" ht="22" customHeight="1">
      <x:c r="A4654" s="2" t="n">
        <x:v>4648</x:v>
      </x:c>
      <x:c r="B4654" s="79" t="n">
        <x:v>0.4393916281698602</x:v>
      </x:c>
      <x:c r="C4654" s="46" t="n">
        <x:f>B4654^2</x:f>
        <x:v>0.1930650029057607</x:v>
      </x:c>
      <x:c r="D4654" s="47" t="n">
        <x:f>'Datos'!$B$26^3/3</x:f>
        <x:v>0.3333333333333333</x:v>
      </x:c>
      <x:c r="E4654" s="46" t="n">
        <x:f>D4654*(C4654-1)</x:f>
        <x:v>-0.26897833236474644</x:v>
      </x:c>
      <x:c r="F4654" s="2"/>
      <x:c r="G4654" s="2"/>
      <x:c r="H4654" s="2"/>
    </x:row>
    <x:row r="4655" ht="22" customHeight="1">
      <x:c r="A4655" s="2" t="n">
        <x:v>4649</x:v>
      </x:c>
      <x:c r="B4655" s="79" t="n">
        <x:v>1.3505014668935293</x:v>
      </x:c>
      <x:c r="C4655" s="46" t="n">
        <x:f>B4655^2</x:f>
        <x:v>1.8238542120815746</x:v>
      </x:c>
      <x:c r="D4655" s="47" t="n">
        <x:f>'Datos'!$B$26^3/3</x:f>
        <x:v>0.3333333333333333</x:v>
      </x:c>
      <x:c r="E4655" s="46" t="n">
        <x:f>D4655*(C4655-1)</x:f>
        <x:v>0.2746180706938582</x:v>
      </x:c>
      <x:c r="F4655" s="2"/>
      <x:c r="G4655" s="2"/>
      <x:c r="H4655" s="2"/>
    </x:row>
    <x:row r="4656" ht="22" customHeight="1">
      <x:c r="A4656" s="2" t="n">
        <x:v>4650</x:v>
      </x:c>
      <x:c r="B4656" s="79" t="n">
        <x:v>0.6931306320858875</x:v>
      </x:c>
      <x:c r="C4656" s="46" t="n">
        <x:f>B4656^2</x:f>
        <x:v>0.480430073135782</x:v>
      </x:c>
      <x:c r="D4656" s="47" t="n">
        <x:f>'Datos'!$B$26^3/3</x:f>
        <x:v>0.3333333333333333</x:v>
      </x:c>
      <x:c r="E4656" s="46" t="n">
        <x:f>D4656*(C4656-1)</x:f>
        <x:v>-0.17318997562140598</x:v>
      </x:c>
      <x:c r="F4656" s="2"/>
      <x:c r="G4656" s="2"/>
      <x:c r="H4656" s="2"/>
    </x:row>
    <x:row r="4657" ht="22" customHeight="1">
      <x:c r="A4657" s="2" t="n">
        <x:v>4651</x:v>
      </x:c>
      <x:c r="B4657" s="79" t="n">
        <x:v>-0.135959045880202</x:v>
      </x:c>
      <x:c r="C4657" s="46" t="n">
        <x:f>B4657^2</x:f>
        <x:v>0.01848486215665487</x:v>
      </x:c>
      <x:c r="D4657" s="47" t="n">
        <x:f>'Datos'!$B$26^3/3</x:f>
        <x:v>0.3333333333333333</x:v>
      </x:c>
      <x:c r="E4657" s="46" t="n">
        <x:f>D4657*(C4657-1)</x:f>
        <x:v>-0.32717171261444833</x:v>
      </x:c>
      <x:c r="F4657" s="2"/>
      <x:c r="G4657" s="2"/>
      <x:c r="H4657" s="2"/>
    </x:row>
    <x:row r="4658" ht="22" customHeight="1">
      <x:c r="A4658" s="2" t="n">
        <x:v>4652</x:v>
      </x:c>
      <x:c r="B4658" s="79" t="n">
        <x:v>-1.172763936468506</x:v>
      </x:c>
      <x:c r="C4658" s="46" t="n">
        <x:f>B4658^2</x:f>
        <x:v>1.375375250681106</x:v>
      </x:c>
      <x:c r="D4658" s="47" t="n">
        <x:f>'Datos'!$B$26^3/3</x:f>
        <x:v>0.3333333333333333</x:v>
      </x:c>
      <x:c r="E4658" s="46" t="n">
        <x:f>D4658*(C4658-1)</x:f>
        <x:v>0.1251250835603687</x:v>
      </x:c>
      <x:c r="F4658" s="2"/>
      <x:c r="G4658" s="2"/>
      <x:c r="H4658" s="2"/>
    </x:row>
    <x:row r="4659" ht="22" customHeight="1">
      <x:c r="A4659" s="2" t="n">
        <x:v>4653</x:v>
      </x:c>
      <x:c r="B4659" s="79" t="n">
        <x:v>-0.25828580819969177</x:v>
      </x:c>
      <x:c r="C4659" s="46" t="n">
        <x:f>B4659^2</x:f>
        <x:v>0.06671155871736796</x:v>
      </x:c>
      <x:c r="D4659" s="47" t="n">
        <x:f>'Datos'!$B$26^3/3</x:f>
        <x:v>0.3333333333333333</x:v>
      </x:c>
      <x:c r="E4659" s="46" t="n">
        <x:f>D4659*(C4659-1)</x:f>
        <x:v>-0.31109614709421063</x:v>
      </x:c>
      <x:c r="F4659" s="2"/>
      <x:c r="G4659" s="2"/>
      <x:c r="H4659" s="2"/>
    </x:row>
    <x:row r="4660" ht="22" customHeight="1">
      <x:c r="A4660" s="2" t="n">
        <x:v>4654</x:v>
      </x:c>
      <x:c r="B4660" s="79" t="n">
        <x:v>0.6328991262059576</x:v>
      </x:c>
      <x:c r="C4660" s="46" t="n">
        <x:f>B4660^2</x:f>
        <x:v>0.4005613039522646</x:v>
      </x:c>
      <x:c r="D4660" s="47" t="n">
        <x:f>'Datos'!$B$26^3/3</x:f>
        <x:v>0.3333333333333333</x:v>
      </x:c>
      <x:c r="E4660" s="46" t="n">
        <x:f>D4660*(C4660-1)</x:f>
        <x:v>-0.19981289868257845</x:v>
      </x:c>
      <x:c r="F4660" s="2"/>
      <x:c r="G4660" s="2"/>
      <x:c r="H4660" s="2"/>
    </x:row>
    <x:row r="4661" ht="22" customHeight="1">
      <x:c r="A4661" s="2" t="n">
        <x:v>4655</x:v>
      </x:c>
      <x:c r="B4661" s="79" t="n">
        <x:v>-0.8460519595094411</x:v>
      </x:c>
      <x:c r="C4661" s="46" t="n">
        <x:f>B4661^2</x:f>
        <x:v>0.715803918189765</x:v>
      </x:c>
      <x:c r="D4661" s="47" t="n">
        <x:f>'Datos'!$B$26^3/3</x:f>
        <x:v>0.3333333333333333</x:v>
      </x:c>
      <x:c r="E4661" s="46" t="n">
        <x:f>D4661*(C4661-1)</x:f>
        <x:v>-0.09473202727007835</x:v>
      </x:c>
      <x:c r="F4661" s="2"/>
      <x:c r="G4661" s="2"/>
      <x:c r="H4661" s="2"/>
    </x:row>
    <x:row r="4662" ht="22" customHeight="1">
      <x:c r="A4662" s="2" t="n">
        <x:v>4656</x:v>
      </x:c>
      <x:c r="B4662" s="79" t="n">
        <x:v>1.6819702887300103</x:v>
      </x:c>
      <x:c r="C4662" s="46" t="n">
        <x:f>B4662^2</x:f>
        <x:v>2.829024052170514</x:v>
      </x:c>
      <x:c r="D4662" s="47" t="n">
        <x:f>'Datos'!$B$26^3/3</x:f>
        <x:v>0.3333333333333333</x:v>
      </x:c>
      <x:c r="E4662" s="46" t="n">
        <x:f>D4662*(C4662-1)</x:f>
        <x:v>0.609674684056838</x:v>
      </x:c>
      <x:c r="F4662" s="2"/>
      <x:c r="G4662" s="2"/>
      <x:c r="H4662" s="2"/>
    </x:row>
    <x:row r="4663" ht="22" customHeight="1">
      <x:c r="A4663" s="2" t="n">
        <x:v>4657</x:v>
      </x:c>
      <x:c r="B4663" s="79" t="n">
        <x:v>-0.5017216476661163</x:v>
      </x:c>
      <x:c r="C4663" s="46" t="n">
        <x:f>B4663^2</x:f>
        <x:v>0.2517246117368025</x:v>
      </x:c>
      <x:c r="D4663" s="47" t="n">
        <x:f>'Datos'!$B$26^3/3</x:f>
        <x:v>0.3333333333333333</x:v>
      </x:c>
      <x:c r="E4663" s="46" t="n">
        <x:f>D4663*(C4663-1)</x:f>
        <x:v>-0.24942512942106582</x:v>
      </x:c>
      <x:c r="F4663" s="2"/>
      <x:c r="G4663" s="2"/>
      <x:c r="H4663" s="2"/>
    </x:row>
    <x:row r="4664" ht="22" customHeight="1">
      <x:c r="A4664" s="2" t="n">
        <x:v>4658</x:v>
      </x:c>
      <x:c r="B4664" s="79" t="n">
        <x:v>-1.7754641244284404</x:v>
      </x:c>
      <x:c r="C4664" s="46" t="n">
        <x:f>B4664^2</x:f>
        <x:v>3.1522728571324485</x:v>
      </x:c>
      <x:c r="D4664" s="47" t="n">
        <x:f>'Datos'!$B$26^3/3</x:f>
        <x:v>0.3333333333333333</x:v>
      </x:c>
      <x:c r="E4664" s="46" t="n">
        <x:f>D4664*(C4664-1)</x:f>
        <x:v>0.7174242857108162</x:v>
      </x:c>
      <x:c r="F4664" s="2"/>
      <x:c r="G4664" s="2"/>
      <x:c r="H4664" s="2"/>
    </x:row>
    <x:row r="4665" ht="22" customHeight="1">
      <x:c r="A4665" s="2" t="n">
        <x:v>4659</x:v>
      </x:c>
      <x:c r="B4665" s="79" t="n">
        <x:v>-1.6784938494036659</x:v>
      </x:c>
      <x:c r="C4665" s="46" t="n">
        <x:f>B4665^2</x:f>
        <x:v>2.817341602485936</x:v>
      </x:c>
      <x:c r="D4665" s="47" t="n">
        <x:f>'Datos'!$B$26^3/3</x:f>
        <x:v>0.3333333333333333</x:v>
      </x:c>
      <x:c r="E4665" s="46" t="n">
        <x:f>D4665*(C4665-1)</x:f>
        <x:v>0.6057805341619786</x:v>
      </x:c>
      <x:c r="F4665" s="2"/>
      <x:c r="G4665" s="2"/>
      <x:c r="H4665" s="2"/>
    </x:row>
    <x:row r="4666" ht="22" customHeight="1">
      <x:c r="A4666" s="2" t="n">
        <x:v>4660</x:v>
      </x:c>
      <x:c r="B4666" s="79" t="n">
        <x:v>-1.1621036639764608</x:v>
      </x:c>
      <x:c r="C4666" s="46" t="n">
        <x:f>B4666^2</x:f>
        <x:v>1.350484925827515</x:v>
      </x:c>
      <x:c r="D4666" s="47" t="n">
        <x:f>'Datos'!$B$26^3/3</x:f>
        <x:v>0.3333333333333333</x:v>
      </x:c>
      <x:c r="E4666" s="46" t="n">
        <x:f>D4666*(C4666-1)</x:f>
        <x:v>0.11682830860917162</x:v>
      </x:c>
      <x:c r="F4666" s="2"/>
      <x:c r="G4666" s="2"/>
      <x:c r="H4666" s="2"/>
    </x:row>
    <x:row r="4667" ht="22" customHeight="1">
      <x:c r="A4667" s="2" t="n">
        <x:v>4661</x:v>
      </x:c>
      <x:c r="B4667" s="79" t="n">
        <x:v>-2.3355829490096864</x:v>
      </x:c>
      <x:c r="C4667" s="46" t="n">
        <x:f>B4667^2</x:f>
        <x:v>5.454947711704784</x:v>
      </x:c>
      <x:c r="D4667" s="47" t="n">
        <x:f>'Datos'!$B$26^3/3</x:f>
        <x:v>0.3333333333333333</x:v>
      </x:c>
      <x:c r="E4667" s="46" t="n">
        <x:f>D4667*(C4667-1)</x:f>
        <x:v>1.484982570568261</x:v>
      </x:c>
      <x:c r="F4667" s="2"/>
      <x:c r="G4667" s="2"/>
      <x:c r="H4667" s="2"/>
    </x:row>
    <x:row r="4668" ht="22" customHeight="1">
      <x:c r="A4668" s="2" t="n">
        <x:v>4662</x:v>
      </x:c>
      <x:c r="B4668" s="79" t="n">
        <x:v>-0.6531409945098604</x:v>
      </x:c>
      <x:c r="C4668" s="46" t="n">
        <x:f>B4668^2</x:f>
        <x:v>0.4265931587093295</x:v>
      </x:c>
      <x:c r="D4668" s="47" t="n">
        <x:f>'Datos'!$B$26^3/3</x:f>
        <x:v>0.3333333333333333</x:v>
      </x:c>
      <x:c r="E4668" s="46" t="n">
        <x:f>D4668*(C4668-1)</x:f>
        <x:v>-0.19113561376355684</x:v>
      </x:c>
      <x:c r="F4668" s="2"/>
      <x:c r="G4668" s="2"/>
      <x:c r="H4668" s="2"/>
    </x:row>
    <x:row r="4669" ht="22" customHeight="1">
      <x:c r="A4669" s="2" t="n">
        <x:v>4663</x:v>
      </x:c>
      <x:c r="B4669" s="79" t="n">
        <x:v>-0.8140127021956296</x:v>
      </x:c>
      <x:c r="C4669" s="46" t="n">
        <x:f>B4669^2</x:f>
        <x:v>0.6626166793358308</x:v>
      </x:c>
      <x:c r="D4669" s="47" t="n">
        <x:f>'Datos'!$B$26^3/3</x:f>
        <x:v>0.3333333333333333</x:v>
      </x:c>
      <x:c r="E4669" s="46" t="n">
        <x:f>D4669*(C4669-1)</x:f>
        <x:v>-0.1124611068880564</x:v>
      </x:c>
      <x:c r="F4669" s="2"/>
      <x:c r="G4669" s="2"/>
      <x:c r="H4669" s="2"/>
    </x:row>
    <x:row r="4670" ht="22" customHeight="1">
      <x:c r="A4670" s="2" t="n">
        <x:v>4664</x:v>
      </x:c>
      <x:c r="B4670" s="79" t="n">
        <x:v>-0.8029352342031755</x:v>
      </x:c>
      <x:c r="C4670" s="46" t="n">
        <x:f>B4670^2</x:f>
        <x:v>0.6447049903249082</x:v>
      </x:c>
      <x:c r="D4670" s="47" t="n">
        <x:f>'Datos'!$B$26^3/3</x:f>
        <x:v>0.3333333333333333</x:v>
      </x:c>
      <x:c r="E4670" s="46" t="n">
        <x:f>D4670*(C4670-1)</x:f>
        <x:v>-0.11843166989169725</x:v>
      </x:c>
      <x:c r="F4670" s="2"/>
      <x:c r="G4670" s="2"/>
      <x:c r="H4670" s="2"/>
    </x:row>
    <x:row r="4671" ht="22" customHeight="1">
      <x:c r="A4671" s="2" t="n">
        <x:v>4665</x:v>
      </x:c>
      <x:c r="B4671" s="79" t="n">
        <x:v>-0.4158235236467924</x:v>
      </x:c>
      <x:c r="C4671" s="46" t="n">
        <x:f>B4671^2</x:f>
        <x:v>0.17290920281803454</x:v>
      </x:c>
      <x:c r="D4671" s="47" t="n">
        <x:f>'Datos'!$B$26^3/3</x:f>
        <x:v>0.3333333333333333</x:v>
      </x:c>
      <x:c r="E4671" s="46" t="n">
        <x:f>D4671*(C4671-1)</x:f>
        <x:v>-0.27569693239398846</x:v>
      </x:c>
      <x:c r="F4671" s="2"/>
      <x:c r="G4671" s="2"/>
      <x:c r="H4671" s="2"/>
    </x:row>
    <x:row r="4672" ht="22" customHeight="1">
      <x:c r="A4672" s="2" t="n">
        <x:v>4666</x:v>
      </x:c>
      <x:c r="B4672" s="79" t="n">
        <x:v>-1.0517028745894235</x:v>
      </x:c>
      <x:c r="C4672" s="46" t="n">
        <x:f>B4672^2</x:f>
        <x:v>1.1060789364196566</x:v>
      </x:c>
      <x:c r="D4672" s="47" t="n">
        <x:f>'Datos'!$B$26^3/3</x:f>
        <x:v>0.3333333333333333</x:v>
      </x:c>
      <x:c r="E4672" s="46" t="n">
        <x:f>D4672*(C4672-1)</x:f>
        <x:v>0.03535964547321886</x:v>
      </x:c>
      <x:c r="F4672" s="2"/>
      <x:c r="G4672" s="2"/>
      <x:c r="H4672" s="2"/>
    </x:row>
    <x:row r="4673" ht="22" customHeight="1">
      <x:c r="A4673" s="2" t="n">
        <x:v>4667</x:v>
      </x:c>
      <x:c r="B4673" s="79" t="n">
        <x:v>1.3945120205557828</x:v>
      </x:c>
      <x:c r="C4673" s="46" t="n">
        <x:f>B4673^2</x:f>
        <x:v>1.9446637754745721</x:v>
      </x:c>
      <x:c r="D4673" s="47" t="n">
        <x:f>'Datos'!$B$26^3/3</x:f>
        <x:v>0.3333333333333333</x:v>
      </x:c>
      <x:c r="E4673" s="46" t="n">
        <x:f>D4673*(C4673-1)</x:f>
        <x:v>0.3148879251581907</x:v>
      </x:c>
      <x:c r="F4673" s="2"/>
      <x:c r="G4673" s="2"/>
      <x:c r="H4673" s="2"/>
    </x:row>
    <x:row r="4674" ht="22" customHeight="1">
      <x:c r="A4674" s="2" t="n">
        <x:v>4668</x:v>
      </x:c>
      <x:c r="B4674" s="79" t="n">
        <x:v>0.8155784606835547</x:v>
      </x:c>
      <x:c r="C4674" s="46" t="n">
        <x:f>B4674^2</x:f>
        <x:v>0.6651682255309566</x:v>
      </x:c>
      <x:c r="D4674" s="47" t="n">
        <x:f>'Datos'!$B$26^3/3</x:f>
        <x:v>0.3333333333333333</x:v>
      </x:c>
      <x:c r="E4674" s="46" t="n">
        <x:f>D4674*(C4674-1)</x:f>
        <x:v>-0.11161059148968114</x:v>
      </x:c>
      <x:c r="F4674" s="2"/>
      <x:c r="G4674" s="2"/>
      <x:c r="H4674" s="2"/>
    </x:row>
    <x:row r="4675" ht="22" customHeight="1">
      <x:c r="A4675" s="2" t="n">
        <x:v>4669</x:v>
      </x:c>
      <x:c r="B4675" s="79" t="n">
        <x:v>-1.7829131554361581</x:v>
      </x:c>
      <x:c r="C4675" s="46" t="n">
        <x:f>B4675^2</x:f>
        <x:v>3.178779319827318</x:v>
      </x:c>
      <x:c r="D4675" s="47" t="n">
        <x:f>'Datos'!$B$26^3/3</x:f>
        <x:v>0.3333333333333333</x:v>
      </x:c>
      <x:c r="E4675" s="46" t="n">
        <x:f>D4675*(C4675-1)</x:f>
        <x:v>0.7262597732757726</x:v>
      </x:c>
      <x:c r="F4675" s="2"/>
      <x:c r="G4675" s="2"/>
      <x:c r="H4675" s="2"/>
    </x:row>
    <x:row r="4676" ht="22" customHeight="1">
      <x:c r="A4676" s="2" t="n">
        <x:v>4670</x:v>
      </x:c>
      <x:c r="B4676" s="79" t="n">
        <x:v>0.3850434413725892</x:v>
      </x:c>
      <x:c r="C4676" s="46" t="n">
        <x:f>B4676^2</x:f>
        <x:v>0.14825845174404656</x:v>
      </x:c>
      <x:c r="D4676" s="47" t="n">
        <x:f>'Datos'!$B$26^3/3</x:f>
        <x:v>0.3333333333333333</x:v>
      </x:c>
      <x:c r="E4676" s="46" t="n">
        <x:f>D4676*(C4676-1)</x:f>
        <x:v>-0.2839138494186511</x:v>
      </x:c>
      <x:c r="F4676" s="2"/>
      <x:c r="G4676" s="2"/>
      <x:c r="H4676" s="2"/>
    </x:row>
    <x:row r="4677" ht="22" customHeight="1">
      <x:c r="A4677" s="2" t="n">
        <x:v>4671</x:v>
      </x:c>
      <x:c r="B4677" s="79" t="n">
        <x:v>0.9467092530745237</x:v>
      </x:c>
      <x:c r="C4677" s="46" t="n">
        <x:f>B4677^2</x:f>
        <x:v>0.8962584098569225</x:v>
      </x:c>
      <x:c r="D4677" s="47" t="n">
        <x:f>'Datos'!$B$26^3/3</x:f>
        <x:v>0.3333333333333333</x:v>
      </x:c>
      <x:c r="E4677" s="46" t="n">
        <x:f>D4677*(C4677-1)</x:f>
        <x:v>-0.034580530047692494</x:v>
      </x:c>
      <x:c r="F4677" s="2"/>
      <x:c r="G4677" s="2"/>
      <x:c r="H4677" s="2"/>
    </x:row>
    <x:row r="4678" ht="22" customHeight="1">
      <x:c r="A4678" s="2" t="n">
        <x:v>4672</x:v>
      </x:c>
      <x:c r="B4678" s="79" t="n">
        <x:v>1.5231486821559188</x:v>
      </x:c>
      <x:c r="C4678" s="46" t="n">
        <x:f>B4678^2</x:f>
        <x:v>2.3199819079533124</x:v>
      </x:c>
      <x:c r="D4678" s="47" t="n">
        <x:f>'Datos'!$B$26^3/3</x:f>
        <x:v>0.3333333333333333</x:v>
      </x:c>
      <x:c r="E4678" s="46" t="n">
        <x:f>D4678*(C4678-1)</x:f>
        <x:v>0.4399939693177708</x:v>
      </x:c>
      <x:c r="F4678" s="2"/>
      <x:c r="G4678" s="2"/>
      <x:c r="H4678" s="2"/>
    </x:row>
    <x:row r="4679" ht="22" customHeight="1">
      <x:c r="A4679" s="2" t="n">
        <x:v>4673</x:v>
      </x:c>
      <x:c r="B4679" s="79" t="n">
        <x:v>-0.3555301931821948</x:v>
      </x:c>
      <x:c r="C4679" s="46" t="n">
        <x:f>B4679^2</x:f>
        <x:v>0.12640171826416877</x:v>
      </x:c>
      <x:c r="D4679" s="47" t="n">
        <x:f>'Datos'!$B$26^3/3</x:f>
        <x:v>0.3333333333333333</x:v>
      </x:c>
      <x:c r="E4679" s="46" t="n">
        <x:f>D4679*(C4679-1)</x:f>
        <x:v>-0.29119942724527703</x:v>
      </x:c>
      <x:c r="F4679" s="2"/>
      <x:c r="G4679" s="2"/>
      <x:c r="H4679" s="2"/>
    </x:row>
    <x:row r="4680" ht="22" customHeight="1">
      <x:c r="A4680" s="2" t="n">
        <x:v>4674</x:v>
      </x:c>
      <x:c r="B4680" s="79" t="n">
        <x:v>0.4516685859854212</x:v>
      </x:c>
      <x:c r="C4680" s="46" t="n">
        <x:f>B4680^2</x:f>
        <x:v>0.20400451156606983</x:v>
      </x:c>
      <x:c r="D4680" s="47" t="n">
        <x:f>'Datos'!$B$26^3/3</x:f>
        <x:v>0.3333333333333333</x:v>
      </x:c>
      <x:c r="E4680" s="46" t="n">
        <x:f>D4680*(C4680-1)</x:f>
        <x:v>-0.26533182947797673</x:v>
      </x:c>
      <x:c r="F4680" s="2"/>
      <x:c r="G4680" s="2"/>
      <x:c r="H4680" s="2"/>
    </x:row>
    <x:row r="4681" ht="22" customHeight="1">
      <x:c r="A4681" s="2" t="n">
        <x:v>4675</x:v>
      </x:c>
      <x:c r="B4681" s="79" t="n">
        <x:v>0.3554486331232477</x:v>
      </x:c>
      <x:c r="C4681" s="46" t="n">
        <x:f>B4681^2</x:f>
        <x:v>0.12634373078918515</x:v>
      </x:c>
      <x:c r="D4681" s="47" t="n">
        <x:f>'Datos'!$B$26^3/3</x:f>
        <x:v>0.3333333333333333</x:v>
      </x:c>
      <x:c r="E4681" s="46" t="n">
        <x:f>D4681*(C4681-1)</x:f>
        <x:v>-0.29121875640360495</x:v>
      </x:c>
      <x:c r="F4681" s="2"/>
      <x:c r="G4681" s="2"/>
      <x:c r="H4681" s="2"/>
    </x:row>
    <x:row r="4682" ht="22" customHeight="1">
      <x:c r="A4682" s="2" t="n">
        <x:v>4676</x:v>
      </x:c>
      <x:c r="B4682" s="79" t="n">
        <x:v>-0.40978173365261994</x:v>
      </x:c>
      <x:c r="C4682" s="46" t="n">
        <x:f>B4682^2</x:f>
        <x:v>0.16792106923534675</x:v>
      </x:c>
      <x:c r="D4682" s="47" t="n">
        <x:f>'Datos'!$B$26^3/3</x:f>
        <x:v>0.3333333333333333</x:v>
      </x:c>
      <x:c r="E4682" s="46" t="n">
        <x:f>D4682*(C4682-1)</x:f>
        <x:v>-0.27735964358821774</x:v>
      </x:c>
      <x:c r="F4682" s="2"/>
      <x:c r="G4682" s="2"/>
      <x:c r="H4682" s="2"/>
    </x:row>
    <x:row r="4683" ht="22" customHeight="1">
      <x:c r="A4683" s="2" t="n">
        <x:v>4677</x:v>
      </x:c>
      <x:c r="B4683" s="79" t="n">
        <x:v>0.31547709766795945</x:v>
      </x:c>
      <x:c r="C4683" s="46" t="n">
        <x:f>B4683^2</x:f>
        <x:v>0.09952579915299922</x:v>
      </x:c>
      <x:c r="D4683" s="47" t="n">
        <x:f>'Datos'!$B$26^3/3</x:f>
        <x:v>0.3333333333333333</x:v>
      </x:c>
      <x:c r="E4683" s="46" t="n">
        <x:f>D4683*(C4683-1)</x:f>
        <x:v>-0.30015806694900027</x:v>
      </x:c>
      <x:c r="F4683" s="2"/>
      <x:c r="G4683" s="2"/>
      <x:c r="H4683" s="2"/>
    </x:row>
    <x:row r="4684" ht="22" customHeight="1">
      <x:c r="A4684" s="2" t="n">
        <x:v>4678</x:v>
      </x:c>
      <x:c r="B4684" s="79" t="n">
        <x:v>-0.7099394747892004</x:v>
      </x:c>
      <x:c r="C4684" s="46" t="n">
        <x:f>B4684^2</x:f>
        <x:v>0.5040140578639657</x:v>
      </x:c>
      <x:c r="D4684" s="47" t="n">
        <x:f>'Datos'!$B$26^3/3</x:f>
        <x:v>0.3333333333333333</x:v>
      </x:c>
      <x:c r="E4684" s="46" t="n">
        <x:f>D4684*(C4684-1)</x:f>
        <x:v>-0.16532864737867808</x:v>
      </x:c>
      <x:c r="F4684" s="2"/>
      <x:c r="G4684" s="2"/>
      <x:c r="H4684" s="2"/>
    </x:row>
    <x:row r="4685" ht="22" customHeight="1">
      <x:c r="A4685" s="2" t="n">
        <x:v>4679</x:v>
      </x:c>
      <x:c r="B4685" s="79" t="n">
        <x:v>-0.37040248891700944</x:v>
      </x:c>
      <x:c r="C4685" s="46" t="n">
        <x:f>B4685^2</x:f>
        <x:v>0.1371980037959153</x:v>
      </x:c>
      <x:c r="D4685" s="47" t="n">
        <x:f>'Datos'!$B$26^3/3</x:f>
        <x:v>0.3333333333333333</x:v>
      </x:c>
      <x:c r="E4685" s="46" t="n">
        <x:f>D4685*(C4685-1)</x:f>
        <x:v>-0.28760066540136153</x:v>
      </x:c>
      <x:c r="F4685" s="2"/>
      <x:c r="G4685" s="2"/>
      <x:c r="H4685" s="2"/>
    </x:row>
    <x:row r="4686" ht="22" customHeight="1">
      <x:c r="A4686" s="2" t="n">
        <x:v>4680</x:v>
      </x:c>
      <x:c r="B4686" s="79" t="n">
        <x:v>1.9716173851525636</x:v>
      </x:c>
      <x:c r="C4686" s="46" t="n">
        <x:f>B4686^2</x:f>
        <x:v>3.887275113435832</x:v>
      </x:c>
      <x:c r="D4686" s="47" t="n">
        <x:f>'Datos'!$B$26^3/3</x:f>
        <x:v>0.3333333333333333</x:v>
      </x:c>
      <x:c r="E4686" s="46" t="n">
        <x:f>D4686*(C4686-1)</x:f>
        <x:v>0.962425037811944</x:v>
      </x:c>
      <x:c r="F4686" s="2"/>
      <x:c r="G4686" s="2"/>
      <x:c r="H4686" s="2"/>
    </x:row>
    <x:row r="4687" ht="22" customHeight="1">
      <x:c r="A4687" s="2" t="n">
        <x:v>4681</x:v>
      </x:c>
      <x:c r="B4687" s="79" t="n">
        <x:v>1.9248007837917787</x:v>
      </x:c>
      <x:c r="C4687" s="46" t="n">
        <x:f>B4687^2</x:f>
        <x:v>3.7048580572854455</x:v>
      </x:c>
      <x:c r="D4687" s="47" t="n">
        <x:f>'Datos'!$B$26^3/3</x:f>
        <x:v>0.3333333333333333</x:v>
      </x:c>
      <x:c r="E4687" s="46" t="n">
        <x:f>D4687*(C4687-1)</x:f>
        <x:v>0.9016193524284818</x:v>
      </x:c>
      <x:c r="F4687" s="2"/>
      <x:c r="G4687" s="2"/>
      <x:c r="H4687" s="2"/>
    </x:row>
    <x:row r="4688" ht="22" customHeight="1">
      <x:c r="A4688" s="2" t="n">
        <x:v>4682</x:v>
      </x:c>
      <x:c r="B4688" s="79" t="n">
        <x:v>-0.43211184177189765</x:v>
      </x:c>
      <x:c r="C4688" s="46" t="n">
        <x:f>B4688^2</x:f>
        <x:v>0.1867206437995015</x:v>
      </x:c>
      <x:c r="D4688" s="47" t="n">
        <x:f>'Datos'!$B$26^3/3</x:f>
        <x:v>0.3333333333333333</x:v>
      </x:c>
      <x:c r="E4688" s="46" t="n">
        <x:f>D4688*(C4688-1)</x:f>
        <x:v>-0.2710931187334995</x:v>
      </x:c>
      <x:c r="F4688" s="2"/>
      <x:c r="G4688" s="2"/>
      <x:c r="H4688" s="2"/>
    </x:row>
    <x:row r="4689" ht="22" customHeight="1">
      <x:c r="A4689" s="2" t="n">
        <x:v>4683</x:v>
      </x:c>
      <x:c r="B4689" s="79" t="n">
        <x:v>0.7140635789019982</x:v>
      </x:c>
      <x:c r="C4689" s="46" t="n">
        <x:f>B4689^2</x:f>
        <x:v>0.5098867947143303</x:v>
      </x:c>
      <x:c r="D4689" s="47" t="n">
        <x:f>'Datos'!$B$26^3/3</x:f>
        <x:v>0.3333333333333333</x:v>
      </x:c>
      <x:c r="E4689" s="46" t="n">
        <x:f>D4689*(C4689-1)</x:f>
        <x:v>-0.16337106842855656</x:v>
      </x:c>
      <x:c r="F4689" s="2"/>
      <x:c r="G4689" s="2"/>
      <x:c r="H4689" s="2"/>
    </x:row>
    <x:row r="4690" ht="22" customHeight="1">
      <x:c r="A4690" s="2" t="n">
        <x:v>4684</x:v>
      </x:c>
      <x:c r="B4690" s="79" t="n">
        <x:v>0.4485992445001372</x:v>
      </x:c>
      <x:c r="C4690" s="46" t="n">
        <x:f>B4690^2</x:f>
        <x:v>0.20124128216609388</x:v>
      </x:c>
      <x:c r="D4690" s="47" t="n">
        <x:f>'Datos'!$B$26^3/3</x:f>
        <x:v>0.3333333333333333</x:v>
      </x:c>
      <x:c r="E4690" s="46" t="n">
        <x:f>D4690*(C4690-1)</x:f>
        <x:v>-0.26625290594463535</x:v>
      </x:c>
      <x:c r="F4690" s="2"/>
      <x:c r="G4690" s="2"/>
      <x:c r="H4690" s="2"/>
    </x:row>
    <x:row r="4691" ht="22" customHeight="1">
      <x:c r="A4691" s="2" t="n">
        <x:v>4685</x:v>
      </x:c>
      <x:c r="B4691" s="79" t="n">
        <x:v>0.5636762510064018</x:v>
      </x:c>
      <x:c r="C4691" s="46" t="n">
        <x:f>B4691^2</x:f>
        <x:v>0.3177309159486321</x:v>
      </x:c>
      <x:c r="D4691" s="47" t="n">
        <x:f>'Datos'!$B$26^3/3</x:f>
        <x:v>0.3333333333333333</x:v>
      </x:c>
      <x:c r="E4691" s="46" t="n">
        <x:f>D4691*(C4691-1)</x:f>
        <x:v>-0.2274230280171226</x:v>
      </x:c>
      <x:c r="F4691" s="2"/>
      <x:c r="G4691" s="2"/>
      <x:c r="H4691" s="2"/>
    </x:row>
    <x:row r="4692" ht="22" customHeight="1">
      <x:c r="A4692" s="2" t="n">
        <x:v>4686</x:v>
      </x:c>
      <x:c r="B4692" s="79" t="n">
        <x:v>0.7423159311534543</x:v>
      </x:c>
      <x:c r="C4692" s="46" t="n">
        <x:f>B4692^2</x:f>
        <x:v>0.5510329416442199</x:v>
      </x:c>
      <x:c r="D4692" s="47" t="n">
        <x:f>'Datos'!$B$26^3/3</x:f>
        <x:v>0.3333333333333333</x:v>
      </x:c>
      <x:c r="E4692" s="46" t="n">
        <x:f>D4692*(C4692-1)</x:f>
        <x:v>-0.14965568611859337</x:v>
      </x:c>
      <x:c r="F4692" s="2"/>
      <x:c r="G4692" s="2"/>
      <x:c r="H4692" s="2"/>
    </x:row>
    <x:row r="4693" ht="22" customHeight="1">
      <x:c r="A4693" s="2" t="n">
        <x:v>4687</x:v>
      </x:c>
      <x:c r="B4693" s="79" t="n">
        <x:v>1.2121183659298937</x:v>
      </x:c>
      <x:c r="C4693" s="46" t="n">
        <x:f>B4693^2</x:f>
        <x:v>1.4692309330245559</x:v>
      </x:c>
      <x:c r="D4693" s="47" t="n">
        <x:f>'Datos'!$B$26^3/3</x:f>
        <x:v>0.3333333333333333</x:v>
      </x:c>
      <x:c r="E4693" s="46" t="n">
        <x:f>D4693*(C4693-1)</x:f>
        <x:v>0.15641031100818528</x:v>
      </x:c>
      <x:c r="F4693" s="2"/>
      <x:c r="G4693" s="2"/>
      <x:c r="H4693" s="2"/>
    </x:row>
    <x:row r="4694" ht="22" customHeight="1">
      <x:c r="A4694" s="2" t="n">
        <x:v>4688</x:v>
      </x:c>
      <x:c r="B4694" s="79" t="n">
        <x:v>0.2459002168129673</x:v>
      </x:c>
      <x:c r="C4694" s="46" t="n">
        <x:f>B4694^2</x:f>
        <x:v>0.06046691662866433</x:v>
      </x:c>
      <x:c r="D4694" s="47" t="n">
        <x:f>'Datos'!$B$26^3/3</x:f>
        <x:v>0.3333333333333333</x:v>
      </x:c>
      <x:c r="E4694" s="46" t="n">
        <x:f>D4694*(C4694-1)</x:f>
        <x:v>-0.31317769445711185</x:v>
      </x:c>
      <x:c r="F4694" s="2"/>
      <x:c r="G4694" s="2"/>
      <x:c r="H4694" s="2"/>
    </x:row>
    <x:row r="4695" ht="22" customHeight="1">
      <x:c r="A4695" s="2" t="n">
        <x:v>4689</x:v>
      </x:c>
      <x:c r="B4695" s="79" t="n">
        <x:v>-1.423609526082909</x:v>
      </x:c>
      <x:c r="C4695" s="46" t="n">
        <x:f>B4695^2</x:f>
        <x:v>2.0266640827540043</x:v>
      </x:c>
      <x:c r="D4695" s="47" t="n">
        <x:f>'Datos'!$B$26^3/3</x:f>
        <x:v>0.3333333333333333</x:v>
      </x:c>
      <x:c r="E4695" s="46" t="n">
        <x:f>D4695*(C4695-1)</x:f>
        <x:v>0.3422213609180014</x:v>
      </x:c>
      <x:c r="F4695" s="2"/>
      <x:c r="G4695" s="2"/>
      <x:c r="H4695" s="2"/>
    </x:row>
    <x:row r="4696" ht="22" customHeight="1">
      <x:c r="A4696" s="2" t="n">
        <x:v>4690</x:v>
      </x:c>
      <x:c r="B4696" s="79" t="n">
        <x:v>-1.4915182875525572</x:v>
      </x:c>
      <x:c r="C4696" s="46" t="n">
        <x:f>B4696^2</x:f>
        <x:v>2.2246268021037126</x:v>
      </x:c>
      <x:c r="D4696" s="47" t="n">
        <x:f>'Datos'!$B$26^3/3</x:f>
        <x:v>0.3333333333333333</x:v>
      </x:c>
      <x:c r="E4696" s="46" t="n">
        <x:f>D4696*(C4696-1)</x:f>
        <x:v>0.4082089340345708</x:v>
      </x:c>
      <x:c r="F4696" s="2"/>
      <x:c r="G4696" s="2"/>
      <x:c r="H4696" s="2"/>
    </x:row>
    <x:row r="4697" ht="22" customHeight="1">
      <x:c r="A4697" s="2" t="n">
        <x:v>4691</x:v>
      </x:c>
      <x:c r="B4697" s="79" t="n">
        <x:v>-0.6466213576555527</x:v>
      </x:c>
      <x:c r="C4697" s="46" t="n">
        <x:f>B4697^2</x:f>
        <x:v>0.4181191801763102</x:v>
      </x:c>
      <x:c r="D4697" s="47" t="n">
        <x:f>'Datos'!$B$26^3/3</x:f>
        <x:v>0.3333333333333333</x:v>
      </x:c>
      <x:c r="E4697" s="46" t="n">
        <x:f>D4697*(C4697-1)</x:f>
        <x:v>-0.19396027327456325</x:v>
      </x:c>
      <x:c r="F4697" s="2"/>
      <x:c r="G4697" s="2"/>
      <x:c r="H4697" s="2"/>
    </x:row>
    <x:row r="4698" ht="22" customHeight="1">
      <x:c r="A4698" s="2" t="n">
        <x:v>4692</x:v>
      </x:c>
      <x:c r="B4698" s="79" t="n">
        <x:v>0.3572183071734115</x:v>
      </x:c>
      <x:c r="C4698" s="46" t="n">
        <x:f>B4698^2</x:f>
        <x:v>0.12760491897983778</x:v>
      </x:c>
      <x:c r="D4698" s="47" t="n">
        <x:f>'Datos'!$B$26^3/3</x:f>
        <x:v>0.3333333333333333</x:v>
      </x:c>
      <x:c r="E4698" s="46" t="n">
        <x:f>D4698*(C4698-1)</x:f>
        <x:v>-0.290798360340054</x:v>
      </x:c>
      <x:c r="F4698" s="2"/>
      <x:c r="G4698" s="2"/>
      <x:c r="H4698" s="2"/>
    </x:row>
    <x:row r="4699" ht="22" customHeight="1">
      <x:c r="A4699" s="2" t="n">
        <x:v>4693</x:v>
      </x:c>
      <x:c r="B4699" s="79" t="n">
        <x:v>0.1170246878818794</x:v>
      </x:c>
      <x:c r="C4699" s="46" t="n">
        <x:f>B4699^2</x:f>
        <x:v>0.013694777573851293</x:v>
      </x:c>
      <x:c r="D4699" s="47" t="n">
        <x:f>'Datos'!$B$26^3/3</x:f>
        <x:v>0.3333333333333333</x:v>
      </x:c>
      <x:c r="E4699" s="46" t="n">
        <x:f>D4699*(C4699-1)</x:f>
        <x:v>-0.3287684074753829</x:v>
      </x:c>
      <x:c r="F4699" s="2"/>
      <x:c r="G4699" s="2"/>
      <x:c r="H4699" s="2"/>
    </x:row>
    <x:row r="4700" ht="22" customHeight="1">
      <x:c r="A4700" s="2" t="n">
        <x:v>4694</x:v>
      </x:c>
      <x:c r="B4700" s="79" t="n">
        <x:v>-0.8302253693366038</x:v>
      </x:c>
      <x:c r="C4700" s="46" t="n">
        <x:f>B4700^2</x:f>
        <x:v>0.6892741638901003</x:v>
      </x:c>
      <x:c r="D4700" s="47" t="n">
        <x:f>'Datos'!$B$26^3/3</x:f>
        <x:v>0.3333333333333333</x:v>
      </x:c>
      <x:c r="E4700" s="46" t="n">
        <x:f>D4700*(C4700-1)</x:f>
        <x:v>-0.10357527870329988</x:v>
      </x:c>
      <x:c r="F4700" s="2"/>
      <x:c r="G4700" s="2"/>
      <x:c r="H4700" s="2"/>
    </x:row>
    <x:row r="4701" ht="22" customHeight="1">
      <x:c r="A4701" s="2" t="n">
        <x:v>4695</x:v>
      </x:c>
      <x:c r="B4701" s="79" t="n">
        <x:v>-0.875291935774741</x:v>
      </x:c>
      <x:c r="C4701" s="46" t="n">
        <x:f>B4701^2</x:f>
        <x:v>0.7661359728322933</x:v>
      </x:c>
      <x:c r="D4701" s="47" t="n">
        <x:f>'Datos'!$B$26^3/3</x:f>
        <x:v>0.3333333333333333</x:v>
      </x:c>
      <x:c r="E4701" s="46" t="n">
        <x:f>D4701*(C4701-1)</x:f>
        <x:v>-0.0779546757225689</x:v>
      </x:c>
      <x:c r="F4701" s="2"/>
      <x:c r="G4701" s="2"/>
      <x:c r="H4701" s="2"/>
    </x:row>
    <x:row r="4702" ht="22" customHeight="1">
      <x:c r="A4702" s="2" t="n">
        <x:v>4696</x:v>
      </x:c>
      <x:c r="B4702" s="79" t="n">
        <x:v>-0.5042563290933282</x:v>
      </x:c>
      <x:c r="C4702" s="46" t="n">
        <x:f>B4702^2</x:f>
        <x:v>0.2542744454306789</x:v>
      </x:c>
      <x:c r="D4702" s="47" t="n">
        <x:f>'Datos'!$B$26^3/3</x:f>
        <x:v>0.3333333333333333</x:v>
      </x:c>
      <x:c r="E4702" s="46" t="n">
        <x:f>D4702*(C4702-1)</x:f>
        <x:v>-0.24857518485644037</x:v>
      </x:c>
      <x:c r="F4702" s="2"/>
      <x:c r="G4702" s="2"/>
      <x:c r="H4702" s="2"/>
    </x:row>
    <x:row r="4703" ht="22" customHeight="1">
      <x:c r="A4703" s="2" t="n">
        <x:v>4697</x:v>
      </x:c>
      <x:c r="B4703" s="79" t="n">
        <x:v>0.2907530508683886</x:v>
      </x:c>
      <x:c r="C4703" s="46" t="n">
        <x:f>B4703^2</x:f>
        <x:v>0.08453733658927577</x:v>
      </x:c>
      <x:c r="D4703" s="47" t="n">
        <x:f>'Datos'!$B$26^3/3</x:f>
        <x:v>0.3333333333333333</x:v>
      </x:c>
      <x:c r="E4703" s="46" t="n">
        <x:f>D4703*(C4703-1)</x:f>
        <x:v>-0.30515422113690804</x:v>
      </x:c>
      <x:c r="F4703" s="2"/>
      <x:c r="G4703" s="2"/>
      <x:c r="H4703" s="2"/>
    </x:row>
    <x:row r="4704" ht="22" customHeight="1">
      <x:c r="A4704" s="2" t="n">
        <x:v>4698</x:v>
      </x:c>
      <x:c r="B4704" s="79" t="n">
        <x:v>-0.3857772534893461</x:v>
      </x:c>
      <x:c r="C4704" s="46" t="n">
        <x:f>B4704^2</x:f>
        <x:v>0.1488240893097832</x:v>
      </x:c>
      <x:c r="D4704" s="47" t="n">
        <x:f>'Datos'!$B$26^3/3</x:f>
        <x:v>0.3333333333333333</x:v>
      </x:c>
      <x:c r="E4704" s="46" t="n">
        <x:f>D4704*(C4704-1)</x:f>
        <x:v>-0.2837253035634056</x:v>
      </x:c>
      <x:c r="F4704" s="2"/>
      <x:c r="G4704" s="2"/>
      <x:c r="H4704" s="2"/>
    </x:row>
    <x:row r="4705" ht="22" customHeight="1">
      <x:c r="A4705" s="2" t="n">
        <x:v>4699</x:v>
      </x:c>
      <x:c r="B4705" s="79" t="n">
        <x:v>-0.780650647511802</x:v>
      </x:c>
      <x:c r="C4705" s="46" t="n">
        <x:f>B4705^2</x:f>
        <x:v>0.6094154334605958</x:v>
      </x:c>
      <x:c r="D4705" s="47" t="n">
        <x:f>'Datos'!$B$26^3/3</x:f>
        <x:v>0.3333333333333333</x:v>
      </x:c>
      <x:c r="E4705" s="46" t="n">
        <x:f>D4705*(C4705-1)</x:f>
        <x:v>-0.13019485551313473</x:v>
      </x:c>
      <x:c r="F4705" s="2"/>
      <x:c r="G4705" s="2"/>
      <x:c r="H4705" s="2"/>
    </x:row>
    <x:row r="4706" ht="22" customHeight="1">
      <x:c r="A4706" s="2" t="n">
        <x:v>4700</x:v>
      </x:c>
      <x:c r="B4706" s="79" t="n">
        <x:v>-1.1067132091419218</x:v>
      </x:c>
      <x:c r="C4706" s="46" t="n">
        <x:f>B4706^2</x:f>
        <x:v>1.2248141272892112</x:v>
      </x:c>
      <x:c r="D4706" s="47" t="n">
        <x:f>'Datos'!$B$26^3/3</x:f>
        <x:v>0.3333333333333333</x:v>
      </x:c>
      <x:c r="E4706" s="46" t="n">
        <x:f>D4706*(C4706-1)</x:f>
        <x:v>0.07493804242973708</x:v>
      </x:c>
      <x:c r="F4706" s="2"/>
      <x:c r="G4706" s="2"/>
      <x:c r="H4706" s="2"/>
    </x:row>
    <x:row r="4707" ht="22" customHeight="1">
      <x:c r="A4707" s="2" t="n">
        <x:v>4701</x:v>
      </x:c>
      <x:c r="B4707" s="79" t="n">
        <x:v>-0.36880218064253834</x:v>
      </x:c>
      <x:c r="C4707" s="46" t="n">
        <x:f>B4707^2</x:f>
        <x:v>0.1360150484466915</x:v>
      </x:c>
      <x:c r="D4707" s="47" t="n">
        <x:f>'Datos'!$B$26^3/3</x:f>
        <x:v>0.3333333333333333</x:v>
      </x:c>
      <x:c r="E4707" s="46" t="n">
        <x:f>D4707*(C4707-1)</x:f>
        <x:v>-0.2879949838511028</x:v>
      </x:c>
      <x:c r="F4707" s="2"/>
      <x:c r="G4707" s="2"/>
      <x:c r="H4707" s="2"/>
    </x:row>
    <x:row r="4708" ht="22" customHeight="1">
      <x:c r="A4708" s="2" t="n">
        <x:v>4702</x:v>
      </x:c>
      <x:c r="B4708" s="79" t="n">
        <x:v>0.09143797159660479</x:v>
      </x:c>
      <x:c r="C4708" s="46" t="n">
        <x:f>B4708^2</x:f>
        <x:v>0.008360902649701504</x:v>
      </x:c>
      <x:c r="D4708" s="47" t="n">
        <x:f>'Datos'!$B$26^3/3</x:f>
        <x:v>0.3333333333333333</x:v>
      </x:c>
      <x:c r="E4708" s="46" t="n">
        <x:f>D4708*(C4708-1)</x:f>
        <x:v>-0.3305463657834328</x:v>
      </x:c>
      <x:c r="F4708" s="2"/>
      <x:c r="G4708" s="2"/>
      <x:c r="H4708" s="2"/>
    </x:row>
    <x:row r="4709" ht="22" customHeight="1">
      <x:c r="A4709" s="2" t="n">
        <x:v>4703</x:v>
      </x:c>
      <x:c r="B4709" s="79" t="n">
        <x:v>0.6162962478046223</x:v>
      </x:c>
      <x:c r="C4709" s="46" t="n">
        <x:f>B4709^2</x:f>
        <x:v>0.37982106505805646</x:v>
      </x:c>
      <x:c r="D4709" s="47" t="n">
        <x:f>'Datos'!$B$26^3/3</x:f>
        <x:v>0.3333333333333333</x:v>
      </x:c>
      <x:c r="E4709" s="46" t="n">
        <x:f>D4709*(C4709-1)</x:f>
        <x:v>-0.2067263116473145</x:v>
      </x:c>
      <x:c r="F4709" s="2"/>
      <x:c r="G4709" s="2"/>
      <x:c r="H4709" s="2"/>
    </x:row>
    <x:row r="4710" ht="22" customHeight="1">
      <x:c r="A4710" s="2" t="n">
        <x:v>4704</x:v>
      </x:c>
      <x:c r="B4710" s="79" t="n">
        <x:v>-0.6611185127910076</x:v>
      </x:c>
      <x:c r="C4710" s="46" t="n">
        <x:f>B4710^2</x:f>
        <x:v>0.43707768795499374</x:v>
      </x:c>
      <x:c r="D4710" s="47" t="n">
        <x:f>'Datos'!$B$26^3/3</x:f>
        <x:v>0.3333333333333333</x:v>
      </x:c>
      <x:c r="E4710" s="46" t="n">
        <x:f>D4710*(C4710-1)</x:f>
        <x:v>-0.18764077068166873</x:v>
      </x:c>
      <x:c r="F4710" s="2"/>
      <x:c r="G4710" s="2"/>
      <x:c r="H4710" s="2"/>
    </x:row>
    <x:row r="4711" ht="22" customHeight="1">
      <x:c r="A4711" s="2" t="n">
        <x:v>4705</x:v>
      </x:c>
      <x:c r="B4711" s="79" t="n">
        <x:v>0.1789721156372452</x:v>
      </x:c>
      <x:c r="C4711" s="46" t="n">
        <x:f>B4711^2</x:f>
        <x:v>0.032031018175671465</x:v>
      </x:c>
      <x:c r="D4711" s="47" t="n">
        <x:f>'Datos'!$B$26^3/3</x:f>
        <x:v>0.3333333333333333</x:v>
      </x:c>
      <x:c r="E4711" s="46" t="n">
        <x:f>D4711*(C4711-1)</x:f>
        <x:v>-0.32265632727477617</x:v>
      </x:c>
      <x:c r="F4711" s="2"/>
      <x:c r="G4711" s="2"/>
      <x:c r="H4711" s="2"/>
    </x:row>
    <x:row r="4712" ht="22" customHeight="1">
      <x:c r="A4712" s="2" t="n">
        <x:v>4706</x:v>
      </x:c>
      <x:c r="B4712" s="79" t="n">
        <x:v>-0.5985747184417725</x:v>
      </x:c>
      <x:c r="C4712" s="46" t="n">
        <x:f>B4712^2</x:f>
        <x:v>0.3582916935576472</x:v>
      </x:c>
      <x:c r="D4712" s="47" t="n">
        <x:f>'Datos'!$B$26^3/3</x:f>
        <x:v>0.3333333333333333</x:v>
      </x:c>
      <x:c r="E4712" s="46" t="n">
        <x:f>D4712*(C4712-1)</x:f>
        <x:v>-0.21390276881411757</x:v>
      </x:c>
      <x:c r="F4712" s="2"/>
      <x:c r="G4712" s="2"/>
      <x:c r="H4712" s="2"/>
    </x:row>
    <x:row r="4713" ht="22" customHeight="1">
      <x:c r="A4713" s="2" t="n">
        <x:v>4707</x:v>
      </x:c>
      <x:c r="B4713" s="79" t="n">
        <x:v>0.59952625633118</x:v>
      </x:c>
      <x:c r="C4713" s="46" t="n">
        <x:f>B4713^2</x:f>
        <x:v>0.3594317320304797</x:v>
      </x:c>
      <x:c r="D4713" s="47" t="n">
        <x:f>'Datos'!$B$26^3/3</x:f>
        <x:v>0.3333333333333333</x:v>
      </x:c>
      <x:c r="E4713" s="46" t="n">
        <x:f>D4713*(C4713-1)</x:f>
        <x:v>-0.2135227559898401</x:v>
      </x:c>
      <x:c r="F4713" s="2"/>
      <x:c r="G4713" s="2"/>
      <x:c r="H4713" s="2"/>
    </x:row>
    <x:row r="4714" ht="22" customHeight="1">
      <x:c r="A4714" s="2" t="n">
        <x:v>4708</x:v>
      </x:c>
      <x:c r="B4714" s="79" t="n">
        <x:v>1.4440354446495796</x:v>
      </x:c>
      <x:c r="C4714" s="46" t="n">
        <x:f>B4714^2</x:f>
        <x:v>2.085238365404309</x:v>
      </x:c>
      <x:c r="D4714" s="47" t="n">
        <x:f>'Datos'!$B$26^3/3</x:f>
        <x:v>0.3333333333333333</x:v>
      </x:c>
      <x:c r="E4714" s="46" t="n">
        <x:f>D4714*(C4714-1)</x:f>
        <x:v>0.3617461218014363</x:v>
      </x:c>
      <x:c r="F4714" s="2"/>
      <x:c r="G4714" s="2"/>
      <x:c r="H4714" s="2"/>
    </x:row>
    <x:row r="4715" ht="22" customHeight="1">
      <x:c r="A4715" s="2" t="n">
        <x:v>4709</x:v>
      </x:c>
      <x:c r="B4715" s="79" t="n">
        <x:v>0.3593391803916984</x:v>
      </x:c>
      <x:c r="C4715" s="46" t="n">
        <x:f>B4715^2</x:f>
        <x:v>0.12912464656457753</x:v>
      </x:c>
      <x:c r="D4715" s="47" t="n">
        <x:f>'Datos'!$B$26^3/3</x:f>
        <x:v>0.3333333333333333</x:v>
      </x:c>
      <x:c r="E4715" s="46" t="n">
        <x:f>D4715*(C4715-1)</x:f>
        <x:v>-0.29029178447847415</x:v>
      </x:c>
      <x:c r="F4715" s="2"/>
      <x:c r="G4715" s="2"/>
      <x:c r="H4715" s="2"/>
    </x:row>
    <x:row r="4716" ht="22" customHeight="1">
      <x:c r="A4716" s="2" t="n">
        <x:v>4710</x:v>
      </x:c>
      <x:c r="B4716" s="79" t="n">
        <x:v>0.520741712068587</x:v>
      </x:c>
      <x:c r="C4716" s="46" t="n">
        <x:f>B4716^2</x:f>
        <x:v>0.2711719306881232</x:v>
      </x:c>
      <x:c r="D4716" s="47" t="n">
        <x:f>'Datos'!$B$26^3/3</x:f>
        <x:v>0.3333333333333333</x:v>
      </x:c>
      <x:c r="E4716" s="46" t="n">
        <x:f>D4716*(C4716-1)</x:f>
        <x:v>-0.2429426897706256</x:v>
      </x:c>
      <x:c r="F4716" s="2"/>
      <x:c r="G4716" s="2"/>
      <x:c r="H4716" s="2"/>
    </x:row>
    <x:row r="4717" ht="22" customHeight="1">
      <x:c r="A4717" s="2" t="n">
        <x:v>4711</x:v>
      </x:c>
      <x:c r="B4717" s="79" t="n">
        <x:v>-2.1304767139427714</x:v>
      </x:c>
      <x:c r="C4717" s="46" t="n">
        <x:f>B4717^2</x:f>
        <x:v>4.53893102865239</x:v>
      </x:c>
      <x:c r="D4717" s="47" t="n">
        <x:f>'Datos'!$B$26^3/3</x:f>
        <x:v>0.3333333333333333</x:v>
      </x:c>
      <x:c r="E4717" s="46" t="n">
        <x:f>D4717*(C4717-1)</x:f>
        <x:v>1.1796436762174631</x:v>
      </x:c>
      <x:c r="F4717" s="2"/>
      <x:c r="G4717" s="2"/>
      <x:c r="H4717" s="2"/>
    </x:row>
    <x:row r="4718" ht="22" customHeight="1">
      <x:c r="A4718" s="2" t="n">
        <x:v>4712</x:v>
      </x:c>
      <x:c r="B4718" s="79" t="n">
        <x:v>0.1793597535416327</x:v>
      </x:c>
      <x:c r="C4718" s="46" t="n">
        <x:f>B4718^2</x:f>
        <x:v>0.03216992119051522</x:v>
      </x:c>
      <x:c r="D4718" s="47" t="n">
        <x:f>'Datos'!$B$26^3/3</x:f>
        <x:v>0.3333333333333333</x:v>
      </x:c>
      <x:c r="E4718" s="46" t="n">
        <x:f>D4718*(C4718-1)</x:f>
        <x:v>-0.32261002626982827</x:v>
      </x:c>
      <x:c r="F4718" s="2"/>
      <x:c r="G4718" s="2"/>
      <x:c r="H4718" s="2"/>
    </x:row>
    <x:row r="4719" ht="22" customHeight="1">
      <x:c r="A4719" s="2" t="n">
        <x:v>4713</x:v>
      </x:c>
      <x:c r="B4719" s="79" t="n">
        <x:v>1.3985478435042027</x:v>
      </x:c>
      <x:c r="C4719" s="46" t="n">
        <x:f>B4719^2</x:f>
        <x:v>1.9559360705702558</x:v>
      </x:c>
      <x:c r="D4719" s="47" t="n">
        <x:f>'Datos'!$B$26^3/3</x:f>
        <x:v>0.3333333333333333</x:v>
      </x:c>
      <x:c r="E4719" s="46" t="n">
        <x:f>D4719*(C4719-1)</x:f>
        <x:v>0.3186453568567519</x:v>
      </x:c>
      <x:c r="F4719" s="2"/>
      <x:c r="G4719" s="2"/>
      <x:c r="H4719" s="2"/>
    </x:row>
    <x:row r="4720" ht="22" customHeight="1">
      <x:c r="A4720" s="2" t="n">
        <x:v>4714</x:v>
      </x:c>
      <x:c r="B4720" s="79" t="n">
        <x:v>1.4440704322040105</x:v>
      </x:c>
      <x:c r="C4720" s="46" t="n">
        <x:f>B4720^2</x:f>
        <x:v>2.085339413165878</x:v>
      </x:c>
      <x:c r="D4720" s="47" t="n">
        <x:f>'Datos'!$B$26^3/3</x:f>
        <x:v>0.3333333333333333</x:v>
      </x:c>
      <x:c r="E4720" s="46" t="n">
        <x:f>D4720*(C4720-1)</x:f>
        <x:v>0.3617798043886259</x:v>
      </x:c>
      <x:c r="F4720" s="2"/>
      <x:c r="G4720" s="2"/>
      <x:c r="H4720" s="2"/>
    </x:row>
    <x:row r="4721" ht="22" customHeight="1">
      <x:c r="A4721" s="2" t="n">
        <x:v>4715</x:v>
      </x:c>
      <x:c r="B4721" s="79" t="n">
        <x:v>0.21218766044491782</x:v>
      </x:c>
      <x:c r="C4721" s="46" t="n">
        <x:f>B4721^2</x:f>
        <x:v>0.045023603245087744</x:v>
      </x:c>
      <x:c r="D4721" s="47" t="n">
        <x:f>'Datos'!$B$26^3/3</x:f>
        <x:v>0.3333333333333333</x:v>
      </x:c>
      <x:c r="E4721" s="46" t="n">
        <x:f>D4721*(C4721-1)</x:f>
        <x:v>-0.31832546558497077</x:v>
      </x:c>
      <x:c r="F4721" s="2"/>
      <x:c r="G4721" s="2"/>
      <x:c r="H4721" s="2"/>
    </x:row>
    <x:row r="4722" ht="22" customHeight="1">
      <x:c r="A4722" s="2" t="n">
        <x:v>4716</x:v>
      </x:c>
      <x:c r="B4722" s="79" t="n">
        <x:v>0.7963915649873736</x:v>
      </x:c>
      <x:c r="C4722" s="46" t="n">
        <x:f>B4722^2</x:f>
        <x:v>0.6342395247830381</x:v>
      </x:c>
      <x:c r="D4722" s="47" t="n">
        <x:f>'Datos'!$B$26^3/3</x:f>
        <x:v>0.3333333333333333</x:v>
      </x:c>
      <x:c r="E4722" s="46" t="n">
        <x:f>D4722*(C4722-1)</x:f>
        <x:v>-0.12192015840565396</x:v>
      </x:c>
      <x:c r="F4722" s="2"/>
      <x:c r="G4722" s="2"/>
      <x:c r="H4722" s="2"/>
    </x:row>
    <x:row r="4723" ht="22" customHeight="1">
      <x:c r="A4723" s="2" t="n">
        <x:v>4717</x:v>
      </x:c>
      <x:c r="B4723" s="79" t="n">
        <x:v>-0.5868514159561129</x:v>
      </x:c>
      <x:c r="C4723" s="46" t="n">
        <x:f>B4723^2</x:f>
        <x:v>0.3443945844096946</x:v>
      </x:c>
      <x:c r="D4723" s="47" t="n">
        <x:f>'Datos'!$B$26^3/3</x:f>
        <x:v>0.3333333333333333</x:v>
      </x:c>
      <x:c r="E4723" s="46" t="n">
        <x:f>D4723*(C4723-1)</x:f>
        <x:v>-0.21853513853010179</x:v>
      </x:c>
      <x:c r="F4723" s="2"/>
      <x:c r="G4723" s="2"/>
      <x:c r="H4723" s="2"/>
    </x:row>
    <x:row r="4724" ht="22" customHeight="1">
      <x:c r="A4724" s="2" t="n">
        <x:v>4718</x:v>
      </x:c>
      <x:c r="B4724" s="79" t="n">
        <x:v>1.1569664332629084</x:v>
      </x:c>
      <x:c r="C4724" s="46" t="n">
        <x:f>B4724^2</x:f>
        <x:v>1.3385713276970959</x:v>
      </x:c>
      <x:c r="D4724" s="47" t="n">
        <x:f>'Datos'!$B$26^3/3</x:f>
        <x:v>0.3333333333333333</x:v>
      </x:c>
      <x:c r="E4724" s="46" t="n">
        <x:f>D4724*(C4724-1)</x:f>
        <x:v>0.11285710923236528</x:v>
      </x:c>
      <x:c r="F4724" s="2"/>
      <x:c r="G4724" s="2"/>
      <x:c r="H4724" s="2"/>
    </x:row>
    <x:row r="4725" ht="22" customHeight="1">
      <x:c r="A4725" s="2" t="n">
        <x:v>4719</x:v>
      </x:c>
      <x:c r="B4725" s="79" t="n">
        <x:v>0.24500972068955248</x:v>
      </x:c>
      <x:c r="C4725" s="46" t="n">
        <x:f>B4725^2</x:f>
        <x:v>0.060029763232372524</x:v>
      </x:c>
      <x:c r="D4725" s="47" t="n">
        <x:f>'Datos'!$B$26^3/3</x:f>
        <x:v>0.3333333333333333</x:v>
      </x:c>
      <x:c r="E4725" s="46" t="n">
        <x:f>D4725*(C4725-1)</x:f>
        <x:v>-0.3133234122558758</x:v>
      </x:c>
      <x:c r="F4725" s="2"/>
      <x:c r="G4725" s="2"/>
      <x:c r="H4725" s="2"/>
    </x:row>
    <x:row r="4726" ht="22" customHeight="1">
      <x:c r="A4726" s="2" t="n">
        <x:v>4720</x:v>
      </x:c>
      <x:c r="B4726" s="79" t="n">
        <x:v>0.6063848542113337</x:v>
      </x:c>
      <x:c r="C4726" s="46" t="n">
        <x:f>B4726^2</x:f>
        <x:v>0.3677025914169004</x:v>
      </x:c>
      <x:c r="D4726" s="47" t="n">
        <x:f>'Datos'!$B$26^3/3</x:f>
        <x:v>0.3333333333333333</x:v>
      </x:c>
      <x:c r="E4726" s="46" t="n">
        <x:f>D4726*(C4726-1)</x:f>
        <x:v>-0.2107658028610332</x:v>
      </x:c>
      <x:c r="F4726" s="2"/>
      <x:c r="G4726" s="2"/>
      <x:c r="H4726" s="2"/>
    </x:row>
    <x:row r="4727" ht="22" customHeight="1">
      <x:c r="A4727" s="2" t="n">
        <x:v>4721</x:v>
      </x:c>
      <x:c r="B4727" s="79" t="n">
        <x:v>-2.3918972109535703</x:v>
      </x:c>
      <x:c r="C4727" s="46" t="n">
        <x:f>B4727^2</x:f>
        <x:v>5.721172267767469</x:v>
      </x:c>
      <x:c r="D4727" s="47" t="n">
        <x:f>'Datos'!$B$26^3/3</x:f>
        <x:v>0.3333333333333333</x:v>
      </x:c>
      <x:c r="E4727" s="46" t="n">
        <x:f>D4727*(C4727-1)</x:f>
        <x:v>1.5737240892558229</x:v>
      </x:c>
      <x:c r="F4727" s="2"/>
      <x:c r="G4727" s="2"/>
      <x:c r="H4727" s="2"/>
    </x:row>
    <x:row r="4728" ht="22" customHeight="1">
      <x:c r="A4728" s="2" t="n">
        <x:v>4722</x:v>
      </x:c>
      <x:c r="B4728" s="79" t="n">
        <x:v>0.46335158959420636</x:v>
      </x:c>
      <x:c r="C4728" s="46" t="n">
        <x:f>B4728^2</x:f>
        <x:v>0.21469469557947785</x:v>
      </x:c>
      <x:c r="D4728" s="47" t="n">
        <x:f>'Datos'!$B$26^3/3</x:f>
        <x:v>0.3333333333333333</x:v>
      </x:c>
      <x:c r="E4728" s="46" t="n">
        <x:f>D4728*(C4728-1)</x:f>
        <x:v>-0.2617684348068407</x:v>
      </x:c>
      <x:c r="F4728" s="2"/>
      <x:c r="G4728" s="2"/>
      <x:c r="H4728" s="2"/>
    </x:row>
    <x:row r="4729" ht="22" customHeight="1">
      <x:c r="A4729" s="2" t="n">
        <x:v>4723</x:v>
      </x:c>
      <x:c r="B4729" s="79" t="n">
        <x:v>1.9427965228444932</x:v>
      </x:c>
      <x:c r="C4729" s="46" t="n">
        <x:f>B4729^2</x:f>
        <x:v>3.7744583291766536</x:v>
      </x:c>
      <x:c r="D4729" s="47" t="n">
        <x:f>'Datos'!$B$26^3/3</x:f>
        <x:v>0.3333333333333333</x:v>
      </x:c>
      <x:c r="E4729" s="46" t="n">
        <x:f>D4729*(C4729-1)</x:f>
        <x:v>0.9248194430588845</x:v>
      </x:c>
      <x:c r="F4729" s="2"/>
      <x:c r="G4729" s="2"/>
      <x:c r="H4729" s="2"/>
    </x:row>
    <x:row r="4730" ht="22" customHeight="1">
      <x:c r="A4730" s="2" t="n">
        <x:v>4724</x:v>
      </x:c>
      <x:c r="B4730" s="79" t="n">
        <x:v>-1.8643045941501348</x:v>
      </x:c>
      <x:c r="C4730" s="46" t="n">
        <x:f>B4730^2</x:f>
        <x:v>3.475631619769299</x:v>
      </x:c>
      <x:c r="D4730" s="47" t="n">
        <x:f>'Datos'!$B$26^3/3</x:f>
        <x:v>0.3333333333333333</x:v>
      </x:c>
      <x:c r="E4730" s="46" t="n">
        <x:f>D4730*(C4730-1)</x:f>
        <x:v>0.8252105399230996</x:v>
      </x:c>
      <x:c r="F4730" s="2"/>
      <x:c r="G4730" s="2"/>
      <x:c r="H4730" s="2"/>
    </x:row>
    <x:row r="4731" ht="22" customHeight="1">
      <x:c r="A4731" s="2" t="n">
        <x:v>4725</x:v>
      </x:c>
      <x:c r="B4731" s="79" t="n">
        <x:v>-0.7187187587428208</x:v>
      </x:c>
      <x:c r="C4731" s="46" t="n">
        <x:f>B4731^2</x:f>
        <x:v>0.516556654168821</x:v>
      </x:c>
      <x:c r="D4731" s="47" t="n">
        <x:f>'Datos'!$B$26^3/3</x:f>
        <x:v>0.3333333333333333</x:v>
      </x:c>
      <x:c r="E4731" s="46" t="n">
        <x:f>D4731*(C4731-1)</x:f>
        <x:v>-0.1611477819437263</x:v>
      </x:c>
      <x:c r="F4731" s="2"/>
      <x:c r="G4731" s="2"/>
      <x:c r="H4731" s="2"/>
    </x:row>
    <x:row r="4732" ht="22" customHeight="1">
      <x:c r="A4732" s="2" t="n">
        <x:v>4726</x:v>
      </x:c>
      <x:c r="B4732" s="79" t="n">
        <x:v>-0.8120833243742166</x:v>
      </x:c>
      <x:c r="C4732" s="46" t="n">
        <x:f>B4732^2</x:f>
        <x:v>0.6594793257266791</x:v>
      </x:c>
      <x:c r="D4732" s="47" t="n">
        <x:f>'Datos'!$B$26^3/3</x:f>
        <x:v>0.3333333333333333</x:v>
      </x:c>
      <x:c r="E4732" s="46" t="n">
        <x:f>D4732*(C4732-1)</x:f>
        <x:v>-0.11350689142444029</x:v>
      </x:c>
      <x:c r="F4732" s="2"/>
      <x:c r="G4732" s="2"/>
      <x:c r="H4732" s="2"/>
    </x:row>
    <x:row r="4733" ht="22" customHeight="1">
      <x:c r="A4733" s="2" t="n">
        <x:v>4727</x:v>
      </x:c>
      <x:c r="B4733" s="79" t="n">
        <x:v>1.3497219600851778</x:v>
      </x:c>
      <x:c r="C4733" s="46" t="n">
        <x:f>B4733^2</x:f>
        <x:v>1.8217493695361742</x:v>
      </x:c>
      <x:c r="D4733" s="47" t="n">
        <x:f>'Datos'!$B$26^3/3</x:f>
        <x:v>0.3333333333333333</x:v>
      </x:c>
      <x:c r="E4733" s="46" t="n">
        <x:f>D4733*(C4733-1)</x:f>
        <x:v>0.27391645651205804</x:v>
      </x:c>
      <x:c r="F4733" s="2"/>
      <x:c r="G4733" s="2"/>
      <x:c r="H4733" s="2"/>
    </x:row>
    <x:row r="4734" ht="22" customHeight="1">
      <x:c r="A4734" s="2" t="n">
        <x:v>4728</x:v>
      </x:c>
      <x:c r="B4734" s="79" t="n">
        <x:v>0.0436397912339431</x:v>
      </x:c>
      <x:c r="C4734" s="46" t="n">
        <x:f>B4734^2</x:f>
        <x:v>0.0019044313789421368</x:v>
      </x:c>
      <x:c r="D4734" s="47" t="n">
        <x:f>'Datos'!$B$26^3/3</x:f>
        <x:v>0.3333333333333333</x:v>
      </x:c>
      <x:c r="E4734" s="46" t="n">
        <x:f>D4734*(C4734-1)</x:f>
        <x:v>-0.33269852287368595</x:v>
      </x:c>
      <x:c r="F4734" s="2"/>
      <x:c r="G4734" s="2"/>
      <x:c r="H4734" s="2"/>
    </x:row>
    <x:row r="4735" ht="22" customHeight="1">
      <x:c r="A4735" s="2" t="n">
        <x:v>4729</x:v>
      </x:c>
      <x:c r="B4735" s="79" t="n">
        <x:v>1.2542157366986582</x:v>
      </x:c>
      <x:c r="C4735" s="46" t="n">
        <x:f>B4735^2</x:f>
        <x:v>1.5730571141825578</x:v>
      </x:c>
      <x:c r="D4735" s="47" t="n">
        <x:f>'Datos'!$B$26^3/3</x:f>
        <x:v>0.3333333333333333</x:v>
      </x:c>
      <x:c r="E4735" s="46" t="n">
        <x:f>D4735*(C4735-1)</x:f>
        <x:v>0.19101903806085258</x:v>
      </x:c>
      <x:c r="F4735" s="2"/>
      <x:c r="G4735" s="2"/>
      <x:c r="H4735" s="2"/>
    </x:row>
    <x:row r="4736" ht="22" customHeight="1">
      <x:c r="A4736" s="2" t="n">
        <x:v>4730</x:v>
      </x:c>
      <x:c r="B4736" s="79" t="n">
        <x:v>-0.1954410395592551</x:v>
      </x:c>
      <x:c r="C4736" s="46" t="n">
        <x:f>B4736^2</x:f>
        <x:v>0.038197199944002315</x:v>
      </x:c>
      <x:c r="D4736" s="47" t="n">
        <x:f>'Datos'!$B$26^3/3</x:f>
        <x:v>0.3333333333333333</x:v>
      </x:c>
      <x:c r="E4736" s="46" t="n">
        <x:f>D4736*(C4736-1)</x:f>
        <x:v>-0.32060093335199924</x:v>
      </x:c>
      <x:c r="F4736" s="2"/>
      <x:c r="G4736" s="2"/>
      <x:c r="H4736" s="2"/>
    </x:row>
    <x:row r="4737" ht="22" customHeight="1">
      <x:c r="A4737" s="2" t="n">
        <x:v>4731</x:v>
      </x:c>
      <x:c r="B4737" s="79" t="n">
        <x:v>-0.8591330168263761</x:v>
      </x:c>
      <x:c r="C4737" s="46" t="n">
        <x:f>B4737^2</x:f>
        <x:v>0.7381095406011903</x:v>
      </x:c>
      <x:c r="D4737" s="47" t="n">
        <x:f>'Datos'!$B$26^3/3</x:f>
        <x:v>0.3333333333333333</x:v>
      </x:c>
      <x:c r="E4737" s="46" t="n">
        <x:f>D4737*(C4737-1)</x:f>
        <x:v>-0.08729681979960324</x:v>
      </x:c>
      <x:c r="F4737" s="2"/>
      <x:c r="G4737" s="2"/>
      <x:c r="H4737" s="2"/>
    </x:row>
    <x:row r="4738" ht="22" customHeight="1">
      <x:c r="A4738" s="2" t="n">
        <x:v>4732</x:v>
      </x:c>
      <x:c r="B4738" s="79" t="n">
        <x:v>-0.7486259159546551</x:v>
      </x:c>
      <x:c r="C4738" s="46" t="n">
        <x:f>B4738^2</x:f>
        <x:v>0.5604407620389463</x:v>
      </x:c>
      <x:c r="D4738" s="47" t="n">
        <x:f>'Datos'!$B$26^3/3</x:f>
        <x:v>0.3333333333333333</x:v>
      </x:c>
      <x:c r="E4738" s="46" t="n">
        <x:f>D4738*(C4738-1)</x:f>
        <x:v>-0.1465197459870179</x:v>
      </x:c>
      <x:c r="F4738" s="2"/>
      <x:c r="G4738" s="2"/>
      <x:c r="H4738" s="2"/>
    </x:row>
    <x:row r="4739" ht="22" customHeight="1">
      <x:c r="A4739" s="2" t="n">
        <x:v>4733</x:v>
      </x:c>
      <x:c r="B4739" s="79" t="n">
        <x:v>0.19941131924176633</x:v>
      </x:c>
      <x:c r="C4739" s="46" t="n">
        <x:f>B4739^2</x:f>
        <x:v>0.039764874241741646</x:v>
      </x:c>
      <x:c r="D4739" s="47" t="n">
        <x:f>'Datos'!$B$26^3/3</x:f>
        <x:v>0.3333333333333333</x:v>
      </x:c>
      <x:c r="E4739" s="46" t="n">
        <x:f>D4739*(C4739-1)</x:f>
        <x:v>-0.32007837525275273</x:v>
      </x:c>
      <x:c r="F4739" s="2"/>
      <x:c r="G4739" s="2"/>
      <x:c r="H4739" s="2"/>
    </x:row>
    <x:row r="4740" ht="22" customHeight="1">
      <x:c r="A4740" s="2" t="n">
        <x:v>4734</x:v>
      </x:c>
      <x:c r="B4740" s="79" t="n">
        <x:v>-0.19586254881250978</x:v>
      </x:c>
      <x:c r="C4740" s="46" t="n">
        <x:f>B4740^2</x:f>
        <x:v>0.03836213802733278</x:v>
      </x:c>
      <x:c r="D4740" s="47" t="n">
        <x:f>'Datos'!$B$26^3/3</x:f>
        <x:v>0.3333333333333333</x:v>
      </x:c>
      <x:c r="E4740" s="46" t="n">
        <x:f>D4740*(C4740-1)</x:f>
        <x:v>-0.32054595399088903</x:v>
      </x:c>
      <x:c r="F4740" s="2"/>
      <x:c r="G4740" s="2"/>
      <x:c r="H4740" s="2"/>
    </x:row>
    <x:row r="4741" ht="22" customHeight="1">
      <x:c r="A4741" s="2" t="n">
        <x:v>4735</x:v>
      </x:c>
      <x:c r="B4741" s="79" t="n">
        <x:v>0.18668784382987444</x:v>
      </x:c>
      <x:c r="C4741" s="46" t="n">
        <x:f>B4741^2</x:f>
        <x:v>0.03485235103384759</x:v>
      </x:c>
      <x:c r="D4741" s="47" t="n">
        <x:f>'Datos'!$B$26^3/3</x:f>
        <x:v>0.3333333333333333</x:v>
      </x:c>
      <x:c r="E4741" s="46" t="n">
        <x:f>D4741*(C4741-1)</x:f>
        <x:v>-0.32171588298871745</x:v>
      </x:c>
      <x:c r="F4741" s="2"/>
      <x:c r="G4741" s="2"/>
      <x:c r="H4741" s="2"/>
    </x:row>
    <x:row r="4742" ht="22" customHeight="1">
      <x:c r="A4742" s="2" t="n">
        <x:v>4736</x:v>
      </x:c>
      <x:c r="B4742" s="79" t="n">
        <x:v>0.8693403608125955</x:v>
      </x:c>
      <x:c r="C4742" s="46" t="n">
        <x:f>B4742^2</x:f>
        <x:v>0.7557526629377737</x:v>
      </x:c>
      <x:c r="D4742" s="47" t="n">
        <x:f>'Datos'!$B$26^3/3</x:f>
        <x:v>0.3333333333333333</x:v>
      </x:c>
      <x:c r="E4742" s="46" t="n">
        <x:f>D4742*(C4742-1)</x:f>
        <x:v>-0.08141577902074211</x:v>
      </x:c>
      <x:c r="F4742" s="2"/>
      <x:c r="G4742" s="2"/>
      <x:c r="H4742" s="2"/>
    </x:row>
    <x:row r="4743" ht="22" customHeight="1">
      <x:c r="A4743" s="2" t="n">
        <x:v>4737</x:v>
      </x:c>
      <x:c r="B4743" s="79" t="n">
        <x:v>0.49384155440313954</x:v>
      </x:c>
      <x:c r="C4743" s="46" t="n">
        <x:f>B4743^2</x:f>
        <x:v>0.24387948085530903</x:v>
      </x:c>
      <x:c r="D4743" s="47" t="n">
        <x:f>'Datos'!$B$26^3/3</x:f>
        <x:v>0.3333333333333333</x:v>
      </x:c>
      <x:c r="E4743" s="46" t="n">
        <x:f>D4743*(C4743-1)</x:f>
        <x:v>-0.2520401730482303</x:v>
      </x:c>
      <x:c r="F4743" s="2"/>
      <x:c r="G4743" s="2"/>
      <x:c r="H4743" s="2"/>
    </x:row>
    <x:row r="4744" ht="22" customHeight="1">
      <x:c r="A4744" s="2" t="n">
        <x:v>4738</x:v>
      </x:c>
      <x:c r="B4744" s="79" t="n">
        <x:v>-1.906904547504037</x:v>
      </x:c>
      <x:c r="C4744" s="46" t="n">
        <x:f>B4744^2</x:f>
        <x:v>3.6362849532915758</x:v>
      </x:c>
      <x:c r="D4744" s="47" t="n">
        <x:f>'Datos'!$B$26^3/3</x:f>
        <x:v>0.3333333333333333</x:v>
      </x:c>
      <x:c r="E4744" s="46" t="n">
        <x:f>D4744*(C4744-1)</x:f>
        <x:v>0.8787616510971918</x:v>
      </x:c>
      <x:c r="F4744" s="2"/>
      <x:c r="G4744" s="2"/>
      <x:c r="H4744" s="2"/>
    </x:row>
    <x:row r="4745" ht="22" customHeight="1">
      <x:c r="A4745" s="2" t="n">
        <x:v>4739</x:v>
      </x:c>
      <x:c r="B4745" s="79" t="n">
        <x:v>-0.15258872255831107</x:v>
      </x:c>
      <x:c r="C4745" s="46" t="n">
        <x:f>B4745^2</x:f>
        <x:v>0.02328331825197723</x:v>
      </x:c>
      <x:c r="D4745" s="47" t="n">
        <x:f>'Datos'!$B$26^3/3</x:f>
        <x:v>0.3333333333333333</x:v>
      </x:c>
      <x:c r="E4745" s="46" t="n">
        <x:f>D4745*(C4745-1)</x:f>
        <x:v>-0.3255722272493409</x:v>
      </x:c>
      <x:c r="F4745" s="2"/>
      <x:c r="G4745" s="2"/>
      <x:c r="H4745" s="2"/>
    </x:row>
    <x:row r="4746" ht="22" customHeight="1">
      <x:c r="A4746" s="2" t="n">
        <x:v>4740</x:v>
      </x:c>
      <x:c r="B4746" s="79" t="n">
        <x:v>-0.9078063685842807</x:v>
      </x:c>
      <x:c r="C4746" s="46" t="n">
        <x:f>B4746^2</x:f>
        <x:v>0.8241124028421788</x:v>
      </x:c>
      <x:c r="D4746" s="47" t="n">
        <x:f>'Datos'!$B$26^3/3</x:f>
        <x:v>0.3333333333333333</x:v>
      </x:c>
      <x:c r="E4746" s="46" t="n">
        <x:f>D4746*(C4746-1)</x:f>
        <x:v>-0.058629199052607064</x:v>
      </x:c>
      <x:c r="F4746" s="2"/>
      <x:c r="G4746" s="2"/>
      <x:c r="H4746" s="2"/>
    </x:row>
    <x:row r="4747" ht="22" customHeight="1">
      <x:c r="A4747" s="2" t="n">
        <x:v>4741</x:v>
      </x:c>
      <x:c r="B4747" s="79" t="n">
        <x:v>0.07747238860371125</x:v>
      </x:c>
      <x:c r="C4747" s="46" t="n">
        <x:f>B4747^2</x:f>
        <x:v>0.006001970995964449</x:v>
      </x:c>
      <x:c r="D4747" s="47" t="n">
        <x:f>'Datos'!$B$26^3/3</x:f>
        <x:v>0.3333333333333333</x:v>
      </x:c>
      <x:c r="E4747" s="46" t="n">
        <x:f>D4747*(C4747-1)</x:f>
        <x:v>-0.3313326763346785</x:v>
      </x:c>
      <x:c r="F4747" s="2"/>
      <x:c r="G4747" s="2"/>
      <x:c r="H4747" s="2"/>
    </x:row>
    <x:row r="4748" ht="22" customHeight="1">
      <x:c r="A4748" s="2" t="n">
        <x:v>4742</x:v>
      </x:c>
      <x:c r="B4748" s="79" t="n">
        <x:v>1.1589606477138616</x:v>
      </x:c>
      <x:c r="C4748" s="46" t="n">
        <x:f>B4748^2</x:f>
        <x:v>1.3431897829493338</x:v>
      </x:c>
      <x:c r="D4748" s="47" t="n">
        <x:f>'Datos'!$B$26^3/3</x:f>
        <x:v>0.3333333333333333</x:v>
      </x:c>
      <x:c r="E4748" s="46" t="n">
        <x:f>D4748*(C4748-1)</x:f>
        <x:v>0.11439659431644458</x:v>
      </x:c>
      <x:c r="F4748" s="2"/>
      <x:c r="G4748" s="2"/>
      <x:c r="H4748" s="2"/>
    </x:row>
    <x:row r="4749" ht="22" customHeight="1">
      <x:c r="A4749" s="2" t="n">
        <x:v>4743</x:v>
      </x:c>
      <x:c r="B4749" s="79" t="n">
        <x:v>0.37698766276094625</x:v>
      </x:c>
      <x:c r="C4749" s="46" t="n">
        <x:f>B4749^2</x:f>
        <x:v>0.14211969787396095</x:v>
      </x:c>
      <x:c r="D4749" s="47" t="n">
        <x:f>'Datos'!$B$26^3/3</x:f>
        <x:v>0.3333333333333333</x:v>
      </x:c>
      <x:c r="E4749" s="46" t="n">
        <x:f>D4749*(C4749-1)</x:f>
        <x:v>-0.28596010070867967</x:v>
      </x:c>
      <x:c r="F4749" s="2"/>
      <x:c r="G4749" s="2"/>
      <x:c r="H4749" s="2"/>
    </x:row>
    <x:row r="4750" ht="22" customHeight="1">
      <x:c r="A4750" s="2" t="n">
        <x:v>4744</x:v>
      </x:c>
      <x:c r="B4750" s="79" t="n">
        <x:v>1.7911031006468756</x:v>
      </x:c>
      <x:c r="C4750" s="46" t="n">
        <x:f>B4750^2</x:f>
        <x:v>3.208050317146852</x:v>
      </x:c>
      <x:c r="D4750" s="47" t="n">
        <x:f>'Datos'!$B$26^3/3</x:f>
        <x:v>0.3333333333333333</x:v>
      </x:c>
      <x:c r="E4750" s="46" t="n">
        <x:f>D4750*(C4750-1)</x:f>
        <x:v>0.7360167723822839</x:v>
      </x:c>
      <x:c r="F4750" s="2"/>
      <x:c r="G4750" s="2"/>
      <x:c r="H4750" s="2"/>
    </x:row>
    <x:row r="4751" ht="22" customHeight="1">
      <x:c r="A4751" s="2" t="n">
        <x:v>4745</x:v>
      </x:c>
      <x:c r="B4751" s="79" t="n">
        <x:v>0.34664020677911267</x:v>
      </x:c>
      <x:c r="C4751" s="46" t="n">
        <x:f>B4751^2</x:f>
        <x:v>0.120159432955866</x:v>
      </x:c>
      <x:c r="D4751" s="47" t="n">
        <x:f>'Datos'!$B$26^3/3</x:f>
        <x:v>0.3333333333333333</x:v>
      </x:c>
      <x:c r="E4751" s="46" t="n">
        <x:f>D4751*(C4751-1)</x:f>
        <x:v>-0.2932801890147113</x:v>
      </x:c>
      <x:c r="F4751" s="2"/>
      <x:c r="G4751" s="2"/>
      <x:c r="H4751" s="2"/>
    </x:row>
    <x:row r="4752" ht="22" customHeight="1">
      <x:c r="A4752" s="2" t="n">
        <x:v>4746</x:v>
      </x:c>
      <x:c r="B4752" s="79" t="n">
        <x:v>1.2225239583743956</x:v>
      </x:c>
      <x:c r="C4752" s="46" t="n">
        <x:f>B4752^2</x:f>
        <x:v>1.4945648287994011</x:v>
      </x:c>
      <x:c r="D4752" s="47" t="n">
        <x:f>'Datos'!$B$26^3/3</x:f>
        <x:v>0.3333333333333333</x:v>
      </x:c>
      <x:c r="E4752" s="46" t="n">
        <x:f>D4752*(C4752-1)</x:f>
        <x:v>0.16485494293313369</x:v>
      </x:c>
      <x:c r="F4752" s="2"/>
      <x:c r="G4752" s="2"/>
      <x:c r="H4752" s="2"/>
    </x:row>
    <x:row r="4753" ht="22" customHeight="1">
      <x:c r="A4753" s="2" t="n">
        <x:v>4747</x:v>
      </x:c>
      <x:c r="B4753" s="79" t="n">
        <x:v>1.379446585023057</x:v>
      </x:c>
      <x:c r="C4753" s="46" t="n">
        <x:f>B4753^2</x:f>
        <x:v>1.902872880931774</x:v>
      </x:c>
      <x:c r="D4753" s="47" t="n">
        <x:f>'Datos'!$B$26^3/3</x:f>
        <x:v>0.3333333333333333</x:v>
      </x:c>
      <x:c r="E4753" s="46" t="n">
        <x:f>D4753*(C4753-1)</x:f>
        <x:v>0.30095762697725803</x:v>
      </x:c>
      <x:c r="F4753" s="2"/>
      <x:c r="G4753" s="2"/>
      <x:c r="H4753" s="2"/>
    </x:row>
    <x:row r="4754" ht="22" customHeight="1">
      <x:c r="A4754" s="2" t="n">
        <x:v>4748</x:v>
      </x:c>
      <x:c r="B4754" s="79" t="n">
        <x:v>-0.21788817163724927</x:v>
      </x:c>
      <x:c r="C4754" s="46" t="n">
        <x:f>B4754^2</x:f>
        <x:v>0.0474752553394234</x:v>
      </x:c>
      <x:c r="D4754" s="47" t="n">
        <x:f>'Datos'!$B$26^3/3</x:f>
        <x:v>0.3333333333333333</x:v>
      </x:c>
      <x:c r="E4754" s="46" t="n">
        <x:f>D4754*(C4754-1)</x:f>
        <x:v>-0.3175082482201922</x:v>
      </x:c>
      <x:c r="F4754" s="2"/>
      <x:c r="G4754" s="2"/>
      <x:c r="H4754" s="2"/>
    </x:row>
    <x:row r="4755" ht="22" customHeight="1">
      <x:c r="A4755" s="2" t="n">
        <x:v>4749</x:v>
      </x:c>
      <x:c r="B4755" s="79" t="n">
        <x:v>-1.1730258426085964</x:v>
      </x:c>
      <x:c r="C4755" s="46" t="n">
        <x:f>B4755^2</x:f>
        <x:v>1.3759896274276076</x:v>
      </x:c>
      <x:c r="D4755" s="47" t="n">
        <x:f>'Datos'!$B$26^3/3</x:f>
        <x:v>0.3333333333333333</x:v>
      </x:c>
      <x:c r="E4755" s="46" t="n">
        <x:f>D4755*(C4755-1)</x:f>
        <x:v>0.12532987580920252</x:v>
      </x:c>
      <x:c r="F4755" s="2"/>
      <x:c r="G4755" s="2"/>
      <x:c r="H4755" s="2"/>
    </x:row>
    <x:row r="4756" ht="22" customHeight="1">
      <x:c r="A4756" s="2" t="n">
        <x:v>4750</x:v>
      </x:c>
      <x:c r="B4756" s="79" t="n">
        <x:v>-0.18524305193359134</x:v>
      </x:c>
      <x:c r="C4756" s="46" t="n">
        <x:f>B4756^2</x:f>
        <x:v>0.034314988289671215</x:v>
      </x:c>
      <x:c r="D4756" s="47" t="n">
        <x:f>'Datos'!$B$26^3/3</x:f>
        <x:v>0.3333333333333333</x:v>
      </x:c>
      <x:c r="E4756" s="46" t="n">
        <x:f>D4756*(C4756-1)</x:f>
        <x:v>-0.32189500390344294</x:v>
      </x:c>
      <x:c r="F4756" s="2"/>
      <x:c r="G4756" s="2"/>
      <x:c r="H4756" s="2"/>
    </x:row>
    <x:row r="4757" ht="22" customHeight="1">
      <x:c r="A4757" s="2" t="n">
        <x:v>4751</x:v>
      </x:c>
      <x:c r="B4757" s="79" t="n">
        <x:v>-2.595004627090256</x:v>
      </x:c>
      <x:c r="C4757" s="46" t="n">
        <x:f>B4757^2</x:f>
        <x:v>6.734049014619838</x:v>
      </x:c>
      <x:c r="D4757" s="47" t="n">
        <x:f>'Datos'!$B$26^3/3</x:f>
        <x:v>0.3333333333333333</x:v>
      </x:c>
      <x:c r="E4757" s="46" t="n">
        <x:f>D4757*(C4757-1)</x:f>
        <x:v>1.911349671539946</x:v>
      </x:c>
      <x:c r="F4757" s="2"/>
      <x:c r="G4757" s="2"/>
      <x:c r="H4757" s="2"/>
    </x:row>
    <x:row r="4758" ht="22" customHeight="1">
      <x:c r="A4758" s="2" t="n">
        <x:v>4752</x:v>
      </x:c>
      <x:c r="B4758" s="79" t="n">
        <x:v>0.41948778924857805</x:v>
      </x:c>
      <x:c r="C4758" s="46" t="n">
        <x:f>B4758^2</x:f>
        <x:v>0.17597000532865942</x:v>
      </x:c>
      <x:c r="D4758" s="47" t="n">
        <x:f>'Datos'!$B$26^3/3</x:f>
        <x:v>0.3333333333333333</x:v>
      </x:c>
      <x:c r="E4758" s="46" t="n">
        <x:f>D4758*(C4758-1)</x:f>
        <x:v>-0.27467666489044684</x:v>
      </x:c>
      <x:c r="F4758" s="2"/>
      <x:c r="G4758" s="2"/>
      <x:c r="H4758" s="2"/>
    </x:row>
    <x:row r="4759" ht="22" customHeight="1">
      <x:c r="A4759" s="2" t="n">
        <x:v>4753</x:v>
      </x:c>
      <x:c r="B4759" s="79" t="n">
        <x:v>1.5799777595897393</x:v>
      </x:c>
      <x:c r="C4759" s="46" t="n">
        <x:f>B4759^2</x:f>
        <x:v>2.496329720798212</x:v>
      </x:c>
      <x:c r="D4759" s="47" t="n">
        <x:f>'Datos'!$B$26^3/3</x:f>
        <x:v>0.3333333333333333</x:v>
      </x:c>
      <x:c r="E4759" s="46" t="n">
        <x:f>D4759*(C4759-1)</x:f>
        <x:v>0.49877657359940397</x:v>
      </x:c>
      <x:c r="F4759" s="2"/>
      <x:c r="G4759" s="2"/>
      <x:c r="H4759" s="2"/>
    </x:row>
    <x:row r="4760" ht="22" customHeight="1">
      <x:c r="A4760" s="2" t="n">
        <x:v>4754</x:v>
      </x:c>
      <x:c r="B4760" s="79" t="n">
        <x:v>0.6622906978276047</x:v>
      </x:c>
      <x:c r="C4760" s="46" t="n">
        <x:f>B4760^2</x:f>
        <x:v>0.43862896842897564</x:v>
      </x:c>
      <x:c r="D4760" s="47" t="n">
        <x:f>'Datos'!$B$26^3/3</x:f>
        <x:v>0.3333333333333333</x:v>
      </x:c>
      <x:c r="E4760" s="46" t="n">
        <x:f>D4760*(C4760-1)</x:f>
        <x:v>-0.18712367719034143</x:v>
      </x:c>
      <x:c r="F4760" s="2"/>
      <x:c r="G4760" s="2"/>
      <x:c r="H4760" s="2"/>
    </x:row>
    <x:row r="4761" ht="22" customHeight="1">
      <x:c r="A4761" s="2" t="n">
        <x:v>4755</x:v>
      </x:c>
      <x:c r="B4761" s="79" t="n">
        <x:v>-0.5800874817983491</x:v>
      </x:c>
      <x:c r="C4761" s="46" t="n">
        <x:f>B4761^2</x:f>
        <x:v>0.33650148653915</x:v>
      </x:c>
      <x:c r="D4761" s="47" t="n">
        <x:f>'Datos'!$B$26^3/3</x:f>
        <x:v>0.3333333333333333</x:v>
      </x:c>
      <x:c r="E4761" s="46" t="n">
        <x:f>D4761*(C4761-1)</x:f>
        <x:v>-0.22116617115361664</x:v>
      </x:c>
      <x:c r="F4761" s="2"/>
      <x:c r="G4761" s="2"/>
      <x:c r="H4761" s="2"/>
    </x:row>
    <x:row r="4762" ht="22" customHeight="1">
      <x:c r="A4762" s="2" t="n">
        <x:v>4756</x:v>
      </x:c>
      <x:c r="B4762" s="79" t="n">
        <x:v>0.1607044085612022</x:v>
      </x:c>
      <x:c r="C4762" s="46" t="n">
        <x:f>B4762^2</x:f>
        <x:v>0.025825906931005796</x:v>
      </x:c>
      <x:c r="D4762" s="47" t="n">
        <x:f>'Datos'!$B$26^3/3</x:f>
        <x:v>0.3333333333333333</x:v>
      </x:c>
      <x:c r="E4762" s="46" t="n">
        <x:f>D4762*(C4762-1)</x:f>
        <x:v>-0.3247246976896647</x:v>
      </x:c>
      <x:c r="F4762" s="2"/>
      <x:c r="G4762" s="2"/>
      <x:c r="H4762" s="2"/>
    </x:row>
    <x:row r="4763" ht="22" customHeight="1">
      <x:c r="A4763" s="2" t="n">
        <x:v>4757</x:v>
      </x:c>
      <x:c r="B4763" s="79" t="n">
        <x:v>-2.093954691979165</x:v>
      </x:c>
      <x:c r="C4763" s="46" t="n">
        <x:f>B4763^2</x:f>
        <x:v>4.38464625206156</x:v>
      </x:c>
      <x:c r="D4763" s="47" t="n">
        <x:f>'Datos'!$B$26^3/3</x:f>
        <x:v>0.3333333333333333</x:v>
      </x:c>
      <x:c r="E4763" s="46" t="n">
        <x:f>D4763*(C4763-1)</x:f>
        <x:v>1.1282154173538532</x:v>
      </x:c>
      <x:c r="F4763" s="2"/>
      <x:c r="G4763" s="2"/>
      <x:c r="H4763" s="2"/>
    </x:row>
    <x:row r="4764" ht="22" customHeight="1">
      <x:c r="A4764" s="2" t="n">
        <x:v>4758</x:v>
      </x:c>
      <x:c r="B4764" s="79" t="n">
        <x:v>1.5235498481803407</x:v>
      </x:c>
      <x:c r="C4764" s="46" t="n">
        <x:f>B4764^2</x:f>
        <x:v>2.321204139890339</x:v>
      </x:c>
      <x:c r="D4764" s="47" t="n">
        <x:f>'Datos'!$B$26^3/3</x:f>
        <x:v>0.3333333333333333</x:v>
      </x:c>
      <x:c r="E4764" s="46" t="n">
        <x:f>D4764*(C4764-1)</x:f>
        <x:v>0.44040137996344636</x:v>
      </x:c>
      <x:c r="F4764" s="2"/>
      <x:c r="G4764" s="2"/>
      <x:c r="H4764" s="2"/>
    </x:row>
    <x:row r="4765" ht="22" customHeight="1">
      <x:c r="A4765" s="2" t="n">
        <x:v>4759</x:v>
      </x:c>
      <x:c r="B4765" s="79" t="n">
        <x:v>0.9948385311195787</x:v>
      </x:c>
      <x:c r="C4765" s="46" t="n">
        <x:f>B4765^2</x:f>
        <x:v>0.9897037030001609</x:v>
      </x:c>
      <x:c r="D4765" s="47" t="n">
        <x:f>'Datos'!$B$26^3/3</x:f>
        <x:v>0.3333333333333333</x:v>
      </x:c>
      <x:c r="E4765" s="46" t="n">
        <x:f>D4765*(C4765-1)</x:f>
        <x:v>-0.0034320989999463794</x:v>
      </x:c>
      <x:c r="F4765" s="2"/>
      <x:c r="G4765" s="2"/>
      <x:c r="H4765" s="2"/>
    </x:row>
    <x:row r="4766" ht="22" customHeight="1">
      <x:c r="A4766" s="2" t="n">
        <x:v>4760</x:v>
      </x:c>
      <x:c r="B4766" s="79" t="n">
        <x:v>-0.7433303972243599</x:v>
      </x:c>
      <x:c r="C4766" s="46" t="n">
        <x:f>B4766^2</x:f>
        <x:v>0.5525400794377247</x:v>
      </x:c>
      <x:c r="D4766" s="47" t="n">
        <x:f>'Datos'!$B$26^3/3</x:f>
        <x:v>0.3333333333333333</x:v>
      </x:c>
      <x:c r="E4766" s="46" t="n">
        <x:f>D4766*(C4766-1)</x:f>
        <x:v>-0.14915330685409178</x:v>
      </x:c>
      <x:c r="F4766" s="2"/>
      <x:c r="G4766" s="2"/>
      <x:c r="H4766" s="2"/>
    </x:row>
    <x:row r="4767" ht="22" customHeight="1">
      <x:c r="A4767" s="2" t="n">
        <x:v>4761</x:v>
      </x:c>
      <x:c r="B4767" s="79" t="n">
        <x:v>1.6046271781535602</x:v>
      </x:c>
      <x:c r="C4767" s="46" t="n">
        <x:f>B4767^2</x:f>
        <x:v>2.5748283808690573</x:v>
      </x:c>
      <x:c r="D4767" s="47" t="n">
        <x:f>'Datos'!$B$26^3/3</x:f>
        <x:v>0.3333333333333333</x:v>
      </x:c>
      <x:c r="E4767" s="46" t="n">
        <x:f>D4767*(C4767-1)</x:f>
        <x:v>0.5249427936230191</x:v>
      </x:c>
      <x:c r="F4767" s="2"/>
      <x:c r="G4767" s="2"/>
      <x:c r="H4767" s="2"/>
    </x:row>
    <x:row r="4768" ht="22" customHeight="1">
      <x:c r="A4768" s="2" t="n">
        <x:v>4762</x:v>
      </x:c>
      <x:c r="B4768" s="79" t="n">
        <x:v>-0.6706070456189365</x:v>
      </x:c>
      <x:c r="C4768" s="46" t="n">
        <x:f>B4768^2</x:f>
        <x:v>0.44971380963375834</x:v>
      </x:c>
      <x:c r="D4768" s="47" t="n">
        <x:f>'Datos'!$B$26^3/3</x:f>
        <x:v>0.3333333333333333</x:v>
      </x:c>
      <x:c r="E4768" s="46" t="n">
        <x:f>D4768*(C4768-1)</x:f>
        <x:v>-0.18342873012208055</x:v>
      </x:c>
      <x:c r="F4768" s="2"/>
      <x:c r="G4768" s="2"/>
      <x:c r="H4768" s="2"/>
    </x:row>
    <x:row r="4769" ht="22" customHeight="1">
      <x:c r="A4769" s="2" t="n">
        <x:v>4763</x:v>
      </x:c>
      <x:c r="B4769" s="79" t="n">
        <x:v>1.240284377449404</x:v>
      </x:c>
      <x:c r="C4769" s="46" t="n">
        <x:f>B4769^2</x:f>
        <x:v>1.5383053369450554</x:v>
      </x:c>
      <x:c r="D4769" s="47" t="n">
        <x:f>'Datos'!$B$26^3/3</x:f>
        <x:v>0.3333333333333333</x:v>
      </x:c>
      <x:c r="E4769" s="46" t="n">
        <x:f>D4769*(C4769-1)</x:f>
        <x:v>0.17943511231501846</x:v>
      </x:c>
      <x:c r="F4769" s="2"/>
      <x:c r="G4769" s="2"/>
      <x:c r="H4769" s="2"/>
    </x:row>
    <x:row r="4770" ht="22" customHeight="1">
      <x:c r="A4770" s="2" t="n">
        <x:v>4764</x:v>
      </x:c>
      <x:c r="B4770" s="79" t="n">
        <x:v>-0.9764548582685736</x:v>
      </x:c>
      <x:c r="C4770" s="46" t="n">
        <x:f>B4770^2</x:f>
        <x:v>0.9534640902363002</x:v>
      </x:c>
      <x:c r="D4770" s="47" t="n">
        <x:f>'Datos'!$B$26^3/3</x:f>
        <x:v>0.3333333333333333</x:v>
      </x:c>
      <x:c r="E4770" s="46" t="n">
        <x:f>D4770*(C4770-1)</x:f>
        <x:v>-0.01551196992123327</x:v>
      </x:c>
      <x:c r="F4770" s="2"/>
      <x:c r="G4770" s="2"/>
      <x:c r="H4770" s="2"/>
    </x:row>
    <x:row r="4771" ht="22" customHeight="1">
      <x:c r="A4771" s="2" t="n">
        <x:v>4765</x:v>
      </x:c>
      <x:c r="B4771" s="79" t="n">
        <x:v>-1.2078755856162708</x:v>
      </x:c>
      <x:c r="C4771" s="46" t="n">
        <x:f>B4771^2</x:f>
        <x:v>1.4589634303278491</x:v>
      </x:c>
      <x:c r="D4771" s="47" t="n">
        <x:f>'Datos'!$B$26^3/3</x:f>
        <x:v>0.3333333333333333</x:v>
      </x:c>
      <x:c r="E4771" s="46" t="n">
        <x:f>D4771*(C4771-1)</x:f>
        <x:v>0.15298781010928303</x:v>
      </x:c>
      <x:c r="F4771" s="2"/>
      <x:c r="G4771" s="2"/>
      <x:c r="H4771" s="2"/>
    </x:row>
    <x:row r="4772" ht="22" customHeight="1">
      <x:c r="A4772" s="2" t="n">
        <x:v>4766</x:v>
      </x:c>
      <x:c r="B4772" s="79" t="n">
        <x:v>-0.6445958633290355</x:v>
      </x:c>
      <x:c r="C4772" s="46" t="n">
        <x:f>B4772^2</x:f>
        <x:v>0.4155038270209046</x:v>
      </x:c>
      <x:c r="D4772" s="47" t="n">
        <x:f>'Datos'!$B$26^3/3</x:f>
        <x:v>0.3333333333333333</x:v>
      </x:c>
      <x:c r="E4772" s="46" t="n">
        <x:f>D4772*(C4772-1)</x:f>
        <x:v>-0.19483205765969847</x:v>
      </x:c>
      <x:c r="F4772" s="2"/>
      <x:c r="G4772" s="2"/>
      <x:c r="H4772" s="2"/>
    </x:row>
    <x:row r="4773" ht="22" customHeight="1">
      <x:c r="A4773" s="2" t="n">
        <x:v>4767</x:v>
      </x:c>
      <x:c r="B4773" s="79" t="n">
        <x:v>1.0042337076389705</x:v>
      </x:c>
      <x:c r="C4773" s="46" t="n">
        <x:f>B4773^2</x:f>
        <x:v>1.008485339558313</x:v>
      </x:c>
      <x:c r="D4773" s="47" t="n">
        <x:f>'Datos'!$B$26^3/3</x:f>
        <x:v>0.3333333333333333</x:v>
      </x:c>
      <x:c r="E4773" s="46" t="n">
        <x:f>D4773*(C4773-1)</x:f>
        <x:v>0.0028284465194376995</x:v>
      </x:c>
      <x:c r="F4773" s="2"/>
      <x:c r="G4773" s="2"/>
      <x:c r="H4773" s="2"/>
    </x:row>
    <x:row r="4774" ht="22" customHeight="1">
      <x:c r="A4774" s="2" t="n">
        <x:v>4768</x:v>
      </x:c>
      <x:c r="B4774" s="79" t="n">
        <x:v>-0.7785362133047037</x:v>
      </x:c>
      <x:c r="C4774" s="46" t="n">
        <x:f>B4774^2</x:f>
        <x:v>0.6061186354268271</x:v>
      </x:c>
      <x:c r="D4774" s="47" t="n">
        <x:f>'Datos'!$B$26^3/3</x:f>
        <x:v>0.3333333333333333</x:v>
      </x:c>
      <x:c r="E4774" s="46" t="n">
        <x:f>D4774*(C4774-1)</x:f>
        <x:v>-0.13129378819105764</x:v>
      </x:c>
      <x:c r="F4774" s="2"/>
      <x:c r="G4774" s="2"/>
      <x:c r="H4774" s="2"/>
    </x:row>
    <x:row r="4775" ht="22" customHeight="1">
      <x:c r="A4775" s="2" t="n">
        <x:v>4769</x:v>
      </x:c>
      <x:c r="B4775" s="79" t="n">
        <x:v>-0.11049540783501052</x:v>
      </x:c>
      <x:c r="C4775" s="46" t="n">
        <x:f>B4775^2</x:f>
        <x:v>0.012209235152625305</x:v>
      </x:c>
      <x:c r="D4775" s="47" t="n">
        <x:f>'Datos'!$B$26^3/3</x:f>
        <x:v>0.3333333333333333</x:v>
      </x:c>
      <x:c r="E4775" s="46" t="n">
        <x:f>D4775*(C4775-1)</x:f>
        <x:v>-0.3292635882824582</x:v>
      </x:c>
      <x:c r="F4775" s="2"/>
      <x:c r="G4775" s="2"/>
      <x:c r="H4775" s="2"/>
    </x:row>
    <x:row r="4776" ht="22" customHeight="1">
      <x:c r="A4776" s="2" t="n">
        <x:v>4770</x:v>
      </x:c>
      <x:c r="B4776" s="79" t="n">
        <x:v>0.611400240659315</x:v>
      </x:c>
      <x:c r="C4776" s="46" t="n">
        <x:f>B4776^2</x:f>
        <x:v>0.37381025427826825</x:v>
      </x:c>
      <x:c r="D4776" s="47" t="n">
        <x:f>'Datos'!$B$26^3/3</x:f>
        <x:v>0.3333333333333333</x:v>
      </x:c>
      <x:c r="E4776" s="46" t="n">
        <x:f>D4776*(C4776-1)</x:f>
        <x:v>-0.20872991524057727</x:v>
      </x:c>
      <x:c r="F4776" s="2"/>
      <x:c r="G4776" s="2"/>
      <x:c r="H4776" s="2"/>
    </x:row>
    <x:row r="4777" ht="22" customHeight="1">
      <x:c r="A4777" s="2" t="n">
        <x:v>4771</x:v>
      </x:c>
      <x:c r="B4777" s="79" t="n">
        <x:v>0.10784849848779077</x:v>
      </x:c>
      <x:c r="C4777" s="46" t="n">
        <x:f>B4777^2</x:f>
        <x:v>0.011631298626071008</x:v>
      </x:c>
      <x:c r="D4777" s="47" t="n">
        <x:f>'Datos'!$B$26^3/3</x:f>
        <x:v>0.3333333333333333</x:v>
      </x:c>
      <x:c r="E4777" s="46" t="n">
        <x:f>D4777*(C4777-1)</x:f>
        <x:v>-0.3294562337913096</x:v>
      </x:c>
      <x:c r="F4777" s="2"/>
      <x:c r="G4777" s="2"/>
      <x:c r="H4777" s="2"/>
    </x:row>
    <x:row r="4778" ht="22" customHeight="1">
      <x:c r="A4778" s="2" t="n">
        <x:v>4772</x:v>
      </x:c>
      <x:c r="B4778" s="79" t="n">
        <x:v>-1.4592997729022052</x:v>
      </x:c>
      <x:c r="C4778" s="46" t="n">
        <x:f>B4778^2</x:f>
        <x:v>2.1295558271924278</x:v>
      </x:c>
      <x:c r="D4778" s="47" t="n">
        <x:f>'Datos'!$B$26^3/3</x:f>
        <x:v>0.3333333333333333</x:v>
      </x:c>
      <x:c r="E4778" s="46" t="n">
        <x:f>D4778*(C4778-1)</x:f>
        <x:v>0.3765186090641426</x:v>
      </x:c>
      <x:c r="F4778" s="2"/>
      <x:c r="G4778" s="2"/>
      <x:c r="H4778" s="2"/>
    </x:row>
    <x:row r="4779" ht="22" customHeight="1">
      <x:c r="A4779" s="2" t="n">
        <x:v>4773</x:v>
      </x:c>
      <x:c r="B4779" s="79" t="n">
        <x:v>-0.6225956611855282</x:v>
      </x:c>
      <x:c r="C4779" s="46" t="n">
        <x:f>B4779^2</x:f>
        <x:v>0.38762535732704506</x:v>
      </x:c>
      <x:c r="D4779" s="47" t="n">
        <x:f>'Datos'!$B$26^3/3</x:f>
        <x:v>0.3333333333333333</x:v>
      </x:c>
      <x:c r="E4779" s="46" t="n">
        <x:f>D4779*(C4779-1)</x:f>
        <x:v>-0.20412488089098496</x:v>
      </x:c>
      <x:c r="F4779" s="2"/>
      <x:c r="G4779" s="2"/>
      <x:c r="H4779" s="2"/>
    </x:row>
    <x:row r="4780" ht="22" customHeight="1">
      <x:c r="A4780" s="2" t="n">
        <x:v>4774</x:v>
      </x:c>
      <x:c r="B4780" s="79" t="n">
        <x:v>-1.164249249902962</x:v>
      </x:c>
      <x:c r="C4780" s="46" t="n">
        <x:f>B4780^2</x:f>
        <x:v>1.3554763158996095</x:v>
      </x:c>
      <x:c r="D4780" s="47" t="n">
        <x:f>'Datos'!$B$26^3/3</x:f>
        <x:v>0.3333333333333333</x:v>
      </x:c>
      <x:c r="E4780" s="46" t="n">
        <x:f>D4780*(C4780-1)</x:f>
        <x:v>0.11849210529986982</x:v>
      </x:c>
      <x:c r="F4780" s="2"/>
      <x:c r="G4780" s="2"/>
      <x:c r="H4780" s="2"/>
    </x:row>
    <x:row r="4781" ht="22" customHeight="1">
      <x:c r="A4781" s="2" t="n">
        <x:v>4775</x:v>
      </x:c>
      <x:c r="B4781" s="79" t="n">
        <x:v>-2.4563372056212773</x:v>
      </x:c>
      <x:c r="C4781" s="46" t="n">
        <x:f>B4781^2</x:f>
        <x:v>6.0335924677193455</x:v>
      </x:c>
      <x:c r="D4781" s="47" t="n">
        <x:f>'Datos'!$B$26^3/3</x:f>
        <x:v>0.3333333333333333</x:v>
      </x:c>
      <x:c r="E4781" s="46" t="n">
        <x:f>D4781*(C4781-1)</x:f>
        <x:v>1.6778641559064484</x:v>
      </x:c>
      <x:c r="F4781" s="2"/>
      <x:c r="G4781" s="2"/>
      <x:c r="H4781" s="2"/>
    </x:row>
    <x:row r="4782" ht="22" customHeight="1">
      <x:c r="A4782" s="2" t="n">
        <x:v>4776</x:v>
      </x:c>
      <x:c r="B4782" s="79" t="n">
        <x:v>-0.8836452811327817</x:v>
      </x:c>
      <x:c r="C4782" s="46" t="n">
        <x:f>B4782^2</x:f>
        <x:v>0.7808289828682329</x:v>
      </x:c>
      <x:c r="D4782" s="47" t="n">
        <x:f>'Datos'!$B$26^3/3</x:f>
        <x:v>0.3333333333333333</x:v>
      </x:c>
      <x:c r="E4782" s="46" t="n">
        <x:f>D4782*(C4782-1)</x:f>
        <x:v>-0.07305700571058904</x:v>
      </x:c>
      <x:c r="F4782" s="2"/>
      <x:c r="G4782" s="2"/>
      <x:c r="H4782" s="2"/>
    </x:row>
    <x:row r="4783" ht="22" customHeight="1">
      <x:c r="A4783" s="2" t="n">
        <x:v>4777</x:v>
      </x:c>
      <x:c r="B4783" s="79" t="n">
        <x:v>0.2093507778964657</x:v>
      </x:c>
      <x:c r="C4783" s="46" t="n">
        <x:f>B4783^2</x:f>
        <x:v>0.04382774820585531</x:v>
      </x:c>
      <x:c r="D4783" s="47" t="n">
        <x:f>'Datos'!$B$26^3/3</x:f>
        <x:v>0.3333333333333333</x:v>
      </x:c>
      <x:c r="E4783" s="46" t="n">
        <x:f>D4783*(C4783-1)</x:f>
        <x:v>-0.3187240839313815</x:v>
      </x:c>
      <x:c r="F4783" s="2"/>
      <x:c r="G4783" s="2"/>
      <x:c r="H4783" s="2"/>
    </x:row>
    <x:row r="4784" ht="22" customHeight="1">
      <x:c r="A4784" s="2" t="n">
        <x:v>4778</x:v>
      </x:c>
      <x:c r="B4784" s="79" t="n">
        <x:v>0.8641299841531803</x:v>
      </x:c>
      <x:c r="C4784" s="46" t="n">
        <x:f>B4784^2</x:f>
        <x:v>0.7467206295125757</x:v>
      </x:c>
      <x:c r="D4784" s="47" t="n">
        <x:f>'Datos'!$B$26^3/3</x:f>
        <x:v>0.3333333333333333</x:v>
      </x:c>
      <x:c r="E4784" s="46" t="n">
        <x:f>D4784*(C4784-1)</x:f>
        <x:v>-0.08442645682914143</x:v>
      </x:c>
      <x:c r="F4784" s="2"/>
      <x:c r="G4784" s="2"/>
      <x:c r="H4784" s="2"/>
    </x:row>
    <x:row r="4785" ht="22" customHeight="1">
      <x:c r="A4785" s="2" t="n">
        <x:v>4779</x:v>
      </x:c>
      <x:c r="B4785" s="79" t="n">
        <x:v>-0.6986937121543854</x:v>
      </x:c>
      <x:c r="C4785" s="46" t="n">
        <x:f>B4785^2</x:f>
        <x:v>0.4881729034040751</x:v>
      </x:c>
      <x:c r="D4785" s="47" t="n">
        <x:f>'Datos'!$B$26^3/3</x:f>
        <x:v>0.3333333333333333</x:v>
      </x:c>
      <x:c r="E4785" s="46" t="n">
        <x:f>D4785*(C4785-1)</x:f>
        <x:v>-0.1706090321986416</x:v>
      </x:c>
      <x:c r="F4785" s="2"/>
      <x:c r="G4785" s="2"/>
      <x:c r="H4785" s="2"/>
    </x:row>
    <x:row r="4786" ht="22" customHeight="1">
      <x:c r="A4786" s="2" t="n">
        <x:v>4780</x:v>
      </x:c>
      <x:c r="B4786" s="79" t="n">
        <x:v>-0.3978333273144902</x:v>
      </x:c>
      <x:c r="C4786" s="46" t="n">
        <x:f>B4786^2</x:f>
        <x:v>0.1582713563221183</x:v>
      </x:c>
      <x:c r="D4786" s="47" t="n">
        <x:f>'Datos'!$B$26^3/3</x:f>
        <x:v>0.3333333333333333</x:v>
      </x:c>
      <x:c r="E4786" s="46" t="n">
        <x:f>D4786*(C4786-1)</x:f>
        <x:v>-0.2805762145592939</x:v>
      </x:c>
      <x:c r="F4786" s="2"/>
      <x:c r="G4786" s="2"/>
      <x:c r="H4786" s="2"/>
    </x:row>
    <x:row r="4787" ht="22" customHeight="1">
      <x:c r="A4787" s="2" t="n">
        <x:v>4781</x:v>
      </x:c>
      <x:c r="B4787" s="79" t="n">
        <x:v>1.0643056651430747</x:v>
      </x:c>
      <x:c r="C4787" s="46" t="n">
        <x:f>B4787^2</x:f>
        <x:v>1.1327465488556425</x:v>
      </x:c>
      <x:c r="D4787" s="47" t="n">
        <x:f>'Datos'!$B$26^3/3</x:f>
        <x:v>0.3333333333333333</x:v>
      </x:c>
      <x:c r="E4787" s="46" t="n">
        <x:f>D4787*(C4787-1)</x:f>
        <x:v>0.044248849618547505</x:v>
      </x:c>
      <x:c r="F4787" s="2"/>
      <x:c r="G4787" s="2"/>
      <x:c r="H4787" s="2"/>
    </x:row>
    <x:row r="4788" ht="22" customHeight="1">
      <x:c r="A4788" s="2" t="n">
        <x:v>4782</x:v>
      </x:c>
      <x:c r="B4788" s="79" t="n">
        <x:v>0.17912494554497055</x:v>
      </x:c>
      <x:c r="C4788" s="46" t="n">
        <x:f>B4788^2</x:f>
        <x:v>0.032085746116488664</x:v>
      </x:c>
      <x:c r="D4788" s="47" t="n">
        <x:f>'Datos'!$B$26^3/3</x:f>
        <x:v>0.3333333333333333</x:v>
      </x:c>
      <x:c r="E4788" s="46" t="n">
        <x:f>D4788*(C4788-1)</x:f>
        <x:v>-0.3226380846278371</x:v>
      </x:c>
      <x:c r="F4788" s="2"/>
      <x:c r="G4788" s="2"/>
      <x:c r="H4788" s="2"/>
    </x:row>
    <x:row r="4789" ht="22" customHeight="1">
      <x:c r="A4789" s="2" t="n">
        <x:v>4783</x:v>
      </x:c>
      <x:c r="B4789" s="79" t="n">
        <x:v>1.5715254003658021</x:v>
      </x:c>
      <x:c r="C4789" s="46" t="n">
        <x:f>B4789^2</x:f>
        <x:v>2.469692083994895</x:v>
      </x:c>
      <x:c r="D4789" s="47" t="n">
        <x:f>'Datos'!$B$26^3/3</x:f>
        <x:v>0.3333333333333333</x:v>
      </x:c>
      <x:c r="E4789" s="46" t="n">
        <x:f>D4789*(C4789-1)</x:f>
        <x:v>0.4898973613316316</x:v>
      </x:c>
      <x:c r="F4789" s="2"/>
      <x:c r="G4789" s="2"/>
      <x:c r="H4789" s="2"/>
    </x:row>
    <x:row r="4790" ht="22" customHeight="1">
      <x:c r="A4790" s="2" t="n">
        <x:v>4784</x:v>
      </x:c>
      <x:c r="B4790" s="79" t="n">
        <x:v>-0.28424636466814746</x:v>
      </x:c>
      <x:c r="C4790" s="46" t="n">
        <x:f>B4790^2</x:f>
        <x:v>0.08079599582705746</x:v>
      </x:c>
      <x:c r="D4790" s="47" t="n">
        <x:f>'Datos'!$B$26^3/3</x:f>
        <x:v>0.3333333333333333</x:v>
      </x:c>
      <x:c r="E4790" s="46" t="n">
        <x:f>D4790*(C4790-1)</x:f>
        <x:v>-0.3064013347243142</x:v>
      </x:c>
      <x:c r="F4790" s="2"/>
      <x:c r="G4790" s="2"/>
      <x:c r="H4790" s="2"/>
    </x:row>
    <x:row r="4791" ht="22" customHeight="1">
      <x:c r="A4791" s="2" t="n">
        <x:v>4785</x:v>
      </x:c>
      <x:c r="B4791" s="79" t="n">
        <x:v>-0.6211307762039125</x:v>
      </x:c>
      <x:c r="C4791" s="46" t="n">
        <x:f>B4791^2</x:f>
        <x:v>0.3858034411476749</x:v>
      </x:c>
      <x:c r="D4791" s="47" t="n">
        <x:f>'Datos'!$B$26^3/3</x:f>
        <x:v>0.3333333333333333</x:v>
      </x:c>
      <x:c r="E4791" s="46" t="n">
        <x:f>D4791*(C4791-1)</x:f>
        <x:v>-0.20473218628410833</x:v>
      </x:c>
      <x:c r="F4791" s="2"/>
      <x:c r="G4791" s="2"/>
      <x:c r="H4791" s="2"/>
    </x:row>
    <x:row r="4792" ht="22" customHeight="1">
      <x:c r="A4792" s="2" t="n">
        <x:v>4786</x:v>
      </x:c>
      <x:c r="B4792" s="79" t="n">
        <x:v>0.3248682000479711</x:v>
      </x:c>
      <x:c r="C4792" s="46" t="n">
        <x:f>B4792^2</x:f>
        <x:v>0.10553934740240858</x:v>
      </x:c>
      <x:c r="D4792" s="47" t="n">
        <x:f>'Datos'!$B$26^3/3</x:f>
        <x:v>0.3333333333333333</x:v>
      </x:c>
      <x:c r="E4792" s="46" t="n">
        <x:f>D4792*(C4792-1)</x:f>
        <x:v>-0.2981535508658638</x:v>
      </x:c>
      <x:c r="F4792" s="2"/>
      <x:c r="G4792" s="2"/>
      <x:c r="H4792" s="2"/>
    </x:row>
    <x:row r="4793" ht="22" customHeight="1">
      <x:c r="A4793" s="2" t="n">
        <x:v>4787</x:v>
      </x:c>
      <x:c r="B4793" s="79" t="n">
        <x:v>0.9367335639641177</x:v>
      </x:c>
      <x:c r="C4793" s="46" t="n">
        <x:f>B4793^2</x:f>
        <x:v>0.8774697698569177</x:v>
      </x:c>
      <x:c r="D4793" s="47" t="n">
        <x:f>'Datos'!$B$26^3/3</x:f>
        <x:v>0.3333333333333333</x:v>
      </x:c>
      <x:c r="E4793" s="46" t="n">
        <x:f>D4793*(C4793-1)</x:f>
        <x:v>-0.040843410047694095</x:v>
      </x:c>
      <x:c r="F4793" s="2"/>
      <x:c r="G4793" s="2"/>
      <x:c r="H4793" s="2"/>
    </x:row>
    <x:row r="4794" ht="22" customHeight="1">
      <x:c r="A4794" s="2" t="n">
        <x:v>4788</x:v>
      </x:c>
      <x:c r="B4794" s="79" t="n">
        <x:v>-1.3644944780730761</x:v>
      </x:c>
      <x:c r="C4794" s="46" t="n">
        <x:f>B4794^2</x:f>
        <x:v>1.8618451806919163</x:v>
      </x:c>
      <x:c r="D4794" s="47" t="n">
        <x:f>'Datos'!$B$26^3/3</x:f>
        <x:v>0.3333333333333333</x:v>
      </x:c>
      <x:c r="E4794" s="46" t="n">
        <x:f>D4794*(C4794-1)</x:f>
        <x:v>0.2872817268973054</x:v>
      </x:c>
      <x:c r="F4794" s="2"/>
      <x:c r="G4794" s="2"/>
      <x:c r="H4794" s="2"/>
    </x:row>
    <x:row r="4795" ht="22" customHeight="1">
      <x:c r="A4795" s="2" t="n">
        <x:v>4789</x:v>
      </x:c>
      <x:c r="B4795" s="79" t="n">
        <x:v>0.7538491416249513</x:v>
      </x:c>
      <x:c r="C4795" s="46" t="n">
        <x:f>B4795^2</x:f>
        <x:v>0.5682885283286759</x:v>
      </x:c>
      <x:c r="D4795" s="47" t="n">
        <x:f>'Datos'!$B$26^3/3</x:f>
        <x:v>0.3333333333333333</x:v>
      </x:c>
      <x:c r="E4795" s="46" t="n">
        <x:f>D4795*(C4795-1)</x:f>
        <x:v>-0.14390382389044135</x:v>
      </x:c>
      <x:c r="F4795" s="2"/>
      <x:c r="G4795" s="2"/>
      <x:c r="H4795" s="2"/>
    </x:row>
    <x:row r="4796" ht="22" customHeight="1">
      <x:c r="A4796" s="2" t="n">
        <x:v>4790</x:v>
      </x:c>
      <x:c r="B4796" s="79" t="n">
        <x:v>-0.6865303412105099</x:v>
      </x:c>
      <x:c r="C4796" s="46" t="n">
        <x:f>B4796^2</x:f>
        <x:v>0.4713239094026192</x:v>
      </x:c>
      <x:c r="D4796" s="47" t="n">
        <x:f>'Datos'!$B$26^3/3</x:f>
        <x:v>0.3333333333333333</x:v>
      </x:c>
      <x:c r="E4796" s="46" t="n">
        <x:f>D4796*(C4796-1)</x:f>
        <x:v>-0.17622536353246027</x:v>
      </x:c>
      <x:c r="F4796" s="2"/>
      <x:c r="G4796" s="2"/>
      <x:c r="H4796" s="2"/>
    </x:row>
    <x:row r="4797" ht="22" customHeight="1">
      <x:c r="A4797" s="2" t="n">
        <x:v>4791</x:v>
      </x:c>
      <x:c r="B4797" s="79" t="n">
        <x:v>1.8831430915047815</x:v>
      </x:c>
      <x:c r="C4797" s="46" t="n">
        <x:f>B4797^2</x:f>
        <x:v>3.546227903082186</x:v>
      </x:c>
      <x:c r="D4797" s="47" t="n">
        <x:f>'Datos'!$B$26^3/3</x:f>
        <x:v>0.3333333333333333</x:v>
      </x:c>
      <x:c r="E4797" s="46" t="n">
        <x:f>D4797*(C4797-1)</x:f>
        <x:v>0.8487426343607286</x:v>
      </x:c>
      <x:c r="F4797" s="2"/>
      <x:c r="G4797" s="2"/>
      <x:c r="H4797" s="2"/>
    </x:row>
    <x:row r="4798" ht="22" customHeight="1">
      <x:c r="A4798" s="2" t="n">
        <x:v>4792</x:v>
      </x:c>
      <x:c r="B4798" s="79" t="n">
        <x:v>1.873020850383936</x:v>
      </x:c>
      <x:c r="C4798" s="46" t="n">
        <x:f>B4798^2</x:f>
        <x:v>3.508207105972963</x:v>
      </x:c>
      <x:c r="D4798" s="47" t="n">
        <x:f>'Datos'!$B$26^3/3</x:f>
        <x:v>0.3333333333333333</x:v>
      </x:c>
      <x:c r="E4798" s="46" t="n">
        <x:f>D4798*(C4798-1)</x:f>
        <x:v>0.836069035324321</x:v>
      </x:c>
      <x:c r="F4798" s="2"/>
      <x:c r="G4798" s="2"/>
      <x:c r="H4798" s="2"/>
    </x:row>
    <x:row r="4799" ht="22" customHeight="1">
      <x:c r="A4799" s="2" t="n">
        <x:v>4793</x:v>
      </x:c>
      <x:c r="B4799" s="79" t="n">
        <x:v>0.037161589545075945</x:v>
      </x:c>
      <x:c r="C4799" s="46" t="n">
        <x:f>B4799^2</x:f>
        <x:v>0.0013809837375166978</x:v>
      </x:c>
      <x:c r="D4799" s="47" t="n">
        <x:f>'Datos'!$B$26^3/3</x:f>
        <x:v>0.3333333333333333</x:v>
      </x:c>
      <x:c r="E4799" s="46" t="n">
        <x:f>D4799*(C4799-1)</x:f>
        <x:v>-0.33287300542082776</x:v>
      </x:c>
      <x:c r="F4799" s="2"/>
      <x:c r="G4799" s="2"/>
      <x:c r="H4799" s="2"/>
    </x:row>
    <x:row r="4800" ht="22" customHeight="1">
      <x:c r="A4800" s="2" t="n">
        <x:v>4794</x:v>
      </x:c>
      <x:c r="B4800" s="79" t="n">
        <x:v>-0.14278557621959467</x:v>
      </x:c>
      <x:c r="C4800" s="46" t="n">
        <x:f>B4800^2</x:f>
        <x:v>0.02038772077636168</x:v>
      </x:c>
      <x:c r="D4800" s="47" t="n">
        <x:f>'Datos'!$B$26^3/3</x:f>
        <x:v>0.3333333333333333</x:v>
      </x:c>
      <x:c r="E4800" s="46" t="n">
        <x:f>D4800*(C4800-1)</x:f>
        <x:v>-0.3265374264078794</x:v>
      </x:c>
      <x:c r="F4800" s="2"/>
      <x:c r="G4800" s="2"/>
      <x:c r="H4800" s="2"/>
    </x:row>
    <x:row r="4801" ht="22" customHeight="1">
      <x:c r="A4801" s="2" t="n">
        <x:v>4795</x:v>
      </x:c>
      <x:c r="B4801" s="79" t="n">
        <x:v>-0.1365303808591559</x:v>
      </x:c>
      <x:c r="C4801" s="46" t="n">
        <x:f>B4801^2</x:f>
        <x:v>0.01864054489754616</x:v>
      </x:c>
      <x:c r="D4801" s="47" t="n">
        <x:f>'Datos'!$B$26^3/3</x:f>
        <x:v>0.3333333333333333</x:v>
      </x:c>
      <x:c r="E4801" s="46" t="n">
        <x:f>D4801*(C4801-1)</x:f>
        <x:v>-0.3271198183674846</x:v>
      </x:c>
      <x:c r="F4801" s="2"/>
      <x:c r="G4801" s="2"/>
      <x:c r="H4801" s="2"/>
    </x:row>
    <x:row r="4802" ht="22" customHeight="1">
      <x:c r="A4802" s="2" t="n">
        <x:v>4796</x:v>
      </x:c>
      <x:c r="B4802" s="79" t="n">
        <x:v>0.29992907173390015</x:v>
      </x:c>
      <x:c r="C4802" s="46" t="n">
        <x:f>B4802^2</x:f>
        <x:v>0.08995744807115902</x:v>
      </x:c>
      <x:c r="D4802" s="47" t="n">
        <x:f>'Datos'!$B$26^3/3</x:f>
        <x:v>0.3333333333333333</x:v>
      </x:c>
      <x:c r="E4802" s="46" t="n">
        <x:f>D4802*(C4802-1)</x:f>
        <x:v>-0.3033475173096136</x:v>
      </x:c>
      <x:c r="F4802" s="2"/>
      <x:c r="G4802" s="2"/>
      <x:c r="H4802" s="2"/>
    </x:row>
    <x:row r="4803" ht="22" customHeight="1">
      <x:c r="A4803" s="2" t="n">
        <x:v>4797</x:v>
      </x:c>
      <x:c r="B4803" s="79" t="n">
        <x:v>-1.2254701002935662</x:v>
      </x:c>
      <x:c r="C4803" s="46" t="n">
        <x:f>B4803^2</x:f>
        <x:v>1.5017769667135232</x:v>
      </x:c>
      <x:c r="D4803" s="47" t="n">
        <x:f>'Datos'!$B$26^3/3</x:f>
        <x:v>0.3333333333333333</x:v>
      </x:c>
      <x:c r="E4803" s="46" t="n">
        <x:f>D4803*(C4803-1)</x:f>
        <x:v>0.16725898890450774</x:v>
      </x:c>
      <x:c r="F4803" s="2"/>
      <x:c r="G4803" s="2"/>
      <x:c r="H4803" s="2"/>
    </x:row>
    <x:row r="4804" ht="22" customHeight="1">
      <x:c r="A4804" s="2" t="n">
        <x:v>4798</x:v>
      </x:c>
      <x:c r="B4804" s="79" t="n">
        <x:v>-1.3221634439914196</x:v>
      </x:c>
      <x:c r="C4804" s="46" t="n">
        <x:f>B4804^2</x:f>
        <x:v>1.7481161726272518</x:v>
      </x:c>
      <x:c r="D4804" s="47" t="n">
        <x:f>'Datos'!$B$26^3/3</x:f>
        <x:v>0.3333333333333333</x:v>
      </x:c>
      <x:c r="E4804" s="46" t="n">
        <x:f>D4804*(C4804-1)</x:f>
        <x:v>0.24937205754241726</x:v>
      </x:c>
      <x:c r="F4804" s="2"/>
      <x:c r="G4804" s="2"/>
      <x:c r="H4804" s="2"/>
    </x:row>
    <x:row r="4805" ht="22" customHeight="1">
      <x:c r="A4805" s="2" t="n">
        <x:v>4799</x:v>
      </x:c>
      <x:c r="B4805" s="79" t="n">
        <x:v>0.8451630572970623</x:v>
      </x:c>
      <x:c r="C4805" s="46" t="n">
        <x:f>B4805^2</x:f>
        <x:v>0.7143005934197174</x:v>
      </x:c>
      <x:c r="D4805" s="47" t="n">
        <x:f>'Datos'!$B$26^3/3</x:f>
        <x:v>0.3333333333333333</x:v>
      </x:c>
      <x:c r="E4805" s="46" t="n">
        <x:f>D4805*(C4805-1)</x:f>
        <x:v>-0.09523313552676085</x:v>
      </x:c>
      <x:c r="F4805" s="2"/>
      <x:c r="G4805" s="2"/>
      <x:c r="H4805" s="2"/>
    </x:row>
    <x:row r="4806" ht="22" customHeight="1">
      <x:c r="A4806" s="2" t="n">
        <x:v>4800</x:v>
      </x:c>
      <x:c r="B4806" s="79" t="n">
        <x:v>-0.6201381449775224</x:v>
      </x:c>
      <x:c r="C4806" s="46" t="n">
        <x:f>B4806^2</x:f>
        <x:v>0.3845713188561626</x:v>
      </x:c>
      <x:c r="D4806" s="47" t="n">
        <x:f>'Datos'!$B$26^3/3</x:f>
        <x:v>0.3333333333333333</x:v>
      </x:c>
      <x:c r="E4806" s="46" t="n">
        <x:f>D4806*(C4806-1)</x:f>
        <x:v>-0.20514289371461247</x:v>
      </x:c>
      <x:c r="F4806" s="2"/>
      <x:c r="G4806" s="2"/>
      <x:c r="H4806" s="2"/>
    </x:row>
    <x:row r="4807" ht="22" customHeight="1">
      <x:c r="A4807" s="2" t="n">
        <x:v>4801</x:v>
      </x:c>
      <x:c r="B4807" s="79" t="n">
        <x:v>-0.9021383636830392</x:v>
      </x:c>
      <x:c r="C4807" s="46" t="n">
        <x:f>B4807^2</x:f>
        <x:v>0.8138536272287116</x:v>
      </x:c>
      <x:c r="D4807" s="47" t="n">
        <x:f>'Datos'!$B$26^3/3</x:f>
        <x:v>0.3333333333333333</x:v>
      </x:c>
      <x:c r="E4807" s="46" t="n">
        <x:f>D4807*(C4807-1)</x:f>
        <x:v>-0.06204879092376281</x:v>
      </x:c>
      <x:c r="F4807" s="2"/>
      <x:c r="G4807" s="2"/>
      <x:c r="H4807" s="2"/>
    </x:row>
    <x:row r="4808" ht="22" customHeight="1">
      <x:c r="A4808" s="2" t="n">
        <x:v>4802</x:v>
      </x:c>
      <x:c r="B4808" s="79" t="n">
        <x:v>-1.057690066519561</x:v>
      </x:c>
      <x:c r="C4808" s="46" t="n">
        <x:f>B4808^2</x:f>
        <x:v>1.1187082768141534</x:v>
      </x:c>
      <x:c r="D4808" s="47" t="n">
        <x:f>'Datos'!$B$26^3/3</x:f>
        <x:v>0.3333333333333333</x:v>
      </x:c>
      <x:c r="E4808" s="46" t="n">
        <x:f>D4808*(C4808-1)</x:f>
        <x:v>0.0395694256047178</x:v>
      </x:c>
      <x:c r="F4808" s="2"/>
      <x:c r="G4808" s="2"/>
      <x:c r="H4808" s="2"/>
    </x:row>
    <x:row r="4809" ht="22" customHeight="1">
      <x:c r="A4809" s="2" t="n">
        <x:v>4803</x:v>
      </x:c>
      <x:c r="B4809" s="79" t="n">
        <x:v>1.514682207672636</x:v>
      </x:c>
      <x:c r="C4809" s="46" t="n">
        <x:f>B4809^2</x:f>
        <x:v>2.2942621902400506</x:v>
      </x:c>
      <x:c r="D4809" s="47" t="n">
        <x:f>'Datos'!$B$26^3/3</x:f>
        <x:v>0.3333333333333333</x:v>
      </x:c>
      <x:c r="E4809" s="46" t="n">
        <x:f>D4809*(C4809-1)</x:f>
        <x:v>0.43142073008001686</x:v>
      </x:c>
      <x:c r="F4809" s="2"/>
      <x:c r="G4809" s="2"/>
      <x:c r="H4809" s="2"/>
    </x:row>
    <x:row r="4810" ht="22" customHeight="1">
      <x:c r="A4810" s="2" t="n">
        <x:v>4804</x:v>
      </x:c>
      <x:c r="B4810" s="79" t="n">
        <x:v>-0.11668494802938327</x:v>
      </x:c>
      <x:c r="C4810" s="46" t="n">
        <x:f>B4810^2</x:f>
        <x:v>0.013615377096619875</x:v>
      </x:c>
      <x:c r="D4810" s="47" t="n">
        <x:f>'Datos'!$B$26^3/3</x:f>
        <x:v>0.3333333333333333</x:v>
      </x:c>
      <x:c r="E4810" s="46" t="n">
        <x:f>D4810*(C4810-1)</x:f>
        <x:v>-0.3287948743011267</x:v>
      </x:c>
      <x:c r="F4810" s="2"/>
      <x:c r="G4810" s="2"/>
      <x:c r="H4810" s="2"/>
    </x:row>
    <x:row r="4811" ht="22" customHeight="1">
      <x:c r="A4811" s="2" t="n">
        <x:v>4805</x:v>
      </x:c>
      <x:c r="B4811" s="79" t="n">
        <x:v>-0.03016121408583232</x:v>
      </x:c>
      <x:c r="C4811" s="46" t="n">
        <x:f>B4811^2</x:f>
        <x:v>0.0009096988351314099</x:v>
      </x:c>
      <x:c r="D4811" s="47" t="n">
        <x:f>'Datos'!$B$26^3/3</x:f>
        <x:v>0.3333333333333333</x:v>
      </x:c>
      <x:c r="E4811" s="46" t="n">
        <x:f>D4811*(C4811-1)</x:f>
        <x:v>-0.3330301003882895</x:v>
      </x:c>
      <x:c r="F4811" s="2"/>
      <x:c r="G4811" s="2"/>
      <x:c r="H4811" s="2"/>
    </x:row>
    <x:row r="4812" ht="22" customHeight="1">
      <x:c r="A4812" s="2" t="n">
        <x:v>4806</x:v>
      </x:c>
      <x:c r="B4812" s="79" t="n">
        <x:v>0.8253864617217287</x:v>
      </x:c>
      <x:c r="C4812" s="46" t="n">
        <x:f>B4812^2</x:f>
        <x:v>0.6812628111935147</x:v>
      </x:c>
      <x:c r="D4812" s="47" t="n">
        <x:f>'Datos'!$B$26^3/3</x:f>
        <x:v>0.3333333333333333</x:v>
      </x:c>
      <x:c r="E4812" s="46" t="n">
        <x:f>D4812*(C4812-1)</x:f>
        <x:v>-0.10624572960216175</x:v>
      </x:c>
      <x:c r="F4812" s="2"/>
      <x:c r="G4812" s="2"/>
      <x:c r="H4812" s="2"/>
    </x:row>
    <x:row r="4813" ht="22" customHeight="1">
      <x:c r="A4813" s="2" t="n">
        <x:v>4807</x:v>
      </x:c>
      <x:c r="B4813" s="79" t="n">
        <x:v>-1.8255429763882696</x:v>
      </x:c>
      <x:c r="C4813" s="46" t="n">
        <x:f>B4813^2</x:f>
        <x:v>3.3326071586405424</x:v>
      </x:c>
      <x:c r="D4813" s="47" t="n">
        <x:f>'Datos'!$B$26^3/3</x:f>
        <x:v>0.3333333333333333</x:v>
      </x:c>
      <x:c r="E4813" s="46" t="n">
        <x:f>D4813*(C4813-1)</x:f>
        <x:v>0.7775357195468474</x:v>
      </x:c>
      <x:c r="F4813" s="2"/>
      <x:c r="G4813" s="2"/>
      <x:c r="H4813" s="2"/>
    </x:row>
    <x:row r="4814" ht="22" customHeight="1">
      <x:c r="A4814" s="2" t="n">
        <x:v>4808</x:v>
      </x:c>
      <x:c r="B4814" s="79" t="n">
        <x:v>0.769449935812862</x:v>
      </x:c>
      <x:c r="C4814" s="46" t="n">
        <x:f>B4814^2</x:f>
        <x:v>0.5920532037224175</x:v>
      </x:c>
      <x:c r="D4814" s="47" t="n">
        <x:f>'Datos'!$B$26^3/3</x:f>
        <x:v>0.3333333333333333</x:v>
      </x:c>
      <x:c r="E4814" s="46" t="n">
        <x:f>D4814*(C4814-1)</x:f>
        <x:v>-0.1359822654258608</x:v>
      </x:c>
      <x:c r="F4814" s="2"/>
      <x:c r="G4814" s="2"/>
      <x:c r="H4814" s="2"/>
    </x:row>
    <x:row r="4815" ht="22" customHeight="1">
      <x:c r="A4815" s="2" t="n">
        <x:v>4809</x:v>
      </x:c>
      <x:c r="B4815" s="79" t="n">
        <x:v>0.6465594615654396</x:v>
      </x:c>
      <x:c r="C4815" s="46" t="n">
        <x:f>B4815^2</x:f>
        <x:v>0.4180391373397912</x:v>
      </x:c>
      <x:c r="D4815" s="47" t="n">
        <x:f>'Datos'!$B$26^3/3</x:f>
        <x:v>0.3333333333333333</x:v>
      </x:c>
      <x:c r="E4815" s="46" t="n">
        <x:f>D4815*(C4815-1)</x:f>
        <x:v>-0.19398695422006962</x:v>
      </x:c>
      <x:c r="F4815" s="2"/>
      <x:c r="G4815" s="2"/>
      <x:c r="H4815" s="2"/>
    </x:row>
    <x:row r="4816" ht="22" customHeight="1">
      <x:c r="A4816" s="2" t="n">
        <x:v>4810</x:v>
      </x:c>
      <x:c r="B4816" s="79" t="n">
        <x:v>-0.5290923877431357</x:v>
      </x:c>
      <x:c r="C4816" s="46" t="n">
        <x:f>B4816^2</x:f>
        <x:v>0.27993875476773267</x:v>
      </x:c>
      <x:c r="D4816" s="47" t="n">
        <x:f>'Datos'!$B$26^3/3</x:f>
        <x:v>0.3333333333333333</x:v>
      </x:c>
      <x:c r="E4816" s="46" t="n">
        <x:f>D4816*(C4816-1)</x:f>
        <x:v>-0.24002041507742244</x:v>
      </x:c>
      <x:c r="F4816" s="2"/>
      <x:c r="G4816" s="2"/>
      <x:c r="H4816" s="2"/>
    </x:row>
    <x:row r="4817" ht="22" customHeight="1">
      <x:c r="A4817" s="2" t="n">
        <x:v>4811</x:v>
      </x:c>
      <x:c r="B4817" s="79" t="n">
        <x:v>1.768683798950591</x:v>
      </x:c>
      <x:c r="C4817" s="46" t="n">
        <x:f>B4817^2</x:f>
        <x:v>3.1282423806702946</x:v>
      </x:c>
      <x:c r="D4817" s="47" t="n">
        <x:f>'Datos'!$B$26^3/3</x:f>
        <x:v>0.3333333333333333</x:v>
      </x:c>
      <x:c r="E4817" s="46" t="n">
        <x:f>D4817*(C4817-1)</x:f>
        <x:v>0.7094141268900982</x:v>
      </x:c>
      <x:c r="F4817" s="2"/>
      <x:c r="G4817" s="2"/>
      <x:c r="H4817" s="2"/>
    </x:row>
    <x:row r="4818" ht="22" customHeight="1">
      <x:c r="A4818" s="2" t="n">
        <x:v>4812</x:v>
      </x:c>
      <x:c r="B4818" s="79" t="n">
        <x:v>-0.04865583868039267</x:v>
      </x:c>
      <x:c r="C4818" s="46" t="n">
        <x:f>B4818^2</x:f>
        <x:v>0.002367390637692396</x:v>
      </x:c>
      <x:c r="D4818" s="47" t="n">
        <x:f>'Datos'!$B$26^3/3</x:f>
        <x:v>0.3333333333333333</x:v>
      </x:c>
      <x:c r="E4818" s="46" t="n">
        <x:f>D4818*(C4818-1)</x:f>
        <x:v>-0.33254420312076916</x:v>
      </x:c>
      <x:c r="F4818" s="2"/>
      <x:c r="G4818" s="2"/>
      <x:c r="H4818" s="2"/>
    </x:row>
    <x:row r="4819" ht="22" customHeight="1">
      <x:c r="A4819" s="2" t="n">
        <x:v>4813</x:v>
      </x:c>
      <x:c r="B4819" s="79" t="n">
        <x:v>0.8710707422045739</x:v>
      </x:c>
      <x:c r="C4819" s="46" t="n">
        <x:f>B4819^2</x:f>
        <x:v>0.7587642379248273</x:v>
      </x:c>
      <x:c r="D4819" s="47" t="n">
        <x:f>'Datos'!$B$26^3/3</x:f>
        <x:v>0.3333333333333333</x:v>
      </x:c>
      <x:c r="E4819" s="46" t="n">
        <x:f>D4819*(C4819-1)</x:f>
        <x:v>-0.08041192069172423</x:v>
      </x:c>
      <x:c r="F4819" s="2"/>
      <x:c r="G4819" s="2"/>
      <x:c r="H4819" s="2"/>
    </x:row>
    <x:row r="4820" ht="22" customHeight="1">
      <x:c r="A4820" s="2" t="n">
        <x:v>4814</x:v>
      </x:c>
      <x:c r="B4820" s="79" t="n">
        <x:v>0.3057898672518746</x:v>
      </x:c>
      <x:c r="C4820" s="46" t="n">
        <x:f>B4820^2</x:f>
        <x:v>0.0935074429139191</x:v>
      </x:c>
      <x:c r="D4820" s="47" t="n">
        <x:f>'Datos'!$B$26^3/3</x:f>
        <x:v>0.3333333333333333</x:v>
      </x:c>
      <x:c r="E4820" s="46" t="n">
        <x:f>D4820*(C4820-1)</x:f>
        <x:v>-0.3021641856953603</x:v>
      </x:c>
      <x:c r="F4820" s="2"/>
      <x:c r="G4820" s="2"/>
      <x:c r="H4820" s="2"/>
    </x:row>
    <x:row r="4821" ht="22" customHeight="1">
      <x:c r="A4821" s="2" t="n">
        <x:v>4815</x:v>
      </x:c>
      <x:c r="B4821" s="79" t="n">
        <x:v>-0.5831401806893374</x:v>
      </x:c>
      <x:c r="C4821" s="46" t="n">
        <x:f>B4821^2</x:f>
        <x:v>0.34005247033439306</x:v>
      </x:c>
      <x:c r="D4821" s="47" t="n">
        <x:f>'Datos'!$B$26^3/3</x:f>
        <x:v>0.3333333333333333</x:v>
      </x:c>
      <x:c r="E4821" s="46" t="n">
        <x:f>D4821*(C4821-1)</x:f>
        <x:v>-0.21998250988853565</x:v>
      </x:c>
      <x:c r="F4821" s="2"/>
      <x:c r="G4821" s="2"/>
      <x:c r="H4821" s="2"/>
    </x:row>
    <x:row r="4822" ht="22" customHeight="1">
      <x:c r="A4822" s="2" t="n">
        <x:v>4816</x:v>
      </x:c>
      <x:c r="B4822" s="79" t="n">
        <x:v>1.385732436288527</x:v>
      </x:c>
      <x:c r="C4822" s="46" t="n">
        <x:f>B4822^2</x:f>
        <x:v>1.9202543849821367</x:v>
      </x:c>
      <x:c r="D4822" s="47" t="n">
        <x:f>'Datos'!$B$26^3/3</x:f>
        <x:v>0.3333333333333333</x:v>
      </x:c>
      <x:c r="E4822" s="46" t="n">
        <x:f>D4822*(C4822-1)</x:f>
        <x:v>0.3067514616607122</x:v>
      </x:c>
      <x:c r="F4822" s="2"/>
      <x:c r="G4822" s="2"/>
      <x:c r="H4822" s="2"/>
    </x:row>
    <x:row r="4823" ht="22" customHeight="1">
      <x:c r="A4823" s="2" t="n">
        <x:v>4817</x:v>
      </x:c>
      <x:c r="B4823" s="79" t="n">
        <x:v>-0.3673242712418631</x:v>
      </x:c>
      <x:c r="C4823" s="46" t="n">
        <x:f>B4823^2</x:f>
        <x:v>0.13492712024336584</x:v>
      </x:c>
      <x:c r="D4823" s="47" t="n">
        <x:f>'Datos'!$B$26^3/3</x:f>
        <x:v>0.3333333333333333</x:v>
      </x:c>
      <x:c r="E4823" s="46" t="n">
        <x:f>D4823*(C4823-1)</x:f>
        <x:v>-0.2883576265855447</x:v>
      </x:c>
      <x:c r="F4823" s="2"/>
      <x:c r="G4823" s="2"/>
      <x:c r="H4823" s="2"/>
    </x:row>
    <x:row r="4824" ht="22" customHeight="1">
      <x:c r="A4824" s="2" t="n">
        <x:v>4818</x:v>
      </x:c>
      <x:c r="B4824" s="79" t="n">
        <x:v>0.8451456797553067</x:v>
      </x:c>
      <x:c r="C4824" s="46" t="n">
        <x:f>B4824^2</x:f>
        <x:v>0.7142712200090595</x:v>
      </x:c>
      <x:c r="D4824" s="47" t="n">
        <x:f>'Datos'!$B$26^3/3</x:f>
        <x:v>0.3333333333333333</x:v>
      </x:c>
      <x:c r="E4824" s="46" t="n">
        <x:f>D4824*(C4824-1)</x:f>
        <x:v>-0.09524292666364682</x:v>
      </x:c>
      <x:c r="F4824" s="2"/>
      <x:c r="G4824" s="2"/>
      <x:c r="H4824" s="2"/>
    </x:row>
    <x:row r="4825" ht="22" customHeight="1">
      <x:c r="A4825" s="2" t="n">
        <x:v>4819</x:v>
      </x:c>
      <x:c r="B4825" s="79" t="n">
        <x:v>-0.46926058281691324</x:v>
      </x:c>
      <x:c r="C4825" s="46" t="n">
        <x:f>B4825^2</x:f>
        <x:v>0.2202054945856691</x:v>
      </x:c>
      <x:c r="D4825" s="47" t="n">
        <x:f>'Datos'!$B$26^3/3</x:f>
        <x:v>0.3333333333333333</x:v>
      </x:c>
      <x:c r="E4825" s="46" t="n">
        <x:f>D4825*(C4825-1)</x:f>
        <x:v>-0.259931501804777</x:v>
      </x:c>
      <x:c r="F4825" s="2"/>
      <x:c r="G4825" s="2"/>
      <x:c r="H4825" s="2"/>
    </x:row>
    <x:row r="4826" ht="22" customHeight="1">
      <x:c r="A4826" s="2" t="n">
        <x:v>4820</x:v>
      </x:c>
      <x:c r="B4826" s="79" t="n">
        <x:v>0.6174680873873817</x:v>
      </x:c>
      <x:c r="C4826" s="46" t="n">
        <x:f>B4826^2</x:f>
        <x:v>0.3812668389418312</x:v>
      </x:c>
      <x:c r="D4826" s="47" t="n">
        <x:f>'Datos'!$B$26^3/3</x:f>
        <x:v>0.3333333333333333</x:v>
      </x:c>
      <x:c r="E4826" s="46" t="n">
        <x:f>D4826*(C4826-1)</x:f>
        <x:v>-0.20624438701938957</x:v>
      </x:c>
      <x:c r="F4826" s="2"/>
      <x:c r="G4826" s="2"/>
      <x:c r="H4826" s="2"/>
    </x:row>
    <x:row r="4827" ht="22" customHeight="1">
      <x:c r="A4827" s="2" t="n">
        <x:v>4821</x:v>
      </x:c>
      <x:c r="B4827" s="79" t="n">
        <x:v>0.143424023709938</x:v>
      </x:c>
      <x:c r="C4827" s="46" t="n">
        <x:f>B4827^2</x:f>
        <x:v>0.02057045057714886</x:v>
      </x:c>
      <x:c r="D4827" s="47" t="n">
        <x:f>'Datos'!$B$26^3/3</x:f>
        <x:v>0.3333333333333333</x:v>
      </x:c>
      <x:c r="E4827" s="46" t="n">
        <x:f>D4827*(C4827-1)</x:f>
        <x:v>-0.32647651647428366</x:v>
      </x:c>
      <x:c r="F4827" s="2"/>
      <x:c r="G4827" s="2"/>
      <x:c r="H4827" s="2"/>
    </x:row>
    <x:row r="4828" ht="22" customHeight="1">
      <x:c r="A4828" s="2" t="n">
        <x:v>4822</x:v>
      </x:c>
      <x:c r="B4828" s="79" t="n">
        <x:v>1.1938694758902444</x:v>
      </x:c>
      <x:c r="C4828" s="46" t="n">
        <x:f>B4828^2</x:f>
        <x:v>1.4253243254624468</x:v>
      </x:c>
      <x:c r="D4828" s="47" t="n">
        <x:f>'Datos'!$B$26^3/3</x:f>
        <x:v>0.3333333333333333</x:v>
      </x:c>
      <x:c r="E4828" s="46" t="n">
        <x:f>D4828*(C4828-1)</x:f>
        <x:v>0.14177477515414894</x:v>
      </x:c>
      <x:c r="F4828" s="2"/>
      <x:c r="G4828" s="2"/>
      <x:c r="H4828" s="2"/>
    </x:row>
    <x:row r="4829" ht="22" customHeight="1">
      <x:c r="A4829" s="2" t="n">
        <x:v>4823</x:v>
      </x:c>
      <x:c r="B4829" s="79" t="n">
        <x:v>-0.8982108745889957</x:v>
      </x:c>
      <x:c r="C4829" s="46" t="n">
        <x:f>B4829^2</x:f>
        <x:v>0.8067827752299286</x:v>
      </x:c>
      <x:c r="D4829" s="47" t="n">
        <x:f>'Datos'!$B$26^3/3</x:f>
        <x:v>0.3333333333333333</x:v>
      </x:c>
      <x:c r="E4829" s="46" t="n">
        <x:f>D4829*(C4829-1)</x:f>
        <x:v>-0.0644057415900238</x:v>
      </x:c>
      <x:c r="F4829" s="2"/>
      <x:c r="G4829" s="2"/>
      <x:c r="H4829" s="2"/>
    </x:row>
    <x:row r="4830" ht="22" customHeight="1">
      <x:c r="A4830" s="2" t="n">
        <x:v>4824</x:v>
      </x:c>
      <x:c r="B4830" s="79" t="n">
        <x:v>1.4348857701201532</x:v>
      </x:c>
      <x:c r="C4830" s="46" t="n">
        <x:f>B4830^2</x:f>
        <x:v>2.058897173293305</x:v>
      </x:c>
      <x:c r="D4830" s="47" t="n">
        <x:f>'Datos'!$B$26^3/3</x:f>
        <x:v>0.3333333333333333</x:v>
      </x:c>
      <x:c r="E4830" s="46" t="n">
        <x:f>D4830*(C4830-1)</x:f>
        <x:v>0.35296572443110164</x:v>
      </x:c>
      <x:c r="F4830" s="2"/>
      <x:c r="G4830" s="2"/>
      <x:c r="H4830" s="2"/>
    </x:row>
    <x:row r="4831" ht="22" customHeight="1">
      <x:c r="A4831" s="2" t="n">
        <x:v>4825</x:v>
      </x:c>
      <x:c r="B4831" s="79" t="n">
        <x:v>0.5039821010809036</x:v>
      </x:c>
      <x:c r="C4831" s="46" t="n">
        <x:f>B4831^2</x:f>
        <x:v>0.2539979582099221</x:v>
      </x:c>
      <x:c r="D4831" s="47" t="n">
        <x:f>'Datos'!$B$26^3/3</x:f>
        <x:v>0.3333333333333333</x:v>
      </x:c>
      <x:c r="E4831" s="46" t="n">
        <x:f>D4831*(C4831-1)</x:f>
        <x:v>-0.2486673472633593</x:v>
      </x:c>
      <x:c r="F4831" s="2"/>
      <x:c r="G4831" s="2"/>
      <x:c r="H4831" s="2"/>
    </x:row>
    <x:row r="4832" ht="22" customHeight="1">
      <x:c r="A4832" s="2" t="n">
        <x:v>4826</x:v>
      </x:c>
      <x:c r="B4832" s="79" t="n">
        <x:v>-0.07437634831821555</x:v>
      </x:c>
      <x:c r="C4832" s="46" t="n">
        <x:f>B4832^2</x:f>
        <x:v>0.005531841189152524</x:v>
      </x:c>
      <x:c r="D4832" s="47" t="n">
        <x:f>'Datos'!$B$26^3/3</x:f>
        <x:v>0.3333333333333333</x:v>
      </x:c>
      <x:c r="E4832" s="46" t="n">
        <x:f>D4832*(C4832-1)</x:f>
        <x:v>-0.33148938627028246</x:v>
      </x:c>
      <x:c r="F4832" s="2"/>
      <x:c r="G4832" s="2"/>
      <x:c r="H4832" s="2"/>
    </x:row>
    <x:row r="4833" ht="22" customHeight="1">
      <x:c r="A4833" s="2" t="n">
        <x:v>4827</x:v>
      </x:c>
      <x:c r="B4833" s="79" t="n">
        <x:v>-0.5793840830905033</x:v>
      </x:c>
      <x:c r="C4833" s="46" t="n">
        <x:f>B4833^2</x:f>
        <x:v>0.3356859157386232</x:v>
      </x:c>
      <x:c r="D4833" s="47" t="n">
        <x:f>'Datos'!$B$26^3/3</x:f>
        <x:v>0.3333333333333333</x:v>
      </x:c>
      <x:c r="E4833" s="46" t="n">
        <x:f>D4833*(C4833-1)</x:f>
        <x:v>-0.2214380280871256</x:v>
      </x:c>
      <x:c r="F4833" s="2"/>
      <x:c r="G4833" s="2"/>
      <x:c r="H4833" s="2"/>
    </x:row>
    <x:row r="4834" ht="22" customHeight="1">
      <x:c r="A4834" s="2" t="n">
        <x:v>4828</x:v>
      </x:c>
      <x:c r="B4834" s="79" t="n">
        <x:v>-1.2691157343309452</x:v>
      </x:c>
      <x:c r="C4834" s="46" t="n">
        <x:f>B4834^2</x:f>
        <x:v>1.6106547471263741</x:v>
      </x:c>
      <x:c r="D4834" s="47" t="n">
        <x:f>'Datos'!$B$26^3/3</x:f>
        <x:v>0.3333333333333333</x:v>
      </x:c>
      <x:c r="E4834" s="46" t="n">
        <x:f>D4834*(C4834-1)</x:f>
        <x:v>0.20355158237545803</x:v>
      </x:c>
      <x:c r="F4834" s="2"/>
      <x:c r="G4834" s="2"/>
      <x:c r="H4834" s="2"/>
    </x:row>
    <x:row r="4835" ht="22" customHeight="1">
      <x:c r="A4835" s="2" t="n">
        <x:v>4829</x:v>
      </x:c>
      <x:c r="B4835" s="79" t="n">
        <x:v>1.440799230871735</x:v>
      </x:c>
      <x:c r="C4835" s="46" t="n">
        <x:f>B4835^2</x:f>
        <x:v>2.075902423680583</x:v>
      </x:c>
      <x:c r="D4835" s="47" t="n">
        <x:f>'Datos'!$B$26^3/3</x:f>
        <x:v>0.3333333333333333</x:v>
      </x:c>
      <x:c r="E4835" s="46" t="n">
        <x:f>D4835*(C4835-1)</x:f>
        <x:v>0.35863414122686105</x:v>
      </x:c>
      <x:c r="F4835" s="2"/>
      <x:c r="G4835" s="2"/>
      <x:c r="H4835" s="2"/>
    </x:row>
    <x:row r="4836" ht="22" customHeight="1">
      <x:c r="A4836" s="2" t="n">
        <x:v>4830</x:v>
      </x:c>
      <x:c r="B4836" s="79" t="n">
        <x:v>0.7129026355794308</x:v>
      </x:c>
      <x:c r="C4836" s="46" t="n">
        <x:f>B4836^2</x:f>
        <x:v>0.5082301678160986</x:v>
      </x:c>
      <x:c r="D4836" s="47" t="n">
        <x:f>'Datos'!$B$26^3/3</x:f>
        <x:v>0.3333333333333333</x:v>
      </x:c>
      <x:c r="E4836" s="46" t="n">
        <x:f>D4836*(C4836-1)</x:f>
        <x:v>-0.16392327739463378</x:v>
      </x:c>
      <x:c r="F4836" s="2"/>
      <x:c r="G4836" s="2"/>
      <x:c r="H4836" s="2"/>
    </x:row>
    <x:row r="4837" ht="22" customHeight="1">
      <x:c r="A4837" s="2" t="n">
        <x:v>4831</x:v>
      </x:c>
      <x:c r="B4837" s="79" t="n">
        <x:v>0.7793228061850218</x:v>
      </x:c>
      <x:c r="C4837" s="46" t="n">
        <x:f>B4837^2</x:f>
        <x:v>0.607344036240097</x:v>
      </x:c>
      <x:c r="D4837" s="47" t="n">
        <x:f>'Datos'!$B$26^3/3</x:f>
        <x:v>0.3333333333333333</x:v>
      </x:c>
      <x:c r="E4837" s="46" t="n">
        <x:f>D4837*(C4837-1)</x:f>
        <x:v>-0.130885321253301</x:v>
      </x:c>
      <x:c r="F4837" s="2"/>
      <x:c r="G4837" s="2"/>
      <x:c r="H4837" s="2"/>
    </x:row>
    <x:row r="4838" ht="22" customHeight="1">
      <x:c r="A4838" s="2" t="n">
        <x:v>4832</x:v>
      </x:c>
      <x:c r="B4838" s="79" t="n">
        <x:v>1.3735435672103324</x:v>
      </x:c>
      <x:c r="C4838" s="46" t="n">
        <x:f>B4838^2</x:f>
        <x:v>1.886621931024885</x:v>
      </x:c>
      <x:c r="D4838" s="47" t="n">
        <x:f>'Datos'!$B$26^3/3</x:f>
        <x:v>0.3333333333333333</x:v>
      </x:c>
      <x:c r="E4838" s="46" t="n">
        <x:f>D4838*(C4838-1)</x:f>
        <x:v>0.2955406436749617</x:v>
      </x:c>
      <x:c r="F4838" s="2"/>
      <x:c r="G4838" s="2"/>
      <x:c r="H4838" s="2"/>
    </x:row>
    <x:row r="4839" ht="22" customHeight="1">
      <x:c r="A4839" s="2" t="n">
        <x:v>4833</x:v>
      </x:c>
      <x:c r="B4839" s="79" t="n">
        <x:v>-0.12985202282667865</x:v>
      </x:c>
      <x:c r="C4839" s="46" t="n">
        <x:f>B4839^2</x:f>
        <x:v>0.016861547832180274</x:v>
      </x:c>
      <x:c r="D4839" s="47" t="n">
        <x:f>'Datos'!$B$26^3/3</x:f>
        <x:v>0.3333333333333333</x:v>
      </x:c>
      <x:c r="E4839" s="46" t="n">
        <x:f>D4839*(C4839-1)</x:f>
        <x:v>-0.3277128173892732</x:v>
      </x:c>
      <x:c r="F4839" s="2"/>
      <x:c r="G4839" s="2"/>
      <x:c r="H4839" s="2"/>
    </x:row>
    <x:row r="4840" ht="22" customHeight="1">
      <x:c r="A4840" s="2" t="n">
        <x:v>4834</x:v>
      </x:c>
      <x:c r="B4840" s="79" t="n">
        <x:v>-0.7189544938817075</x:v>
      </x:c>
      <x:c r="C4840" s="46" t="n">
        <x:f>B4840^2</x:f>
        <x:v>0.5168955642727022</x:v>
      </x:c>
      <x:c r="D4840" s="47" t="n">
        <x:f>'Datos'!$B$26^3/3</x:f>
        <x:v>0.3333333333333333</x:v>
      </x:c>
      <x:c r="E4840" s="46" t="n">
        <x:f>D4840*(C4840-1)</x:f>
        <x:v>-0.16103481190909924</x:v>
      </x:c>
      <x:c r="F4840" s="2"/>
      <x:c r="G4840" s="2"/>
      <x:c r="H4840" s="2"/>
    </x:row>
    <x:row r="4841" ht="22" customHeight="1">
      <x:c r="A4841" s="2" t="n">
        <x:v>4835</x:v>
      </x:c>
      <x:c r="B4841" s="79" t="n">
        <x:v>2.1164501737399113</x:v>
      </x:c>
      <x:c r="C4841" s="46" t="n">
        <x:f>B4841^2</x:f>
        <x:v>4.4793613379237005</x:v>
      </x:c>
      <x:c r="D4841" s="47" t="n">
        <x:f>'Datos'!$B$26^3/3</x:f>
        <x:v>0.3333333333333333</x:v>
      </x:c>
      <x:c r="E4841" s="46" t="n">
        <x:f>D4841*(C4841-1)</x:f>
        <x:v>1.1597871126412334</x:v>
      </x:c>
      <x:c r="F4841" s="2"/>
      <x:c r="G4841" s="2"/>
      <x:c r="H4841" s="2"/>
    </x:row>
    <x:row r="4842" ht="22" customHeight="1">
      <x:c r="A4842" s="2" t="n">
        <x:v>4836</x:v>
      </x:c>
      <x:c r="B4842" s="79" t="n">
        <x:v>-0.3225498013104991</x:v>
      </x:c>
      <x:c r="C4842" s="46" t="n">
        <x:f>B4842^2</x:f>
        <x:v>0.10403837432544244</x:v>
      </x:c>
      <x:c r="D4842" s="47" t="n">
        <x:f>'Datos'!$B$26^3/3</x:f>
        <x:v>0.3333333333333333</x:v>
      </x:c>
      <x:c r="E4842" s="46" t="n">
        <x:f>D4842*(C4842-1)</x:f>
        <x:v>-0.2986538752248525</x:v>
      </x:c>
      <x:c r="F4842" s="2"/>
      <x:c r="G4842" s="2"/>
      <x:c r="H4842" s="2"/>
    </x:row>
    <x:row r="4843" ht="22" customHeight="1">
      <x:c r="A4843" s="2" t="n">
        <x:v>4837</x:v>
      </x:c>
      <x:c r="B4843" s="79" t="n">
        <x:v>0.7260075605310026</x:v>
      </x:c>
      <x:c r="C4843" s="46" t="n">
        <x:f>B4843^2</x:f>
        <x:v>0.5270869779481774</x:v>
      </x:c>
      <x:c r="D4843" s="47" t="n">
        <x:f>'Datos'!$B$26^3/3</x:f>
        <x:v>0.3333333333333333</x:v>
      </x:c>
      <x:c r="E4843" s="46" t="n">
        <x:f>D4843*(C4843-1)</x:f>
        <x:v>-0.1576376740172742</x:v>
      </x:c>
      <x:c r="F4843" s="2"/>
      <x:c r="G4843" s="2"/>
      <x:c r="H4843" s="2"/>
    </x:row>
    <x:row r="4844" ht="22" customHeight="1">
      <x:c r="A4844" s="2" t="n">
        <x:v>4838</x:v>
      </x:c>
      <x:c r="B4844" s="79" t="n">
        <x:v>-0.3981008541221867</x:v>
      </x:c>
      <x:c r="C4844" s="46" t="n">
        <x:f>B4844^2</x:f>
        <x:v>0.15848429005281459</x:v>
      </x:c>
      <x:c r="D4844" s="47" t="n">
        <x:f>'Datos'!$B$26^3/3</x:f>
        <x:v>0.3333333333333333</x:v>
      </x:c>
      <x:c r="E4844" s="46" t="n">
        <x:f>D4844*(C4844-1)</x:f>
        <x:v>-0.2805052366490618</x:v>
      </x:c>
      <x:c r="F4844" s="2"/>
      <x:c r="G4844" s="2"/>
      <x:c r="H4844" s="2"/>
    </x:row>
    <x:row r="4845" ht="22" customHeight="1">
      <x:c r="A4845" s="2" t="n">
        <x:v>4839</x:v>
      </x:c>
      <x:c r="B4845" s="79" t="n">
        <x:v>2.2859069972875</x:v>
      </x:c>
      <x:c r="C4845" s="46" t="n">
        <x:f>B4845^2</x:f>
        <x:v>5.225370800247954</x:v>
      </x:c>
      <x:c r="D4845" s="47" t="n">
        <x:f>'Datos'!$B$26^3/3</x:f>
        <x:v>0.3333333333333333</x:v>
      </x:c>
      <x:c r="E4845" s="46" t="n">
        <x:f>D4845*(C4845-1)</x:f>
        <x:v>1.4084569334159847</x:v>
      </x:c>
      <x:c r="F4845" s="2"/>
      <x:c r="G4845" s="2"/>
      <x:c r="H4845" s="2"/>
    </x:row>
    <x:row r="4846" ht="22" customHeight="1">
      <x:c r="A4846" s="2" t="n">
        <x:v>4840</x:v>
      </x:c>
      <x:c r="B4846" s="79" t="n">
        <x:v>0.14911548781061665</x:v>
      </x:c>
      <x:c r="C4846" s="46" t="n">
        <x:f>B4846^2</x:f>
        <x:v>0.022235428704998162</x:v>
      </x:c>
      <x:c r="D4846" s="47" t="n">
        <x:f>'Datos'!$B$26^3/3</x:f>
        <x:v>0.3333333333333333</x:v>
      </x:c>
      <x:c r="E4846" s="46" t="n">
        <x:f>D4846*(C4846-1)</x:f>
        <x:v>-0.3259215237650006</x:v>
      </x:c>
      <x:c r="F4846" s="2"/>
      <x:c r="G4846" s="2"/>
      <x:c r="H4846" s="2"/>
    </x:row>
    <x:row r="4847" ht="22" customHeight="1">
      <x:c r="A4847" s="2" t="n">
        <x:v>4841</x:v>
      </x:c>
      <x:c r="B4847" s="79" t="n">
        <x:v>-1.3312080918224056</x:v>
      </x:c>
      <x:c r="C4847" s="46" t="n">
        <x:f>B4847^2</x:f>
        <x:v>1.7721149837334502</x:v>
      </x:c>
      <x:c r="D4847" s="47" t="n">
        <x:f>'Datos'!$B$26^3/3</x:f>
        <x:v>0.3333333333333333</x:v>
      </x:c>
      <x:c r="E4847" s="46" t="n">
        <x:f>D4847*(C4847-1)</x:f>
        <x:v>0.2573716612444834</x:v>
      </x:c>
      <x:c r="F4847" s="2"/>
      <x:c r="G4847" s="2"/>
      <x:c r="H4847" s="2"/>
    </x:row>
    <x:row r="4848" ht="22" customHeight="1">
      <x:c r="A4848" s="2" t="n">
        <x:v>4842</x:v>
      </x:c>
      <x:c r="B4848" s="79" t="n">
        <x:v>0.5554249932789771</x:v>
      </x:c>
      <x:c r="C4848" s="46" t="n">
        <x:f>B4848^2</x:f>
        <x:v>0.3084969231589518</x:v>
      </x:c>
      <x:c r="D4848" s="47" t="n">
        <x:f>'Datos'!$B$26^3/3</x:f>
        <x:v>0.3333333333333333</x:v>
      </x:c>
      <x:c r="E4848" s="46" t="n">
        <x:f>D4848*(C4848-1)</x:f>
        <x:v>-0.23050102561368271</x:v>
      </x:c>
      <x:c r="F4848" s="2"/>
      <x:c r="G4848" s="2"/>
      <x:c r="H4848" s="2"/>
    </x:row>
    <x:row r="4849" ht="22" customHeight="1">
      <x:c r="A4849" s="2" t="n">
        <x:v>4843</x:v>
      </x:c>
      <x:c r="B4849" s="79" t="n">
        <x:v>-0.294603619713814</x:v>
      </x:c>
      <x:c r="C4849" s="46" t="n">
        <x:f>B4849^2</x:f>
        <x:v>0.08679129274848153</x:v>
      </x:c>
      <x:c r="D4849" s="47" t="n">
        <x:f>'Datos'!$B$26^3/3</x:f>
        <x:v>0.3333333333333333</x:v>
      </x:c>
      <x:c r="E4849" s="46" t="n">
        <x:f>D4849*(C4849-1)</x:f>
        <x:v>-0.3044029024171728</x:v>
      </x:c>
      <x:c r="F4849" s="2"/>
      <x:c r="G4849" s="2"/>
      <x:c r="H4849" s="2"/>
    </x:row>
    <x:row r="4850" ht="22" customHeight="1">
      <x:c r="A4850" s="2" t="n">
        <x:v>4844</x:v>
      </x:c>
      <x:c r="B4850" s="79" t="n">
        <x:v>-0.5578874450401418</x:v>
      </x:c>
      <x:c r="C4850" s="46" t="n">
        <x:f>B4850^2</x:f>
        <x:v>0.3112384013334172</x:v>
      </x:c>
      <x:c r="D4850" s="47" t="n">
        <x:f>'Datos'!$B$26^3/3</x:f>
        <x:v>0.3333333333333333</x:v>
      </x:c>
      <x:c r="E4850" s="46" t="n">
        <x:f>D4850*(C4850-1)</x:f>
        <x:v>-0.2295871995555276</x:v>
      </x:c>
      <x:c r="F4850" s="2"/>
      <x:c r="G4850" s="2"/>
      <x:c r="H4850" s="2"/>
    </x:row>
    <x:row r="4851" ht="22" customHeight="1">
      <x:c r="A4851" s="2" t="n">
        <x:v>4845</x:v>
      </x:c>
      <x:c r="B4851" s="79" t="n">
        <x:v>0.40126770385341687</x:v>
      </x:c>
      <x:c r="C4851" s="46" t="n">
        <x:f>B4851^2</x:f>
        <x:v>0.16101577015579346</x:v>
      </x:c>
      <x:c r="D4851" s="47" t="n">
        <x:f>'Datos'!$B$26^3/3</x:f>
        <x:v>0.3333333333333333</x:v>
      </x:c>
      <x:c r="E4851" s="46" t="n">
        <x:f>D4851*(C4851-1)</x:f>
        <x:v>-0.2796614099480688</x:v>
      </x:c>
      <x:c r="F4851" s="2"/>
      <x:c r="G4851" s="2"/>
      <x:c r="H4851" s="2"/>
    </x:row>
    <x:row r="4852" ht="22" customHeight="1">
      <x:c r="A4852" s="2" t="n">
        <x:v>4846</x:v>
      </x:c>
      <x:c r="B4852" s="79" t="n">
        <x:v>0.03651327809291187</x:v>
      </x:c>
      <x:c r="C4852" s="46" t="n">
        <x:f>B4852^2</x:f>
        <x:v>0.0013332194770903178</x:v>
      </x:c>
      <x:c r="D4852" s="47" t="n">
        <x:f>'Datos'!$B$26^3/3</x:f>
        <x:v>0.3333333333333333</x:v>
      </x:c>
      <x:c r="E4852" s="46" t="n">
        <x:f>D4852*(C4852-1)</x:f>
        <x:v>-0.3328889268409699</x:v>
      </x:c>
      <x:c r="F4852" s="2"/>
      <x:c r="G4852" s="2"/>
      <x:c r="H4852" s="2"/>
    </x:row>
    <x:row r="4853" ht="22" customHeight="1">
      <x:c r="A4853" s="2" t="n">
        <x:v>4847</x:v>
      </x:c>
      <x:c r="B4853" s="79" t="n">
        <x:v>0.49227884278631023</x:v>
      </x:c>
      <x:c r="C4853" s="46" t="n">
        <x:f>B4853^2</x:f>
        <x:v>0.24233845905502874</x:v>
      </x:c>
      <x:c r="D4853" s="47" t="n">
        <x:f>'Datos'!$B$26^3/3</x:f>
        <x:v>0.3333333333333333</x:v>
      </x:c>
      <x:c r="E4853" s="46" t="n">
        <x:f>D4853*(C4853-1)</x:f>
        <x:v>-0.25255384698165706</x:v>
      </x:c>
      <x:c r="F4853" s="2"/>
      <x:c r="G4853" s="2"/>
      <x:c r="H4853" s="2"/>
    </x:row>
    <x:row r="4854" ht="22" customHeight="1">
      <x:c r="A4854" s="2" t="n">
        <x:v>4848</x:v>
      </x:c>
      <x:c r="B4854" s="79" t="n">
        <x:v>-0.13365067199617067</x:v>
      </x:c>
      <x:c r="C4854" s="46" t="n">
        <x:f>B4854^2</x:f>
        <x:v>0.017862502125028</x:v>
      </x:c>
      <x:c r="D4854" s="47" t="n">
        <x:f>'Datos'!$B$26^3/3</x:f>
        <x:v>0.3333333333333333</x:v>
      </x:c>
      <x:c r="E4854" s="46" t="n">
        <x:f>D4854*(C4854-1)</x:f>
        <x:v>-0.32737916595832395</x:v>
      </x:c>
      <x:c r="F4854" s="2"/>
      <x:c r="G4854" s="2"/>
      <x:c r="H4854" s="2"/>
    </x:row>
    <x:row r="4855" ht="22" customHeight="1">
      <x:c r="A4855" s="2" t="n">
        <x:v>4849</x:v>
      </x:c>
      <x:c r="B4855" s="79" t="n">
        <x:v>-1.5157109979835204</x:v>
      </x:c>
      <x:c r="C4855" s="46" t="n">
        <x:f>B4855^2</x:f>
        <x:v>2.2973798294081993</x:v>
      </x:c>
      <x:c r="D4855" s="47" t="n">
        <x:f>'Datos'!$B$26^3/3</x:f>
        <x:v>0.3333333333333333</x:v>
      </x:c>
      <x:c r="E4855" s="46" t="n">
        <x:f>D4855*(C4855-1)</x:f>
        <x:v>0.4324599431360664</x:v>
      </x:c>
      <x:c r="F4855" s="2"/>
      <x:c r="G4855" s="2"/>
      <x:c r="H4855" s="2"/>
    </x:row>
    <x:row r="4856" ht="22" customHeight="1">
      <x:c r="A4856" s="2" t="n">
        <x:v>4850</x:v>
      </x:c>
      <x:c r="B4856" s="79" t="n">
        <x:v>0.38361498157424084</x:v>
      </x:c>
      <x:c r="C4856" s="46" t="n">
        <x:f>B4856^2</x:f>
        <x:v>0.14716045408820513</x:v>
      </x:c>
      <x:c r="D4856" s="47" t="n">
        <x:f>'Datos'!$B$26^3/3</x:f>
        <x:v>0.3333333333333333</x:v>
      </x:c>
      <x:c r="E4856" s="46" t="n">
        <x:f>D4856*(C4856-1)</x:f>
        <x:v>-0.28427984863726496</x:v>
      </x:c>
      <x:c r="F4856" s="2"/>
      <x:c r="G4856" s="2"/>
      <x:c r="H4856" s="2"/>
    </x:row>
    <x:row r="4857" ht="22" customHeight="1">
      <x:c r="A4857" s="2" t="n">
        <x:v>4851</x:v>
      </x:c>
      <x:c r="B4857" s="79" t="n">
        <x:v>-0.8419326767825178</x:v>
      </x:c>
      <x:c r="C4857" s="46" t="n">
        <x:f>B4857^2</x:f>
        <x:v>0.7088506322341757</x:v>
      </x:c>
      <x:c r="D4857" s="47" t="n">
        <x:f>'Datos'!$B$26^3/3</x:f>
        <x:v>0.3333333333333333</x:v>
      </x:c>
      <x:c r="E4857" s="46" t="n">
        <x:f>D4857*(C4857-1)</x:f>
        <x:v>-0.09704978925527477</x:v>
      </x:c>
      <x:c r="F4857" s="2"/>
      <x:c r="G4857" s="2"/>
      <x:c r="H4857" s="2"/>
    </x:row>
    <x:row r="4858" ht="22" customHeight="1">
      <x:c r="A4858" s="2" t="n">
        <x:v>4852</x:v>
      </x:c>
      <x:c r="B4858" s="79" t="n">
        <x:v>-0.04618384439581757</x:v>
      </x:c>
      <x:c r="C4858" s="46" t="n">
        <x:f>B4858^2</x:f>
        <x:v>0.00213294748317709</x:v>
      </x:c>
      <x:c r="D4858" s="47" t="n">
        <x:f>'Datos'!$B$26^3/3</x:f>
        <x:v>0.3333333333333333</x:v>
      </x:c>
      <x:c r="E4858" s="46" t="n">
        <x:f>D4858*(C4858-1)</x:f>
        <x:v>-0.332622350838941</x:v>
      </x:c>
      <x:c r="F4858" s="2"/>
      <x:c r="G4858" s="2"/>
      <x:c r="H4858" s="2"/>
    </x:row>
    <x:row r="4859" ht="22" customHeight="1">
      <x:c r="A4859" s="2" t="n">
        <x:v>4853</x:v>
      </x:c>
      <x:c r="B4859" s="79" t="n">
        <x:v>-0.01925304025937832</x:v>
      </x:c>
      <x:c r="C4859" s="46" t="n">
        <x:f>B4859^2</x:f>
        <x:v>0.0003706795592292424</x:v>
      </x:c>
      <x:c r="D4859" s="47" t="n">
        <x:f>'Datos'!$B$26^3/3</x:f>
        <x:v>0.3333333333333333</x:v>
      </x:c>
      <x:c r="E4859" s="46" t="n">
        <x:f>D4859*(C4859-1)</x:f>
        <x:v>-0.33320977348025693</x:v>
      </x:c>
      <x:c r="F4859" s="2"/>
      <x:c r="G4859" s="2"/>
      <x:c r="H4859" s="2"/>
    </x:row>
    <x:row r="4860" ht="22" customHeight="1">
      <x:c r="A4860" s="2" t="n">
        <x:v>4854</x:v>
      </x:c>
      <x:c r="B4860" s="79" t="n">
        <x:v>-0.9600243188556336</x:v>
      </x:c>
      <x:c r="C4860" s="46" t="n">
        <x:f>B4860^2</x:f>
        <x:v>0.9216466927942232</x:v>
      </x:c>
      <x:c r="D4860" s="47" t="n">
        <x:f>'Datos'!$B$26^3/3</x:f>
        <x:v>0.3333333333333333</x:v>
      </x:c>
      <x:c r="E4860" s="46" t="n">
        <x:f>D4860*(C4860-1)</x:f>
        <x:v>-0.026117769068592273</x:v>
      </x:c>
      <x:c r="F4860" s="2"/>
      <x:c r="G4860" s="2"/>
      <x:c r="H4860" s="2"/>
    </x:row>
    <x:row r="4861" ht="22" customHeight="1">
      <x:c r="A4861" s="2" t="n">
        <x:v>4855</x:v>
      </x:c>
      <x:c r="B4861" s="79" t="n">
        <x:v>-2.060835572814342</x:v>
      </x:c>
      <x:c r="C4861" s="46" t="n">
        <x:f>B4861^2</x:f>
        <x:v>4.247043258177018</x:v>
      </x:c>
      <x:c r="D4861" s="47" t="n">
        <x:f>'Datos'!$B$26^3/3</x:f>
        <x:v>0.3333333333333333</x:v>
      </x:c>
      <x:c r="E4861" s="46" t="n">
        <x:f>D4861*(C4861-1)</x:f>
        <x:v>1.0823477527256726</x:v>
      </x:c>
      <x:c r="F4861" s="2"/>
      <x:c r="G4861" s="2"/>
      <x:c r="H4861" s="2"/>
    </x:row>
    <x:row r="4862" ht="22" customHeight="1">
      <x:c r="A4862" s="2" t="n">
        <x:v>4856</x:v>
      </x:c>
      <x:c r="B4862" s="79" t="n">
        <x:v>1.0155042834722643</x:v>
      </x:c>
      <x:c r="C4862" s="46" t="n">
        <x:f>B4862^2</x:f>
        <x:v>1.0312489497505168</x:v>
      </x:c>
      <x:c r="D4862" s="47" t="n">
        <x:f>'Datos'!$B$26^3/3</x:f>
        <x:v>0.3333333333333333</x:v>
      </x:c>
      <x:c r="E4862" s="46" t="n">
        <x:f>D4862*(C4862-1)</x:f>
        <x:v>0.010416316583505614</x:v>
      </x:c>
      <x:c r="F4862" s="2"/>
      <x:c r="G4862" s="2"/>
      <x:c r="H4862" s="2"/>
    </x:row>
    <x:row r="4863" ht="22" customHeight="1">
      <x:c r="A4863" s="2" t="n">
        <x:v>4857</x:v>
      </x:c>
      <x:c r="B4863" s="79" t="n">
        <x:v>0.26405349654205085</x:v>
      </x:c>
      <x:c r="C4863" s="46" t="n">
        <x:f>B4863^2</x:f>
        <x:v>0.06972424903608286</x:v>
      </x:c>
      <x:c r="D4863" s="47" t="n">
        <x:f>'Datos'!$B$26^3/3</x:f>
        <x:v>0.3333333333333333</x:v>
      </x:c>
      <x:c r="E4863" s="46" t="n">
        <x:f>D4863*(C4863-1)</x:f>
        <x:v>-0.31009191698797234</x:v>
      </x:c>
      <x:c r="F4863" s="2"/>
      <x:c r="G4863" s="2"/>
      <x:c r="H4863" s="2"/>
    </x:row>
    <x:row r="4864" ht="22" customHeight="1">
      <x:c r="A4864" s="2" t="n">
        <x:v>4858</x:v>
      </x:c>
      <x:c r="B4864" s="79" t="n">
        <x:v>1.6034106617051993</x:v>
      </x:c>
      <x:c r="C4864" s="46" t="n">
        <x:f>B4864^2</x:f>
        <x:v>2.570925750069905</x:v>
      </x:c>
      <x:c r="D4864" s="47" t="n">
        <x:f>'Datos'!$B$26^3/3</x:f>
        <x:v>0.3333333333333333</x:v>
      </x:c>
      <x:c r="E4864" s="46" t="n">
        <x:f>D4864*(C4864-1)</x:f>
        <x:v>0.5236419166899684</x:v>
      </x:c>
      <x:c r="F4864" s="2"/>
      <x:c r="G4864" s="2"/>
      <x:c r="H4864" s="2"/>
    </x:row>
    <x:row r="4865" ht="22" customHeight="1">
      <x:c r="A4865" s="2" t="n">
        <x:v>4859</x:v>
      </x:c>
      <x:c r="B4865" s="79" t="n">
        <x:v>-0.9026618657527614</x:v>
      </x:c>
      <x:c r="C4865" s="46" t="n">
        <x:f>B4865^2</x:f>
        <x:v>0.8147984438842563</x:v>
      </x:c>
      <x:c r="D4865" s="47" t="n">
        <x:f>'Datos'!$B$26^3/3</x:f>
        <x:v>0.3333333333333333</x:v>
      </x:c>
      <x:c r="E4865" s="46" t="n">
        <x:f>D4865*(C4865-1)</x:f>
        <x:v>-0.06173385203858124</x:v>
      </x:c>
      <x:c r="F4865" s="2"/>
      <x:c r="G4865" s="2"/>
      <x:c r="H4865" s="2"/>
    </x:row>
    <x:row r="4866" ht="22" customHeight="1">
      <x:c r="A4866" s="2" t="n">
        <x:v>4860</x:v>
      </x:c>
      <x:c r="B4866" s="79" t="n">
        <x:v>0.5898613144994908</x:v>
      </x:c>
      <x:c r="C4866" s="46" t="n">
        <x:f>B4866^2</x:f>
        <x:v>0.3479363703430671</x:v>
      </x:c>
      <x:c r="D4866" s="47" t="n">
        <x:f>'Datos'!$B$26^3/3</x:f>
        <x:v>0.3333333333333333</x:v>
      </x:c>
      <x:c r="E4866" s="46" t="n">
        <x:f>D4866*(C4866-1)</x:f>
        <x:v>-0.21735454321897762</x:v>
      </x:c>
      <x:c r="F4866" s="2"/>
      <x:c r="G4866" s="2"/>
      <x:c r="H4866" s="2"/>
    </x:row>
    <x:row r="4867" ht="22" customHeight="1">
      <x:c r="A4867" s="2" t="n">
        <x:v>4861</x:v>
      </x:c>
      <x:c r="B4867" s="79" t="n">
        <x:v>-1.5731110475959227</x:v>
      </x:c>
      <x:c r="C4867" s="46" t="n">
        <x:f>B4867^2</x:f>
        <x:v>2.4746783680683415</x:v>
      </x:c>
      <x:c r="D4867" s="47" t="n">
        <x:f>'Datos'!$B$26^3/3</x:f>
        <x:v>0.3333333333333333</x:v>
      </x:c>
      <x:c r="E4867" s="46" t="n">
        <x:f>D4867*(C4867-1)</x:f>
        <x:v>0.4915594560227805</x:v>
      </x:c>
      <x:c r="F4867" s="2"/>
      <x:c r="G4867" s="2"/>
      <x:c r="H4867" s="2"/>
    </x:row>
    <x:row r="4868" ht="22" customHeight="1">
      <x:c r="A4868" s="2" t="n">
        <x:v>4862</x:v>
      </x:c>
      <x:c r="B4868" s="79" t="n">
        <x:v>0.02797829134026682</x:v>
      </x:c>
      <x:c r="C4868" s="46" t="n">
        <x:f>B4868^2</x:f>
        <x:v>0.0007827847863208494</x:v>
      </x:c>
      <x:c r="D4868" s="47" t="n">
        <x:f>'Datos'!$B$26^3/3</x:f>
        <x:v>0.3333333333333333</x:v>
      </x:c>
      <x:c r="E4868" s="46" t="n">
        <x:f>D4868*(C4868-1)</x:f>
        <x:v>-0.3330724050712264</x:v>
      </x:c>
      <x:c r="F4868" s="2"/>
      <x:c r="G4868" s="2"/>
      <x:c r="H4868" s="2"/>
    </x:row>
    <x:row r="4869" ht="22" customHeight="1">
      <x:c r="A4869" s="2" t="n">
        <x:v>4863</x:v>
      </x:c>
      <x:c r="B4869" s="79" t="n">
        <x:v>0.6140308288563538</x:v>
      </x:c>
      <x:c r="C4869" s="46" t="n">
        <x:f>B4869^2</x:f>
        <x:v>0.3770338587860209</x:v>
      </x:c>
      <x:c r="D4869" s="47" t="n">
        <x:f>'Datos'!$B$26^3/3</x:f>
        <x:v>0.3333333333333333</x:v>
      </x:c>
      <x:c r="E4869" s="46" t="n">
        <x:f>D4869*(C4869-1)</x:f>
        <x:v>-0.2076553804046597</x:v>
      </x:c>
      <x:c r="F4869" s="2"/>
      <x:c r="G4869" s="2"/>
      <x:c r="H4869" s="2"/>
    </x:row>
    <x:row r="4870" ht="22" customHeight="1">
      <x:c r="A4870" s="2" t="n">
        <x:v>4864</x:v>
      </x:c>
      <x:c r="B4870" s="79" t="n">
        <x:v>0.10475157604605775</x:v>
      </x:c>
      <x:c r="C4870" s="46" t="n">
        <x:f>B4870^2</x:f>
        <x:v>0.01097289268413302</x:v>
      </x:c>
      <x:c r="D4870" s="47" t="n">
        <x:f>'Datos'!$B$26^3/3</x:f>
        <x:v>0.3333333333333333</x:v>
      </x:c>
      <x:c r="E4870" s="46" t="n">
        <x:f>D4870*(C4870-1)</x:f>
        <x:v>-0.3296757024386223</x:v>
      </x:c>
      <x:c r="F4870" s="2"/>
      <x:c r="G4870" s="2"/>
      <x:c r="H4870" s="2"/>
    </x:row>
    <x:row r="4871" ht="22" customHeight="1">
      <x:c r="A4871" s="2" t="n">
        <x:v>4865</x:v>
      </x:c>
      <x:c r="B4871" s="79" t="n">
        <x:v>-0.5633539622428363</x:v>
      </x:c>
      <x:c r="C4871" s="46" t="n">
        <x:f>B4871^2</x:f>
        <x:v>0.317367686774703</x:v>
      </x:c>
      <x:c r="D4871" s="47" t="n">
        <x:f>'Datos'!$B$26^3/3</x:f>
        <x:v>0.3333333333333333</x:v>
      </x:c>
      <x:c r="E4871" s="46" t="n">
        <x:f>D4871*(C4871-1)</x:f>
        <x:v>-0.2275441044084323</x:v>
      </x:c>
      <x:c r="F4871" s="2"/>
      <x:c r="G4871" s="2"/>
      <x:c r="H4871" s="2"/>
    </x:row>
    <x:row r="4872" ht="22" customHeight="1">
      <x:c r="A4872" s="2" t="n">
        <x:v>4866</x:v>
      </x:c>
      <x:c r="B4872" s="79" t="n">
        <x:v>-0.6825696618122961</x:v>
      </x:c>
      <x:c r="C4872" s="46" t="n">
        <x:f>B4872^2</x:f>
        <x:v>0.4659013432265522</x:v>
      </x:c>
      <x:c r="D4872" s="47" t="n">
        <x:f>'Datos'!$B$26^3/3</x:f>
        <x:v>0.3333333333333333</x:v>
      </x:c>
      <x:c r="E4872" s="46" t="n">
        <x:f>D4872*(C4872-1)</x:f>
        <x:v>-0.17803288559114927</x:v>
      </x:c>
      <x:c r="F4872" s="2"/>
      <x:c r="G4872" s="2"/>
      <x:c r="H4872" s="2"/>
    </x:row>
    <x:row r="4873" ht="22" customHeight="1">
      <x:c r="A4873" s="2" t="n">
        <x:v>4867</x:v>
      </x:c>
      <x:c r="B4873" s="79" t="n">
        <x:v>1.9579151947506437</x:v>
      </x:c>
      <x:c r="C4873" s="46" t="n">
        <x:f>B4873^2</x:f>
        <x:v>3.833431909835451</x:v>
      </x:c>
      <x:c r="D4873" s="47" t="n">
        <x:f>'Datos'!$B$26^3/3</x:f>
        <x:v>0.3333333333333333</x:v>
      </x:c>
      <x:c r="E4873" s="46" t="n">
        <x:f>D4873*(C4873-1)</x:f>
        <x:v>0.9444773032784837</x:v>
      </x:c>
      <x:c r="F4873" s="2"/>
      <x:c r="G4873" s="2"/>
      <x:c r="H4873" s="2"/>
    </x:row>
    <x:row r="4874" ht="22" customHeight="1">
      <x:c r="A4874" s="2" t="n">
        <x:v>4868</x:v>
      </x:c>
      <x:c r="B4874" s="79" t="n">
        <x:v>1.3326251752854803</x:v>
      </x:c>
      <x:c r="C4874" s="46" t="n">
        <x:f>B4874^2</x:f>
        <x:v>1.7758898578046571</x:v>
      </x:c>
      <x:c r="D4874" s="47" t="n">
        <x:f>'Datos'!$B$26^3/3</x:f>
        <x:v>0.3333333333333333</x:v>
      </x:c>
      <x:c r="E4874" s="46" t="n">
        <x:f>D4874*(C4874-1)</x:f>
        <x:v>0.25862995260155236</x:v>
      </x:c>
      <x:c r="F4874" s="2"/>
      <x:c r="G4874" s="2"/>
      <x:c r="H4874" s="2"/>
    </x:row>
    <x:row r="4875" ht="22" customHeight="1">
      <x:c r="A4875" s="2" t="n">
        <x:v>4869</x:v>
      </x:c>
      <x:c r="B4875" s="79" t="n">
        <x:v>0.28402598854356326</x:v>
      </x:c>
      <x:c r="C4875" s="46" t="n">
        <x:f>B4875^2</x:f>
        <x:v>0.08067076216814832</x:v>
      </x:c>
      <x:c r="D4875" s="47" t="n">
        <x:f>'Datos'!$B$26^3/3</x:f>
        <x:v>0.3333333333333333</x:v>
      </x:c>
      <x:c r="E4875" s="46" t="n">
        <x:f>D4875*(C4875-1)</x:f>
        <x:v>-0.30644307927728387</x:v>
      </x:c>
      <x:c r="F4875" s="2"/>
      <x:c r="G4875" s="2"/>
      <x:c r="H4875" s="2"/>
    </x:row>
    <x:row r="4876" ht="22" customHeight="1">
      <x:c r="A4876" s="2" t="n">
        <x:v>4870</x:v>
      </x:c>
      <x:c r="B4876" s="79" t="n">
        <x:v>1.9626930580039164</x:v>
      </x:c>
      <x:c r="C4876" s="46" t="n">
        <x:f>B4876^2</x:f>
        <x:v>3.8521640399367647</x:v>
      </x:c>
      <x:c r="D4876" s="47" t="n">
        <x:f>'Datos'!$B$26^3/3</x:f>
        <x:v>0.3333333333333333</x:v>
      </x:c>
      <x:c r="E4876" s="46" t="n">
        <x:f>D4876*(C4876-1)</x:f>
        <x:v>0.9507213466455882</x:v>
      </x:c>
      <x:c r="F4876" s="2"/>
      <x:c r="G4876" s="2"/>
      <x:c r="H4876" s="2"/>
    </x:row>
    <x:row r="4877" ht="22" customHeight="1">
      <x:c r="A4877" s="2" t="n">
        <x:v>4871</x:v>
      </x:c>
      <x:c r="B4877" s="79" t="n">
        <x:v>-1.904211989803909</x:v>
      </x:c>
      <x:c r="C4877" s="46" t="n">
        <x:f>B4877^2</x:f>
        <x:v>3.626023302112962</x:v>
      </x:c>
      <x:c r="D4877" s="47" t="n">
        <x:f>'Datos'!$B$26^3/3</x:f>
        <x:v>0.3333333333333333</x:v>
      </x:c>
      <x:c r="E4877" s="46" t="n">
        <x:f>D4877*(C4877-1)</x:f>
        <x:v>0.8753411007043207</x:v>
      </x:c>
      <x:c r="F4877" s="2"/>
      <x:c r="G4877" s="2"/>
      <x:c r="H4877" s="2"/>
    </x:row>
    <x:row r="4878" ht="22" customHeight="1">
      <x:c r="A4878" s="2" t="n">
        <x:v>4872</x:v>
      </x:c>
      <x:c r="B4878" s="79" t="n">
        <x:v>0.35549371628215914</x:v>
      </x:c>
      <x:c r="C4878" s="46" t="n">
        <x:f>B4878^2</x:f>
        <x:v>0.12637578231610025</x:v>
      </x:c>
      <x:c r="D4878" s="47" t="n">
        <x:f>'Datos'!$B$26^3/3</x:f>
        <x:v>0.3333333333333333</x:v>
      </x:c>
      <x:c r="E4878" s="46" t="n">
        <x:f>D4878*(C4878-1)</x:f>
        <x:v>-0.2912080725612999</x:v>
      </x:c>
      <x:c r="F4878" s="2"/>
      <x:c r="G4878" s="2"/>
      <x:c r="H4878" s="2"/>
    </x:row>
    <x:row r="4879" ht="22" customHeight="1">
      <x:c r="A4879" s="2" t="n">
        <x:v>4873</x:v>
      </x:c>
      <x:c r="B4879" s="79" t="n">
        <x:v>-1.182159693939462</x:v>
      </x:c>
      <x:c r="C4879" s="46" t="n">
        <x:f>B4879^2</x:f>
        <x:v>1.3975015419750427</x:v>
      </x:c>
      <x:c r="D4879" s="47" t="n">
        <x:f>'Datos'!$B$26^3/3</x:f>
        <x:v>0.3333333333333333</x:v>
      </x:c>
      <x:c r="E4879" s="46" t="n">
        <x:f>D4879*(C4879-1)</x:f>
        <x:v>0.1325005139916809</x:v>
      </x:c>
      <x:c r="F4879" s="2"/>
      <x:c r="G4879" s="2"/>
      <x:c r="H4879" s="2"/>
    </x:row>
    <x:row r="4880" ht="22" customHeight="1">
      <x:c r="A4880" s="2" t="n">
        <x:v>4874</x:v>
      </x:c>
      <x:c r="B4880" s="79" t="n">
        <x:v>-0.387682917607841</x:v>
      </x:c>
      <x:c r="C4880" s="46" t="n">
        <x:f>B4880^2</x:f>
        <x:v>0.15029804460492804</x:v>
      </x:c>
      <x:c r="D4880" s="47" t="n">
        <x:f>'Datos'!$B$26^3/3</x:f>
        <x:v>0.3333333333333333</x:v>
      </x:c>
      <x:c r="E4880" s="46" t="n">
        <x:f>D4880*(C4880-1)</x:f>
        <x:v>-0.2832339851316906</x:v>
      </x:c>
      <x:c r="F4880" s="2"/>
      <x:c r="G4880" s="2"/>
      <x:c r="H4880" s="2"/>
    </x:row>
    <x:row r="4881" ht="22" customHeight="1">
      <x:c r="A4881" s="2" t="n">
        <x:v>4875</x:v>
      </x:c>
      <x:c r="B4881" s="79" t="n">
        <x:v>-0.6731723713275389</x:v>
      </x:c>
      <x:c r="C4881" s="46" t="n">
        <x:f>B4881^2</x:f>
        <x:v>0.453161041518742</x:v>
      </x:c>
      <x:c r="D4881" s="47" t="n">
        <x:f>'Datos'!$B$26^3/3</x:f>
        <x:v>0.3333333333333333</x:v>
      </x:c>
      <x:c r="E4881" s="46" t="n">
        <x:f>D4881*(C4881-1)</x:f>
        <x:v>-0.18227965282708603</x:v>
      </x:c>
      <x:c r="F4881" s="2"/>
      <x:c r="G4881" s="2"/>
      <x:c r="H4881" s="2"/>
    </x:row>
    <x:row r="4882" ht="22" customHeight="1">
      <x:c r="A4882" s="2" t="n">
        <x:v>4876</x:v>
      </x:c>
      <x:c r="B4882" s="79" t="n">
        <x:v>-0.14520101951577022</x:v>
      </x:c>
      <x:c r="C4882" s="46" t="n">
        <x:f>B4882^2</x:f>
        <x:v>0.021083336068419084</x:v>
      </x:c>
      <x:c r="D4882" s="47" t="n">
        <x:f>'Datos'!$B$26^3/3</x:f>
        <x:v>0.3333333333333333</x:v>
      </x:c>
      <x:c r="E4882" s="46" t="n">
        <x:f>D4882*(C4882-1)</x:f>
        <x:v>-0.3263055546438603</x:v>
      </x:c>
      <x:c r="F4882" s="2"/>
      <x:c r="G4882" s="2"/>
      <x:c r="H4882" s="2"/>
    </x:row>
    <x:row r="4883" ht="22" customHeight="1">
      <x:c r="A4883" s="2" t="n">
        <x:v>4877</x:v>
      </x:c>
      <x:c r="B4883" s="79" t="n">
        <x:v>-0.4560399023397863</x:v>
      </x:c>
      <x:c r="C4883" s="46" t="n">
        <x:f>B4883^2</x:f>
        <x:v>0.20797239252608182</x:v>
      </x:c>
      <x:c r="D4883" s="47" t="n">
        <x:f>'Datos'!$B$26^3/3</x:f>
        <x:v>0.3333333333333333</x:v>
      </x:c>
      <x:c r="E4883" s="46" t="n">
        <x:f>D4883*(C4883-1)</x:f>
        <x:v>-0.26400920249130605</x:v>
      </x:c>
      <x:c r="F4883" s="2"/>
      <x:c r="G4883" s="2"/>
      <x:c r="H4883" s="2"/>
    </x:row>
    <x:row r="4884" ht="22" customHeight="1">
      <x:c r="A4884" s="2" t="n">
        <x:v>4878</x:v>
      </x:c>
      <x:c r="B4884" s="79" t="n">
        <x:v>1.4931943563053944</x:v>
      </x:c>
      <x:c r="C4884" s="46" t="n">
        <x:f>B4884^2</x:f>
        <x:v>2.2296293857022813</x:v>
      </x:c>
      <x:c r="D4884" s="47" t="n">
        <x:f>'Datos'!$B$26^3/3</x:f>
        <x:v>0.3333333333333333</x:v>
      </x:c>
      <x:c r="E4884" s="46" t="n">
        <x:f>D4884*(C4884-1)</x:f>
        <x:v>0.40987646190076044</x:v>
      </x:c>
      <x:c r="F4884" s="2"/>
      <x:c r="G4884" s="2"/>
      <x:c r="H4884" s="2"/>
    </x:row>
    <x:row r="4885" ht="22" customHeight="1">
      <x:c r="A4885" s="2" t="n">
        <x:v>4879</x:v>
      </x:c>
      <x:c r="B4885" s="79" t="n">
        <x:v>0.7037024814586913</x:v>
      </x:c>
      <x:c r="C4885" s="46" t="n">
        <x:f>B4885^2</x:f>
        <x:v>0.49519718241111976</x:v>
      </x:c>
      <x:c r="D4885" s="47" t="n">
        <x:f>'Datos'!$B$26^3/3</x:f>
        <x:v>0.3333333333333333</x:v>
      </x:c>
      <x:c r="E4885" s="46" t="n">
        <x:f>D4885*(C4885-1)</x:f>
        <x:v>-0.16826760586296008</x:v>
      </x:c>
      <x:c r="F4885" s="2"/>
      <x:c r="G4885" s="2"/>
      <x:c r="H4885" s="2"/>
    </x:row>
    <x:row r="4886" ht="22" customHeight="1">
      <x:c r="A4886" s="2" t="n">
        <x:v>4880</x:v>
      </x:c>
      <x:c r="B4886" s="79" t="n">
        <x:v>0.8142482608724498</x:v>
      </x:c>
      <x:c r="C4886" s="46" t="n">
        <x:f>B4886^2</x:f>
        <x:v>0.6630002303338092</x:v>
      </x:c>
      <x:c r="D4886" s="47" t="n">
        <x:f>'Datos'!$B$26^3/3</x:f>
        <x:v>0.3333333333333333</x:v>
      </x:c>
      <x:c r="E4886" s="46" t="n">
        <x:f>D4886*(C4886-1)</x:f>
        <x:v>-0.11233325655539694</x:v>
      </x:c>
      <x:c r="F4886" s="2"/>
      <x:c r="G4886" s="2"/>
      <x:c r="H4886" s="2"/>
    </x:row>
    <x:row r="4887" ht="22" customHeight="1">
      <x:c r="A4887" s="2" t="n">
        <x:v>4881</x:v>
      </x:c>
      <x:c r="B4887" s="79" t="n">
        <x:v>0.874862874532263</x:v>
      </x:c>
      <x:c r="C4887" s="46" t="n">
        <x:f>B4887^2</x:f>
        <x:v>0.7653850492348541</x:v>
      </x:c>
      <x:c r="D4887" s="47" t="n">
        <x:f>'Datos'!$B$26^3/3</x:f>
        <x:v>0.3333333333333333</x:v>
      </x:c>
      <x:c r="E4887" s="46" t="n">
        <x:f>D4887*(C4887-1)</x:f>
        <x:v>-0.07820498358838197</x:v>
      </x:c>
      <x:c r="F4887" s="2"/>
      <x:c r="G4887" s="2"/>
      <x:c r="H4887" s="2"/>
    </x:row>
    <x:row r="4888" ht="22" customHeight="1">
      <x:c r="A4888" s="2" t="n">
        <x:v>4882</x:v>
      </x:c>
      <x:c r="B4888" s="79" t="n">
        <x:v>0.0304830451115164</x:v>
      </x:c>
      <x:c r="C4888" s="46" t="n">
        <x:f>B4888^2</x:f>
        <x:v>0.000929216039270744</x:v>
      </x:c>
      <x:c r="D4888" s="47" t="n">
        <x:f>'Datos'!$B$26^3/3</x:f>
        <x:v>0.3333333333333333</x:v>
      </x:c>
      <x:c r="E4888" s="46" t="n">
        <x:f>D4888*(C4888-1)</x:f>
        <x:v>-0.3330235946535764</x:v>
      </x:c>
      <x:c r="F4888" s="2"/>
      <x:c r="G4888" s="2"/>
      <x:c r="H4888" s="2"/>
    </x:row>
    <x:row r="4889" ht="22" customHeight="1">
      <x:c r="A4889" s="2" t="n">
        <x:v>4883</x:v>
      </x:c>
      <x:c r="B4889" s="79" t="n">
        <x:v>0.3536143542730988</x:v>
      </x:c>
      <x:c r="C4889" s="46" t="n">
        <x:f>B4889^2</x:f>
        <x:v>0.12504311154798062</x:v>
      </x:c>
      <x:c r="D4889" s="47" t="n">
        <x:f>'Datos'!$B$26^3/3</x:f>
        <x:v>0.3333333333333333</x:v>
      </x:c>
      <x:c r="E4889" s="46" t="n">
        <x:f>D4889*(C4889-1)</x:f>
        <x:v>-0.2916522961506731</x:v>
      </x:c>
      <x:c r="F4889" s="2"/>
      <x:c r="G4889" s="2"/>
      <x:c r="H4889" s="2"/>
    </x:row>
    <x:row r="4890" ht="22" customHeight="1">
      <x:c r="A4890" s="2" t="n">
        <x:v>4884</x:v>
      </x:c>
      <x:c r="B4890" s="79" t="n">
        <x:v>-1.9869472208413743</x:v>
      </x:c>
      <x:c r="C4890" s="46" t="n">
        <x:f>B4890^2</x:f>
        <x:v>3.947959258409261</x:v>
      </x:c>
      <x:c r="D4890" s="47" t="n">
        <x:f>'Datos'!$B$26^3/3</x:f>
        <x:v>0.3333333333333333</x:v>
      </x:c>
      <x:c r="E4890" s="46" t="n">
        <x:f>D4890*(C4890-1)</x:f>
        <x:v>0.9826530861364203</x:v>
      </x:c>
      <x:c r="F4890" s="2"/>
      <x:c r="G4890" s="2"/>
      <x:c r="H4890" s="2"/>
    </x:row>
    <x:row r="4891" ht="22" customHeight="1">
      <x:c r="A4891" s="2" t="n">
        <x:v>4885</x:v>
      </x:c>
      <x:c r="B4891" s="79" t="n">
        <x:v>1.2568709228632118</x:v>
      </x:c>
      <x:c r="C4891" s="46" t="n">
        <x:f>B4891^2</x:f>
        <x:v>1.5797245167390217</x:v>
      </x:c>
      <x:c r="D4891" s="47" t="n">
        <x:f>'Datos'!$B$26^3/3</x:f>
        <x:v>0.3333333333333333</x:v>
      </x:c>
      <x:c r="E4891" s="46" t="n">
        <x:f>D4891*(C4891-1)</x:f>
        <x:v>0.1932415055796739</x:v>
      </x:c>
      <x:c r="F4891" s="2"/>
      <x:c r="G4891" s="2"/>
      <x:c r="H4891" s="2"/>
    </x:row>
    <x:row r="4892" ht="22" customHeight="1">
      <x:c r="A4892" s="2" t="n">
        <x:v>4886</x:v>
      </x:c>
      <x:c r="B4892" s="79" t="n">
        <x:v>-0.26160157584754906</x:v>
      </x:c>
      <x:c r="C4892" s="46" t="n">
        <x:f>B4892^2</x:f>
        <x:v>0.06843538448592096</x:v>
      </x:c>
      <x:c r="D4892" s="47" t="n">
        <x:f>'Datos'!$B$26^3/3</x:f>
        <x:v>0.3333333333333333</x:v>
      </x:c>
      <x:c r="E4892" s="46" t="n">
        <x:f>D4892*(C4892-1)</x:f>
        <x:v>-0.310521538504693</x:v>
      </x:c>
      <x:c r="F4892" s="2"/>
      <x:c r="G4892" s="2"/>
      <x:c r="H4892" s="2"/>
    </x:row>
    <x:row r="4893" ht="22" customHeight="1">
      <x:c r="A4893" s="2" t="n">
        <x:v>4887</x:v>
      </x:c>
      <x:c r="B4893" s="79" t="n">
        <x:v>-0.7329038127757465</x:v>
      </x:c>
      <x:c r="C4893" s="46" t="n">
        <x:f>B4893^2</x:f>
        <x:v>0.5371479987812264</x:v>
      </x:c>
      <x:c r="D4893" s="47" t="n">
        <x:f>'Datos'!$B$26^3/3</x:f>
        <x:v>0.3333333333333333</x:v>
      </x:c>
      <x:c r="E4893" s="46" t="n">
        <x:f>D4893*(C4893-1)</x:f>
        <x:v>-0.15428400040625784</x:v>
      </x:c>
      <x:c r="F4893" s="2"/>
      <x:c r="G4893" s="2"/>
      <x:c r="H4893" s="2"/>
    </x:row>
    <x:row r="4894" ht="22" customHeight="1">
      <x:c r="A4894" s="2" t="n">
        <x:v>4888</x:v>
      </x:c>
      <x:c r="B4894" s="79" t="n">
        <x:v>-0.008888439510389923</x:v>
      </x:c>
      <x:c r="C4894" s="46" t="n">
        <x:f>B4894^2</x:f>
        <x:v>0.00007900435692986065</x:v>
      </x:c>
      <x:c r="D4894" s="47" t="n">
        <x:f>'Datos'!$B$26^3/3</x:f>
        <x:v>0.3333333333333333</x:v>
      </x:c>
      <x:c r="E4894" s="46" t="n">
        <x:f>D4894*(C4894-1)</x:f>
        <x:v>-0.33330699854769</x:v>
      </x:c>
      <x:c r="F4894" s="2"/>
      <x:c r="G4894" s="2"/>
      <x:c r="H4894" s="2"/>
    </x:row>
    <x:row r="4895" ht="22" customHeight="1">
      <x:c r="A4895" s="2" t="n">
        <x:v>4889</x:v>
      </x:c>
      <x:c r="B4895" s="79" t="n">
        <x:v>-0.6987476926106376</x:v>
      </x:c>
      <x:c r="C4895" s="46" t="n">
        <x:f>B4895^2</x:f>
        <x:v>0.48824833792869016</x:v>
      </x:c>
      <x:c r="D4895" s="47" t="n">
        <x:f>'Datos'!$B$26^3/3</x:f>
        <x:v>0.3333333333333333</x:v>
      </x:c>
      <x:c r="E4895" s="46" t="n">
        <x:f>D4895*(C4895-1)</x:f>
        <x:v>-0.17058388735710328</x:v>
      </x:c>
      <x:c r="F4895" s="2"/>
      <x:c r="G4895" s="2"/>
      <x:c r="H4895" s="2"/>
    </x:row>
    <x:row r="4896" ht="22" customHeight="1">
      <x:c r="A4896" s="2" t="n">
        <x:v>4890</x:v>
      </x:c>
      <x:c r="B4896" s="79" t="n">
        <x:v>1.1754962466061987</x:v>
      </x:c>
      <x:c r="C4896" s="46" t="n">
        <x:f>B4896^2</x:f>
        <x:v>1.381791425785261</x:v>
      </x:c>
      <x:c r="D4896" s="47" t="n">
        <x:f>'Datos'!$B$26^3/3</x:f>
        <x:v>0.3333333333333333</x:v>
      </x:c>
      <x:c r="E4896" s="46" t="n">
        <x:f>D4896*(C4896-1)</x:f>
        <x:v>0.127263808595087</x:v>
      </x:c>
      <x:c r="F4896" s="2"/>
      <x:c r="G4896" s="2"/>
      <x:c r="H4896" s="2"/>
    </x:row>
    <x:row r="4897" ht="22" customHeight="1">
      <x:c r="A4897" s="2" t="n">
        <x:v>4891</x:v>
      </x:c>
      <x:c r="B4897" s="79" t="n">
        <x:v>1.5073057401314502</x:v>
      </x:c>
      <x:c r="C4897" s="46" t="n">
        <x:f>B4897^2</x:f>
        <x:v>2.271970594233219</x:v>
      </x:c>
      <x:c r="D4897" s="47" t="n">
        <x:f>'Datos'!$B$26^3/3</x:f>
        <x:v>0.3333333333333333</x:v>
      </x:c>
      <x:c r="E4897" s="46" t="n">
        <x:f>D4897*(C4897-1)</x:f>
        <x:v>0.4239901980777397</x:v>
      </x:c>
      <x:c r="F4897" s="2"/>
      <x:c r="G4897" s="2"/>
      <x:c r="H4897" s="2"/>
    </x:row>
    <x:row r="4898" ht="22" customHeight="1">
      <x:c r="A4898" s="2" t="n">
        <x:v>4892</x:v>
      </x:c>
      <x:c r="B4898" s="79" t="n">
        <x:v>0.5377583687644232</x:v>
      </x:c>
      <x:c r="C4898" s="46" t="n">
        <x:f>B4898^2</x:f>
        <x:v>0.28918406317617334</x:v>
      </x:c>
      <x:c r="D4898" s="47" t="n">
        <x:f>'Datos'!$B$26^3/3</x:f>
        <x:v>0.3333333333333333</x:v>
      </x:c>
      <x:c r="E4898" s="46" t="n">
        <x:f>D4898*(C4898-1)</x:f>
        <x:v>-0.23693864560794223</x:v>
      </x:c>
      <x:c r="F4898" s="2"/>
      <x:c r="G4898" s="2"/>
      <x:c r="H4898" s="2"/>
    </x:row>
    <x:row r="4899" ht="22" customHeight="1">
      <x:c r="A4899" s="2" t="n">
        <x:v>4893</x:v>
      </x:c>
      <x:c r="B4899" s="79" t="n">
        <x:v>1.155461989052542</x:v>
      </x:c>
      <x:c r="C4899" s="46" t="n">
        <x:f>B4899^2</x:f>
        <x:v>1.3350924081452566</x:v>
      </x:c>
      <x:c r="D4899" s="47" t="n">
        <x:f>'Datos'!$B$26^3/3</x:f>
        <x:v>0.3333333333333333</x:v>
      </x:c>
      <x:c r="E4899" s="46" t="n">
        <x:f>D4899*(C4899-1)</x:f>
        <x:v>0.1116974693817522</x:v>
      </x:c>
      <x:c r="F4899" s="2"/>
      <x:c r="G4899" s="2"/>
      <x:c r="H4899" s="2"/>
    </x:row>
    <x:row r="4900" ht="22" customHeight="1">
      <x:c r="A4900" s="2" t="n">
        <x:v>4894</x:v>
      </x:c>
      <x:c r="B4900" s="79" t="n">
        <x:v>0.5559443921429736</x:v>
      </x:c>
      <x:c r="C4900" s="46" t="n">
        <x:f>B4900^2</x:f>
        <x:v>0.30907416715522046</x:v>
      </x:c>
      <x:c r="D4900" s="47" t="n">
        <x:f>'Datos'!$B$26^3/3</x:f>
        <x:v>0.3333333333333333</x:v>
      </x:c>
      <x:c r="E4900" s="46" t="n">
        <x:f>D4900*(C4900-1)</x:f>
        <x:v>-0.23030861094825986</x:v>
      </x:c>
      <x:c r="F4900" s="2"/>
      <x:c r="G4900" s="2"/>
      <x:c r="H4900" s="2"/>
    </x:row>
    <x:row r="4901" ht="22" customHeight="1">
      <x:c r="A4901" s="2" t="n">
        <x:v>4895</x:v>
      </x:c>
      <x:c r="B4901" s="79" t="n">
        <x:v>-0.9935195616162269</x:v>
      </x:c>
      <x:c r="C4901" s="46" t="n">
        <x:f>B4901^2</x:f>
        <x:v>0.9870811193140997</x:v>
      </x:c>
      <x:c r="D4901" s="47" t="n">
        <x:f>'Datos'!$B$26^3/3</x:f>
        <x:v>0.3333333333333333</x:v>
      </x:c>
      <x:c r="E4901" s="46" t="n">
        <x:f>D4901*(C4901-1)</x:f>
        <x:v>-0.0043062935619667675</x:v>
      </x:c>
      <x:c r="F4901" s="2"/>
      <x:c r="G4901" s="2"/>
      <x:c r="H4901" s="2"/>
    </x:row>
    <x:row r="4902" ht="22" customHeight="1">
      <x:c r="A4902" s="2" t="n">
        <x:v>4896</x:v>
      </x:c>
      <x:c r="B4902" s="79" t="n">
        <x:v>-0.8640522845850105</x:v>
      </x:c>
      <x:c r="C4902" s="46" t="n">
        <x:f>B4902^2</x:f>
        <x:v>0.746586350496576</x:v>
      </x:c>
      <x:c r="D4902" s="47" t="n">
        <x:f>'Datos'!$B$26^3/3</x:f>
        <x:v>0.3333333333333333</x:v>
      </x:c>
      <x:c r="E4902" s="46" t="n">
        <x:f>D4902*(C4902-1)</x:f>
        <x:v>-0.08447121650114134</x:v>
      </x:c>
      <x:c r="F4902" s="2"/>
      <x:c r="G4902" s="2"/>
      <x:c r="H4902" s="2"/>
    </x:row>
    <x:row r="4903" ht="22" customHeight="1">
      <x:c r="A4903" s="2" t="n">
        <x:v>4897</x:v>
      </x:c>
      <x:c r="B4903" s="79" t="n">
        <x:v>0.6334952213512265</x:v>
      </x:c>
      <x:c r="C4903" s="46" t="n">
        <x:f>B4903^2</x:f>
        <x:v>0.40131619547483943</x:v>
      </x:c>
      <x:c r="D4903" s="47" t="n">
        <x:f>'Datos'!$B$26^3/3</x:f>
        <x:v>0.3333333333333333</x:v>
      </x:c>
      <x:c r="E4903" s="46" t="n">
        <x:f>D4903*(C4903-1)</x:f>
        <x:v>-0.1995612681750535</x:v>
      </x:c>
      <x:c r="F4903" s="2"/>
      <x:c r="G4903" s="2"/>
      <x:c r="H4903" s="2"/>
    </x:row>
    <x:row r="4904" ht="22" customHeight="1">
      <x:c r="A4904" s="2" t="n">
        <x:v>4898</x:v>
      </x:c>
      <x:c r="B4904" s="79" t="n">
        <x:v>-0.02268542379993744</x:v>
      </x:c>
      <x:c r="C4904" s="46" t="n">
        <x:f>B4904^2</x:f>
        <x:v>0.000514628452982768</x:v>
      </x:c>
      <x:c r="D4904" s="47" t="n">
        <x:f>'Datos'!$B$26^3/3</x:f>
        <x:v>0.3333333333333333</x:v>
      </x:c>
      <x:c r="E4904" s="46" t="n">
        <x:f>D4904*(C4904-1)</x:f>
        <x:v>-0.3331617905156724</x:v>
      </x:c>
      <x:c r="F4904" s="2"/>
      <x:c r="G4904" s="2"/>
      <x:c r="H4904" s="2"/>
    </x:row>
    <x:row r="4905" ht="22" customHeight="1">
      <x:c r="A4905" s="2" t="n">
        <x:v>4899</x:v>
      </x:c>
      <x:c r="B4905" s="79" t="n">
        <x:v>-0.20326655138401248</x:v>
      </x:c>
      <x:c r="C4905" s="46" t="n">
        <x:f>B4905^2</x:f>
        <x:v>0.041317290911549384</x:v>
      </x:c>
      <x:c r="D4905" s="47" t="n">
        <x:f>'Datos'!$B$26^3/3</x:f>
        <x:v>0.3333333333333333</x:v>
      </x:c>
      <x:c r="E4905" s="46" t="n">
        <x:f>D4905*(C4905-1)</x:f>
        <x:v>-0.31956090302948353</x:v>
      </x:c>
      <x:c r="F4905" s="2"/>
      <x:c r="G4905" s="2"/>
      <x:c r="H4905" s="2"/>
    </x:row>
    <x:row r="4906" ht="22" customHeight="1">
      <x:c r="A4906" s="2" t="n">
        <x:v>4900</x:v>
      </x:c>
      <x:c r="B4906" s="79" t="n">
        <x:v>0.6913979715200395</x:v>
      </x:c>
      <x:c r="C4906" s="46" t="n">
        <x:f>B4906^2</x:f>
        <x:v>0.4780311550220253</x:v>
      </x:c>
      <x:c r="D4906" s="47" t="n">
        <x:f>'Datos'!$B$26^3/3</x:f>
        <x:v>0.3333333333333333</x:v>
      </x:c>
      <x:c r="E4906" s="46" t="n">
        <x:f>D4906*(C4906-1)</x:f>
        <x:v>-0.17398961499265822</x:v>
      </x:c>
      <x:c r="F4906" s="2"/>
      <x:c r="G4906" s="2"/>
      <x:c r="H4906" s="2"/>
    </x:row>
    <x:row r="4907" ht="22" customHeight="1">
      <x:c r="A4907" s="2" t="n">
        <x:v>4901</x:v>
      </x:c>
      <x:c r="B4907" s="79" t="n">
        <x:v>-0.540435314037875</x:v>
      </x:c>
      <x:c r="C4907" s="46" t="n">
        <x:f>B4907^2</x:f>
        <x:v>0.2920703286592166</x:v>
      </x:c>
      <x:c r="D4907" s="47" t="n">
        <x:f>'Datos'!$B$26^3/3</x:f>
        <x:v>0.3333333333333333</x:v>
      </x:c>
      <x:c r="E4907" s="46" t="n">
        <x:f>D4907*(C4907-1)</x:f>
        <x:v>-0.23597655711359447</x:v>
      </x:c>
      <x:c r="F4907" s="2"/>
      <x:c r="G4907" s="2"/>
      <x:c r="H4907" s="2"/>
    </x:row>
    <x:row r="4908" ht="22" customHeight="1">
      <x:c r="A4908" s="2" t="n">
        <x:v>4902</x:v>
      </x:c>
      <x:c r="B4908" s="79" t="n">
        <x:v>0.11902250343503891</x:v>
      </x:c>
      <x:c r="C4908" s="46" t="n">
        <x:f>B4908^2</x:f>
        <x:v>0.014166356323943849</x:v>
      </x:c>
      <x:c r="D4908" s="47" t="n">
        <x:f>'Datos'!$B$26^3/3</x:f>
        <x:v>0.3333333333333333</x:v>
      </x:c>
      <x:c r="E4908" s="46" t="n">
        <x:f>D4908*(C4908-1)</x:f>
        <x:v>-0.32861121455868536</x:v>
      </x:c>
      <x:c r="F4908" s="2"/>
      <x:c r="G4908" s="2"/>
      <x:c r="H4908" s="2"/>
    </x:row>
    <x:row r="4909" ht="22" customHeight="1">
      <x:c r="A4909" s="2" t="n">
        <x:v>4903</x:v>
      </x:c>
      <x:c r="B4909" s="79" t="n">
        <x:v>0.8265370174252756</x:v>
      </x:c>
      <x:c r="C4909" s="46" t="n">
        <x:f>B4909^2</x:f>
        <x:v>0.6831634411742704</x:v>
      </x:c>
      <x:c r="D4909" s="47" t="n">
        <x:f>'Datos'!$B$26^3/3</x:f>
        <x:v>0.3333333333333333</x:v>
      </x:c>
      <x:c r="E4909" s="46" t="n">
        <x:f>D4909*(C4909-1)</x:f>
        <x:v>-0.10561218627524319</x:v>
      </x:c>
      <x:c r="F4909" s="2"/>
      <x:c r="G4909" s="2"/>
      <x:c r="H4909" s="2"/>
    </x:row>
    <x:row r="4910" ht="22" customHeight="1">
      <x:c r="A4910" s="2" t="n">
        <x:v>4904</x:v>
      </x:c>
      <x:c r="B4910" s="79" t="n">
        <x:v>-1.377859665870911</x:v>
      </x:c>
      <x:c r="C4910" s="46" t="n">
        <x:f>B4910^2</x:f>
        <x:v>1.8984972588338986</x:v>
      </x:c>
      <x:c r="D4910" s="47" t="n">
        <x:f>'Datos'!$B$26^3/3</x:f>
        <x:v>0.3333333333333333</x:v>
      </x:c>
      <x:c r="E4910" s="46" t="n">
        <x:f>D4910*(C4910-1)</x:f>
        <x:v>0.2994990862779662</x:v>
      </x:c>
      <x:c r="F4910" s="2"/>
      <x:c r="G4910" s="2"/>
      <x:c r="H4910" s="2"/>
    </x:row>
    <x:row r="4911" ht="22" customHeight="1">
      <x:c r="A4911" s="2" t="n">
        <x:v>4905</x:v>
      </x:c>
      <x:c r="B4911" s="79" t="n">
        <x:v>-0.49968792391462574</x:v>
      </x:c>
      <x:c r="C4911" s="46" t="n">
        <x:f>B4911^2</x:f>
        <x:v>0.24968802130610881</x:v>
      </x:c>
      <x:c r="D4911" s="47" t="n">
        <x:f>'Datos'!$B$26^3/3</x:f>
        <x:v>0.3333333333333333</x:v>
      </x:c>
      <x:c r="E4911" s="46" t="n">
        <x:f>D4911*(C4911-1)</x:f>
        <x:v>-0.2501039928979637</x:v>
      </x:c>
      <x:c r="F4911" s="2"/>
      <x:c r="G4911" s="2"/>
      <x:c r="H4911" s="2"/>
    </x:row>
    <x:row r="4912" ht="22" customHeight="1">
      <x:c r="A4912" s="2" t="n">
        <x:v>4906</x:v>
      </x:c>
      <x:c r="B4912" s="79" t="n">
        <x:v>1.0711239305387403</x:v>
      </x:c>
      <x:c r="C4912" s="46" t="n">
        <x:f>B4912^2</x:f>
        <x:v>1.1473064745727601</x:v>
      </x:c>
      <x:c r="D4912" s="47" t="n">
        <x:f>'Datos'!$B$26^3/3</x:f>
        <x:v>0.3333333333333333</x:v>
      </x:c>
      <x:c r="E4912" s="46" t="n">
        <x:f>D4912*(C4912-1)</x:f>
        <x:v>0.049102158190920044</x:v>
      </x:c>
      <x:c r="F4912" s="2"/>
      <x:c r="G4912" s="2"/>
      <x:c r="H4912" s="2"/>
    </x:row>
    <x:row r="4913" ht="22" customHeight="1">
      <x:c r="A4913" s="2" t="n">
        <x:v>4907</x:v>
      </x:c>
      <x:c r="B4913" s="79" t="n">
        <x:v>-0.21704097481528026</x:v>
      </x:c>
      <x:c r="C4913" s="46" t="n">
        <x:f>B4913^2</x:f>
        <x:v>0.047106784748767117</x:v>
      </x:c>
      <x:c r="D4913" s="47" t="n">
        <x:f>'Datos'!$B$26^3/3</x:f>
        <x:v>0.3333333333333333</x:v>
      </x:c>
      <x:c r="E4913" s="46" t="n">
        <x:f>D4913*(C4913-1)</x:f>
        <x:v>-0.31763107175041094</x:v>
      </x:c>
      <x:c r="F4913" s="2"/>
      <x:c r="G4913" s="2"/>
      <x:c r="H4913" s="2"/>
    </x:row>
    <x:row r="4914" ht="22" customHeight="1">
      <x:c r="A4914" s="2" t="n">
        <x:v>4908</x:v>
      </x:c>
      <x:c r="B4914" s="79" t="n">
        <x:v>-0.5110841272510823</x:v>
      </x:c>
      <x:c r="C4914" s="46" t="n">
        <x:f>B4914^2</x:f>
        <x:v>0.2612069851280005</x:v>
      </x:c>
      <x:c r="D4914" s="47" t="n">
        <x:f>'Datos'!$B$26^3/3</x:f>
        <x:v>0.3333333333333333</x:v>
      </x:c>
      <x:c r="E4914" s="46" t="n">
        <x:f>D4914*(C4914-1)</x:f>
        <x:v>-0.24626433829066646</x:v>
      </x:c>
      <x:c r="F4914" s="2"/>
      <x:c r="G4914" s="2"/>
      <x:c r="H4914" s="2"/>
    </x:row>
    <x:row r="4915" ht="22" customHeight="1">
      <x:c r="A4915" s="2" t="n">
        <x:v>4909</x:v>
      </x:c>
      <x:c r="B4915" s="79" t="n">
        <x:v>-0.8954393012653726</x:v>
      </x:c>
      <x:c r="C4915" s="46" t="n">
        <x:f>B4915^2</x:f>
        <x:v>0.8018115422506188</x:v>
      </x:c>
      <x:c r="D4915" s="47" t="n">
        <x:f>'Datos'!$B$26^3/3</x:f>
        <x:v>0.3333333333333333</x:v>
      </x:c>
      <x:c r="E4915" s="46" t="n">
        <x:f>D4915*(C4915-1)</x:f>
        <x:v>-0.06606281924979374</x:v>
      </x:c>
      <x:c r="F4915" s="2"/>
      <x:c r="G4915" s="2"/>
      <x:c r="H4915" s="2"/>
    </x:row>
    <x:row r="4916" ht="22" customHeight="1">
      <x:c r="A4916" s="2" t="n">
        <x:v>4910</x:v>
      </x:c>
      <x:c r="B4916" s="79" t="n">
        <x:v>1.230229376779178</x:v>
      </x:c>
      <x:c r="C4916" s="46" t="n">
        <x:f>B4916^2</x:f>
        <x:v>1.5134643194904849</x:v>
      </x:c>
      <x:c r="D4916" s="47" t="n">
        <x:f>'Datos'!$B$26^3/3</x:f>
        <x:v>0.3333333333333333</x:v>
      </x:c>
      <x:c r="E4916" s="46" t="n">
        <x:f>D4916*(C4916-1)</x:f>
        <x:v>0.17115477316349495</x:v>
      </x:c>
      <x:c r="F4916" s="2"/>
      <x:c r="G4916" s="2"/>
      <x:c r="H4916" s="2"/>
    </x:row>
    <x:row r="4917" ht="22" customHeight="1">
      <x:c r="A4917" s="2" t="n">
        <x:v>4911</x:v>
      </x:c>
      <x:c r="B4917" s="79" t="n">
        <x:v>-0.5998165547484321</x:v>
      </x:c>
      <x:c r="C4917" s="46" t="n">
        <x:f>B4917^2</x:f>
        <x:v>0.3597798993502788</x:v>
      </x:c>
      <x:c r="D4917" s="47" t="n">
        <x:f>'Datos'!$B$26^3/3</x:f>
        <x:v>0.3333333333333333</x:v>
      </x:c>
      <x:c r="E4917" s="46" t="n">
        <x:f>D4917*(C4917-1)</x:f>
        <x:v>-0.21340670021657374</x:v>
      </x:c>
      <x:c r="F4917" s="2"/>
      <x:c r="G4917" s="2"/>
      <x:c r="H4917" s="2"/>
    </x:row>
    <x:row r="4918" ht="22" customHeight="1">
      <x:c r="A4918" s="2" t="n">
        <x:v>4912</x:v>
      </x:c>
      <x:c r="B4918" s="79" t="n">
        <x:v>-0.6106688101320182</x:v>
      </x:c>
      <x:c r="C4918" s="46" t="n">
        <x:f>B4918^2</x:f>
        <x:v>0.37291639566805496</x:v>
      </x:c>
      <x:c r="D4918" s="47" t="n">
        <x:f>'Datos'!$B$26^3/3</x:f>
        <x:v>0.3333333333333333</x:v>
      </x:c>
      <x:c r="E4918" s="46" t="n">
        <x:f>D4918*(C4918-1)</x:f>
        <x:v>-0.20902786811064833</x:v>
      </x:c>
      <x:c r="F4918" s="2"/>
      <x:c r="G4918" s="2"/>
      <x:c r="H4918" s="2"/>
    </x:row>
    <x:row r="4919" ht="22" customHeight="1">
      <x:c r="A4919" s="2" t="n">
        <x:v>4913</x:v>
      </x:c>
      <x:c r="B4919" s="79" t="n">
        <x:v>0.7467415224994143</x:v>
      </x:c>
      <x:c r="C4919" s="46" t="n">
        <x:f>B4919^2</x:f>
        <x:v>0.5576229014247432</x:v>
      </x:c>
      <x:c r="D4919" s="47" t="n">
        <x:f>'Datos'!$B$26^3/3</x:f>
        <x:v>0.3333333333333333</x:v>
      </x:c>
      <x:c r="E4919" s="46" t="n">
        <x:f>D4919*(C4919-1)</x:f>
        <x:v>-0.1474590328584189</x:v>
      </x:c>
      <x:c r="F4919" s="2"/>
      <x:c r="G4919" s="2"/>
      <x:c r="H4919" s="2"/>
    </x:row>
    <x:row r="4920" ht="22" customHeight="1">
      <x:c r="A4920" s="2" t="n">
        <x:v>4914</x:v>
      </x:c>
      <x:c r="B4920" s="79" t="n">
        <x:v>-2.2816804789792497</x:v>
      </x:c>
      <x:c r="C4920" s="46" t="n">
        <x:f>B4920^2</x:f>
        <x:v>5.206065808154978</x:v>
      </x:c>
      <x:c r="D4920" s="47" t="n">
        <x:f>'Datos'!$B$26^3/3</x:f>
        <x:v>0.3333333333333333</x:v>
      </x:c>
      <x:c r="E4920" s="46" t="n">
        <x:f>D4920*(C4920-1)</x:f>
        <x:v>1.4020219360516593</x:v>
      </x:c>
      <x:c r="F4920" s="2"/>
      <x:c r="G4920" s="2"/>
      <x:c r="H4920" s="2"/>
    </x:row>
    <x:row r="4921" ht="22" customHeight="1">
      <x:c r="A4921" s="2" t="n">
        <x:v>4915</x:v>
      </x:c>
      <x:c r="B4921" s="79" t="n">
        <x:v>0.9907519079493481</x:v>
      </x:c>
      <x:c r="C4921" s="46" t="n">
        <x:f>B4921^2</x:f>
        <x:v>0.9815893431052735</x:v>
      </x:c>
      <x:c r="D4921" s="47" t="n">
        <x:f>'Datos'!$B$26^3/3</x:f>
        <x:v>0.3333333333333333</x:v>
      </x:c>
      <x:c r="E4921" s="46" t="n">
        <x:f>D4921*(C4921-1)</x:f>
        <x:v>-0.006136885631575513</x:v>
      </x:c>
      <x:c r="F4921" s="2"/>
      <x:c r="G4921" s="2"/>
      <x:c r="H4921" s="2"/>
    </x:row>
    <x:row r="4922" ht="22" customHeight="1">
      <x:c r="A4922" s="2" t="n">
        <x:v>4916</x:v>
      </x:c>
      <x:c r="B4922" s="79" t="n">
        <x:v>-1.5248694899322395</x:v>
      </x:c>
      <x:c r="C4922" s="46" t="n">
        <x:f>B4922^2</x:f>
        <x:v>2.325226961326208</x:v>
      </x:c>
      <x:c r="D4922" s="47" t="n">
        <x:f>'Datos'!$B$26^3/3</x:f>
        <x:v>0.3333333333333333</x:v>
      </x:c>
      <x:c r="E4922" s="46" t="n">
        <x:f>D4922*(C4922-1)</x:f>
        <x:v>0.4417423204420694</x:v>
      </x:c>
      <x:c r="F4922" s="2"/>
      <x:c r="G4922" s="2"/>
      <x:c r="H4922" s="2"/>
    </x:row>
    <x:row r="4923" ht="22" customHeight="1">
      <x:c r="A4923" s="2" t="n">
        <x:v>4917</x:v>
      </x:c>
      <x:c r="B4923" s="79" t="n">
        <x:v>-0.12401360958578951</x:v>
      </x:c>
      <x:c r="C4923" s="46" t="n">
        <x:f>B4923^2</x:f>
        <x:v>0.015379375362496624</x:v>
      </x:c>
      <x:c r="D4923" s="47" t="n">
        <x:f>'Datos'!$B$26^3/3</x:f>
        <x:v>0.3333333333333333</x:v>
      </x:c>
      <x:c r="E4923" s="46" t="n">
        <x:f>D4923*(C4923-1)</x:f>
        <x:v>-0.3282068748791678</x:v>
      </x:c>
      <x:c r="F4923" s="2"/>
      <x:c r="G4923" s="2"/>
      <x:c r="H4923" s="2"/>
    </x:row>
    <x:row r="4924" ht="22" customHeight="1">
      <x:c r="A4924" s="2" t="n">
        <x:v>4918</x:v>
      </x:c>
      <x:c r="B4924" s="79" t="n">
        <x:v>-0.11381719237263918</x:v>
      </x:c>
      <x:c r="C4924" s="46" t="n">
        <x:f>B4924^2</x:f>
        <x:v>0.012954353279590354</x:v>
      </x:c>
      <x:c r="D4924" s="47" t="n">
        <x:f>'Datos'!$B$26^3/3</x:f>
        <x:v>0.3333333333333333</x:v>
      </x:c>
      <x:c r="E4924" s="46" t="n">
        <x:f>D4924*(C4924-1)</x:f>
        <x:v>-0.32901521557346985</x:v>
      </x:c>
      <x:c r="F4924" s="2"/>
      <x:c r="G4924" s="2"/>
      <x:c r="H4924" s="2"/>
    </x:row>
    <x:row r="4925" ht="22" customHeight="1">
      <x:c r="A4925" s="2" t="n">
        <x:v>4919</x:v>
      </x:c>
      <x:c r="B4925" s="79" t="n">
        <x:v>1.4173694217821111</x:v>
      </x:c>
      <x:c r="C4925" s="46" t="n">
        <x:f>B4925^2</x:f>
        <x:v>2.008936077802956</x:v>
      </x:c>
      <x:c r="D4925" s="47" t="n">
        <x:f>'Datos'!$B$26^3/3</x:f>
        <x:v>0.3333333333333333</x:v>
      </x:c>
      <x:c r="E4925" s="46" t="n">
        <x:f>D4925*(C4925-1)</x:f>
        <x:v>0.33631202593431864</x:v>
      </x:c>
      <x:c r="F4925" s="2"/>
      <x:c r="G4925" s="2"/>
      <x:c r="H4925" s="2"/>
    </x:row>
    <x:row r="4926" ht="22" customHeight="1">
      <x:c r="A4926" s="2" t="n">
        <x:v>4920</x:v>
      </x:c>
      <x:c r="B4926" s="79" t="n">
        <x:v>0.2876757570160128</x:v>
      </x:c>
      <x:c r="C4926" s="46" t="n">
        <x:f>B4926^2</x:f>
        <x:v>0.08275734117473603</x:v>
      </x:c>
      <x:c r="D4926" s="47" t="n">
        <x:f>'Datos'!$B$26^3/3</x:f>
        <x:v>0.3333333333333333</x:v>
      </x:c>
      <x:c r="E4926" s="46" t="n">
        <x:f>D4926*(C4926-1)</x:f>
        <x:v>-0.30574755294175465</x:v>
      </x:c>
      <x:c r="F4926" s="2"/>
      <x:c r="G4926" s="2"/>
      <x:c r="H4926" s="2"/>
    </x:row>
    <x:row r="4927" ht="22" customHeight="1">
      <x:c r="A4927" s="2" t="n">
        <x:v>4921</x:v>
      </x:c>
      <x:c r="B4927" s="79" t="n">
        <x:v>0.006707400098231211</x:v>
      </x:c>
      <x:c r="C4927" s="46" t="n">
        <x:f>B4927^2</x:f>
        <x:v>0.00004498921607775206</x:v>
      </x:c>
      <x:c r="D4927" s="47" t="n">
        <x:f>'Datos'!$B$26^3/3</x:f>
        <x:v>0.3333333333333333</x:v>
      </x:c>
      <x:c r="E4927" s="46" t="n">
        <x:f>D4927*(C4927-1)</x:f>
        <x:v>-0.3333183369279741</x:v>
      </x:c>
      <x:c r="F4927" s="2"/>
      <x:c r="G4927" s="2"/>
      <x:c r="H4927" s="2"/>
    </x:row>
    <x:row r="4928" ht="22" customHeight="1">
      <x:c r="A4928" s="2" t="n">
        <x:v>4922</x:v>
      </x:c>
      <x:c r="B4928" s="79" t="n">
        <x:v>-0.35174360911434194</x:v>
      </x:c>
      <x:c r="C4928" s="46" t="n">
        <x:f>B4928^2</x:f>
        <x:v>0.12372356655278298</x:v>
      </x:c>
      <x:c r="D4928" s="47" t="n">
        <x:f>'Datos'!$B$26^3/3</x:f>
        <x:v>0.3333333333333333</x:v>
      </x:c>
      <x:c r="E4928" s="46" t="n">
        <x:f>D4928*(C4928-1)</x:f>
        <x:v>-0.29209214448240567</x:v>
      </x:c>
      <x:c r="F4928" s="2"/>
      <x:c r="G4928" s="2"/>
      <x:c r="H4928" s="2"/>
    </x:row>
    <x:row r="4929" ht="22" customHeight="1">
      <x:c r="A4929" s="2" t="n">
        <x:v>4923</x:v>
      </x:c>
      <x:c r="B4929" s="79" t="n">
        <x:v>-0.1447352876420207</x:v>
      </x:c>
      <x:c r="C4929" s="46" t="n">
        <x:f>B4929^2</x:f>
        <x:v>0.02094830348881847</x:v>
      </x:c>
      <x:c r="D4929" s="47" t="n">
        <x:f>'Datos'!$B$26^3/3</x:f>
        <x:v>0.3333333333333333</x:v>
      </x:c>
      <x:c r="E4929" s="46" t="n">
        <x:f>D4929*(C4929-1)</x:f>
        <x:v>-0.32635056550372715</x:v>
      </x:c>
      <x:c r="F4929" s="2"/>
      <x:c r="G4929" s="2"/>
      <x:c r="H4929" s="2"/>
    </x:row>
    <x:row r="4930" ht="22" customHeight="1">
      <x:c r="A4930" s="2" t="n">
        <x:v>4924</x:v>
      </x:c>
      <x:c r="B4930" s="79" t="n">
        <x:v>1.33495344624053</x:v>
      </x:c>
      <x:c r="C4930" s="46" t="n">
        <x:f>B4930^2</x:f>
        <x:v>1.7821007036294674</x:v>
      </x:c>
      <x:c r="D4930" s="47" t="n">
        <x:f>'Datos'!$B$26^3/3</x:f>
        <x:v>0.3333333333333333</x:v>
      </x:c>
      <x:c r="E4930" s="46" t="n">
        <x:f>D4930*(C4930-1)</x:f>
        <x:v>0.2607002345431558</x:v>
      </x:c>
      <x:c r="F4930" s="2"/>
      <x:c r="G4930" s="2"/>
      <x:c r="H4930" s="2"/>
    </x:row>
    <x:row r="4931" ht="22" customHeight="1">
      <x:c r="A4931" s="2" t="n">
        <x:v>4925</x:v>
      </x:c>
      <x:c r="B4931" s="79" t="n">
        <x:v>1.0749987112421993</x:v>
      </x:c>
      <x:c r="C4931" s="46" t="n">
        <x:f>B4931^2</x:f>
        <x:v>1.1556222291723892</x:v>
      </x:c>
      <x:c r="D4931" s="47" t="n">
        <x:f>'Datos'!$B$26^3/3</x:f>
        <x:v>0.3333333333333333</x:v>
      </x:c>
      <x:c r="E4931" s="46" t="n">
        <x:f>D4931*(C4931-1)</x:f>
        <x:v>0.0518740763907964</x:v>
      </x:c>
      <x:c r="F4931" s="2"/>
      <x:c r="G4931" s="2"/>
      <x:c r="H4931" s="2"/>
    </x:row>
    <x:row r="4932" ht="22" customHeight="1">
      <x:c r="A4932" s="2" t="n">
        <x:v>4926</x:v>
      </x:c>
      <x:c r="B4932" s="79" t="n">
        <x:v>1.1879826006668346</x:v>
      </x:c>
      <x:c r="C4932" s="46" t="n">
        <x:f>B4932^2</x:f>
        <x:v>1.4113026594871358</x:v>
      </x:c>
      <x:c r="D4932" s="47" t="n">
        <x:f>'Datos'!$B$26^3/3</x:f>
        <x:v>0.3333333333333333</x:v>
      </x:c>
      <x:c r="E4932" s="46" t="n">
        <x:f>D4932*(C4932-1)</x:f>
        <x:v>0.13710088649571195</x:v>
      </x:c>
      <x:c r="F4932" s="2"/>
      <x:c r="G4932" s="2"/>
      <x:c r="H4932" s="2"/>
    </x:row>
    <x:row r="4933" ht="22" customHeight="1">
      <x:c r="A4933" s="2" t="n">
        <x:v>4927</x:v>
      </x:c>
      <x:c r="B4933" s="79" t="n">
        <x:v>-1.201774715311079</x:v>
      </x:c>
      <x:c r="C4933" s="46" t="n">
        <x:f>B4933^2</x:f>
        <x:v>1.4442624663610248</x:v>
      </x:c>
      <x:c r="D4933" s="47" t="n">
        <x:f>'Datos'!$B$26^3/3</x:f>
        <x:v>0.3333333333333333</x:v>
      </x:c>
      <x:c r="E4933" s="46" t="n">
        <x:f>D4933*(C4933-1)</x:f>
        <x:v>0.14808748878700828</x:v>
      </x:c>
      <x:c r="F4933" s="2"/>
      <x:c r="G4933" s="2"/>
      <x:c r="H4933" s="2"/>
    </x:row>
    <x:row r="4934" ht="22" customHeight="1">
      <x:c r="A4934" s="2" t="n">
        <x:v>4928</x:v>
      </x:c>
      <x:c r="B4934" s="79" t="n">
        <x:v>-0.3861332663983516</x:v>
      </x:c>
      <x:c r="C4934" s="46" t="n">
        <x:f>B4934^2</x:f>
        <x:v>0.14909889941946036</x:v>
      </x:c>
      <x:c r="D4934" s="47" t="n">
        <x:f>'Datos'!$B$26^3/3</x:f>
        <x:v>0.3333333333333333</x:v>
      </x:c>
      <x:c r="E4934" s="46" t="n">
        <x:f>D4934*(C4934-1)</x:f>
        <x:v>-0.2836337001935132</x:v>
      </x:c>
      <x:c r="F4934" s="2"/>
      <x:c r="G4934" s="2"/>
      <x:c r="H4934" s="2"/>
    </x:row>
    <x:row r="4935" ht="22" customHeight="1">
      <x:c r="A4935" s="2" t="n">
        <x:v>4929</x:v>
      </x:c>
      <x:c r="B4935" s="79" t="n">
        <x:v>1.552544723634145</x:v>
      </x:c>
      <x:c r="C4935" s="46" t="n">
        <x:f>B4935^2</x:f>
        <x:v>2.4103951188842236</x:v>
      </x:c>
      <x:c r="D4935" s="47" t="n">
        <x:f>'Datos'!$B$26^3/3</x:f>
        <x:v>0.3333333333333333</x:v>
      </x:c>
      <x:c r="E4935" s="46" t="n">
        <x:f>D4935*(C4935-1)</x:f>
        <x:v>0.4701317062947412</x:v>
      </x:c>
      <x:c r="F4935" s="2"/>
      <x:c r="G4935" s="2"/>
      <x:c r="H4935" s="2"/>
    </x:row>
    <x:row r="4936" ht="22" customHeight="1">
      <x:c r="A4936" s="2" t="n">
        <x:v>4930</x:v>
      </x:c>
      <x:c r="B4936" s="79" t="n">
        <x:v>0.3499172553023812</x:v>
      </x:c>
      <x:c r="C4936" s="46" t="n">
        <x:f>B4936^2</x:f>
        <x:v>0.12244208555835183</x:v>
      </x:c>
      <x:c r="D4936" s="47" t="n">
        <x:f>'Datos'!$B$26^3/3</x:f>
        <x:v>0.3333333333333333</x:v>
      </x:c>
      <x:c r="E4936" s="46" t="n">
        <x:f>D4936*(C4936-1)</x:f>
        <x:v>-0.2925193048138827</x:v>
      </x:c>
      <x:c r="F4936" s="2"/>
      <x:c r="G4936" s="2"/>
      <x:c r="H4936" s="2"/>
    </x:row>
    <x:row r="4937" ht="22" customHeight="1">
      <x:c r="A4937" s="2" t="n">
        <x:v>4931</x:v>
      </x:c>
      <x:c r="B4937" s="79" t="n">
        <x:v>0.6314934397095903</x:v>
      </x:c>
      <x:c r="C4937" s="46" t="n">
        <x:f>B4937^2</x:f>
        <x:v>0.3987839643962499</x:v>
      </x:c>
      <x:c r="D4937" s="47" t="n">
        <x:f>'Datos'!$B$26^3/3</x:f>
        <x:v>0.3333333333333333</x:v>
      </x:c>
      <x:c r="E4937" s="46" t="n">
        <x:f>D4937*(C4937-1)</x:f>
        <x:v>-0.20040534520125003</x:v>
      </x:c>
      <x:c r="F4937" s="2"/>
      <x:c r="G4937" s="2"/>
      <x:c r="H4937" s="2"/>
    </x:row>
    <x:row r="4938" ht="22" customHeight="1">
      <x:c r="A4938" s="2" t="n">
        <x:v>4932</x:v>
      </x:c>
      <x:c r="B4938" s="79" t="n">
        <x:v>0.09351975750793957</x:v>
      </x:c>
      <x:c r="C4938" s="46" t="n">
        <x:f>B4938^2</x:f>
        <x:v>0.00874594504434382</x:v>
      </x:c>
      <x:c r="D4938" s="47" t="n">
        <x:f>'Datos'!$B$26^3/3</x:f>
        <x:v>0.3333333333333333</x:v>
      </x:c>
      <x:c r="E4938" s="46" t="n">
        <x:f>D4938*(C4938-1)</x:f>
        <x:v>-0.33041801831855205</x:v>
      </x:c>
      <x:c r="F4938" s="2"/>
      <x:c r="G4938" s="2"/>
      <x:c r="H4938" s="2"/>
    </x:row>
    <x:row r="4939" ht="22" customHeight="1">
      <x:c r="A4939" s="2" t="n">
        <x:v>4933</x:v>
      </x:c>
      <x:c r="B4939" s="79" t="n">
        <x:v>-1.5536846779480245</x:v>
      </x:c>
      <x:c r="C4939" s="46" t="n">
        <x:f>B4939^2</x:f>
        <x:v>2.4139360784904564</x:v>
      </x:c>
      <x:c r="D4939" s="47" t="n">
        <x:f>'Datos'!$B$26^3/3</x:f>
        <x:v>0.3333333333333333</x:v>
      </x:c>
      <x:c r="E4939" s="46" t="n">
        <x:f>D4939*(C4939-1)</x:f>
        <x:v>0.47131202616348544</x:v>
      </x:c>
      <x:c r="F4939" s="2"/>
      <x:c r="G4939" s="2"/>
      <x:c r="H4939" s="2"/>
    </x:row>
    <x:row r="4940" ht="22" customHeight="1">
      <x:c r="A4940" s="2" t="n">
        <x:v>4934</x:v>
      </x:c>
      <x:c r="B4940" s="79" t="n">
        <x:v>-1.0437300527357705</x:v>
      </x:c>
      <x:c r="C4940" s="46" t="n">
        <x:f>B4940^2</x:f>
        <x:v>1.0893724229838142</x:v>
      </x:c>
      <x:c r="D4940" s="47" t="n">
        <x:f>'Datos'!$B$26^3/3</x:f>
        <x:v>0.3333333333333333</x:v>
      </x:c>
      <x:c r="E4940" s="46" t="n">
        <x:f>D4940*(C4940-1)</x:f>
        <x:v>0.0297908076612714</x:v>
      </x:c>
      <x:c r="F4940" s="2"/>
      <x:c r="G4940" s="2"/>
      <x:c r="H4940" s="2"/>
    </x:row>
    <x:row r="4941" ht="22" customHeight="1">
      <x:c r="A4941" s="2" t="n">
        <x:v>4935</x:v>
      </x:c>
      <x:c r="B4941" s="79" t="n">
        <x:v>0.39137892251597467</x:v>
      </x:c>
      <x:c r="C4941" s="46" t="n">
        <x:f>B4941^2</x:f>
        <x:v>0.1531774609897653</x:v>
      </x:c>
      <x:c r="D4941" s="47" t="n">
        <x:f>'Datos'!$B$26^3/3</x:f>
        <x:v>0.3333333333333333</x:v>
      </x:c>
      <x:c r="E4941" s="46" t="n">
        <x:f>D4941*(C4941-1)</x:f>
        <x:v>-0.2822741796700782</x:v>
      </x:c>
      <x:c r="F4941" s="2"/>
      <x:c r="G4941" s="2"/>
      <x:c r="H4941" s="2"/>
    </x:row>
    <x:row r="4942" ht="22" customHeight="1">
      <x:c r="A4942" s="2" t="n">
        <x:v>4936</x:v>
      </x:c>
      <x:c r="B4942" s="79" t="n">
        <x:v>-0.9148134583213964</x:v>
      </x:c>
      <x:c r="C4942" s="46" t="n">
        <x:f>B4942^2</x:f>
        <x:v>0.8368836635259532</x:v>
      </x:c>
      <x:c r="D4942" s="47" t="n">
        <x:f>'Datos'!$B$26^3/3</x:f>
        <x:v>0.3333333333333333</x:v>
      </x:c>
      <x:c r="E4942" s="46" t="n">
        <x:f>D4942*(C4942-1)</x:f>
        <x:v>-0.05437211215801559</x:v>
      </x:c>
      <x:c r="F4942" s="2"/>
      <x:c r="G4942" s="2"/>
      <x:c r="H4942" s="2"/>
    </x:row>
    <x:row r="4943" ht="22" customHeight="1">
      <x:c r="A4943" s="2" t="n">
        <x:v>4937</x:v>
      </x:c>
      <x:c r="B4943" s="79" t="n">
        <x:v>0.19338062649834803</x:v>
      </x:c>
      <x:c r="C4943" s="46" t="n">
        <x:f>B4943^2</x:f>
        <x:v>0.03739606670489359</x:v>
      </x:c>
      <x:c r="D4943" s="47" t="n">
        <x:f>'Datos'!$B$26^3/3</x:f>
        <x:v>0.3333333333333333</x:v>
      </x:c>
      <x:c r="E4943" s="46" t="n">
        <x:f>D4943*(C4943-1)</x:f>
        <x:v>-0.32086797776503545</x:v>
      </x:c>
      <x:c r="F4943" s="2"/>
      <x:c r="G4943" s="2"/>
      <x:c r="H4943" s="2"/>
    </x:row>
    <x:row r="4944" ht="22" customHeight="1">
      <x:c r="A4944" s="2" t="n">
        <x:v>4938</x:v>
      </x:c>
      <x:c r="B4944" s="79" t="n">
        <x:v>0.06651315447561787</x:v>
      </x:c>
      <x:c r="C4944" s="46" t="n">
        <x:f>B4944^2</x:f>
        <x:v>0.004423999718297406</x:v>
      </x:c>
      <x:c r="D4944" s="47" t="n">
        <x:f>'Datos'!$B$26^3/3</x:f>
        <x:v>0.3333333333333333</x:v>
      </x:c>
      <x:c r="E4944" s="46" t="n">
        <x:f>D4944*(C4944-1)</x:f>
        <x:v>-0.3318586667605675</x:v>
      </x:c>
      <x:c r="F4944" s="2"/>
      <x:c r="G4944" s="2"/>
      <x:c r="H4944" s="2"/>
    </x:row>
    <x:row r="4945" ht="22" customHeight="1">
      <x:c r="A4945" s="2" t="n">
        <x:v>4939</x:v>
      </x:c>
      <x:c r="B4945" s="79" t="n">
        <x:v>0.04132327992108211</x:v>
      </x:c>
      <x:c r="C4945" s="46" t="n">
        <x:f>B4945^2</x:f>
        <x:v>0.001707613463436108</x:v>
      </x:c>
      <x:c r="D4945" s="47" t="n">
        <x:f>'Datos'!$B$26^3/3</x:f>
        <x:v>0.3333333333333333</x:v>
      </x:c>
      <x:c r="E4945" s="46" t="n">
        <x:f>D4945*(C4945-1)</x:f>
        <x:v>-0.3327641288455213</x:v>
      </x:c>
      <x:c r="F4945" s="2"/>
      <x:c r="G4945" s="2"/>
      <x:c r="H4945" s="2"/>
    </x:row>
    <x:row r="4946" ht="22" customHeight="1">
      <x:c r="A4946" s="2" t="n">
        <x:v>4940</x:v>
      </x:c>
      <x:c r="B4946" s="79" t="n">
        <x:v>-0.7113739323120878</x:v>
      </x:c>
      <x:c r="C4946" s="46" t="n">
        <x:f>B4946^2</x:f>
        <x:v>0.5060528715731628</x:v>
      </x:c>
      <x:c r="D4946" s="47" t="n">
        <x:f>'Datos'!$B$26^3/3</x:f>
        <x:v>0.3333333333333333</x:v>
      </x:c>
      <x:c r="E4946" s="46" t="n">
        <x:f>D4946*(C4946-1)</x:f>
        <x:v>-0.1646490428089457</x:v>
      </x:c>
      <x:c r="F4946" s="2"/>
      <x:c r="G4946" s="2"/>
      <x:c r="H4946" s="2"/>
    </x:row>
    <x:row r="4947" ht="22" customHeight="1">
      <x:c r="A4947" s="2" t="n">
        <x:v>4941</x:v>
      </x:c>
      <x:c r="B4947" s="79" t="n">
        <x:v>0.4742787083545162</x:v>
      </x:c>
      <x:c r="C4947" s="46" t="n">
        <x:f>B4947^2</x:f>
        <x:v>0.22494029319842823</x:v>
      </x:c>
      <x:c r="D4947" s="47" t="n">
        <x:f>'Datos'!$B$26^3/3</x:f>
        <x:v>0.3333333333333333</x:v>
      </x:c>
      <x:c r="E4947" s="46" t="n">
        <x:f>D4947*(C4947-1)</x:f>
        <x:v>-0.2583532356005239</x:v>
      </x:c>
      <x:c r="F4947" s="2"/>
      <x:c r="G4947" s="2"/>
      <x:c r="H4947" s="2"/>
    </x:row>
    <x:row r="4948" ht="22" customHeight="1">
      <x:c r="A4948" s="2" t="n">
        <x:v>4942</x:v>
      </x:c>
      <x:c r="B4948" s="79" t="n">
        <x:v>-0.37064828072695066</x:v>
      </x:c>
      <x:c r="C4948" s="46" t="n">
        <x:f>B4948^2</x:f>
        <x:v>0.13738014800584442</x:v>
      </x:c>
      <x:c r="D4948" s="47" t="n">
        <x:f>'Datos'!$B$26^3/3</x:f>
        <x:v>0.3333333333333333</x:v>
      </x:c>
      <x:c r="E4948" s="46" t="n">
        <x:f>D4948*(C4948-1)</x:f>
        <x:v>-0.2875399506647185</x:v>
      </x:c>
      <x:c r="F4948" s="2"/>
      <x:c r="G4948" s="2"/>
      <x:c r="H4948" s="2"/>
    </x:row>
    <x:row r="4949" ht="22" customHeight="1">
      <x:c r="A4949" s="2" t="n">
        <x:v>4943</x:v>
      </x:c>
      <x:c r="B4949" s="79" t="n">
        <x:v>1.316489242247399</x:v>
      </x:c>
      <x:c r="C4949" s="46" t="n">
        <x:f>B4949^2</x:f>
        <x:v>1.7331439249531309</x:v>
      </x:c>
      <x:c r="D4949" s="47" t="n">
        <x:f>'Datos'!$B$26^3/3</x:f>
        <x:v>0.3333333333333333</x:v>
      </x:c>
      <x:c r="E4949" s="46" t="n">
        <x:f>D4949*(C4949-1)</x:f>
        <x:v>0.24438130831771027</x:v>
      </x:c>
      <x:c r="F4949" s="2"/>
      <x:c r="G4949" s="2"/>
      <x:c r="H4949" s="2"/>
    </x:row>
    <x:row r="4950" ht="22" customHeight="1">
      <x:c r="A4950" s="2" t="n">
        <x:v>4944</x:v>
      </x:c>
      <x:c r="B4950" s="79" t="n">
        <x:v>1.4191396349506906</x:v>
      </x:c>
      <x:c r="C4950" s="46" t="n">
        <x:f>B4950^2</x:f>
        <x:v>2.0139573034879796</x:v>
      </x:c>
      <x:c r="D4950" s="47" t="n">
        <x:f>'Datos'!$B$26^3/3</x:f>
        <x:v>0.3333333333333333</x:v>
      </x:c>
      <x:c r="E4950" s="46" t="n">
        <x:f>D4950*(C4950-1)</x:f>
        <x:v>0.33798576782932654</x:v>
      </x:c>
      <x:c r="F4950" s="2"/>
      <x:c r="G4950" s="2"/>
      <x:c r="H4950" s="2"/>
    </x:row>
    <x:row r="4951" ht="22" customHeight="1">
      <x:c r="A4951" s="2" t="n">
        <x:v>4945</x:v>
      </x:c>
      <x:c r="B4951" s="79" t="n">
        <x:v>-1.569021971403205</x:v>
      </x:c>
      <x:c r="C4951" s="46" t="n">
        <x:f>B4951^2</x:f>
        <x:v>2.4618299467459996</x:v>
      </x:c>
      <x:c r="D4951" s="47" t="n">
        <x:f>'Datos'!$B$26^3/3</x:f>
        <x:v>0.3333333333333333</x:v>
      </x:c>
      <x:c r="E4951" s="46" t="n">
        <x:f>D4951*(C4951-1)</x:f>
        <x:v>0.4872766489153332</x:v>
      </x:c>
      <x:c r="F4951" s="2"/>
      <x:c r="G4951" s="2"/>
      <x:c r="H4951" s="2"/>
    </x:row>
    <x:row r="4952" ht="22" customHeight="1">
      <x:c r="A4952" s="2" t="n">
        <x:v>4946</x:v>
      </x:c>
      <x:c r="B4952" s="79" t="n">
        <x:v>-0.42177779174979324</x:v>
      </x:c>
      <x:c r="C4952" s="46" t="n">
        <x:f>B4952^2</x:f>
        <x:v>0.17789650561333195</x:v>
      </x:c>
      <x:c r="D4952" s="47" t="n">
        <x:f>'Datos'!$B$26^3/3</x:f>
        <x:v>0.3333333333333333</x:v>
      </x:c>
      <x:c r="E4952" s="46" t="n">
        <x:f>D4952*(C4952-1)</x:f>
        <x:v>-0.27403449812888936</x:v>
      </x:c>
      <x:c r="F4952" s="2"/>
      <x:c r="G4952" s="2"/>
      <x:c r="H4952" s="2"/>
    </x:row>
    <x:row r="4953" ht="22" customHeight="1">
      <x:c r="A4953" s="2" t="n">
        <x:v>4947</x:v>
      </x:c>
      <x:c r="B4953" s="79" t="n">
        <x:v>2.382816769103242</x:v>
      </x:c>
      <x:c r="C4953" s="46" t="n">
        <x:f>B4953^2</x:f>
        <x:v>5.677815755119613</x:v>
      </x:c>
      <x:c r="D4953" s="47" t="n">
        <x:f>'Datos'!$B$26^3/3</x:f>
        <x:v>0.3333333333333333</x:v>
      </x:c>
      <x:c r="E4953" s="46" t="n">
        <x:f>D4953*(C4953-1)</x:f>
        <x:v>1.5592719183732042</x:v>
      </x:c>
      <x:c r="F4953" s="2"/>
      <x:c r="G4953" s="2"/>
      <x:c r="H4953" s="2"/>
    </x:row>
    <x:row r="4954" ht="22" customHeight="1">
      <x:c r="A4954" s="2" t="n">
        <x:v>4948</x:v>
      </x:c>
      <x:c r="B4954" s="79" t="n">
        <x:v>-0.5746529388488119</x:v>
      </x:c>
      <x:c r="C4954" s="46" t="n">
        <x:f>B4954^2</x:f>
        <x:v>0.3302260001275763</x:v>
      </x:c>
      <x:c r="D4954" s="47" t="n">
        <x:f>'Datos'!$B$26^3/3</x:f>
        <x:v>0.3333333333333333</x:v>
      </x:c>
      <x:c r="E4954" s="46" t="n">
        <x:f>D4954*(C4954-1)</x:f>
        <x:v>-0.22325799995747456</x:v>
      </x:c>
      <x:c r="F4954" s="2"/>
      <x:c r="G4954" s="2"/>
      <x:c r="H4954" s="2"/>
    </x:row>
    <x:row r="4955" ht="22" customHeight="1">
      <x:c r="A4955" s="2" t="n">
        <x:v>4949</x:v>
      </x:c>
      <x:c r="B4955" s="79" t="n">
        <x:v>1.5419377966056589</x:v>
      </x:c>
      <x:c r="C4955" s="46" t="n">
        <x:f>B4955^2</x:f>
        <x:v>2.377572168601114</x:v>
      </x:c>
      <x:c r="D4955" s="47" t="n">
        <x:f>'Datos'!$B$26^3/3</x:f>
        <x:v>0.3333333333333333</x:v>
      </x:c>
      <x:c r="E4955" s="46" t="n">
        <x:f>D4955*(C4955-1)</x:f>
        <x:v>0.45919072286703805</x:v>
      </x:c>
      <x:c r="F4955" s="2"/>
      <x:c r="G4955" s="2"/>
      <x:c r="H4955" s="2"/>
    </x:row>
    <x:row r="4956" ht="22" customHeight="1">
      <x:c r="A4956" s="2" t="n">
        <x:v>4950</x:v>
      </x:c>
      <x:c r="B4956" s="79" t="n">
        <x:v>-1.2514660842805723</x:v>
      </x:c>
      <x:c r="C4956" s="46" t="n">
        <x:f>B4956^2</x:f>
        <x:v>1.5661673601045485</x:v>
      </x:c>
      <x:c r="D4956" s="47" t="n">
        <x:f>'Datos'!$B$26^3/3</x:f>
        <x:v>0.3333333333333333</x:v>
      </x:c>
      <x:c r="E4956" s="46" t="n">
        <x:f>D4956*(C4956-1)</x:f>
        <x:v>0.18872245336818283</x:v>
      </x:c>
      <x:c r="F4956" s="2"/>
      <x:c r="G4956" s="2"/>
      <x:c r="H4956" s="2"/>
    </x:row>
    <x:row r="4957" ht="22" customHeight="1">
      <x:c r="A4957" s="2" t="n">
        <x:v>4951</x:v>
      </x:c>
      <x:c r="B4957" s="79" t="n">
        <x:v>2.2122384487184172</x:v>
      </x:c>
      <x:c r="C4957" s="46" t="n">
        <x:f>B4957^2</x:f>
        <x:v>4.893998953988069</x:v>
      </x:c>
      <x:c r="D4957" s="47" t="n">
        <x:f>'Datos'!$B$26^3/3</x:f>
        <x:v>0.3333333333333333</x:v>
      </x:c>
      <x:c r="E4957" s="46" t="n">
        <x:f>D4957*(C4957-1)</x:f>
        <x:v>1.2979996513293561</x:v>
      </x:c>
      <x:c r="F4957" s="2"/>
      <x:c r="G4957" s="2"/>
      <x:c r="H4957" s="2"/>
    </x:row>
    <x:row r="4958" ht="22" customHeight="1">
      <x:c r="A4958" s="2" t="n">
        <x:v>4952</x:v>
      </x:c>
      <x:c r="B4958" s="79" t="n">
        <x:v>0.07859768846878187</x:v>
      </x:c>
      <x:c r="C4958" s="46" t="n">
        <x:f>B4958^2</x:f>
        <x:v>0.006177596632635687</x:v>
      </x:c>
      <x:c r="D4958" s="47" t="n">
        <x:f>'Datos'!$B$26^3/3</x:f>
        <x:v>0.3333333333333333</x:v>
      </x:c>
      <x:c r="E4958" s="46" t="n">
        <x:f>D4958*(C4958-1)</x:f>
        <x:v>-0.33127413445578807</x:v>
      </x:c>
      <x:c r="F4958" s="2"/>
      <x:c r="G4958" s="2"/>
      <x:c r="H4958" s="2"/>
    </x:row>
    <x:row r="4959" ht="22" customHeight="1">
      <x:c r="A4959" s="2" t="n">
        <x:v>4953</x:v>
      </x:c>
      <x:c r="B4959" s="79" t="n">
        <x:v>-0.2703796279918545</x:v>
      </x:c>
      <x:c r="C4959" s="46" t="n">
        <x:f>B4959^2</x:f>
        <x:v>0.07310514323301363</x:v>
      </x:c>
      <x:c r="D4959" s="47" t="n">
        <x:f>'Datos'!$B$26^3/3</x:f>
        <x:v>0.3333333333333333</x:v>
      </x:c>
      <x:c r="E4959" s="46" t="n">
        <x:f>D4959*(C4959-1)</x:f>
        <x:v>-0.3089649522556621</x:v>
      </x:c>
      <x:c r="F4959" s="2"/>
      <x:c r="G4959" s="2"/>
      <x:c r="H4959" s="2"/>
    </x:row>
    <x:row r="4960" ht="22" customHeight="1">
      <x:c r="A4960" s="2" t="n">
        <x:v>4954</x:v>
      </x:c>
      <x:c r="B4960" s="79" t="n">
        <x:v>0.8881209537735781</x:v>
      </x:c>
      <x:c r="C4960" s="46" t="n">
        <x:f>B4960^2</x:f>
        <x:v>0.7887588285316901</x:v>
      </x:c>
      <x:c r="D4960" s="47" t="n">
        <x:f>'Datos'!$B$26^3/3</x:f>
        <x:v>0.3333333333333333</x:v>
      </x:c>
      <x:c r="E4960" s="46" t="n">
        <x:f>D4960*(C4960-1)</x:f>
        <x:v>-0.07041372382276996</x:v>
      </x:c>
      <x:c r="F4960" s="2"/>
      <x:c r="G4960" s="2"/>
      <x:c r="H4960" s="2"/>
    </x:row>
    <x:row r="4961" ht="22" customHeight="1">
      <x:c r="A4961" s="2" t="n">
        <x:v>4955</x:v>
      </x:c>
      <x:c r="B4961" s="79" t="n">
        <x:v>1.1644469267243187</x:v>
      </x:c>
      <x:c r="C4961" s="46" t="n">
        <x:f>B4961^2</x:f>
        <x:v>1.3559366451577108</x:v>
      </x:c>
      <x:c r="D4961" s="47" t="n">
        <x:f>'Datos'!$B$26^3/3</x:f>
        <x:v>0.3333333333333333</x:v>
      </x:c>
      <x:c r="E4961" s="46" t="n">
        <x:f>D4961*(C4961-1)</x:f>
        <x:v>0.1186455483859036</x:v>
      </x:c>
      <x:c r="F4961" s="2"/>
      <x:c r="G4961" s="2"/>
      <x:c r="H4961" s="2"/>
    </x:row>
    <x:row r="4962" ht="22" customHeight="1">
      <x:c r="A4962" s="2" t="n">
        <x:v>4956</x:v>
      </x:c>
      <x:c r="B4962" s="79" t="n">
        <x:v>-0.3481213989619653</x:v>
      </x:c>
      <x:c r="C4962" s="46" t="n">
        <x:f>B4962^2</x:f>
        <x:v>0.12118850841523582</x:v>
      </x:c>
      <x:c r="D4962" s="47" t="n">
        <x:f>'Datos'!$B$26^3/3</x:f>
        <x:v>0.3333333333333333</x:v>
      </x:c>
      <x:c r="E4962" s="46" t="n">
        <x:f>D4962*(C4962-1)</x:f>
        <x:v>-0.2929371638615881</x:v>
      </x:c>
      <x:c r="F4962" s="2"/>
      <x:c r="G4962" s="2"/>
      <x:c r="H4962" s="2"/>
    </x:row>
    <x:row r="4963" ht="22" customHeight="1">
      <x:c r="A4963" s="2" t="n">
        <x:v>4957</x:v>
      </x:c>
      <x:c r="B4963" s="79" t="n">
        <x:v>1.2084796905189854</x:v>
      </x:c>
      <x:c r="C4963" s="46" t="n">
        <x:f>B4963^2</x:f>
        <x:v>1.4604231623968627</x:v>
      </x:c>
      <x:c r="D4963" s="47" t="n">
        <x:f>'Datos'!$B$26^3/3</x:f>
        <x:v>0.3333333333333333</x:v>
      </x:c>
      <x:c r="E4963" s="46" t="n">
        <x:f>D4963*(C4963-1)</x:f>
        <x:v>0.15347438746562087</x:v>
      </x:c>
      <x:c r="F4963" s="2"/>
      <x:c r="G4963" s="2"/>
      <x:c r="H4963" s="2"/>
    </x:row>
    <x:row r="4964" ht="22" customHeight="1">
      <x:c r="A4964" s="2" t="n">
        <x:v>4958</x:v>
      </x:c>
      <x:c r="B4964" s="79" t="n">
        <x:v>1.1605978146784697</x:v>
      </x:c>
      <x:c r="C4964" s="46" t="n">
        <x:f>B4964^2</x:f>
        <x:v>1.3469872874364395</x:v>
      </x:c>
      <x:c r="D4964" s="47" t="n">
        <x:f>'Datos'!$B$26^3/3</x:f>
        <x:v>0.3333333333333333</x:v>
      </x:c>
      <x:c r="E4964" s="46" t="n">
        <x:f>D4964*(C4964-1)</x:f>
        <x:v>0.11566242914547982</x:v>
      </x:c>
      <x:c r="F4964" s="2"/>
      <x:c r="G4964" s="2"/>
      <x:c r="H4964" s="2"/>
    </x:row>
    <x:row r="4965" ht="22" customHeight="1">
      <x:c r="A4965" s="2" t="n">
        <x:v>4959</x:v>
      </x:c>
      <x:c r="B4965" s="79" t="n">
        <x:v>0.6110916164715202</x:v>
      </x:c>
      <x:c r="C4965" s="46" t="n">
        <x:f>B4965^2</x:f>
        <x:v>0.37343296372177553</x:v>
      </x:c>
      <x:c r="D4965" s="47" t="n">
        <x:f>'Datos'!$B$26^3/3</x:f>
        <x:v>0.3333333333333333</x:v>
      </x:c>
      <x:c r="E4965" s="46" t="n">
        <x:f>D4965*(C4965-1)</x:f>
        <x:v>-0.20885567875940816</x:v>
      </x:c>
      <x:c r="F4965" s="2"/>
      <x:c r="G4965" s="2"/>
      <x:c r="H4965" s="2"/>
    </x:row>
    <x:row r="4966" ht="22" customHeight="1">
      <x:c r="A4966" s="2" t="n">
        <x:v>4960</x:v>
      </x:c>
      <x:c r="B4966" s="79" t="n">
        <x:v>-1.9663620072518624</x:v>
      </x:c>
      <x:c r="C4966" s="46" t="n">
        <x:f>B4966^2</x:f>
        <x:v>3.8665795435635735</x:v>
      </x:c>
      <x:c r="D4966" s="47" t="n">
        <x:f>'Datos'!$B$26^3/3</x:f>
        <x:v>0.3333333333333333</x:v>
      </x:c>
      <x:c r="E4966" s="46" t="n">
        <x:f>D4966*(C4966-1)</x:f>
        <x:v>0.9555265145211911</x:v>
      </x:c>
      <x:c r="F4966" s="2"/>
      <x:c r="G4966" s="2"/>
      <x:c r="H4966" s="2"/>
    </x:row>
    <x:row r="4967" ht="22" customHeight="1">
      <x:c r="A4967" s="2" t="n">
        <x:v>4961</x:v>
      </x:c>
      <x:c r="B4967" s="79" t="n">
        <x:v>0.1549272894327897</x:v>
      </x:c>
      <x:c r="C4967" s="46" t="n">
        <x:f>B4967^2</x:f>
        <x:v>0.02400246501099139</x:v>
      </x:c>
      <x:c r="D4967" s="47" t="n">
        <x:f>'Datos'!$B$26^3/3</x:f>
        <x:v>0.3333333333333333</x:v>
      </x:c>
      <x:c r="E4967" s="46" t="n">
        <x:f>D4967*(C4967-1)</x:f>
        <x:v>-0.32533251166300287</x:v>
      </x:c>
      <x:c r="F4967" s="2"/>
      <x:c r="G4967" s="2"/>
      <x:c r="H4967" s="2"/>
    </x:row>
    <x:row r="4968" ht="22" customHeight="1">
      <x:c r="A4968" s="2" t="n">
        <x:v>4962</x:v>
      </x:c>
      <x:c r="B4968" s="79" t="n">
        <x:v>1.589185552570181</x:v>
      </x:c>
      <x:c r="C4968" s="46" t="n">
        <x:f>B4968^2</x:f>
        <x:v>2.5255107204977914</x:v>
      </x:c>
      <x:c r="D4968" s="47" t="n">
        <x:f>'Datos'!$B$26^3/3</x:f>
        <x:v>0.3333333333333333</x:v>
      </x:c>
      <x:c r="E4968" s="46" t="n">
        <x:f>D4968*(C4968-1)</x:f>
        <x:v>0.5085035734992638</x:v>
      </x:c>
      <x:c r="F4968" s="2"/>
      <x:c r="G4968" s="2"/>
      <x:c r="H4968" s="2"/>
    </x:row>
    <x:row r="4969" ht="22" customHeight="1">
      <x:c r="A4969" s="2" t="n">
        <x:v>4963</x:v>
      </x:c>
      <x:c r="B4969" s="79" t="n">
        <x:v>-0.35381760010723406</x:v>
      </x:c>
      <x:c r="C4969" s="46" t="n">
        <x:f>B4969^2</x:f>
        <x:v>0.1251868941456426</x:v>
      </x:c>
      <x:c r="D4969" s="47" t="n">
        <x:f>'Datos'!$B$26^3/3</x:f>
        <x:v>0.3333333333333333</x:v>
      </x:c>
      <x:c r="E4969" s="46" t="n">
        <x:f>D4969*(C4969-1)</x:f>
        <x:v>-0.2916043686181191</x:v>
      </x:c>
      <x:c r="F4969" s="2"/>
      <x:c r="G4969" s="2"/>
      <x:c r="H4969" s="2"/>
    </x:row>
    <x:row r="4970" ht="22" customHeight="1">
      <x:c r="A4970" s="2" t="n">
        <x:v>4964</x:v>
      </x:c>
      <x:c r="B4970" s="79" t="n">
        <x:v>0.582994570473564</x:v>
      </x:c>
      <x:c r="C4970" s="46" t="n">
        <x:f>B4970^2</x:f>
        <x:v>0.33988266920165533</x:v>
      </x:c>
      <x:c r="D4970" s="47" t="n">
        <x:f>'Datos'!$B$26^3/3</x:f>
        <x:v>0.3333333333333333</x:v>
      </x:c>
      <x:c r="E4970" s="46" t="n">
        <x:f>D4970*(C4970-1)</x:f>
        <x:v>-0.2200391102661149</x:v>
      </x:c>
      <x:c r="F4970" s="2"/>
      <x:c r="G4970" s="2"/>
      <x:c r="H4970" s="2"/>
    </x:row>
    <x:row r="4971" ht="22" customHeight="1">
      <x:c r="A4971" s="2" t="n">
        <x:v>4965</x:v>
      </x:c>
      <x:c r="B4971" s="79" t="n">
        <x:v>0.563082697314487</x:v>
      </x:c>
      <x:c r="C4971" s="46" t="n">
        <x:f>B4971^2</x:f>
        <x:v>0.3170621240149582</x:v>
      </x:c>
      <x:c r="D4971" s="47" t="n">
        <x:f>'Datos'!$B$26^3/3</x:f>
        <x:v>0.3333333333333333</x:v>
      </x:c>
      <x:c r="E4971" s="46" t="n">
        <x:f>D4971*(C4971-1)</x:f>
        <x:v>-0.22764595866168058</x:v>
      </x:c>
      <x:c r="F4971" s="2"/>
      <x:c r="G4971" s="2"/>
      <x:c r="H4971" s="2"/>
    </x:row>
    <x:row r="4972" ht="22" customHeight="1">
      <x:c r="A4972" s="2" t="n">
        <x:v>4966</x:v>
      </x:c>
      <x:c r="B4972" s="79" t="n">
        <x:v>-0.8236084989973458</x:v>
      </x:c>
      <x:c r="C4972" s="46" t="n">
        <x:f>B4972^2</x:f>
        <x:v>0.6783309596206609</x:v>
      </x:c>
      <x:c r="D4972" s="47" t="n">
        <x:f>'Datos'!$B$26^3/3</x:f>
        <x:v>0.3333333333333333</x:v>
      </x:c>
      <x:c r="E4972" s="46" t="n">
        <x:f>D4972*(C4972-1)</x:f>
        <x:v>-0.10722301345977969</x:v>
      </x:c>
      <x:c r="F4972" s="2"/>
      <x:c r="G4972" s="2"/>
      <x:c r="H4972" s="2"/>
    </x:row>
    <x:row r="4973" ht="22" customHeight="1">
      <x:c r="A4973" s="2" t="n">
        <x:v>4967</x:v>
      </x:c>
      <x:c r="B4973" s="79" t="n">
        <x:v>0.9088192600275279</x:v>
      </x:c>
      <x:c r="C4973" s="46" t="n">
        <x:f>B4973^2</x:f>
        <x:v>0.8259524473969834</x:v>
      </x:c>
      <x:c r="D4973" s="47" t="n">
        <x:f>'Datos'!$B$26^3/3</x:f>
        <x:v>0.3333333333333333</x:v>
      </x:c>
      <x:c r="E4973" s="46" t="n">
        <x:f>D4973*(C4973-1)</x:f>
        <x:v>-0.058015850867672206</x:v>
      </x:c>
      <x:c r="F4973" s="2"/>
      <x:c r="G4973" s="2"/>
      <x:c r="H4973" s="2"/>
    </x:row>
    <x:row r="4974" ht="22" customHeight="1">
      <x:c r="A4974" s="2" t="n">
        <x:v>4968</x:v>
      </x:c>
      <x:c r="B4974" s="79" t="n">
        <x:v>-1.0491693732552825</x:v>
      </x:c>
      <x:c r="C4974" s="46" t="n">
        <x:f>B4974^2</x:f>
        <x:v>1.1007563737768822</x:v>
      </x:c>
      <x:c r="D4974" s="47" t="n">
        <x:f>'Datos'!$B$26^3/3</x:f>
        <x:v>0.3333333333333333</x:v>
      </x:c>
      <x:c r="E4974" s="46" t="n">
        <x:f>D4974*(C4974-1)</x:f>
        <x:v>0.03358545792562739</x:v>
      </x:c>
      <x:c r="F4974" s="2"/>
      <x:c r="G4974" s="2"/>
      <x:c r="H4974" s="2"/>
    </x:row>
    <x:row r="4975" ht="22" customHeight="1">
      <x:c r="A4975" s="2" t="n">
        <x:v>4969</x:v>
      </x:c>
      <x:c r="B4975" s="79" t="n">
        <x:v>0.12931896932824094</x:v>
      </x:c>
      <x:c r="C4975" s="46" t="n">
        <x:f>B4975^2</x:f>
        <x:v>0.01672339582811852</x:v>
      </x:c>
      <x:c r="D4975" s="47" t="n">
        <x:f>'Datos'!$B$26^3/3</x:f>
        <x:v>0.3333333333333333</x:v>
      </x:c>
      <x:c r="E4975" s="46" t="n">
        <x:f>D4975*(C4975-1)</x:f>
        <x:v>-0.3277588680572938</x:v>
      </x:c>
      <x:c r="F4975" s="2"/>
      <x:c r="G4975" s="2"/>
      <x:c r="H4975" s="2"/>
    </x:row>
    <x:row r="4976" ht="22" customHeight="1">
      <x:c r="A4976" s="2" t="n">
        <x:v>4970</x:v>
      </x:c>
      <x:c r="B4976" s="79" t="n">
        <x:v>1.0755101556630344</x:v>
      </x:c>
      <x:c r="C4976" s="46" t="n">
        <x:f>B4976^2</x:f>
        <x:v>1.1567220949343247</x:v>
      </x:c>
      <x:c r="D4976" s="47" t="n">
        <x:f>'Datos'!$B$26^3/3</x:f>
        <x:v>0.3333333333333333</x:v>
      </x:c>
      <x:c r="E4976" s="46" t="n">
        <x:f>D4976*(C4976-1)</x:f>
        <x:v>0.05224069831144155</x:v>
      </x:c>
      <x:c r="F4976" s="2"/>
      <x:c r="G4976" s="2"/>
      <x:c r="H4976" s="2"/>
    </x:row>
    <x:row r="4977" ht="22" customHeight="1">
      <x:c r="A4977" s="2" t="n">
        <x:v>4971</x:v>
      </x:c>
      <x:c r="B4977" s="79" t="n">
        <x:v>0.3600053097820261</x:v>
      </x:c>
      <x:c r="C4977" s="46" t="n">
        <x:f>B4977^2</x:f>
        <x:v>0.1296038230712526</x:v>
      </x:c>
      <x:c r="D4977" s="47" t="n">
        <x:f>'Datos'!$B$26^3/3</x:f>
        <x:v>0.3333333333333333</x:v>
      </x:c>
      <x:c r="E4977" s="46" t="n">
        <x:f>D4977*(C4977-1)</x:f>
        <x:v>-0.2901320589762491</x:v>
      </x:c>
      <x:c r="F4977" s="2"/>
      <x:c r="G4977" s="2"/>
      <x:c r="H4977" s="2"/>
    </x:row>
    <x:row r="4978" ht="22" customHeight="1">
      <x:c r="A4978" s="2" t="n">
        <x:v>4972</x:v>
      </x:c>
      <x:c r="B4978" s="79" t="n">
        <x:v>0.2937412570449</x:v>
      </x:c>
      <x:c r="C4978" s="46" t="n">
        <x:f>B4978^2</x:f>
        <x:v>0.08628392609031801</x:v>
      </x:c>
      <x:c r="D4978" s="47" t="n">
        <x:f>'Datos'!$B$26^3/3</x:f>
        <x:v>0.3333333333333333</x:v>
      </x:c>
      <x:c r="E4978" s="46" t="n">
        <x:f>D4978*(C4978-1)</x:f>
        <x:v>-0.30457202463656063</x:v>
      </x:c>
      <x:c r="F4978" s="2"/>
      <x:c r="G4978" s="2"/>
      <x:c r="H4978" s="2"/>
    </x:row>
    <x:row r="4979" ht="22" customHeight="1">
      <x:c r="A4979" s="2" t="n">
        <x:v>4973</x:v>
      </x:c>
      <x:c r="B4979" s="79" t="n">
        <x:v>0.24594685490332072</x:v>
      </x:c>
      <x:c r="C4979" s="46" t="n">
        <x:f>B4979^2</x:f>
        <x:v>0.06048985543683509</x:v>
      </x:c>
      <x:c r="D4979" s="47" t="n">
        <x:f>'Datos'!$B$26^3/3</x:f>
        <x:v>0.3333333333333333</x:v>
      </x:c>
      <x:c r="E4979" s="46" t="n">
        <x:f>D4979*(C4979-1)</x:f>
        <x:v>-0.31317004818772165</x:v>
      </x:c>
      <x:c r="F4979" s="2"/>
      <x:c r="G4979" s="2"/>
      <x:c r="H4979" s="2"/>
    </x:row>
    <x:row r="4980" ht="22" customHeight="1">
      <x:c r="A4980" s="2" t="n">
        <x:v>4974</x:v>
      </x:c>
      <x:c r="B4980" s="79" t="n">
        <x:v>-0.5711548966201431</x:v>
      </x:c>
      <x:c r="C4980" s="46" t="n">
        <x:f>B4980^2</x:f>
        <x:v>0.3262179159331663</x:v>
      </x:c>
      <x:c r="D4980" s="47" t="n">
        <x:f>'Datos'!$B$26^3/3</x:f>
        <x:v>0.3333333333333333</x:v>
      </x:c>
      <x:c r="E4980" s="46" t="n">
        <x:f>D4980*(C4980-1)</x:f>
        <x:v>-0.2245940280222779</x:v>
      </x:c>
      <x:c r="F4980" s="2"/>
      <x:c r="G4980" s="2"/>
      <x:c r="H4980" s="2"/>
    </x:row>
    <x:row r="4981" ht="22" customHeight="1">
      <x:c r="A4981" s="2" t="n">
        <x:v>4975</x:v>
      </x:c>
      <x:c r="B4981" s="79" t="n">
        <x:v>1.192396398034694</x:v>
      </x:c>
      <x:c r="C4981" s="46" t="n">
        <x:f>B4981^2</x:f>
        <x:v>1.4218091700461126</x:v>
      </x:c>
      <x:c r="D4981" s="47" t="n">
        <x:f>'Datos'!$B$26^3/3</x:f>
        <x:v>0.3333333333333333</x:v>
      </x:c>
      <x:c r="E4981" s="46" t="n">
        <x:f>D4981*(C4981-1)</x:f>
        <x:v>0.14060305668203754</x:v>
      </x:c>
      <x:c r="F4981" s="2"/>
      <x:c r="G4981" s="2"/>
      <x:c r="H4981" s="2"/>
    </x:row>
    <x:row r="4982" ht="22" customHeight="1">
      <x:c r="A4982" s="2" t="n">
        <x:v>4976</x:v>
      </x:c>
      <x:c r="B4982" s="79" t="n">
        <x:v>0.7389362623204074</x:v>
      </x:c>
      <x:c r="C4982" s="46" t="n">
        <x:f>B4982^2</x:f>
        <x:v>0.546026799772054</x:v>
      </x:c>
      <x:c r="D4982" s="47" t="n">
        <x:f>'Datos'!$B$26^3/3</x:f>
        <x:v>0.3333333333333333</x:v>
      </x:c>
      <x:c r="E4982" s="46" t="n">
        <x:f>D4982*(C4982-1)</x:f>
        <x:v>-0.15132440007598197</x:v>
      </x:c>
      <x:c r="F4982" s="2"/>
      <x:c r="G4982" s="2"/>
      <x:c r="H4982" s="2"/>
    </x:row>
    <x:row r="4983" ht="22" customHeight="1">
      <x:c r="A4983" s="2" t="n">
        <x:v>4977</x:v>
      </x:c>
      <x:c r="B4983" s="79" t="n">
        <x:v>0.7960402758101282</x:v>
      </x:c>
      <x:c r="C4983" s="46" t="n">
        <x:f>B4983^2</x:f>
        <x:v>0.6336801207118649</x:v>
      </x:c>
      <x:c r="D4983" s="47" t="n">
        <x:f>'Datos'!$B$26^3/3</x:f>
        <x:v>0.3333333333333333</x:v>
      </x:c>
      <x:c r="E4983" s="46" t="n">
        <x:f>D4983*(C4983-1)</x:f>
        <x:v>-0.12210662642937838</x:v>
      </x:c>
      <x:c r="F4983" s="2"/>
      <x:c r="G4983" s="2"/>
      <x:c r="H4983" s="2"/>
    </x:row>
    <x:row r="4984" ht="22" customHeight="1">
      <x:c r="A4984" s="2" t="n">
        <x:v>4978</x:v>
      </x:c>
      <x:c r="B4984" s="79" t="n">
        <x:v>1.1151650650031506</x:v>
      </x:c>
      <x:c r="C4984" s="46" t="n">
        <x:f>B4984^2</x:f>
        <x:v>1.243593122203481</x:v>
      </x:c>
      <x:c r="D4984" s="47" t="n">
        <x:f>'Datos'!$B$26^3/3</x:f>
        <x:v>0.3333333333333333</x:v>
      </x:c>
      <x:c r="E4984" s="46" t="n">
        <x:f>D4984*(C4984-1)</x:f>
        <x:v>0.08119770740116035</x:v>
      </x:c>
      <x:c r="F4984" s="2"/>
      <x:c r="G4984" s="2"/>
      <x:c r="H4984" s="2"/>
    </x:row>
    <x:row r="4985" ht="22" customHeight="1">
      <x:c r="A4985" s="2" t="n">
        <x:v>4979</x:v>
      </x:c>
      <x:c r="B4985" s="79" t="n">
        <x:v>-0.4394586627748377</x:v>
      </x:c>
      <x:c r="C4985" s="46" t="n">
        <x:f>B4985^2</x:f>
        <x:v>0.19312391628784853</x:v>
      </x:c>
      <x:c r="D4985" s="47" t="n">
        <x:f>'Datos'!$B$26^3/3</x:f>
        <x:v>0.3333333333333333</x:v>
      </x:c>
      <x:c r="E4985" s="46" t="n">
        <x:f>D4985*(C4985-1)</x:f>
        <x:v>-0.26895869457071714</x:v>
      </x:c>
      <x:c r="F4985" s="2"/>
      <x:c r="G4985" s="2"/>
      <x:c r="H4985" s="2"/>
    </x:row>
    <x:row r="4986" ht="22" customHeight="1">
      <x:c r="A4986" s="2" t="n">
        <x:v>4980</x:v>
      </x:c>
      <x:c r="B4986" s="79" t="n">
        <x:v>1.6065184769938388</x:v>
      </x:c>
      <x:c r="C4986" s="46" t="n">
        <x:f>B4986^2</x:f>
        <x:v>2.580901616922603</x:v>
      </x:c>
      <x:c r="D4986" s="47" t="n">
        <x:f>'Datos'!$B$26^3/3</x:f>
        <x:v>0.3333333333333333</x:v>
      </x:c>
      <x:c r="E4986" s="46" t="n">
        <x:f>D4986*(C4986-1)</x:f>
        <x:v>0.5269672056408676</x:v>
      </x:c>
      <x:c r="F4986" s="2"/>
      <x:c r="G4986" s="2"/>
      <x:c r="H4986" s="2"/>
    </x:row>
    <x:row r="4987" ht="22" customHeight="1">
      <x:c r="A4987" s="2" t="n">
        <x:v>4981</x:v>
      </x:c>
      <x:c r="B4987" s="79" t="n">
        <x:v>0.1672530438509446</x:v>
      </x:c>
      <x:c r="C4987" s="46" t="n">
        <x:f>B4987^2</x:f>
        <x:v>0.027973580677406</x:v>
      </x:c>
      <x:c r="D4987" s="47" t="n">
        <x:f>'Datos'!$B$26^3/3</x:f>
        <x:v>0.3333333333333333</x:v>
      </x:c>
      <x:c r="E4987" s="46" t="n">
        <x:f>D4987*(C4987-1)</x:f>
        <x:v>-0.32400880644086466</x:v>
      </x:c>
      <x:c r="F4987" s="2"/>
      <x:c r="G4987" s="2"/>
      <x:c r="H4987" s="2"/>
    </x:row>
    <x:row r="4988" ht="22" customHeight="1">
      <x:c r="A4988" s="2" t="n">
        <x:v>4982</x:v>
      </x:c>
      <x:c r="B4988" s="79" t="n">
        <x:v>-1.3391132833754988</x:v>
      </x:c>
      <x:c r="C4988" s="46" t="n">
        <x:f>B4988^2</x:f>
        <x:v>1.793224385712709</x:v>
      </x:c>
      <x:c r="D4988" s="47" t="n">
        <x:f>'Datos'!$B$26^3/3</x:f>
        <x:v>0.3333333333333333</x:v>
      </x:c>
      <x:c r="E4988" s="46" t="n">
        <x:f>D4988*(C4988-1)</x:f>
        <x:v>0.264408128570903</x:v>
      </x:c>
      <x:c r="F4988" s="2"/>
      <x:c r="G4988" s="2"/>
      <x:c r="H4988" s="2"/>
    </x:row>
    <x:row r="4989" ht="22" customHeight="1">
      <x:c r="A4989" s="2" t="n">
        <x:v>4983</x:v>
      </x:c>
      <x:c r="B4989" s="79" t="n">
        <x:v>-1.605917056000398</x:v>
      </x:c>
      <x:c r="C4989" s="46" t="n">
        <x:f>B4989^2</x:f>
        <x:v>2.578969590752985</x:v>
      </x:c>
      <x:c r="D4989" s="47" t="n">
        <x:f>'Datos'!$B$26^3/3</x:f>
        <x:v>0.3333333333333333</x:v>
      </x:c>
      <x:c r="E4989" s="46" t="n">
        <x:f>D4989*(C4989-1)</x:f>
        <x:v>0.5263231969176616</x:v>
      </x:c>
      <x:c r="F4989" s="2"/>
      <x:c r="G4989" s="2"/>
      <x:c r="H4989" s="2"/>
    </x:row>
    <x:row r="4990" ht="22" customHeight="1">
      <x:c r="A4990" s="2" t="n">
        <x:v>4984</x:v>
      </x:c>
      <x:c r="B4990" s="79" t="n">
        <x:v>-0.18652053334910226</x:v>
      </x:c>
      <x:c r="C4990" s="46" t="n">
        <x:f>B4990^2</x:f>
        <x:v>0.03478990936083357</x:v>
      </x:c>
      <x:c r="D4990" s="47" t="n">
        <x:f>'Datos'!$B$26^3/3</x:f>
        <x:v>0.3333333333333333</x:v>
      </x:c>
      <x:c r="E4990" s="46" t="n">
        <x:f>D4990*(C4990-1)</x:f>
        <x:v>-0.3217366968797221</x:v>
      </x:c>
      <x:c r="F4990" s="2"/>
      <x:c r="G4990" s="2"/>
      <x:c r="H4990" s="2"/>
    </x:row>
    <x:row r="4991" ht="22" customHeight="1">
      <x:c r="A4991" s="2" t="n">
        <x:v>4985</x:v>
      </x:c>
      <x:c r="B4991" s="79" t="n">
        <x:v>0.17306284019495433</x:v>
      </x:c>
      <x:c r="C4991" s="46" t="n">
        <x:f>B4991^2</x:f>
        <x:v>0.0299507466563443</x:v>
      </x:c>
      <x:c r="D4991" s="47" t="n">
        <x:f>'Datos'!$B$26^3/3</x:f>
        <x:v>0.3333333333333333</x:v>
      </x:c>
      <x:c r="E4991" s="46" t="n">
        <x:f>D4991*(C4991-1)</x:f>
        <x:v>-0.3233497511145519</x:v>
      </x:c>
      <x:c r="F4991" s="2"/>
      <x:c r="G4991" s="2"/>
      <x:c r="H4991" s="2"/>
    </x:row>
    <x:row r="4992" ht="22" customHeight="1">
      <x:c r="A4992" s="2" t="n">
        <x:v>4986</x:v>
      </x:c>
      <x:c r="B4992" s="79" t="n">
        <x:v>0.842196879745712</x:v>
      </x:c>
      <x:c r="C4992" s="46" t="n">
        <x:f>B4992^2</x:f>
        <x:v>0.7092955842534133</x:v>
      </x:c>
      <x:c r="D4992" s="47" t="n">
        <x:f>'Datos'!$B$26^3/3</x:f>
        <x:v>0.3333333333333333</x:v>
      </x:c>
      <x:c r="E4992" s="46" t="n">
        <x:f>D4992*(C4992-1)</x:f>
        <x:v>-0.09690147191552889</x:v>
      </x:c>
      <x:c r="F4992" s="2"/>
      <x:c r="G4992" s="2"/>
      <x:c r="H4992" s="2"/>
    </x:row>
    <x:row r="4993" ht="22" customHeight="1">
      <x:c r="A4993" s="2" t="n">
        <x:v>4987</x:v>
      </x:c>
      <x:c r="B4993" s="79" t="n">
        <x:v>-0.5825776934783415</x:v>
      </x:c>
      <x:c r="C4993" s="46" t="n">
        <x:f>B4993^2</x:f>
        <x:v>0.3393967689385445</x:v>
      </x:c>
      <x:c r="D4993" s="47" t="n">
        <x:f>'Datos'!$B$26^3/3</x:f>
        <x:v>0.3333333333333333</x:v>
      </x:c>
      <x:c r="E4993" s="46" t="n">
        <x:f>D4993*(C4993-1)</x:f>
        <x:v>-0.2202010770204852</x:v>
      </x:c>
      <x:c r="F4993" s="2"/>
      <x:c r="G4993" s="2"/>
      <x:c r="H4993" s="2"/>
    </x:row>
    <x:row r="4994" ht="22" customHeight="1">
      <x:c r="A4994" s="2" t="n">
        <x:v>4988</x:v>
      </x:c>
      <x:c r="B4994" s="79" t="n">
        <x:v>0.41395030430973556</x:v>
      </x:c>
      <x:c r="C4994" s="46" t="n">
        <x:f>B4994^2</x:f>
        <x:v>0.17135485443812268</x:v>
      </x:c>
      <x:c r="D4994" s="47" t="n">
        <x:f>'Datos'!$B$26^3/3</x:f>
        <x:v>0.3333333333333333</x:v>
      </x:c>
      <x:c r="E4994" s="46" t="n">
        <x:f>D4994*(C4994-1)</x:f>
        <x:v>-0.27621504852062573</x:v>
      </x:c>
      <x:c r="F4994" s="2"/>
      <x:c r="G4994" s="2"/>
      <x:c r="H4994" s="2"/>
    </x:row>
    <x:row r="4995" ht="22" customHeight="1">
      <x:c r="A4995" s="2" t="n">
        <x:v>4989</x:v>
      </x:c>
      <x:c r="B4995" s="79" t="n">
        <x:v>-0.35963282425849746</x:v>
      </x:c>
      <x:c r="C4995" s="46" t="n">
        <x:f>B4995^2</x:f>
        <x:v>0.1293357682841433</x:v>
      </x:c>
      <x:c r="D4995" s="47" t="n">
        <x:f>'Datos'!$B$26^3/3</x:f>
        <x:v>0.3333333333333333</x:v>
      </x:c>
      <x:c r="E4995" s="46" t="n">
        <x:f>D4995*(C4995-1)</x:f>
        <x:v>-0.2902214105719522</x:v>
      </x:c>
      <x:c r="F4995" s="2"/>
      <x:c r="G4995" s="2"/>
      <x:c r="H4995" s="2"/>
    </x:row>
    <x:row r="4996" ht="22" customHeight="1">
      <x:c r="A4996" s="2" t="n">
        <x:v>4990</x:v>
      </x:c>
      <x:c r="B4996" s="79" t="n">
        <x:v>0.29184302399199213</x:v>
      </x:c>
      <x:c r="C4996" s="46" t="n">
        <x:f>B4996^2</x:f>
        <x:v>0.0851723506527905</x:v>
      </x:c>
      <x:c r="D4996" s="47" t="n">
        <x:f>'Datos'!$B$26^3/3</x:f>
        <x:v>0.3333333333333333</x:v>
      </x:c>
      <x:c r="E4996" s="46" t="n">
        <x:f>D4996*(C4996-1)</x:f>
        <x:v>-0.30494254978240315</x:v>
      </x:c>
      <x:c r="F4996" s="2"/>
      <x:c r="G4996" s="2"/>
      <x:c r="H4996" s="2"/>
    </x:row>
    <x:row r="4997" ht="22" customHeight="1">
      <x:c r="A4997" s="2" t="n">
        <x:v>4991</x:v>
      </x:c>
      <x:c r="B4997" s="79" t="n">
        <x:v>-0.9264477053435503</x:v>
      </x:c>
      <x:c r="C4997" s="46" t="n">
        <x:f>B4997^2</x:f>
        <x:v>0.8583053507363297</x:v>
      </x:c>
      <x:c r="D4997" s="47" t="n">
        <x:f>'Datos'!$B$26^3/3</x:f>
        <x:v>0.3333333333333333</x:v>
      </x:c>
      <x:c r="E4997" s="46" t="n">
        <x:f>D4997*(C4997-1)</x:f>
        <x:v>-0.04723154975455675</x:v>
      </x:c>
      <x:c r="F4997" s="2"/>
      <x:c r="G4997" s="2"/>
      <x:c r="H4997" s="2"/>
    </x:row>
    <x:row r="4998" ht="22" customHeight="1">
      <x:c r="A4998" s="2" t="n">
        <x:v>4992</x:v>
      </x:c>
      <x:c r="B4998" s="79" t="n">
        <x:v>-0.18483203101123402</x:v>
      </x:c>
      <x:c r="C4998" s="46" t="n">
        <x:f>B4998^2</x:f>
        <x:v>0.03416287968773778</x:v>
      </x:c>
      <x:c r="D4998" s="47" t="n">
        <x:f>'Datos'!$B$26^3/3</x:f>
        <x:v>0.3333333333333333</x:v>
      </x:c>
      <x:c r="E4998" s="46" t="n">
        <x:f>D4998*(C4998-1)</x:f>
        <x:v>-0.32194570677075407</x:v>
      </x:c>
      <x:c r="F4998" s="2"/>
      <x:c r="G4998" s="2"/>
      <x:c r="H4998" s="2"/>
    </x:row>
    <x:row r="4999" ht="22" customHeight="1">
      <x:c r="A4999" s="2" t="n">
        <x:v>4993</x:v>
      </x:c>
      <x:c r="B4999" s="79" t="n">
        <x:v>-0.8312261086871612</x:v>
      </x:c>
      <x:c r="C4999" s="46" t="n">
        <x:f>B4999^2</x:f>
        <x:v>0.6909368437632003</x:v>
      </x:c>
      <x:c r="D4999" s="47" t="n">
        <x:f>'Datos'!$B$26^3/3</x:f>
        <x:v>0.3333333333333333</x:v>
      </x:c>
      <x:c r="E4999" s="46" t="n">
        <x:f>D4999*(C4999-1)</x:f>
        <x:v>-0.10302105207893322</x:v>
      </x:c>
      <x:c r="F4999" s="2"/>
      <x:c r="G4999" s="2"/>
      <x:c r="H4999" s="2"/>
    </x:row>
    <x:row r="5000" ht="22" customHeight="1">
      <x:c r="A5000" s="2" t="n">
        <x:v>4994</x:v>
      </x:c>
      <x:c r="B5000" s="79" t="n">
        <x:v>0.2272593911921093</x:v>
      </x:c>
      <x:c r="C5000" s="46" t="n">
        <x:f>B5000^2</x:f>
        <x:v>0.05164683088500817</x:v>
      </x:c>
      <x:c r="D5000" s="47" t="n">
        <x:f>'Datos'!$B$26^3/3</x:f>
        <x:v>0.3333333333333333</x:v>
      </x:c>
      <x:c r="E5000" s="46" t="n">
        <x:f>D5000*(C5000-1)</x:f>
        <x:v>-0.3161177230383306</x:v>
      </x:c>
      <x:c r="F5000" s="2"/>
      <x:c r="G5000" s="2"/>
      <x:c r="H5000" s="2"/>
    </x:row>
    <x:row r="5001" ht="22" customHeight="1">
      <x:c r="A5001" s="2" t="n">
        <x:v>4995</x:v>
      </x:c>
      <x:c r="B5001" s="79" t="n">
        <x:v>-0.37195738610241336</x:v>
      </x:c>
      <x:c r="C5001" s="46" t="n">
        <x:f>B5001^2</x:f>
        <x:v>0.1383522970761398</x:v>
      </x:c>
      <x:c r="D5001" s="47" t="n">
        <x:f>'Datos'!$B$26^3/3</x:f>
        <x:v>0.3333333333333333</x:v>
      </x:c>
      <x:c r="E5001" s="46" t="n">
        <x:f>D5001*(C5001-1)</x:f>
        <x:v>-0.28721590097462</x:v>
      </x:c>
      <x:c r="F5001" s="2"/>
      <x:c r="G5001" s="2"/>
      <x:c r="H5001" s="2"/>
    </x:row>
    <x:row r="5002" ht="22" customHeight="1">
      <x:c r="A5002" s="2" t="n">
        <x:v>4996</x:v>
      </x:c>
      <x:c r="B5002" s="79" t="n">
        <x:v>-0.17481305702480535</x:v>
      </x:c>
      <x:c r="C5002" s="46" t="n">
        <x:f>B5002^2</x:f>
        <x:v>0.030559604906357847</x:v>
      </x:c>
      <x:c r="D5002" s="47" t="n">
        <x:f>'Datos'!$B$26^3/3</x:f>
        <x:v>0.3333333333333333</x:v>
      </x:c>
      <x:c r="E5002" s="46" t="n">
        <x:f>D5002*(C5002-1)</x:f>
        <x:v>-0.32314679836454735</x:v>
      </x:c>
      <x:c r="F5002" s="2"/>
      <x:c r="G5002" s="2"/>
      <x:c r="H5002" s="2"/>
    </x:row>
    <x:row r="5003" ht="22" customHeight="1">
      <x:c r="A5003" s="2" t="n">
        <x:v>4997</x:v>
      </x:c>
      <x:c r="B5003" s="79" t="n">
        <x:v>-0.4460426859438701</x:v>
      </x:c>
      <x:c r="C5003" s="46" t="n">
        <x:f>B5003^2</x:f>
        <x:v>0.19895407768402193</x:v>
      </x:c>
      <x:c r="D5003" s="47" t="n">
        <x:f>'Datos'!$B$26^3/3</x:f>
        <x:v>0.3333333333333333</x:v>
      </x:c>
      <x:c r="E5003" s="46" t="n">
        <x:f>D5003*(C5003-1)</x:f>
        <x:v>-0.2670153074386593</x:v>
      </x:c>
      <x:c r="F5003" s="2"/>
      <x:c r="G5003" s="2"/>
      <x:c r="H5003" s="2"/>
    </x:row>
    <x:row r="5004" ht="22" customHeight="1">
      <x:c r="A5004" s="2" t="n">
        <x:v>4998</x:v>
      </x:c>
      <x:c r="B5004" s="79" t="n">
        <x:v>0.2218624112176881</x:v>
      </x:c>
      <x:c r="C5004" s="46" t="n">
        <x:f>B5004^2</x:f>
        <x:v>0.049222929511326535</x:v>
      </x:c>
      <x:c r="D5004" s="47" t="n">
        <x:f>'Datos'!$B$26^3/3</x:f>
        <x:v>0.3333333333333333</x:v>
      </x:c>
      <x:c r="E5004" s="46" t="n">
        <x:f>D5004*(C5004-1)</x:f>
        <x:v>-0.3169256901628911</x:v>
      </x:c>
      <x:c r="F5004" s="2"/>
      <x:c r="G5004" s="2"/>
      <x:c r="H5004" s="2"/>
    </x:row>
    <x:row r="5005" ht="22" customHeight="1">
      <x:c r="A5005" s="2" t="n">
        <x:v>4999</x:v>
      </x:c>
      <x:c r="B5005" s="79" t="n">
        <x:v>-2.0185059180623446</x:v>
      </x:c>
      <x:c r="C5005" s="46" t="n">
        <x:f>B5005^2</x:f>
        <x:v>4.074366141252709</x:v>
      </x:c>
      <x:c r="D5005" s="47" t="n">
        <x:f>'Datos'!$B$26^3/3</x:f>
        <x:v>0.3333333333333333</x:v>
      </x:c>
      <x:c r="E5005" s="46" t="n">
        <x:f>D5005*(C5005-1)</x:f>
        <x:v>1.0247887137509029</x:v>
      </x:c>
      <x:c r="F5005" s="2"/>
      <x:c r="G5005" s="2"/>
      <x:c r="H5005" s="2"/>
    </x:row>
    <x:row r="5006" ht="22" customHeight="1">
      <x:c r="A5006" s="2" t="n">
        <x:v>5000</x:v>
      </x:c>
      <x:c r="B5006" s="79" t="n">
        <x:v>0.6186416628630225</x:v>
      </x:c>
      <x:c r="C5006" s="46" t="n">
        <x:f>B5006^2</x:f>
        <x:v>0.3827175070299256</x:v>
      </x:c>
      <x:c r="D5006" s="47" t="n">
        <x:f>'Datos'!$B$26^3/3</x:f>
        <x:v>0.3333333333333333</x:v>
      </x:c>
      <x:c r="E5006" s="46" t="n">
        <x:f>D5006*(C5006-1)</x:f>
        <x:v>-0.2057608309900248</x:v>
      </x:c>
      <x:c r="F5006" s="2"/>
      <x:c r="G5006" s="2"/>
      <x:c r="H5006" s="2"/>
    </x:row>
    <x:row r="5007" ht="22" customHeight="1">
      <x:c r="A5007" s="2"/>
      <x:c r="B5007" s="2"/>
      <x:c r="C5007" s="2"/>
      <x:c r="D5007" s="2"/>
      <x:c r="E5007" s="2"/>
      <x:c r="F5007" s="2"/>
      <x:c r="G5007" s="2"/>
      <x:c r="H5007" s="2"/>
    </x:row>
  </x:sheetData>
  <x:mergeCells>
    <x:mergeCell ref="A1:H2"/>
    <x:mergeCell ref="A3:H4"/>
  </x:mergeCells>
  <x:pageMargins left="0.7" right="0.7" top="0.75" bottom="0.75" header="0.3" footer="0.3"/>
  <x:tableParts count="1">
    <x:tablePart xmlns:r="http://schemas.openxmlformats.org/officeDocument/2006/relationships" r:id="R458e52f4f55b41c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</x:cols>
  <x:sheetData>
    <x:row r="1" ht="25" customHeight="1">
      <x:c r="A1" s="5" t="str">
        <x:v>E3 · Calibración con fórmulas</x:v>
      </x:c>
      <x:c r="B1" s="5" t="str">
        <x:v>E3 · Calibración con fórmulas</x:v>
      </x:c>
      <x:c r="C1" s="5" t="str">
        <x:v>E3 · Calibración con fórmulas</x:v>
      </x:c>
      <x:c r="D1" s="5" t="str">
        <x:v>E3 · Calibración con fórmulas</x:v>
      </x:c>
      <x:c r="E1" s="5" t="str">
        <x:v>E3 · Calibración con fórmulas</x:v>
      </x:c>
      <x:c r="F1" s="5" t="str">
        <x:v>E3 · Calibración con fórmulas</x:v>
      </x:c>
      <x:c r="G1" s="5" t="str">
        <x:v>E3 · Calibración con fórmulas</x:v>
      </x:c>
      <x:c r="H1" s="5" t="str">
        <x:v>E3 · Calibración con fórmulas</x:v>
      </x:c>
      <x:c r="I1" s="5" t="str">
        <x:v>E3 · Calibración con fórmulas</x:v>
      </x:c>
    </x:row>
    <x:row r="2" ht="25" customHeight="1">
      <x:c r="A2" s="5" t="str">
        <x:v>E3 · Calibración con fórmulas</x:v>
      </x:c>
      <x:c r="B2" s="5" t="str">
        <x:v>E3 · Calibración con fórmulas</x:v>
      </x:c>
      <x:c r="C2" s="5" t="str">
        <x:v>E3 · Calibración con fórmulas</x:v>
      </x:c>
      <x:c r="D2" s="5" t="str">
        <x:v>E3 · Calibración con fórmulas</x:v>
      </x:c>
      <x:c r="E2" s="5" t="str">
        <x:v>E3 · Calibración con fórmulas</x:v>
      </x:c>
      <x:c r="F2" s="5" t="str">
        <x:v>E3 · Calibración con fórmulas</x:v>
      </x:c>
      <x:c r="G2" s="5" t="str">
        <x:v>E3 · Calibración con fórmulas</x:v>
      </x:c>
      <x:c r="H2" s="5" t="str">
        <x:v>E3 · Calibración con fórmulas</x:v>
      </x:c>
      <x:c r="I2" s="5" t="str">
        <x:v>E3 · Calibración con fórmulas</x:v>
      </x:c>
    </x:row>
    <x:row r="3" ht="21" customHeight="1">
      <x:c r="A3" s="7" t="str">
        <x:v>1. Invertir cada call por bisección. 2. Resolver los tres coeficientes por Newton. Sin Solver ni macros.</x:v>
      </x:c>
      <x:c r="B3" s="7" t="str">
        <x:v>1. Invertir cada call por bisección. 2. Resolver los tres coeficientes por Newton. Sin Solver ni macros.</x:v>
      </x:c>
      <x:c r="C3" s="7" t="str">
        <x:v>1. Invertir cada call por bisección. 2. Resolver los tres coeficientes por Newton. Sin Solver ni macros.</x:v>
      </x:c>
      <x:c r="D3" s="7" t="str">
        <x:v>1. Invertir cada call por bisección. 2. Resolver los tres coeficientes por Newton. Sin Solver ni macros.</x:v>
      </x:c>
      <x:c r="E3" s="7" t="str">
        <x:v>1. Invertir cada call por bisección. 2. Resolver los tres coeficientes por Newton. Sin Solver ni macros.</x:v>
      </x:c>
      <x:c r="F3" s="7" t="str">
        <x:v>1. Invertir cada call por bisección. 2. Resolver los tres coeficientes por Newton. Sin Solver ni macros.</x:v>
      </x:c>
      <x:c r="G3" s="7" t="str">
        <x:v>1. Invertir cada call por bisección. 2. Resolver los tres coeficientes por Newton. Sin Solver ni macros.</x:v>
      </x:c>
      <x:c r="H3" s="7" t="str">
        <x:v>1. Invertir cada call por bisección. 2. Resolver los tres coeficientes por Newton. Sin Solver ni macros.</x:v>
      </x:c>
      <x:c r="I3" s="7" t="str">
        <x:v>1. Invertir cada call por bisección. 2. Resolver los tres coeficientes por Newton. Sin Solver ni macros.</x:v>
      </x:c>
    </x:row>
    <x:row r="4" ht="21" customHeight="1">
      <x:c r="A4" s="7" t="str">
        <x:v>1. Invertir cada call por bisección. 2. Resolver los tres coeficientes por Newton. Sin Solver ni macros.</x:v>
      </x:c>
      <x:c r="B4" s="7" t="str">
        <x:v>1. Invertir cada call por bisección. 2. Resolver los tres coeficientes por Newton. Sin Solver ni macros.</x:v>
      </x:c>
      <x:c r="C4" s="7" t="str">
        <x:v>1. Invertir cada call por bisección. 2. Resolver los tres coeficientes por Newton. Sin Solver ni macros.</x:v>
      </x:c>
      <x:c r="D4" s="7" t="str">
        <x:v>1. Invertir cada call por bisección. 2. Resolver los tres coeficientes por Newton. Sin Solver ni macros.</x:v>
      </x:c>
      <x:c r="E4" s="7" t="str">
        <x:v>1. Invertir cada call por bisección. 2. Resolver los tres coeficientes por Newton. Sin Solver ni macros.</x:v>
      </x:c>
      <x:c r="F4" s="7" t="str">
        <x:v>1. Invertir cada call por bisección. 2. Resolver los tres coeficientes por Newton. Sin Solver ni macros.</x:v>
      </x:c>
      <x:c r="G4" s="7" t="str">
        <x:v>1. Invertir cada call por bisección. 2. Resolver los tres coeficientes por Newton. Sin Solver ni macros.</x:v>
      </x:c>
      <x:c r="H4" s="7" t="str">
        <x:v>1. Invertir cada call por bisección. 2. Resolver los tres coeficientes por Newton. Sin Solver ni macros.</x:v>
      </x:c>
      <x:c r="I4" s="7" t="str">
        <x:v>1. Invertir cada call por bisección. 2. Resolver los tres coeficientes por Newton. Sin Solver ni macros.</x:v>
      </x:c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</x:row>
    <x:row r="6" ht="27" customHeight="1">
      <x:c r="A6" s="10" t="str">
        <x:v>Call 1 · 48 pasos de bisección en la varianza</x:v>
      </x:c>
      <x:c r="B6" s="10" t="str">
        <x:v>Call 1 · 48 pasos de bisección en la varianza</x:v>
      </x:c>
      <x:c r="C6" s="10" t="str">
        <x:v>Call 1 · 48 pasos de bisección en la varianza</x:v>
      </x:c>
      <x:c r="D6" s="10" t="str">
        <x:v>Call 1 · 48 pasos de bisección en la varianza</x:v>
      </x:c>
      <x:c r="E6" s="10" t="str">
        <x:v>Call 1 · 48 pasos de bisección en la varianza</x:v>
      </x:c>
      <x:c r="F6" s="10" t="str">
        <x:v>Call 1 · 48 pasos de bisección en la varianza</x:v>
      </x:c>
      <x:c r="G6" s="10" t="str">
        <x:v>Call 1 · 48 pasos de bisección en la varianza</x:v>
      </x:c>
      <x:c r="H6" s="10" t="str">
        <x:v>Call 1 · 48 pasos de bisección en la varianza</x:v>
      </x:c>
      <x:c r="I6" s="10" t="str">
        <x:v>Call 1 · 48 pasos de bisección en la varianza</x:v>
      </x:c>
    </x:row>
    <x:row r="7" ht="36" customHeight="1">
      <x:c r="A7" s="13" t="str">
        <x:v>Iteración</x:v>
      </x:c>
      <x:c r="B7" s="13" t="str">
        <x:v>T</x:v>
      </x:c>
      <x:c r="C7" s="13" t="str">
        <x:v>Precio objetivo</x:v>
      </x:c>
      <x:c r="D7" s="13" t="str">
        <x:v>V baja</x:v>
      </x:c>
      <x:c r="E7" s="13" t="str">
        <x:v>V alta</x:v>
      </x:c>
      <x:c r="F7" s="13" t="str">
        <x:v>V media</x:v>
      </x:c>
      <x:c r="G7" s="13" t="str">
        <x:v>d₁</x:v>
      </x:c>
      <x:c r="H7" s="13" t="str">
        <x:v>Call(V media)</x:v>
      </x:c>
      <x:c r="I7" s="13" t="str">
        <x:v>Error precio</x:v>
      </x:c>
    </x:row>
    <x:row r="8" ht="22" customHeight="1">
      <x:c r="A8" s="2" t="n">
        <x:v>1</x:v>
      </x:c>
      <x:c r="B8" s="49" t="n">
        <x:f>'Datos'!B42</x:f>
        <x:v>1</x:v>
      </x:c>
      <x:c r="C8" s="60" t="n">
        <x:f>'Datos'!C42</x:f>
        <x:v>9.55</x:v>
      </x:c>
      <x:c r="D8" s="60" t="n">
        <x:f>'Datos'!$B$30</x:f>
        <x:v>1e-14</x:v>
      </x:c>
      <x:c r="E8" s="60" t="n">
        <x:f>'Datos'!$B$31</x:f>
        <x:v>10</x:v>
      </x:c>
      <x:c r="F8" s="61" t="n">
        <x:f>(D8+E8)/2</x:f>
        <x:v>5.000000000000005</x:v>
      </x:c>
      <x:c r="G8" s="60" t="n">
        <x:f>(LN('Datos'!$B$22/'Datos'!$B$23)+'Datos'!$B$24*B8+F8/2)/SQRT(F8)</x:f>
        <x:v>1.122506124704895</x:v>
      </x:c>
      <x:c r="H8" s="60" t="n">
        <x:f>'Datos'!$B$22*NORM.S.DIST(G8,TRUE)-'Datos'!$B$23*EXP(-'Datos'!$B$24*B8)*NORM.S.DIST(G8-SQRT(F8),TRUE)</x:f>
        <x:v>73.77634692507804</x:v>
      </x:c>
      <x:c r="I8" s="59" t="n">
        <x:f>H8-C8</x:f>
        <x:v>64.22634692507805</x:v>
      </x:c>
    </x:row>
    <x:row r="9" ht="22" customHeight="1">
      <x:c r="A9" s="2" t="n">
        <x:v>2</x:v>
      </x:c>
      <x:c r="B9" s="49" t="n">
        <x:f>'Datos'!B42</x:f>
        <x:v>1</x:v>
      </x:c>
      <x:c r="C9" s="60" t="n">
        <x:f>'Datos'!C42</x:f>
        <x:v>9.55</x:v>
      </x:c>
      <x:c r="D9" s="61" t="n">
        <x:f>IF(H8&lt;C8,F8,D8)</x:f>
        <x:v>1e-14</x:v>
      </x:c>
      <x:c r="E9" s="61" t="n">
        <x:f>IF(H8&gt;C8,F8,E8)</x:f>
        <x:v>5.000000000000005</x:v>
      </x:c>
      <x:c r="F9" s="61" t="n">
        <x:f>(D9+E9)/2</x:f>
        <x:v>2.5000000000000075</x:v>
      </x:c>
      <x:c r="G9" s="60" t="n">
        <x:f>(LN('Datos'!$B$22/'Datos'!$B$23)+'Datos'!$B$24*B9+F9/2)/SQRT(F9)</x:f>
        <x:v>0.7968939703624328</x:v>
      </x:c>
      <x:c r="H9" s="60" t="n">
        <x:f>'Datos'!$B$22*NORM.S.DIST(G9,TRUE)-'Datos'!$B$23*EXP(-'Datos'!$B$24*B9)*NORM.S.DIST(G9-SQRT(F9),TRUE)</x:f>
        <x:v>57.29491656269364</x:v>
      </x:c>
      <x:c r="I9" s="59" t="n">
        <x:f>H9-C9</x:f>
        <x:v>47.744916562693646</x:v>
      </x:c>
    </x:row>
    <x:row r="10" ht="22" customHeight="1">
      <x:c r="A10" s="2" t="n">
        <x:v>3</x:v>
      </x:c>
      <x:c r="B10" s="49" t="n">
        <x:f>'Datos'!B42</x:f>
        <x:v>1</x:v>
      </x:c>
      <x:c r="C10" s="60" t="n">
        <x:f>'Datos'!C42</x:f>
        <x:v>9.55</x:v>
      </x:c>
      <x:c r="D10" s="61" t="n">
        <x:f>IF(H9&lt;C9,F9,D9)</x:f>
        <x:v>1e-14</x:v>
      </x:c>
      <x:c r="E10" s="61" t="n">
        <x:f>IF(H9&gt;C9,F9,E9)</x:f>
        <x:v>2.5000000000000075</x:v>
      </x:c>
      <x:c r="F10" s="61" t="n">
        <x:f>(D10+E10)/2</x:f>
        <x:v>1.2500000000000089</x:v>
      </x:c>
      <x:c r="G10" s="60" t="n">
        <x:f>(LN('Datos'!$B$22/'Datos'!$B$23)+'Datos'!$B$24*B10+F10/2)/SQRT(F10)</x:f>
        <x:v>0.5679612662849485</x:v>
      </x:c>
      <x:c r="H10" s="60" t="n">
        <x:f>'Datos'!$B$22*NORM.S.DIST(G10,TRUE)-'Datos'!$B$23*EXP(-'Datos'!$B$24*B10)*NORM.S.DIST(G10-SQRT(F10),TRUE)</x:f>
        <x:v>42.67314569602364</x:v>
      </x:c>
      <x:c r="I10" s="59" t="n">
        <x:f>H10-C10</x:f>
        <x:v>33.12314569602364</x:v>
      </x:c>
    </x:row>
    <x:row r="11" ht="22" customHeight="1">
      <x:c r="A11" s="2" t="n">
        <x:v>4</x:v>
      </x:c>
      <x:c r="B11" s="49" t="n">
        <x:f>'Datos'!B42</x:f>
        <x:v>1</x:v>
      </x:c>
      <x:c r="C11" s="60" t="n">
        <x:f>'Datos'!C42</x:f>
        <x:v>9.55</x:v>
      </x:c>
      <x:c r="D11" s="61" t="n">
        <x:f>IF(H10&lt;C10,F10,D10)</x:f>
        <x:v>1e-14</x:v>
      </x:c>
      <x:c r="E11" s="61" t="n">
        <x:f>IF(H10&gt;C10,F10,E10)</x:f>
        <x:v>1.2500000000000089</x:v>
      </x:c>
      <x:c r="F11" s="61" t="n">
        <x:f>(D11+E11)/2</x:f>
        <x:v>0.6250000000000094</x:v>
      </x:c>
      <x:c r="G11" s="60" t="n">
        <x:f>(LN('Datos'!$B$22/'Datos'!$B$23)+'Datos'!$B$24*B11+F11/2)/SQRT(F11)</x:f>
        <x:v>0.40793381816172386</x:v>
      </x:c>
      <x:c r="H11" s="60" t="n">
        <x:f>'Datos'!$B$22*NORM.S.DIST(G11,TRUE)-'Datos'!$B$23*EXP(-'Datos'!$B$24*B11)*NORM.S.DIST(G11-SQRT(F11),TRUE)</x:f>
        <x:v>31.08363401494163</x:v>
      </x:c>
      <x:c r="I11" s="59" t="n">
        <x:f>H11-C11</x:f>
        <x:v>21.53363401494163</x:v>
      </x:c>
    </x:row>
    <x:row r="12" ht="22" customHeight="1">
      <x:c r="A12" s="2" t="n">
        <x:v>5</x:v>
      </x:c>
      <x:c r="B12" s="49" t="n">
        <x:f>'Datos'!B42</x:f>
        <x:v>1</x:v>
      </x:c>
      <x:c r="C12" s="60" t="n">
        <x:f>'Datos'!C42</x:f>
        <x:v>9.55</x:v>
      </x:c>
      <x:c r="D12" s="61" t="n">
        <x:f>IF(H11&lt;C11,F11,D11)</x:f>
        <x:v>1e-14</x:v>
      </x:c>
      <x:c r="E12" s="61" t="n">
        <x:f>IF(H11&gt;C11,F11,E11)</x:f>
        <x:v>0.6250000000000094</x:v>
      </x:c>
      <x:c r="F12" s="61" t="n">
        <x:f>(D12+E12)/2</x:f>
        <x:v>0.3125000000000097</x:v>
      </x:c>
      <x:c r="G12" s="60" t="n">
        <x:f>(LN('Datos'!$B$22/'Datos'!$B$23)+'Datos'!$B$24*B12+F12/2)/SQRT(F12)</x:f>
        <x:v>0.2973970410074761</x:v>
      </x:c>
      <x:c r="H12" s="60" t="n">
        <x:f>'Datos'!$B$22*NORM.S.DIST(G12,TRUE)-'Datos'!$B$23*EXP(-'Datos'!$B$24*B12)*NORM.S.DIST(G12-SQRT(F12),TRUE)</x:f>
        <x:v>22.405936710442788</x:v>
      </x:c>
      <x:c r="I12" s="59" t="n">
        <x:f>H12-C12</x:f>
        <x:v>12.855936710442787</x:v>
      </x:c>
    </x:row>
    <x:row r="13" ht="22" customHeight="1">
      <x:c r="A13" s="2" t="n">
        <x:v>6</x:v>
      </x:c>
      <x:c r="B13" s="49" t="n">
        <x:f>'Datos'!B42</x:f>
        <x:v>1</x:v>
      </x:c>
      <x:c r="C13" s="60" t="n">
        <x:f>'Datos'!C42</x:f>
        <x:v>9.55</x:v>
      </x:c>
      <x:c r="D13" s="61" t="n">
        <x:f>IF(H12&lt;C12,F12,D12)</x:f>
        <x:v>1e-14</x:v>
      </x:c>
      <x:c r="E13" s="61" t="n">
        <x:f>IF(H12&gt;C12,F12,E12)</x:f>
        <x:v>0.3125000000000097</x:v>
      </x:c>
      <x:c r="F13" s="61" t="n">
        <x:f>(D13+E13)/2</x:f>
        <x:v>0.15625000000000985</x:v>
      </x:c>
      <x:c r="G13" s="60" t="n">
        <x:f>(LN('Datos'!$B$22/'Datos'!$B$23)+'Datos'!$B$24*B13+F13/2)/SQRT(F13)</x:f>
        <x:v>0.22294057504187617</x:v>
      </x:c>
      <x:c r="H13" s="60" t="n">
        <x:f>'Datos'!$B$22*NORM.S.DIST(G13,TRUE)-'Datos'!$B$23*EXP(-'Datos'!$B$24*B13)*NORM.S.DIST(G13-SQRT(F13),TRUE)</x:f>
        <x:v>16.091995385227335</x:v>
      </x:c>
      <x:c r="I13" s="59" t="n">
        <x:f>H13-C13</x:f>
        <x:v>6.5419953852273345</x:v>
      </x:c>
    </x:row>
    <x:row r="14" ht="22" customHeight="1">
      <x:c r="A14" s="2" t="n">
        <x:v>7</x:v>
      </x:c>
      <x:c r="B14" s="49" t="n">
        <x:f>'Datos'!B42</x:f>
        <x:v>1</x:v>
      </x:c>
      <x:c r="C14" s="60" t="n">
        <x:f>'Datos'!C42</x:f>
        <x:v>9.55</x:v>
      </x:c>
      <x:c r="D14" s="61" t="n">
        <x:f>IF(H13&lt;C13,F13,D13)</x:f>
        <x:v>1e-14</x:v>
      </x:c>
      <x:c r="E14" s="61" t="n">
        <x:f>IF(H13&gt;C13,F13,E13)</x:f>
        <x:v>0.15625000000000985</x:v>
      </x:c>
      <x:c r="F14" s="61" t="n">
        <x:f>(D14+E14)/2</x:f>
        <x:v>0.07812500000000992</x:v>
      </x:c>
      <x:c r="G14" s="60" t="n">
        <x:f>(LN('Datos'!$B$22/'Datos'!$B$23)+'Datos'!$B$24*B14+F14/2)/SQRT(F14)</x:f>
        <x:v>0.1755313362337401</x:v>
      </x:c>
      <x:c r="H14" s="60" t="n">
        <x:f>'Datos'!$B$22*NORM.S.DIST(G14,TRUE)-'Datos'!$B$23*EXP(-'Datos'!$B$24*B14)*NORM.S.DIST(G14-SQRT(F14),TRUE)</x:f>
        <x:v>11.563827218253365</x:v>
      </x:c>
      <x:c r="I14" s="59" t="n">
        <x:f>H14-C14</x:f>
        <x:v>2.0138272182533647</x:v>
      </x:c>
    </x:row>
    <x:row r="15" ht="22" customHeight="1">
      <x:c r="A15" s="2" t="n">
        <x:v>8</x:v>
      </x:c>
      <x:c r="B15" s="49" t="n">
        <x:f>'Datos'!B42</x:f>
        <x:v>1</x:v>
      </x:c>
      <x:c r="C15" s="60" t="n">
        <x:f>'Datos'!C42</x:f>
        <x:v>9.55</x:v>
      </x:c>
      <x:c r="D15" s="61" t="n">
        <x:f>IF(H14&lt;C14,F14,D14)</x:f>
        <x:v>1e-14</x:v>
      </x:c>
      <x:c r="E15" s="61" t="n">
        <x:f>IF(H14&gt;C14,F14,E14)</x:f>
        <x:v>0.07812500000000992</x:v>
      </x:c>
      <x:c r="F15" s="61" t="n">
        <x:f>(D15+E15)/2</x:f>
        <x:v>0.039062500000009964</x:v>
      </x:c>
      <x:c r="G15" s="60" t="n">
        <x:f>(LN('Datos'!$B$22/'Datos'!$B$23)+'Datos'!$B$24*B15+F15/2)/SQRT(F15)</x:f>
        <x:v>0.14941761944296209</x:v>
      </x:c>
      <x:c r="H15" s="60" t="n">
        <x:f>'Datos'!$B$22*NORM.S.DIST(G15,TRUE)-'Datos'!$B$23*EXP(-'Datos'!$B$24*B15)*NORM.S.DIST(G15-SQRT(F15),TRUE)</x:f>
        <x:v>8.340310345438859</x:v>
      </x:c>
      <x:c r="I15" s="59" t="n">
        <x:f>H15-C15</x:f>
        <x:v>-1.2096896545611422</x:v>
      </x:c>
    </x:row>
    <x:row r="16" ht="22" customHeight="1">
      <x:c r="A16" s="2" t="n">
        <x:v>9</x:v>
      </x:c>
      <x:c r="B16" s="49" t="n">
        <x:f>'Datos'!B42</x:f>
        <x:v>1</x:v>
      </x:c>
      <x:c r="C16" s="60" t="n">
        <x:f>'Datos'!C42</x:f>
        <x:v>9.55</x:v>
      </x:c>
      <x:c r="D16" s="61" t="n">
        <x:f>IF(H15&lt;C15,F15,D15)</x:f>
        <x:v>0.039062500000009964</x:v>
      </x:c>
      <x:c r="E16" s="61" t="n">
        <x:f>IF(H15&gt;C15,F15,E15)</x:f>
        <x:v>0.07812500000000992</x:v>
      </x:c>
      <x:c r="F16" s="61" t="n">
        <x:f>(D16+E16)/2</x:f>
        <x:v>0.05859375000000994</x:v>
      </x:c>
      <x:c r="G16" s="60" t="n">
        <x:f>(LN('Datos'!$B$22/'Datos'!$B$23)+'Datos'!$B$24*B16+F16/2)/SQRT(F16)</x:f>
        <x:v>0.1623425519285343</x:v>
      </x:c>
      <x:c r="H16" s="60" t="n">
        <x:f>'Datos'!$B$22*NORM.S.DIST(G16,TRUE)-'Datos'!$B$23*EXP(-'Datos'!$B$24*B16)*NORM.S.DIST(G16-SQRT(F16),TRUE)</x:f>
        <x:v>10.09105059140046</x:v>
      </x:c>
      <x:c r="I16" s="59" t="n">
        <x:f>H16-C16</x:f>
        <x:v>0.5410505914004595</x:v>
      </x:c>
    </x:row>
    <x:row r="17" ht="22" customHeight="1">
      <x:c r="A17" s="2" t="n">
        <x:v>10</x:v>
      </x:c>
      <x:c r="B17" s="49" t="n">
        <x:f>'Datos'!B42</x:f>
        <x:v>1</x:v>
      </x:c>
      <x:c r="C17" s="60" t="n">
        <x:f>'Datos'!C42</x:f>
        <x:v>9.55</x:v>
      </x:c>
      <x:c r="D17" s="61" t="n">
        <x:f>IF(H16&lt;C16,F16,D16)</x:f>
        <x:v>0.039062500000009964</x:v>
      </x:c>
      <x:c r="E17" s="61" t="n">
        <x:f>IF(H16&gt;C16,F16,E16)</x:f>
        <x:v>0.05859375000000994</x:v>
      </x:c>
      <x:c r="F17" s="61" t="n">
        <x:f>(D17+E17)/2</x:f>
        <x:v>0.04882812500000995</x:v>
      </x:c>
      <x:c r="G17" s="60" t="n">
        <x:f>(LN('Datos'!$B$22/'Datos'!$B$23)+'Datos'!$B$24*B17+F17/2)/SQRT(F17)</x:f>
        <x:v>0.15574026855634374</x:v>
      </x:c>
      <x:c r="H17" s="60" t="n">
        <x:f>'Datos'!$B$22*NORM.S.DIST(G17,TRUE)-'Datos'!$B$23*EXP(-'Datos'!$B$24*B17)*NORM.S.DIST(G17-SQRT(F17),TRUE)</x:f>
        <x:v>9.260225503404499</x:v>
      </x:c>
      <x:c r="I17" s="59" t="n">
        <x:f>H17-C17</x:f>
        <x:v>-0.28977449659550203</x:v>
      </x:c>
    </x:row>
    <x:row r="18" ht="22" customHeight="1">
      <x:c r="A18" s="2" t="n">
        <x:v>11</x:v>
      </x:c>
      <x:c r="B18" s="49" t="n">
        <x:f>'Datos'!B42</x:f>
        <x:v>1</x:v>
      </x:c>
      <x:c r="C18" s="60" t="n">
        <x:f>'Datos'!C42</x:f>
        <x:v>9.55</x:v>
      </x:c>
      <x:c r="D18" s="61" t="n">
        <x:f>IF(H17&lt;C17,F17,D17)</x:f>
        <x:v>0.04882812500000995</x:v>
      </x:c>
      <x:c r="E18" s="61" t="n">
        <x:f>IF(H17&gt;C17,F17,E17)</x:f>
        <x:v>0.05859375000000994</x:v>
      </x:c>
      <x:c r="F18" s="61" t="n">
        <x:f>(D18+E18)/2</x:f>
        <x:v>0.05371093750000995</x:v>
      </x:c>
      <x:c r="G18" s="60" t="n">
        <x:f>(LN('Datos'!$B$22/'Datos'!$B$23)+'Datos'!$B$24*B18+F18/2)/SQRT(F18)</x:f>
        <x:v>0.15902689255852398</x:v>
      </x:c>
      <x:c r="H18" s="60" t="n">
        <x:f>'Datos'!$B$22*NORM.S.DIST(G18,TRUE)-'Datos'!$B$23*EXP(-'Datos'!$B$24*B18)*NORM.S.DIST(G18-SQRT(F18),TRUE)</x:f>
        <x:v>9.685203018361626</x:v>
      </x:c>
      <x:c r="I18" s="59" t="n">
        <x:f>H18-C18</x:f>
        <x:v>0.13520301836162574</x:v>
      </x:c>
    </x:row>
    <x:row r="19" ht="22" customHeight="1">
      <x:c r="A19" s="2" t="n">
        <x:v>12</x:v>
      </x:c>
      <x:c r="B19" s="49" t="n">
        <x:f>'Datos'!B42</x:f>
        <x:v>1</x:v>
      </x:c>
      <x:c r="C19" s="60" t="n">
        <x:f>'Datos'!C42</x:f>
        <x:v>9.55</x:v>
      </x:c>
      <x:c r="D19" s="61" t="n">
        <x:f>IF(H18&lt;C18,F18,D18)</x:f>
        <x:v>0.04882812500000995</x:v>
      </x:c>
      <x:c r="E19" s="61" t="n">
        <x:f>IF(H18&gt;C18,F18,E18)</x:f>
        <x:v>0.05371093750000995</x:v>
      </x:c>
      <x:c r="F19" s="61" t="n">
        <x:f>(D19+E19)/2</x:f>
        <x:v>0.05126953125000995</x:v>
      </x:c>
      <x:c r="G19" s="60" t="n">
        <x:f>(LN('Datos'!$B$22/'Datos'!$B$23)+'Datos'!$B$24*B19+F19/2)/SQRT(F19)</x:f>
        <x:v>0.15737807662752237</x:v>
      </x:c>
      <x:c r="H19" s="60" t="n">
        <x:f>'Datos'!$B$22*NORM.S.DIST(G19,TRUE)-'Datos'!$B$23*EXP(-'Datos'!$B$24*B19)*NORM.S.DIST(G19-SQRT(F19),TRUE)</x:f>
        <x:v>9.475272446931825</x:v>
      </x:c>
      <x:c r="I19" s="59" t="n">
        <x:f>H19-C19</x:f>
        <x:v>-0.07472755306817547</x:v>
      </x:c>
    </x:row>
    <x:row r="20" ht="22" customHeight="1">
      <x:c r="A20" s="2" t="n">
        <x:v>13</x:v>
      </x:c>
      <x:c r="B20" s="49" t="n">
        <x:f>'Datos'!B42</x:f>
        <x:v>1</x:v>
      </x:c>
      <x:c r="C20" s="60" t="n">
        <x:f>'Datos'!C42</x:f>
        <x:v>9.55</x:v>
      </x:c>
      <x:c r="D20" s="61" t="n">
        <x:f>IF(H19&lt;C19,F19,D19)</x:f>
        <x:v>0.05126953125000995</x:v>
      </x:c>
      <x:c r="E20" s="61" t="n">
        <x:f>IF(H19&gt;C19,F19,E19)</x:f>
        <x:v>0.05371093750000995</x:v>
      </x:c>
      <x:c r="F20" s="61" t="n">
        <x:f>(D20+E20)/2</x:f>
        <x:v>0.05249023437500995</x:v>
      </x:c>
      <x:c r="G20" s="60" t="n">
        <x:f>(LN('Datos'!$B$22/'Datos'!$B$23)+'Datos'!$B$24*B20+F20/2)/SQRT(F20)</x:f>
        <x:v>0.1582013744340481</x:v>
      </x:c>
      <x:c r="H20" s="60" t="n">
        <x:f>'Datos'!$B$22*NORM.S.DIST(G20,TRUE)-'Datos'!$B$23*EXP(-'Datos'!$B$24*B20)*NORM.S.DIST(G20-SQRT(F20),TRUE)</x:f>
        <x:v>9.580854902981535</x:v>
      </x:c>
      <x:c r="I20" s="59" t="n">
        <x:f>H20-C20</x:f>
        <x:v>0.030854902981534593</x:v>
      </x:c>
    </x:row>
    <x:row r="21" ht="22" customHeight="1">
      <x:c r="A21" s="2" t="n">
        <x:v>14</x:v>
      </x:c>
      <x:c r="B21" s="49" t="n">
        <x:f>'Datos'!B42</x:f>
        <x:v>1</x:v>
      </x:c>
      <x:c r="C21" s="60" t="n">
        <x:f>'Datos'!C42</x:f>
        <x:v>9.55</x:v>
      </x:c>
      <x:c r="D21" s="61" t="n">
        <x:f>IF(H20&lt;C20,F20,D20)</x:f>
        <x:v>0.05126953125000995</x:v>
      </x:c>
      <x:c r="E21" s="61" t="n">
        <x:f>IF(H20&gt;C20,F20,E20)</x:f>
        <x:v>0.05249023437500995</x:v>
      </x:c>
      <x:c r="F21" s="61" t="n">
        <x:f>(D21+E21)/2</x:f>
        <x:v>0.05187988281250995</x:v>
      </x:c>
      <x:c r="G21" s="60" t="n">
        <x:f>(LN('Datos'!$B$22/'Datos'!$B$23)+'Datos'!$B$24*B21+F21/2)/SQRT(F21)</x:f>
        <x:v>0.15778941699268625</x:v>
      </x:c>
      <x:c r="H21" s="60" t="n">
        <x:f>'Datos'!$B$22*NORM.S.DIST(G21,TRUE)-'Datos'!$B$23*EXP(-'Datos'!$B$24*B21)*NORM.S.DIST(G21-SQRT(F21),TRUE)</x:f>
        <x:v>9.528220661816093</x:v>
      </x:c>
      <x:c r="I21" s="59" t="n">
        <x:f>H21-C21</x:f>
        <x:v>-0.02177933818390798</x:v>
      </x:c>
    </x:row>
    <x:row r="22" ht="22" customHeight="1">
      <x:c r="A22" s="2" t="n">
        <x:v>15</x:v>
      </x:c>
      <x:c r="B22" s="49" t="n">
        <x:f>'Datos'!B42</x:f>
        <x:v>1</x:v>
      </x:c>
      <x:c r="C22" s="60" t="n">
        <x:f>'Datos'!C42</x:f>
        <x:v>9.55</x:v>
      </x:c>
      <x:c r="D22" s="61" t="n">
        <x:f>IF(H21&lt;C21,F21,D21)</x:f>
        <x:v>0.05187988281250995</x:v>
      </x:c>
      <x:c r="E22" s="61" t="n">
        <x:f>IF(H21&gt;C21,F21,E21)</x:f>
        <x:v>0.05249023437500995</x:v>
      </x:c>
      <x:c r="F22" s="61" t="n">
        <x:f>(D22+E22)/2</x:f>
        <x:v>0.05218505859375995</x:v>
      </x:c>
      <x:c r="G22" s="60" t="n">
        <x:f>(LN('Datos'!$B$22/'Datos'!$B$23)+'Datos'!$B$24*B22+F22/2)/SQRT(F22)</x:f>
        <x:v>0.15799532258387</x:v>
      </x:c>
      <x:c r="H22" s="60" t="n">
        <x:f>'Datos'!$B$22*NORM.S.DIST(G22,TRUE)-'Datos'!$B$23*EXP(-'Datos'!$B$24*B22)*NORM.S.DIST(G22-SQRT(F22),TRUE)</x:f>
        <x:v>9.554576686196832</x:v>
      </x:c>
      <x:c r="I22" s="59" t="n">
        <x:f>H22-C22</x:f>
        <x:v>0.004576686196831048</x:v>
      </x:c>
    </x:row>
    <x:row r="23" ht="22" customHeight="1">
      <x:c r="A23" s="2" t="n">
        <x:v>16</x:v>
      </x:c>
      <x:c r="B23" s="49" t="n">
        <x:f>'Datos'!B42</x:f>
        <x:v>1</x:v>
      </x:c>
      <x:c r="C23" s="60" t="n">
        <x:f>'Datos'!C42</x:f>
        <x:v>9.55</x:v>
      </x:c>
      <x:c r="D23" s="61" t="n">
        <x:f>IF(H22&lt;C22,F22,D22)</x:f>
        <x:v>0.05187988281250995</x:v>
      </x:c>
      <x:c r="E23" s="61" t="n">
        <x:f>IF(H22&gt;C22,F22,E22)</x:f>
        <x:v>0.05218505859375995</x:v>
      </x:c>
      <x:c r="F23" s="61" t="n">
        <x:f>(D23+E23)/2</x:f>
        <x:v>0.05203247070313495</x:v>
      </x:c>
      <x:c r="G23" s="60" t="n">
        <x:f>(LN('Datos'!$B$22/'Datos'!$B$23)+'Datos'!$B$24*B23+F23/2)/SQRT(F23)</x:f>
        <x:v>0.15789235101368257</x:v>
      </x:c>
      <x:c r="H23" s="60" t="n">
        <x:f>'Datos'!$B$22*NORM.S.DIST(G23,TRUE)-'Datos'!$B$23*EXP(-'Datos'!$B$24*B23)*NORM.S.DIST(G23-SQRT(F23),TRUE)</x:f>
        <x:v>9.541408442428661</x:v>
      </x:c>
      <x:c r="I23" s="59" t="n">
        <x:f>H23-C23</x:f>
        <x:v>-0.008591557571339337</x:v>
      </x:c>
    </x:row>
    <x:row r="24" ht="22" customHeight="1">
      <x:c r="A24" s="2" t="n">
        <x:v>17</x:v>
      </x:c>
      <x:c r="B24" s="49" t="n">
        <x:f>'Datos'!B42</x:f>
        <x:v>1</x:v>
      </x:c>
      <x:c r="C24" s="60" t="n">
        <x:f>'Datos'!C42</x:f>
        <x:v>9.55</x:v>
      </x:c>
      <x:c r="D24" s="61" t="n">
        <x:f>IF(H23&lt;C23,F23,D23)</x:f>
        <x:v>0.05203247070313495</x:v>
      </x:c>
      <x:c r="E24" s="61" t="n">
        <x:f>IF(H23&gt;C23,F23,E23)</x:f>
        <x:v>0.05218505859375995</x:v>
      </x:c>
      <x:c r="F24" s="61" t="n">
        <x:f>(D24+E24)/2</x:f>
        <x:v>0.05210876464844745</x:v>
      </x:c>
      <x:c r="G24" s="60" t="n">
        <x:f>(LN('Datos'!$B$22/'Datos'!$B$23)+'Datos'!$B$24*B24+F24/2)/SQRT(F24)</x:f>
        <x:v>0.1579438321671719</x:v>
      </x:c>
      <x:c r="H24" s="60" t="n">
        <x:f>'Datos'!$B$22*NORM.S.DIST(G24,TRUE)-'Datos'!$B$23*EXP(-'Datos'!$B$24*B24)*NORM.S.DIST(G24-SQRT(F24),TRUE)</x:f>
        <x:v>9.547995001084999</x:v>
      </x:c>
      <x:c r="I24" s="59" t="n">
        <x:f>H24-C24</x:f>
        <x:v>-0.002004998915001721</x:v>
      </x:c>
    </x:row>
    <x:row r="25" ht="22" customHeight="1">
      <x:c r="A25" s="2" t="n">
        <x:v>18</x:v>
      </x:c>
      <x:c r="B25" s="49" t="n">
        <x:f>'Datos'!B42</x:f>
        <x:v>1</x:v>
      </x:c>
      <x:c r="C25" s="60" t="n">
        <x:f>'Datos'!C42</x:f>
        <x:v>9.55</x:v>
      </x:c>
      <x:c r="D25" s="61" t="n">
        <x:f>IF(H24&lt;C24,F24,D24)</x:f>
        <x:v>0.05210876464844745</x:v>
      </x:c>
      <x:c r="E25" s="61" t="n">
        <x:f>IF(H24&gt;C24,F24,E24)</x:f>
        <x:v>0.05218505859375995</x:v>
      </x:c>
      <x:c r="F25" s="61" t="n">
        <x:f>(D25+E25)/2</x:f>
        <x:v>0.0521469116211037</x:v>
      </x:c>
      <x:c r="G25" s="60" t="n">
        <x:f>(LN('Datos'!$B$22/'Datos'!$B$23)+'Datos'!$B$24*B25+F25/2)/SQRT(F25)</x:f>
        <x:v>0.1579695762253299</x:v>
      </x:c>
      <x:c r="H25" s="60" t="n">
        <x:f>'Datos'!$B$22*NORM.S.DIST(G25,TRUE)-'Datos'!$B$23*EXP(-'Datos'!$B$24*B25)*NORM.S.DIST(G25-SQRT(F25),TRUE)</x:f>
        <x:v>9.55128645216945</x:v>
      </x:c>
      <x:c r="I25" s="59" t="n">
        <x:f>H25-C25</x:f>
        <x:v>0.0012864521694488928</x:v>
      </x:c>
    </x:row>
    <x:row r="26" ht="22" customHeight="1">
      <x:c r="A26" s="2" t="n">
        <x:v>19</x:v>
      </x:c>
      <x:c r="B26" s="49" t="n">
        <x:f>'Datos'!B42</x:f>
        <x:v>1</x:v>
      </x:c>
      <x:c r="C26" s="60" t="n">
        <x:f>'Datos'!C42</x:f>
        <x:v>9.55</x:v>
      </x:c>
      <x:c r="D26" s="61" t="n">
        <x:f>IF(H25&lt;C25,F25,D25)</x:f>
        <x:v>0.05210876464844745</x:v>
      </x:c>
      <x:c r="E26" s="61" t="n">
        <x:f>IF(H25&gt;C25,F25,E25)</x:f>
        <x:v>0.0521469116211037</x:v>
      </x:c>
      <x:c r="F26" s="61" t="n">
        <x:f>(D26+E26)/2</x:f>
        <x:v>0.052127838134775575</x:v>
      </x:c>
      <x:c r="G26" s="60" t="n">
        <x:f>(LN('Datos'!$B$22/'Datos'!$B$23)+'Datos'!$B$24*B26+F26/2)/SQRT(F26)</x:f>
        <x:v>0.15795670390774139</x:v>
      </x:c>
      <x:c r="H26" s="60" t="n">
        <x:f>'Datos'!$B$22*NORM.S.DIST(G26,TRUE)-'Datos'!$B$23*EXP(-'Datos'!$B$24*B26)*NORM.S.DIST(G26-SQRT(F26),TRUE)</x:f>
        <x:v>9.549640878842332</x:v>
      </x:c>
      <x:c r="I26" s="59" t="n">
        <x:f>H26-C26</x:f>
        <x:v>-0.00035912115766834063</x:v>
      </x:c>
    </x:row>
    <x:row r="27" ht="22" customHeight="1">
      <x:c r="A27" s="2" t="n">
        <x:v>20</x:v>
      </x:c>
      <x:c r="B27" s="49" t="n">
        <x:f>'Datos'!B42</x:f>
        <x:v>1</x:v>
      </x:c>
      <x:c r="C27" s="60" t="n">
        <x:f>'Datos'!C42</x:f>
        <x:v>9.55</x:v>
      </x:c>
      <x:c r="D27" s="61" t="n">
        <x:f>IF(H26&lt;C26,F26,D26)</x:f>
        <x:v>0.052127838134775575</x:v>
      </x:c>
      <x:c r="E27" s="61" t="n">
        <x:f>IF(H26&gt;C26,F26,E26)</x:f>
        <x:v>0.0521469116211037</x:v>
      </x:c>
      <x:c r="F27" s="61" t="n">
        <x:f>(D27+E27)/2</x:f>
        <x:v>0.05213737487793964</x:v>
      </x:c>
      <x:c r="G27" s="60" t="n">
        <x:f>(LN('Datos'!$B$22/'Datos'!$B$23)+'Datos'!$B$24*B27+F27/2)/SQRT(F27)</x:f>
        <x:v>0.1579631399945286</x:v>
      </x:c>
      <x:c r="H27" s="60" t="n">
        <x:f>'Datos'!$B$22*NORM.S.DIST(G27,TRUE)-'Datos'!$B$23*EXP(-'Datos'!$B$24*B27)*NORM.S.DIST(G27-SQRT(F27),TRUE)</x:f>
        <x:v>9.550463703549276</x:v>
      </x:c>
      <x:c r="I27" s="59" t="n">
        <x:f>H27-C27</x:f>
        <x:v>0.000463703549275607</x:v>
      </x:c>
    </x:row>
    <x:row r="28" ht="22" customHeight="1">
      <x:c r="A28" s="2" t="n">
        <x:v>21</x:v>
      </x:c>
      <x:c r="B28" s="49" t="n">
        <x:f>'Datos'!B42</x:f>
        <x:v>1</x:v>
      </x:c>
      <x:c r="C28" s="60" t="n">
        <x:f>'Datos'!C42</x:f>
        <x:v>9.55</x:v>
      </x:c>
      <x:c r="D28" s="61" t="n">
        <x:f>IF(H27&lt;C27,F27,D27)</x:f>
        <x:v>0.052127838134775575</x:v>
      </x:c>
      <x:c r="E28" s="61" t="n">
        <x:f>IF(H27&gt;C27,F27,E27)</x:f>
        <x:v>0.05213737487793964</x:v>
      </x:c>
      <x:c r="F28" s="61" t="n">
        <x:f>(D28+E28)/2</x:f>
        <x:v>0.05213260650635761</x:v>
      </x:c>
      <x:c r="G28" s="60" t="n">
        <x:f>(LN('Datos'!$B$22/'Datos'!$B$23)+'Datos'!$B$24*B28+F28/2)/SQRT(F28)</x:f>
        <x:v>0.1579599219331182</x:v>
      </x:c>
      <x:c r="H28" s="60" t="n">
        <x:f>'Datos'!$B$22*NORM.S.DIST(G28,TRUE)-'Datos'!$B$23*EXP(-'Datos'!$B$24*B28)*NORM.S.DIST(G28-SQRT(F28),TRUE)</x:f>
        <x:v>9.550052300707954</x:v>
      </x:c>
      <x:c r="I28" s="59" t="n">
        <x:f>H28-C28</x:f>
        <x:v>0.00005230070795292363</x:v>
      </x:c>
    </x:row>
    <x:row r="29" ht="22" customHeight="1">
      <x:c r="A29" s="2" t="n">
        <x:v>22</x:v>
      </x:c>
      <x:c r="B29" s="49" t="n">
        <x:f>'Datos'!B42</x:f>
        <x:v>1</x:v>
      </x:c>
      <x:c r="C29" s="60" t="n">
        <x:f>'Datos'!C42</x:f>
        <x:v>9.55</x:v>
      </x:c>
      <x:c r="D29" s="61" t="n">
        <x:f>IF(H28&lt;C28,F28,D28)</x:f>
        <x:v>0.052127838134775575</x:v>
      </x:c>
      <x:c r="E29" s="61" t="n">
        <x:f>IF(H28&gt;C28,F28,E28)</x:f>
        <x:v>0.05213260650635761</x:v>
      </x:c>
      <x:c r="F29" s="61" t="n">
        <x:f>(D29+E29)/2</x:f>
        <x:v>0.05213022232056659</x:v>
      </x:c>
      <x:c r="G29" s="60" t="n">
        <x:f>(LN('Datos'!$B$22/'Datos'!$B$23)+'Datos'!$B$24*B29+F29/2)/SQRT(F29)</x:f>
        <x:v>0.15795831291592372</x:v>
      </x:c>
      <x:c r="H29" s="60" t="n">
        <x:f>'Datos'!$B$22*NORM.S.DIST(G29,TRUE)-'Datos'!$B$23*EXP(-'Datos'!$B$24*B29)*NORM.S.DIST(G29-SQRT(F29),TRUE)</x:f>
        <x:v>9.549846592153322</x:v>
      </x:c>
      <x:c r="I29" s="59" t="n">
        <x:f>H29-C29</x:f>
        <x:v>-0.00015340784667827734</x:v>
      </x:c>
    </x:row>
    <x:row r="30" ht="22" customHeight="1">
      <x:c r="A30" s="2" t="n">
        <x:v>23</x:v>
      </x:c>
      <x:c r="B30" s="49" t="n">
        <x:f>'Datos'!B42</x:f>
        <x:v>1</x:v>
      </x:c>
      <x:c r="C30" s="60" t="n">
        <x:f>'Datos'!C42</x:f>
        <x:v>9.55</x:v>
      </x:c>
      <x:c r="D30" s="61" t="n">
        <x:f>IF(H29&lt;C29,F29,D29)</x:f>
        <x:v>0.05213022232056659</x:v>
      </x:c>
      <x:c r="E30" s="61" t="n">
        <x:f>IF(H29&gt;C29,F29,E29)</x:f>
        <x:v>0.05213260650635761</x:v>
      </x:c>
      <x:c r="F30" s="61" t="n">
        <x:f>(D30+E30)/2</x:f>
        <x:v>0.0521314144134621</x:v>
      </x:c>
      <x:c r="G30" s="60" t="n">
        <x:f>(LN('Datos'!$B$22/'Datos'!$B$23)+'Datos'!$B$24*B30+F30/2)/SQRT(F30)</x:f>
        <x:v>0.1579591174233947</x:v>
      </x:c>
      <x:c r="H30" s="60" t="n">
        <x:f>'Datos'!$B$22*NORM.S.DIST(G30,TRUE)-'Datos'!$B$23*EXP(-'Datos'!$B$24*B30)*NORM.S.DIST(G30-SQRT(F30),TRUE)</x:f>
        <x:v>9.549949447025178</x:v>
      </x:c>
      <x:c r="I30" s="59" t="n">
        <x:f>H30-C30</x:f>
        <x:v>-0.000050552974823148134</x:v>
      </x:c>
    </x:row>
    <x:row r="31" ht="22" customHeight="1">
      <x:c r="A31" s="2" t="n">
        <x:v>24</x:v>
      </x:c>
      <x:c r="B31" s="49" t="n">
        <x:f>'Datos'!B42</x:f>
        <x:v>1</x:v>
      </x:c>
      <x:c r="C31" s="60" t="n">
        <x:f>'Datos'!C42</x:f>
        <x:v>9.55</x:v>
      </x:c>
      <x:c r="D31" s="61" t="n">
        <x:f>IF(H30&lt;C30,F30,D30)</x:f>
        <x:v>0.0521314144134621</x:v>
      </x:c>
      <x:c r="E31" s="61" t="n">
        <x:f>IF(H30&gt;C30,F30,E30)</x:f>
        <x:v>0.05213260650635761</x:v>
      </x:c>
      <x:c r="F31" s="61" t="n">
        <x:f>(D31+E31)/2</x:f>
        <x:v>0.05213201045990985</x:v>
      </x:c>
      <x:c r="G31" s="60" t="n">
        <x:f>(LN('Datos'!$B$22/'Datos'!$B$23)+'Datos'!$B$24*B31+F31/2)/SQRT(F31)</x:f>
        <x:v>0.1579595196779749</x:v>
      </x:c>
      <x:c r="H31" s="60" t="n">
        <x:f>'Datos'!$B$22*NORM.S.DIST(G31,TRUE)-'Datos'!$B$23*EXP(-'Datos'!$B$24*B31)*NORM.S.DIST(G31-SQRT(F31),TRUE)</x:f>
        <x:v>9.550000874015176</x:v>
      </x:c>
      <x:c r="I31" s="59" t="n">
        <x:f>H31-C31</x:f>
        <x:v>8.740151749009328e-7</x:v>
      </x:c>
    </x:row>
    <x:row r="32" ht="22" customHeight="1">
      <x:c r="A32" s="2" t="n">
        <x:v>25</x:v>
      </x:c>
      <x:c r="B32" s="49" t="n">
        <x:f>'Datos'!B42</x:f>
        <x:v>1</x:v>
      </x:c>
      <x:c r="C32" s="60" t="n">
        <x:f>'Datos'!C42</x:f>
        <x:v>9.55</x:v>
      </x:c>
      <x:c r="D32" s="61" t="n">
        <x:f>IF(H31&lt;C31,F31,D31)</x:f>
        <x:v>0.0521314144134621</x:v>
      </x:c>
      <x:c r="E32" s="61" t="n">
        <x:f>IF(H31&gt;C31,F31,E31)</x:f>
        <x:v>0.05213201045990985</x:v>
      </x:c>
      <x:c r="F32" s="61" t="n">
        <x:f>(D32+E32)/2</x:f>
        <x:v>0.052131712436685976</x:v>
      </x:c>
      <x:c r="G32" s="60" t="n">
        <x:f>(LN('Datos'!$B$22/'Datos'!$B$23)+'Datos'!$B$24*B32+F32/2)/SQRT(F32)</x:f>
        <x:v>0.1579593185506144</x:v>
      </x:c>
      <x:c r="H32" s="60" t="n">
        <x:f>'Datos'!$B$22*NORM.S.DIST(G32,TRUE)-'Datos'!$B$23*EXP(-'Datos'!$B$24*B32)*NORM.S.DIST(G32-SQRT(F32),TRUE)</x:f>
        <x:v>9.549975160557317</x:v>
      </x:c>
      <x:c r="I32" s="59" t="n">
        <x:f>H32-C32</x:f>
        <x:v>-0.000024839442684054802</x:v>
      </x:c>
    </x:row>
    <x:row r="33" ht="22" customHeight="1">
      <x:c r="A33" s="2" t="n">
        <x:v>26</x:v>
      </x:c>
      <x:c r="B33" s="49" t="n">
        <x:f>'Datos'!B42</x:f>
        <x:v>1</x:v>
      </x:c>
      <x:c r="C33" s="60" t="n">
        <x:f>'Datos'!C42</x:f>
        <x:v>9.55</x:v>
      </x:c>
      <x:c r="D33" s="61" t="n">
        <x:f>IF(H32&lt;C32,F32,D32)</x:f>
        <x:v>0.052131712436685976</x:v>
      </x:c>
      <x:c r="E33" s="61" t="n">
        <x:f>IF(H32&gt;C32,F32,E32)</x:f>
        <x:v>0.05213201045990985</x:v>
      </x:c>
      <x:c r="F33" s="61" t="n">
        <x:f>(D33+E33)/2</x:f>
        <x:v>0.052131861448297914</x:v>
      </x:c>
      <x:c r="G33" s="60" t="n">
        <x:f>(LN('Datos'!$B$22/'Datos'!$B$23)+'Datos'!$B$24*B33+F33/2)/SQRT(F33)</x:f>
        <x:v>0.15795941911427705</x:v>
      </x:c>
      <x:c r="H33" s="60" t="n">
        <x:f>'Datos'!$B$22*NORM.S.DIST(G33,TRUE)-'Datos'!$B$23*EXP(-'Datos'!$B$24*B33)*NORM.S.DIST(G33-SQRT(F33),TRUE)</x:f>
        <x:v>9.54998801729554</x:v>
      </x:c>
      <x:c r="I33" s="59" t="n">
        <x:f>H33-C33</x:f>
        <x:v>-0.000011982704460677951</x:v>
      </x:c>
    </x:row>
    <x:row r="34" ht="22" customHeight="1">
      <x:c r="A34" s="2" t="n">
        <x:v>27</x:v>
      </x:c>
      <x:c r="B34" s="49" t="n">
        <x:f>'Datos'!B42</x:f>
        <x:v>1</x:v>
      </x:c>
      <x:c r="C34" s="60" t="n">
        <x:f>'Datos'!C42</x:f>
        <x:v>9.55</x:v>
      </x:c>
      <x:c r="D34" s="61" t="n">
        <x:f>IF(H33&lt;C33,F33,D33)</x:f>
        <x:v>0.052131861448297914</x:v>
      </x:c>
      <x:c r="E34" s="61" t="n">
        <x:f>IF(H33&gt;C33,F33,E33)</x:f>
        <x:v>0.05213201045990985</x:v>
      </x:c>
      <x:c r="F34" s="61" t="n">
        <x:f>(D34+E34)/2</x:f>
        <x:v>0.052131935954103883</x:v>
      </x:c>
      <x:c r="G34" s="60" t="n">
        <x:f>(LN('Datos'!$B$22/'Datos'!$B$23)+'Datos'!$B$24*B34+F34/2)/SQRT(F34)</x:f>
        <x:v>0.15795946939612157</x:v>
      </x:c>
      <x:c r="H34" s="60" t="n">
        <x:f>'Datos'!$B$22*NORM.S.DIST(G34,TRUE)-'Datos'!$B$23*EXP(-'Datos'!$B$24*B34)*NORM.S.DIST(G34-SQRT(F34),TRUE)</x:f>
        <x:v>9.549994445657703</x:v>
      </x:c>
      <x:c r="I34" s="59" t="n">
        <x:f>H34-C34</x:f>
        <x:v>-0.000005554342298097481</x:v>
      </x:c>
    </x:row>
    <x:row r="35" ht="22" customHeight="1">
      <x:c r="A35" s="2" t="n">
        <x:v>28</x:v>
      </x:c>
      <x:c r="B35" s="49" t="n">
        <x:f>'Datos'!B42</x:f>
        <x:v>1</x:v>
      </x:c>
      <x:c r="C35" s="60" t="n">
        <x:f>'Datos'!C42</x:f>
        <x:v>9.55</x:v>
      </x:c>
      <x:c r="D35" s="61" t="n">
        <x:f>IF(H34&lt;C34,F34,D34)</x:f>
        <x:v>0.052131935954103883</x:v>
      </x:c>
      <x:c r="E35" s="61" t="n">
        <x:f>IF(H34&gt;C34,F34,E34)</x:f>
        <x:v>0.05213201045990985</x:v>
      </x:c>
      <x:c r="F35" s="61" t="n">
        <x:f>(D35+E35)/2</x:f>
        <x:v>0.05213197320700687</x:v>
      </x:c>
      <x:c r="G35" s="60" t="n">
        <x:f>(LN('Datos'!$B$22/'Datos'!$B$23)+'Datos'!$B$24*B35+F35/2)/SQRT(F35)</x:f>
        <x:v>0.15795949453704713</x:v>
      </x:c>
      <x:c r="H35" s="60" t="n">
        <x:f>'Datos'!$B$22*NORM.S.DIST(G35,TRUE)-'Datos'!$B$23*EXP(-'Datos'!$B$24*B35)*NORM.S.DIST(G35-SQRT(F35),TRUE)</x:f>
        <x:v>9.549997659837025</x:v>
      </x:c>
      <x:c r="I35" s="59" t="n">
        <x:f>H35-C35</x:f>
        <x:v>-0.000002340162975400517</x:v>
      </x:c>
    </x:row>
    <x:row r="36" ht="22" customHeight="1">
      <x:c r="A36" s="2" t="n">
        <x:v>29</x:v>
      </x:c>
      <x:c r="B36" s="49" t="n">
        <x:f>'Datos'!B42</x:f>
        <x:v>1</x:v>
      </x:c>
      <x:c r="C36" s="60" t="n">
        <x:f>'Datos'!C42</x:f>
        <x:v>9.55</x:v>
      </x:c>
      <x:c r="D36" s="61" t="n">
        <x:f>IF(H35&lt;C35,F35,D35)</x:f>
        <x:v>0.05213197320700687</x:v>
      </x:c>
      <x:c r="E36" s="61" t="n">
        <x:f>IF(H35&gt;C35,F35,E35)</x:f>
        <x:v>0.05213201045990985</x:v>
      </x:c>
      <x:c r="F36" s="61" t="n">
        <x:f>(D36+E36)/2</x:f>
        <x:v>0.05213199183345836</x:v>
      </x:c>
      <x:c r="G36" s="60" t="n">
        <x:f>(LN('Datos'!$B$22/'Datos'!$B$23)+'Datos'!$B$24*B36+F36/2)/SQRT(F36)</x:f>
        <x:v>0.15795950710751075</x:v>
      </x:c>
      <x:c r="H36" s="60" t="n">
        <x:f>'Datos'!$B$22*NORM.S.DIST(G36,TRUE)-'Datos'!$B$23*EXP(-'Datos'!$B$24*B36)*NORM.S.DIST(G36-SQRT(F36),TRUE)</x:f>
        <x:v>9.549999266926228</x:v>
      </x:c>
      <x:c r="I36" s="59" t="n">
        <x:f>H36-C36</x:f>
        <x:v>-7.330737723520997e-7</x:v>
      </x:c>
    </x:row>
    <x:row r="37" ht="22" customHeight="1">
      <x:c r="A37" s="2" t="n">
        <x:v>30</x:v>
      </x:c>
      <x:c r="B37" s="49" t="n">
        <x:f>'Datos'!B42</x:f>
        <x:v>1</x:v>
      </x:c>
      <x:c r="C37" s="60" t="n">
        <x:f>'Datos'!C42</x:f>
        <x:v>9.55</x:v>
      </x:c>
      <x:c r="D37" s="61" t="n">
        <x:f>IF(H36&lt;C36,F36,D36)</x:f>
        <x:v>0.05213199183345836</x:v>
      </x:c>
      <x:c r="E37" s="61" t="n">
        <x:f>IF(H36&gt;C36,F36,E36)</x:f>
        <x:v>0.05213201045990985</x:v>
      </x:c>
      <x:c r="F37" s="61" t="n">
        <x:f>(D37+E37)/2</x:f>
        <x:v>0.05213200114668411</x:v>
      </x:c>
      <x:c r="G37" s="60" t="n">
        <x:f>(LN('Datos'!$B$22/'Datos'!$B$23)+'Datos'!$B$24*B37+F37/2)/SQRT(F37)</x:f>
        <x:v>0.15795951339274275</x:v>
      </x:c>
      <x:c r="H37" s="60" t="n">
        <x:f>'Datos'!$B$22*NORM.S.DIST(G37,TRUE)-'Datos'!$B$23*EXP(-'Datos'!$B$24*B37)*NORM.S.DIST(G37-SQRT(F37),TRUE)</x:f>
        <x:v>9.550000070470738</x:v>
      </x:c>
      <x:c r="I37" s="59" t="n">
        <x:f>H37-C37</x:f>
        <x:v>7.047073680155336e-8</x:v>
      </x:c>
    </x:row>
    <x:row r="38" ht="22" customHeight="1">
      <x:c r="A38" s="2" t="n">
        <x:v>31</x:v>
      </x:c>
      <x:c r="B38" s="49" t="n">
        <x:f>'Datos'!B42</x:f>
        <x:v>1</x:v>
      </x:c>
      <x:c r="C38" s="60" t="n">
        <x:f>'Datos'!C42</x:f>
        <x:v>9.55</x:v>
      </x:c>
      <x:c r="D38" s="61" t="n">
        <x:f>IF(H37&lt;C37,F37,D37)</x:f>
        <x:v>0.05213199183345836</x:v>
      </x:c>
      <x:c r="E38" s="61" t="n">
        <x:f>IF(H37&gt;C37,F37,E37)</x:f>
        <x:v>0.05213200114668411</x:v>
      </x:c>
      <x:c r="F38" s="61" t="n">
        <x:f>(D38+E38)/2</x:f>
        <x:v>0.052131996490071233</x:v>
      </x:c>
      <x:c r="G38" s="60" t="n">
        <x:f>(LN('Datos'!$B$22/'Datos'!$B$23)+'Datos'!$B$24*B38+F38/2)/SQRT(F38)</x:f>
        <x:v>0.15795951025012672</x:v>
      </x:c>
      <x:c r="H38" s="60" t="n">
        <x:f>'Datos'!$B$22*NORM.S.DIST(G38,TRUE)-'Datos'!$B$23*EXP(-'Datos'!$B$24*B38)*NORM.S.DIST(G38-SQRT(F38),TRUE)</x:f>
        <x:v>9.549999668698504</x:v>
      </x:c>
      <x:c r="I38" s="59" t="n">
        <x:f>H38-C38</x:f>
        <x:v>-3.313014964589911e-7</x:v>
      </x:c>
    </x:row>
    <x:row r="39" ht="22" customHeight="1">
      <x:c r="A39" s="2" t="n">
        <x:v>32</x:v>
      </x:c>
      <x:c r="B39" s="49" t="n">
        <x:f>'Datos'!B42</x:f>
        <x:v>1</x:v>
      </x:c>
      <x:c r="C39" s="60" t="n">
        <x:f>'Datos'!C42</x:f>
        <x:v>9.55</x:v>
      </x:c>
      <x:c r="D39" s="61" t="n">
        <x:f>IF(H38&lt;C38,F38,D38)</x:f>
        <x:v>0.052131996490071233</x:v>
      </x:c>
      <x:c r="E39" s="61" t="n">
        <x:f>IF(H38&gt;C38,F38,E38)</x:f>
        <x:v>0.05213200114668411</x:v>
      </x:c>
      <x:c r="F39" s="61" t="n">
        <x:f>(D39+E39)/2</x:f>
        <x:v>0.05213199881837767</x:v>
      </x:c>
      <x:c r="G39" s="60" t="n">
        <x:f>(LN('Datos'!$B$22/'Datos'!$B$23)+'Datos'!$B$24*B39+F39/2)/SQRT(F39)</x:f>
        <x:v>0.15795951182143472</x:v>
      </x:c>
      <x:c r="H39" s="60" t="n">
        <x:f>'Datos'!$B$22*NORM.S.DIST(G39,TRUE)-'Datos'!$B$23*EXP(-'Datos'!$B$24*B39)*NORM.S.DIST(G39-SQRT(F39),TRUE)</x:f>
        <x:v>9.549999869584646</x:v>
      </x:c>
      <x:c r="I39" s="59" t="n">
        <x:f>H39-C39</x:f>
        <x:v>-1.3041535495972312e-7</x:v>
      </x:c>
    </x:row>
    <x:row r="40" ht="22" customHeight="1">
      <x:c r="A40" s="2" t="n">
        <x:v>33</x:v>
      </x:c>
      <x:c r="B40" s="49" t="n">
        <x:f>'Datos'!B42</x:f>
        <x:v>1</x:v>
      </x:c>
      <x:c r="C40" s="60" t="n">
        <x:f>'Datos'!C42</x:f>
        <x:v>9.55</x:v>
      </x:c>
      <x:c r="D40" s="61" t="n">
        <x:f>IF(H39&lt;C39,F39,D39)</x:f>
        <x:v>0.05213199881837767</x:v>
      </x:c>
      <x:c r="E40" s="61" t="n">
        <x:f>IF(H39&gt;C39,F39,E39)</x:f>
        <x:v>0.05213200114668411</x:v>
      </x:c>
      <x:c r="F40" s="61" t="n">
        <x:f>(D40+E40)/2</x:f>
        <x:v>0.05213199998253089</x:v>
      </x:c>
      <x:c r="G40" s="60" t="n">
        <x:f>(LN('Datos'!$B$22/'Datos'!$B$23)+'Datos'!$B$24*B40+F40/2)/SQRT(F40)</x:f>
        <x:v>0.15795951260708874</x:v>
      </x:c>
      <x:c r="H40" s="60" t="n">
        <x:f>'Datos'!$B$22*NORM.S.DIST(G40,TRUE)-'Datos'!$B$23*EXP(-'Datos'!$B$24*B40)*NORM.S.DIST(G40-SQRT(F40),TRUE)</x:f>
        <x:v>9.549999970027706</x:v>
      </x:c>
      <x:c r="I40" s="59" t="n">
        <x:f>H40-C40</x:f>
        <x:v>-2.9972294868230165e-8</x:v>
      </x:c>
    </x:row>
    <x:row r="41" ht="22" customHeight="1">
      <x:c r="A41" s="2" t="n">
        <x:v>34</x:v>
      </x:c>
      <x:c r="B41" s="49" t="n">
        <x:f>'Datos'!B42</x:f>
        <x:v>1</x:v>
      </x:c>
      <x:c r="C41" s="60" t="n">
        <x:f>'Datos'!C42</x:f>
        <x:v>9.55</x:v>
      </x:c>
      <x:c r="D41" s="61" t="n">
        <x:f>IF(H40&lt;C40,F40,D40)</x:f>
        <x:v>0.05213199998253089</x:v>
      </x:c>
      <x:c r="E41" s="61" t="n">
        <x:f>IF(H40&gt;C40,F40,E40)</x:f>
        <x:v>0.05213200114668411</x:v>
      </x:c>
      <x:c r="F41" s="61" t="n">
        <x:f>(D41+E41)/2</x:f>
        <x:v>0.0521320005646075</x:v>
      </x:c>
      <x:c r="G41" s="60" t="n">
        <x:f>(LN('Datos'!$B$22/'Datos'!$B$23)+'Datos'!$B$24*B41+F41/2)/SQRT(F41)</x:f>
        <x:v>0.15795951299991576</x:v>
      </x:c>
      <x:c r="H41" s="60" t="n">
        <x:f>'Datos'!$B$22*NORM.S.DIST(G41,TRUE)-'Datos'!$B$23*EXP(-'Datos'!$B$24*B41)*NORM.S.DIST(G41-SQRT(F41),TRUE)</x:f>
        <x:v>9.550000020249222</x:v>
      </x:c>
      <x:c r="I41" s="59" t="n">
        <x:f>H41-C41</x:f>
        <x:v>2.0249220966661596e-8</x:v>
      </x:c>
    </x:row>
    <x:row r="42" ht="22" customHeight="1">
      <x:c r="A42" s="2" t="n">
        <x:v>35</x:v>
      </x:c>
      <x:c r="B42" s="49" t="n">
        <x:f>'Datos'!B42</x:f>
        <x:v>1</x:v>
      </x:c>
      <x:c r="C42" s="60" t="n">
        <x:f>'Datos'!C42</x:f>
        <x:v>9.55</x:v>
      </x:c>
      <x:c r="D42" s="61" t="n">
        <x:f>IF(H41&lt;C41,F41,D41)</x:f>
        <x:v>0.05213199998253089</x:v>
      </x:c>
      <x:c r="E42" s="61" t="n">
        <x:f>IF(H41&gt;C41,F41,E41)</x:f>
        <x:v>0.0521320005646075</x:v>
      </x:c>
      <x:c r="F42" s="61" t="n">
        <x:f>(D42+E42)/2</x:f>
        <x:v>0.05213200027356919</x:v>
      </x:c>
      <x:c r="G42" s="60" t="n">
        <x:f>(LN('Datos'!$B$22/'Datos'!$B$23)+'Datos'!$B$24*B42+F42/2)/SQRT(F42)</x:f>
        <x:v>0.15795951280350226</x:v>
      </x:c>
      <x:c r="H42" s="60" t="n">
        <x:f>'Datos'!$B$22*NORM.S.DIST(G42,TRUE)-'Datos'!$B$23*EXP(-'Datos'!$B$24*B42)*NORM.S.DIST(G42-SQRT(F42),TRUE)</x:f>
        <x:v>9.549999995138464</x:v>
      </x:c>
      <x:c r="I42" s="59" t="n">
        <x:f>H42-C42</x:f>
        <x:v>-4.861536950784284e-9</x:v>
      </x:c>
    </x:row>
    <x:row r="43" ht="22" customHeight="1">
      <x:c r="A43" s="2" t="n">
        <x:v>36</x:v>
      </x:c>
      <x:c r="B43" s="49" t="n">
        <x:f>'Datos'!B42</x:f>
        <x:v>1</x:v>
      </x:c>
      <x:c r="C43" s="60" t="n">
        <x:f>'Datos'!C42</x:f>
        <x:v>9.55</x:v>
      </x:c>
      <x:c r="D43" s="61" t="n">
        <x:f>IF(H42&lt;C42,F42,D42)</x:f>
        <x:v>0.05213200027356919</x:v>
      </x:c>
      <x:c r="E43" s="61" t="n">
        <x:f>IF(H42&gt;C42,F42,E42)</x:f>
        <x:v>0.0521320005646075</x:v>
      </x:c>
      <x:c r="F43" s="61" t="n">
        <x:f>(D43+E43)/2</x:f>
        <x:v>0.052132000419088345</x:v>
      </x:c>
      <x:c r="G43" s="60" t="n">
        <x:f>(LN('Datos'!$B$22/'Datos'!$B$23)+'Datos'!$B$24*B43+F43/2)/SQRT(F43)</x:f>
        <x:v>0.157959512901709</x:v>
      </x:c>
      <x:c r="H43" s="60" t="n">
        <x:f>'Datos'!$B$22*NORM.S.DIST(G43,TRUE)-'Datos'!$B$23*EXP(-'Datos'!$B$24*B43)*NORM.S.DIST(G43-SQRT(F43),TRUE)</x:f>
        <x:v>9.550000007693832</x:v>
      </x:c>
      <x:c r="I43" s="59" t="n">
        <x:f>H43-C43</x:f>
        <x:v>7.69383134979762e-9</x:v>
      </x:c>
    </x:row>
    <x:row r="44" ht="22" customHeight="1">
      <x:c r="A44" s="2" t="n">
        <x:v>37</x:v>
      </x:c>
      <x:c r="B44" s="49" t="n">
        <x:f>'Datos'!B42</x:f>
        <x:v>1</x:v>
      </x:c>
      <x:c r="C44" s="60" t="n">
        <x:f>'Datos'!C42</x:f>
        <x:v>9.55</x:v>
      </x:c>
      <x:c r="D44" s="61" t="n">
        <x:f>IF(H43&lt;C43,F43,D43)</x:f>
        <x:v>0.05213200027356919</x:v>
      </x:c>
      <x:c r="E44" s="61" t="n">
        <x:f>IF(H43&gt;C43,F43,E43)</x:f>
        <x:v>0.052132000419088345</x:v>
      </x:c>
      <x:c r="F44" s="61" t="n">
        <x:f>(D44+E44)/2</x:f>
        <x:v>0.05213200034632877</x:v>
      </x:c>
      <x:c r="G44" s="60" t="n">
        <x:f>(LN('Datos'!$B$22/'Datos'!$B$23)+'Datos'!$B$24*B44+F44/2)/SQRT(F44)</x:f>
        <x:v>0.15795951285260562</x:v>
      </x:c>
      <x:c r="H44" s="60" t="n">
        <x:f>'Datos'!$B$22*NORM.S.DIST(G44,TRUE)-'Datos'!$B$23*EXP(-'Datos'!$B$24*B44)*NORM.S.DIST(G44-SQRT(F44),TRUE)</x:f>
        <x:v>9.550000001416151</x:v>
      </x:c>
      <x:c r="I44" s="59" t="n">
        <x:f>H44-C44</x:f>
        <x:v>1.4161507522203465e-9</x:v>
      </x:c>
    </x:row>
    <x:row r="45" ht="22" customHeight="1">
      <x:c r="A45" s="2" t="n">
        <x:v>38</x:v>
      </x:c>
      <x:c r="B45" s="49" t="n">
        <x:f>'Datos'!B42</x:f>
        <x:v>1</x:v>
      </x:c>
      <x:c r="C45" s="60" t="n">
        <x:f>'Datos'!C42</x:f>
        <x:v>9.55</x:v>
      </x:c>
      <x:c r="D45" s="61" t="n">
        <x:f>IF(H44&lt;C44,F44,D44)</x:f>
        <x:v>0.05213200027356919</x:v>
      </x:c>
      <x:c r="E45" s="61" t="n">
        <x:f>IF(H44&gt;C44,F44,E44)</x:f>
        <x:v>0.05213200034632877</x:v>
      </x:c>
      <x:c r="F45" s="61" t="n">
        <x:f>(D45+E45)/2</x:f>
        <x:v>0.05213200030994898</x:v>
      </x:c>
      <x:c r="G45" s="60" t="n">
        <x:f>(LN('Datos'!$B$22/'Datos'!$B$23)+'Datos'!$B$24*B45+F45/2)/SQRT(F45)</x:f>
        <x:v>0.15795951282805393</x:v>
      </x:c>
      <x:c r="H45" s="60" t="n">
        <x:f>'Datos'!$B$22*NORM.S.DIST(G45,TRUE)-'Datos'!$B$23*EXP(-'Datos'!$B$24*B45)*NORM.S.DIST(G45-SQRT(F45),TRUE)</x:f>
        <x:v>9.549999998277308</x:v>
      </x:c>
      <x:c r="I45" s="59" t="n">
        <x:f>H45-C45</x:f>
        <x:v>-1.722693099281969e-9</x:v>
      </x:c>
    </x:row>
    <x:row r="46" ht="22" customHeight="1">
      <x:c r="A46" s="2" t="n">
        <x:v>39</x:v>
      </x:c>
      <x:c r="B46" s="49" t="n">
        <x:f>'Datos'!B42</x:f>
        <x:v>1</x:v>
      </x:c>
      <x:c r="C46" s="60" t="n">
        <x:f>'Datos'!C42</x:f>
        <x:v>9.55</x:v>
      </x:c>
      <x:c r="D46" s="61" t="n">
        <x:f>IF(H45&lt;C45,F45,D45)</x:f>
        <x:v>0.05213200030994898</x:v>
      </x:c>
      <x:c r="E46" s="61" t="n">
        <x:f>IF(H45&gt;C45,F45,E45)</x:f>
        <x:v>0.05213200034632877</x:v>
      </x:c>
      <x:c r="F46" s="61" t="n">
        <x:f>(D46+E46)/2</x:f>
        <x:v>0.052132000328138875</x:v>
      </x:c>
      <x:c r="G46" s="60" t="n">
        <x:f>(LN('Datos'!$B$22/'Datos'!$B$23)+'Datos'!$B$24*B46+F46/2)/SQRT(F46)</x:f>
        <x:v>0.15795951284032977</x:v>
      </x:c>
      <x:c r="H46" s="60" t="n">
        <x:f>'Datos'!$B$22*NORM.S.DIST(G46,TRUE)-'Datos'!$B$23*EXP(-'Datos'!$B$24*B46)*NORM.S.DIST(G46-SQRT(F46),TRUE)</x:f>
        <x:v>9.54999999984674</x:v>
      </x:c>
      <x:c r="I46" s="59" t="n">
        <x:f>H46-C46</x:f>
        <x:v>-1.532605153897748e-10</x:v>
      </x:c>
    </x:row>
    <x:row r="47" ht="22" customHeight="1">
      <x:c r="A47" s="2" t="n">
        <x:v>40</x:v>
      </x:c>
      <x:c r="B47" s="49" t="n">
        <x:f>'Datos'!B42</x:f>
        <x:v>1</x:v>
      </x:c>
      <x:c r="C47" s="60" t="n">
        <x:f>'Datos'!C42</x:f>
        <x:v>9.55</x:v>
      </x:c>
      <x:c r="D47" s="61" t="n">
        <x:f>IF(H46&lt;C46,F46,D46)</x:f>
        <x:v>0.052132000328138875</x:v>
      </x:c>
      <x:c r="E47" s="61" t="n">
        <x:f>IF(H46&gt;C46,F46,E46)</x:f>
        <x:v>0.05213200034632877</x:v>
      </x:c>
      <x:c r="F47" s="61" t="n">
        <x:f>(D47+E47)/2</x:f>
        <x:v>0.05213200033723382</x:v>
      </x:c>
      <x:c r="G47" s="60" t="n">
        <x:f>(LN('Datos'!$B$22/'Datos'!$B$23)+'Datos'!$B$24*B47+F47/2)/SQRT(F47)</x:f>
        <x:v>0.1579595128464677</x:v>
      </x:c>
      <x:c r="H47" s="60" t="n">
        <x:f>'Datos'!$B$22*NORM.S.DIST(G47,TRUE)-'Datos'!$B$23*EXP(-'Datos'!$B$24*B47)*NORM.S.DIST(G47-SQRT(F47),TRUE)</x:f>
        <x:v>9.55000000063147</x:v>
      </x:c>
      <x:c r="I47" s="59" t="n">
        <x:f>H47-C47</x:f>
        <x:v>6.314699874110374e-10</x:v>
      </x:c>
    </x:row>
    <x:row r="48" ht="22" customHeight="1">
      <x:c r="A48" s="2" t="n">
        <x:v>41</x:v>
      </x:c>
      <x:c r="B48" s="49" t="n">
        <x:f>'Datos'!B42</x:f>
        <x:v>1</x:v>
      </x:c>
      <x:c r="C48" s="60" t="n">
        <x:f>'Datos'!C42</x:f>
        <x:v>9.55</x:v>
      </x:c>
      <x:c r="D48" s="61" t="n">
        <x:f>IF(H47&lt;C47,F47,D47)</x:f>
        <x:v>0.052132000328138875</x:v>
      </x:c>
      <x:c r="E48" s="61" t="n">
        <x:f>IF(H47&gt;C47,F47,E47)</x:f>
        <x:v>0.05213200033723382</x:v>
      </x:c>
      <x:c r="F48" s="61" t="n">
        <x:f>(D48+E48)/2</x:f>
        <x:v>0.05213200033268635</x:v>
      </x:c>
      <x:c r="G48" s="60" t="n">
        <x:f>(LN('Datos'!$B$22/'Datos'!$B$23)+'Datos'!$B$24*B48+F48/2)/SQRT(F48)</x:f>
        <x:v>0.15795951284339874</x:v>
      </x:c>
      <x:c r="H48" s="60" t="n">
        <x:f>'Datos'!$B$22*NORM.S.DIST(G48,TRUE)-'Datos'!$B$23*EXP(-'Datos'!$B$24*B48)*NORM.S.DIST(G48-SQRT(F48),TRUE)</x:f>
        <x:v>9.550000000239109</x:v>
      </x:c>
      <x:c r="I48" s="59" t="n">
        <x:f>H48-C48</x:f>
        <x:v>2.391082887243101e-10</x:v>
      </x:c>
    </x:row>
    <x:row r="49" ht="22" customHeight="1">
      <x:c r="A49" s="2" t="n">
        <x:v>42</x:v>
      </x:c>
      <x:c r="B49" s="49" t="n">
        <x:f>'Datos'!B42</x:f>
        <x:v>1</x:v>
      </x:c>
      <x:c r="C49" s="60" t="n">
        <x:f>'Datos'!C42</x:f>
        <x:v>9.55</x:v>
      </x:c>
      <x:c r="D49" s="61" t="n">
        <x:f>IF(H48&lt;C48,F48,D48)</x:f>
        <x:v>0.052132000328138875</x:v>
      </x:c>
      <x:c r="E49" s="61" t="n">
        <x:f>IF(H48&gt;C48,F48,E48)</x:f>
        <x:v>0.05213200033268635</x:v>
      </x:c>
      <x:c r="F49" s="61" t="n">
        <x:f>(D49+E49)/2</x:f>
        <x:v>0.05213200033041261</x:v>
      </x:c>
      <x:c r="G49" s="60" t="n">
        <x:f>(LN('Datos'!$B$22/'Datos'!$B$23)+'Datos'!$B$24*B49+F49/2)/SQRT(F49)</x:f>
        <x:v>0.15795951284186424</x:v>
      </x:c>
      <x:c r="H49" s="60" t="n">
        <x:f>'Datos'!$B$22*NORM.S.DIST(G49,TRUE)-'Datos'!$B$23*EXP(-'Datos'!$B$24*B49)*NORM.S.DIST(G49-SQRT(F49),TRUE)</x:f>
        <x:v>9.550000000042914</x:v>
      </x:c>
      <x:c r="I49" s="59" t="n">
        <x:f>H49-C49</x:f>
        <x:v>4.291322852623125e-11</x:v>
      </x:c>
    </x:row>
    <x:row r="50" ht="22" customHeight="1">
      <x:c r="A50" s="2" t="n">
        <x:v>43</x:v>
      </x:c>
      <x:c r="B50" s="49" t="n">
        <x:f>'Datos'!B42</x:f>
        <x:v>1</x:v>
      </x:c>
      <x:c r="C50" s="60" t="n">
        <x:f>'Datos'!C42</x:f>
        <x:v>9.55</x:v>
      </x:c>
      <x:c r="D50" s="61" t="n">
        <x:f>IF(H49&lt;C49,F49,D49)</x:f>
        <x:v>0.052132000328138875</x:v>
      </x:c>
      <x:c r="E50" s="61" t="n">
        <x:f>IF(H49&gt;C49,F49,E49)</x:f>
        <x:v>0.05213200033041261</x:v>
      </x:c>
      <x:c r="F50" s="61" t="n">
        <x:f>(D50+E50)/2</x:f>
        <x:v>0.05213200032927574</x:v>
      </x:c>
      <x:c r="G50" s="60" t="n">
        <x:f>(LN('Datos'!$B$22/'Datos'!$B$23)+'Datos'!$B$24*B50+F50/2)/SQRT(F50)</x:f>
        <x:v>0.15795951284109702</x:v>
      </x:c>
      <x:c r="H50" s="60" t="n">
        <x:f>'Datos'!$B$22*NORM.S.DIST(G50,TRUE)-'Datos'!$B$23*EXP(-'Datos'!$B$24*B50)*NORM.S.DIST(G50-SQRT(F50),TRUE)</x:f>
        <x:v>9.549999999944838</x:v>
      </x:c>
      <x:c r="I50" s="59" t="n">
        <x:f>H50-C50</x:f>
        <x:v>-5.516298529073538e-11</x:v>
      </x:c>
    </x:row>
    <x:row r="51" ht="22" customHeight="1">
      <x:c r="A51" s="2" t="n">
        <x:v>44</x:v>
      </x:c>
      <x:c r="B51" s="49" t="n">
        <x:f>'Datos'!B42</x:f>
        <x:v>1</x:v>
      </x:c>
      <x:c r="C51" s="60" t="n">
        <x:f>'Datos'!C42</x:f>
        <x:v>9.55</x:v>
      </x:c>
      <x:c r="D51" s="61" t="n">
        <x:f>IF(H50&lt;C50,F50,D50)</x:f>
        <x:v>0.05213200032927574</x:v>
      </x:c>
      <x:c r="E51" s="61" t="n">
        <x:f>IF(H50&gt;C50,F50,E50)</x:f>
        <x:v>0.05213200033041261</x:v>
      </x:c>
      <x:c r="F51" s="61" t="n">
        <x:f>(D51+E51)/2</x:f>
        <x:v>0.05213200032984418</x:v>
      </x:c>
      <x:c r="G51" s="60" t="n">
        <x:f>(LN('Datos'!$B$22/'Datos'!$B$23)+'Datos'!$B$24*B51+F51/2)/SQRT(F51)</x:f>
        <x:v>0.15795951284148063</x:v>
      </x:c>
      <x:c r="H51" s="60" t="n">
        <x:f>'Datos'!$B$22*NORM.S.DIST(G51,TRUE)-'Datos'!$B$23*EXP(-'Datos'!$B$24*B51)*NORM.S.DIST(G51-SQRT(F51),TRUE)</x:f>
        <x:v>9.549999999993858</x:v>
      </x:c>
      <x:c r="I51" s="59" t="n">
        <x:f>H51-C51</x:f>
        <x:v>-6.142641950646066e-12</x:v>
      </x:c>
    </x:row>
    <x:row r="52" ht="22" customHeight="1">
      <x:c r="A52" s="2" t="n">
        <x:v>45</x:v>
      </x:c>
      <x:c r="B52" s="49" t="n">
        <x:f>'Datos'!B42</x:f>
        <x:v>1</x:v>
      </x:c>
      <x:c r="C52" s="60" t="n">
        <x:f>'Datos'!C42</x:f>
        <x:v>9.55</x:v>
      </x:c>
      <x:c r="D52" s="61" t="n">
        <x:f>IF(H51&lt;C51,F51,D51)</x:f>
        <x:v>0.05213200032984418</x:v>
      </x:c>
      <x:c r="E52" s="61" t="n">
        <x:f>IF(H51&gt;C51,F51,E51)</x:f>
        <x:v>0.05213200033041261</x:v>
      </x:c>
      <x:c r="F52" s="61" t="n">
        <x:f>(D52+E52)/2</x:f>
        <x:v>0.052132000330128395</x:v>
      </x:c>
      <x:c r="G52" s="60" t="n">
        <x:f>(LN('Datos'!$B$22/'Datos'!$B$23)+'Datos'!$B$24*B52+F52/2)/SQRT(F52)</x:f>
        <x:v>0.15795951284167245</x:v>
      </x:c>
      <x:c r="H52" s="60" t="n">
        <x:f>'Datos'!$B$22*NORM.S.DIST(G52,TRUE)-'Datos'!$B$23*EXP(-'Datos'!$B$24*B52)*NORM.S.DIST(G52-SQRT(F52),TRUE)</x:f>
        <x:v>9.550000000018393</x:v>
      </x:c>
      <x:c r="I52" s="59" t="n">
        <x:f>H52-C52</x:f>
        <x:v>1.8392398715150193e-11</x:v>
      </x:c>
    </x:row>
    <x:row r="53" ht="22" customHeight="1">
      <x:c r="A53" s="2" t="n">
        <x:v>46</x:v>
      </x:c>
      <x:c r="B53" s="49" t="n">
        <x:f>'Datos'!B42</x:f>
        <x:v>1</x:v>
      </x:c>
      <x:c r="C53" s="60" t="n">
        <x:f>'Datos'!C42</x:f>
        <x:v>9.55</x:v>
      </x:c>
      <x:c r="D53" s="61" t="n">
        <x:f>IF(H52&lt;C52,F52,D52)</x:f>
        <x:v>0.05213200032984418</x:v>
      </x:c>
      <x:c r="E53" s="61" t="n">
        <x:f>IF(H52&gt;C52,F52,E52)</x:f>
        <x:v>0.052132000330128395</x:v>
      </x:c>
      <x:c r="F53" s="61" t="n">
        <x:f>(D53+E53)/2</x:f>
        <x:v>0.052132000329986286</x:v>
      </x:c>
      <x:c r="G53" s="60" t="n">
        <x:f>(LN('Datos'!$B$22/'Datos'!$B$23)+'Datos'!$B$24*B53+F53/2)/SQRT(F53)</x:f>
        <x:v>0.15795951284157655</x:v>
      </x:c>
      <x:c r="H53" s="60" t="n">
        <x:f>'Datos'!$B$22*NORM.S.DIST(G53,TRUE)-'Datos'!$B$23*EXP(-'Datos'!$B$24*B53)*NORM.S.DIST(G53-SQRT(F53),TRUE)</x:f>
        <x:v>9.550000000006136</x:v>
      </x:c>
      <x:c r="I53" s="59" t="n">
        <x:f>H53-C53</x:f>
        <x:v>6.135536523288465e-12</x:v>
      </x:c>
    </x:row>
    <x:row r="54" ht="22" customHeight="1">
      <x:c r="A54" s="2" t="n">
        <x:v>47</x:v>
      </x:c>
      <x:c r="B54" s="49" t="n">
        <x:f>'Datos'!B42</x:f>
        <x:v>1</x:v>
      </x:c>
      <x:c r="C54" s="60" t="n">
        <x:f>'Datos'!C42</x:f>
        <x:v>9.55</x:v>
      </x:c>
      <x:c r="D54" s="61" t="n">
        <x:f>IF(H53&lt;C53,F53,D53)</x:f>
        <x:v>0.05213200032984418</x:v>
      </x:c>
      <x:c r="E54" s="61" t="n">
        <x:f>IF(H53&gt;C53,F53,E53)</x:f>
        <x:v>0.052132000329986286</x:v>
      </x:c>
      <x:c r="F54" s="61" t="n">
        <x:f>(D54+E54)/2</x:f>
        <x:v>0.05213200032991523</x:v>
      </x:c>
      <x:c r="G54" s="60" t="n">
        <x:f>(LN('Datos'!$B$22/'Datos'!$B$23)+'Datos'!$B$24*B54+F54/2)/SQRT(F54)</x:f>
        <x:v>0.1579595128415286</x:v>
      </x:c>
      <x:c r="H54" s="60" t="n">
        <x:f>'Datos'!$B$22*NORM.S.DIST(G54,TRUE)-'Datos'!$B$23*EXP(-'Datos'!$B$24*B54)*NORM.S.DIST(G54-SQRT(F54),TRUE)</x:f>
        <x:v>9.54999999999999</x:v>
      </x:c>
      <x:c r="I54" s="59" t="n">
        <x:f>H54-C54</x:f>
        <x:v>-1.0658141036401503e-14</x:v>
      </x:c>
    </x:row>
    <x:row r="55" ht="22" customHeight="1">
      <x:c r="A55" s="2" t="n">
        <x:v>48</x:v>
      </x:c>
      <x:c r="B55" s="49" t="n">
        <x:f>'Datos'!B42</x:f>
        <x:v>1</x:v>
      </x:c>
      <x:c r="C55" s="60" t="n">
        <x:f>'Datos'!C42</x:f>
        <x:v>9.55</x:v>
      </x:c>
      <x:c r="D55" s="61" t="n">
        <x:f>IF(H54&lt;C54,F54,D54)</x:f>
        <x:v>0.05213200032984418</x:v>
      </x:c>
      <x:c r="E55" s="61" t="n">
        <x:f>IF(H54&gt;C54,F54,E54)</x:f>
        <x:v>0.052132000329986286</x:v>
      </x:c>
      <x:c r="F55" s="61" t="n">
        <x:f>(D55+E55)/2</x:f>
        <x:v>0.05213200032991523</x:v>
      </x:c>
      <x:c r="G55" s="60" t="n">
        <x:f>(LN('Datos'!$B$22/'Datos'!$B$23)+'Datos'!$B$24*B55+F55/2)/SQRT(F55)</x:f>
        <x:v>0.1579595128415286</x:v>
      </x:c>
      <x:c r="H55" s="60" t="n">
        <x:f>'Datos'!$B$22*NORM.S.DIST(G55,TRUE)-'Datos'!$B$23*EXP(-'Datos'!$B$24*B55)*NORM.S.DIST(G55-SQRT(F55),TRUE)</x:f>
        <x:v>9.54999999999999</x:v>
      </x:c>
      <x:c r="I55" s="59" t="n">
        <x:f>H55-C55</x:f>
        <x:v>-1.0658141036401503e-14</x:v>
      </x:c>
    </x:row>
    <x:row r="56" ht="22" customHeight="1">
      <x:c r="A56" s="2"/>
      <x:c r="B56" s="2"/>
      <x:c r="C56" s="2"/>
      <x:c r="D56" s="2"/>
      <x:c r="E56" s="2"/>
      <x:c r="F56" s="2"/>
      <x:c r="G56" s="2"/>
      <x:c r="H56" s="2"/>
      <x:c r="I56" s="2"/>
    </x:row>
    <x:row r="57" ht="22" customHeight="1">
      <x:c r="A57" s="2"/>
      <x:c r="B57" s="2"/>
      <x:c r="C57" s="2"/>
      <x:c r="D57" s="2"/>
      <x:c r="E57" s="2"/>
      <x:c r="F57" s="2"/>
      <x:c r="G57" s="2"/>
      <x:c r="H57" s="2"/>
      <x:c r="I57" s="2"/>
    </x:row>
    <x:row r="58" ht="27" customHeight="1">
      <x:c r="A58" s="10" t="str">
        <x:v>Call 2 · 48 pasos de bisección en la varianza</x:v>
      </x:c>
      <x:c r="B58" s="10" t="str">
        <x:v>Call 2 · 48 pasos de bisección en la varianza</x:v>
      </x:c>
      <x:c r="C58" s="10" t="str">
        <x:v>Call 2 · 48 pasos de bisección en la varianza</x:v>
      </x:c>
      <x:c r="D58" s="10" t="str">
        <x:v>Call 2 · 48 pasos de bisección en la varianza</x:v>
      </x:c>
      <x:c r="E58" s="10" t="str">
        <x:v>Call 2 · 48 pasos de bisección en la varianza</x:v>
      </x:c>
      <x:c r="F58" s="10" t="str">
        <x:v>Call 2 · 48 pasos de bisección en la varianza</x:v>
      </x:c>
      <x:c r="G58" s="10" t="str">
        <x:v>Call 2 · 48 pasos de bisección en la varianza</x:v>
      </x:c>
      <x:c r="H58" s="10" t="str">
        <x:v>Call 2 · 48 pasos de bisección en la varianza</x:v>
      </x:c>
      <x:c r="I58" s="10" t="str">
        <x:v>Call 2 · 48 pasos de bisección en la varianza</x:v>
      </x:c>
    </x:row>
    <x:row r="59" ht="36" customHeight="1">
      <x:c r="A59" s="13" t="str">
        <x:v>Iteración</x:v>
      </x:c>
      <x:c r="B59" s="13" t="str">
        <x:v>T</x:v>
      </x:c>
      <x:c r="C59" s="13" t="str">
        <x:v>Precio objetivo</x:v>
      </x:c>
      <x:c r="D59" s="13" t="str">
        <x:v>V baja</x:v>
      </x:c>
      <x:c r="E59" s="13" t="str">
        <x:v>V alta</x:v>
      </x:c>
      <x:c r="F59" s="13" t="str">
        <x:v>V media</x:v>
      </x:c>
      <x:c r="G59" s="13" t="str">
        <x:v>d₁</x:v>
      </x:c>
      <x:c r="H59" s="13" t="str">
        <x:v>Call(V media)</x:v>
      </x:c>
      <x:c r="I59" s="13" t="str">
        <x:v>Error precio</x:v>
      </x:c>
    </x:row>
    <x:row r="60" ht="22" customHeight="1">
      <x:c r="A60" s="2" t="n">
        <x:v>1</x:v>
      </x:c>
      <x:c r="B60" s="49" t="n">
        <x:f>'Datos'!B43</x:f>
        <x:v>1.25</x:v>
      </x:c>
      <x:c r="C60" s="60" t="n">
        <x:f>'Datos'!C43</x:f>
        <x:v>12.48</x:v>
      </x:c>
      <x:c r="D60" s="60" t="n">
        <x:f>'Datos'!$B$30</x:f>
        <x:v>1e-14</x:v>
      </x:c>
      <x:c r="E60" s="60" t="n">
        <x:f>'Datos'!$B$31</x:f>
        <x:v>10</x:v>
      </x:c>
      <x:c r="F60" s="61" t="n">
        <x:f>(D60+E60)/2</x:f>
        <x:v>5.000000000000005</x:v>
      </x:c>
      <x:c r="G60" s="60" t="n">
        <x:f>(LN('Datos'!$B$22/'Datos'!$B$23)+'Datos'!$B$24*B60+F60/2)/SQRT(F60)</x:f>
        <x:v>1.123624158693645</x:v>
      </x:c>
      <x:c r="H60" s="60" t="n">
        <x:f>'Datos'!$B$22*NORM.S.DIST(G60,TRUE)-'Datos'!$B$23*EXP(-'Datos'!$B$24*B60)*NORM.S.DIST(G60-SQRT(F60),TRUE)</x:f>
        <x:v>73.8091887689487</x:v>
      </x:c>
      <x:c r="I60" s="59" t="n">
        <x:f>H60-C60</x:f>
        <x:v>61.3291887689487</x:v>
      </x:c>
    </x:row>
    <x:row r="61" ht="22" customHeight="1">
      <x:c r="A61" s="2" t="n">
        <x:v>2</x:v>
      </x:c>
      <x:c r="B61" s="49" t="n">
        <x:f>'Datos'!B43</x:f>
        <x:v>1.25</x:v>
      </x:c>
      <x:c r="C61" s="60" t="n">
        <x:f>'Datos'!C43</x:f>
        <x:v>12.48</x:v>
      </x:c>
      <x:c r="D61" s="61" t="n">
        <x:f>IF(H60&lt;C60,F60,D60)</x:f>
        <x:v>1e-14</x:v>
      </x:c>
      <x:c r="E61" s="61" t="n">
        <x:f>IF(H60&gt;C60,F60,E60)</x:f>
        <x:v>5.000000000000005</x:v>
      </x:c>
      <x:c r="F61" s="61" t="n">
        <x:f>(D61+E61)/2</x:f>
        <x:v>2.5000000000000075</x:v>
      </x:c>
      <x:c r="G61" s="60" t="n">
        <x:f>(LN('Datos'!$B$22/'Datos'!$B$23)+'Datos'!$B$24*B61+F61/2)/SQRT(F61)</x:f>
        <x:v>0.798475109192517</x:v>
      </x:c>
      <x:c r="H61" s="60" t="n">
        <x:f>'Datos'!$B$22*NORM.S.DIST(G61,TRUE)-'Datos'!$B$23*EXP(-'Datos'!$B$24*B61)*NORM.S.DIST(G61-SQRT(F61),TRUE)</x:f>
        <x:v>57.34848060898026</x:v>
      </x:c>
      <x:c r="I61" s="59" t="n">
        <x:f>H61-C61</x:f>
        <x:v>44.86848060898026</x:v>
      </x:c>
    </x:row>
    <x:row r="62" ht="22" customHeight="1">
      <x:c r="A62" s="2" t="n">
        <x:v>3</x:v>
      </x:c>
      <x:c r="B62" s="49" t="n">
        <x:f>'Datos'!B43</x:f>
        <x:v>1.25</x:v>
      </x:c>
      <x:c r="C62" s="60" t="n">
        <x:f>'Datos'!C43</x:f>
        <x:v>12.48</x:v>
      </x:c>
      <x:c r="D62" s="61" t="n">
        <x:f>IF(H61&lt;C61,F61,D61)</x:f>
        <x:v>1e-14</x:v>
      </x:c>
      <x:c r="E62" s="61" t="n">
        <x:f>IF(H61&gt;C61,F61,E61)</x:f>
        <x:v>2.5000000000000075</x:v>
      </x:c>
      <x:c r="F62" s="61" t="n">
        <x:f>(D62+E62)/2</x:f>
        <x:v>1.2500000000000089</x:v>
      </x:c>
      <x:c r="G62" s="60" t="n">
        <x:f>(LN('Datos'!$B$22/'Datos'!$B$23)+'Datos'!$B$24*B62+F62/2)/SQRT(F62)</x:f>
        <x:v>0.5701973342624482</x:v>
      </x:c>
      <x:c r="H62" s="60" t="n">
        <x:f>'Datos'!$B$22*NORM.S.DIST(G62,TRUE)-'Datos'!$B$23*EXP(-'Datos'!$B$24*B62)*NORM.S.DIST(G62-SQRT(F62),TRUE)</x:f>
        <x:v>42.74520995273615</x:v>
      </x:c>
      <x:c r="I62" s="59" t="n">
        <x:f>H62-C62</x:f>
        <x:v>30.265209952736146</x:v>
      </x:c>
    </x:row>
    <x:row r="63" ht="22" customHeight="1">
      <x:c r="A63" s="2" t="n">
        <x:v>4</x:v>
      </x:c>
      <x:c r="B63" s="49" t="n">
        <x:f>'Datos'!B43</x:f>
        <x:v>1.25</x:v>
      </x:c>
      <x:c r="C63" s="60" t="n">
        <x:f>'Datos'!C43</x:f>
        <x:v>12.48</x:v>
      </x:c>
      <x:c r="D63" s="61" t="n">
        <x:f>IF(H62&lt;C62,F62,D62)</x:f>
        <x:v>1e-14</x:v>
      </x:c>
      <x:c r="E63" s="61" t="n">
        <x:f>IF(H62&gt;C62,F62,E62)</x:f>
        <x:v>1.2500000000000089</x:v>
      </x:c>
      <x:c r="F63" s="61" t="n">
        <x:f>(D63+E63)/2</x:f>
        <x:v>0.6250000000000094</x:v>
      </x:c>
      <x:c r="G63" s="60" t="n">
        <x:f>(LN('Datos'!$B$22/'Datos'!$B$23)+'Datos'!$B$24*B63+F63/2)/SQRT(F63)</x:f>
        <x:v>0.4110960958218922</x:v>
      </x:c>
      <x:c r="H63" s="60" t="n">
        <x:f>'Datos'!$B$22*NORM.S.DIST(G63,TRUE)-'Datos'!$B$23*EXP(-'Datos'!$B$24*B63)*NORM.S.DIST(G63-SQRT(F63),TRUE)</x:f>
        <x:v>31.17054606526282</x:v>
      </x:c>
      <x:c r="I63" s="59" t="n">
        <x:f>H63-C63</x:f>
        <x:v>18.69054606526282</x:v>
      </x:c>
    </x:row>
    <x:row r="64" ht="22" customHeight="1">
      <x:c r="A64" s="2" t="n">
        <x:v>5</x:v>
      </x:c>
      <x:c r="B64" s="49" t="n">
        <x:f>'Datos'!B43</x:f>
        <x:v>1.25</x:v>
      </x:c>
      <x:c r="C64" s="60" t="n">
        <x:f>'Datos'!C43</x:f>
        <x:v>12.48</x:v>
      </x:c>
      <x:c r="D64" s="61" t="n">
        <x:f>IF(H63&lt;C63,F63,D63)</x:f>
        <x:v>1e-14</x:v>
      </x:c>
      <x:c r="E64" s="61" t="n">
        <x:f>IF(H63&gt;C63,F63,E63)</x:f>
        <x:v>0.6250000000000094</x:v>
      </x:c>
      <x:c r="F64" s="61" t="n">
        <x:f>(D64+E64)/2</x:f>
        <x:v>0.3125000000000097</x:v>
      </x:c>
      <x:c r="G64" s="60" t="n">
        <x:f>(LN('Datos'!$B$22/'Datos'!$B$23)+'Datos'!$B$24*B64+F64/2)/SQRT(F64)</x:f>
        <x:v>0.3018691769624756</x:v>
      </x:c>
      <x:c r="H64" s="60" t="n">
        <x:f>'Datos'!$B$22*NORM.S.DIST(G64,TRUE)-'Datos'!$B$23*EXP(-'Datos'!$B$24*B64)*NORM.S.DIST(G64-SQRT(F64),TRUE)</x:f>
        <x:v>22.504241872729118</x:v>
      </x:c>
      <x:c r="I64" s="59" t="n">
        <x:f>H64-C64</x:f>
        <x:v>10.024241872729117</x:v>
      </x:c>
    </x:row>
    <x:row r="65" ht="22" customHeight="1">
      <x:c r="A65" s="2" t="n">
        <x:v>6</x:v>
      </x:c>
      <x:c r="B65" s="49" t="n">
        <x:f>'Datos'!B43</x:f>
        <x:v>1.25</x:v>
      </x:c>
      <x:c r="C65" s="60" t="n">
        <x:f>'Datos'!C43</x:f>
        <x:v>12.48</x:v>
      </x:c>
      <x:c r="D65" s="61" t="n">
        <x:f>IF(H64&lt;C64,F64,D64)</x:f>
        <x:v>1e-14</x:v>
      </x:c>
      <x:c r="E65" s="61" t="n">
        <x:f>IF(H64&gt;C64,F64,E64)</x:f>
        <x:v>0.3125000000000097</x:v>
      </x:c>
      <x:c r="F65" s="61" t="n">
        <x:f>(D65+E65)/2</x:f>
        <x:v>0.15625000000000985</x:v>
      </x:c>
      <x:c r="G65" s="60" t="n">
        <x:f>(LN('Datos'!$B$22/'Datos'!$B$23)+'Datos'!$B$24*B65+F65/2)/SQRT(F65)</x:f>
        <x:v>0.22926513036221274</x:v>
      </x:c>
      <x:c r="H65" s="60" t="n">
        <x:f>'Datos'!$B$22*NORM.S.DIST(G65,TRUE)-'Datos'!$B$23*EXP(-'Datos'!$B$24*B65)*NORM.S.DIST(G65-SQRT(F65),TRUE)</x:f>
        <x:v>16.198991509104985</x:v>
      </x:c>
      <x:c r="I65" s="59" t="n">
        <x:f>H65-C65</x:f>
        <x:v>3.7189915091049848</x:v>
      </x:c>
    </x:row>
    <x:row r="66" ht="22" customHeight="1">
      <x:c r="A66" s="2" t="n">
        <x:v>7</x:v>
      </x:c>
      <x:c r="B66" s="49" t="n">
        <x:f>'Datos'!B43</x:f>
        <x:v>1.25</x:v>
      </x:c>
      <x:c r="C66" s="60" t="n">
        <x:f>'Datos'!C43</x:f>
        <x:v>12.48</x:v>
      </x:c>
      <x:c r="D66" s="61" t="n">
        <x:f>IF(H65&lt;C65,F65,D65)</x:f>
        <x:v>1e-14</x:v>
      </x:c>
      <x:c r="E66" s="61" t="n">
        <x:f>IF(H65&gt;C65,F65,E65)</x:f>
        <x:v>0.15625000000000985</x:v>
      </x:c>
      <x:c r="F66" s="61" t="n">
        <x:f>(D66+E66)/2</x:f>
        <x:v>0.07812500000000992</x:v>
      </x:c>
      <x:c r="G66" s="60" t="n">
        <x:f>(LN('Datos'!$B$22/'Datos'!$B$23)+'Datos'!$B$24*B66+F66/2)/SQRT(F66)</x:f>
        <x:v>0.18447560814373867</x:v>
      </x:c>
      <x:c r="H66" s="60" t="n">
        <x:f>'Datos'!$B$22*NORM.S.DIST(G66,TRUE)-'Datos'!$B$23*EXP(-'Datos'!$B$24*B66)*NORM.S.DIST(G66-SQRT(F66),TRUE)</x:f>
        <x:v>11.677631728985787</x:v>
      </x:c>
      <x:c r="I66" s="59" t="n">
        <x:f>H66-C66</x:f>
        <x:v>-0.8023682710142133</x:v>
      </x:c>
    </x:row>
    <x:row r="67" ht="22" customHeight="1">
      <x:c r="A67" s="2" t="n">
        <x:v>8</x:v>
      </x:c>
      <x:c r="B67" s="49" t="n">
        <x:f>'Datos'!B43</x:f>
        <x:v>1.25</x:v>
      </x:c>
      <x:c r="C67" s="60" t="n">
        <x:f>'Datos'!C43</x:f>
        <x:v>12.48</x:v>
      </x:c>
      <x:c r="D67" s="61" t="n">
        <x:f>IF(H66&lt;C66,F66,D66)</x:f>
        <x:v>0.07812500000000992</x:v>
      </x:c>
      <x:c r="E67" s="61" t="n">
        <x:f>IF(H66&gt;C66,F66,E66)</x:f>
        <x:v>0.15625000000000985</x:v>
      </x:c>
      <x:c r="F67" s="61" t="n">
        <x:f>(D67+E67)/2</x:f>
        <x:v>0.11718750000000988</x:v>
      </x:c>
      <x:c r="G67" s="60" t="n">
        <x:f>(LN('Datos'!$B$22/'Datos'!$B$23)+'Datos'!$B$24*B67+F67/2)/SQRT(F67)</x:f>
        <x:v>0.20767813638738114</x:v>
      </x:c>
      <x:c r="H67" s="60" t="n">
        <x:f>'Datos'!$B$22*NORM.S.DIST(G67,TRUE)-'Datos'!$B$23*EXP(-'Datos'!$B$24*B67)*NORM.S.DIST(G67-SQRT(F67),TRUE)</x:f>
        <x:v>14.136077105777893</x:v>
      </x:c>
      <x:c r="I67" s="59" t="n">
        <x:f>H67-C67</x:f>
        <x:v>1.656077105777893</x:v>
      </x:c>
    </x:row>
    <x:row r="68" ht="22" customHeight="1">
      <x:c r="A68" s="2" t="n">
        <x:v>9</x:v>
      </x:c>
      <x:c r="B68" s="49" t="n">
        <x:f>'Datos'!B43</x:f>
        <x:v>1.25</x:v>
      </x:c>
      <x:c r="C68" s="60" t="n">
        <x:f>'Datos'!C43</x:f>
        <x:v>12.48</x:v>
      </x:c>
      <x:c r="D68" s="61" t="n">
        <x:f>IF(H67&lt;C67,F67,D67)</x:f>
        <x:v>0.07812500000000992</x:v>
      </x:c>
      <x:c r="E68" s="61" t="n">
        <x:f>IF(H67&gt;C67,F67,E67)</x:f>
        <x:v>0.11718750000000988</x:v>
      </x:c>
      <x:c r="F68" s="61" t="n">
        <x:f>(D68+E68)/2</x:f>
        <x:v>0.09765625000000991</x:v>
      </x:c>
      <x:c r="G68" s="60" t="n">
        <x:f>(LN('Datos'!$B$22/'Datos'!$B$23)+'Datos'!$B$24*B68+F68/2)/SQRT(F68)</x:f>
        <x:v>0.19625000000000586</x:v>
      </x:c>
      <x:c r="H68" s="60" t="n">
        <x:f>'Datos'!$B$22*NORM.S.DIST(G68,TRUE)-'Datos'!$B$23*EXP(-'Datos'!$B$24*B68)*NORM.S.DIST(G68-SQRT(F68),TRUE)</x:f>
        <x:v>12.970183706862066</x:v>
      </x:c>
      <x:c r="I68" s="59" t="n">
        <x:f>H68-C68</x:f>
        <x:v>0.4901837068620658</x:v>
      </x:c>
    </x:row>
    <x:row r="69" ht="22" customHeight="1">
      <x:c r="A69" s="2" t="n">
        <x:v>10</x:v>
      </x:c>
      <x:c r="B69" s="49" t="n">
        <x:f>'Datos'!B43</x:f>
        <x:v>1.25</x:v>
      </x:c>
      <x:c r="C69" s="60" t="n">
        <x:f>'Datos'!C43</x:f>
        <x:v>12.48</x:v>
      </x:c>
      <x:c r="D69" s="61" t="n">
        <x:f>IF(H68&lt;C68,F68,D68)</x:f>
        <x:v>0.07812500000000992</x:v>
      </x:c>
      <x:c r="E69" s="61" t="n">
        <x:f>IF(H68&gt;C68,F68,E68)</x:f>
        <x:v>0.09765625000000991</x:v>
      </x:c>
      <x:c r="F69" s="61" t="n">
        <x:f>(D69+E69)/2</x:f>
        <x:v>0.08789062500000991</x:v>
      </x:c>
      <x:c r="G69" s="60" t="n">
        <x:f>(LN('Datos'!$B$22/'Datos'!$B$23)+'Datos'!$B$24*B69+F69/2)/SQRT(F69)</x:f>
        <x:v>0.19039546745597713</x:v>
      </x:c>
      <x:c r="H69" s="60" t="n">
        <x:f>'Datos'!$B$22*NORM.S.DIST(G69,TRUE)-'Datos'!$B$23*EXP(-'Datos'!$B$24*B69)*NORM.S.DIST(G69-SQRT(F69),TRUE)</x:f>
        <x:v>12.342263830097728</x:v>
      </x:c>
      <x:c r="I69" s="59" t="n">
        <x:f>H69-C69</x:f>
        <x:v>-0.1377361699022721</x:v>
      </x:c>
    </x:row>
    <x:row r="70" ht="22" customHeight="1">
      <x:c r="A70" s="2" t="n">
        <x:v>11</x:v>
      </x:c>
      <x:c r="B70" s="49" t="n">
        <x:f>'Datos'!B43</x:f>
        <x:v>1.25</x:v>
      </x:c>
      <x:c r="C70" s="60" t="n">
        <x:f>'Datos'!C43</x:f>
        <x:v>12.48</x:v>
      </x:c>
      <x:c r="D70" s="61" t="n">
        <x:f>IF(H69&lt;C69,F69,D69)</x:f>
        <x:v>0.08789062500000991</x:v>
      </x:c>
      <x:c r="E70" s="61" t="n">
        <x:f>IF(H69&gt;C69,F69,E69)</x:f>
        <x:v>0.09765625000000991</x:v>
      </x:c>
      <x:c r="F70" s="61" t="n">
        <x:f>(D70+E70)/2</x:f>
        <x:v>0.09277343750000991</x:v>
      </x:c>
      <x:c r="G70" s="60" t="n">
        <x:f>(LN('Datos'!$B$22/'Datos'!$B$23)+'Datos'!$B$24*B70+F70/2)/SQRT(F70)</x:f>
        <x:v>0.19333279572105216</x:v>
      </x:c>
      <x:c r="H70" s="60" t="n">
        <x:f>'Datos'!$B$22*NORM.S.DIST(G70,TRUE)-'Datos'!$B$23*EXP(-'Datos'!$B$24*B70)*NORM.S.DIST(G70-SQRT(F70),TRUE)</x:f>
        <x:v>12.660445807300142</x:v>
      </x:c>
      <x:c r="I70" s="59" t="n">
        <x:f>H70-C70</x:f>
        <x:v>0.18044580730014204</x:v>
      </x:c>
    </x:row>
    <x:row r="71" ht="22" customHeight="1">
      <x:c r="A71" s="2" t="n">
        <x:v>12</x:v>
      </x:c>
      <x:c r="B71" s="49" t="n">
        <x:f>'Datos'!B43</x:f>
        <x:v>1.25</x:v>
      </x:c>
      <x:c r="C71" s="60" t="n">
        <x:f>'Datos'!C43</x:f>
        <x:v>12.48</x:v>
      </x:c>
      <x:c r="D71" s="61" t="n">
        <x:f>IF(H70&lt;C70,F70,D70)</x:f>
        <x:v>0.08789062500000991</x:v>
      </x:c>
      <x:c r="E71" s="61" t="n">
        <x:f>IF(H70&gt;C70,F70,E70)</x:f>
        <x:v>0.09277343750000991</x:v>
      </x:c>
      <x:c r="F71" s="61" t="n">
        <x:f>(D71+E71)/2</x:f>
        <x:v>0.09033203125000991</x:v>
      </x:c>
      <x:c r="G71" s="60" t="n">
        <x:f>(LN('Datos'!$B$22/'Datos'!$B$23)+'Datos'!$B$24*B71+F71/2)/SQRT(F71)</x:f>
        <x:v>0.19186645757461626</x:v>
      </x:c>
      <x:c r="H71" s="60" t="n">
        <x:f>'Datos'!$B$22*NORM.S.DIST(G71,TRUE)-'Datos'!$B$23*EXP(-'Datos'!$B$24*B71)*NORM.S.DIST(G71-SQRT(F71),TRUE)</x:f>
        <x:v>12.502452319931919</x:v>
      </x:c>
      <x:c r="I71" s="59" t="n">
        <x:f>H71-C71</x:f>
        <x:v>0.02245231993191865</x:v>
      </x:c>
    </x:row>
    <x:row r="72" ht="22" customHeight="1">
      <x:c r="A72" s="2" t="n">
        <x:v>13</x:v>
      </x:c>
      <x:c r="B72" s="49" t="n">
        <x:f>'Datos'!B43</x:f>
        <x:v>1.25</x:v>
      </x:c>
      <x:c r="C72" s="60" t="n">
        <x:f>'Datos'!C43</x:f>
        <x:v>12.48</x:v>
      </x:c>
      <x:c r="D72" s="61" t="n">
        <x:f>IF(H71&lt;C71,F71,D71)</x:f>
        <x:v>0.08789062500000991</x:v>
      </x:c>
      <x:c r="E72" s="61" t="n">
        <x:f>IF(H71&gt;C71,F71,E71)</x:f>
        <x:v>0.09033203125000991</x:v>
      </x:c>
      <x:c r="F72" s="61" t="n">
        <x:f>(D72+E72)/2</x:f>
        <x:v>0.08911132812500991</x:v>
      </x:c>
      <x:c r="G72" s="60" t="n">
        <x:f>(LN('Datos'!$B$22/'Datos'!$B$23)+'Datos'!$B$24*B72+F72/2)/SQRT(F72)</x:f>
        <x:v>0.1911315167333387</x:v>
      </x:c>
      <x:c r="H72" s="60" t="n">
        <x:f>'Datos'!$B$22*NORM.S.DIST(G72,TRUE)-'Datos'!$B$23*EXP(-'Datos'!$B$24*B72)*NORM.S.DIST(G72-SQRT(F72),TRUE)</x:f>
        <x:v>12.422638009699526</x:v>
      </x:c>
      <x:c r="I72" s="59" t="n">
        <x:f>H72-C72</x:f>
        <x:v>-0.05736199030047473</x:v>
      </x:c>
    </x:row>
    <x:row r="73" ht="22" customHeight="1">
      <x:c r="A73" s="2" t="n">
        <x:v>14</x:v>
      </x:c>
      <x:c r="B73" s="49" t="n">
        <x:f>'Datos'!B43</x:f>
        <x:v>1.25</x:v>
      </x:c>
      <x:c r="C73" s="60" t="n">
        <x:f>'Datos'!C43</x:f>
        <x:v>12.48</x:v>
      </x:c>
      <x:c r="D73" s="61" t="n">
        <x:f>IF(H72&lt;C72,F72,D72)</x:f>
        <x:v>0.08911132812500991</x:v>
      </x:c>
      <x:c r="E73" s="61" t="n">
        <x:f>IF(H72&gt;C72,F72,E72)</x:f>
        <x:v>0.09033203125000991</x:v>
      </x:c>
      <x:c r="F73" s="61" t="n">
        <x:f>(D73+E73)/2</x:f>
        <x:v>0.08972167968750991</x:v>
      </x:c>
      <x:c r="G73" s="60" t="n">
        <x:f>(LN('Datos'!$B$22/'Datos'!$B$23)+'Datos'!$B$24*B73+F73/2)/SQRT(F73)</x:f>
        <x:v>0.1914991292944089</x:v>
      </x:c>
      <x:c r="H73" s="60" t="n">
        <x:f>'Datos'!$B$22*NORM.S.DIST(G73,TRUE)-'Datos'!$B$23*EXP(-'Datos'!$B$24*B73)*NORM.S.DIST(G73-SQRT(F73),TRUE)</x:f>
        <x:v>12.462614438854388</x:v>
      </x:c>
      <x:c r="I73" s="59" t="n">
        <x:f>H73-C73</x:f>
        <x:v>-0.017385561145612627</x:v>
      </x:c>
    </x:row>
    <x:row r="74" ht="22" customHeight="1">
      <x:c r="A74" s="2" t="n">
        <x:v>15</x:v>
      </x:c>
      <x:c r="B74" s="49" t="n">
        <x:f>'Datos'!B43</x:f>
        <x:v>1.25</x:v>
      </x:c>
      <x:c r="C74" s="60" t="n">
        <x:f>'Datos'!C43</x:f>
        <x:v>12.48</x:v>
      </x:c>
      <x:c r="D74" s="61" t="n">
        <x:f>IF(H73&lt;C73,F73,D73)</x:f>
        <x:v>0.08972167968750991</x:v>
      </x:c>
      <x:c r="E74" s="61" t="n">
        <x:f>IF(H73&gt;C73,F73,E73)</x:f>
        <x:v>0.09033203125000991</x:v>
      </x:c>
      <x:c r="F74" s="61" t="n">
        <x:f>(D74+E74)/2</x:f>
        <x:v>0.09002685546875991</x:v>
      </x:c>
      <x:c r="G74" s="60" t="n">
        <x:f>(LN('Datos'!$B$22/'Datos'!$B$23)+'Datos'!$B$24*B74+F74/2)/SQRT(F74)</x:f>
        <x:v>0.19168282940192832</x:v>
      </x:c>
      <x:c r="H74" s="60" t="n">
        <x:f>'Datos'!$B$22*NORM.S.DIST(G74,TRUE)-'Datos'!$B$23*EXP(-'Datos'!$B$24*B74)*NORM.S.DIST(G74-SQRT(F74),TRUE)</x:f>
        <x:v>12.482550610513343</x:v>
      </x:c>
      <x:c r="I74" s="59" t="n">
        <x:f>H74-C74</x:f>
        <x:v>0.0025506105133423773</x:v>
      </x:c>
    </x:row>
    <x:row r="75" ht="22" customHeight="1">
      <x:c r="A75" s="2" t="n">
        <x:v>16</x:v>
      </x:c>
      <x:c r="B75" s="49" t="n">
        <x:f>'Datos'!B43</x:f>
        <x:v>1.25</x:v>
      </x:c>
      <x:c r="C75" s="60" t="n">
        <x:f>'Datos'!C43</x:f>
        <x:v>12.48</x:v>
      </x:c>
      <x:c r="D75" s="61" t="n">
        <x:f>IF(H74&lt;C74,F74,D74)</x:f>
        <x:v>0.08972167968750991</x:v>
      </x:c>
      <x:c r="E75" s="61" t="n">
        <x:f>IF(H74&gt;C74,F74,E74)</x:f>
        <x:v>0.09002685546875991</x:v>
      </x:c>
      <x:c r="F75" s="61" t="n">
        <x:f>(D75+E75)/2</x:f>
        <x:v>0.08987426757813491</x:v>
      </x:c>
      <x:c r="G75" s="60" t="n">
        <x:f>(LN('Datos'!$B$22/'Datos'!$B$23)+'Datos'!$B$24*B75+F75/2)/SQRT(F75)</x:f>
        <x:v>0.19159098828667795</x:v>
      </x:c>
      <x:c r="H75" s="60" t="n">
        <x:f>'Datos'!$B$22*NORM.S.DIST(G75,TRUE)-'Datos'!$B$23*EXP(-'Datos'!$B$24*B75)*NORM.S.DIST(G75-SQRT(F75),TRUE)</x:f>
        <x:v>12.472586843329822</x:v>
      </x:c>
      <x:c r="I75" s="59" t="n">
        <x:f>H75-C75</x:f>
        <x:v>-0.007413156670178722</x:v>
      </x:c>
    </x:row>
    <x:row r="76" ht="22" customHeight="1">
      <x:c r="A76" s="2" t="n">
        <x:v>17</x:v>
      </x:c>
      <x:c r="B76" s="49" t="n">
        <x:f>'Datos'!B43</x:f>
        <x:v>1.25</x:v>
      </x:c>
      <x:c r="C76" s="60" t="n">
        <x:f>'Datos'!C43</x:f>
        <x:v>12.48</x:v>
      </x:c>
      <x:c r="D76" s="61" t="n">
        <x:f>IF(H75&lt;C75,F75,D75)</x:f>
        <x:v>0.08987426757813491</x:v>
      </x:c>
      <x:c r="E76" s="61" t="n">
        <x:f>IF(H75&gt;C75,F75,E75)</x:f>
        <x:v>0.09002685546875991</x:v>
      </x:c>
      <x:c r="F76" s="61" t="n">
        <x:f>(D76+E76)/2</x:f>
        <x:v>0.08995056152344741</x:v>
      </x:c>
      <x:c r="G76" s="60" t="n">
        <x:f>(LN('Datos'!$B$22/'Datos'!$B$23)+'Datos'!$B$24*B76+F76/2)/SQRT(F76)</x:f>
        <x:v>0.19163691108564146</x:v>
      </x:c>
      <x:c r="H76" s="60" t="n">
        <x:f>'Datos'!$B$22*NORM.S.DIST(G76,TRUE)-'Datos'!$B$23*EXP(-'Datos'!$B$24*B76)*NORM.S.DIST(G76-SQRT(F76),TRUE)</x:f>
        <x:v>12.477569805221258</x:v>
      </x:c>
      <x:c r="I76" s="59" t="n">
        <x:f>H76-C76</x:f>
        <x:v>-0.0024301947787428446</x:v>
      </x:c>
    </x:row>
    <x:row r="77" ht="22" customHeight="1">
      <x:c r="A77" s="2" t="n">
        <x:v>18</x:v>
      </x:c>
      <x:c r="B77" s="49" t="n">
        <x:f>'Datos'!B43</x:f>
        <x:v>1.25</x:v>
      </x:c>
      <x:c r="C77" s="60" t="n">
        <x:f>'Datos'!C43</x:f>
        <x:v>12.48</x:v>
      </x:c>
      <x:c r="D77" s="61" t="n">
        <x:f>IF(H76&lt;C76,F76,D76)</x:f>
        <x:v>0.08995056152344741</x:v>
      </x:c>
      <x:c r="E77" s="61" t="n">
        <x:f>IF(H76&gt;C76,F76,E76)</x:f>
        <x:v>0.09002685546875991</x:v>
      </x:c>
      <x:c r="F77" s="61" t="n">
        <x:f>(D77+E77)/2</x:f>
        <x:v>0.08998870849610366</x:v>
      </x:c>
      <x:c r="G77" s="60" t="n">
        <x:f>(LN('Datos'!$B$22/'Datos'!$B$23)+'Datos'!$B$24*B77+F77/2)/SQRT(F77)</x:f>
        <x:v>0.19165987080495459</x:v>
      </x:c>
      <x:c r="H77" s="60" t="n">
        <x:f>'Datos'!$B$22*NORM.S.DIST(G77,TRUE)-'Datos'!$B$23*EXP(-'Datos'!$B$24*B77)*NORM.S.DIST(G77-SQRT(F77),TRUE)</x:f>
        <x:v>12.480060477272303</x:v>
      </x:c>
      <x:c r="I77" s="59" t="n">
        <x:f>H77-C77</x:f>
        <x:v>0.00006047727230296118</x:v>
      </x:c>
    </x:row>
    <x:row r="78" ht="22" customHeight="1">
      <x:c r="A78" s="2" t="n">
        <x:v>19</x:v>
      </x:c>
      <x:c r="B78" s="49" t="n">
        <x:f>'Datos'!B43</x:f>
        <x:v>1.25</x:v>
      </x:c>
      <x:c r="C78" s="60" t="n">
        <x:f>'Datos'!C43</x:f>
        <x:v>12.48</x:v>
      </x:c>
      <x:c r="D78" s="61" t="n">
        <x:f>IF(H77&lt;C77,F77,D77)</x:f>
        <x:v>0.08995056152344741</x:v>
      </x:c>
      <x:c r="E78" s="61" t="n">
        <x:f>IF(H77&gt;C77,F77,E77)</x:f>
        <x:v>0.08998870849610366</x:v>
      </x:c>
      <x:c r="F78" s="61" t="n">
        <x:f>(D78+E78)/2</x:f>
        <x:v>0.08996963500977553</x:v>
      </x:c>
      <x:c r="G78" s="60" t="n">
        <x:f>(LN('Datos'!$B$22/'Datos'!$B$23)+'Datos'!$B$24*B78+F78/2)/SQRT(F78)</x:f>
        <x:v>0.19164839108548623</x:v>
      </x:c>
      <x:c r="H78" s="60" t="n">
        <x:f>'Datos'!$B$22*NORM.S.DIST(G78,TRUE)-'Datos'!$B$23*EXP(-'Datos'!$B$24*B78)*NORM.S.DIST(G78-SQRT(F78),TRUE)</x:f>
        <x:v>12.478815208619245</x:v>
      </x:c>
      <x:c r="I78" s="59" t="n">
        <x:f>H78-C78</x:f>
        <x:v>-0.0011847913807550015</x:v>
      </x:c>
    </x:row>
    <x:row r="79" ht="22" customHeight="1">
      <x:c r="A79" s="2" t="n">
        <x:v>20</x:v>
      </x:c>
      <x:c r="B79" s="49" t="n">
        <x:f>'Datos'!B43</x:f>
        <x:v>1.25</x:v>
      </x:c>
      <x:c r="C79" s="60" t="n">
        <x:f>'Datos'!C43</x:f>
        <x:v>12.48</x:v>
      </x:c>
      <x:c r="D79" s="61" t="n">
        <x:f>IF(H78&lt;C78,F78,D78)</x:f>
        <x:v>0.08996963500977553</x:v>
      </x:c>
      <x:c r="E79" s="61" t="n">
        <x:f>IF(H78&gt;C78,F78,E78)</x:f>
        <x:v>0.08998870849610366</x:v>
      </x:c>
      <x:c r="F79" s="61" t="n">
        <x:f>(D79+E79)/2</x:f>
        <x:v>0.0899791717529396</x:v>
      </x:c>
      <x:c r="G79" s="60" t="n">
        <x:f>(LN('Datos'!$B$22/'Datos'!$B$23)+'Datos'!$B$24*B79+F79/2)/SQRT(F79)</x:f>
        <x:v>0.1916541309802805</x:v>
      </x:c>
      <x:c r="H79" s="60" t="n">
        <x:f>'Datos'!$B$22*NORM.S.DIST(G79,TRUE)-'Datos'!$B$23*EXP(-'Datos'!$B$24*B79)*NORM.S.DIST(G79-SQRT(F79),TRUE)</x:f>
        <x:v>12.479437859786266</x:v>
      </x:c>
      <x:c r="I79" s="59" t="n">
        <x:f>H79-C79</x:f>
        <x:v>-0.0005621402137343523</x:v>
      </x:c>
    </x:row>
    <x:row r="80" ht="22" customHeight="1">
      <x:c r="A80" s="2" t="n">
        <x:v>21</x:v>
      </x:c>
      <x:c r="B80" s="49" t="n">
        <x:f>'Datos'!B43</x:f>
        <x:v>1.25</x:v>
      </x:c>
      <x:c r="C80" s="60" t="n">
        <x:f>'Datos'!C43</x:f>
        <x:v>12.48</x:v>
      </x:c>
      <x:c r="D80" s="61" t="n">
        <x:f>IF(H79&lt;C79,F79,D79)</x:f>
        <x:v>0.0899791717529396</x:v>
      </x:c>
      <x:c r="E80" s="61" t="n">
        <x:f>IF(H79&gt;C79,F79,E79)</x:f>
        <x:v>0.08998870849610366</x:v>
      </x:c>
      <x:c r="F80" s="61" t="n">
        <x:f>(D80+E80)/2</x:f>
        <x:v>0.08998394012452163</x:v>
      </x:c>
      <x:c r="G80" s="60" t="n">
        <x:f>(LN('Datos'!$B$22/'Datos'!$B$23)+'Datos'!$B$24*B80+F80/2)/SQRT(F80)</x:f>
        <x:v>0.19165700090138418</x:v>
      </x:c>
      <x:c r="H80" s="60" t="n">
        <x:f>'Datos'!$B$22*NORM.S.DIST(G80,TRUE)-'Datos'!$B$23*EXP(-'Datos'!$B$24*B80)*NORM.S.DIST(G80-SQRT(F80),TRUE)</x:f>
        <x:v>12.479749172739062</x:v>
      </x:c>
      <x:c r="I80" s="59" t="n">
        <x:f>H80-C80</x:f>
        <x:v>-0.00025082726093828</x:v>
      </x:c>
    </x:row>
    <x:row r="81" ht="22" customHeight="1">
      <x:c r="A81" s="2" t="n">
        <x:v>22</x:v>
      </x:c>
      <x:c r="B81" s="49" t="n">
        <x:f>'Datos'!B43</x:f>
        <x:v>1.25</x:v>
      </x:c>
      <x:c r="C81" s="60" t="n">
        <x:f>'Datos'!C43</x:f>
        <x:v>12.48</x:v>
      </x:c>
      <x:c r="D81" s="61" t="n">
        <x:f>IF(H80&lt;C80,F80,D80)</x:f>
        <x:v>0.08998394012452163</x:v>
      </x:c>
      <x:c r="E81" s="61" t="n">
        <x:f>IF(H80&gt;C80,F80,E80)</x:f>
        <x:v>0.08998870849610366</x:v>
      </x:c>
      <x:c r="F81" s="61" t="n">
        <x:f>(D81+E81)/2</x:f>
        <x:v>0.08998632431031264</x:v>
      </x:c>
      <x:c r="G81" s="60" t="n">
        <x:f>(LN('Datos'!$B$22/'Datos'!$B$23)+'Datos'!$B$24*B81+F81/2)/SQRT(F81)</x:f>
        <x:v>0.19165843585536124</x:v>
      </x:c>
      <x:c r="H81" s="60" t="n">
        <x:f>'Datos'!$B$22*NORM.S.DIST(G81,TRUE)-'Datos'!$B$23*EXP(-'Datos'!$B$24*B81)*NORM.S.DIST(G81-SQRT(F81),TRUE)</x:f>
        <x:v>12.479904826058096</x:v>
      </x:c>
      <x:c r="I81" s="59" t="n">
        <x:f>H81-C81</x:f>
        <x:v>-0.00009517394190439177</x:v>
      </x:c>
    </x:row>
    <x:row r="82" ht="22" customHeight="1">
      <x:c r="A82" s="2" t="n">
        <x:v>23</x:v>
      </x:c>
      <x:c r="B82" s="49" t="n">
        <x:f>'Datos'!B43</x:f>
        <x:v>1.25</x:v>
      </x:c>
      <x:c r="C82" s="60" t="n">
        <x:f>'Datos'!C43</x:f>
        <x:v>12.48</x:v>
      </x:c>
      <x:c r="D82" s="61" t="n">
        <x:f>IF(H81&lt;C81,F81,D81)</x:f>
        <x:v>0.08998632431031264</x:v>
      </x:c>
      <x:c r="E82" s="61" t="n">
        <x:f>IF(H81&gt;C81,F81,E81)</x:f>
        <x:v>0.08998870849610366</x:v>
      </x:c>
      <x:c r="F82" s="61" t="n">
        <x:f>(D82+E82)/2</x:f>
        <x:v>0.08998751640320815</x:v>
      </x:c>
      <x:c r="G82" s="60" t="n">
        <x:f>(LN('Datos'!$B$22/'Datos'!$B$23)+'Datos'!$B$24*B82+F82/2)/SQRT(F82)</x:f>
        <x:v>0.19165915333070593</x:v>
      </x:c>
      <x:c r="H82" s="60" t="n">
        <x:f>'Datos'!$B$22*NORM.S.DIST(G82,TRUE)-'Datos'!$B$23*EXP(-'Datos'!$B$24*B82)*NORM.S.DIST(G82-SQRT(F82),TRUE)</x:f>
        <x:v>12.479982651928289</x:v>
      </x:c>
      <x:c r="I82" s="59" t="n">
        <x:f>H82-C82</x:f>
        <x:v>-0.000017348071711609236</x:v>
      </x:c>
    </x:row>
    <x:row r="83" ht="22" customHeight="1">
      <x:c r="A83" s="2" t="n">
        <x:v>24</x:v>
      </x:c>
      <x:c r="B83" s="49" t="n">
        <x:f>'Datos'!B43</x:f>
        <x:v>1.25</x:v>
      </x:c>
      <x:c r="C83" s="60" t="n">
        <x:f>'Datos'!C43</x:f>
        <x:v>12.48</x:v>
      </x:c>
      <x:c r="D83" s="61" t="n">
        <x:f>IF(H82&lt;C82,F82,D82)</x:f>
        <x:v>0.08998751640320815</x:v>
      </x:c>
      <x:c r="E83" s="61" t="n">
        <x:f>IF(H82&gt;C82,F82,E82)</x:f>
        <x:v>0.08998870849610366</x:v>
      </x:c>
      <x:c r="F83" s="61" t="n">
        <x:f>(D83+E83)/2</x:f>
        <x:v>0.0899881124496559</x:v>
      </x:c>
      <x:c r="G83" s="60" t="n">
        <x:f>(LN('Datos'!$B$22/'Datos'!$B$23)+'Datos'!$B$24*B83+F83/2)/SQRT(F83)</x:f>
        <x:v>0.19165951206796727</x:v>
      </x:c>
      <x:c r="H83" s="60" t="n">
        <x:f>'Datos'!$B$22*NORM.S.DIST(G83,TRUE)-'Datos'!$B$23*EXP(-'Datos'!$B$24*B83)*NORM.S.DIST(G83-SQRT(F83),TRUE)</x:f>
        <x:v>12.480021564666067</x:v>
      </x:c>
      <x:c r="I83" s="59" t="n">
        <x:f>H83-C83</x:f>
        <x:v>0.00002156466606706431</x:v>
      </x:c>
    </x:row>
    <x:row r="84" ht="22" customHeight="1">
      <x:c r="A84" s="2" t="n">
        <x:v>25</x:v>
      </x:c>
      <x:c r="B84" s="49" t="n">
        <x:f>'Datos'!B43</x:f>
        <x:v>1.25</x:v>
      </x:c>
      <x:c r="C84" s="60" t="n">
        <x:f>'Datos'!C43</x:f>
        <x:v>12.48</x:v>
      </x:c>
      <x:c r="D84" s="61" t="n">
        <x:f>IF(H83&lt;C83,F83,D83)</x:f>
        <x:v>0.08998751640320815</x:v>
      </x:c>
      <x:c r="E84" s="61" t="n">
        <x:f>IF(H83&gt;C83,F83,E83)</x:f>
        <x:v>0.0899881124496559</x:v>
      </x:c>
      <x:c r="F84" s="61" t="n">
        <x:f>(D84+E84)/2</x:f>
        <x:v>0.08998781442643203</x:v>
      </x:c>
      <x:c r="G84" s="60" t="n">
        <x:f>(LN('Datos'!$B$22/'Datos'!$B$23)+'Datos'!$B$24*B84+F84/2)/SQRT(F84)</x:f>
        <x:v>0.19165933269937083</x:v>
      </x:c>
      <x:c r="H84" s="60" t="n">
        <x:f>'Datos'!$B$22*NORM.S.DIST(G84,TRUE)-'Datos'!$B$23*EXP(-'Datos'!$B$24*B84)*NORM.S.DIST(G84-SQRT(F84),TRUE)</x:f>
        <x:v>12.480002108313634</x:v>
      </x:c>
      <x:c r="I84" s="59" t="n">
        <x:f>H84-C84</x:f>
        <x:v>0.0000021083136338972963</x:v>
      </x:c>
    </x:row>
    <x:row r="85" ht="22" customHeight="1">
      <x:c r="A85" s="2" t="n">
        <x:v>26</x:v>
      </x:c>
      <x:c r="B85" s="49" t="n">
        <x:f>'Datos'!B43</x:f>
        <x:v>1.25</x:v>
      </x:c>
      <x:c r="C85" s="60" t="n">
        <x:f>'Datos'!C43</x:f>
        <x:v>12.48</x:v>
      </x:c>
      <x:c r="D85" s="61" t="n">
        <x:f>IF(H84&lt;C84,F84,D84)</x:f>
        <x:v>0.08998751640320815</x:v>
      </x:c>
      <x:c r="E85" s="61" t="n">
        <x:f>IF(H84&gt;C84,F84,E84)</x:f>
        <x:v>0.08998781442643203</x:v>
      </x:c>
      <x:c r="F85" s="61" t="n">
        <x:f>(D85+E85)/2</x:f>
        <x:v>0.08998766541482009</x:v>
      </x:c>
      <x:c r="G85" s="60" t="n">
        <x:f>(LN('Datos'!$B$22/'Datos'!$B$23)+'Datos'!$B$24*B85+F85/2)/SQRT(F85)</x:f>
        <x:v>0.19165924301504694</x:v>
      </x:c>
      <x:c r="H85" s="60" t="n">
        <x:f>'Datos'!$B$22*NORM.S.DIST(G85,TRUE)-'Datos'!$B$23*EXP(-'Datos'!$B$24*B85)*NORM.S.DIST(G85-SQRT(F85),TRUE)</x:f>
        <x:v>12.479992380125054</x:v>
      </x:c>
      <x:c r="I85" s="59" t="n">
        <x:f>H85-C85</x:f>
        <x:v>-0.000007619874946129812</x:v>
      </x:c>
    </x:row>
    <x:row r="86" ht="22" customHeight="1">
      <x:c r="A86" s="2" t="n">
        <x:v>27</x:v>
      </x:c>
      <x:c r="B86" s="49" t="n">
        <x:f>'Datos'!B43</x:f>
        <x:v>1.25</x:v>
      </x:c>
      <x:c r="C86" s="60" t="n">
        <x:f>'Datos'!C43</x:f>
        <x:v>12.48</x:v>
      </x:c>
      <x:c r="D86" s="61" t="n">
        <x:f>IF(H85&lt;C85,F85,D85)</x:f>
        <x:v>0.08998766541482009</x:v>
      </x:c>
      <x:c r="E86" s="61" t="n">
        <x:f>IF(H85&gt;C85,F85,E85)</x:f>
        <x:v>0.08998781442643203</x:v>
      </x:c>
      <x:c r="F86" s="61" t="n">
        <x:f>(D86+E86)/2</x:f>
        <x:v>0.08998773992062606</x:v>
      </x:c>
      <x:c r="G86" s="60" t="n">
        <x:f>(LN('Datos'!$B$22/'Datos'!$B$23)+'Datos'!$B$24*B86+F86/2)/SQRT(F86)</x:f>
        <x:v>0.19165928785721104</x:v>
      </x:c>
      <x:c r="H86" s="60" t="n">
        <x:f>'Datos'!$B$22*NORM.S.DIST(G86,TRUE)-'Datos'!$B$23*EXP(-'Datos'!$B$24*B86)*NORM.S.DIST(G86-SQRT(F86),TRUE)</x:f>
        <x:v>12.479997244220378</x:v>
      </x:c>
      <x:c r="I86" s="59" t="n">
        <x:f>H86-C86</x:f>
        <x:v>-0.0000027557796222765774</x:v>
      </x:c>
    </x:row>
    <x:row r="87" ht="22" customHeight="1">
      <x:c r="A87" s="2" t="n">
        <x:v>28</x:v>
      </x:c>
      <x:c r="B87" s="49" t="n">
        <x:f>'Datos'!B43</x:f>
        <x:v>1.25</x:v>
      </x:c>
      <x:c r="C87" s="60" t="n">
        <x:f>'Datos'!C43</x:f>
        <x:v>12.48</x:v>
      </x:c>
      <x:c r="D87" s="61" t="n">
        <x:f>IF(H86&lt;C86,F86,D86)</x:f>
        <x:v>0.08998773992062606</x:v>
      </x:c>
      <x:c r="E87" s="61" t="n">
        <x:f>IF(H86&gt;C86,F86,E86)</x:f>
        <x:v>0.08998781442643203</x:v>
      </x:c>
      <x:c r="F87" s="61" t="n">
        <x:f>(D87+E87)/2</x:f>
        <x:v>0.08998777717352904</x:v>
      </x:c>
      <x:c r="G87" s="60" t="n">
        <x:f>(LN('Datos'!$B$22/'Datos'!$B$23)+'Datos'!$B$24*B87+F87/2)/SQRT(F87)</x:f>
        <x:v>0.19165931027829144</x:v>
      </x:c>
      <x:c r="H87" s="60" t="n">
        <x:f>'Datos'!$B$22*NORM.S.DIST(G87,TRUE)-'Datos'!$B$23*EXP(-'Datos'!$B$24*B87)*NORM.S.DIST(G87-SQRT(F87),TRUE)</x:f>
        <x:v>12.47999967626727</x:v>
      </x:c>
      <x:c r="I87" s="59" t="n">
        <x:f>H87-C87</x:f>
        <x:v>-3.237327312888283e-7</x:v>
      </x:c>
    </x:row>
    <x:row r="88" ht="22" customHeight="1">
      <x:c r="A88" s="2" t="n">
        <x:v>29</x:v>
      </x:c>
      <x:c r="B88" s="49" t="n">
        <x:f>'Datos'!B43</x:f>
        <x:v>1.25</x:v>
      </x:c>
      <x:c r="C88" s="60" t="n">
        <x:f>'Datos'!C43</x:f>
        <x:v>12.48</x:v>
      </x:c>
      <x:c r="D88" s="61" t="n">
        <x:f>IF(H87&lt;C87,F87,D87)</x:f>
        <x:v>0.08998777717352904</x:v>
      </x:c>
      <x:c r="E88" s="61" t="n">
        <x:f>IF(H87&gt;C87,F87,E87)</x:f>
        <x:v>0.08998781442643203</x:v>
      </x:c>
      <x:c r="F88" s="61" t="n">
        <x:f>(D88+E88)/2</x:f>
        <x:v>0.08998779579998054</x:v>
      </x:c>
      <x:c r="G88" s="60" t="n">
        <x:f>(LN('Datos'!$B$22/'Datos'!$B$23)+'Datos'!$B$24*B88+F88/2)/SQRT(F88)</x:f>
        <x:v>0.19165932148883127</x:v>
      </x:c>
      <x:c r="H88" s="60" t="n">
        <x:f>'Datos'!$B$22*NORM.S.DIST(G88,TRUE)-'Datos'!$B$23*EXP(-'Datos'!$B$24*B88)*NORM.S.DIST(G88-SQRT(F88),TRUE)</x:f>
        <x:v>12.480000892290505</x:v>
      </x:c>
      <x:c r="I88" s="59" t="n">
        <x:f>H88-C88</x:f>
        <x:v>8.922905045949392e-7</x:v>
      </x:c>
    </x:row>
    <x:row r="89" ht="22" customHeight="1">
      <x:c r="A89" s="2" t="n">
        <x:v>30</x:v>
      </x:c>
      <x:c r="B89" s="49" t="n">
        <x:f>'Datos'!B43</x:f>
        <x:v>1.25</x:v>
      </x:c>
      <x:c r="C89" s="60" t="n">
        <x:f>'Datos'!C43</x:f>
        <x:v>12.48</x:v>
      </x:c>
      <x:c r="D89" s="61" t="n">
        <x:f>IF(H88&lt;C88,F88,D88)</x:f>
        <x:v>0.08998777717352904</x:v>
      </x:c>
      <x:c r="E89" s="61" t="n">
        <x:f>IF(H88&gt;C88,F88,E88)</x:f>
        <x:v>0.08998779579998054</x:v>
      </x:c>
      <x:c r="F89" s="61" t="n">
        <x:f>(D89+E89)/2</x:f>
        <x:v>0.08998778648675479</x:v>
      </x:c>
      <x:c r="G89" s="60" t="n">
        <x:f>(LN('Datos'!$B$22/'Datos'!$B$23)+'Datos'!$B$24*B89+F89/2)/SQRT(F89)</x:f>
        <x:v>0.19165931588356142</x:v>
      </x:c>
      <x:c r="H89" s="60" t="n">
        <x:f>'Datos'!$B$22*NORM.S.DIST(G89,TRUE)-'Datos'!$B$23*EXP(-'Datos'!$B$24*B89)*NORM.S.DIST(G89-SQRT(F89),TRUE)</x:f>
        <x:v>12.480000284278916</x:v>
      </x:c>
      <x:c r="I89" s="59" t="n">
        <x:f>H89-C89</x:f>
        <x:v>2.842789150747649e-7</x:v>
      </x:c>
    </x:row>
    <x:row r="90" ht="22" customHeight="1">
      <x:c r="A90" s="2" t="n">
        <x:v>31</x:v>
      </x:c>
      <x:c r="B90" s="49" t="n">
        <x:f>'Datos'!B43</x:f>
        <x:v>1.25</x:v>
      </x:c>
      <x:c r="C90" s="60" t="n">
        <x:f>'Datos'!C43</x:f>
        <x:v>12.48</x:v>
      </x:c>
      <x:c r="D90" s="61" t="n">
        <x:f>IF(H89&lt;C89,F89,D89)</x:f>
        <x:v>0.08998777717352904</x:v>
      </x:c>
      <x:c r="E90" s="61" t="n">
        <x:f>IF(H89&gt;C89,F89,E89)</x:f>
        <x:v>0.08998778648675479</x:v>
      </x:c>
      <x:c r="F90" s="61" t="n">
        <x:f>(D90+E90)/2</x:f>
        <x:v>0.08998778183014192</x:v>
      </x:c>
      <x:c r="G90" s="60" t="n">
        <x:f>(LN('Datos'!$B$22/'Datos'!$B$23)+'Datos'!$B$24*B90+F90/2)/SQRT(F90)</x:f>
        <x:v>0.19165931308092643</x:v>
      </x:c>
      <x:c r="H90" s="60" t="n">
        <x:f>'Datos'!$B$22*NORM.S.DIST(G90,TRUE)-'Datos'!$B$23*EXP(-'Datos'!$B$24*B90)*NORM.S.DIST(G90-SQRT(F90),TRUE)</x:f>
        <x:v>12.479999980273085</x:v>
      </x:c>
      <x:c r="I90" s="59" t="n">
        <x:f>H90-C90</x:f>
        <x:v>-1.9726915212459062e-8</x:v>
      </x:c>
    </x:row>
    <x:row r="91" ht="22" customHeight="1">
      <x:c r="A91" s="2" t="n">
        <x:v>32</x:v>
      </x:c>
      <x:c r="B91" s="49" t="n">
        <x:f>'Datos'!B43</x:f>
        <x:v>1.25</x:v>
      </x:c>
      <x:c r="C91" s="60" t="n">
        <x:f>'Datos'!C43</x:f>
        <x:v>12.48</x:v>
      </x:c>
      <x:c r="D91" s="61" t="n">
        <x:f>IF(H90&lt;C90,F90,D90)</x:f>
        <x:v>0.08998778183014192</x:v>
      </x:c>
      <x:c r="E91" s="61" t="n">
        <x:f>IF(H90&gt;C90,F90,E90)</x:f>
        <x:v>0.08998778648675479</x:v>
      </x:c>
      <x:c r="F91" s="61" t="n">
        <x:f>(D91+E91)/2</x:f>
        <x:v>0.08998778415844835</x:v>
      </x:c>
      <x:c r="G91" s="60" t="n">
        <x:f>(LN('Datos'!$B$22/'Datos'!$B$23)+'Datos'!$B$24*B91+F91/2)/SQRT(F91)</x:f>
        <x:v>0.1916593144822439</x:v>
      </x:c>
      <x:c r="H91" s="60" t="n">
        <x:f>'Datos'!$B$22*NORM.S.DIST(G91,TRUE)-'Datos'!$B$23*EXP(-'Datos'!$B$24*B91)*NORM.S.DIST(G91-SQRT(F91),TRUE)</x:f>
        <x:v>12.480000132275997</x:v>
      </x:c>
      <x:c r="I91" s="59" t="n">
        <x:f>H91-C91</x:f>
        <x:v>1.3227599637843923e-7</x:v>
      </x:c>
    </x:row>
    <x:row r="92" ht="22" customHeight="1">
      <x:c r="A92" s="2" t="n">
        <x:v>33</x:v>
      </x:c>
      <x:c r="B92" s="49" t="n">
        <x:f>'Datos'!B43</x:f>
        <x:v>1.25</x:v>
      </x:c>
      <x:c r="C92" s="60" t="n">
        <x:f>'Datos'!C43</x:f>
        <x:v>12.48</x:v>
      </x:c>
      <x:c r="D92" s="61" t="n">
        <x:f>IF(H91&lt;C91,F91,D91)</x:f>
        <x:v>0.08998778183014192</x:v>
      </x:c>
      <x:c r="E92" s="61" t="n">
        <x:f>IF(H91&gt;C91,F91,E91)</x:f>
        <x:v>0.08998778415844835</x:v>
      </x:c>
      <x:c r="F92" s="61" t="n">
        <x:f>(D92+E92)/2</x:f>
        <x:v>0.08998778299429513</x:v>
      </x:c>
      <x:c r="G92" s="60" t="n">
        <x:f>(LN('Datos'!$B$22/'Datos'!$B$23)+'Datos'!$B$24*B92+F92/2)/SQRT(F92)</x:f>
        <x:v>0.19165931378158518</x:v>
      </x:c>
      <x:c r="H92" s="60" t="n">
        <x:f>'Datos'!$B$22*NORM.S.DIST(G92,TRUE)-'Datos'!$B$23*EXP(-'Datos'!$B$24*B92)*NORM.S.DIST(G92-SQRT(F92),TRUE)</x:f>
        <x:v>12.480000056274541</x:v>
      </x:c>
      <x:c r="I92" s="59" t="n">
        <x:f>H92-C92</x:f>
        <x:v>5.6274540582990085e-8</x:v>
      </x:c>
    </x:row>
    <x:row r="93" ht="22" customHeight="1">
      <x:c r="A93" s="2" t="n">
        <x:v>34</x:v>
      </x:c>
      <x:c r="B93" s="49" t="n">
        <x:f>'Datos'!B43</x:f>
        <x:v>1.25</x:v>
      </x:c>
      <x:c r="C93" s="60" t="n">
        <x:f>'Datos'!C43</x:f>
        <x:v>12.48</x:v>
      </x:c>
      <x:c r="D93" s="61" t="n">
        <x:f>IF(H92&lt;C92,F92,D92)</x:f>
        <x:v>0.08998778183014192</x:v>
      </x:c>
      <x:c r="E93" s="61" t="n">
        <x:f>IF(H92&gt;C92,F92,E92)</x:f>
        <x:v>0.08998778299429513</x:v>
      </x:c>
      <x:c r="F93" s="61" t="n">
        <x:f>(D93+E93)/2</x:f>
        <x:v>0.08998778241221853</x:v>
      </x:c>
      <x:c r="G93" s="60" t="n">
        <x:f>(LN('Datos'!$B$22/'Datos'!$B$23)+'Datos'!$B$24*B93+F93/2)/SQRT(F93)</x:f>
        <x:v>0.1916593134312558</x:v>
      </x:c>
      <x:c r="H93" s="60" t="n">
        <x:f>'Datos'!$B$22*NORM.S.DIST(G93,TRUE)-'Datos'!$B$23*EXP(-'Datos'!$B$24*B93)*NORM.S.DIST(G93-SQRT(F93),TRUE)</x:f>
        <x:v>12.480000018273806</x:v>
      </x:c>
      <x:c r="I93" s="59" t="n">
        <x:f>H93-C93</x:f>
        <x:v>1.8273805579838154e-8</x:v>
      </x:c>
    </x:row>
    <x:row r="94" ht="22" customHeight="1">
      <x:c r="A94" s="2" t="n">
        <x:v>35</x:v>
      </x:c>
      <x:c r="B94" s="49" t="n">
        <x:f>'Datos'!B43</x:f>
        <x:v>1.25</x:v>
      </x:c>
      <x:c r="C94" s="60" t="n">
        <x:f>'Datos'!C43</x:f>
        <x:v>12.48</x:v>
      </x:c>
      <x:c r="D94" s="61" t="n">
        <x:f>IF(H93&lt;C93,F93,D93)</x:f>
        <x:v>0.08998778183014192</x:v>
      </x:c>
      <x:c r="E94" s="61" t="n">
        <x:f>IF(H93&gt;C93,F93,E93)</x:f>
        <x:v>0.08998778241221853</x:v>
      </x:c>
      <x:c r="F94" s="61" t="n">
        <x:f>(D94+E94)/2</x:f>
        <x:v>0.08998778212118022</x:v>
      </x:c>
      <x:c r="G94" s="60" t="n">
        <x:f>(LN('Datos'!$B$22/'Datos'!$B$23)+'Datos'!$B$24*B94+F94/2)/SQRT(F94)</x:f>
        <x:v>0.19165931325609115</x:v>
      </x:c>
      <x:c r="H94" s="60" t="n">
        <x:f>'Datos'!$B$22*NORM.S.DIST(G94,TRUE)-'Datos'!$B$23*EXP(-'Datos'!$B$24*B94)*NORM.S.DIST(G94-SQRT(F94),TRUE)</x:f>
        <x:v>12.479999999273446</x:v>
      </x:c>
      <x:c r="I94" s="59" t="n">
        <x:f>H94-C94</x:f>
        <x:v>-7.26554816310454e-10</x:v>
      </x:c>
    </x:row>
    <x:row r="95" ht="22" customHeight="1">
      <x:c r="A95" s="2" t="n">
        <x:v>36</x:v>
      </x:c>
      <x:c r="B95" s="49" t="n">
        <x:f>'Datos'!B43</x:f>
        <x:v>1.25</x:v>
      </x:c>
      <x:c r="C95" s="60" t="n">
        <x:f>'Datos'!C43</x:f>
        <x:v>12.48</x:v>
      </x:c>
      <x:c r="D95" s="61" t="n">
        <x:f>IF(H94&lt;C94,F94,D94)</x:f>
        <x:v>0.08998778212118022</x:v>
      </x:c>
      <x:c r="E95" s="61" t="n">
        <x:f>IF(H94&gt;C94,F94,E94)</x:f>
        <x:v>0.08998778241221853</x:v>
      </x:c>
      <x:c r="F95" s="61" t="n">
        <x:f>(D95+E95)/2</x:f>
        <x:v>0.08998778226669937</x:v>
      </x:c>
      <x:c r="G95" s="60" t="n">
        <x:f>(LN('Datos'!$B$22/'Datos'!$B$23)+'Datos'!$B$24*B95+F95/2)/SQRT(F95)</x:f>
        <x:v>0.19165931334367345</x:v>
      </x:c>
      <x:c r="H95" s="60" t="n">
        <x:f>'Datos'!$B$22*NORM.S.DIST(G95,TRUE)-'Datos'!$B$23*EXP(-'Datos'!$B$24*B95)*NORM.S.DIST(G95-SQRT(F95),TRUE)</x:f>
        <x:v>12.48000000877363</x:v>
      </x:c>
      <x:c r="I95" s="59" t="n">
        <x:f>H95-C95</x:f>
        <x:v>8.773628934477529e-9</x:v>
      </x:c>
    </x:row>
    <x:row r="96" ht="22" customHeight="1">
      <x:c r="A96" s="2" t="n">
        <x:v>37</x:v>
      </x:c>
      <x:c r="B96" s="49" t="n">
        <x:f>'Datos'!B43</x:f>
        <x:v>1.25</x:v>
      </x:c>
      <x:c r="C96" s="60" t="n">
        <x:f>'Datos'!C43</x:f>
        <x:v>12.48</x:v>
      </x:c>
      <x:c r="D96" s="61" t="n">
        <x:f>IF(H95&lt;C95,F95,D95)</x:f>
        <x:v>0.08998778212118022</x:v>
      </x:c>
      <x:c r="E96" s="61" t="n">
        <x:f>IF(H95&gt;C95,F95,E95)</x:f>
        <x:v>0.08998778226669937</x:v>
      </x:c>
      <x:c r="F96" s="61" t="n">
        <x:f>(D96+E96)/2</x:f>
        <x:v>0.0899877821939398</x:v>
      </x:c>
      <x:c r="G96" s="60" t="n">
        <x:f>(LN('Datos'!$B$22/'Datos'!$B$23)+'Datos'!$B$24*B96+F96/2)/SQRT(F96)</x:f>
        <x:v>0.1916593132998823</x:v>
      </x:c>
      <x:c r="H96" s="60" t="n">
        <x:f>'Datos'!$B$22*NORM.S.DIST(G96,TRUE)-'Datos'!$B$23*EXP(-'Datos'!$B$24*B96)*NORM.S.DIST(G96-SQRT(F96),TRUE)</x:f>
        <x:v>12.480000004023552</x:v>
      </x:c>
      <x:c r="I96" s="59" t="n">
        <x:f>H96-C96</x:f>
        <x:v>4.0235512699382525e-9</x:v>
      </x:c>
    </x:row>
    <x:row r="97" ht="22" customHeight="1">
      <x:c r="A97" s="2" t="n">
        <x:v>38</x:v>
      </x:c>
      <x:c r="B97" s="49" t="n">
        <x:f>'Datos'!B43</x:f>
        <x:v>1.25</x:v>
      </x:c>
      <x:c r="C97" s="60" t="n">
        <x:f>'Datos'!C43</x:f>
        <x:v>12.48</x:v>
      </x:c>
      <x:c r="D97" s="61" t="n">
        <x:f>IF(H96&lt;C96,F96,D96)</x:f>
        <x:v>0.08998778212118022</x:v>
      </x:c>
      <x:c r="E97" s="61" t="n">
        <x:f>IF(H96&gt;C96,F96,E96)</x:f>
        <x:v>0.0899877821939398</x:v>
      </x:c>
      <x:c r="F97" s="61" t="n">
        <x:f>(D97+E97)/2</x:f>
        <x:v>0.08998778215756001</x:v>
      </x:c>
      <x:c r="G97" s="60" t="n">
        <x:f>(LN('Datos'!$B$22/'Datos'!$B$23)+'Datos'!$B$24*B97+F97/2)/SQRT(F97)</x:f>
        <x:v>0.19165931327798671</x:v>
      </x:c>
      <x:c r="H97" s="60" t="n">
        <x:f>'Datos'!$B$22*NORM.S.DIST(G97,TRUE)-'Datos'!$B$23*EXP(-'Datos'!$B$24*B97)*NORM.S.DIST(G97-SQRT(F97),TRUE)</x:f>
        <x:v>12.480000001648499</x:v>
      </x:c>
      <x:c r="I97" s="59" t="n">
        <x:f>H97-C97</x:f>
        <x:v>1.6484982268138992e-9</x:v>
      </x:c>
    </x:row>
    <x:row r="98" ht="22" customHeight="1">
      <x:c r="A98" s="2" t="n">
        <x:v>39</x:v>
      </x:c>
      <x:c r="B98" s="49" t="n">
        <x:f>'Datos'!B43</x:f>
        <x:v>1.25</x:v>
      </x:c>
      <x:c r="C98" s="60" t="n">
        <x:f>'Datos'!C43</x:f>
        <x:v>12.48</x:v>
      </x:c>
      <x:c r="D98" s="61" t="n">
        <x:f>IF(H97&lt;C97,F97,D97)</x:f>
        <x:v>0.08998778212118022</x:v>
      </x:c>
      <x:c r="E98" s="61" t="n">
        <x:f>IF(H97&gt;C97,F97,E97)</x:f>
        <x:v>0.08998778215756001</x:v>
      </x:c>
      <x:c r="F98" s="61" t="n">
        <x:f>(D98+E98)/2</x:f>
        <x:v>0.08998778213937011</x:v>
      </x:c>
      <x:c r="G98" s="60" t="n">
        <x:f>(LN('Datos'!$B$22/'Datos'!$B$23)+'Datos'!$B$24*B98+F98/2)/SQRT(F98)</x:f>
        <x:v>0.19165931326703892</x:v>
      </x:c>
      <x:c r="H98" s="60" t="n">
        <x:f>'Datos'!$B$22*NORM.S.DIST(G98,TRUE)-'Datos'!$B$23*EXP(-'Datos'!$B$24*B98)*NORM.S.DIST(G98-SQRT(F98),TRUE)</x:f>
        <x:v>12.480000000460961</x:v>
      </x:c>
      <x:c r="I98" s="59" t="n">
        <x:f>H98-C98</x:f>
        <x:v>4.609610471106862e-10</x:v>
      </x:c>
    </x:row>
    <x:row r="99" ht="22" customHeight="1">
      <x:c r="A99" s="2" t="n">
        <x:v>40</x:v>
      </x:c>
      <x:c r="B99" s="49" t="n">
        <x:f>'Datos'!B43</x:f>
        <x:v>1.25</x:v>
      </x:c>
      <x:c r="C99" s="60" t="n">
        <x:f>'Datos'!C43</x:f>
        <x:v>12.48</x:v>
      </x:c>
      <x:c r="D99" s="61" t="n">
        <x:f>IF(H98&lt;C98,F98,D98)</x:f>
        <x:v>0.08998778212118022</x:v>
      </x:c>
      <x:c r="E99" s="61" t="n">
        <x:f>IF(H98&gt;C98,F98,E98)</x:f>
        <x:v>0.08998778213937011</x:v>
      </x:c>
      <x:c r="F99" s="61" t="n">
        <x:f>(D99+E99)/2</x:f>
        <x:v>0.08998778213027517</x:v>
      </x:c>
      <x:c r="G99" s="60" t="n">
        <x:f>(LN('Datos'!$B$22/'Datos'!$B$23)+'Datos'!$B$24*B99+F99/2)/SQRT(F99)</x:f>
        <x:v>0.19165931326156502</x:v>
      </x:c>
      <x:c r="H99" s="60" t="n">
        <x:f>'Datos'!$B$22*NORM.S.DIST(G99,TRUE)-'Datos'!$B$23*EXP(-'Datos'!$B$24*B99)*NORM.S.DIST(G99-SQRT(F99),TRUE)</x:f>
        <x:v>12.47999999986721</x:v>
      </x:c>
      <x:c r="I99" s="59" t="n">
        <x:f>H99-C99</x:f>
        <x:v>-1.3278977917252632e-10</x:v>
      </x:c>
    </x:row>
    <x:row r="100" ht="22" customHeight="1">
      <x:c r="A100" s="2" t="n">
        <x:v>41</x:v>
      </x:c>
      <x:c r="B100" s="49" t="n">
        <x:f>'Datos'!B43</x:f>
        <x:v>1.25</x:v>
      </x:c>
      <x:c r="C100" s="60" t="n">
        <x:f>'Datos'!C43</x:f>
        <x:v>12.48</x:v>
      </x:c>
      <x:c r="D100" s="61" t="n">
        <x:f>IF(H99&lt;C99,F99,D99)</x:f>
        <x:v>0.08998778213027517</x:v>
      </x:c>
      <x:c r="E100" s="61" t="n">
        <x:f>IF(H99&gt;C99,F99,E99)</x:f>
        <x:v>0.08998778213937011</x:v>
      </x:c>
      <x:c r="F100" s="61" t="n">
        <x:f>(D100+E100)/2</x:f>
        <x:v>0.08998778213482264</x:v>
      </x:c>
      <x:c r="G100" s="60" t="n">
        <x:f>(LN('Datos'!$B$22/'Datos'!$B$23)+'Datos'!$B$24*B100+F100/2)/SQRT(F100)</x:f>
        <x:v>0.19165931326430197</x:v>
      </x:c>
      <x:c r="H100" s="60" t="n">
        <x:f>'Datos'!$B$22*NORM.S.DIST(G100,TRUE)-'Datos'!$B$23*EXP(-'Datos'!$B$24*B100)*NORM.S.DIST(G100-SQRT(F100),TRUE)</x:f>
        <x:v>12.480000000164097</x:v>
      </x:c>
      <x:c r="I100" s="59" t="n">
        <x:f>H100-C100</x:f>
        <x:v>1.6409629211011634e-10</x:v>
      </x:c>
    </x:row>
    <x:row r="101" ht="22" customHeight="1">
      <x:c r="A101" s="2" t="n">
        <x:v>42</x:v>
      </x:c>
      <x:c r="B101" s="49" t="n">
        <x:f>'Datos'!B43</x:f>
        <x:v>1.25</x:v>
      </x:c>
      <x:c r="C101" s="60" t="n">
        <x:f>'Datos'!C43</x:f>
        <x:v>12.48</x:v>
      </x:c>
      <x:c r="D101" s="61" t="n">
        <x:f>IF(H100&lt;C100,F100,D100)</x:f>
        <x:v>0.08998778213027517</x:v>
      </x:c>
      <x:c r="E101" s="61" t="n">
        <x:f>IF(H100&gt;C100,F100,E100)</x:f>
        <x:v>0.08998778213482264</x:v>
      </x:c>
      <x:c r="F101" s="61" t="n">
        <x:f>(D101+E101)/2</x:f>
        <x:v>0.0899877821325489</x:v>
      </x:c>
      <x:c r="G101" s="60" t="n">
        <x:f>(LN('Datos'!$B$22/'Datos'!$B$23)+'Datos'!$B$24*B101+F101/2)/SQRT(F101)</x:f>
        <x:v>0.1916593132629335</x:v>
      </x:c>
      <x:c r="H101" s="60" t="n">
        <x:f>'Datos'!$B$22*NORM.S.DIST(G101,TRUE)-'Datos'!$B$23*EXP(-'Datos'!$B$24*B101)*NORM.S.DIST(G101-SQRT(F101),TRUE)</x:f>
        <x:v>12.480000000015643</x:v>
      </x:c>
      <x:c r="I101" s="59" t="n">
        <x:f>H101-C101</x:f>
        <x:v>1.5642598327758606e-11</x:v>
      </x:c>
    </x:row>
    <x:row r="102" ht="22" customHeight="1">
      <x:c r="A102" s="2" t="n">
        <x:v>43</x:v>
      </x:c>
      <x:c r="B102" s="49" t="n">
        <x:f>'Datos'!B43</x:f>
        <x:v>1.25</x:v>
      </x:c>
      <x:c r="C102" s="60" t="n">
        <x:f>'Datos'!C43</x:f>
        <x:v>12.48</x:v>
      </x:c>
      <x:c r="D102" s="61" t="n">
        <x:f>IF(H101&lt;C101,F101,D101)</x:f>
        <x:v>0.08998778213027517</x:v>
      </x:c>
      <x:c r="E102" s="61" t="n">
        <x:f>IF(H101&gt;C101,F101,E101)</x:f>
        <x:v>0.0899877821325489</x:v>
      </x:c>
      <x:c r="F102" s="61" t="n">
        <x:f>(D102+E102)/2</x:f>
        <x:v>0.08998778213141204</x:v>
      </x:c>
      <x:c r="G102" s="60" t="n">
        <x:f>(LN('Datos'!$B$22/'Datos'!$B$23)+'Datos'!$B$24*B102+F102/2)/SQRT(F102)</x:f>
        <x:v>0.19165931326224928</x:v>
      </x:c>
      <x:c r="H102" s="60" t="n">
        <x:f>'Datos'!$B$22*NORM.S.DIST(G102,TRUE)-'Datos'!$B$23*EXP(-'Datos'!$B$24*B102)*NORM.S.DIST(G102-SQRT(F102),TRUE)</x:f>
        <x:v>12.479999999941434</x:v>
      </x:c>
      <x:c r="I102" s="59" t="n">
        <x:f>H102-C102</x:f>
        <x:v>-5.856648499502626e-11</x:v>
      </x:c>
    </x:row>
    <x:row r="103" ht="22" customHeight="1">
      <x:c r="A103" s="2" t="n">
        <x:v>44</x:v>
      </x:c>
      <x:c r="B103" s="49" t="n">
        <x:f>'Datos'!B43</x:f>
        <x:v>1.25</x:v>
      </x:c>
      <x:c r="C103" s="60" t="n">
        <x:f>'Datos'!C43</x:f>
        <x:v>12.48</x:v>
      </x:c>
      <x:c r="D103" s="61" t="n">
        <x:f>IF(H102&lt;C102,F102,D102)</x:f>
        <x:v>0.08998778213141204</x:v>
      </x:c>
      <x:c r="E103" s="61" t="n">
        <x:f>IF(H102&gt;C102,F102,E102)</x:f>
        <x:v>0.0899877821325489</x:v>
      </x:c>
      <x:c r="F103" s="61" t="n">
        <x:f>(D103+E103)/2</x:f>
        <x:v>0.08998778213198047</x:v>
      </x:c>
      <x:c r="G103" s="60" t="n">
        <x:f>(LN('Datos'!$B$22/'Datos'!$B$23)+'Datos'!$B$24*B103+F103/2)/SQRT(F103)</x:f>
        <x:v>0.1916593132625914</x:v>
      </x:c>
      <x:c r="H103" s="60" t="n">
        <x:f>'Datos'!$B$22*NORM.S.DIST(G103,TRUE)-'Datos'!$B$23*EXP(-'Datos'!$B$24*B103)*NORM.S.DIST(G103-SQRT(F103),TRUE)</x:f>
        <x:v>12.479999999978553</x:v>
      </x:c>
      <x:c r="I103" s="59" t="n">
        <x:f>H103-C103</x:f>
        <x:v>-2.1447732478918624e-11</x:v>
      </x:c>
    </x:row>
    <x:row r="104" ht="22" customHeight="1">
      <x:c r="A104" s="2" t="n">
        <x:v>45</x:v>
      </x:c>
      <x:c r="B104" s="49" t="n">
        <x:f>'Datos'!B43</x:f>
        <x:v>1.25</x:v>
      </x:c>
      <x:c r="C104" s="60" t="n">
        <x:f>'Datos'!C43</x:f>
        <x:v>12.48</x:v>
      </x:c>
      <x:c r="D104" s="61" t="n">
        <x:f>IF(H103&lt;C103,F103,D103)</x:f>
        <x:v>0.08998778213198047</x:v>
      </x:c>
      <x:c r="E104" s="61" t="n">
        <x:f>IF(H103&gt;C103,F103,E103)</x:f>
        <x:v>0.0899877821325489</x:v>
      </x:c>
      <x:c r="F104" s="61" t="n">
        <x:f>(D104+E104)/2</x:f>
        <x:v>0.08998778213226469</x:v>
      </x:c>
      <x:c r="G104" s="60" t="n">
        <x:f>(LN('Datos'!$B$22/'Datos'!$B$23)+'Datos'!$B$24*B104+F104/2)/SQRT(F104)</x:f>
        <x:v>0.19165931326276245</x:v>
      </x:c>
      <x:c r="H104" s="60" t="n">
        <x:f>'Datos'!$B$22*NORM.S.DIST(G104,TRUE)-'Datos'!$B$23*EXP(-'Datos'!$B$24*B104)*NORM.S.DIST(G104-SQRT(F104),TRUE)</x:f>
        <x:v>12.47999999999707</x:v>
      </x:c>
      <x:c r="I104" s="59" t="n">
        <x:f>H104-C104</x:f>
        <x:v>-2.9309887850104133e-12</x:v>
      </x:c>
    </x:row>
    <x:row r="105" ht="22" customHeight="1">
      <x:c r="A105" s="2" t="n">
        <x:v>46</x:v>
      </x:c>
      <x:c r="B105" s="49" t="n">
        <x:f>'Datos'!B43</x:f>
        <x:v>1.25</x:v>
      </x:c>
      <x:c r="C105" s="60" t="n">
        <x:f>'Datos'!C43</x:f>
        <x:v>12.48</x:v>
      </x:c>
      <x:c r="D105" s="61" t="n">
        <x:f>IF(H104&lt;C104,F104,D104)</x:f>
        <x:v>0.08998778213226469</x:v>
      </x:c>
      <x:c r="E105" s="61" t="n">
        <x:f>IF(H104&gt;C104,F104,E104)</x:f>
        <x:v>0.0899877821325489</x:v>
      </x:c>
      <x:c r="F105" s="61" t="n">
        <x:f>(D105+E105)/2</x:f>
        <x:v>0.0899877821324068</x:v>
      </x:c>
      <x:c r="G105" s="60" t="n">
        <x:f>(LN('Datos'!$B$22/'Datos'!$B$23)+'Datos'!$B$24*B105+F105/2)/SQRT(F105)</x:f>
        <x:v>0.19165931326284796</x:v>
      </x:c>
      <x:c r="H105" s="60" t="n">
        <x:f>'Datos'!$B$22*NORM.S.DIST(G105,TRUE)-'Datos'!$B$23*EXP(-'Datos'!$B$24*B105)*NORM.S.DIST(G105-SQRT(F105),TRUE)</x:f>
        <x:v>12.480000000006363</x:v>
      </x:c>
      <x:c r="I105" s="59" t="n">
        <x:f>H105-C105</x:f>
        <x:v>6.362910198731697e-12</x:v>
      </x:c>
    </x:row>
    <x:row r="106" ht="22" customHeight="1">
      <x:c r="A106" s="2" t="n">
        <x:v>47</x:v>
      </x:c>
      <x:c r="B106" s="49" t="n">
        <x:f>'Datos'!B43</x:f>
        <x:v>1.25</x:v>
      </x:c>
      <x:c r="C106" s="60" t="n">
        <x:f>'Datos'!C43</x:f>
        <x:v>12.48</x:v>
      </x:c>
      <x:c r="D106" s="61" t="n">
        <x:f>IF(H105&lt;C105,F105,D105)</x:f>
        <x:v>0.08998778213226469</x:v>
      </x:c>
      <x:c r="E106" s="61" t="n">
        <x:f>IF(H105&gt;C105,F105,E105)</x:f>
        <x:v>0.0899877821324068</x:v>
      </x:c>
      <x:c r="F106" s="61" t="n">
        <x:f>(D106+E106)/2</x:f>
        <x:v>0.08998778213233574</x:v>
      </x:c>
      <x:c r="G106" s="60" t="n">
        <x:f>(LN('Datos'!$B$22/'Datos'!$B$23)+'Datos'!$B$24*B106+F106/2)/SQRT(F106)</x:f>
        <x:v>0.19165931326280522</x:v>
      </x:c>
      <x:c r="H106" s="60" t="n">
        <x:f>'Datos'!$B$22*NORM.S.DIST(G106,TRUE)-'Datos'!$B$23*EXP(-'Datos'!$B$24*B106)*NORM.S.DIST(G106-SQRT(F106),TRUE)</x:f>
        <x:v>12.480000000001745</x:v>
      </x:c>
      <x:c r="I106" s="59" t="n">
        <x:f>H106-C106</x:f>
        <x:v>1.744382416291046e-12</x:v>
      </x:c>
    </x:row>
    <x:row r="107" ht="22" customHeight="1">
      <x:c r="A107" s="2" t="n">
        <x:v>48</x:v>
      </x:c>
      <x:c r="B107" s="49" t="n">
        <x:f>'Datos'!B43</x:f>
        <x:v>1.25</x:v>
      </x:c>
      <x:c r="C107" s="60" t="n">
        <x:f>'Datos'!C43</x:f>
        <x:v>12.48</x:v>
      </x:c>
      <x:c r="D107" s="61" t="n">
        <x:f>IF(H106&lt;C106,F106,D106)</x:f>
        <x:v>0.08998778213226469</x:v>
      </x:c>
      <x:c r="E107" s="61" t="n">
        <x:f>IF(H106&gt;C106,F106,E106)</x:f>
        <x:v>0.08998778213233574</x:v>
      </x:c>
      <x:c r="F107" s="61" t="n">
        <x:f>(D107+E107)/2</x:f>
        <x:v>0.08998778213230021</x:v>
      </x:c>
      <x:c r="G107" s="60" t="n">
        <x:f>(LN('Datos'!$B$22/'Datos'!$B$23)+'Datos'!$B$24*B107+F107/2)/SQRT(F107)</x:f>
        <x:v>0.19165931326278382</x:v>
      </x:c>
      <x:c r="H107" s="60" t="n">
        <x:f>'Datos'!$B$22*NORM.S.DIST(G107,TRUE)-'Datos'!$B$23*EXP(-'Datos'!$B$24*B107)*NORM.S.DIST(G107-SQRT(F107),TRUE)</x:f>
        <x:v>12.479999999999443</x:v>
      </x:c>
      <x:c r="I107" s="59" t="n">
        <x:f>H107-C107</x:f>
        <x:v>-5.577760475716786e-13</x:v>
      </x:c>
    </x:row>
    <x:row r="108" ht="22" customHeight="1">
      <x:c r="A108" s="2"/>
      <x:c r="B108" s="2"/>
      <x:c r="C108" s="2"/>
      <x:c r="D108" s="2"/>
      <x:c r="E108" s="2"/>
      <x:c r="F108" s="2"/>
      <x:c r="G108" s="2"/>
      <x:c r="H108" s="2"/>
      <x:c r="I108" s="2"/>
    </x:row>
    <x:row r="109" ht="22" customHeight="1">
      <x:c r="A109" s="2"/>
      <x:c r="B109" s="2"/>
      <x:c r="C109" s="2"/>
      <x:c r="D109" s="2"/>
      <x:c r="E109" s="2"/>
      <x:c r="F109" s="2"/>
      <x:c r="G109" s="2"/>
      <x:c r="H109" s="2"/>
      <x:c r="I109" s="2"/>
    </x:row>
    <x:row r="110" ht="27" customHeight="1">
      <x:c r="A110" s="10" t="str">
        <x:v>Call 3 · 48 pasos de bisección en la varianza</x:v>
      </x:c>
      <x:c r="B110" s="10" t="str">
        <x:v>Call 3 · 48 pasos de bisección en la varianza</x:v>
      </x:c>
      <x:c r="C110" s="10" t="str">
        <x:v>Call 3 · 48 pasos de bisección en la varianza</x:v>
      </x:c>
      <x:c r="D110" s="10" t="str">
        <x:v>Call 3 · 48 pasos de bisección en la varianza</x:v>
      </x:c>
      <x:c r="E110" s="10" t="str">
        <x:v>Call 3 · 48 pasos de bisección en la varianza</x:v>
      </x:c>
      <x:c r="F110" s="10" t="str">
        <x:v>Call 3 · 48 pasos de bisección en la varianza</x:v>
      </x:c>
      <x:c r="G110" s="10" t="str">
        <x:v>Call 3 · 48 pasos de bisección en la varianza</x:v>
      </x:c>
      <x:c r="H110" s="10" t="str">
        <x:v>Call 3 · 48 pasos de bisección en la varianza</x:v>
      </x:c>
      <x:c r="I110" s="10" t="str">
        <x:v>Call 3 · 48 pasos de bisección en la varianza</x:v>
      </x:c>
    </x:row>
    <x:row r="111" ht="36" customHeight="1">
      <x:c r="A111" s="13" t="str">
        <x:v>Iteración</x:v>
      </x:c>
      <x:c r="B111" s="13" t="str">
        <x:v>T</x:v>
      </x:c>
      <x:c r="C111" s="13" t="str">
        <x:v>Precio objetivo</x:v>
      </x:c>
      <x:c r="D111" s="13" t="str">
        <x:v>V baja</x:v>
      </x:c>
      <x:c r="E111" s="13" t="str">
        <x:v>V alta</x:v>
      </x:c>
      <x:c r="F111" s="13" t="str">
        <x:v>V media</x:v>
      </x:c>
      <x:c r="G111" s="13" t="str">
        <x:v>d₁</x:v>
      </x:c>
      <x:c r="H111" s="13" t="str">
        <x:v>Call(V media)</x:v>
      </x:c>
      <x:c r="I111" s="13" t="str">
        <x:v>Error precio</x:v>
      </x:c>
    </x:row>
    <x:row r="112" ht="22" customHeight="1">
      <x:c r="A112" s="2" t="n">
        <x:v>1</x:v>
      </x:c>
      <x:c r="B112" s="49" t="n">
        <x:f>'Datos'!B44</x:f>
        <x:v>2</x:v>
      </x:c>
      <x:c r="C112" s="60" t="n">
        <x:f>'Datos'!C44</x:f>
        <x:v>23.36</x:v>
      </x:c>
      <x:c r="D112" s="60" t="n">
        <x:f>'Datos'!$B$30</x:f>
        <x:v>1e-14</x:v>
      </x:c>
      <x:c r="E112" s="60" t="n">
        <x:f>'Datos'!$B$31</x:f>
        <x:v>10</x:v>
      </x:c>
      <x:c r="F112" s="61" t="n">
        <x:f>(D112+E112)/2</x:f>
        <x:v>5.000000000000005</x:v>
      </x:c>
      <x:c r="G112" s="60" t="n">
        <x:f>(LN('Datos'!$B$22/'Datos'!$B$23)+'Datos'!$B$24*B112+F112/2)/SQRT(F112)</x:f>
        <x:v>1.1269782606598948</x:v>
      </x:c>
      <x:c r="H112" s="60" t="n">
        <x:f>'Datos'!$B$22*NORM.S.DIST(G112,TRUE)-'Datos'!$B$23*EXP(-'Datos'!$B$24*B112)*NORM.S.DIST(G112-SQRT(F112),TRUE)</x:f>
        <x:v>73.90757765139855</x:v>
      </x:c>
      <x:c r="I112" s="59" t="n">
        <x:f>H112-C112</x:f>
        <x:v>50.547577651398555</x:v>
      </x:c>
    </x:row>
    <x:row r="113" ht="22" customHeight="1">
      <x:c r="A113" s="2" t="n">
        <x:v>2</x:v>
      </x:c>
      <x:c r="B113" s="49" t="n">
        <x:f>'Datos'!B44</x:f>
        <x:v>2</x:v>
      </x:c>
      <x:c r="C113" s="60" t="n">
        <x:f>'Datos'!C44</x:f>
        <x:v>23.36</x:v>
      </x:c>
      <x:c r="D113" s="61" t="n">
        <x:f>IF(H112&lt;C112,F112,D112)</x:f>
        <x:v>1e-14</x:v>
      </x:c>
      <x:c r="E113" s="61" t="n">
        <x:f>IF(H112&gt;C112,F112,E112)</x:f>
        <x:v>5.000000000000005</x:v>
      </x:c>
      <x:c r="F113" s="61" t="n">
        <x:f>(D113+E113)/2</x:f>
        <x:v>2.5000000000000075</x:v>
      </x:c>
      <x:c r="G113" s="60" t="n">
        <x:f>(LN('Datos'!$B$22/'Datos'!$B$23)+'Datos'!$B$24*B113+F113/2)/SQRT(F113)</x:f>
        <x:v>0.8032185256827695</x:v>
      </x:c>
      <x:c r="H113" s="60" t="n">
        <x:f>'Datos'!$B$22*NORM.S.DIST(G113,TRUE)-'Datos'!$B$23*EXP(-'Datos'!$B$24*B113)*NORM.S.DIST(G113-SQRT(F113),TRUE)</x:f>
        <x:v>57.50905694674396</x:v>
      </x:c>
      <x:c r="I113" s="59" t="n">
        <x:f>H113-C113</x:f>
        <x:v>34.14905694674396</x:v>
      </x:c>
    </x:row>
    <x:row r="114" ht="22" customHeight="1">
      <x:c r="A114" s="2" t="n">
        <x:v>3</x:v>
      </x:c>
      <x:c r="B114" s="49" t="n">
        <x:f>'Datos'!B44</x:f>
        <x:v>2</x:v>
      </x:c>
      <x:c r="C114" s="60" t="n">
        <x:f>'Datos'!C44</x:f>
        <x:v>23.36</x:v>
      </x:c>
      <x:c r="D114" s="61" t="n">
        <x:f>IF(H113&lt;C113,F113,D113)</x:f>
        <x:v>1e-14</x:v>
      </x:c>
      <x:c r="E114" s="61" t="n">
        <x:f>IF(H113&gt;C113,F113,E113)</x:f>
        <x:v>2.5000000000000075</x:v>
      </x:c>
      <x:c r="F114" s="61" t="n">
        <x:f>(D114+E114)/2</x:f>
        <x:v>1.2500000000000089</x:v>
      </x:c>
      <x:c r="G114" s="60" t="n">
        <x:f>(LN('Datos'!$B$22/'Datos'!$B$23)+'Datos'!$B$24*B114+F114/2)/SQRT(F114)</x:f>
        <x:v>0.5769055381949476</x:v>
      </x:c>
      <x:c r="H114" s="60" t="n">
        <x:f>'Datos'!$B$22*NORM.S.DIST(G114,TRUE)-'Datos'!$B$23*EXP(-'Datos'!$B$24*B114)*NORM.S.DIST(G114-SQRT(F114),TRUE)</x:f>
        <x:v>42.96145795709373</x:v>
      </x:c>
      <x:c r="I114" s="59" t="n">
        <x:f>H114-C114</x:f>
        <x:v>19.60145795709373</x:v>
      </x:c>
    </x:row>
    <x:row r="115" ht="22" customHeight="1">
      <x:c r="A115" s="2" t="n">
        <x:v>4</x:v>
      </x:c>
      <x:c r="B115" s="49" t="n">
        <x:f>'Datos'!B44</x:f>
        <x:v>2</x:v>
      </x:c>
      <x:c r="C115" s="60" t="n">
        <x:f>'Datos'!C44</x:f>
        <x:v>23.36</x:v>
      </x:c>
      <x:c r="D115" s="61" t="n">
        <x:f>IF(H114&lt;C114,F114,D114)</x:f>
        <x:v>1e-14</x:v>
      </x:c>
      <x:c r="E115" s="61" t="n">
        <x:f>IF(H114&gt;C114,F114,E114)</x:f>
        <x:v>1.2500000000000089</x:v>
      </x:c>
      <x:c r="F115" s="61" t="n">
        <x:f>(D115+E115)/2</x:f>
        <x:v>0.6250000000000094</x:v>
      </x:c>
      <x:c r="G115" s="60" t="n">
        <x:f>(LN('Datos'!$B$22/'Datos'!$B$23)+'Datos'!$B$24*B115+F115/2)/SQRT(F115)</x:f>
        <x:v>0.4205829288023973</x:v>
      </x:c>
      <x:c r="H115" s="60" t="n">
        <x:f>'Datos'!$B$22*NORM.S.DIST(G115,TRUE)-'Datos'!$B$23*EXP(-'Datos'!$B$24*B115)*NORM.S.DIST(G115-SQRT(F115),TRUE)</x:f>
        <x:v>31.43171477072515</x:v>
      </x:c>
      <x:c r="I115" s="59" t="n">
        <x:f>H115-C115</x:f>
        <x:v>8.071714770725151</x:v>
      </x:c>
    </x:row>
    <x:row r="116" ht="22" customHeight="1">
      <x:c r="A116" s="2" t="n">
        <x:v>5</x:v>
      </x:c>
      <x:c r="B116" s="49" t="n">
        <x:f>'Datos'!B44</x:f>
        <x:v>2</x:v>
      </x:c>
      <x:c r="C116" s="60" t="n">
        <x:f>'Datos'!C44</x:f>
        <x:v>23.36</x:v>
      </x:c>
      <x:c r="D116" s="61" t="n">
        <x:f>IF(H115&lt;C115,F115,D115)</x:f>
        <x:v>1e-14</x:v>
      </x:c>
      <x:c r="E116" s="61" t="n">
        <x:f>IF(H115&gt;C115,F115,E115)</x:f>
        <x:v>0.6250000000000094</x:v>
      </x:c>
      <x:c r="F116" s="61" t="n">
        <x:f>(D116+E116)/2</x:f>
        <x:v>0.3125000000000097</x:v>
      </x:c>
      <x:c r="G116" s="60" t="n">
        <x:f>(LN('Datos'!$B$22/'Datos'!$B$23)+'Datos'!$B$24*B116+F116/2)/SQRT(F116)</x:f>
        <x:v>0.3152855848274741</x:v>
      </x:c>
      <x:c r="H116" s="60" t="n">
        <x:f>'Datos'!$B$22*NORM.S.DIST(G116,TRUE)-'Datos'!$B$23*EXP(-'Datos'!$B$24*B116)*NORM.S.DIST(G116-SQRT(F116),TRUE)</x:f>
        <x:v>22.800234295707703</x:v>
      </x:c>
      <x:c r="I116" s="59" t="n">
        <x:f>H116-C116</x:f>
        <x:v>-0.5597657042922961</x:v>
      </x:c>
    </x:row>
    <x:row r="117" ht="22" customHeight="1">
      <x:c r="A117" s="2" t="n">
        <x:v>6</x:v>
      </x:c>
      <x:c r="B117" s="49" t="n">
        <x:f>'Datos'!B44</x:f>
        <x:v>2</x:v>
      </x:c>
      <x:c r="C117" s="60" t="n">
        <x:f>'Datos'!C44</x:f>
        <x:v>23.36</x:v>
      </x:c>
      <x:c r="D117" s="61" t="n">
        <x:f>IF(H116&lt;C116,F116,D116)</x:f>
        <x:v>0.3125000000000097</x:v>
      </x:c>
      <x:c r="E117" s="61" t="n">
        <x:f>IF(H116&gt;C116,F116,E116)</x:f>
        <x:v>0.6250000000000094</x:v>
      </x:c>
      <x:c r="F117" s="61" t="n">
        <x:f>(D117+E117)/2</x:f>
        <x:v>0.46875000000000955</x:v>
      </x:c>
      <x:c r="G117" s="60" t="n">
        <x:f>(LN('Datos'!$B$22/'Datos'!$B$23)+'Datos'!$B$24*B117+F117/2)/SQRT(F117)</x:f>
        <x:v>0.3715384681743409</x:v>
      </x:c>
      <x:c r="H117" s="60" t="n">
        <x:f>'Datos'!$B$22*NORM.S.DIST(G117,TRUE)-'Datos'!$B$23*EXP(-'Datos'!$B$24*B117)*NORM.S.DIST(G117-SQRT(F117),TRUE)</x:f>
        <x:v>27.525201141945324</x:v>
      </x:c>
      <x:c r="I117" s="59" t="n">
        <x:f>H117-C117</x:f>
        <x:v>4.1652011419453245</x:v>
      </x:c>
    </x:row>
    <x:row r="118" ht="22" customHeight="1">
      <x:c r="A118" s="2" t="n">
        <x:v>7</x:v>
      </x:c>
      <x:c r="B118" s="49" t="n">
        <x:f>'Datos'!B44</x:f>
        <x:v>2</x:v>
      </x:c>
      <x:c r="C118" s="60" t="n">
        <x:f>'Datos'!C44</x:f>
        <x:v>23.36</x:v>
      </x:c>
      <x:c r="D118" s="61" t="n">
        <x:f>IF(H117&lt;C117,F117,D117)</x:f>
        <x:v>0.3125000000000097</x:v>
      </x:c>
      <x:c r="E118" s="61" t="n">
        <x:f>IF(H117&gt;C117,F117,E117)</x:f>
        <x:v>0.46875000000000955</x:v>
      </x:c>
      <x:c r="F118" s="61" t="n">
        <x:f>(D118+E118)/2</x:f>
        <x:v>0.39062500000000966</x:v>
      </x:c>
      <x:c r="G118" s="60" t="n">
        <x:f>(LN('Datos'!$B$22/'Datos'!$B$23)+'Datos'!$B$24*B118+F118/2)/SQRT(F118)</x:f>
        <x:v>0.3445000000000034</x:v>
      </x:c>
      <x:c r="H118" s="60" t="n">
        <x:f>'Datos'!$B$22*NORM.S.DIST(G118,TRUE)-'Datos'!$B$23*EXP(-'Datos'!$B$24*B118)*NORM.S.DIST(G118-SQRT(F118),TRUE)</x:f>
        <x:v>25.29314359235437</x:v>
      </x:c>
      <x:c r="I118" s="59" t="n">
        <x:f>H118-C118</x:f>
        <x:v>1.9331435923543694</x:v>
      </x:c>
    </x:row>
    <x:row r="119" ht="22" customHeight="1">
      <x:c r="A119" s="2" t="n">
        <x:v>8</x:v>
      </x:c>
      <x:c r="B119" s="49" t="n">
        <x:f>'Datos'!B44</x:f>
        <x:v>2</x:v>
      </x:c>
      <x:c r="C119" s="60" t="n">
        <x:f>'Datos'!C44</x:f>
        <x:v>23.36</x:v>
      </x:c>
      <x:c r="D119" s="61" t="n">
        <x:f>IF(H118&lt;C118,F118,D118)</x:f>
        <x:v>0.3125000000000097</x:v>
      </x:c>
      <x:c r="E119" s="61" t="n">
        <x:f>IF(H118&gt;C118,F118,E118)</x:f>
        <x:v>0.39062500000000966</x:v>
      </x:c>
      <x:c r="F119" s="61" t="n">
        <x:f>(D119+E119)/2</x:f>
        <x:v>0.35156250000000966</x:v>
      </x:c>
      <x:c r="G119" s="60" t="n">
        <x:f>(LN('Datos'!$B$22/'Datos'!$B$23)+'Datos'!$B$24*B119+F119/2)/SQRT(F119)</x:f>
        <x:v>0.3301944923492519</x:v>
      </x:c>
      <x:c r="H119" s="60" t="n">
        <x:f>'Datos'!$B$22*NORM.S.DIST(G119,TRUE)-'Datos'!$B$23*EXP(-'Datos'!$B$24*B119)*NORM.S.DIST(G119-SQRT(F119),TRUE)</x:f>
        <x:v>24.084395723339803</x:v>
      </x:c>
      <x:c r="I119" s="59" t="n">
        <x:f>H119-C119</x:f>
        <x:v>0.7243957233398035</x:v>
      </x:c>
    </x:row>
    <x:row r="120" ht="22" customHeight="1">
      <x:c r="A120" s="2" t="n">
        <x:v>9</x:v>
      </x:c>
      <x:c r="B120" s="49" t="n">
        <x:f>'Datos'!B44</x:f>
        <x:v>2</x:v>
      </x:c>
      <x:c r="C120" s="60" t="n">
        <x:f>'Datos'!C44</x:f>
        <x:v>23.36</x:v>
      </x:c>
      <x:c r="D120" s="61" t="n">
        <x:f>IF(H119&lt;C119,F119,D119)</x:f>
        <x:v>0.3125000000000097</x:v>
      </x:c>
      <x:c r="E120" s="61" t="n">
        <x:f>IF(H119&gt;C119,F119,E119)</x:f>
        <x:v>0.35156250000000966</x:v>
      </x:c>
      <x:c r="F120" s="61" t="n">
        <x:f>(D120+E120)/2</x:f>
        <x:v>0.33203125000000966</x:v>
      </x:c>
      <x:c r="G120" s="60" t="n">
        <x:f>(LN('Datos'!$B$22/'Datos'!$B$23)+'Datos'!$B$24*B120+F120/2)/SQRT(F120)</x:f>
        <x:v>0.32281963754139137</x:v>
      </x:c>
      <x:c r="H120" s="60" t="n">
        <x:f>'Datos'!$B$22*NORM.S.DIST(G120,TRUE)-'Datos'!$B$23*EXP(-'Datos'!$B$24*B120)*NORM.S.DIST(G120-SQRT(F120),TRUE)</x:f>
        <x:v>23.452535830372597</x:v>
      </x:c>
      <x:c r="I120" s="59" t="n">
        <x:f>H120-C120</x:f>
        <x:v>0.09253583037259716</x:v>
      </x:c>
    </x:row>
    <x:row r="121" ht="22" customHeight="1">
      <x:c r="A121" s="2" t="n">
        <x:v>10</x:v>
      </x:c>
      <x:c r="B121" s="49" t="n">
        <x:f>'Datos'!B44</x:f>
        <x:v>2</x:v>
      </x:c>
      <x:c r="C121" s="60" t="n">
        <x:f>'Datos'!C44</x:f>
        <x:v>23.36</x:v>
      </x:c>
      <x:c r="D121" s="61" t="n">
        <x:f>IF(H120&lt;C120,F120,D120)</x:f>
        <x:v>0.3125000000000097</x:v>
      </x:c>
      <x:c r="E121" s="61" t="n">
        <x:f>IF(H120&gt;C120,F120,E120)</x:f>
        <x:v>0.33203125000000966</x:v>
      </x:c>
      <x:c r="F121" s="61" t="n">
        <x:f>(D121+E121)/2</x:f>
        <x:v>0.32226562500000966</x:v>
      </x:c>
      <x:c r="G121" s="60" t="n">
        <x:f>(LN('Datos'!$B$22/'Datos'!$B$23)+'Datos'!$B$24*B121+F121/2)/SQRT(F121)</x:f>
        <x:v>0.31907306118068707</x:v>
      </x:c>
      <x:c r="H121" s="60" t="n">
        <x:f>'Datos'!$B$22*NORM.S.DIST(G121,TRUE)-'Datos'!$B$23*EXP(-'Datos'!$B$24*B121)*NORM.S.DIST(G121-SQRT(F121),TRUE)</x:f>
        <x:v>23.129052321251166</x:v>
      </x:c>
      <x:c r="I121" s="59" t="n">
        <x:f>H121-C121</x:f>
        <x:v>-0.2309476787488336</x:v>
      </x:c>
    </x:row>
    <x:row r="122" ht="22" customHeight="1">
      <x:c r="A122" s="2" t="n">
        <x:v>11</x:v>
      </x:c>
      <x:c r="B122" s="49" t="n">
        <x:f>'Datos'!B44</x:f>
        <x:v>2</x:v>
      </x:c>
      <x:c r="C122" s="60" t="n">
        <x:f>'Datos'!C44</x:f>
        <x:v>23.36</x:v>
      </x:c>
      <x:c r="D122" s="61" t="n">
        <x:f>IF(H121&lt;C121,F121,D121)</x:f>
        <x:v>0.32226562500000966</x:v>
      </x:c>
      <x:c r="E122" s="61" t="n">
        <x:f>IF(H121&gt;C121,F121,E121)</x:f>
        <x:v>0.33203125000000966</x:v>
      </x:c>
      <x:c r="F122" s="61" t="n">
        <x:f>(D122+E122)/2</x:f>
        <x:v>0.32714843750000966</x:v>
      </x:c>
      <x:c r="G122" s="60" t="n">
        <x:f>(LN('Datos'!$B$22/'Datos'!$B$23)+'Datos'!$B$24*B122+F122/2)/SQRT(F122)</x:f>
        <x:v>0.32095139186824934</x:v>
      </x:c>
      <x:c r="H122" s="60" t="n">
        <x:f>'Datos'!$B$22*NORM.S.DIST(G122,TRUE)-'Datos'!$B$23*EXP(-'Datos'!$B$24*B122)*NORM.S.DIST(G122-SQRT(F122),TRUE)</x:f>
        <x:v>23.29144623641119</x:v>
      </x:c>
      <x:c r="I122" s="59" t="n">
        <x:f>H122-C122</x:f>
        <x:v>-0.0685537635888096</x:v>
      </x:c>
    </x:row>
    <x:row r="123" ht="22" customHeight="1">
      <x:c r="A123" s="2" t="n">
        <x:v>12</x:v>
      </x:c>
      <x:c r="B123" s="49" t="n">
        <x:f>'Datos'!B44</x:f>
        <x:v>2</x:v>
      </x:c>
      <x:c r="C123" s="60" t="n">
        <x:f>'Datos'!C44</x:f>
        <x:v>23.36</x:v>
      </x:c>
      <x:c r="D123" s="61" t="n">
        <x:f>IF(H122&lt;C122,F122,D122)</x:f>
        <x:v>0.32714843750000966</x:v>
      </x:c>
      <x:c r="E123" s="61" t="n">
        <x:f>IF(H122&gt;C122,F122,E122)</x:f>
        <x:v>0.33203125000000966</x:v>
      </x:c>
      <x:c r="F123" s="61" t="n">
        <x:f>(D123+E123)/2</x:f>
        <x:v>0.32958984375000966</x:v>
      </x:c>
      <x:c r="G123" s="60" t="n">
        <x:f>(LN('Datos'!$B$22/'Datos'!$B$23)+'Datos'!$B$24*B123+F123/2)/SQRT(F123)</x:f>
        <x:v>0.3218867666853237</x:v>
      </x:c>
      <x:c r="H123" s="60" t="n">
        <x:f>'Datos'!$B$22*NORM.S.DIST(G123,TRUE)-'Datos'!$B$23*EXP(-'Datos'!$B$24*B123)*NORM.S.DIST(G123-SQRT(F123),TRUE)</x:f>
        <x:v>23.372152301074003</x:v>
      </x:c>
      <x:c r="I123" s="59" t="n">
        <x:f>H123-C123</x:f>
        <x:v>0.012152301074003447</x:v>
      </x:c>
    </x:row>
    <x:row r="124" ht="22" customHeight="1">
      <x:c r="A124" s="2" t="n">
        <x:v>13</x:v>
      </x:c>
      <x:c r="B124" s="49" t="n">
        <x:f>'Datos'!B44</x:f>
        <x:v>2</x:v>
      </x:c>
      <x:c r="C124" s="60" t="n">
        <x:f>'Datos'!C44</x:f>
        <x:v>23.36</x:v>
      </x:c>
      <x:c r="D124" s="61" t="n">
        <x:f>IF(H123&lt;C123,F123,D123)</x:f>
        <x:v>0.32714843750000966</x:v>
      </x:c>
      <x:c r="E124" s="61" t="n">
        <x:f>IF(H123&gt;C123,F123,E123)</x:f>
        <x:v>0.32958984375000966</x:v>
      </x:c>
      <x:c r="F124" s="61" t="n">
        <x:f>(D124+E124)/2</x:f>
        <x:v>0.32836914062500966</x:v>
      </x:c>
      <x:c r="G124" s="60" t="n">
        <x:f>(LN('Datos'!$B$22/'Datos'!$B$23)+'Datos'!$B$24*B124+F124/2)/SQRT(F124)</x:f>
        <x:v>0.3214193933479946</x:v>
      </x:c>
      <x:c r="H124" s="60" t="n">
        <x:f>'Datos'!$B$22*NORM.S.DIST(G124,TRUE)-'Datos'!$B$23*EXP(-'Datos'!$B$24*B124)*NORM.S.DIST(G124-SQRT(F124),TRUE)</x:f>
        <x:v>23.33183980466479</x:v>
      </x:c>
      <x:c r="I124" s="59" t="n">
        <x:f>H124-C124</x:f>
        <x:v>-0.028160195335210858</x:v>
      </x:c>
    </x:row>
    <x:row r="125" ht="22" customHeight="1">
      <x:c r="A125" s="2" t="n">
        <x:v>14</x:v>
      </x:c>
      <x:c r="B125" s="49" t="n">
        <x:f>'Datos'!B44</x:f>
        <x:v>2</x:v>
      </x:c>
      <x:c r="C125" s="60" t="n">
        <x:f>'Datos'!C44</x:f>
        <x:v>23.36</x:v>
      </x:c>
      <x:c r="D125" s="61" t="n">
        <x:f>IF(H124&lt;C124,F124,D124)</x:f>
        <x:v>0.32836914062500966</x:v>
      </x:c>
      <x:c r="E125" s="61" t="n">
        <x:f>IF(H124&gt;C124,F124,E124)</x:f>
        <x:v>0.32958984375000966</x:v>
      </x:c>
      <x:c r="F125" s="61" t="n">
        <x:f>(D125+E125)/2</x:f>
        <x:v>0.32897949218750966</x:v>
      </x:c>
      <x:c r="G125" s="60" t="n">
        <x:f>(LN('Datos'!$B$22/'Datos'!$B$23)+'Datos'!$B$24*B125+F125/2)/SQRT(F125)</x:f>
        <x:v>0.321653158399654</x:v>
      </x:c>
      <x:c r="H125" s="60" t="n">
        <x:f>'Datos'!$B$22*NORM.S.DIST(G125,TRUE)-'Datos'!$B$23*EXP(-'Datos'!$B$24*B125)*NORM.S.DIST(G125-SQRT(F125),TRUE)</x:f>
        <x:v>23.35200615931719</x:v>
      </x:c>
      <x:c r="I125" s="59" t="n">
        <x:f>H125-C125</x:f>
        <x:v>-0.007993840682807729</x:v>
      </x:c>
    </x:row>
    <x:row r="126" ht="22" customHeight="1">
      <x:c r="A126" s="2" t="n">
        <x:v>15</x:v>
      </x:c>
      <x:c r="B126" s="49" t="n">
        <x:f>'Datos'!B44</x:f>
        <x:v>2</x:v>
      </x:c>
      <x:c r="C126" s="60" t="n">
        <x:f>'Datos'!C44</x:f>
        <x:v>23.36</x:v>
      </x:c>
      <x:c r="D126" s="61" t="n">
        <x:f>IF(H125&lt;C125,F125,D125)</x:f>
        <x:v>0.32897949218750966</x:v>
      </x:c>
      <x:c r="E126" s="61" t="n">
        <x:f>IF(H125&gt;C125,F125,E125)</x:f>
        <x:v>0.32958984375000966</x:v>
      </x:c>
      <x:c r="F126" s="61" t="n">
        <x:f>(D126+E126)/2</x:f>
        <x:v>0.32928466796875966</x:v>
      </x:c>
      <x:c r="G126" s="60" t="n">
        <x:f>(LN('Datos'!$B$22/'Datos'!$B$23)+'Datos'!$B$24*B126+F126/2)/SQRT(F126)</x:f>
        <x:v>0.32176998212141256</x:v>
      </x:c>
      <x:c r="H126" s="60" t="n">
        <x:f>'Datos'!$B$22*NORM.S.DIST(G126,TRUE)-'Datos'!$B$23*EXP(-'Datos'!$B$24*B126)*NORM.S.DIST(G126-SQRT(F126),TRUE)</x:f>
        <x:v>23.36208175337984</x:v>
      </x:c>
      <x:c r="I126" s="59" t="n">
        <x:f>H126-C126</x:f>
        <x:v>0.002081753379840734</x:v>
      </x:c>
    </x:row>
    <x:row r="127" ht="22" customHeight="1">
      <x:c r="A127" s="2" t="n">
        <x:v>16</x:v>
      </x:c>
      <x:c r="B127" s="49" t="n">
        <x:f>'Datos'!B44</x:f>
        <x:v>2</x:v>
      </x:c>
      <x:c r="C127" s="60" t="n">
        <x:f>'Datos'!C44</x:f>
        <x:v>23.36</x:v>
      </x:c>
      <x:c r="D127" s="61" t="n">
        <x:f>IF(H126&lt;C126,F126,D126)</x:f>
        <x:v>0.32897949218750966</x:v>
      </x:c>
      <x:c r="E127" s="61" t="n">
        <x:f>IF(H126&gt;C126,F126,E126)</x:f>
        <x:v>0.32928466796875966</x:v>
      </x:c>
      <x:c r="F127" s="61" t="n">
        <x:f>(D127+E127)/2</x:f>
        <x:v>0.32913208007813466</x:v>
      </x:c>
      <x:c r="G127" s="60" t="n">
        <x:f>(LN('Datos'!$B$22/'Datos'!$B$23)+'Datos'!$B$24*B127+F127/2)/SQRT(F127)</x:f>
        <x:v>0.32171157515736615</x:v>
      </x:c>
      <x:c r="H127" s="60" t="n">
        <x:f>'Datos'!$B$22*NORM.S.DIST(G127,TRUE)-'Datos'!$B$23*EXP(-'Datos'!$B$24*B127)*NORM.S.DIST(G127-SQRT(F127),TRUE)</x:f>
        <x:v>23.35704458757244</x:v>
      </x:c>
      <x:c r="I127" s="59" t="n">
        <x:f>H127-C127</x:f>
        <x:v>-0.0029554124275605886</x:v>
      </x:c>
    </x:row>
    <x:row r="128" ht="22" customHeight="1">
      <x:c r="A128" s="2" t="n">
        <x:v>17</x:v>
      </x:c>
      <x:c r="B128" s="49" t="n">
        <x:f>'Datos'!B44</x:f>
        <x:v>2</x:v>
      </x:c>
      <x:c r="C128" s="60" t="n">
        <x:f>'Datos'!C44</x:f>
        <x:v>23.36</x:v>
      </x:c>
      <x:c r="D128" s="61" t="n">
        <x:f>IF(H127&lt;C127,F127,D127)</x:f>
        <x:v>0.32913208007813466</x:v>
      </x:c>
      <x:c r="E128" s="61" t="n">
        <x:f>IF(H127&gt;C127,F127,E127)</x:f>
        <x:v>0.32928466796875966</x:v>
      </x:c>
      <x:c r="F128" s="61" t="n">
        <x:f>(D128+E128)/2</x:f>
        <x:v>0.32920837402344716</x:v>
      </x:c>
      <x:c r="G128" s="60" t="n">
        <x:f>(LN('Datos'!$B$22/'Datos'!$B$23)+'Datos'!$B$24*B128+F128/2)/SQRT(F128)</x:f>
        <x:v>0.32174077986333477</x:v>
      </x:c>
      <x:c r="H128" s="60" t="n">
        <x:f>'Datos'!$B$22*NORM.S.DIST(G128,TRUE)-'Datos'!$B$23*EXP(-'Datos'!$B$24*B128)*NORM.S.DIST(G128-SQRT(F128),TRUE)</x:f>
        <x:v>23.35956332822861</x:v>
      </x:c>
      <x:c r="I128" s="59" t="n">
        <x:f>H128-C128</x:f>
        <x:v>-0.00043667177138928537</x:v>
      </x:c>
    </x:row>
    <x:row r="129" ht="22" customHeight="1">
      <x:c r="A129" s="2" t="n">
        <x:v>18</x:v>
      </x:c>
      <x:c r="B129" s="49" t="n">
        <x:f>'Datos'!B44</x:f>
        <x:v>2</x:v>
      </x:c>
      <x:c r="C129" s="60" t="n">
        <x:f>'Datos'!C44</x:f>
        <x:v>23.36</x:v>
      </x:c>
      <x:c r="D129" s="61" t="n">
        <x:f>IF(H128&lt;C128,F128,D128)</x:f>
        <x:v>0.32920837402344716</x:v>
      </x:c>
      <x:c r="E129" s="61" t="n">
        <x:f>IF(H128&gt;C128,F128,E128)</x:f>
        <x:v>0.32928466796875966</x:v>
      </x:c>
      <x:c r="F129" s="61" t="n">
        <x:f>(D129+E129)/2</x:f>
        <x:v>0.3292465209961034</x:v>
      </x:c>
      <x:c r="G129" s="60" t="n">
        <x:f>(LN('Datos'!$B$22/'Datos'!$B$23)+'Datos'!$B$24*B129+F129/2)/SQRT(F129)</x:f>
        <x:v>0.3217553812983272</x:v>
      </x:c>
      <x:c r="H129" s="60" t="n">
        <x:f>'Datos'!$B$22*NORM.S.DIST(G129,TRUE)-'Datos'!$B$23*EXP(-'Datos'!$B$24*B129)*NORM.S.DIST(G129-SQRT(F129),TRUE)</x:f>
        <x:v>23.36082258023564</x:v>
      </x:c>
      <x:c r="I129" s="59" t="n">
        <x:f>H129-C129</x:f>
        <x:v>0.0008225802356420786</x:v>
      </x:c>
    </x:row>
    <x:row r="130" ht="22" customHeight="1">
      <x:c r="A130" s="2" t="n">
        <x:v>19</x:v>
      </x:c>
      <x:c r="B130" s="49" t="n">
        <x:f>'Datos'!B44</x:f>
        <x:v>2</x:v>
      </x:c>
      <x:c r="C130" s="60" t="n">
        <x:f>'Datos'!C44</x:f>
        <x:v>23.36</x:v>
      </x:c>
      <x:c r="D130" s="61" t="n">
        <x:f>IF(H129&lt;C129,F129,D129)</x:f>
        <x:v>0.32920837402344716</x:v>
      </x:c>
      <x:c r="E130" s="61" t="n">
        <x:f>IF(H129&gt;C129,F129,E129)</x:f>
        <x:v>0.3292465209961034</x:v>
      </x:c>
      <x:c r="F130" s="61" t="n">
        <x:f>(D130+E130)/2</x:f>
        <x:v>0.3292274475097753</x:v>
      </x:c>
      <x:c r="G130" s="60" t="n">
        <x:f>(LN('Datos'!$B$22/'Datos'!$B$23)+'Datos'!$B$24*B130+F130/2)/SQRT(F130)</x:f>
        <x:v>0.32174808065732347</x:v>
      </x:c>
      <x:c r="H130" s="60" t="n">
        <x:f>'Datos'!$B$22*NORM.S.DIST(G130,TRUE)-'Datos'!$B$23*EXP(-'Datos'!$B$24*B130)*NORM.S.DIST(G130-SQRT(F130),TRUE)</x:f>
        <x:v>23.360192964090807</x:v>
      </x:c>
      <x:c r="I130" s="59" t="n">
        <x:f>H130-C130</x:f>
        <x:v>0.0001929640908073793</x:v>
      </x:c>
    </x:row>
    <x:row r="131" ht="22" customHeight="1">
      <x:c r="A131" s="2" t="n">
        <x:v>20</x:v>
      </x:c>
      <x:c r="B131" s="49" t="n">
        <x:f>'Datos'!B44</x:f>
        <x:v>2</x:v>
      </x:c>
      <x:c r="C131" s="60" t="n">
        <x:f>'Datos'!C44</x:f>
        <x:v>23.36</x:v>
      </x:c>
      <x:c r="D131" s="61" t="n">
        <x:f>IF(H130&lt;C130,F130,D130)</x:f>
        <x:v>0.32920837402344716</x:v>
      </x:c>
      <x:c r="E131" s="61" t="n">
        <x:f>IF(H130&gt;C130,F130,E130)</x:f>
        <x:v>0.3292274475097753</x:v>
      </x:c>
      <x:c r="F131" s="61" t="n">
        <x:f>(D131+E131)/2</x:f>
        <x:v>0.3292179107666112</x:v>
      </x:c>
      <x:c r="G131" s="60" t="n">
        <x:f>(LN('Datos'!$B$22/'Datos'!$B$23)+'Datos'!$B$24*B131+F131/2)/SQRT(F131)</x:f>
        <x:v>0.32174443027945276</x:v>
      </x:c>
      <x:c r="H131" s="60" t="n">
        <x:f>'Datos'!$B$22*NORM.S.DIST(G131,TRUE)-'Datos'!$B$23*EXP(-'Datos'!$B$24*B131)*NORM.S.DIST(G131-SQRT(F131),TRUE)</x:f>
        <x:v>23.35987814862446</x:v>
      </x:c>
      <x:c r="I131" s="59" t="n">
        <x:f>H131-C131</x:f>
        <x:v>-0.00012185137553899494</x:v>
      </x:c>
    </x:row>
    <x:row r="132" ht="22" customHeight="1">
      <x:c r="A132" s="2" t="n">
        <x:v>21</x:v>
      </x:c>
      <x:c r="B132" s="49" t="n">
        <x:f>'Datos'!B44</x:f>
        <x:v>2</x:v>
      </x:c>
      <x:c r="C132" s="60" t="n">
        <x:f>'Datos'!C44</x:f>
        <x:v>23.36</x:v>
      </x:c>
      <x:c r="D132" s="61" t="n">
        <x:f>IF(H131&lt;C131,F131,D131)</x:f>
        <x:v>0.3292179107666112</x:v>
      </x:c>
      <x:c r="E132" s="61" t="n">
        <x:f>IF(H131&gt;C131,F131,E131)</x:f>
        <x:v>0.3292274475097753</x:v>
      </x:c>
      <x:c r="F132" s="61" t="n">
        <x:f>(D132+E132)/2</x:f>
        <x:v>0.32922267913819325</x:v>
      </x:c>
      <x:c r="G132" s="60" t="n">
        <x:f>(LN('Datos'!$B$22/'Datos'!$B$23)+'Datos'!$B$24*B132+F132/2)/SQRT(F132)</x:f>
        <x:v>0.32174625547316893</x:v>
      </x:c>
      <x:c r="H132" s="60" t="n">
        <x:f>'Datos'!$B$22*NORM.S.DIST(G132,TRUE)-'Datos'!$B$23*EXP(-'Datos'!$B$24*B132)*NORM.S.DIST(G132-SQRT(F132),TRUE)</x:f>
        <x:v>23.360035556973834</x:v>
      </x:c>
      <x:c r="I132" s="59" t="n">
        <x:f>H132-C132</x:f>
        <x:v>0.0000355569738346162</x:v>
      </x:c>
    </x:row>
    <x:row r="133" ht="22" customHeight="1">
      <x:c r="A133" s="2" t="n">
        <x:v>22</x:v>
      </x:c>
      <x:c r="B133" s="49" t="n">
        <x:f>'Datos'!B44</x:f>
        <x:v>2</x:v>
      </x:c>
      <x:c r="C133" s="60" t="n">
        <x:f>'Datos'!C44</x:f>
        <x:v>23.36</x:v>
      </x:c>
      <x:c r="D133" s="61" t="n">
        <x:f>IF(H132&lt;C132,F132,D132)</x:f>
        <x:v>0.3292179107666112</x:v>
      </x:c>
      <x:c r="E133" s="61" t="n">
        <x:f>IF(H132&gt;C132,F132,E132)</x:f>
        <x:v>0.32922267913819325</x:v>
      </x:c>
      <x:c r="F133" s="61" t="n">
        <x:f>(D133+E133)/2</x:f>
        <x:v>0.32922029495240224</x:v>
      </x:c>
      <x:c r="G133" s="60" t="n">
        <x:f>(LN('Datos'!$B$22/'Datos'!$B$23)+'Datos'!$B$24*B133+F133/2)/SQRT(F133)</x:f>
        <x:v>0.32174534287750606</x:v>
      </x:c>
      <x:c r="H133" s="60" t="n">
        <x:f>'Datos'!$B$22*NORM.S.DIST(G133,TRUE)-'Datos'!$B$23*EXP(-'Datos'!$B$24*B133)*NORM.S.DIST(G133-SQRT(F133),TRUE)</x:f>
        <x:v>23.35995685295321</x:v>
      </x:c>
      <x:c r="I133" s="59" t="n">
        <x:f>H133-C133</x:f>
        <x:v>-0.00004314704678876069</x:v>
      </x:c>
    </x:row>
    <x:row r="134" ht="22" customHeight="1">
      <x:c r="A134" s="2" t="n">
        <x:v>23</x:v>
      </x:c>
      <x:c r="B134" s="49" t="n">
        <x:f>'Datos'!B44</x:f>
        <x:v>2</x:v>
      </x:c>
      <x:c r="C134" s="60" t="n">
        <x:f>'Datos'!C44</x:f>
        <x:v>23.36</x:v>
      </x:c>
      <x:c r="D134" s="61" t="n">
        <x:f>IF(H133&lt;C133,F133,D133)</x:f>
        <x:v>0.32922029495240224</x:v>
      </x:c>
      <x:c r="E134" s="61" t="n">
        <x:f>IF(H133&gt;C133,F133,E133)</x:f>
        <x:v>0.32922267913819325</x:v>
      </x:c>
      <x:c r="F134" s="61" t="n">
        <x:f>(D134+E134)/2</x:f>
        <x:v>0.32922148704529774</x:v>
      </x:c>
      <x:c r="G134" s="60" t="n">
        <x:f>(LN('Datos'!$B$22/'Datos'!$B$23)+'Datos'!$B$24*B134+F134/2)/SQRT(F134)</x:f>
        <x:v>0.3217457991756363</x:v>
      </x:c>
      <x:c r="H134" s="60" t="n">
        <x:f>'Datos'!$B$22*NORM.S.DIST(G134,TRUE)-'Datos'!$B$23*EXP(-'Datos'!$B$24*B134)*NORM.S.DIST(G134-SQRT(F134),TRUE)</x:f>
        <x:v>23.359996205002012</x:v>
      </x:c>
      <x:c r="I134" s="59" t="n">
        <x:f>H134-C134</x:f>
        <x:v>-0.0000037949979869722483</x:v>
      </x:c>
    </x:row>
    <x:row r="135" ht="22" customHeight="1">
      <x:c r="A135" s="2" t="n">
        <x:v>24</x:v>
      </x:c>
      <x:c r="B135" s="49" t="n">
        <x:f>'Datos'!B44</x:f>
        <x:v>2</x:v>
      </x:c>
      <x:c r="C135" s="60" t="n">
        <x:f>'Datos'!C44</x:f>
        <x:v>23.36</x:v>
      </x:c>
      <x:c r="D135" s="61" t="n">
        <x:f>IF(H134&lt;C134,F134,D134)</x:f>
        <x:v>0.32922148704529774</x:v>
      </x:c>
      <x:c r="E135" s="61" t="n">
        <x:f>IF(H134&gt;C134,F134,E134)</x:f>
        <x:v>0.32922267913819325</x:v>
      </x:c>
      <x:c r="F135" s="61" t="n">
        <x:f>(D135+E135)/2</x:f>
        <x:v>0.3292220830917455</x:v>
      </x:c>
      <x:c r="G135" s="60" t="n">
        <x:f>(LN('Datos'!$B$22/'Datos'!$B$23)+'Datos'!$B$24*B135+F135/2)/SQRT(F135)</x:f>
        <x:v>0.3217460273244773</x:v>
      </x:c>
      <x:c r="H135" s="60" t="n">
        <x:f>'Datos'!$B$22*NORM.S.DIST(G135,TRUE)-'Datos'!$B$23*EXP(-'Datos'!$B$24*B135)*NORM.S.DIST(G135-SQRT(F135),TRUE)</x:f>
        <x:v>23.360015880997537</x:v>
      </x:c>
      <x:c r="I135" s="59" t="n">
        <x:f>H135-C135</x:f>
        <x:v>0.00001588099753746519</x:v>
      </x:c>
    </x:row>
    <x:row r="136" ht="22" customHeight="1">
      <x:c r="A136" s="2" t="n">
        <x:v>25</x:v>
      </x:c>
      <x:c r="B136" s="49" t="n">
        <x:f>'Datos'!B44</x:f>
        <x:v>2</x:v>
      </x:c>
      <x:c r="C136" s="60" t="n">
        <x:f>'Datos'!C44</x:f>
        <x:v>23.36</x:v>
      </x:c>
      <x:c r="D136" s="61" t="n">
        <x:f>IF(H135&lt;C135,F135,D135)</x:f>
        <x:v>0.32922148704529774</x:v>
      </x:c>
      <x:c r="E136" s="61" t="n">
        <x:f>IF(H135&gt;C135,F135,E135)</x:f>
        <x:v>0.3292220830917455</x:v>
      </x:c>
      <x:c r="F136" s="61" t="n">
        <x:f>(D136+E136)/2</x:f>
        <x:v>0.3292217850685216</x:v>
      </x:c>
      <x:c r="G136" s="60" t="n">
        <x:f>(LN('Datos'!$B$22/'Datos'!$B$23)+'Datos'!$B$24*B136+F136/2)/SQRT(F136)</x:f>
        <x:v>0.32174591325007545</x:v>
      </x:c>
      <x:c r="H136" s="60" t="n">
        <x:f>'Datos'!$B$22*NORM.S.DIST(G136,TRUE)-'Datos'!$B$23*EXP(-'Datos'!$B$24*B136)*NORM.S.DIST(G136-SQRT(F136),TRUE)</x:f>
        <x:v>23.36000604300218</x:v>
      </x:c>
      <x:c r="I136" s="59" t="n">
        <x:f>H136-C136</x:f>
        <x:v>0.000006043002180433632</x:v>
      </x:c>
    </x:row>
    <x:row r="137" ht="22" customHeight="1">
      <x:c r="A137" s="2" t="n">
        <x:v>26</x:v>
      </x:c>
      <x:c r="B137" s="49" t="n">
        <x:f>'Datos'!B44</x:f>
        <x:v>2</x:v>
      </x:c>
      <x:c r="C137" s="60" t="n">
        <x:f>'Datos'!C44</x:f>
        <x:v>23.36</x:v>
      </x:c>
      <x:c r="D137" s="61" t="n">
        <x:f>IF(H136&lt;C136,F136,D136)</x:f>
        <x:v>0.32922148704529774</x:v>
      </x:c>
      <x:c r="E137" s="61" t="n">
        <x:f>IF(H136&gt;C136,F136,E136)</x:f>
        <x:v>0.3292217850685216</x:v>
      </x:c>
      <x:c r="F137" s="61" t="n">
        <x:f>(D137+E137)/2</x:f>
        <x:v>0.3292216360569097</x:v>
      </x:c>
      <x:c r="G137" s="60" t="n">
        <x:f>(LN('Datos'!$B$22/'Datos'!$B$23)+'Datos'!$B$24*B137+F137/2)/SQRT(F137)</x:f>
        <x:v>0.32174585621286056</x:v>
      </x:c>
      <x:c r="H137" s="60" t="n">
        <x:f>'Datos'!$B$22*NORM.S.DIST(G137,TRUE)-'Datos'!$B$23*EXP(-'Datos'!$B$24*B137)*NORM.S.DIST(G137-SQRT(F137),TRUE)</x:f>
        <x:v>23.36000112400273</x:v>
      </x:c>
      <x:c r="I137" s="59" t="n">
        <x:f>H137-C137</x:f>
        <x:v>0.0000011240027291137267</x:v>
      </x:c>
    </x:row>
    <x:row r="138" ht="22" customHeight="1">
      <x:c r="A138" s="2" t="n">
        <x:v>27</x:v>
      </x:c>
      <x:c r="B138" s="49" t="n">
        <x:f>'Datos'!B44</x:f>
        <x:v>2</x:v>
      </x:c>
      <x:c r="C138" s="60" t="n">
        <x:f>'Datos'!C44</x:f>
        <x:v>23.36</x:v>
      </x:c>
      <x:c r="D138" s="61" t="n">
        <x:f>IF(H137&lt;C137,F137,D137)</x:f>
        <x:v>0.32922148704529774</x:v>
      </x:c>
      <x:c r="E138" s="61" t="n">
        <x:f>IF(H137&gt;C137,F137,E137)</x:f>
        <x:v>0.3292216360569097</x:v>
      </x:c>
      <x:c r="F138" s="61" t="n">
        <x:f>(D138+E138)/2</x:f>
        <x:v>0.3292215615511037</x:v>
      </x:c>
      <x:c r="G138" s="60" t="n">
        <x:f>(LN('Datos'!$B$22/'Datos'!$B$23)+'Datos'!$B$24*B138+F138/2)/SQRT(F138)</x:f>
        <x:v>0.3217458276942496</x:v>
      </x:c>
      <x:c r="H138" s="60" t="n">
        <x:f>'Datos'!$B$22*NORM.S.DIST(G138,TRUE)-'Datos'!$B$23*EXP(-'Datos'!$B$24*B138)*NORM.S.DIST(G138-SQRT(F138),TRUE)</x:f>
        <x:v>23.359998664502513</x:v>
      </x:c>
      <x:c r="I138" s="59" t="n">
        <x:f>H138-C138</x:f>
        <x:v>-0.0000013354974868207137</x:v>
      </x:c>
    </x:row>
    <x:row r="139" ht="22" customHeight="1">
      <x:c r="A139" s="2" t="n">
        <x:v>28</x:v>
      </x:c>
      <x:c r="B139" s="49" t="n">
        <x:f>'Datos'!B44</x:f>
        <x:v>2</x:v>
      </x:c>
      <x:c r="C139" s="60" t="n">
        <x:f>'Datos'!C44</x:f>
        <x:v>23.36</x:v>
      </x:c>
      <x:c r="D139" s="61" t="n">
        <x:f>IF(H138&lt;C138,F138,D138)</x:f>
        <x:v>0.3292215615511037</x:v>
      </x:c>
      <x:c r="E139" s="61" t="n">
        <x:f>IF(H138&gt;C138,F138,E138)</x:f>
        <x:v>0.3292216360569097</x:v>
      </x:c>
      <x:c r="F139" s="61" t="n">
        <x:f>(D139+E139)/2</x:f>
        <x:v>0.3292215988040067</x:v>
      </x:c>
      <x:c r="G139" s="60" t="n">
        <x:f>(LN('Datos'!$B$22/'Datos'!$B$23)+'Datos'!$B$24*B139+F139/2)/SQRT(F139)</x:f>
        <x:v>0.3217458419535554</x:v>
      </x:c>
      <x:c r="H139" s="60" t="n">
        <x:f>'Datos'!$B$22*NORM.S.DIST(G139,TRUE)-'Datos'!$B$23*EXP(-'Datos'!$B$24*B139)*NORM.S.DIST(G139-SQRT(F139),TRUE)</x:f>
        <x:v>23.359999894252653</x:v>
      </x:c>
      <x:c r="I139" s="59" t="n">
        <x:f>H139-C139</x:f>
        <x:v>-1.0574734687907039e-7</x:v>
      </x:c>
    </x:row>
    <x:row r="140" ht="22" customHeight="1">
      <x:c r="A140" s="2" t="n">
        <x:v>29</x:v>
      </x:c>
      <x:c r="B140" s="49" t="n">
        <x:f>'Datos'!B44</x:f>
        <x:v>2</x:v>
      </x:c>
      <x:c r="C140" s="60" t="n">
        <x:f>'Datos'!C44</x:f>
        <x:v>23.36</x:v>
      </x:c>
      <x:c r="D140" s="61" t="n">
        <x:f>IF(H139&lt;C139,F139,D139)</x:f>
        <x:v>0.3292215988040067</x:v>
      </x:c>
      <x:c r="E140" s="61" t="n">
        <x:f>IF(H139&gt;C139,F139,E139)</x:f>
        <x:v>0.3292216360569097</x:v>
      </x:c>
      <x:c r="F140" s="61" t="n">
        <x:f>(D140+E140)/2</x:f>
        <x:v>0.3292216174304582</x:v>
      </x:c>
      <x:c r="G140" s="60" t="n">
        <x:f>(LN('Datos'!$B$22/'Datos'!$B$23)+'Datos'!$B$24*B140+F140/2)/SQRT(F140)</x:f>
        <x:v>0.3217458490832081</x:v>
      </x:c>
      <x:c r="H140" s="60" t="n">
        <x:f>'Datos'!$B$22*NORM.S.DIST(G140,TRUE)-'Datos'!$B$23*EXP(-'Datos'!$B$24*B140)*NORM.S.DIST(G140-SQRT(F140),TRUE)</x:f>
        <x:v>23.360000509127687</x:v>
      </x:c>
      <x:c r="I140" s="59" t="n">
        <x:f>H140-C140</x:f>
        <x:v>5.091276875646145e-7</x:v>
      </x:c>
    </x:row>
    <x:row r="141" ht="22" customHeight="1">
      <x:c r="A141" s="2" t="n">
        <x:v>30</x:v>
      </x:c>
      <x:c r="B141" s="49" t="n">
        <x:f>'Datos'!B44</x:f>
        <x:v>2</x:v>
      </x:c>
      <x:c r="C141" s="60" t="n">
        <x:f>'Datos'!C44</x:f>
        <x:v>23.36</x:v>
      </x:c>
      <x:c r="D141" s="61" t="n">
        <x:f>IF(H140&lt;C140,F140,D140)</x:f>
        <x:v>0.3292215988040067</x:v>
      </x:c>
      <x:c r="E141" s="61" t="n">
        <x:f>IF(H140&gt;C140,F140,E140)</x:f>
        <x:v>0.3292216174304582</x:v>
      </x:c>
      <x:c r="F141" s="61" t="n">
        <x:f>(D141+E141)/2</x:f>
        <x:v>0.32922160811723244</x:v>
      </x:c>
      <x:c r="G141" s="60" t="n">
        <x:f>(LN('Datos'!$B$22/'Datos'!$B$23)+'Datos'!$B$24*B141+F141/2)/SQRT(F141)</x:f>
        <x:v>0.3217458455183817</x:v>
      </x:c>
      <x:c r="H141" s="60" t="n">
        <x:f>'Datos'!$B$22*NORM.S.DIST(G141,TRUE)-'Datos'!$B$23*EXP(-'Datos'!$B$24*B141)*NORM.S.DIST(G141-SQRT(F141),TRUE)</x:f>
        <x:v>23.36000020169017</x:v>
      </x:c>
      <x:c r="I141" s="59" t="n">
        <x:f>H141-C141</x:f>
        <x:v>2.0169017034277203e-7</x:v>
      </x:c>
    </x:row>
    <x:row r="142" ht="22" customHeight="1">
      <x:c r="A142" s="2" t="n">
        <x:v>31</x:v>
      </x:c>
      <x:c r="B142" s="49" t="n">
        <x:f>'Datos'!B44</x:f>
        <x:v>2</x:v>
      </x:c>
      <x:c r="C142" s="60" t="n">
        <x:f>'Datos'!C44</x:f>
        <x:v>23.36</x:v>
      </x:c>
      <x:c r="D142" s="61" t="n">
        <x:f>IF(H141&lt;C141,F141,D141)</x:f>
        <x:v>0.3292215988040067</x:v>
      </x:c>
      <x:c r="E142" s="61" t="n">
        <x:f>IF(H141&gt;C141,F141,E141)</x:f>
        <x:v>0.32922160811723244</x:v>
      </x:c>
      <x:c r="F142" s="61" t="n">
        <x:f>(D142+E142)/2</x:f>
        <x:v>0.32922160346061957</x:v>
      </x:c>
      <x:c r="G142" s="60" t="n">
        <x:f>(LN('Datos'!$B$22/'Datos'!$B$23)+'Datos'!$B$24*B142+F142/2)/SQRT(F142)</x:f>
        <x:v>0.3217458437359686</x:v>
      </x:c>
      <x:c r="H142" s="60" t="n">
        <x:f>'Datos'!$B$22*NORM.S.DIST(G142,TRUE)-'Datos'!$B$23*EXP(-'Datos'!$B$24*B142)*NORM.S.DIST(G142-SQRT(F142),TRUE)</x:f>
        <x:v>23.36000004797142</x:v>
      </x:c>
      <x:c r="I142" s="59" t="n">
        <x:f>H142-C142</x:f>
        <x:v>4.797141883727818e-8</x:v>
      </x:c>
    </x:row>
    <x:row r="143" ht="22" customHeight="1">
      <x:c r="A143" s="2" t="n">
        <x:v>32</x:v>
      </x:c>
      <x:c r="B143" s="49" t="n">
        <x:f>'Datos'!B44</x:f>
        <x:v>2</x:v>
      </x:c>
      <x:c r="C143" s="60" t="n">
        <x:f>'Datos'!C44</x:f>
        <x:v>23.36</x:v>
      </x:c>
      <x:c r="D143" s="61" t="n">
        <x:f>IF(H142&lt;C142,F142,D142)</x:f>
        <x:v>0.3292215988040067</x:v>
      </x:c>
      <x:c r="E143" s="61" t="n">
        <x:f>IF(H142&gt;C142,F142,E142)</x:f>
        <x:v>0.32922160346061957</x:v>
      </x:c>
      <x:c r="F143" s="61" t="n">
        <x:f>(D143+E143)/2</x:f>
        <x:v>0.32922160113231314</x:v>
      </x:c>
      <x:c r="G143" s="60" t="n">
        <x:f>(LN('Datos'!$B$22/'Datos'!$B$23)+'Datos'!$B$24*B143+F143/2)/SQRT(F143)</x:f>
        <x:v>0.321745842844762</x:v>
      </x:c>
      <x:c r="H143" s="60" t="n">
        <x:f>'Datos'!$B$22*NORM.S.DIST(G143,TRUE)-'Datos'!$B$23*EXP(-'Datos'!$B$24*B143)*NORM.S.DIST(G143-SQRT(F143),TRUE)</x:f>
        <x:v>23.359999971112003</x:v>
      </x:c>
      <x:c r="I143" s="59" t="n">
        <x:f>H143-C143</x:f>
        <x:v>-2.8887995995319216e-8</x:v>
      </x:c>
    </x:row>
    <x:row r="144" ht="22" customHeight="1">
      <x:c r="A144" s="2" t="n">
        <x:v>33</x:v>
      </x:c>
      <x:c r="B144" s="49" t="n">
        <x:f>'Datos'!B44</x:f>
        <x:v>2</x:v>
      </x:c>
      <x:c r="C144" s="60" t="n">
        <x:f>'Datos'!C44</x:f>
        <x:v>23.36</x:v>
      </x:c>
      <x:c r="D144" s="61" t="n">
        <x:f>IF(H143&lt;C143,F143,D143)</x:f>
        <x:v>0.32922160113231314</x:v>
      </x:c>
      <x:c r="E144" s="61" t="n">
        <x:f>IF(H143&gt;C143,F143,E143)</x:f>
        <x:v>0.32922160346061957</x:v>
      </x:c>
      <x:c r="F144" s="61" t="n">
        <x:f>(D144+E144)/2</x:f>
        <x:v>0.32922160229646635</x:v>
      </x:c>
      <x:c r="G144" s="60" t="n">
        <x:f>(LN('Datos'!$B$22/'Datos'!$B$23)+'Datos'!$B$24*B144+F144/2)/SQRT(F144)</x:f>
        <x:v>0.32174584329036526</x:v>
      </x:c>
      <x:c r="H144" s="60" t="n">
        <x:f>'Datos'!$B$22*NORM.S.DIST(G144,TRUE)-'Datos'!$B$23*EXP(-'Datos'!$B$24*B144)*NORM.S.DIST(G144-SQRT(F144),TRUE)</x:f>
        <x:v>23.36000000954173</x:v>
      </x:c>
      <x:c r="I144" s="59" t="n">
        <x:f>H144-C144</x:f>
        <x:v>9.541729184547876e-9</x:v>
      </x:c>
    </x:row>
    <x:row r="145" ht="22" customHeight="1">
      <x:c r="A145" s="2" t="n">
        <x:v>34</x:v>
      </x:c>
      <x:c r="B145" s="49" t="n">
        <x:f>'Datos'!B44</x:f>
        <x:v>2</x:v>
      </x:c>
      <x:c r="C145" s="60" t="n">
        <x:f>'Datos'!C44</x:f>
        <x:v>23.36</x:v>
      </x:c>
      <x:c r="D145" s="61" t="n">
        <x:f>IF(H144&lt;C144,F144,D144)</x:f>
        <x:v>0.32922160113231314</x:v>
      </x:c>
      <x:c r="E145" s="61" t="n">
        <x:f>IF(H144&gt;C144,F144,E144)</x:f>
        <x:v>0.32922160229646635</x:v>
      </x:c>
      <x:c r="F145" s="61" t="n">
        <x:f>(D145+E145)/2</x:f>
        <x:v>0.32922160171438974</x:v>
      </x:c>
      <x:c r="G145" s="60" t="n">
        <x:f>(LN('Datos'!$B$22/'Datos'!$B$23)+'Datos'!$B$24*B145+F145/2)/SQRT(F145)</x:f>
        <x:v>0.3217458430675636</x:v>
      </x:c>
      <x:c r="H145" s="60" t="n">
        <x:f>'Datos'!$B$22*NORM.S.DIST(G145,TRUE)-'Datos'!$B$23*EXP(-'Datos'!$B$24*B145)*NORM.S.DIST(G145-SQRT(F145),TRUE)</x:f>
        <x:v>23.359999990326862</x:v>
      </x:c>
      <x:c r="I145" s="59" t="n">
        <x:f>H145-C145</x:f>
        <x:v>-9.673136958099349e-9</x:v>
      </x:c>
    </x:row>
    <x:row r="146" ht="22" customHeight="1">
      <x:c r="A146" s="2" t="n">
        <x:v>35</x:v>
      </x:c>
      <x:c r="B146" s="49" t="n">
        <x:f>'Datos'!B44</x:f>
        <x:v>2</x:v>
      </x:c>
      <x:c r="C146" s="60" t="n">
        <x:f>'Datos'!C44</x:f>
        <x:v>23.36</x:v>
      </x:c>
      <x:c r="D146" s="61" t="n">
        <x:f>IF(H145&lt;C145,F145,D145)</x:f>
        <x:v>0.32922160171438974</x:v>
      </x:c>
      <x:c r="E146" s="61" t="n">
        <x:f>IF(H145&gt;C145,F145,E145)</x:f>
        <x:v>0.32922160229646635</x:v>
      </x:c>
      <x:c r="F146" s="61" t="n">
        <x:f>(D146+E146)/2</x:f>
        <x:v>0.32922160200542805</x:v>
      </x:c>
      <x:c r="G146" s="60" t="n">
        <x:f>(LN('Datos'!$B$22/'Datos'!$B$23)+'Datos'!$B$24*B146+F146/2)/SQRT(F146)</x:f>
        <x:v>0.32174584317896443</x:v>
      </x:c>
      <x:c r="H146" s="60" t="n">
        <x:f>'Datos'!$B$22*NORM.S.DIST(G146,TRUE)-'Datos'!$B$23*EXP(-'Datos'!$B$24*B146)*NORM.S.DIST(G146-SQRT(F146),TRUE)</x:f>
        <x:v>23.359999999934296</x:v>
      </x:c>
      <x:c r="I146" s="59" t="n">
        <x:f>H146-C146</x:f>
        <x:v>-6.570388677573646e-11</x:v>
      </x:c>
    </x:row>
    <x:row r="147" ht="22" customHeight="1">
      <x:c r="A147" s="2" t="n">
        <x:v>36</x:v>
      </x:c>
      <x:c r="B147" s="49" t="n">
        <x:f>'Datos'!B44</x:f>
        <x:v>2</x:v>
      </x:c>
      <x:c r="C147" s="60" t="n">
        <x:f>'Datos'!C44</x:f>
        <x:v>23.36</x:v>
      </x:c>
      <x:c r="D147" s="61" t="n">
        <x:f>IF(H146&lt;C146,F146,D146)</x:f>
        <x:v>0.32922160200542805</x:v>
      </x:c>
      <x:c r="E147" s="61" t="n">
        <x:f>IF(H146&gt;C146,F146,E146)</x:f>
        <x:v>0.32922160229646635</x:v>
      </x:c>
      <x:c r="F147" s="61" t="n">
        <x:f>(D147+E147)/2</x:f>
        <x:v>0.3292216021509472</x:v>
      </x:c>
      <x:c r="G147" s="60" t="n">
        <x:f>(LN('Datos'!$B$22/'Datos'!$B$23)+'Datos'!$B$24*B147+F147/2)/SQRT(F147)</x:f>
        <x:v>0.3217458432346648</x:v>
      </x:c>
      <x:c r="H147" s="60" t="n">
        <x:f>'Datos'!$B$22*NORM.S.DIST(G147,TRUE)-'Datos'!$B$23*EXP(-'Datos'!$B$24*B147)*NORM.S.DIST(G147-SQRT(F147),TRUE)</x:f>
        <x:v>23.360000004738005</x:v>
      </x:c>
      <x:c r="I147" s="59" t="n">
        <x:f>H147-C147</x:f>
        <x:v>4.738005543458712e-9</x:v>
      </x:c>
    </x:row>
    <x:row r="148" ht="22" customHeight="1">
      <x:c r="A148" s="2" t="n">
        <x:v>37</x:v>
      </x:c>
      <x:c r="B148" s="49" t="n">
        <x:f>'Datos'!B44</x:f>
        <x:v>2</x:v>
      </x:c>
      <x:c r="C148" s="60" t="n">
        <x:f>'Datos'!C44</x:f>
        <x:v>23.36</x:v>
      </x:c>
      <x:c r="D148" s="61" t="n">
        <x:f>IF(H147&lt;C147,F147,D147)</x:f>
        <x:v>0.32922160200542805</x:v>
      </x:c>
      <x:c r="E148" s="61" t="n">
        <x:f>IF(H147&gt;C147,F147,E147)</x:f>
        <x:v>0.3292216021509472</x:v>
      </x:c>
      <x:c r="F148" s="61" t="n">
        <x:f>(D148+E148)/2</x:f>
        <x:v>0.3292216020781876</x:v>
      </x:c>
      <x:c r="G148" s="60" t="n">
        <x:f>(LN('Datos'!$B$22/'Datos'!$B$23)+'Datos'!$B$24*B148+F148/2)/SQRT(F148)</x:f>
        <x:v>0.32174584320681465</x:v>
      </x:c>
      <x:c r="H148" s="60" t="n">
        <x:f>'Datos'!$B$22*NORM.S.DIST(G148,TRUE)-'Datos'!$B$23*EXP(-'Datos'!$B$24*B148)*NORM.S.DIST(G148-SQRT(F148),TRUE)</x:f>
        <x:v>23.36000000233615</x:v>
      </x:c>
      <x:c r="I148" s="59" t="n">
        <x:f>H148-C148</x:f>
        <x:v>2.336150828341488e-9</x:v>
      </x:c>
    </x:row>
    <x:row r="149" ht="22" customHeight="1">
      <x:c r="A149" s="2" t="n">
        <x:v>38</x:v>
      </x:c>
      <x:c r="B149" s="49" t="n">
        <x:f>'Datos'!B44</x:f>
        <x:v>2</x:v>
      </x:c>
      <x:c r="C149" s="60" t="n">
        <x:f>'Datos'!C44</x:f>
        <x:v>23.36</x:v>
      </x:c>
      <x:c r="D149" s="61" t="n">
        <x:f>IF(H148&lt;C148,F148,D148)</x:f>
        <x:v>0.32922160200542805</x:v>
      </x:c>
      <x:c r="E149" s="61" t="n">
        <x:f>IF(H148&gt;C148,F148,E148)</x:f>
        <x:v>0.3292216020781876</x:v>
      </x:c>
      <x:c r="F149" s="61" t="n">
        <x:f>(D149+E149)/2</x:f>
        <x:v>0.32922160204180784</x:v>
      </x:c>
      <x:c r="G149" s="60" t="n">
        <x:f>(LN('Datos'!$B$22/'Datos'!$B$23)+'Datos'!$B$24*B149+F149/2)/SQRT(F149)</x:f>
        <x:v>0.32174584319288957</x:v>
      </x:c>
      <x:c r="H149" s="60" t="n">
        <x:f>'Datos'!$B$22*NORM.S.DIST(G149,TRUE)-'Datos'!$B$23*EXP(-'Datos'!$B$24*B149)*NORM.S.DIST(G149-SQRT(F149),TRUE)</x:f>
        <x:v>23.360000001135226</x:v>
      </x:c>
      <x:c r="I149" s="59" t="n">
        <x:f>H149-C149</x:f>
        <x:v>1.1352270234965545e-9</x:v>
      </x:c>
    </x:row>
    <x:row r="150" ht="22" customHeight="1">
      <x:c r="A150" s="2" t="n">
        <x:v>39</x:v>
      </x:c>
      <x:c r="B150" s="49" t="n">
        <x:f>'Datos'!B44</x:f>
        <x:v>2</x:v>
      </x:c>
      <x:c r="C150" s="60" t="n">
        <x:f>'Datos'!C44</x:f>
        <x:v>23.36</x:v>
      </x:c>
      <x:c r="D150" s="61" t="n">
        <x:f>IF(H149&lt;C149,F149,D149)</x:f>
        <x:v>0.32922160200542805</x:v>
      </x:c>
      <x:c r="E150" s="61" t="n">
        <x:f>IF(H149&gt;C149,F149,E149)</x:f>
        <x:v>0.32922160204180784</x:v>
      </x:c>
      <x:c r="F150" s="61" t="n">
        <x:f>(D150+E150)/2</x:f>
        <x:v>0.32922160202361794</x:v>
      </x:c>
      <x:c r="G150" s="60" t="n">
        <x:f>(LN('Datos'!$B$22/'Datos'!$B$23)+'Datos'!$B$24*B150+F150/2)/SQRT(F150)</x:f>
        <x:v>0.321745843185927</x:v>
      </x:c>
      <x:c r="H150" s="60" t="n">
        <x:f>'Datos'!$B$22*NORM.S.DIST(G150,TRUE)-'Datos'!$B$23*EXP(-'Datos'!$B$24*B150)*NORM.S.DIST(G150-SQRT(F150),TRUE)</x:f>
        <x:v>23.36000000053476</x:v>
      </x:c>
      <x:c r="I150" s="59" t="n">
        <x:f>H150-C150</x:f>
        <x:v>5.34761568360409e-10</x:v>
      </x:c>
    </x:row>
    <x:row r="151" ht="22" customHeight="1">
      <x:c r="A151" s="2" t="n">
        <x:v>40</x:v>
      </x:c>
      <x:c r="B151" s="49" t="n">
        <x:f>'Datos'!B44</x:f>
        <x:v>2</x:v>
      </x:c>
      <x:c r="C151" s="60" t="n">
        <x:f>'Datos'!C44</x:f>
        <x:v>23.36</x:v>
      </x:c>
      <x:c r="D151" s="61" t="n">
        <x:f>IF(H150&lt;C150,F150,D150)</x:f>
        <x:v>0.32922160200542805</x:v>
      </x:c>
      <x:c r="E151" s="61" t="n">
        <x:f>IF(H150&gt;C150,F150,E150)</x:f>
        <x:v>0.32922160202361794</x:v>
      </x:c>
      <x:c r="F151" s="61" t="n">
        <x:f>(D151+E151)/2</x:f>
        <x:v>0.329221602014523</x:v>
      </x:c>
      <x:c r="G151" s="60" t="n">
        <x:f>(LN('Datos'!$B$22/'Datos'!$B$23)+'Datos'!$B$24*B151+F151/2)/SQRT(F151)</x:f>
        <x:v>0.3217458431824457</x:v>
      </x:c>
      <x:c r="H151" s="60" t="n">
        <x:f>'Datos'!$B$22*NORM.S.DIST(G151,TRUE)-'Datos'!$B$23*EXP(-'Datos'!$B$24*B151)*NORM.S.DIST(G151-SQRT(F151),TRUE)</x:f>
        <x:v>23.360000000234542</x:v>
      </x:c>
      <x:c r="I151" s="59" t="n">
        <x:f>H151-C151</x:f>
        <x:v>2.3454305164705147e-10</x:v>
      </x:c>
    </x:row>
    <x:row r="152" ht="22" customHeight="1">
      <x:c r="A152" s="2" t="n">
        <x:v>41</x:v>
      </x:c>
      <x:c r="B152" s="49" t="n">
        <x:f>'Datos'!B44</x:f>
        <x:v>2</x:v>
      </x:c>
      <x:c r="C152" s="60" t="n">
        <x:f>'Datos'!C44</x:f>
        <x:v>23.36</x:v>
      </x:c>
      <x:c r="D152" s="61" t="n">
        <x:f>IF(H151&lt;C151,F151,D151)</x:f>
        <x:v>0.32922160200542805</x:v>
      </x:c>
      <x:c r="E152" s="61" t="n">
        <x:f>IF(H151&gt;C151,F151,E151)</x:f>
        <x:v>0.329221602014523</x:v>
      </x:c>
      <x:c r="F152" s="61" t="n">
        <x:f>(D152+E152)/2</x:f>
        <x:v>0.3292216020099755</x:v>
      </x:c>
      <x:c r="G152" s="60" t="n">
        <x:f>(LN('Datos'!$B$22/'Datos'!$B$23)+'Datos'!$B$24*B152+F152/2)/SQRT(F152)</x:f>
        <x:v>0.32174584318070504</x:v>
      </x:c>
      <x:c r="H152" s="60" t="n">
        <x:f>'Datos'!$B$22*NORM.S.DIST(G152,TRUE)-'Datos'!$B$23*EXP(-'Datos'!$B$24*B152)*NORM.S.DIST(G152-SQRT(F152),TRUE)</x:f>
        <x:v>23.360000000084426</x:v>
      </x:c>
      <x:c r="I152" s="59" t="n">
        <x:f>H152-C152</x:f>
        <x:v>8.44266878630151e-11</x:v>
      </x:c>
    </x:row>
    <x:row r="153" ht="22" customHeight="1">
      <x:c r="A153" s="2" t="n">
        <x:v>42</x:v>
      </x:c>
      <x:c r="B153" s="49" t="n">
        <x:f>'Datos'!B44</x:f>
        <x:v>2</x:v>
      </x:c>
      <x:c r="C153" s="60" t="n">
        <x:f>'Datos'!C44</x:f>
        <x:v>23.36</x:v>
      </x:c>
      <x:c r="D153" s="61" t="n">
        <x:f>IF(H152&lt;C152,F152,D152)</x:f>
        <x:v>0.32922160200542805</x:v>
      </x:c>
      <x:c r="E153" s="61" t="n">
        <x:f>IF(H152&gt;C152,F152,E152)</x:f>
        <x:v>0.3292216020099755</x:v>
      </x:c>
      <x:c r="F153" s="61" t="n">
        <x:f>(D153+E153)/2</x:f>
        <x:v>0.3292216020077018</x:v>
      </x:c>
      <x:c r="G153" s="60" t="n">
        <x:f>(LN('Datos'!$B$22/'Datos'!$B$23)+'Datos'!$B$24*B153+F153/2)/SQRT(F153)</x:f>
        <x:v>0.32174584317983473</x:v>
      </x:c>
      <x:c r="H153" s="60" t="n">
        <x:f>'Datos'!$B$22*NORM.S.DIST(G153,TRUE)-'Datos'!$B$23*EXP(-'Datos'!$B$24*B153)*NORM.S.DIST(G153-SQRT(F153),TRUE)</x:f>
        <x:v>23.36000000000937</x:v>
      </x:c>
      <x:c r="I153" s="59" t="n">
        <x:f>H153-C153</x:f>
        <x:v>9.372058684675721e-12</x:v>
      </x:c>
    </x:row>
    <x:row r="154" ht="22" customHeight="1">
      <x:c r="A154" s="2" t="n">
        <x:v>43</x:v>
      </x:c>
      <x:c r="B154" s="49" t="n">
        <x:f>'Datos'!B44</x:f>
        <x:v>2</x:v>
      </x:c>
      <x:c r="C154" s="60" t="n">
        <x:f>'Datos'!C44</x:f>
        <x:v>23.36</x:v>
      </x:c>
      <x:c r="D154" s="61" t="n">
        <x:f>IF(H153&lt;C153,F153,D153)</x:f>
        <x:v>0.32922160200542805</x:v>
      </x:c>
      <x:c r="E154" s="61" t="n">
        <x:f>IF(H153&gt;C153,F153,E153)</x:f>
        <x:v>0.3292216020077018</x:v>
      </x:c>
      <x:c r="F154" s="61" t="n">
        <x:f>(D154+E154)/2</x:f>
        <x:v>0.3292216020065649</x:v>
      </x:c>
      <x:c r="G154" s="60" t="n">
        <x:f>(LN('Datos'!$B$22/'Datos'!$B$23)+'Datos'!$B$24*B154+F154/2)/SQRT(F154)</x:f>
        <x:v>0.3217458431793996</x:v>
      </x:c>
      <x:c r="H154" s="60" t="n">
        <x:f>'Datos'!$B$22*NORM.S.DIST(G154,TRUE)-'Datos'!$B$23*EXP(-'Datos'!$B$24*B154)*NORM.S.DIST(G154-SQRT(F154),TRUE)</x:f>
        <x:v>23.359999999971826</x:v>
      </x:c>
      <x:c r="I154" s="59" t="n">
        <x:f>H154-C154</x:f>
        <x:v>-2.8173019472887972e-11</x:v>
      </x:c>
    </x:row>
    <x:row r="155" ht="22" customHeight="1">
      <x:c r="A155" s="2" t="n">
        <x:v>44</x:v>
      </x:c>
      <x:c r="B155" s="49" t="n">
        <x:f>'Datos'!B44</x:f>
        <x:v>2</x:v>
      </x:c>
      <x:c r="C155" s="60" t="n">
        <x:f>'Datos'!C44</x:f>
        <x:v>23.36</x:v>
      </x:c>
      <x:c r="D155" s="61" t="n">
        <x:f>IF(H154&lt;C154,F154,D154)</x:f>
        <x:v>0.3292216020065649</x:v>
      </x:c>
      <x:c r="E155" s="61" t="n">
        <x:f>IF(H154&gt;C154,F154,E154)</x:f>
        <x:v>0.3292216020077018</x:v>
      </x:c>
      <x:c r="F155" s="61" t="n">
        <x:f>(D155+E155)/2</x:f>
        <x:v>0.32922160200713335</x:v>
      </x:c>
      <x:c r="G155" s="60" t="n">
        <x:f>(LN('Datos'!$B$22/'Datos'!$B$23)+'Datos'!$B$24*B155+F155/2)/SQRT(F155)</x:f>
        <x:v>0.3217458431796172</x:v>
      </x:c>
      <x:c r="H155" s="60" t="n">
        <x:f>'Datos'!$B$22*NORM.S.DIST(G155,TRUE)-'Datos'!$B$23*EXP(-'Datos'!$B$24*B155)*NORM.S.DIST(G155-SQRT(F155),TRUE)</x:f>
        <x:v>23.359999999990585</x:v>
      </x:c>
      <x:c r="I155" s="59" t="n">
        <x:f>H155-C155</x:f>
        <x:v>-9.414691248821327e-12</x:v>
      </x:c>
    </x:row>
    <x:row r="156" ht="22" customHeight="1">
      <x:c r="A156" s="2" t="n">
        <x:v>45</x:v>
      </x:c>
      <x:c r="B156" s="49" t="n">
        <x:f>'Datos'!B44</x:f>
        <x:v>2</x:v>
      </x:c>
      <x:c r="C156" s="60" t="n">
        <x:f>'Datos'!C44</x:f>
        <x:v>23.36</x:v>
      </x:c>
      <x:c r="D156" s="61" t="n">
        <x:f>IF(H155&lt;C155,F155,D155)</x:f>
        <x:v>0.32922160200713335</x:v>
      </x:c>
      <x:c r="E156" s="61" t="n">
        <x:f>IF(H155&gt;C155,F155,E155)</x:f>
        <x:v>0.3292216020077018</x:v>
      </x:c>
      <x:c r="F156" s="61" t="n">
        <x:f>(D156+E156)/2</x:f>
        <x:v>0.32922160200741757</x:v>
      </x:c>
      <x:c r="G156" s="60" t="n">
        <x:f>(LN('Datos'!$B$22/'Datos'!$B$23)+'Datos'!$B$24*B156+F156/2)/SQRT(F156)</x:f>
        <x:v>0.321745843179726</x:v>
      </x:c>
      <x:c r="H156" s="60" t="n">
        <x:f>'Datos'!$B$22*NORM.S.DIST(G156,TRUE)-'Datos'!$B$23*EXP(-'Datos'!$B$24*B156)*NORM.S.DIST(G156-SQRT(F156),TRUE)</x:f>
        <x:v>23.359999999999978</x:v>
      </x:c>
      <x:c r="I156" s="59" t="n">
        <x:f>H156-C156</x:f>
        <x:v>-2.1316282072803006e-14</x:v>
      </x:c>
    </x:row>
    <x:row r="157" ht="22" customHeight="1">
      <x:c r="A157" s="2" t="n">
        <x:v>46</x:v>
      </x:c>
      <x:c r="B157" s="49" t="n">
        <x:f>'Datos'!B44</x:f>
        <x:v>2</x:v>
      </x:c>
      <x:c r="C157" s="60" t="n">
        <x:f>'Datos'!C44</x:f>
        <x:v>23.36</x:v>
      </x:c>
      <x:c r="D157" s="61" t="n">
        <x:f>IF(H156&lt;C156,F156,D156)</x:f>
        <x:v>0.32922160200713335</x:v>
      </x:c>
      <x:c r="E157" s="61" t="n">
        <x:f>IF(H156&gt;C156,F156,E156)</x:f>
        <x:v>0.3292216020077018</x:v>
      </x:c>
      <x:c r="F157" s="61" t="n">
        <x:f>(D157+E157)/2</x:f>
        <x:v>0.32922160200741757</x:v>
      </x:c>
      <x:c r="G157" s="60" t="n">
        <x:f>(LN('Datos'!$B$22/'Datos'!$B$23)+'Datos'!$B$24*B157+F157/2)/SQRT(F157)</x:f>
        <x:v>0.321745843179726</x:v>
      </x:c>
      <x:c r="H157" s="60" t="n">
        <x:f>'Datos'!$B$22*NORM.S.DIST(G157,TRUE)-'Datos'!$B$23*EXP(-'Datos'!$B$24*B157)*NORM.S.DIST(G157-SQRT(F157),TRUE)</x:f>
        <x:v>23.359999999999978</x:v>
      </x:c>
      <x:c r="I157" s="59" t="n">
        <x:f>H157-C157</x:f>
        <x:v>-2.1316282072803006e-14</x:v>
      </x:c>
    </x:row>
    <x:row r="158" ht="22" customHeight="1">
      <x:c r="A158" s="2" t="n">
        <x:v>47</x:v>
      </x:c>
      <x:c r="B158" s="49" t="n">
        <x:f>'Datos'!B44</x:f>
        <x:v>2</x:v>
      </x:c>
      <x:c r="C158" s="60" t="n">
        <x:f>'Datos'!C44</x:f>
        <x:v>23.36</x:v>
      </x:c>
      <x:c r="D158" s="61" t="n">
        <x:f>IF(H157&lt;C157,F157,D157)</x:f>
        <x:v>0.32922160200713335</x:v>
      </x:c>
      <x:c r="E158" s="61" t="n">
        <x:f>IF(H157&gt;C157,F157,E157)</x:f>
        <x:v>0.3292216020077018</x:v>
      </x:c>
      <x:c r="F158" s="61" t="n">
        <x:f>(D158+E158)/2</x:f>
        <x:v>0.32922160200741757</x:v>
      </x:c>
      <x:c r="G158" s="60" t="n">
        <x:f>(LN('Datos'!$B$22/'Datos'!$B$23)+'Datos'!$B$24*B158+F158/2)/SQRT(F158)</x:f>
        <x:v>0.321745843179726</x:v>
      </x:c>
      <x:c r="H158" s="60" t="n">
        <x:f>'Datos'!$B$22*NORM.S.DIST(G158,TRUE)-'Datos'!$B$23*EXP(-'Datos'!$B$24*B158)*NORM.S.DIST(G158-SQRT(F158),TRUE)</x:f>
        <x:v>23.359999999999978</x:v>
      </x:c>
      <x:c r="I158" s="59" t="n">
        <x:f>H158-C158</x:f>
        <x:v>-2.1316282072803006e-14</x:v>
      </x:c>
    </x:row>
    <x:row r="159" ht="22" customHeight="1">
      <x:c r="A159" s="2" t="n">
        <x:v>48</x:v>
      </x:c>
      <x:c r="B159" s="49" t="n">
        <x:f>'Datos'!B44</x:f>
        <x:v>2</x:v>
      </x:c>
      <x:c r="C159" s="60" t="n">
        <x:f>'Datos'!C44</x:f>
        <x:v>23.36</x:v>
      </x:c>
      <x:c r="D159" s="61" t="n">
        <x:f>IF(H158&lt;C158,F158,D158)</x:f>
        <x:v>0.32922160200713335</x:v>
      </x:c>
      <x:c r="E159" s="61" t="n">
        <x:f>IF(H158&gt;C158,F158,E158)</x:f>
        <x:v>0.3292216020077018</x:v>
      </x:c>
      <x:c r="F159" s="61" t="n">
        <x:f>(D159+E159)/2</x:f>
        <x:v>0.32922160200741757</x:v>
      </x:c>
      <x:c r="G159" s="60" t="n">
        <x:f>(LN('Datos'!$B$22/'Datos'!$B$23)+'Datos'!$B$24*B159+F159/2)/SQRT(F159)</x:f>
        <x:v>0.321745843179726</x:v>
      </x:c>
      <x:c r="H159" s="60" t="n">
        <x:f>'Datos'!$B$22*NORM.S.DIST(G159,TRUE)-'Datos'!$B$23*EXP(-'Datos'!$B$24*B159)*NORM.S.DIST(G159-SQRT(F159),TRUE)</x:f>
        <x:v>23.359999999999978</x:v>
      </x:c>
      <x:c r="I159" s="59" t="n">
        <x:f>H159-C159</x:f>
        <x:v>-2.1316282072803006e-14</x:v>
      </x:c>
    </x:row>
    <x:row r="160" ht="22" customHeight="1">
      <x:c r="A160" s="2"/>
      <x:c r="B160" s="2"/>
      <x:c r="C160" s="2"/>
      <x:c r="D160" s="2"/>
      <x:c r="E160" s="2"/>
      <x:c r="F160" s="2"/>
      <x:c r="G160" s="2"/>
      <x:c r="H160" s="2"/>
      <x:c r="I160" s="2"/>
    </x:row>
    <x:row r="161" ht="22" customHeight="1">
      <x:c r="A161" s="2"/>
      <x:c r="B161" s="2"/>
      <x:c r="C161" s="2"/>
      <x:c r="D161" s="2"/>
      <x:c r="E161" s="2"/>
      <x:c r="F161" s="2"/>
      <x:c r="G161" s="2"/>
      <x:c r="H161" s="2"/>
      <x:c r="I161" s="2"/>
    </x:row>
    <x:row r="162" ht="36" customHeight="1">
      <x:c r="A162" s="22" t="str">
        <x:v>Newton empieza cerca de la raíz positiva. Cada bloque muestra coeficientes, Jacobiano, residuos y corrección; Control valida el ajuste y el mínimo de σ.</x:v>
      </x:c>
      <x:c r="B162" s="22" t="str">
        <x:v>Newton empieza cerca de la raíz positiva. Cada bloque muestra coeficientes, Jacobiano, residuos y corrección; Control valida el ajuste y el mínimo de σ.</x:v>
      </x:c>
      <x:c r="C162" s="22" t="str">
        <x:v>Newton empieza cerca de la raíz positiva. Cada bloque muestra coeficientes, Jacobiano, residuos y corrección; Control valida el ajuste y el mínimo de σ.</x:v>
      </x:c>
      <x:c r="D162" s="22" t="str">
        <x:v>Newton empieza cerca de la raíz positiva. Cada bloque muestra coeficientes, Jacobiano, residuos y corrección; Control valida el ajuste y el mínimo de σ.</x:v>
      </x:c>
      <x:c r="E162" s="22" t="str">
        <x:v>Newton empieza cerca de la raíz positiva. Cada bloque muestra coeficientes, Jacobiano, residuos y corrección; Control valida el ajuste y el mínimo de σ.</x:v>
      </x:c>
      <x:c r="F162" s="22" t="str">
        <x:v>Newton empieza cerca de la raíz positiva. Cada bloque muestra coeficientes, Jacobiano, residuos y corrección; Control valida el ajuste y el mínimo de σ.</x:v>
      </x:c>
      <x:c r="G162" s="22" t="str">
        <x:v>Newton empieza cerca de la raíz positiva. Cada bloque muestra coeficientes, Jacobiano, residuos y corrección; Control valida el ajuste y el mínimo de σ.</x:v>
      </x:c>
      <x:c r="H162" s="22" t="str">
        <x:v>Newton empieza cerca de la raíz positiva. Cada bloque muestra coeficientes, Jacobiano, residuos y corrección; Control valida el ajuste y el mínimo de σ.</x:v>
      </x:c>
      <x:c r="I162" s="22" t="str">
        <x:v>Newton empieza cerca de la raíz positiva. Cada bloque muestra coeficientes, Jacobiano, residuos y corrección; Control valida el ajuste y el mínimo de σ.</x:v>
      </x:c>
    </x:row>
    <x:row r="163" ht="22" customHeight="1">
      <x:c r="A163" s="2"/>
      <x:c r="B163" s="2"/>
      <x:c r="C163" s="2"/>
      <x:c r="D163" s="2"/>
      <x:c r="E163" s="2"/>
      <x:c r="F163" s="2"/>
      <x:c r="G163" s="2"/>
      <x:c r="H163" s="2"/>
      <x:c r="I163" s="2"/>
    </x:row>
    <x:row r="164" ht="22" customHeight="1">
      <x:c r="A164" s="2"/>
      <x:c r="B164" s="2"/>
      <x:c r="C164" s="2"/>
      <x:c r="D164" s="2"/>
      <x:c r="E164" s="2"/>
      <x:c r="F164" s="2"/>
      <x:c r="G164" s="2"/>
      <x:c r="H164" s="2"/>
      <x:c r="I164" s="2"/>
    </x:row>
    <x:row r="165" ht="22" customHeight="1">
      <x:c r="A165" s="2"/>
      <x:c r="B165" s="2"/>
      <x:c r="C165" s="2"/>
      <x:c r="D165" s="2"/>
      <x:c r="E165" s="2"/>
      <x:c r="F165" s="2"/>
      <x:c r="G165" s="2"/>
      <x:c r="H165" s="2"/>
      <x:c r="I165" s="2"/>
    </x:row>
    <x:row r="166" ht="27" customHeight="1">
      <x:c r="A166" s="10" t="str">
        <x:v>Newton · iteración 0</x:v>
      </x:c>
      <x:c r="B166" s="10" t="str">
        <x:v>Newton · iteración 0</x:v>
      </x:c>
      <x:c r="C166" s="10" t="str">
        <x:v>Newton · iteración 0</x:v>
      </x:c>
      <x:c r="D166" s="10" t="str">
        <x:v>Newton · iteración 0</x:v>
      </x:c>
      <x:c r="E166" s="10" t="str">
        <x:v>Newton · iteración 0</x:v>
      </x:c>
      <x:c r="F166" s="10" t="str">
        <x:v>Newton · iteración 0</x:v>
      </x:c>
      <x:c r="G166" s="10" t="str">
        <x:v>Newton · iteración 0</x:v>
      </x:c>
      <x:c r="H166" s="10" t="str">
        <x:v>Newton · iteración 0</x:v>
      </x:c>
      <x:c r="I166" s="10" t="str">
        <x:v>Newton · iteración 0</x:v>
      </x:c>
    </x:row>
    <x:row r="167" ht="36" customHeight="1">
      <x:c r="A167" s="13" t="str">
        <x:v>Coeficientes</x:v>
      </x:c>
      <x:c r="B167" s="13" t="str">
        <x:v>a</x:v>
      </x:c>
      <x:c r="C167" s="13" t="str">
        <x:v>b</x:v>
      </x:c>
      <x:c r="D167" s="13" t="str">
        <x:v>c</x:v>
      </x:c>
      <x:c r="E167" s="2"/>
      <x:c r="F167" s="2"/>
      <x:c r="G167" s="2"/>
      <x:c r="H167" s="2"/>
      <x:c r="I167" s="2"/>
    </x:row>
    <x:row r="168" ht="22" customHeight="1">
      <x:c r="A168" s="2" t="str">
        <x:v>Valor</x:v>
      </x:c>
      <x:c r="B168" s="62" t="n">
        <x:f>'Datos'!B32</x:f>
        <x:v>0.05</x:v>
      </x:c>
      <x:c r="C168" s="62" t="n">
        <x:f>'Datos'!B33</x:f>
        <x:v>0.2</x:v>
      </x:c>
      <x:c r="D168" s="62" t="n">
        <x:f>'Datos'!B34</x:f>
        <x:v>0.1</x:v>
      </x:c>
      <x:c r="E168" s="30"/>
      <x:c r="F168" s="2"/>
      <x:c r="G168" s="2"/>
      <x:c r="H168" s="2"/>
      <x:c r="I168" s="2"/>
    </x:row>
    <x:row r="169" ht="36" customHeight="1">
      <x:c r="A169" s="13" t="str">
        <x:v>Vencimiento</x:v>
      </x:c>
      <x:c r="B169" s="63" t="str">
        <x:v>∂V/∂a</x:v>
      </x:c>
      <x:c r="C169" s="63" t="str">
        <x:v>∂V/∂b</x:v>
      </x:c>
      <x:c r="D169" s="63" t="str">
        <x:v>∂V/∂c</x:v>
      </x:c>
      <x:c r="E169" s="63" t="str">
        <x:v>V − V objetivo</x:v>
      </x:c>
      <x:c r="F169" s="2"/>
      <x:c r="G169" s="2"/>
      <x:c r="H169" s="2"/>
      <x:c r="I169" s="2"/>
    </x:row>
    <x:row r="170" ht="22" customHeight="1">
      <x:c r="A170" s="31" t="n">
        <x:f>'Datos'!B42</x:f>
        <x:v>1</x:v>
      </x:c>
      <x:c r="B170" s="66" t="n">
        <x:f>2*$B$168*A170^5/5+$C$168*A170^4/2+2*$D$168*A170^3/3</x:f>
        <x:v>0.18666666666666668</x:v>
      </x:c>
      <x:c r="C170" s="66" t="n">
        <x:f>$B$168*A170^4/2+2*$C$168*A170^3/3+$D$168*A170^2</x:f>
        <x:v>0.2583333333333333</x:v>
      </x:c>
      <x:c r="D170" s="66" t="n">
        <x:f>2*$B$168*A170^3/3+$C$168*A170^2+2*$D$168*A170</x:f>
        <x:v>0.43333333333333335</x:v>
      </x:c>
      <x:c r="E170" s="59" t="n">
        <x:f>($B$168^2*A170^5/5+$B$168*$C$168*A170^4/2+($C$168^2+2*$B$168*$D$168)*A170^3/3+$C$168*$D$168*A170^2+$D$168^2*A170)-F55</x:f>
        <x:v>0.00003466633675144187</x:v>
      </x:c>
      <x:c r="F170" s="2"/>
      <x:c r="G170" s="2"/>
      <x:c r="H170" s="2"/>
      <x:c r="I170" s="2"/>
    </x:row>
    <x:row r="171" ht="22" customHeight="1">
      <x:c r="A171" s="31" t="n">
        <x:f>'Datos'!B43</x:f>
        <x:v>1.25</x:v>
      </x:c>
      <x:c r="B171" s="66" t="n">
        <x:f>2*$B$168*A171^5/5+$C$168*A171^4/2+2*$D$168*A171^3/3</x:f>
        <x:v>0.43538411458333337</x:v>
      </x:c>
      <x:c r="C171" s="66" t="n">
        <x:f>$B$168*A171^4/2+2*$C$168*A171^3/3+$D$168*A171^2</x:f>
        <x:v>0.4777018229166667</x:v>
      </x:c>
      <x:c r="D171" s="66" t="n">
        <x:f>2*$B$168*A171^3/3+$C$168*A171^2+2*$D$168*A171</x:f>
        <x:v>0.6276041666666667</x:v>
      </x:c>
      <x:c r="E171" s="59" t="n">
        <x:f>($B$168^2*A171^5/5+$B$168*$C$168*A171^4/2+($C$168^2+2*$B$168*$D$168)*A171^3/3+$C$168*$D$168*A171^2+$D$168^2*A171)-F107</x:f>
        <x:v>0.00004721135728312509</x:v>
      </x:c>
      <x:c r="F171" s="2"/>
      <x:c r="G171" s="2"/>
      <x:c r="H171" s="2"/>
      <x:c r="I171" s="2"/>
    </x:row>
    <x:row r="172" ht="22" customHeight="1">
      <x:c r="A172" s="31" t="n">
        <x:f>'Datos'!B44</x:f>
        <x:v>2</x:v>
      </x:c>
      <x:c r="B172" s="66" t="n">
        <x:f>2*$B$168*A172^5/5+$C$168*A172^4/2+2*$D$168*A172^3/3</x:f>
        <x:v>2.7733333333333334</x:v>
      </x:c>
      <x:c r="C172" s="66" t="n">
        <x:f>$B$168*A172^4/2+2*$C$168*A172^3/3+$D$168*A172^2</x:f>
        <x:v>1.8666666666666667</x:v>
      </x:c>
      <x:c r="D172" s="66" t="n">
        <x:f>2*$B$168*A172^3/3+$C$168*A172^2+2*$D$168*A172</x:f>
        <x:v>1.4666666666666668</x:v>
      </x:c>
      <x:c r="E172" s="59" t="n">
        <x:f>($B$168^2*A172^5/5+$B$168*$C$168*A172^4/2+($C$168^2+2*$B$168*$D$168)*A172^3/3+$C$168*$D$168*A172^2+$D$168^2*A172)-F159</x:f>
        <x:v>0.00011173132591585366</x:v>
      </x:c>
      <x:c r="F172" s="2"/>
      <x:c r="G172" s="2"/>
      <x:c r="H172" s="2"/>
      <x:c r="I172" s="2"/>
    </x:row>
    <x:row r="173" ht="22" customHeight="1">
      <x:c r="A173" s="2"/>
      <x:c r="B173" s="30"/>
      <x:c r="C173" s="30"/>
      <x:c r="D173" s="30"/>
      <x:c r="E173" s="30"/>
      <x:c r="F173" s="2"/>
      <x:c r="G173" s="2"/>
      <x:c r="H173" s="2"/>
      <x:c r="I173" s="2"/>
    </x:row>
    <x:row r="174" ht="22" customHeight="1">
      <x:c r="A174" s="2" t="str">
        <x:v>det(J) / Δa, Δb, Δc</x:v>
      </x:c>
      <x:c r="B174" s="59" t="n">
        <x:f>(B170*(C171*D172-D171*C172)-C170*(B171*D172-D171*B172)+D170*(B171*C172-C171*B172))</x:f>
        <x:v>-0.025133789062500023</x:v>
      </x:c>
      <x:c r="C174" s="59" t="n">
        <x:f>(E170*(C171*D172-D171*C172)-C170*(E171*D172-D171*E172)+D170*(E171*C172-C171*E172))/B174</x:f>
        <x:v>0.00004126577178665355</x:v>
      </x:c>
      <x:c r="D174" s="59" t="n">
        <x:f>(B170*(E171*D172-D171*E172)-E170*(B171*D172-D171*B172)+D170*(B171*E172-E171*B172))/B174</x:f>
        <x:v>-0.0000947016020695953</x:v>
      </x:c>
      <x:c r="E174" s="59" t="n">
        <x:f>(B170*(C171*E172-E171*C172)-C170*(B171*E172-E171*B172)+E170*(B171*C172-C171*B172))/B174</x:f>
        <x:v>0.00011867993819825851</x:v>
      </x:c>
      <x:c r="F174" s="2"/>
      <x:c r="G174" s="2"/>
      <x:c r="H174" s="2"/>
      <x:c r="I174" s="2"/>
    </x:row>
    <x:row r="175" ht="22" customHeight="1">
      <x:c r="A175" s="2"/>
      <x:c r="B175" s="2"/>
      <x:c r="C175" s="2"/>
      <x:c r="D175" s="2"/>
      <x:c r="E175" s="2"/>
      <x:c r="F175" s="2"/>
      <x:c r="G175" s="2"/>
      <x:c r="H175" s="2"/>
      <x:c r="I175" s="2"/>
    </x:row>
    <x:row r="176" ht="27" customHeight="1">
      <x:c r="A176" s="10" t="str">
        <x:v>Newton · iteración 1</x:v>
      </x:c>
      <x:c r="B176" s="10" t="str">
        <x:v>Newton · iteración 1</x:v>
      </x:c>
      <x:c r="C176" s="10" t="str">
        <x:v>Newton · iteración 1</x:v>
      </x:c>
      <x:c r="D176" s="10" t="str">
        <x:v>Newton · iteración 1</x:v>
      </x:c>
      <x:c r="E176" s="10" t="str">
        <x:v>Newton · iteración 1</x:v>
      </x:c>
      <x:c r="F176" s="10" t="str">
        <x:v>Newton · iteración 1</x:v>
      </x:c>
      <x:c r="G176" s="10" t="str">
        <x:v>Newton · iteración 1</x:v>
      </x:c>
      <x:c r="H176" s="10" t="str">
        <x:v>Newton · iteración 1</x:v>
      </x:c>
      <x:c r="I176" s="10" t="str">
        <x:v>Newton · iteración 1</x:v>
      </x:c>
    </x:row>
    <x:row r="177" ht="36" customHeight="1">
      <x:c r="A177" s="13" t="str">
        <x:v>Coeficientes</x:v>
      </x:c>
      <x:c r="B177" s="13" t="str">
        <x:v>a</x:v>
      </x:c>
      <x:c r="C177" s="13" t="str">
        <x:v>b</x:v>
      </x:c>
      <x:c r="D177" s="13" t="str">
        <x:v>c</x:v>
      </x:c>
      <x:c r="E177" s="2"/>
      <x:c r="F177" s="2"/>
      <x:c r="G177" s="2"/>
      <x:c r="H177" s="2"/>
      <x:c r="I177" s="2"/>
    </x:row>
    <x:row r="178" ht="22" customHeight="1">
      <x:c r="A178" s="2" t="str">
        <x:v>Valor</x:v>
      </x:c>
      <x:c r="B178" s="64" t="n">
        <x:f>B168-C174</x:f>
        <x:v>0.04995873422821335</x:v>
      </x:c>
      <x:c r="C178" s="64" t="n">
        <x:f>C168-D174</x:f>
        <x:v>0.2000947016020696</x:v>
      </x:c>
      <x:c r="D178" s="64" t="n">
        <x:f>D168-E174</x:f>
        <x:v>0.09988132006180175</x:v>
      </x:c>
      <x:c r="E178" s="30"/>
      <x:c r="F178" s="2"/>
      <x:c r="G178" s="2"/>
      <x:c r="H178" s="2"/>
      <x:c r="I178" s="2"/>
    </x:row>
    <x:row r="179" ht="36" customHeight="1">
      <x:c r="A179" s="13" t="str">
        <x:v>Vencimiento</x:v>
      </x:c>
      <x:c r="B179" s="63" t="str">
        <x:v>∂V/∂a</x:v>
      </x:c>
      <x:c r="C179" s="63" t="str">
        <x:v>∂V/∂b</x:v>
      </x:c>
      <x:c r="D179" s="63" t="str">
        <x:v>∂V/∂c</x:v>
      </x:c>
      <x:c r="E179" s="63" t="str">
        <x:v>V − V objetivo</x:v>
      </x:c>
      <x:c r="F179" s="2"/>
      <x:c r="G179" s="2"/>
      <x:c r="H179" s="2"/>
      <x:c r="I179" s="2"/>
    </x:row>
    <x:row r="180" ht="22" customHeight="1">
      <x:c r="A180" s="31" t="n">
        <x:f>'Datos'!B42</x:f>
        <x:v>1</x:v>
      </x:c>
      <x:c r="B180" s="66" t="n">
        <x:f>2*$B$178*A180^5/5+$C$178*A180^4/2+2*$D$178*A180^3/3</x:f>
        <x:v>0.18661839120018797</x:v>
      </x:c>
      <x:c r="C180" s="66" t="n">
        <x:f>$B$178*A180^4/2+2*$C$178*A180^3/3+$D$178*A180^2</x:f>
        <x:v>0.2582571549106215</x:v>
      </x:c>
      <x:c r="D180" s="66" t="n">
        <x:f>2*$B$178*A180^3/3+$C$178*A180^2+2*$D$178*A180</x:f>
        <x:v>0.433163164544482</x:v>
      </x:c>
      <x:c r="E180" s="59" t="n">
        <x:f>($B$178^2*A180^5/5+$B$178*$C$178*A180^4/2+($C$178^2+2*$B$178*$D$178)*A180^3/3+$C$178*$D$178*A180^2+$D$178^2*A180)-F55</x:f>
        <x:v>7.486763528574691e-9</x:v>
      </x:c>
      <x:c r="F180" s="2"/>
      <x:c r="G180" s="2"/>
      <x:c r="H180" s="2"/>
      <x:c r="I180" s="2"/>
    </x:row>
    <x:row r="181" ht="22" customHeight="1">
      <x:c r="A181" s="31" t="n">
        <x:f>'Datos'!B43</x:f>
        <x:v>1.25</x:v>
      </x:c>
      <x:c r="B181" s="66" t="n">
        <x:f>2*$B$178*A181^5/5+$C$178*A181^4/2+2*$D$178*A181^3/3</x:f>
        <x:v>0.43529481269881776</x:v>
      </x:c>
      <x:c r="C181" s="66" t="n">
        <x:f>$B$178*A181^4/2+2*$C$178*A181^3/3+$D$178*A181^2</x:f>
        <x:v>0.4775893216343512</x:v>
      </x:c>
      <x:c r="D181" s="66" t="n">
        <x:f>2*$B$178*A181^3/3+$C$178*A181^2+2*$D$178*A181</x:f>
        <x:v>0.6274017066007243</x:v>
      </x:c>
      <x:c r="E181" s="59" t="n">
        <x:f>($B$178^2*A181^5/5+$B$178*$C$178*A181^4/2+($C$178^2+2*$B$178*$D$178)*A181^3/3+$C$178*$D$178*A181^2+$D$178^2*A181)-F107</x:f>
        <x:v>8.529503825460694e-9</x:v>
      </x:c>
      <x:c r="F181" s="2"/>
      <x:c r="G181" s="2"/>
      <x:c r="H181" s="2"/>
      <x:c r="I181" s="2"/>
    </x:row>
    <x:row r="182" ht="22" customHeight="1">
      <x:c r="A182" s="31" t="n">
        <x:f>'Datos'!B44</x:f>
        <x:v>2</x:v>
      </x:c>
      <x:c r="B182" s="66" t="n">
        <x:f>2*$B$178*A182^5/5+$C$178*A182^4/2+2*$D$178*A182^3/3</x:f>
        <x:v>2.77292978460063</x:v>
      </x:c>
      <x:c r="C182" s="66" t="n">
        <x:f>$B$178*A182^4/2+2*$C$178*A182^3/3+$D$178*A182^2</x:f>
        <x:v>1.8663668959506183</x:v>
      </x:c>
      <x:c r="D182" s="66" t="n">
        <x:f>2*$B$178*A182^3/3+$C$178*A182^2+2*$D$178*A182</x:f>
        <x:v>1.4663506692059567</x:v>
      </x:c>
      <x:c r="E182" s="59" t="n">
        <x:f>($B$178^2*A182^5/5+$B$178*$C$178*A182^4/2+($C$178^2+2*$B$178*$D$178)*A182^3/3+$C$178*$D$178*A182^2+$D$178^2*A182)-F159</x:f>
        <x:v>1.2883270894548104e-8</x:v>
      </x:c>
      <x:c r="F182" s="2"/>
      <x:c r="G182" s="2"/>
      <x:c r="H182" s="2"/>
      <x:c r="I182" s="2"/>
    </x:row>
    <x:row r="183" ht="22" customHeight="1">
      <x:c r="A183" s="2"/>
      <x:c r="B183" s="30"/>
      <x:c r="C183" s="30"/>
      <x:c r="D183" s="30"/>
      <x:c r="E183" s="30"/>
      <x:c r="F183" s="2"/>
      <x:c r="G183" s="2"/>
      <x:c r="H183" s="2"/>
      <x:c r="I183" s="2"/>
    </x:row>
    <x:row r="184" ht="22" customHeight="1">
      <x:c r="A184" s="2" t="str">
        <x:v>det(J) / Δa, Δb, Δc</x:v>
      </x:c>
      <x:c r="B184" s="59" t="n">
        <x:f>(B180*(C181*D182-D181*C182)-C180*(B181*D182-D181*B182)+D180*(B181*C182-C181*B182))</x:f>
        <x:v>-0.02511233336007876</x:v>
      </x:c>
      <x:c r="C184" s="59" t="n">
        <x:f>(E180*(C181*D182-D181*C182)-C180*(E181*D182-D181*E182)+D180*(E181*C182-C181*E182))/B184</x:f>
        <x:v>1.735562526532086e-8</x:v>
      </x:c>
      <x:c r="D184" s="59" t="n">
        <x:f>(B180*(E181*D182-D181*E182)-E180*(B181*D182-D181*B182)+D180*(B181*E182-E181*B182))/B184</x:f>
        <x:v>-5.001726233533539e-8</x:v>
      </x:c>
      <x:c r="E184" s="59" t="n">
        <x:f>(B180*(C181*E182-E181*C182)-C180*(B181*E182-E181*B182)+E180*(B181*C182-C181*B182))/B184</x:f>
        <x:v>3.962756285724374e-8</x:v>
      </x:c>
      <x:c r="F184" s="2"/>
      <x:c r="G184" s="2"/>
      <x:c r="H184" s="2"/>
      <x:c r="I184" s="2"/>
    </x:row>
    <x:row r="185" ht="22" customHeight="1">
      <x:c r="A185" s="2"/>
      <x:c r="B185" s="2"/>
      <x:c r="C185" s="2"/>
      <x:c r="D185" s="2"/>
      <x:c r="E185" s="2"/>
      <x:c r="F185" s="2"/>
      <x:c r="G185" s="2"/>
      <x:c r="H185" s="2"/>
      <x:c r="I185" s="2"/>
    </x:row>
    <x:row r="186" ht="27" customHeight="1">
      <x:c r="A186" s="10" t="str">
        <x:v>Newton · iteración 2</x:v>
      </x:c>
      <x:c r="B186" s="10" t="str">
        <x:v>Newton · iteración 2</x:v>
      </x:c>
      <x:c r="C186" s="10" t="str">
        <x:v>Newton · iteración 2</x:v>
      </x:c>
      <x:c r="D186" s="10" t="str">
        <x:v>Newton · iteración 2</x:v>
      </x:c>
      <x:c r="E186" s="10" t="str">
        <x:v>Newton · iteración 2</x:v>
      </x:c>
      <x:c r="F186" s="10" t="str">
        <x:v>Newton · iteración 2</x:v>
      </x:c>
      <x:c r="G186" s="10" t="str">
        <x:v>Newton · iteración 2</x:v>
      </x:c>
      <x:c r="H186" s="10" t="str">
        <x:v>Newton · iteración 2</x:v>
      </x:c>
      <x:c r="I186" s="10" t="str">
        <x:v>Newton · iteración 2</x:v>
      </x:c>
    </x:row>
    <x:row r="187" ht="36" customHeight="1">
      <x:c r="A187" s="13" t="str">
        <x:v>Coeficientes</x:v>
      </x:c>
      <x:c r="B187" s="13" t="str">
        <x:v>a</x:v>
      </x:c>
      <x:c r="C187" s="13" t="str">
        <x:v>b</x:v>
      </x:c>
      <x:c r="D187" s="13" t="str">
        <x:v>c</x:v>
      </x:c>
      <x:c r="E187" s="2"/>
      <x:c r="F187" s="2"/>
      <x:c r="G187" s="2"/>
      <x:c r="H187" s="2"/>
      <x:c r="I187" s="2"/>
    </x:row>
    <x:row r="188" ht="22" customHeight="1">
      <x:c r="A188" s="2" t="str">
        <x:v>Valor</x:v>
      </x:c>
      <x:c r="B188" s="64" t="n">
        <x:f>B178-C184</x:f>
        <x:v>0.049958716872588085</x:v>
      </x:c>
      <x:c r="C188" s="64" t="n">
        <x:f>C178-D184</x:f>
        <x:v>0.20009475161933193</x:v>
      </x:c>
      <x:c r="D188" s="64" t="n">
        <x:f>D178-E184</x:f>
        <x:v>0.0998812804342389</x:v>
      </x:c>
      <x:c r="E188" s="30"/>
      <x:c r="F188" s="2"/>
      <x:c r="G188" s="2"/>
      <x:c r="H188" s="2"/>
      <x:c r="I188" s="2"/>
    </x:row>
    <x:row r="189" ht="36" customHeight="1">
      <x:c r="A189" s="13" t="str">
        <x:v>Vencimiento</x:v>
      </x:c>
      <x:c r="B189" s="63" t="str">
        <x:v>∂V/∂a</x:v>
      </x:c>
      <x:c r="C189" s="63" t="str">
        <x:v>∂V/∂b</x:v>
      </x:c>
      <x:c r="D189" s="63" t="str">
        <x:v>∂V/∂c</x:v>
      </x:c>
      <x:c r="E189" s="63" t="str">
        <x:v>V − V objetivo</x:v>
      </x:c>
      <x:c r="F189" s="2"/>
      <x:c r="G189" s="2"/>
      <x:c r="H189" s="2"/>
      <x:c r="I189" s="2"/>
    </x:row>
    <x:row r="190" ht="22" customHeight="1">
      <x:c r="A190" s="31" t="n">
        <x:f>'Datos'!B42</x:f>
        <x:v>1</x:v>
      </x:c>
      <x:c r="B190" s="66" t="n">
        <x:f>2*$B$188*A190^5/5+$C$188*A190^4/2+2*$D$188*A190^3/3</x:f>
        <x:v>0.1866183828481938</x:v>
      </x:c>
      <x:c r="C190" s="66" t="n">
        <x:f>$B$188*A190^4/2+2*$C$188*A190^3/3+$D$188*A190^2</x:f>
        <x:v>0.25825713995008753</x:v>
      </x:c>
      <x:c r="D190" s="66" t="n">
        <x:f>2*$B$188*A190^3/3+$C$188*A190^2+2*$D$188*A190</x:f>
        <x:v>0.4331631237362018</x:v>
      </x:c>
      <x:c r="E190" s="59" t="n">
        <x:f>($B$188^2*A190^5/5+$B$188*$C$188*A190^4/2+($C$188^2+2*$B$188*$D$188)*A190^3/3+$C$188*$D$188*A190^2+$D$188^2*A190)-F55</x:f>
        <x:v>4.996003610813204e-16</x:v>
      </x:c>
      <x:c r="F190" s="2"/>
      <x:c r="G190" s="2"/>
      <x:c r="H190" s="2"/>
      <x:c r="I190" s="2"/>
    </x:row>
    <x:row r="191" ht="22" customHeight="1">
      <x:c r="A191" s="31" t="n">
        <x:f>'Datos'!B43</x:f>
        <x:v>1.25</x:v>
      </x:c>
      <x:c r="B191" s="66" t="n">
        <x:f>2*$B$188*A191^5/5+$C$188*A191^4/2+2*$D$188*A191^3/3</x:f>
        <x:v>0.43529480097059103</x:v>
      </x:c>
      <x:c r="C191" s="66" t="n">
        <x:f>$B$188*A191^4/2+2*$C$188*A191^3/3+$D$188*A191^2</x:f>
        <x:v>0.4775893036568619</x:v>
      </x:c>
      <x:c r="D191" s="66" t="n">
        <x:f>2*$B$188*A191^3/3+$C$188*A191^2+2*$D$188*A191</x:f>
        <x:v>0.6274016630853191</x:v>
      </x:c>
      <x:c r="E191" s="59" t="n">
        <x:f>($B$188^2*A191^5/5+$B$188*$C$188*A191^4/2+($C$188^2+2*$B$188*$D$188)*A191^3/3+$C$188*$D$188*A191^2+$D$188^2*A191)-F107</x:f>
        <x:v>5.134781488891349e-16</x:v>
      </x:c>
      <x:c r="F191" s="2"/>
      <x:c r="G191" s="2"/>
      <x:c r="H191" s="2"/>
      <x:c r="I191" s="2"/>
    </x:row>
    <x:row r="192" ht="22" customHeight="1">
      <x:c r="A192" s="31" t="n">
        <x:f>'Datos'!B44</x:f>
        <x:v>2</x:v>
      </x:c>
      <x:c r="B192" s="66" t="n">
        <x:f>2*$B$188*A192^5/5+$C$188*A192^4/2+2*$D$188*A192^3/3</x:f>
        <x:v>2.7729297512397237</x:v>
      </x:c>
      <x:c r="C192" s="66" t="n">
        <x:f>$B$188*A192^4/2+2*$C$188*A192^3/3+$D$188*A192^2</x:f>
        <x:v>1.8663668653540972</x:v>
      </x:c>
      <x:c r="D192" s="66" t="n">
        <x:f>2*$B$188*A192^3/3+$C$188*A192^2+2*$D$188*A192</x:f>
        <x:v>1.4663506182014197</x:v>
      </x:c>
      <x:c r="E192" s="59" t="n">
        <x:f>($B$188^2*A192^5/5+$B$188*$C$188*A192^4/2+($C$188^2+2*$B$188*$D$188)*A192^3/3+$C$188*$D$188*A192^2+$D$188^2*A192)-F159</x:f>
        <x:v>5.551115123125783e-16</x:v>
      </x:c>
      <x:c r="F192" s="2"/>
      <x:c r="G192" s="2"/>
      <x:c r="H192" s="2"/>
      <x:c r="I192" s="2"/>
    </x:row>
    <x:row r="193" ht="22" customHeight="1">
      <x:c r="A193" s="2"/>
      <x:c r="B193" s="30"/>
      <x:c r="C193" s="30"/>
      <x:c r="D193" s="30"/>
      <x:c r="E193" s="30"/>
      <x:c r="F193" s="2"/>
      <x:c r="G193" s="2"/>
      <x:c r="H193" s="2"/>
      <x:c r="I193" s="2"/>
    </x:row>
    <x:row r="194" ht="22" customHeight="1">
      <x:c r="A194" s="2" t="str">
        <x:v>det(J) / Δa, Δb, Δc</x:v>
      </x:c>
      <x:c r="B194" s="59" t="n">
        <x:f>(B190*(C191*D192-D191*C192)-C190*(B191*D192-D191*B192)+D190*(B191*C192-C191*B192))</x:f>
        <x:v>-0.025112328892996583</x:v>
      </x:c>
      <x:c r="C194" s="59" t="n">
        <x:f>(E190*(C191*D192-D191*C192)-C190*(E191*D192-D191*E192)+D190*(E191*C192-C191*E192))/B194</x:f>
        <x:v>1.5675138208829213e-15</x:v>
      </x:c>
      <x:c r="D194" s="59" t="n">
        <x:f>(B190*(E191*D192-D191*E192)-E190*(B191*D192-D191*B192)+D190*(B191*E192-E191*B192))/B194</x:f>
        <x:v>-4.528206781017744e-15</x:v>
      </x:c>
      <x:c r="E194" s="59" t="n">
        <x:f>(B190*(C191*E192-E191*C192)-C190*(B191*E192-E191*B192)+E190*(B191*C192-C191*B192))/B194</x:f>
        <x:v>3.1778217573813937e-15</x:v>
      </x:c>
      <x:c r="F194" s="2"/>
      <x:c r="G194" s="2"/>
      <x:c r="H194" s="2"/>
      <x:c r="I194" s="2"/>
    </x:row>
    <x:row r="195" ht="22" customHeight="1">
      <x:c r="A195" s="2"/>
      <x:c r="B195" s="2"/>
      <x:c r="C195" s="2"/>
      <x:c r="D195" s="2"/>
      <x:c r="E195" s="2"/>
      <x:c r="F195" s="2"/>
      <x:c r="G195" s="2"/>
      <x:c r="H195" s="2"/>
      <x:c r="I195" s="2"/>
    </x:row>
    <x:row r="196" ht="27" customHeight="1">
      <x:c r="A196" s="10" t="str">
        <x:v>Newton · iteración 3</x:v>
      </x:c>
      <x:c r="B196" s="10" t="str">
        <x:v>Newton · iteración 3</x:v>
      </x:c>
      <x:c r="C196" s="10" t="str">
        <x:v>Newton · iteración 3</x:v>
      </x:c>
      <x:c r="D196" s="10" t="str">
        <x:v>Newton · iteración 3</x:v>
      </x:c>
      <x:c r="E196" s="10" t="str">
        <x:v>Newton · iteración 3</x:v>
      </x:c>
      <x:c r="F196" s="10" t="str">
        <x:v>Newton · iteración 3</x:v>
      </x:c>
      <x:c r="G196" s="10" t="str">
        <x:v>Newton · iteración 3</x:v>
      </x:c>
      <x:c r="H196" s="10" t="str">
        <x:v>Newton · iteración 3</x:v>
      </x:c>
      <x:c r="I196" s="10" t="str">
        <x:v>Newton · iteración 3</x:v>
      </x:c>
    </x:row>
    <x:row r="197" ht="36" customHeight="1">
      <x:c r="A197" s="13" t="str">
        <x:v>Coeficientes</x:v>
      </x:c>
      <x:c r="B197" s="13" t="str">
        <x:v>a</x:v>
      </x:c>
      <x:c r="C197" s="13" t="str">
        <x:v>b</x:v>
      </x:c>
      <x:c r="D197" s="13" t="str">
        <x:v>c</x:v>
      </x:c>
      <x:c r="E197" s="2"/>
      <x:c r="F197" s="2"/>
      <x:c r="G197" s="2"/>
      <x:c r="H197" s="2"/>
      <x:c r="I197" s="2"/>
    </x:row>
    <x:row r="198" ht="22" customHeight="1">
      <x:c r="A198" s="2" t="str">
        <x:v>Valor</x:v>
      </x:c>
      <x:c r="B198" s="64" t="n">
        <x:f>B188-C194</x:f>
        <x:v>0.04995871687258652</x:v>
      </x:c>
      <x:c r="C198" s="64" t="n">
        <x:f>C188-D194</x:f>
        <x:v>0.20009475161933646</x:v>
      </x:c>
      <x:c r="D198" s="64" t="n">
        <x:f>D188-E194</x:f>
        <x:v>0.09988128043423572</x:v>
      </x:c>
      <x:c r="E198" s="30"/>
      <x:c r="F198" s="2"/>
      <x:c r="G198" s="2"/>
      <x:c r="H198" s="2"/>
      <x:c r="I198" s="2"/>
    </x:row>
    <x:row r="199" ht="36" customHeight="1">
      <x:c r="A199" s="13" t="str">
        <x:v>Vencimiento</x:v>
      </x:c>
      <x:c r="B199" s="63" t="str">
        <x:v>∂V/∂a</x:v>
      </x:c>
      <x:c r="C199" s="63" t="str">
        <x:v>∂V/∂b</x:v>
      </x:c>
      <x:c r="D199" s="63" t="str">
        <x:v>∂V/∂c</x:v>
      </x:c>
      <x:c r="E199" s="63" t="str">
        <x:v>V − V objetivo</x:v>
      </x:c>
      <x:c r="F199" s="2"/>
      <x:c r="G199" s="2"/>
      <x:c r="H199" s="2"/>
      <x:c r="I199" s="2"/>
    </x:row>
    <x:row r="200" ht="22" customHeight="1">
      <x:c r="A200" s="31" t="n">
        <x:f>'Datos'!B42</x:f>
        <x:v>1</x:v>
      </x:c>
      <x:c r="B200" s="66" t="n">
        <x:f>2*$B$198*A200^5/5+$C$198*A200^4/2+2*$D$198*A200^3/3</x:f>
        <x:v>0.18661838284819332</x:v>
      </x:c>
      <x:c r="C200" s="66" t="n">
        <x:f>$B$198*A200^4/2+2*$C$198*A200^3/3+$D$198*A200^2</x:f>
        <x:v>0.2582571399500866</x:v>
      </x:c>
      <x:c r="D200" s="66" t="n">
        <x:f>2*$B$198*A200^3/3+$C$198*A200^2+2*$D$198*A200</x:f>
        <x:v>0.4331631237361989</x:v>
      </x:c>
      <x:c r="E200" s="59" t="n">
        <x:f>($B$198^2*A200^5/5+$B$198*$C$198*A200^4/2+($C$198^2+2*$B$198*$D$198)*A200^3/3+$C$198*$D$198*A200^2+$D$198^2*A200)-F55</x:f>
        <x:v>0</x:v>
      </x:c>
      <x:c r="F200" s="2"/>
      <x:c r="G200" s="2"/>
      <x:c r="H200" s="2"/>
      <x:c r="I200" s="2"/>
    </x:row>
    <x:row r="201" ht="22" customHeight="1">
      <x:c r="A201" s="31" t="n">
        <x:f>'Datos'!B43</x:f>
        <x:v>1.25</x:v>
      </x:c>
      <x:c r="B201" s="66" t="n">
        <x:f>2*$B$198*A201^5/5+$C$198*A201^4/2+2*$D$198*A201^3/3</x:f>
        <x:v>0.4352948009705905</x:v>
      </x:c>
      <x:c r="C201" s="66" t="n">
        <x:f>$B$198*A201^4/2+2*$C$198*A201^3/3+$D$198*A201^2</x:f>
        <x:v>0.47758930365686086</x:v>
      </x:c>
      <x:c r="D201" s="66" t="n">
        <x:f>2*$B$198*A201^3/3+$C$198*A201^2+2*$D$198*A201</x:f>
        <x:v>0.6274016630853162</x:v>
      </x:c>
      <x:c r="E201" s="59" t="n">
        <x:f>($B$198^2*A201^5/5+$B$198*$C$198*A201^4/2+($C$198^2+2*$B$198*$D$198)*A201^3/3+$C$198*$D$198*A201^2+$D$198^2*A201)-F107</x:f>
        <x:v>-2.7755575615628914e-17</x:v>
      </x:c>
      <x:c r="F201" s="2"/>
      <x:c r="G201" s="2"/>
      <x:c r="H201" s="2"/>
      <x:c r="I201" s="2"/>
    </x:row>
    <x:row r="202" ht="22" customHeight="1">
      <x:c r="A202" s="31" t="n">
        <x:f>'Datos'!B44</x:f>
        <x:v>2</x:v>
      </x:c>
      <x:c r="B202" s="66" t="n">
        <x:f>2*$B$198*A202^5/5+$C$198*A202^4/2+2*$D$198*A202^3/3</x:f>
        <x:v>2.772929751239723</x:v>
      </x:c>
      <x:c r="C202" s="66" t="n">
        <x:f>$B$198*A202^4/2+2*$C$198*A202^3/3+$D$198*A202^2</x:f>
        <x:v>1.8663668653540961</x:v>
      </x:c>
      <x:c r="D202" s="66" t="n">
        <x:f>2*$B$198*A202^3/3+$C$198*A202^2+2*$D$198*A202</x:f>
        <x:v>1.4663506182014168</x:v>
      </x:c>
      <x:c r="E202" s="59" t="n">
        <x:f>($B$198^2*A202^5/5+$B$198*$C$198*A202^4/2+($C$198^2+2*$B$198*$D$198)*A202^3/3+$C$198*$D$198*A202^2+$D$198^2*A202)-F159</x:f>
        <x:v>0</x:v>
      </x:c>
      <x:c r="F202" s="2"/>
      <x:c r="G202" s="2"/>
      <x:c r="H202" s="2"/>
      <x:c r="I202" s="2"/>
    </x:row>
    <x:row r="203" ht="22" customHeight="1">
      <x:c r="A203" s="2"/>
      <x:c r="B203" s="30"/>
      <x:c r="C203" s="30"/>
      <x:c r="D203" s="30"/>
      <x:c r="E203" s="30"/>
      <x:c r="F203" s="2"/>
      <x:c r="G203" s="2"/>
      <x:c r="H203" s="2"/>
      <x:c r="I203" s="2"/>
    </x:row>
    <x:row r="204" ht="22" customHeight="1">
      <x:c r="A204" s="2" t="str">
        <x:v>det(J) / Δa, Δb, Δc</x:v>
      </x:c>
      <x:c r="B204" s="59" t="n">
        <x:f>(B200*(C201*D202-D201*C202)-C200*(B201*D202-D201*B202)+D200*(B201*C202-C201*B202))</x:f>
        <x:v>-0.025112328892996194</x:v>
      </x:c>
      <x:c r="C204" s="59" t="n">
        <x:f>(E200*(C201*D202-D201*C202)-C200*(E201*D202-D201*E202)+D200*(E201*C202-C201*E202))/B204</x:f>
        <x:v>4.749795079209949e-16</x:v>
      </x:c>
      <x:c r="D204" s="59" t="n">
        <x:f>(B200*(E201*D202-D201*E202)-E200*(B201*D202-D201*B202)+D200*(B201*E202-E201*B202))/B204</x:f>
        <x:v>-1.0251069408174695e-15</x:v>
      </x:c>
      <x:c r="E204" s="59" t="n">
        <x:f>(B200*(C201*E202-E201*C202)-C200*(B201*E202-E201*B202)+E200*(B201*C202-C201*B202))/B204</x:f>
        <x:v>4.065472552356587e-16</x:v>
      </x:c>
      <x:c r="F204" s="2"/>
      <x:c r="G204" s="2"/>
      <x:c r="H204" s="2"/>
      <x:c r="I204" s="2"/>
    </x:row>
    <x:row r="205" ht="22" customHeight="1">
      <x:c r="A205" s="2"/>
      <x:c r="B205" s="2"/>
      <x:c r="C205" s="2"/>
      <x:c r="D205" s="2"/>
      <x:c r="E205" s="2"/>
      <x:c r="F205" s="2"/>
      <x:c r="G205" s="2"/>
      <x:c r="H205" s="2"/>
      <x:c r="I205" s="2"/>
    </x:row>
    <x:row r="206" ht="27" customHeight="1">
      <x:c r="A206" s="10" t="str">
        <x:v>Newton · iteración 4</x:v>
      </x:c>
      <x:c r="B206" s="10" t="str">
        <x:v>Newton · iteración 4</x:v>
      </x:c>
      <x:c r="C206" s="10" t="str">
        <x:v>Newton · iteración 4</x:v>
      </x:c>
      <x:c r="D206" s="10" t="str">
        <x:v>Newton · iteración 4</x:v>
      </x:c>
      <x:c r="E206" s="10" t="str">
        <x:v>Newton · iteración 4</x:v>
      </x:c>
      <x:c r="F206" s="10" t="str">
        <x:v>Newton · iteración 4</x:v>
      </x:c>
      <x:c r="G206" s="10" t="str">
        <x:v>Newton · iteración 4</x:v>
      </x:c>
      <x:c r="H206" s="10" t="str">
        <x:v>Newton · iteración 4</x:v>
      </x:c>
      <x:c r="I206" s="10" t="str">
        <x:v>Newton · iteración 4</x:v>
      </x:c>
    </x:row>
    <x:row r="207" ht="36" customHeight="1">
      <x:c r="A207" s="13" t="str">
        <x:v>Coeficientes</x:v>
      </x:c>
      <x:c r="B207" s="13" t="str">
        <x:v>a</x:v>
      </x:c>
      <x:c r="C207" s="13" t="str">
        <x:v>b</x:v>
      </x:c>
      <x:c r="D207" s="13" t="str">
        <x:v>c</x:v>
      </x:c>
      <x:c r="E207" s="2"/>
      <x:c r="F207" s="2"/>
      <x:c r="G207" s="2"/>
      <x:c r="H207" s="2"/>
      <x:c r="I207" s="2"/>
    </x:row>
    <x:row r="208" ht="22" customHeight="1">
      <x:c r="A208" s="2" t="str">
        <x:v>Valor</x:v>
      </x:c>
      <x:c r="B208" s="64" t="n">
        <x:f>B198-C204</x:f>
        <x:v>0.049958716872586045</x:v>
      </x:c>
      <x:c r="C208" s="64" t="n">
        <x:f>C198-D204</x:f>
        <x:v>0.20009475161933749</x:v>
      </x:c>
      <x:c r="D208" s="64" t="n">
        <x:f>D198-E204</x:f>
        <x:v>0.09988128043423532</x:v>
      </x:c>
      <x:c r="E208" s="30"/>
      <x:c r="F208" s="2"/>
      <x:c r="G208" s="2"/>
      <x:c r="H208" s="2"/>
      <x:c r="I208" s="2"/>
    </x:row>
    <x:row r="209" ht="36" customHeight="1">
      <x:c r="A209" s="13" t="str">
        <x:v>Vencimiento</x:v>
      </x:c>
      <x:c r="B209" s="63" t="str">
        <x:v>∂V/∂a</x:v>
      </x:c>
      <x:c r="C209" s="63" t="str">
        <x:v>∂V/∂b</x:v>
      </x:c>
      <x:c r="D209" s="63" t="str">
        <x:v>∂V/∂c</x:v>
      </x:c>
      <x:c r="E209" s="63" t="str">
        <x:v>V − V objetivo</x:v>
      </x:c>
      <x:c r="F209" s="2"/>
      <x:c r="G209" s="2"/>
      <x:c r="H209" s="2"/>
      <x:c r="I209" s="2"/>
    </x:row>
    <x:row r="210" ht="22" customHeight="1">
      <x:c r="A210" s="31" t="n">
        <x:f>'Datos'!B42</x:f>
        <x:v>1</x:v>
      </x:c>
      <x:c r="B210" s="66" t="n">
        <x:f>2*$B$208*A210^5/5+$C$208*A210^4/2+2*$D$208*A210^3/3</x:f>
        <x:v>0.18661838284819338</x:v>
      </x:c>
      <x:c r="C210" s="66" t="n">
        <x:f>$B$208*A210^4/2+2*$C$208*A210^3/3+$D$208*A210^2</x:f>
        <x:v>0.2582571399500867</x:v>
      </x:c>
      <x:c r="D210" s="66" t="n">
        <x:f>2*$B$208*A210^3/3+$C$208*A210^2+2*$D$208*A210</x:f>
        <x:v>0.4331631237361988</x:v>
      </x:c>
      <x:c r="E210" s="59" t="n">
        <x:f>($B$208^2*A210^5/5+$B$208*$C$208*A210^4/2+($C$208^2+2*$B$208*$D$208)*A210^3/3+$C$208*$D$208*A210^2+$D$208^2*A210)-F55</x:f>
        <x:v>6.938893903907228e-18</x:v>
      </x:c>
      <x:c r="F210" s="2"/>
      <x:c r="G210" s="2"/>
      <x:c r="H210" s="2"/>
      <x:c r="I210" s="2"/>
    </x:row>
    <x:row r="211" ht="22" customHeight="1">
      <x:c r="A211" s="31" t="n">
        <x:f>'Datos'!B43</x:f>
        <x:v>1.25</x:v>
      </x:c>
      <x:c r="B211" s="66" t="n">
        <x:f>2*$B$208*A211^5/5+$C$208*A211^4/2+2*$D$208*A211^3/3</x:f>
        <x:v>0.4352948009705907</x:v>
      </x:c>
      <x:c r="C211" s="66" t="n">
        <x:f>$B$208*A211^4/2+2*$C$208*A211^3/3+$D$208*A211^2</x:f>
        <x:v>0.47758930365686103</x:v>
      </x:c>
      <x:c r="D211" s="66" t="n">
        <x:f>2*$B$208*A211^3/3+$C$208*A211^2+2*$D$208*A211</x:f>
        <x:v>0.6274016630853162</x:v>
      </x:c>
      <x:c r="E211" s="59" t="n">
        <x:f>($B$208^2*A211^5/5+$B$208*$C$208*A211^4/2+($C$208^2+2*$B$208*$D$208)*A211^3/3+$C$208*$D$208*A211^2+$D$208^2*A211)-F107</x:f>
        <x:v>2.7755575615628914e-17</x:v>
      </x:c>
      <x:c r="F211" s="2"/>
      <x:c r="G211" s="2"/>
      <x:c r="H211" s="2"/>
      <x:c r="I211" s="2"/>
    </x:row>
    <x:row r="212" ht="22" customHeight="1">
      <x:c r="A212" s="31" t="n">
        <x:f>'Datos'!B44</x:f>
        <x:v>2</x:v>
      </x:c>
      <x:c r="B212" s="66" t="n">
        <x:f>2*$B$208*A212^5/5+$C$208*A212^4/2+2*$D$208*A212^3/3</x:f>
        <x:v>2.7729297512397233</x:v>
      </x:c>
      <x:c r="C212" s="66" t="n">
        <x:f>$B$208*A212^4/2+2*$C$208*A212^3/3+$D$208*A212^2</x:f>
        <x:v>1.8663668653540963</x:v>
      </x:c>
      <x:c r="D212" s="66" t="n">
        <x:f>2*$B$208*A212^3/3+$C$208*A212^2+2*$D$208*A212</x:f>
        <x:v>1.4663506182014168</x:v>
      </x:c>
      <x:c r="E212" s="59" t="n">
        <x:f>($B$208^2*A212^5/5+$B$208*$C$208*A212^4/2+($C$208^2+2*$B$208*$D$208)*A212^3/3+$C$208*$D$208*A212^2+$D$208^2*A212)-F159</x:f>
        <x:v>0</x:v>
      </x:c>
      <x:c r="F212" s="2"/>
      <x:c r="G212" s="2"/>
      <x:c r="H212" s="2"/>
      <x:c r="I212" s="2"/>
    </x:row>
    <x:row r="213" ht="22" customHeight="1">
      <x:c r="A213" s="2"/>
      <x:c r="B213" s="30"/>
      <x:c r="C213" s="30"/>
      <x:c r="D213" s="30"/>
      <x:c r="E213" s="30"/>
      <x:c r="F213" s="2"/>
      <x:c r="G213" s="2"/>
      <x:c r="H213" s="2"/>
      <x:c r="I213" s="2"/>
    </x:row>
    <x:row r="214" ht="22" customHeight="1">
      <x:c r="A214" s="2" t="str">
        <x:v>det(J) / Δa, Δb, Δc</x:v>
      </x:c>
      <x:c r="B214" s="59" t="n">
        <x:f>(B210*(C211*D212-D211*C212)-C210*(B211*D212-D211*B212)+D210*(B211*C212-C211*B212))</x:f>
        <x:v>-0.02511232889299611</x:v>
      </x:c>
      <x:c r="C214" s="59" t="n">
        <x:f>(E210*(C211*D212-D211*C212)-C210*(E211*D212-D211*E212)+D210*(E211*C212-C211*E212))/B214</x:f>
        <x:v>-3.449326824952225e-16</x:v>
      </x:c>
      <x:c r="D214" s="59" t="n">
        <x:f>(B210*(E211*D212-D211*E212)-E210*(B211*D212-D211*B212)+D210*(B211*E212-E211*B212))/B214</x:f>
        <x:v>7.207617512255232e-16</x:v>
      </x:c>
      <x:c r="E214" s="59" t="n">
        <x:f>(B210*(C211*E212-E211*C212)-C210*(B211*E212-E211*B212)+E210*(B211*C212-C211*B212))/B214</x:f>
        <x:v>-2.6510150301759904e-16</x:v>
      </x:c>
      <x:c r="F214" s="2"/>
      <x:c r="G214" s="2"/>
      <x:c r="H214" s="2"/>
      <x:c r="I214" s="2"/>
    </x:row>
    <x:row r="215" ht="22" customHeight="1">
      <x:c r="A215" s="2"/>
      <x:c r="B215" s="2"/>
      <x:c r="C215" s="2"/>
      <x:c r="D215" s="2"/>
      <x:c r="E215" s="2"/>
      <x:c r="F215" s="2"/>
      <x:c r="G215" s="2"/>
      <x:c r="H215" s="2"/>
      <x:c r="I215" s="2"/>
    </x:row>
    <x:row r="216" ht="27" customHeight="1">
      <x:c r="A216" s="10" t="str">
        <x:v>Newton · iteración 5</x:v>
      </x:c>
      <x:c r="B216" s="10" t="str">
        <x:v>Newton · iteración 5</x:v>
      </x:c>
      <x:c r="C216" s="10" t="str">
        <x:v>Newton · iteración 5</x:v>
      </x:c>
      <x:c r="D216" s="10" t="str">
        <x:v>Newton · iteración 5</x:v>
      </x:c>
      <x:c r="E216" s="10" t="str">
        <x:v>Newton · iteración 5</x:v>
      </x:c>
      <x:c r="F216" s="10" t="str">
        <x:v>Newton · iteración 5</x:v>
      </x:c>
      <x:c r="G216" s="10" t="str">
        <x:v>Newton · iteración 5</x:v>
      </x:c>
      <x:c r="H216" s="10" t="str">
        <x:v>Newton · iteración 5</x:v>
      </x:c>
      <x:c r="I216" s="10" t="str">
        <x:v>Newton · iteración 5</x:v>
      </x:c>
    </x:row>
    <x:row r="217" ht="36" customHeight="1">
      <x:c r="A217" s="13" t="str">
        <x:v>Coeficientes</x:v>
      </x:c>
      <x:c r="B217" s="13" t="str">
        <x:v>a</x:v>
      </x:c>
      <x:c r="C217" s="13" t="str">
        <x:v>b</x:v>
      </x:c>
      <x:c r="D217" s="13" t="str">
        <x:v>c</x:v>
      </x:c>
      <x:c r="E217" s="2"/>
      <x:c r="F217" s="2"/>
      <x:c r="G217" s="2"/>
      <x:c r="H217" s="2"/>
      <x:c r="I217" s="2"/>
    </x:row>
    <x:row r="218" ht="22" customHeight="1">
      <x:c r="A218" s="2" t="str">
        <x:v>Valor</x:v>
      </x:c>
      <x:c r="B218" s="64" t="n">
        <x:f>B208-C214</x:f>
        <x:v>0.04995871687258639</x:v>
      </x:c>
      <x:c r="C218" s="64" t="n">
        <x:f>C208-D214</x:f>
        <x:v>0.20009475161933676</x:v>
      </x:c>
      <x:c r="D218" s="64" t="n">
        <x:f>D208-E214</x:f>
        <x:v>0.09988128043423558</x:v>
      </x:c>
      <x:c r="E218" s="30"/>
      <x:c r="F218" s="2"/>
      <x:c r="G218" s="2"/>
      <x:c r="H218" s="2"/>
      <x:c r="I218" s="2"/>
    </x:row>
    <x:row r="219" ht="36" customHeight="1">
      <x:c r="A219" s="13" t="str">
        <x:v>Vencimiento</x:v>
      </x:c>
      <x:c r="B219" s="63" t="str">
        <x:v>∂V/∂a</x:v>
      </x:c>
      <x:c r="C219" s="63" t="str">
        <x:v>∂V/∂b</x:v>
      </x:c>
      <x:c r="D219" s="63" t="str">
        <x:v>∂V/∂c</x:v>
      </x:c>
      <x:c r="E219" s="63" t="str">
        <x:v>V − V objetivo</x:v>
      </x:c>
      <x:c r="F219" s="2"/>
      <x:c r="G219" s="2"/>
      <x:c r="H219" s="2"/>
      <x:c r="I219" s="2"/>
    </x:row>
    <x:row r="220" ht="22" customHeight="1">
      <x:c r="A220" s="31" t="n">
        <x:f>'Datos'!B42</x:f>
        <x:v>1</x:v>
      </x:c>
      <x:c r="B220" s="66" t="n">
        <x:f>2*$B$218*A220^5/5+$C$218*A220^4/2+2*$D$218*A220^3/3</x:f>
        <x:v>0.18661838284819332</x:v>
      </x:c>
      <x:c r="C220" s="66" t="n">
        <x:f>$B$218*A220^4/2+2*$C$218*A220^3/3+$D$218*A220^2</x:f>
        <x:v>0.2582571399500866</x:v>
      </x:c>
      <x:c r="D220" s="66" t="n">
        <x:f>2*$B$218*A220^3/3+$C$218*A220^2+2*$D$218*A220</x:f>
        <x:v>0.43316312373619886</x:v>
      </x:c>
      <x:c r="E220" s="59" t="n">
        <x:f>($B$218^2*A220^5/5+$B$218*$C$218*A220^4/2+($C$218^2+2*$B$218*$D$218)*A220^3/3+$C$218*$D$218*A220^2+$D$218^2*A220)-F55</x:f>
        <x:v>0</x:v>
      </x:c>
      <x:c r="F220" s="2"/>
      <x:c r="G220" s="2"/>
      <x:c r="H220" s="2"/>
      <x:c r="I220" s="2"/>
    </x:row>
    <x:row r="221" ht="22" customHeight="1">
      <x:c r="A221" s="31" t="n">
        <x:f>'Datos'!B43</x:f>
        <x:v>1.25</x:v>
      </x:c>
      <x:c r="B221" s="66" t="n">
        <x:f>2*$B$218*A221^5/5+$C$218*A221^4/2+2*$D$218*A221^3/3</x:f>
        <x:v>0.43529480097059053</x:v>
      </x:c>
      <x:c r="C221" s="66" t="n">
        <x:f>$B$218*A221^4/2+2*$C$218*A221^3/3+$D$218*A221^2</x:f>
        <x:v>0.477589303656861</x:v>
      </x:c>
      <x:c r="D221" s="66" t="n">
        <x:f>2*$B$218*A221^3/3+$C$218*A221^2+2*$D$218*A221</x:f>
        <x:v>0.6274016630853162</x:v>
      </x:c>
      <x:c r="E221" s="59" t="n">
        <x:f>($B$218^2*A221^5/5+$B$218*$C$218*A221^4/2+($C$218^2+2*$B$218*$D$218)*A221^3/3+$C$218*$D$218*A221^2+$D$218^2*A221)-F107</x:f>
        <x:v>0</x:v>
      </x:c>
      <x:c r="F221" s="2"/>
      <x:c r="G221" s="2"/>
      <x:c r="H221" s="2"/>
      <x:c r="I221" s="2"/>
    </x:row>
    <x:row r="222" ht="22" customHeight="1">
      <x:c r="A222" s="31" t="n">
        <x:f>'Datos'!B44</x:f>
        <x:v>2</x:v>
      </x:c>
      <x:c r="B222" s="66" t="n">
        <x:f>2*$B$218*A222^5/5+$C$218*A222^4/2+2*$D$218*A222^3/3</x:f>
        <x:v>2.772929751239723</x:v>
      </x:c>
      <x:c r="C222" s="66" t="n">
        <x:f>$B$218*A222^4/2+2*$C$218*A222^3/3+$D$218*A222^2</x:f>
        <x:v>1.8663668653540961</x:v>
      </x:c>
      <x:c r="D222" s="66" t="n">
        <x:f>2*$B$218*A222^3/3+$C$218*A222^2+2*$D$218*A222</x:f>
        <x:v>1.466350618201417</x:v>
      </x:c>
      <x:c r="E222" s="59" t="n">
        <x:f>($B$218^2*A222^5/5+$B$218*$C$218*A222^4/2+($C$218^2+2*$B$218*$D$218)*A222^3/3+$C$218*$D$218*A222^2+$D$218^2*A222)-F159</x:f>
        <x:v>0</x:v>
      </x:c>
      <x:c r="F222" s="2"/>
      <x:c r="G222" s="2"/>
      <x:c r="H222" s="2"/>
      <x:c r="I222" s="2"/>
    </x:row>
    <x:row r="223" ht="22" customHeight="1">
      <x:c r="A223" s="2"/>
      <x:c r="B223" s="30"/>
      <x:c r="C223" s="30"/>
      <x:c r="D223" s="30"/>
      <x:c r="E223" s="30"/>
      <x:c r="F223" s="2"/>
      <x:c r="G223" s="2"/>
      <x:c r="H223" s="2"/>
      <x:c r="I223" s="2"/>
    </x:row>
    <x:row r="224" ht="22" customHeight="1">
      <x:c r="A224" s="2" t="str">
        <x:v>det(J) / Δa, Δb, Δc</x:v>
      </x:c>
      <x:c r="B224" s="59" t="n">
        <x:f>(B220*(C221*D222-D221*C222)-C220*(B221*D222-D221*B222)+D220*(B221*C222-C221*B222))</x:f>
        <x:v>-0.02511232889299625</x:v>
      </x:c>
      <x:c r="C224" s="59" t="n">
        <x:f>(E220*(C221*D222-D221*C222)-C220*(E221*D222-D221*E222)+D220*(E221*C222-C221*E222))/B224</x:f>
        <x:v>0</x:v>
      </x:c>
      <x:c r="D224" s="59" t="n">
        <x:f>(B220*(E221*D222-D221*E222)-E220*(B221*D222-D221*B222)+D220*(B221*E222-E221*B222))/B224</x:f>
        <x:v>0</x:v>
      </x:c>
      <x:c r="E224" s="59" t="n">
        <x:f>(B220*(C221*E222-E221*C222)-C220*(B221*E222-E221*B222)+E220*(B221*C222-C221*B222))/B224</x:f>
        <x:v>0</x:v>
      </x:c>
      <x:c r="F224" s="2"/>
      <x:c r="G224" s="2"/>
      <x:c r="H224" s="2"/>
      <x:c r="I224" s="2"/>
    </x:row>
    <x:row r="225" ht="22" customHeight="1">
      <x:c r="A225" s="2"/>
      <x:c r="B225" s="2"/>
      <x:c r="C225" s="2"/>
      <x:c r="D225" s="2"/>
      <x:c r="E225" s="2"/>
      <x:c r="F225" s="2"/>
      <x:c r="G225" s="2"/>
      <x:c r="H225" s="2"/>
      <x:c r="I225" s="2"/>
    </x:row>
    <x:row r="226" ht="22" customHeight="1">
      <x:c r="A226" s="2"/>
      <x:c r="B226" s="2"/>
      <x:c r="C226" s="2"/>
      <x:c r="D226" s="2"/>
      <x:c r="E226" s="2"/>
      <x:c r="F226" s="2"/>
      <x:c r="G226" s="2"/>
      <x:c r="H226" s="2"/>
      <x:c r="I226" s="2"/>
    </x:row>
    <x:row r="227" ht="36" customHeight="1">
      <x:c r="A227" s="22" t="str">
        <x:v>Corrección: J × Δ = residuo; se actualiza (a,b,c) ← (a,b,c) − Δ. Determinantes explícitos de 3×3. La fila 218 contiene el resultado final.</x:v>
      </x:c>
      <x:c r="B227" s="22" t="str">
        <x:v>Corrección: J × Δ = residuo; se actualiza (a,b,c) ← (a,b,c) − Δ. Determinantes explícitos de 3×3. La fila 218 contiene el resultado final.</x:v>
      </x:c>
      <x:c r="C227" s="22" t="str">
        <x:v>Corrección: J × Δ = residuo; se actualiza (a,b,c) ← (a,b,c) − Δ. Determinantes explícitos de 3×3. La fila 218 contiene el resultado final.</x:v>
      </x:c>
      <x:c r="D227" s="22" t="str">
        <x:v>Corrección: J × Δ = residuo; se actualiza (a,b,c) ← (a,b,c) − Δ. Determinantes explícitos de 3×3. La fila 218 contiene el resultado final.</x:v>
      </x:c>
      <x:c r="E227" s="22" t="str">
        <x:v>Corrección: J × Δ = residuo; se actualiza (a,b,c) ← (a,b,c) − Δ. Determinantes explícitos de 3×3. La fila 218 contiene el resultado final.</x:v>
      </x:c>
      <x:c r="F227" s="22" t="str">
        <x:v>Corrección: J × Δ = residuo; se actualiza (a,b,c) ← (a,b,c) − Δ. Determinantes explícitos de 3×3. La fila 218 contiene el resultado final.</x:v>
      </x:c>
      <x:c r="G227" s="22" t="str">
        <x:v>Corrección: J × Δ = residuo; se actualiza (a,b,c) ← (a,b,c) − Δ. Determinantes explícitos de 3×3. La fila 218 contiene el resultado final.</x:v>
      </x:c>
      <x:c r="H227" s="22" t="str">
        <x:v>Corrección: J × Δ = residuo; se actualiza (a,b,c) ← (a,b,c) − Δ. Determinantes explícitos de 3×3. La fila 218 contiene el resultado final.</x:v>
      </x:c>
      <x:c r="I227" s="22" t="str">
        <x:v>Corrección: J × Δ = residuo; se actualiza (a,b,c) ← (a,b,c) − Δ. Determinantes explícitos de 3×3. La fila 218 contiene el resultado final.</x:v>
      </x:c>
    </x:row>
    <x:row r="228" ht="22" customHeight="1">
      <x:c r="A228" s="2"/>
      <x:c r="B228" s="2"/>
      <x:c r="C228" s="2"/>
      <x:c r="D228" s="2"/>
      <x:c r="E228" s="2"/>
      <x:c r="F228" s="2"/>
      <x:c r="G228" s="2"/>
      <x:c r="H228" s="2"/>
      <x:c r="I228" s="2"/>
    </x:row>
    <x:row r="229" ht="22" customHeight="1">
      <x:c r="A229" s="2"/>
      <x:c r="B229" s="2"/>
      <x:c r="C229" s="2"/>
      <x:c r="D229" s="2"/>
      <x:c r="E229" s="2"/>
      <x:c r="F229" s="2"/>
      <x:c r="G229" s="2"/>
      <x:c r="H229" s="2"/>
      <x:c r="I229" s="2"/>
    </x:row>
    <x:row r="230" ht="27" customHeight="1">
      <x:c r="A230" s="10" t="str">
        <x:v>Curva calibrada · datos del gráfico</x:v>
      </x:c>
      <x:c r="B230" s="10" t="str">
        <x:v>Curva calibrada · datos del gráfico</x:v>
      </x:c>
      <x:c r="C230" s="10" t="str">
        <x:v>Curva calibrada · datos del gráfico</x:v>
      </x:c>
      <x:c r="D230" s="10" t="str">
        <x:v>Curva calibrada · datos del gráfico</x:v>
      </x:c>
      <x:c r="E230" s="10" t="str">
        <x:v>Curva calibrada · datos del gráfico</x:v>
      </x:c>
      <x:c r="F230" s="10" t="str">
        <x:v>Curva calibrada · datos del gráfico</x:v>
      </x:c>
      <x:c r="G230" s="10" t="str">
        <x:v>Curva calibrada · datos del gráfico</x:v>
      </x:c>
      <x:c r="H230" s="10" t="str">
        <x:v>Curva calibrada · datos del gráfico</x:v>
      </x:c>
      <x:c r="I230" s="10" t="str">
        <x:v>Curva calibrada · datos del gráfico</x:v>
      </x:c>
    </x:row>
    <x:row r="231" ht="36" customHeight="1">
      <x:c r="A231" s="13" t="str">
        <x:v>t (años)</x:v>
      </x:c>
      <x:c r="B231" s="13" t="str">
        <x:v>σ(t)</x:v>
      </x:c>
      <x:c r="C231" s="13" t="str">
        <x:v>V(t)</x:v>
      </x:c>
      <x:c r="D231" s="2"/>
      <x:c r="E231" s="2"/>
      <x:c r="F231" s="11" t="str">
        <x:v>Cov 1</x:v>
      </x:c>
      <x:c r="G231" s="11" t="str">
        <x:v>Cov 2</x:v>
      </x:c>
      <x:c r="H231" s="11" t="str">
        <x:v>Cov 3</x:v>
      </x:c>
      <x:c r="I231" s="11" t="str">
        <x:v>Cov 4</x:v>
      </x:c>
    </x:row>
    <x:row r="232" ht="22" customHeight="1">
      <x:c r="A232" s="49" t="n">
        <x:f>0/40*'Datos'!$B$25</x:f>
        <x:v>0</x:v>
      </x:c>
      <x:c r="B232" s="19" t="n">
        <x:f>$B$218*A232^2+$C$218*A232+$D$218</x:f>
        <x:v>0.09988128043423558</x:v>
      </x:c>
      <x:c r="C232" s="46" t="n">
        <x:f>($B$218^2*A232^5/5+$B$218*$C$218*A232^4/2+($C$218^2+2*$B$218*$D$218)*A232^3/3+$C$218*$D$218*A232^2+$D$218^2*A232)</x:f>
        <x:v>0</x:v>
      </x:c>
      <x:c r="D232" s="2"/>
      <x:c r="E232" s="2"/>
      <x:c r="F232" s="70" t="n">
        <x:f>MIN('E3 Opciones'!$C$26,'E3 Opciones'!$C$26)</x:f>
        <x:v>0.07300673028329818</x:v>
      </x:c>
      <x:c r="G232" s="70" t="n">
        <x:f>MIN('E3 Opciones'!$C$26,'E3 Opciones'!$C$27)</x:f>
        <x:v>0.07300673028329818</x:v>
      </x:c>
      <x:c r="H232" s="70" t="n">
        <x:f>MIN('E3 Opciones'!$C$26,'E3 Opciones'!$C$28)</x:f>
        <x:v>0.07300673028329818</x:v>
      </x:c>
      <x:c r="I232" s="70" t="n">
        <x:f>MIN('E3 Opciones'!$C$26,'E3 Opciones'!$C$29)</x:f>
        <x:v>0.07300673028329818</x:v>
      </x:c>
    </x:row>
    <x:row r="233" ht="22" customHeight="1">
      <x:c r="A233" s="49" t="n">
        <x:f>1/40*'Datos'!$B$25</x:f>
        <x:v>0.05</x:v>
      </x:c>
      <x:c r="B233" s="19" t="n">
        <x:f>$B$218*A233^2+$C$218*A233+$D$218</x:f>
        <x:v>0.11001091480738388</x:v>
      </x:c>
      <x:c r="C233" s="46" t="n">
        <x:f>($B$218^2*A233^5/5+$B$218*$C$218*A233^4/2+($C$218^2+2*$B$218*$D$218)*A233^3/3+$C$218*$D$218*A233^2+$D$218^2*A233)</x:f>
        <x:v>0.0005508932786603177</x:v>
      </x:c>
      <x:c r="D233" s="2"/>
      <x:c r="E233" s="2"/>
      <x:c r="F233" s="70" t="n">
        <x:f>MIN('E3 Opciones'!$C$27,'E3 Opciones'!$C$26)</x:f>
        <x:v>0.07300673028329818</x:v>
      </x:c>
      <x:c r="G233" s="70" t="n">
        <x:f>MIN('E3 Opciones'!$C$27,'E3 Opciones'!$C$27)</x:f>
        <x:v>0.09950358321223879</x:v>
      </x:c>
      <x:c r="H233" s="70" t="n">
        <x:f>MIN('E3 Opciones'!$C$27,'E3 Opciones'!$C$28)</x:f>
        <x:v>0.09950358321223879</x:v>
      </x:c>
      <x:c r="I233" s="70" t="n">
        <x:f>MIN('E3 Opciones'!$C$27,'E3 Opciones'!$C$29)</x:f>
        <x:v>0.09950358321223879</x:v>
      </x:c>
    </x:row>
    <x:row r="234" ht="22" customHeight="1">
      <x:c r="A234" s="49" t="n">
        <x:f>2/40*'Datos'!$B$25</x:f>
        <x:v>0.1</x:v>
      </x:c>
      <x:c r="B234" s="19" t="n">
        <x:f>$B$218*A234^2+$C$218*A234+$D$218</x:f>
        <x:v>0.12039034276489512</x:v>
      </x:c>
      <x:c r="C234" s="46" t="n">
        <x:f>($B$218^2*A234^5/5+$B$218*$C$218*A234^4/2+($C$218^2+2*$B$218*$D$218)*A234^3/3+$C$218*$D$218*A234^2+$D$218^2*A234)</x:f>
        <x:v>0.0012146616306649048</x:v>
      </x:c>
      <x:c r="D234" s="2"/>
      <x:c r="E234" s="2"/>
      <x:c r="F234" s="70" t="n">
        <x:f>MIN('E3 Opciones'!$C$28,'E3 Opciones'!$C$26)</x:f>
        <x:v>0.07300673028329818</x:v>
      </x:c>
      <x:c r="G234" s="70" t="n">
        <x:f>MIN('E3 Opciones'!$C$28,'E3 Opciones'!$C$27)</x:f>
        <x:v>0.09950358321223879</x:v>
      </x:c>
      <x:c r="H234" s="70" t="n">
        <x:f>MIN('E3 Opciones'!$C$28,'E3 Opciones'!$C$28)</x:f>
        <x:v>0.17340711444319679</x:v>
      </x:c>
      <x:c r="I234" s="70" t="n">
        <x:f>MIN('E3 Opciones'!$C$28,'E3 Opciones'!$C$29)</x:f>
        <x:v>0.17340711444319679</x:v>
      </x:c>
    </x:row>
    <x:row r="235" ht="22" customHeight="1">
      <x:c r="A235" s="49" t="n">
        <x:f>3/40*'Datos'!$B$25</x:f>
        <x:v>0.15</x:v>
      </x:c>
      <x:c r="B235" s="19" t="n">
        <x:f>$B$218*A235^2+$C$218*A235+$D$218</x:f>
        <x:v>0.13101956430676928</x:v>
      </x:c>
      <x:c r="C235" s="46" t="n">
        <x:f>($B$218^2*A235^5/5+$B$218*$C$218*A235^4/2+($C$218^2+2*$B$218*$D$218)*A235^3/3+$C$218*$D$218*A235^2+$D$218^2*A235)</x:f>
        <x:v>0.002004957506205683</x:v>
      </x:c>
      <x:c r="D235" s="2"/>
      <x:c r="E235" s="2"/>
      <x:c r="F235" s="70" t="n">
        <x:f>MIN('E3 Opciones'!$C$29,'E3 Opciones'!$C$26)</x:f>
        <x:v>0.07300673028329818</x:v>
      </x:c>
      <x:c r="G235" s="70" t="n">
        <x:f>MIN('E3 Opciones'!$C$29,'E3 Opciones'!$C$27)</x:f>
        <x:v>0.09950358321223879</x:v>
      </x:c>
      <x:c r="H235" s="70" t="n">
        <x:f>MIN('E3 Opciones'!$C$29,'E3 Opciones'!$C$28)</x:f>
        <x:v>0.17340711444319679</x:v>
      </x:c>
      <x:c r="I235" s="70" t="n">
        <x:f>MIN('E3 Opciones'!$C$29,'E3 Opciones'!$C$29)</x:f>
        <x:v>0.20546421348733854</x:v>
      </x:c>
    </x:row>
    <x:row r="236" ht="22" customHeight="1">
      <x:c r="A236" s="49" t="n">
        <x:f>4/40*'Datos'!$B$25</x:f>
        <x:v>0.2</x:v>
      </x:c>
      <x:c r="B236" s="19" t="n">
        <x:f>$B$218*A236^2+$C$218*A236+$D$218</x:f>
        <x:v>0.14189857943300638</x:v>
      </x:c>
      <x:c r="C236" s="46" t="n">
        <x:f>($B$218^2*A236^5/5+$B$218*$C$218*A236^4/2+($C$218^2+2*$B$218*$D$218)*A236^3/3+$C$218*$D$218*A236^2+$D$218^2*A236)</x:f>
        <x:v>0.002936220529353735</x:v>
      </x:c>
      <x:c r="D236" s="2"/>
      <x:c r="E236" s="2"/>
      <x:c r="F236" s="2"/>
      <x:c r="G236" s="2"/>
      <x:c r="H236" s="2"/>
      <x:c r="I236" s="2"/>
    </x:row>
    <x:row r="237" ht="22" customHeight="1">
      <x:c r="A237" s="49" t="n">
        <x:f>5/40*'Datos'!$B$25</x:f>
        <x:v>0.25</x:v>
      </x:c>
      <x:c r="B237" s="19" t="n">
        <x:f>$B$218*A237^2+$C$218*A237+$D$218</x:f>
        <x:v>0.15302738814360642</x:v>
      </x:c>
      <x:c r="C237" s="46" t="n">
        <x:f>($B$218^2*A237^5/5+$B$218*$C$218*A237^4/2+($C$218^2+2*$B$218*$D$218)*A237^3/3+$C$218*$D$218*A237^2+$D$218^2*A237)</x:f>
        <x:v>0.004023696217109742</x:v>
      </x:c>
      <x:c r="D237" s="2"/>
      <x:c r="E237" s="2"/>
      <x:c r="F237" s="2"/>
      <x:c r="G237" s="2"/>
      <x:c r="H237" s="2"/>
      <x:c r="I237" s="2"/>
    </x:row>
    <x:row r="238" ht="22" customHeight="1">
      <x:c r="A238" s="49" t="n">
        <x:f>6/40*'Datos'!$B$25</x:f>
        <x:v>0.3</x:v>
      </x:c>
      <x:c r="B238" s="19" t="n">
        <x:f>$B$218*A238^2+$C$218*A238+$D$218</x:f>
        <x:v>0.16440599043856938</x:v>
      </x:c>
      <x:c r="C238" s="46" t="n">
        <x:f>($B$218^2*A238^5/5+$B$218*$C$218*A238^4/2+($C$218^2+2*$B$218*$D$218)*A238^3/3+$C$218*$D$218*A238^2+$D$218^2*A238)</x:f>
        <x:v>0.005283454698454421</x:v>
      </x:c>
      <x:c r="D238" s="2"/>
      <x:c r="E238" s="2"/>
      <x:c r="F238" s="2"/>
      <x:c r="G238" s="2"/>
      <x:c r="H238" s="2"/>
      <x:c r="I238" s="2"/>
    </x:row>
    <x:row r="239" ht="22" customHeight="1">
      <x:c r="A239" s="49" t="n">
        <x:f>7/40*'Datos'!$B$25</x:f>
        <x:v>0.35</x:v>
      </x:c>
      <x:c r="B239" s="19" t="n">
        <x:f>$B$218*A239^2+$C$218*A239+$D$218</x:f>
        <x:v>0.17603438631789528</x:v>
      </x:c>
      <x:c r="C239" s="46" t="n">
        <x:f>($B$218^2*A239^5/5+$B$218*$C$218*A239^4/2+($C$218^2+2*$B$218*$D$218)*A239^3/3+$C$218*$D$218*A239^2+$D$218^2*A239)</x:f>
        <x:v>0.0067324094333989564</x:v>
      </x:c>
      <x:c r="D239" s="2"/>
      <x:c r="E239" s="2"/>
      <x:c r="F239" s="2"/>
      <x:c r="G239" s="2"/>
      <x:c r="H239" s="2"/>
      <x:c r="I239" s="2"/>
    </x:row>
    <x:row r="240" ht="22" customHeight="1">
      <x:c r="A240" s="49" t="n">
        <x:f>8/40*'Datos'!$B$25</x:f>
        <x:v>0.4</x:v>
      </x:c>
      <x:c r="B240" s="19" t="n">
        <x:f>$B$218*A240^2+$C$218*A240+$D$218</x:f>
        <x:v>0.1879125757815841</x:v>
      </x:c>
      <x:c r="C240" s="46" t="n">
        <x:f>($B$218^2*A240^5/5+$B$218*$C$218*A240^4/2+($C$218^2+2*$B$218*$D$218)*A240^3/3+$C$218*$D$218*A240^2+$D$218^2*A240)</x:f>
        <x:v>0.008388335932035449</x:v>
      </x:c>
      <x:c r="D240" s="2"/>
      <x:c r="E240" s="2"/>
      <x:c r="F240" s="2"/>
      <x:c r="G240" s="2"/>
      <x:c r="H240" s="2"/>
      <x:c r="I240" s="2"/>
    </x:row>
    <x:row r="241" ht="22" customHeight="1">
      <x:c r="A241" s="49" t="n">
        <x:f>9/40*'Datos'!$B$25</x:f>
        <x:v>0.45</x:v>
      </x:c>
      <x:c r="B241" s="19" t="n">
        <x:f>$B$218*A241^2+$C$218*A241+$D$218</x:f>
        <x:v>0.2000405588296359</x:v>
      </x:c>
      <x:c r="C241" s="46" t="n">
        <x:f>($B$218^2*A241^5/5+$B$218*$C$218*A241^4/2+($C$218^2+2*$B$218*$D$218)*A241^3/3+$C$218*$D$218*A241^2+$D$218^2*A241)</x:f>
        <x:v>0.010269890473587331</x:v>
      </x:c>
      <x:c r="D241" s="2"/>
      <x:c r="E241" s="2"/>
      <x:c r="F241" s="2"/>
      <x:c r="G241" s="2"/>
      <x:c r="H241" s="2"/>
      <x:c r="I241" s="2"/>
    </x:row>
    <x:row r="242" ht="22" customHeight="1">
      <x:c r="A242" s="49" t="n">
        <x:f>10/40*'Datos'!$B$25</x:f>
        <x:v>0.5</x:v>
      </x:c>
      <x:c r="B242" s="19" t="n">
        <x:f>$B$218*A242^2+$C$218*A242+$D$218</x:f>
        <x:v>0.21241833546205058</x:v>
      </x:c>
      <x:c r="C242" s="46" t="n">
        <x:f>($B$218^2*A242^5/5+$B$218*$C$218*A242^4/2+($C$218^2+2*$B$218*$D$218)*A242^3/3+$C$218*$D$218*A242^2+$D$218^2*A242)</x:f>
        <x:v>0.012396628825459829</x:v>
      </x:c>
      <x:c r="D242" s="2"/>
      <x:c r="E242" s="2"/>
      <x:c r="F242" s="2"/>
      <x:c r="G242" s="2"/>
      <x:c r="H242" s="2"/>
      <x:c r="I242" s="2"/>
    </x:row>
    <x:row r="243" ht="22" customHeight="1">
      <x:c r="A243" s="49" t="n">
        <x:f>11/40*'Datos'!$B$25</x:f>
        <x:v>0.55</x:v>
      </x:c>
      <x:c r="B243" s="19" t="n">
        <x:f>$B$218*A243^2+$C$218*A243+$D$218</x:f>
        <x:v>0.22504590567882818</x:v>
      </x:c>
      <x:c r="C243" s="46" t="n">
        <x:f>($B$218^2*A243^5/5+$B$218*$C$218*A243^4/2+($C$218^2+2*$B$218*$D$218)*A243^3/3+$C$218*$D$218*A243^2+$D$218^2*A243)</x:f>
        <x:v>0.014789024962290384</x:v>
      </x:c>
      <x:c r="D243" s="2"/>
      <x:c r="E243" s="2"/>
      <x:c r="F243" s="2"/>
      <x:c r="G243" s="2"/>
      <x:c r="H243" s="2"/>
      <x:c r="I243" s="2"/>
    </x:row>
    <x:row r="244" ht="22" customHeight="1">
      <x:c r="A244" s="49" t="n">
        <x:f>12/40*'Datos'!$B$25</x:f>
        <x:v>0.6</x:v>
      </x:c>
      <x:c r="B244" s="19" t="n">
        <x:f>$B$218*A244^2+$C$218*A244+$D$218</x:f>
        <x:v>0.23792326947996875</x:v>
      </x:c>
      <x:c r="C244" s="46" t="n">
        <x:f>($B$218^2*A244^5/5+$B$218*$C$218*A244^4/2+($C$218^2+2*$B$218*$D$218)*A244^3/3+$C$218*$D$218*A244^2+$D$218^2*A244)</x:f>
        <x:v>0.017468489784999083</x:v>
      </x:c>
      <x:c r="D244" s="2"/>
      <x:c r="E244" s="2"/>
      <x:c r="F244" s="2"/>
      <x:c r="G244" s="2"/>
      <x:c r="H244" s="2"/>
      <x:c r="I244" s="2"/>
    </x:row>
    <x:row r="245" ht="22" customHeight="1">
      <x:c r="A245" s="49" t="n">
        <x:f>13/40*'Datos'!$B$25</x:f>
        <x:v>0.65</x:v>
      </x:c>
      <x:c r="B245" s="19" t="n">
        <x:f>$B$218*A245^2+$C$218*A245+$D$218</x:f>
        <x:v>0.25105042686547224</x:v>
      </x:c>
      <x:c r="C245" s="46" t="n">
        <x:f>($B$218^2*A245^5/5+$B$218*$C$218*A245^4/2+($C$218^2+2*$B$218*$D$218)*A245^3/3+$C$218*$D$218*A245^2+$D$218^2*A245)</x:f>
        <x:v>0.02045738983983912</x:v>
      </x:c>
      <x:c r="D245" s="2"/>
      <x:c r="E245" s="2"/>
      <x:c r="F245" s="2"/>
      <x:c r="G245" s="2"/>
      <x:c r="H245" s="2"/>
      <x:c r="I245" s="2"/>
    </x:row>
    <x:row r="246" ht="22" customHeight="1">
      <x:c r="A246" s="49" t="n">
        <x:f>14/40*'Datos'!$B$25</x:f>
        <x:v>0.7</x:v>
      </x:c>
      <x:c r="B246" s="19" t="n">
        <x:f>$B$218*A246^2+$C$218*A246+$D$218</x:f>
        <x:v>0.26442737783533865</x:v>
      </x:c>
      <x:c r="C246" s="46" t="n">
        <x:f>($B$218^2*A246^5/5+$B$218*$C$218*A246^4/2+($C$218^2+2*$B$218*$D$218)*A246^3/3+$C$218*$D$218*A246^2+$D$218^2*A246)</x:f>
        <x:v>0.023779066037447196</x:v>
      </x:c>
      <x:c r="D246" s="2"/>
      <x:c r="E246" s="2"/>
      <x:c r="F246" s="2"/>
      <x:c r="G246" s="2"/>
      <x:c r="H246" s="2"/>
      <x:c r="I246" s="2"/>
    </x:row>
    <x:row r="247" ht="22" customHeight="1">
      <x:c r="A247" s="49" t="n">
        <x:f>15/40*'Datos'!$B$25</x:f>
        <x:v>0.75</x:v>
      </x:c>
      <x:c r="B247" s="19" t="n">
        <x:f>$B$218*A247^2+$C$218*A247+$D$218</x:f>
        <x:v>0.278054122389568</x:v>
      </x:c>
      <x:c r="C247" s="46" t="n">
        <x:f>($B$218^2*A247^5/5+$B$218*$C$218*A247^4/2+($C$218^2+2*$B$218*$D$218)*A247^3/3+$C$218*$D$218*A247^2+$D$218^2*A247)</x:f>
        <x:v>0.02745785237189401</x:v>
      </x:c>
      <x:c r="D247" s="2"/>
      <x:c r="E247" s="2"/>
      <x:c r="F247" s="2"/>
      <x:c r="G247" s="2"/>
      <x:c r="H247" s="2"/>
      <x:c r="I247" s="2"/>
    </x:row>
    <x:row r="248" ht="22" customHeight="1">
      <x:c r="A248" s="49" t="n">
        <x:f>16/40*'Datos'!$B$25</x:f>
        <x:v>0.8</x:v>
      </x:c>
      <x:c r="B248" s="19" t="n">
        <x:f>$B$218*A248^2+$C$218*A248+$D$218</x:f>
        <x:v>0.2919306605281603</x:v>
      </x:c>
      <x:c r="C248" s="46" t="n">
        <x:f>($B$218^2*A248^5/5+$B$218*$C$218*A248^4/2+($C$218^2+2*$B$218*$D$218)*A248^3/3+$C$218*$D$218*A248^2+$D$218^2*A248)</x:f>
        <x:v>0.03151909463973463</x:v>
      </x:c>
      <x:c r="D248" s="2"/>
      <x:c r="E248" s="2"/>
      <x:c r="F248" s="2"/>
      <x:c r="G248" s="2"/>
      <x:c r="H248" s="2"/>
      <x:c r="I248" s="2"/>
    </x:row>
    <x:row r="249" ht="22" customHeight="1">
      <x:c r="A249" s="49" t="n">
        <x:f>17/40*'Datos'!$B$25</x:f>
        <x:v>0.85</x:v>
      </x:c>
      <x:c r="B249" s="19" t="n">
        <x:f>$B$218*A249^2+$C$218*A249+$D$218</x:f>
        <x:v>0.3060569922511155</x:v>
      </x:c>
      <x:c r="C249" s="46" t="n">
        <x:f>($B$218^2*A249^5/5+$B$218*$C$218*A249^4/2+($C$218^2+2*$B$218*$D$218)*A249^3/3+$C$218*$D$218*A249^2+$D$218^2*A249)</x:f>
        <x:v>0.03598916915905896</x:v>
      </x:c>
      <x:c r="D249" s="2"/>
      <x:c r="E249" s="2"/>
      <x:c r="F249" s="2"/>
      <x:c r="G249" s="2"/>
      <x:c r="H249" s="2"/>
      <x:c r="I249" s="2"/>
    </x:row>
    <x:row r="250" ht="22" customHeight="1">
      <x:c r="A250" s="49" t="n">
        <x:f>18/40*'Datos'!$B$25</x:f>
        <x:v>0.9</x:v>
      </x:c>
      <x:c r="B250" s="19" t="n">
        <x:f>$B$218*A250^2+$C$218*A250+$D$218</x:f>
        <x:v>0.3204331175584336</x:v>
      </x:c>
      <x:c r="C250" s="46" t="n">
        <x:f>($B$218^2*A250^5/5+$B$218*$C$218*A250^4/2+($C$218^2+2*$B$218*$D$218)*A250^3/3+$C$218*$D$218*A250^2+$D$218^2*A250)</x:f>
        <x:v>0.04089550148854222</x:v>
      </x:c>
      <x:c r="D250" s="2"/>
      <x:c r="E250" s="2"/>
      <x:c r="F250" s="2"/>
      <x:c r="G250" s="2"/>
      <x:c r="H250" s="2"/>
      <x:c r="I250" s="2"/>
    </x:row>
    <x:row r="251" ht="22" customHeight="1">
      <x:c r="A251" s="49" t="n">
        <x:f>19/40*'Datos'!$B$25</x:f>
        <x:v>0.95</x:v>
      </x:c>
      <x:c r="B251" s="19" t="n">
        <x:f>$B$218*A251^2+$C$218*A251+$D$218</x:f>
        <x:v>0.3350590364501147</x:v>
      </x:c>
      <x:c r="C251" s="46" t="n">
        <x:f>($B$218^2*A251^5/5+$B$218*$C$218*A251^4/2+($C$218^2+2*$B$218*$D$218)*A251^3/3+$C$218*$D$218*A251^2+$D$218^2*A251)</x:f>
        <x:v>0.04626658514649529</x:v>
      </x:c>
      <x:c r="D251" s="2"/>
      <x:c r="E251" s="2"/>
      <x:c r="F251" s="2"/>
      <x:c r="G251" s="2"/>
      <x:c r="H251" s="2"/>
      <x:c r="I251" s="2"/>
    </x:row>
    <x:row r="252" ht="22" customHeight="1">
      <x:c r="A252" s="49" t="n">
        <x:f>20/40*'Datos'!$B$25</x:f>
        <x:v>1</x:v>
      </x:c>
      <x:c r="B252" s="19" t="n">
        <x:f>$B$218*A252^2+$C$218*A252+$D$218</x:f>
        <x:v>0.3499347489261587</x:v>
      </x:c>
      <x:c r="C252" s="46" t="n">
        <x:f>($B$218^2*A252^5/5+$B$218*$C$218*A252^4/2+($C$218^2+2*$B$218*$D$218)*A252^3/3+$C$218*$D$218*A252^2+$D$218^2*A252)</x:f>
        <x:v>0.05213200032991523</x:v>
      </x:c>
      <x:c r="D252" s="2"/>
      <x:c r="E252" s="2"/>
      <x:c r="F252" s="2"/>
      <x:c r="G252" s="2"/>
      <x:c r="H252" s="2"/>
      <x:c r="I252" s="2"/>
    </x:row>
    <x:row r="253" ht="22" customHeight="1">
      <x:c r="A253" s="49" t="n">
        <x:f>21/40*'Datos'!$B$25</x:f>
        <x:v>1.05</x:v>
      </x:c>
      <x:c r="B253" s="19" t="n">
        <x:f>$B$218*A253^2+$C$218*A253+$D$218</x:f>
        <x:v>0.3650602549865657</x:v>
      </x:c>
      <x:c r="C253" s="46" t="n">
        <x:f>($B$218^2*A253^5/5+$B$218*$C$218*A253^4/2+($C$218^2+2*$B$218*$D$218)*A253^3/3+$C$218*$D$218*A253^2+$D$218^2*A253)</x:f>
        <x:v>0.05852243263353569</x:v>
      </x:c>
      <x:c r="D253" s="2"/>
      <x:c r="E253" s="2"/>
      <x:c r="F253" s="2"/>
      <x:c r="G253" s="2"/>
      <x:c r="H253" s="2"/>
      <x:c r="I253" s="2"/>
    </x:row>
    <x:row r="254" ht="22" customHeight="1">
      <x:c r="A254" s="49" t="n">
        <x:f>22/40*'Datos'!$B$25</x:f>
        <x:v>1.1</x:v>
      </x:c>
      <x:c r="B254" s="19" t="n">
        <x:f>$B$218*A254^2+$C$218*A254+$D$218</x:f>
        <x:v>0.3804355546313356</x:v>
      </x:c>
      <x:c r="C254" s="46" t="n">
        <x:f>($B$218^2*A254^5/5+$B$218*$C$218*A254^4/2+($C$218^2+2*$B$218*$D$218)*A254^3/3+$C$218*$D$218*A254^2+$D$218^2*A254)</x:f>
        <x:v>0.06546969176887732</x:v>
      </x:c>
      <x:c r="D254" s="2"/>
      <x:c r="E254" s="2"/>
      <x:c r="F254" s="2"/>
      <x:c r="G254" s="2"/>
      <x:c r="H254" s="2"/>
      <x:c r="I254" s="2"/>
    </x:row>
    <x:row r="255" ht="22" customHeight="1">
      <x:c r="A255" s="49" t="n">
        <x:f>23/40*'Datos'!$B$25</x:f>
        <x:v>1.15</x:v>
      </x:c>
      <x:c r="B255" s="19" t="n">
        <x:f>$B$218*A255^2+$C$218*A255+$D$218</x:f>
        <x:v>0.39606064786046835</x:v>
      </x:c>
      <x:c r="C255" s="46" t="n">
        <x:f>($B$218^2*A255^5/5+$B$218*$C$218*A255^4/2+($C$218^2+2*$B$218*$D$218)*A255^3/3+$C$218*$D$218*A255^2+$D$218^2*A255)</x:f>
        <x:v>0.07300673028329818</x:v>
      </x:c>
      <x:c r="D255" s="2"/>
      <x:c r="E255" s="2"/>
      <x:c r="F255" s="2"/>
      <x:c r="G255" s="2"/>
      <x:c r="H255" s="2"/>
      <x:c r="I255" s="2"/>
    </x:row>
    <x:row r="256" ht="22" customHeight="1">
      <x:c r="A256" s="49" t="n">
        <x:f>24/40*'Datos'!$B$25</x:f>
        <x:v>1.2</x:v>
      </x:c>
      <x:c r="B256" s="19" t="n">
        <x:f>$B$218*A256^2+$C$218*A256+$D$218</x:f>
        <x:v>0.41193553467396415</x:v>
      </x:c>
      <x:c r="C256" s="46" t="n">
        <x:f>($B$218^2*A256^5/5+$B$218*$C$218*A256^4/2+($C$218^2+2*$B$218*$D$218)*A256^3/3+$C$218*$D$218*A256^2+$D$218^2*A256)</x:f>
        <x:v>0.08116766227904439</x:v>
      </x:c>
      <x:c r="D256" s="2"/>
      <x:c r="E256" s="2"/>
      <x:c r="F256" s="2"/>
      <x:c r="G256" s="2"/>
      <x:c r="H256" s="2"/>
      <x:c r="I256" s="2"/>
    </x:row>
    <x:row r="257" ht="22" customHeight="1">
      <x:c r="A257" s="49" t="n">
        <x:f>25/40*'Datos'!$B$25</x:f>
        <x:v>1.25</x:v>
      </x:c>
      <x:c r="B257" s="19" t="n">
        <x:f>$B$218*A257^2+$C$218*A257+$D$218</x:f>
        <x:v>0.4280602150718228</x:v>
      </x:c>
      <x:c r="C257" s="46" t="n">
        <x:f>($B$218^2*A257^5/5+$B$218*$C$218*A257^4/2+($C$218^2+2*$B$218*$D$218)*A257^3/3+$C$218*$D$218*A257^2+$D$218^2*A257)</x:f>
        <x:v>0.08998778213230021</x:v>
      </x:c>
      <x:c r="D257" s="2"/>
      <x:c r="E257" s="2"/>
      <x:c r="F257" s="2"/>
      <x:c r="G257" s="2"/>
      <x:c r="H257" s="2"/>
      <x:c r="I257" s="2"/>
    </x:row>
    <x:row r="258" ht="22" customHeight="1">
      <x:c r="A258" s="49" t="n">
        <x:f>26/40*'Datos'!$B$25</x:f>
        <x:v>1.3</x:v>
      </x:c>
      <x:c r="B258" s="19" t="n">
        <x:f>$B$218*A258^2+$C$218*A258+$D$218</x:f>
        <x:v>0.4444346890540444</x:v>
      </x:c>
      <x:c r="C258" s="46" t="n">
        <x:f>($B$218^2*A258^5/5+$B$218*$C$218*A258^4/2+($C$218^2+2*$B$218*$D$218)*A258^3/3+$C$218*$D$218*A258^2+$D$218^2*A258)</x:f>
        <x:v>0.09950358321223879</x:v>
      </x:c>
      <x:c r="D258" s="2"/>
      <x:c r="E258" s="2"/>
      <x:c r="F258" s="2"/>
      <x:c r="G258" s="2"/>
      <x:c r="H258" s="2"/>
      <x:c r="I258" s="2"/>
    </x:row>
    <x:row r="259" ht="22" customHeight="1">
      <x:c r="A259" s="49" t="n">
        <x:f>27/40*'Datos'!$B$25</x:f>
        <x:v>1.35</x:v>
      </x:c>
      <x:c r="B259" s="19" t="n">
        <x:f>$B$218*A259^2+$C$218*A259+$D$218</x:f>
        <x:v>0.4610589566206289</x:v>
      </x:c>
      <x:c r="C259" s="46" t="n">
        <x:f>($B$218^2*A259^5/5+$B$218*$C$218*A259^4/2+($C$218^2+2*$B$218*$D$218)*A259^3/3+$C$218*$D$218*A259^2+$D$218^2*A259)</x:f>
        <x:v>0.10975277660007242</x:v>
      </x:c>
      <x:c r="D259" s="2"/>
      <x:c r="E259" s="2"/>
      <x:c r="F259" s="2"/>
      <x:c r="G259" s="2"/>
      <x:c r="H259" s="2"/>
      <x:c r="I259" s="2"/>
    </x:row>
    <x:row r="260" ht="22" customHeight="1">
      <x:c r="A260" s="49" t="n">
        <x:f>28/40*'Datos'!$B$25</x:f>
        <x:v>1.4</x:v>
      </x:c>
      <x:c r="B260" s="19" t="n">
        <x:f>$B$218*A260^2+$C$218*A260+$D$218</x:f>
        <x:v>0.4779330177715764</x:v>
      </x:c>
      <x:c r="C260" s="46" t="n">
        <x:f>($B$218^2*A260^5/5+$B$218*$C$218*A260^4/2+($C$218^2+2*$B$218*$D$218)*A260^3/3+$C$218*$D$218*A260^2+$D$218^2*A260)</x:f>
        <x:v>0.12077430980810303</x:v>
      </x:c>
      <x:c r="D260" s="2"/>
      <x:c r="E260" s="2"/>
      <x:c r="F260" s="2"/>
      <x:c r="G260" s="2"/>
      <x:c r="H260" s="2"/>
      <x:c r="I260" s="2"/>
    </x:row>
    <x:row r="261" ht="22" customHeight="1">
      <x:c r="A261" s="49" t="n">
        <x:f>29/40*'Datos'!$B$25</x:f>
        <x:v>1.45</x:v>
      </x:c>
      <x:c r="B261" s="19" t="n">
        <x:f>$B$218*A261^2+$C$218*A261+$D$218</x:f>
        <x:v>0.4950568725068868</x:v>
      </x:c>
      <x:c r="C261" s="46" t="n">
        <x:f>($B$218^2*A261^5/5+$B$218*$C$218*A261^4/2+($C$218^2+2*$B$218*$D$218)*A261^3/3+$C$218*$D$218*A261^2+$D$218^2*A261)</x:f>
        <x:v>0.13260838549877274</x:v>
      </x:c>
      <x:c r="D261" s="2"/>
      <x:c r="E261" s="2"/>
      <x:c r="F261" s="2"/>
      <x:c r="G261" s="2"/>
      <x:c r="H261" s="2"/>
      <x:c r="I261" s="2"/>
    </x:row>
    <x:row r="262" ht="22" customHeight="1">
      <x:c r="A262" s="49" t="n">
        <x:f>30/40*'Datos'!$B$25</x:f>
        <x:v>1.5</x:v>
      </x:c>
      <x:c r="B262" s="19" t="n">
        <x:f>$B$218*A262^2+$C$218*A262+$D$218</x:f>
        <x:v>0.5124305208265602</x:v>
      </x:c>
      <x:c r="C262" s="46" t="n">
        <x:f>($B$218^2*A262^5/5+$B$218*$C$218*A262^4/2+($C$218^2+2*$B$218*$D$218)*A262^3/3+$C$218*$D$218*A262^2+$D$218^2*A262)</x:f>
        <x:v>0.14529648020371402</x:v>
      </x:c>
      <x:c r="D262" s="2"/>
      <x:c r="E262" s="2"/>
      <x:c r="F262" s="2"/>
      <x:c r="G262" s="2"/>
      <x:c r="H262" s="2"/>
      <x:c r="I262" s="2"/>
    </x:row>
    <x:row r="263" ht="22" customHeight="1">
      <x:c r="A263" s="49" t="n">
        <x:f>31/40*'Datos'!$B$25</x:f>
        <x:v>1.55</x:v>
      </x:c>
      <x:c r="B263" s="19" t="n">
        <x:f>$B$218*A263^2+$C$218*A263+$D$218</x:f>
        <x:v>0.5300539627305965</x:v>
      </x:c>
      <x:c r="C263" s="46" t="n">
        <x:f>($B$218^2*A263^5/5+$B$218*$C$218*A263^4/2+($C$218^2+2*$B$218*$D$218)*A263^3/3+$C$218*$D$218*A263^2+$D$218^2*A263)</x:f>
        <x:v>0.15888136304280043</x:v>
      </x:c>
      <x:c r="D263" s="2"/>
      <x:c r="E263" s="2"/>
      <x:c r="F263" s="2"/>
      <x:c r="G263" s="2"/>
      <x:c r="H263" s="2"/>
      <x:c r="I263" s="2"/>
    </x:row>
    <x:row r="264" ht="22" customHeight="1">
      <x:c r="A264" s="49" t="n">
        <x:f>32/40*'Datos'!$B$25</x:f>
        <x:v>1.6</x:v>
      </x:c>
      <x:c r="B264" s="19" t="n">
        <x:f>$B$218*A264^2+$C$218*A264+$D$218</x:f>
        <x:v>0.5479271982189956</x:v>
      </x:c>
      <x:c r="C264" s="46" t="n">
        <x:f>($B$218^2*A264^5/5+$B$218*$C$218*A264^4/2+($C$218^2+2*$B$218*$D$218)*A264^3/3+$C$218*$D$218*A264^2+$D$218^2*A264)</x:f>
        <x:v>0.17340711444319679</x:v>
      </x:c>
      <x:c r="D264" s="2"/>
      <x:c r="E264" s="2"/>
      <x:c r="F264" s="2"/>
      <x:c r="G264" s="2"/>
      <x:c r="H264" s="2"/>
      <x:c r="I264" s="2"/>
    </x:row>
    <x:row r="265" ht="22" customHeight="1">
      <x:c r="A265" s="49" t="n">
        <x:f>33/40*'Datos'!$B$25</x:f>
        <x:v>1.65</x:v>
      </x:c>
      <x:c r="B265" s="19" t="n">
        <x:f>$B$218*A265^2+$C$218*A265+$D$218</x:f>
        <x:v>0.5660502272917577</x:v>
      </x:c>
      <x:c r="C265" s="46" t="n">
        <x:f>($B$218^2*A265^5/5+$B$218*$C$218*A265^4/2+($C$218^2+2*$B$218*$D$218)*A265^3/3+$C$218*$D$218*A265^2+$D$218^2*A265)</x:f>
        <x:v>0.18891914485840983</x:v>
      </x:c>
      <x:c r="D265" s="2"/>
      <x:c r="E265" s="2"/>
      <x:c r="F265" s="2"/>
      <x:c r="G265" s="2"/>
      <x:c r="H265" s="2"/>
      <x:c r="I265" s="2"/>
    </x:row>
    <x:row r="266" ht="22" customHeight="1">
      <x:c r="A266" s="49" t="n">
        <x:f>34/40*'Datos'!$B$25</x:f>
        <x:v>1.7</x:v>
      </x:c>
      <x:c r="B266" s="19" t="n">
        <x:f>$B$218*A266^2+$C$218*A266+$D$218</x:f>
        <x:v>0.5844230499488827</x:v>
      </x:c>
      <x:c r="C266" s="46" t="n">
        <x:f>($B$218^2*A266^5/5+$B$218*$C$218*A266^4/2+($C$218^2+2*$B$218*$D$218)*A266^3/3+$C$218*$D$218*A266^2+$D$218^2*A266)</x:f>
        <x:v>0.20546421348733854</x:v>
      </x:c>
      <x:c r="D266" s="2"/>
      <x:c r="E266" s="2"/>
      <x:c r="F266" s="2"/>
      <x:c r="G266" s="2"/>
      <x:c r="H266" s="2"/>
      <x:c r="I266" s="2"/>
    </x:row>
    <x:row r="267" ht="22" customHeight="1">
      <x:c r="A267" s="49" t="n">
        <x:f>35/40*'Datos'!$B$25</x:f>
        <x:v>1.75</x:v>
      </x:c>
      <x:c r="B267" s="19" t="n">
        <x:f>$B$218*A267^2+$C$218*A267+$D$218</x:f>
        <x:v>0.6030456661903708</x:v>
      </x:c>
      <x:c r="C267" s="46" t="n">
        <x:f>($B$218^2*A267^5/5+$B$218*$C$218*A267^4/2+($C$218^2+2*$B$218*$D$218)*A267^3/3+$C$218*$D$218*A267^2+$D$218^2*A267)</x:f>
        <x:v>0.22309044699332461</x:v>
      </x:c>
      <x:c r="D267" s="2"/>
      <x:c r="E267" s="2"/>
      <x:c r="F267" s="2"/>
      <x:c r="G267" s="2"/>
      <x:c r="H267" s="2"/>
      <x:c r="I267" s="2"/>
    </x:row>
    <x:row r="268" ht="22" customHeight="1">
      <x:c r="A268" s="49" t="n">
        <x:f>36/40*'Datos'!$B$25</x:f>
        <x:v>1.8</x:v>
      </x:c>
      <x:c r="B268" s="19" t="n">
        <x:f>$B$218*A268^2+$C$218*A268+$D$218</x:f>
        <x:v>0.6219180760162217</x:v>
      </x:c>
      <x:c r="C268" s="46" t="n">
        <x:f>($B$218^2*A268^5/5+$B$218*$C$218*A268^4/2+($C$218^2+2*$B$218*$D$218)*A268^3/3+$C$218*$D$218*A268^2+$D$218^2*A268)</x:f>
        <x:v>0.24184735822320289</x:v>
      </x:c>
      <x:c r="D268" s="2"/>
      <x:c r="E268" s="2"/>
      <x:c r="F268" s="2"/>
      <x:c r="G268" s="2"/>
      <x:c r="H268" s="2"/>
      <x:c r="I268" s="2"/>
    </x:row>
    <x:row r="269" ht="22" customHeight="1">
      <x:c r="A269" s="49" t="n">
        <x:f>37/40*'Datos'!$B$25</x:f>
        <x:v>1.85</x:v>
      </x:c>
      <x:c r="B269" s="19" t="n">
        <x:f>$B$218*A269^2+$C$218*A269+$D$218</x:f>
        <x:v>0.6410402794264356</x:v>
      </x:c>
      <x:c r="C269" s="46" t="n">
        <x:f>($B$218^2*A269^5/5+$B$218*$C$218*A269^4/2+($C$218^2+2*$B$218*$D$218)*A269^3/3+$C$218*$D$218*A269^2+$D$218^2*A269)</x:f>
        <x:v>0.2617858649263517</x:v>
      </x:c>
      <x:c r="D269" s="2"/>
      <x:c r="E269" s="2"/>
      <x:c r="F269" s="2"/>
      <x:c r="G269" s="2"/>
      <x:c r="H269" s="2"/>
      <x:c r="I269" s="2"/>
    </x:row>
    <x:row r="270" ht="22" customHeight="1">
      <x:c r="A270" s="49" t="n">
        <x:f>38/40*'Datos'!$B$25</x:f>
        <x:v>1.9</x:v>
      </x:c>
      <x:c r="B270" s="19" t="n">
        <x:f>$B$218*A270^2+$C$218*A270+$D$218</x:f>
        <x:v>0.6604122764210123</x:v>
      </x:c>
      <x:c r="C270" s="46" t="n">
        <x:f>($B$218^2*A270^5/5+$B$218*$C$218*A270^4/2+($C$218^2+2*$B$218*$D$218)*A270^3/3+$C$218*$D$218*A270^2+$D$218^2*A270)</x:f>
        <x:v>0.28295830847374326</x:v>
      </x:c>
      <x:c r="D270" s="2"/>
      <x:c r="E270" s="2"/>
      <x:c r="F270" s="2"/>
      <x:c r="G270" s="2"/>
      <x:c r="H270" s="2"/>
      <x:c r="I270" s="2"/>
    </x:row>
    <x:row r="271" ht="22" customHeight="1">
      <x:c r="A271" s="49" t="n">
        <x:f>39/40*'Datos'!$B$25</x:f>
        <x:v>1.95</x:v>
      </x:c>
      <x:c r="B271" s="19" t="n">
        <x:f>$B$218*A271^2+$C$218*A271+$D$218</x:f>
        <x:v>0.680034066999952</x:v>
      </x:c>
      <x:c r="C271" s="46" t="n">
        <x:f>($B$218^2*A271^5/5+$B$218*$C$218*A271^4/2+($C$218^2+2*$B$218*$D$218)*A271^3/3+$C$218*$D$218*A271^2+$D$218^2*A271)</x:f>
        <x:v>0.3054184725769947</x:v>
      </x:c>
      <x:c r="D271" s="2"/>
      <x:c r="E271" s="2"/>
      <x:c r="F271" s="2"/>
      <x:c r="G271" s="2"/>
      <x:c r="H271" s="2"/>
      <x:c r="I271" s="2"/>
    </x:row>
    <x:row r="272" ht="22" customHeight="1">
      <x:c r="A272" s="49" t="n">
        <x:f>40/40*'Datos'!$B$25</x:f>
        <x:v>2</x:v>
      </x:c>
      <x:c r="B272" s="19" t="n">
        <x:f>$B$218*A272^2+$C$218*A272+$D$218</x:f>
        <x:v>0.6999056511632548</x:v>
      </x:c>
      <x:c r="C272" s="46" t="n">
        <x:f>($B$218^2*A272^5/5+$B$218*$C$218*A272^4/2+($C$218^2+2*$B$218*$D$218)*A272^3/3+$C$218*$D$218*A272^2+$D$218^2*A272)</x:f>
        <x:v>0.32922160200741757</x:v>
      </x:c>
      <x:c r="D272" s="2"/>
      <x:c r="E272" s="2"/>
      <x:c r="F272" s="2"/>
      <x:c r="G272" s="2"/>
      <x:c r="H272" s="2"/>
      <x:c r="I272" s="2"/>
    </x:row>
    <x:row r="273" ht="22" customHeight="1">
      <x:c r="A273" s="2"/>
      <x:c r="B273" s="2"/>
      <x:c r="C273" s="2"/>
      <x:c r="D273" s="2"/>
      <x:c r="E273" s="2"/>
      <x:c r="F273" s="2"/>
      <x:c r="G273" s="2"/>
      <x:c r="H273" s="2"/>
      <x:c r="I273" s="2"/>
    </x:row>
    <x:row r="274" ht="22" customHeight="1">
      <x:c r="A274" s="2"/>
      <x:c r="B274" s="2"/>
      <x:c r="C274" s="2"/>
      <x:c r="D274" s="2"/>
      <x:c r="E274" s="2"/>
      <x:c r="F274" s="2"/>
      <x:c r="G274" s="2"/>
      <x:c r="H274" s="2"/>
      <x:c r="I274" s="2"/>
    </x:row>
    <x:row r="275" ht="22" customHeight="1">
      <x:c r="A275" s="2"/>
      <x:c r="B275" s="2"/>
      <x:c r="C275" s="2"/>
      <x:c r="D275" s="2"/>
      <x:c r="E275" s="2"/>
      <x:c r="F275" s="2"/>
      <x:c r="G275" s="2"/>
      <x:c r="H275" s="2"/>
      <x:c r="I275" s="2"/>
    </x:row>
    <x:row r="276" ht="22" customHeight="1">
      <x:c r="A276" s="2"/>
      <x:c r="B276" s="2"/>
      <x:c r="C276" s="2"/>
      <x:c r="D276" s="2"/>
      <x:c r="E276" s="2"/>
      <x:c r="F276" s="2"/>
      <x:c r="G276" s="2"/>
      <x:c r="H276" s="2"/>
      <x:c r="I276" s="2"/>
    </x:row>
    <x:row r="277" ht="22" customHeight="1">
      <x:c r="A277" s="2"/>
      <x:c r="B277" s="2"/>
      <x:c r="C277" s="2"/>
      <x:c r="D277" s="2"/>
      <x:c r="E277" s="2"/>
      <x:c r="F277" s="2"/>
      <x:c r="G277" s="2"/>
      <x:c r="H277" s="2"/>
      <x:c r="I277" s="2"/>
    </x:row>
    <x:row r="278" ht="22" customHeight="1">
      <x:c r="A278" s="2"/>
      <x:c r="B278" s="2"/>
      <x:c r="C278" s="2"/>
      <x:c r="D278" s="2"/>
      <x:c r="E278" s="2"/>
      <x:c r="F278" s="2"/>
      <x:c r="G278" s="2"/>
      <x:c r="H278" s="2"/>
      <x:c r="I278" s="2"/>
    </x:row>
    <x:row r="279" ht="22" customHeight="1">
      <x:c r="A279" s="2"/>
      <x:c r="B279" s="2"/>
      <x:c r="C279" s="2"/>
      <x:c r="D279" s="2"/>
      <x:c r="E279" s="2"/>
      <x:c r="F279" s="2"/>
      <x:c r="G279" s="2"/>
      <x:c r="H279" s="2"/>
      <x:c r="I279" s="2"/>
    </x:row>
    <x:row r="280" ht="22" customHeight="1">
      <x:c r="A280" s="2"/>
      <x:c r="B280" s="2"/>
      <x:c r="C280" s="2"/>
      <x:c r="D280" s="2"/>
      <x:c r="E280" s="2"/>
      <x:c r="F280" s="2"/>
      <x:c r="G280" s="2"/>
      <x:c r="H280" s="2"/>
      <x:c r="I280" s="2"/>
    </x:row>
  </x:sheetData>
  <x:mergeCells>
    <x:mergeCell ref="A1:I2"/>
    <x:mergeCell ref="A3:I4"/>
    <x:mergeCell ref="A6:I6"/>
    <x:mergeCell ref="A58:I58"/>
    <x:mergeCell ref="A110:I110"/>
    <x:mergeCell ref="A162:I162"/>
    <x:mergeCell ref="A166:I166"/>
    <x:mergeCell ref="A176:I176"/>
    <x:mergeCell ref="A186:I186"/>
    <x:mergeCell ref="A196:I196"/>
    <x:mergeCell ref="A206:I206"/>
    <x:mergeCell ref="A216:I216"/>
    <x:mergeCell ref="A227:I227"/>
    <x:mergeCell ref="A230:I230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</x:cols>
  <x:sheetData>
    <x:row r="1" ht="25" customHeight="1">
      <x:c r="A1" s="5" t="str">
        <x:v>E3 · Simulaciones reproducidas</x:v>
      </x:c>
      <x:c r="B1" s="5" t="str">
        <x:v>E3 · Simulaciones reproducidas</x:v>
      </x:c>
      <x:c r="C1" s="5" t="str">
        <x:v>E3 · Simulaciones reproducidas</x:v>
      </x:c>
      <x:c r="D1" s="5" t="str">
        <x:v>E3 · Simulaciones reproducidas</x:v>
      </x:c>
      <x:c r="E1" s="5" t="str">
        <x:v>E3 · Simulaciones reproducidas</x:v>
      </x:c>
      <x:c r="F1" s="5" t="str">
        <x:v>E3 · Simulaciones reproducidas</x:v>
      </x:c>
      <x:c r="G1" s="5" t="str">
        <x:v>E3 · Simulaciones reproducidas</x:v>
      </x:c>
      <x:c r="H1" s="5" t="str">
        <x:v>E3 · Simulaciones reproducidas</x:v>
      </x:c>
      <x:c r="I1" s="5" t="str">
        <x:v>E3 · Simulaciones reproducidas</x:v>
      </x:c>
    </x:row>
    <x:row r="2" ht="25" customHeight="1">
      <x:c r="A2" s="5" t="str">
        <x:v>E3 · Simulaciones reproducidas</x:v>
      </x:c>
      <x:c r="B2" s="5" t="str">
        <x:v>E3 · Simulaciones reproducidas</x:v>
      </x:c>
      <x:c r="C2" s="5" t="str">
        <x:v>E3 · Simulaciones reproducidas</x:v>
      </x:c>
      <x:c r="D2" s="5" t="str">
        <x:v>E3 · Simulaciones reproducidas</x:v>
      </x:c>
      <x:c r="E2" s="5" t="str">
        <x:v>E3 · Simulaciones reproducidas</x:v>
      </x:c>
      <x:c r="F2" s="5" t="str">
        <x:v>E3 · Simulaciones reproducidas</x:v>
      </x:c>
      <x:c r="G2" s="5" t="str">
        <x:v>E3 · Simulaciones reproducidas</x:v>
      </x:c>
      <x:c r="H2" s="5" t="str">
        <x:v>E3 · Simulaciones reproducidas</x:v>
      </x:c>
      <x:c r="I2" s="5" t="str">
        <x:v>E3 · Simulaciones reproducidas</x:v>
      </x:c>
    </x:row>
    <x:row r="3" ht="21" customHeight="1">
      <x:c r="A3" s="7" t="str">
        <x:v>Agregados del caso base · sumas de payoffs por réplica; Excel reconstruye medias, control e intervalos.</x:v>
      </x:c>
      <x:c r="B3" s="7" t="str">
        <x:v>Agregados del caso base · sumas de payoffs por réplica; Excel reconstruye medias, control e intervalos.</x:v>
      </x:c>
      <x:c r="C3" s="7" t="str">
        <x:v>Agregados del caso base · sumas de payoffs por réplica; Excel reconstruye medias, control e intervalos.</x:v>
      </x:c>
      <x:c r="D3" s="7" t="str">
        <x:v>Agregados del caso base · sumas de payoffs por réplica; Excel reconstruye medias, control e intervalos.</x:v>
      </x:c>
      <x:c r="E3" s="7" t="str">
        <x:v>Agregados del caso base · sumas de payoffs por réplica; Excel reconstruye medias, control e intervalos.</x:v>
      </x:c>
      <x:c r="F3" s="7" t="str">
        <x:v>Agregados del caso base · sumas de payoffs por réplica; Excel reconstruye medias, control e intervalos.</x:v>
      </x:c>
      <x:c r="G3" s="7" t="str">
        <x:v>Agregados del caso base · sumas de payoffs por réplica; Excel reconstruye medias, control e intervalos.</x:v>
      </x:c>
      <x:c r="H3" s="7" t="str">
        <x:v>Agregados del caso base · sumas de payoffs por réplica; Excel reconstruye medias, control e intervalos.</x:v>
      </x:c>
      <x:c r="I3" s="7" t="str">
        <x:v>Agregados del caso base · sumas de payoffs por réplica; Excel reconstruye medias, control e intervalos.</x:v>
      </x:c>
    </x:row>
    <x:row r="4" ht="21" customHeight="1">
      <x:c r="A4" s="7" t="str">
        <x:v>Agregados del caso base · sumas de payoffs por réplica; Excel reconstruye medias, control e intervalos.</x:v>
      </x:c>
      <x:c r="B4" s="7" t="str">
        <x:v>Agregados del caso base · sumas de payoffs por réplica; Excel reconstruye medias, control e intervalos.</x:v>
      </x:c>
      <x:c r="C4" s="7" t="str">
        <x:v>Agregados del caso base · sumas de payoffs por réplica; Excel reconstruye medias, control e intervalos.</x:v>
      </x:c>
      <x:c r="D4" s="7" t="str">
        <x:v>Agregados del caso base · sumas de payoffs por réplica; Excel reconstruye medias, control e intervalos.</x:v>
      </x:c>
      <x:c r="E4" s="7" t="str">
        <x:v>Agregados del caso base · sumas de payoffs por réplica; Excel reconstruye medias, control e intervalos.</x:v>
      </x:c>
      <x:c r="F4" s="7" t="str">
        <x:v>Agregados del caso base · sumas de payoffs por réplica; Excel reconstruye medias, control e intervalos.</x:v>
      </x:c>
      <x:c r="G4" s="7" t="str">
        <x:v>Agregados del caso base · sumas de payoffs por réplica; Excel reconstruye medias, control e intervalos.</x:v>
      </x:c>
      <x:c r="H4" s="7" t="str">
        <x:v>Agregados del caso base · sumas de payoffs por réplica; Excel reconstruye medias, control e intervalos.</x:v>
      </x:c>
      <x:c r="I4" s="7" t="str">
        <x:v>Agregados del caso base · sumas de payoffs por réplica; Excel reconstruye medias, control e intervalos.</x:v>
      </x:c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</x:row>
    <x:row r="6" ht="27" customHeight="1">
      <x:c r="A6" s="10" t="str">
        <x:v>32 réplicas Sobol · 65.536 parejas por réplica</x:v>
      </x:c>
      <x:c r="B6" s="10" t="str">
        <x:v>32 réplicas Sobol · 65.536 parejas por réplica</x:v>
      </x:c>
      <x:c r="C6" s="10" t="str">
        <x:v>32 réplicas Sobol · 65.536 parejas por réplica</x:v>
      </x:c>
      <x:c r="D6" s="10" t="str">
        <x:v>32 réplicas Sobol · 65.536 parejas por réplica</x:v>
      </x:c>
      <x:c r="E6" s="10" t="str">
        <x:v>32 réplicas Sobol · 65.536 parejas por réplica</x:v>
      </x:c>
      <x:c r="F6" s="10" t="str">
        <x:v>32 réplicas Sobol · 65.536 parejas por réplica</x:v>
      </x:c>
      <x:c r="G6" s="10" t="str">
        <x:v>32 réplicas Sobol · 65.536 parejas por réplica</x:v>
      </x:c>
      <x:c r="H6" s="10" t="str">
        <x:v>32 réplicas Sobol · 65.536 parejas por réplica</x:v>
      </x:c>
      <x:c r="I6" s="10" t="str">
        <x:v>32 réplicas Sobol · 65.536 parejas por réplica</x:v>
      </x:c>
    </x:row>
    <x:row r="7" ht="36" customHeight="1">
      <x:c r="A7" s="13" t="str">
        <x:v>Réplica</x:v>
      </x:c>
      <x:c r="B7" s="13" t="str">
        <x:v>Semilla</x:v>
      </x:c>
      <x:c r="C7" s="13" t="str">
        <x:v>Parejas</x:v>
      </x:c>
      <x:c r="D7" s="13" t="str">
        <x:v>Suma H</x:v>
      </x:c>
      <x:c r="E7" s="13" t="str">
        <x:v>Suma G</x:v>
      </x:c>
      <x:c r="F7" s="13" t="str">
        <x:v>Media H</x:v>
      </x:c>
      <x:c r="G7" s="13" t="str">
        <x:v>Media G</x:v>
      </x:c>
      <x:c r="H7" s="13" t="str">
        <x:v>Con control</x:v>
      </x:c>
      <x:c r="I7" s="13" t="str">
        <x:v>Media acum.</x:v>
      </x:c>
    </x:row>
    <x:row r="8" ht="22" customHeight="1">
      <x:c r="A8" s="80" t="n">
        <x:v>1</x:v>
      </x:c>
      <x:c r="B8" s="80" t="n">
        <x:v>30000</x:v>
      </x:c>
      <x:c r="C8" s="80" t="n">
        <x:v>65536</x:v>
      </x:c>
      <x:c r="D8" s="83" t="n">
        <x:v>892665.0526378015</x:v>
      </x:c>
      <x:c r="E8" s="83" t="n">
        <x:v>838624.9397452066</x:v>
      </x:c>
      <x:c r="F8" s="66" t="n">
        <x:f>D8/C8</x:f>
        <x:v>13.620987741665672</x:v>
      </x:c>
      <x:c r="G8" s="66" t="n">
        <x:f>E8/C8</x:f>
        <x:v>12.79640105812388</x:v>
      </x:c>
      <x:c r="H8" s="67" t="n">
        <x:f>F8-'E3 Opciones'!$D$42*(G8-'E3 Opciones'!$D$41)</x:f>
        <x:v>13.621372648472</x:v>
      </x:c>
      <x:c r="I8" s="66" t="n">
        <x:f>AVERAGE(H$8:H8)</x:f>
        <x:v>13.621372648472</x:v>
      </x:c>
    </x:row>
    <x:row r="9" ht="22" customHeight="1">
      <x:c r="A9" s="80" t="n">
        <x:v>2</x:v>
      </x:c>
      <x:c r="B9" s="80" t="n">
        <x:v>30001</x:v>
      </x:c>
      <x:c r="C9" s="80" t="n">
        <x:v>65536</x:v>
      </x:c>
      <x:c r="D9" s="83" t="n">
        <x:v>892733.2237928328</x:v>
      </x:c>
      <x:c r="E9" s="83" t="n">
        <x:v>838697.1338092563</x:v>
      </x:c>
      <x:c r="F9" s="66" t="n">
        <x:f>D9/C9</x:f>
        <x:v>13.622027950940442</x:v>
      </x:c>
      <x:c r="G9" s="66" t="n">
        <x:f>E9/C9</x:f>
        <x:v>12.797502652118778</x:v>
      </x:c>
      <x:c r="H9" s="67" t="n">
        <x:f>F9-'E3 Opciones'!$D$42*(G9-'E3 Opciones'!$D$41)</x:f>
        <x:v>13.62126585113128</x:v>
      </x:c>
      <x:c r="I9" s="66" t="n">
        <x:f>AVERAGE(H$8:H9)</x:f>
        <x:v>13.62131924980164</x:v>
      </x:c>
    </x:row>
    <x:row r="10" ht="22" customHeight="1">
      <x:c r="A10" s="80" t="n">
        <x:v>3</x:v>
      </x:c>
      <x:c r="B10" s="80" t="n">
        <x:v>30002</x:v>
      </x:c>
      <x:c r="C10" s="80" t="n">
        <x:v>65536</x:v>
      </x:c>
      <x:c r="D10" s="83" t="n">
        <x:v>892736.3448782561</x:v>
      </x:c>
      <x:c r="E10" s="83" t="n">
        <x:v>838672.7916108172</x:v>
      </x:c>
      <x:c r="F10" s="66" t="n">
        <x:f>D10/C10</x:f>
        <x:v>13.622075574924562</x:v>
      </x:c>
      <x:c r="G10" s="66" t="n">
        <x:f>E10/C10</x:f>
        <x:v>12.79713121964748</x:v>
      </x:c>
      <x:c r="H10" s="67" t="n">
        <x:f>F10-'E3 Opciones'!$D$42*(G10-'E3 Opciones'!$D$41)</x:f>
        <x:v>13.621700219690771</x:v>
      </x:c>
      <x:c r="I10" s="66" t="n">
        <x:f>AVERAGE(H$8:H10)</x:f>
        <x:v>13.621446239764685</x:v>
      </x:c>
    </x:row>
    <x:row r="11" ht="22" customHeight="1">
      <x:c r="A11" s="80" t="n">
        <x:v>4</x:v>
      </x:c>
      <x:c r="B11" s="80" t="n">
        <x:v>30003</x:v>
      </x:c>
      <x:c r="C11" s="80" t="n">
        <x:v>65536</x:v>
      </x:c>
      <x:c r="D11" s="83" t="n">
        <x:v>892757.2563928557</x:v>
      </x:c>
      <x:c r="E11" s="83" t="n">
        <x:v>838666.5810284826</x:v>
      </x:c>
      <x:c r="F11" s="66" t="n">
        <x:f>D11/C11</x:f>
        <x:v>13.622394659314814</x:v>
      </x:c>
      <x:c r="G11" s="66" t="n">
        <x:f>E11/C11</x:f>
        <x:v>12.797036453681681</x:v>
      </x:c>
      <x:c r="H11" s="67" t="n">
        <x:f>F11-'E3 Opciones'!$D$42*(G11-'E3 Opciones'!$D$41)</x:f>
        <x:v>13.622117976722846</x:v>
      </x:c>
      <x:c r="I11" s="66" t="n">
        <x:f>AVERAGE(H$8:H11)</x:f>
        <x:v>13.621614174004225</x:v>
      </x:c>
    </x:row>
    <x:row r="12" ht="22" customHeight="1">
      <x:c r="A12" s="80" t="n">
        <x:v>5</x:v>
      </x:c>
      <x:c r="B12" s="80" t="n">
        <x:v>30004</x:v>
      </x:c>
      <x:c r="C12" s="80" t="n">
        <x:v>65536</x:v>
      </x:c>
      <x:c r="D12" s="83" t="n">
        <x:v>892771.1755629379</x:v>
      </x:c>
      <x:c r="E12" s="83" t="n">
        <x:v>838672.0277757975</x:v>
      </x:c>
      <x:c r="F12" s="66" t="n">
        <x:f>D12/C12</x:f>
        <x:v>13.622607048995024</x:v>
      </x:c>
      <x:c r="G12" s="66" t="n">
        <x:f>E12/C12</x:f>
        <x:v>12.797119564450036</x:v>
      </x:c>
      <x:c r="H12" s="67" t="n">
        <x:f>F12-'E3 Opciones'!$D$42*(G12-'E3 Opciones'!$D$41)</x:f>
        <x:v>13.622243829437927</x:v>
      </x:c>
      <x:c r="I12" s="66" t="n">
        <x:f>AVERAGE(H$8:H12)</x:f>
        <x:v>13.621740105090964</x:v>
      </x:c>
    </x:row>
    <x:row r="13" ht="22" customHeight="1">
      <x:c r="A13" s="80" t="n">
        <x:v>6</x:v>
      </x:c>
      <x:c r="B13" s="80" t="n">
        <x:v>30005</x:v>
      </x:c>
      <x:c r="C13" s="80" t="n">
        <x:v>65536</x:v>
      </x:c>
      <x:c r="D13" s="83" t="n">
        <x:v>892764.8474475265</x:v>
      </x:c>
      <x:c r="E13" s="83" t="n">
        <x:v>838720.9307573372</x:v>
      </x:c>
      <x:c r="F13" s="66" t="n">
        <x:f>D13/C13</x:f>
        <x:v>13.622510489616799</x:v>
      </x:c>
      <x:c r="G13" s="66" t="n">
        <x:f>E13/C13</x:f>
        <x:v>12.797865764729877</x:v>
      </x:c>
      <x:c r="H13" s="67" t="n">
        <x:f>F13-'E3 Opciones'!$D$42*(G13-'E3 Opciones'!$D$41)</x:f>
        <x:v>13.621370308074232</x:v>
      </x:c>
      <x:c r="I13" s="66" t="n">
        <x:f>AVERAGE(H$8:H13)</x:f>
        <x:v>13.621678472254843</x:v>
      </x:c>
    </x:row>
    <x:row r="14" ht="22" customHeight="1">
      <x:c r="A14" s="80" t="n">
        <x:v>7</x:v>
      </x:c>
      <x:c r="B14" s="80" t="n">
        <x:v>30006</x:v>
      </x:c>
      <x:c r="C14" s="80" t="n">
        <x:v>65536</x:v>
      </x:c>
      <x:c r="D14" s="83" t="n">
        <x:v>892834.8949129572</x:v>
      </x:c>
      <x:c r="E14" s="83" t="n">
        <x:v>838690.5289854673</x:v>
      </x:c>
      <x:c r="F14" s="66" t="n">
        <x:f>D14/C14</x:f>
        <x:v>13.623579329116168</x:v>
      </x:c>
      <x:c r="G14" s="66" t="n">
        <x:f>E14/C14</x:f>
        <x:v>12.797401870505787</x:v>
      </x:c>
      <x:c r="H14" s="67" t="n">
        <x:f>F14-'E3 Opciones'!$D$42*(G14-'E3 Opciones'!$D$41)</x:f>
        <x:v>13.622922165587847</x:v>
      </x:c>
      <x:c r="I14" s="66" t="n">
        <x:f>AVERAGE(H$8:H14)</x:f>
        <x:v>13.621856142730987</x:v>
      </x:c>
    </x:row>
    <x:row r="15" ht="22" customHeight="1">
      <x:c r="A15" s="80" t="n">
        <x:v>8</x:v>
      </x:c>
      <x:c r="B15" s="80" t="n">
        <x:v>30007</x:v>
      </x:c>
      <x:c r="C15" s="80" t="n">
        <x:v>65536</x:v>
      </x:c>
      <x:c r="D15" s="83" t="n">
        <x:v>892722.4315760904</x:v>
      </x:c>
      <x:c r="E15" s="83" t="n">
        <x:v>838632.9597040955</x:v>
      </x:c>
      <x:c r="F15" s="66" t="n">
        <x:f>D15/C15</x:f>
        <x:v>13.621863274781653</x:v>
      </x:c>
      <x:c r="G15" s="66" t="n">
        <x:f>E15/C15</x:f>
        <x:v>12.796523432984856</x:v>
      </x:c>
      <x:c r="H15" s="67" t="n">
        <x:f>F15-'E3 Opciones'!$D$42*(G15-'E3 Opciones'!$D$41)</x:f>
        <x:v>13.622120761889109</x:v>
      </x:c>
      <x:c r="I15" s="66" t="n">
        <x:f>AVERAGE(H$8:H15)</x:f>
        <x:v>13.621889220125752</x:v>
      </x:c>
    </x:row>
    <x:row r="16" ht="22" customHeight="1">
      <x:c r="A16" s="80" t="n">
        <x:v>9</x:v>
      </x:c>
      <x:c r="B16" s="80" t="n">
        <x:v>30008</x:v>
      </x:c>
      <x:c r="C16" s="80" t="n">
        <x:v>65536</x:v>
      </x:c>
      <x:c r="D16" s="83" t="n">
        <x:v>892782.5320253645</x:v>
      </x:c>
      <x:c r="E16" s="83" t="n">
        <x:v>838711.864870686</x:v>
      </x:c>
      <x:c r="F16" s="66" t="n">
        <x:f>D16/C16</x:f>
        <x:v>13.622780334859687</x:v>
      </x:c>
      <x:c r="G16" s="66" t="n">
        <x:f>E16/C16</x:f>
        <x:v>12.797727430277801</x:v>
      </x:c>
      <x:c r="H16" s="67" t="n">
        <x:f>F16-'E3 Opciones'!$D$42*(G16-'E3 Opciones'!$D$41)</x:f>
        <x:v>13.621784190532662</x:v>
      </x:c>
      <x:c r="I16" s="66" t="n">
        <x:f>AVERAGE(H$8:H16)</x:f>
        <x:v>13.621877550170964</x:v>
      </x:c>
    </x:row>
    <x:row r="17" ht="22" customHeight="1">
      <x:c r="A17" s="80" t="n">
        <x:v>10</x:v>
      </x:c>
      <x:c r="B17" s="80" t="n">
        <x:v>30009</x:v>
      </x:c>
      <x:c r="C17" s="80" t="n">
        <x:v>65536</x:v>
      </x:c>
      <x:c r="D17" s="83" t="n">
        <x:v>892708.7767786817</x:v>
      </x:c>
      <x:c r="E17" s="83" t="n">
        <x:v>838626.6083148567</x:v>
      </x:c>
      <x:c r="F17" s="66" t="n">
        <x:f>D17/C17</x:f>
        <x:v>13.621654919108302</x:v>
      </x:c>
      <x:c r="G17" s="66" t="n">
        <x:f>E17/C17</x:f>
        <x:v>12.796426518476206</x:v>
      </x:c>
      <x:c r="H17" s="67" t="n">
        <x:f>F17-'E3 Opciones'!$D$42*(G17-'E3 Opciones'!$D$41)</x:f>
        <x:v>13.622013315972957</x:v>
      </x:c>
      <x:c r="I17" s="66" t="n">
        <x:f>AVERAGE(H$8:H17)</x:f>
        <x:v>13.621891126751162</x:v>
      </x:c>
    </x:row>
    <x:row r="18" ht="22" customHeight="1">
      <x:c r="A18" s="80" t="n">
        <x:v>11</x:v>
      </x:c>
      <x:c r="B18" s="80" t="n">
        <x:v>30010</x:v>
      </x:c>
      <x:c r="C18" s="80" t="n">
        <x:v>65536</x:v>
      </x:c>
      <x:c r="D18" s="83" t="n">
        <x:v>892750.725190203</x:v>
      </x:c>
      <x:c r="E18" s="83" t="n">
        <x:v>838637.5589067676</x:v>
      </x:c>
      <x:c r="F18" s="66" t="n">
        <x:f>D18/C18</x:f>
        <x:v>13.622295001071214</x:v>
      </x:c>
      <x:c r="G18" s="66" t="n">
        <x:f>E18/C18</x:f>
        <x:v>12.796593611248285</x:v>
      </x:c>
      <x:c r="H18" s="67" t="n">
        <x:f>F18-'E3 Opciones'!$D$42*(G18-'E3 Opciones'!$D$41)</x:f>
        <x:v>13.622479416854034</x:v>
      </x:c>
      <x:c r="I18" s="66" t="n">
        <x:f>AVERAGE(H$8:H18)</x:f>
        <x:v>13.621944607669604</x:v>
      </x:c>
    </x:row>
    <x:row r="19" ht="22" customHeight="1">
      <x:c r="A19" s="80" t="n">
        <x:v>12</x:v>
      </x:c>
      <x:c r="B19" s="80" t="n">
        <x:v>30011</x:v>
      </x:c>
      <x:c r="C19" s="80" t="n">
        <x:v>65536</x:v>
      </x:c>
      <x:c r="D19" s="83" t="n">
        <x:v>892686.0164624102</x:v>
      </x:c>
      <x:c r="E19" s="83" t="n">
        <x:v>838616.3384721712</x:v>
      </x:c>
      <x:c r="F19" s="66" t="n">
        <x:f>D19/C19</x:f>
        <x:v>13.62130762424332</x:v>
      </x:c>
      <x:c r="G19" s="66" t="n">
        <x:f>E19/C19</x:f>
        <x:v>12.796269813112964</x:v>
      </x:c>
      <x:c r="H19" s="67" t="n">
        <x:f>F19-'E3 Opciones'!$D$42*(G19-'E3 Opciones'!$D$41)</x:f>
        <x:v>13.621829186565625</x:v>
      </x:c>
      <x:c r="I19" s="66" t="n">
        <x:f>AVERAGE(H$8:H19)</x:f>
        <x:v>13.621934989244274</x:v>
      </x:c>
    </x:row>
    <x:row r="20" ht="22" customHeight="1">
      <x:c r="A20" s="80" t="n">
        <x:v>13</x:v>
      </x:c>
      <x:c r="B20" s="80" t="n">
        <x:v>30012</x:v>
      </x:c>
      <x:c r="C20" s="80" t="n">
        <x:v>65536</x:v>
      </x:c>
      <x:c r="D20" s="83" t="n">
        <x:v>892728.8120329771</x:v>
      </x:c>
      <x:c r="E20" s="83" t="n">
        <x:v>838654.449492695</x:v>
      </x:c>
      <x:c r="F20" s="66" t="n">
        <x:f>D20/C20</x:f>
        <x:v>13.62196063282741</x:v>
      </x:c>
      <x:c r="G20" s="66" t="n">
        <x:f>E20/C20</x:f>
        <x:v>12.796851341136094</x:v>
      </x:c>
      <x:c r="H20" s="67" t="n">
        <x:f>F20-'E3 Opciones'!$D$42*(G20-'E3 Opciones'!$D$41)</x:f>
        <x:v>13.621876693946266</x:v>
      </x:c>
      <x:c r="I20" s="66" t="n">
        <x:f>AVERAGE(H$8:H20)</x:f>
        <x:v>13.62193050499058</x:v>
      </x:c>
    </x:row>
    <x:row r="21" ht="22" customHeight="1">
      <x:c r="A21" s="80" t="n">
        <x:v>14</x:v>
      </x:c>
      <x:c r="B21" s="80" t="n">
        <x:v>30013</x:v>
      </x:c>
      <x:c r="C21" s="80" t="n">
        <x:v>65536</x:v>
      </x:c>
      <x:c r="D21" s="83" t="n">
        <x:v>892681.7882608925</x:v>
      </x:c>
      <x:c r="E21" s="83" t="n">
        <x:v>838647.8642982282</x:v>
      </x:c>
      <x:c r="F21" s="66" t="n">
        <x:f>D21/C21</x:f>
        <x:v>13.621243107008247</x:v>
      </x:c>
      <x:c r="G21" s="66" t="n">
        <x:f>E21/C21</x:f>
        <x:v>12.796750859042788</x:v>
      </x:c>
      <x:c r="H21" s="67" t="n">
        <x:f>F21-'E3 Opciones'!$D$42*(G21-'E3 Opciones'!$D$41)</x:f>
        <x:v>13.62126379254072</x:v>
      </x:c>
      <x:c r="I21" s="66" t="n">
        <x:f>AVERAGE(H$8:H21)</x:f>
        <x:v>13.621882882672734</x:v>
      </x:c>
    </x:row>
    <x:row r="22" ht="22" customHeight="1">
      <x:c r="A22" s="80" t="n">
        <x:v>15</x:v>
      </x:c>
      <x:c r="B22" s="80" t="n">
        <x:v>30014</x:v>
      </x:c>
      <x:c r="C22" s="80" t="n">
        <x:v>65536</x:v>
      </x:c>
      <x:c r="D22" s="83" t="n">
        <x:v>892756.5903550321</x:v>
      </x:c>
      <x:c r="E22" s="83" t="n">
        <x:v>838673.7323021146</x:v>
      </x:c>
      <x:c r="F22" s="66" t="n">
        <x:f>D22/C22</x:f>
        <x:v>13.622384496384157</x:v>
      </x:c>
      <x:c r="G22" s="66" t="n">
        <x:f>E22/C22</x:f>
        <x:v>12.79714557345756</x:v>
      </x:c>
      <x:c r="H22" s="67" t="n">
        <x:f>F22-'E3 Opciones'!$D$42*(G22-'E3 Opciones'!$D$41)</x:f>
        <x:v>13.621994195612176</x:v>
      </x:c>
      <x:c r="I22" s="66" t="n">
        <x:f>AVERAGE(H$8:H22)</x:f>
        <x:v>13.621890303535364</x:v>
      </x:c>
    </x:row>
    <x:row r="23" ht="22" customHeight="1">
      <x:c r="A23" s="80" t="n">
        <x:v>16</x:v>
      </x:c>
      <x:c r="B23" s="80" t="n">
        <x:v>30015</x:v>
      </x:c>
      <x:c r="C23" s="80" t="n">
        <x:v>65536</x:v>
      </x:c>
      <x:c r="D23" s="83" t="n">
        <x:v>892733.9067021874</x:v>
      </x:c>
      <x:c r="E23" s="83" t="n">
        <x:v>838649.5827651457</x:v>
      </x:c>
      <x:c r="F23" s="66" t="n">
        <x:f>D23/C23</x:f>
        <x:v>13.622038371310232</x:v>
      </x:c>
      <x:c r="G23" s="66" t="n">
        <x:f>E23/C23</x:f>
        <x:v>12.796777080766994</x:v>
      </x:c>
      <x:c r="H23" s="67" t="n">
        <x:f>F23-'E3 Opciones'!$D$42*(G23-'E3 Opciones'!$D$41)</x:f>
        <x:v>13.622031754142007</x:v>
      </x:c>
      <x:c r="I23" s="66" t="n">
        <x:f>AVERAGE(H$8:H23)</x:f>
        <x:v>13.621899144198279</x:v>
      </x:c>
    </x:row>
    <x:row r="24" ht="22" customHeight="1">
      <x:c r="A24" s="80" t="n">
        <x:v>17</x:v>
      </x:c>
      <x:c r="B24" s="80" t="n">
        <x:v>30016</x:v>
      </x:c>
      <x:c r="C24" s="80" t="n">
        <x:v>65536</x:v>
      </x:c>
      <x:c r="D24" s="83" t="n">
        <x:v>892662.1841780518</x:v>
      </x:c>
      <x:c r="E24" s="83" t="n">
        <x:v>838624.0305883549</x:v>
      </x:c>
      <x:c r="F24" s="66" t="n">
        <x:f>D24/C24</x:f>
        <x:v>13.620943972443417</x:v>
      </x:c>
      <x:c r="G24" s="66" t="n">
        <x:f>E24/C24</x:f>
        <x:v>12.796387185491255</x:v>
      </x:c>
      <x:c r="H24" s="67" t="n">
        <x:f>F24-'E3 Opciones'!$D$42*(G24-'E3 Opciones'!$D$41)</x:f>
        <x:v>13.621343323774196</x:v>
      </x:c>
      <x:c r="I24" s="66" t="n">
        <x:f>AVERAGE(H$8:H24)</x:f>
        <x:v>13.621866448879215</x:v>
      </x:c>
    </x:row>
    <x:row r="25" ht="22" customHeight="1">
      <x:c r="A25" s="80" t="n">
        <x:v>18</x:v>
      </x:c>
      <x:c r="B25" s="80" t="n">
        <x:v>30017</x:v>
      </x:c>
      <x:c r="C25" s="80" t="n">
        <x:v>65536</x:v>
      </x:c>
      <x:c r="D25" s="83" t="n">
        <x:v>892755.7446053345</x:v>
      </x:c>
      <x:c r="E25" s="83" t="n">
        <x:v>838660.7101226801</x:v>
      </x:c>
      <x:c r="F25" s="66" t="n">
        <x:f>D25/C25</x:f>
        <x:v>13.622371591267921</x:v>
      </x:c>
      <x:c r="G25" s="66" t="n">
        <x:f>E25/C25</x:f>
        <x:v>12.796946870768434</x:v>
      </x:c>
      <x:c r="H25" s="67" t="n">
        <x:f>F25-'E3 Opciones'!$D$42*(G25-'E3 Opciones'!$D$41)</x:f>
        <x:v>13.62218818459667</x:v>
      </x:c>
      <x:c r="I25" s="66" t="n">
        <x:f>AVERAGE(H$8:H25)</x:f>
        <x:v>13.621884323085741</x:v>
      </x:c>
    </x:row>
    <x:row r="26" ht="22" customHeight="1">
      <x:c r="A26" s="80" t="n">
        <x:v>19</x:v>
      </x:c>
      <x:c r="B26" s="80" t="n">
        <x:v>30018</x:v>
      </x:c>
      <x:c r="C26" s="80" t="n">
        <x:v>65536</x:v>
      </x:c>
      <x:c r="D26" s="83" t="n">
        <x:v>892683.171988386</x:v>
      </x:c>
      <x:c r="E26" s="83" t="n">
        <x:v>838610.3416448291</x:v>
      </x:c>
      <x:c r="F26" s="66" t="n">
        <x:f>D26/C26</x:f>
        <x:v>13.62126422101419</x:v>
      </x:c>
      <x:c r="G26" s="66" t="n">
        <x:f>E26/C26</x:f>
        <x:v>12.796178308789507</x:v>
      </x:c>
      <x:c r="H26" s="67" t="n">
        <x:f>F26-'E3 Opciones'!$D$42*(G26-'E3 Opciones'!$D$41)</x:f>
        <x:v>13.621881059876525</x:v>
      </x:c>
      <x:c r="I26" s="66" t="n">
        <x:f>AVERAGE(H$8:H26)</x:f>
        <x:v>13.621884151337886</x:v>
      </x:c>
    </x:row>
    <x:row r="27" ht="22" customHeight="1">
      <x:c r="A27" s="80" t="n">
        <x:v>20</x:v>
      </x:c>
      <x:c r="B27" s="80" t="n">
        <x:v>30019</x:v>
      </x:c>
      <x:c r="C27" s="80" t="n">
        <x:v>65536</x:v>
      </x:c>
      <x:c r="D27" s="83" t="n">
        <x:v>892717.7342529076</x:v>
      </x:c>
      <x:c r="E27" s="83" t="n">
        <x:v>838634.7002515616</x:v>
      </x:c>
      <x:c r="F27" s="66" t="n">
        <x:f>D27/C27</x:f>
        <x:v>13.621791599318048</x:v>
      </x:c>
      <x:c r="G27" s="66" t="n">
        <x:f>E27/C27</x:f>
        <x:v>12.796549991631494</x:v>
      </x:c>
      <x:c r="H27" s="67" t="n">
        <x:f>F27-'E3 Opciones'!$D$42*(G27-'E3 Opciones'!$D$41)</x:f>
        <x:v>13.622021432912927</x:v>
      </x:c>
      <x:c r="I27" s="66" t="n">
        <x:f>AVERAGE(H$8:H27)</x:f>
        <x:v>13.621891015416637</x:v>
      </x:c>
    </x:row>
    <x:row r="28" ht="22" customHeight="1">
      <x:c r="A28" s="80" t="n">
        <x:v>21</x:v>
      </x:c>
      <x:c r="B28" s="80" t="n">
        <x:v>30020</x:v>
      </x:c>
      <x:c r="C28" s="80" t="n">
        <x:v>65536</x:v>
      </x:c>
      <x:c r="D28" s="83" t="n">
        <x:v>892738.890123944</x:v>
      </x:c>
      <x:c r="E28" s="83" t="n">
        <x:v>838685.2650129843</x:v>
      </x:c>
      <x:c r="F28" s="66" t="n">
        <x:f>D28/C28</x:f>
        <x:v>13.622114412291626</x:v>
      </x:c>
      <x:c r="G28" s="66" t="n">
        <x:f>E28/C28</x:f>
        <x:v>12.797321548660038</x:v>
      </x:c>
      <x:c r="H28" s="67" t="n">
        <x:f>F28-'E3 Opciones'!$D$42*(G28-'E3 Opciones'!$D$41)</x:f>
        <x:v>13.62154088183399</x:v>
      </x:c>
      <x:c r="I28" s="66" t="n">
        <x:f>AVERAGE(H$8:H28)</x:f>
        <x:v>13.621874342388892</x:v>
      </x:c>
    </x:row>
    <x:row r="29" ht="22" customHeight="1">
      <x:c r="A29" s="80" t="n">
        <x:v>22</x:v>
      </x:c>
      <x:c r="B29" s="80" t="n">
        <x:v>30021</x:v>
      </x:c>
      <x:c r="C29" s="80" t="n">
        <x:v>65536</x:v>
      </x:c>
      <x:c r="D29" s="83" t="n">
        <x:v>892739.2678988231</x:v>
      </x:c>
      <x:c r="E29" s="83" t="n">
        <x:v>838710.3892374823</x:v>
      </x:c>
      <x:c r="F29" s="66" t="n">
        <x:f>D29/C29</x:f>
        <x:v>13.62212017667882</x:v>
      </x:c>
      <x:c r="G29" s="66" t="n">
        <x:f>E29/C29</x:f>
        <x:v>12.797704913902013</x:v>
      </x:c>
      <x:c r="H29" s="67" t="n">
        <x:f>F29-'E3 Opciones'!$D$42*(G29-'E3 Opciones'!$D$41)</x:f>
        <x:v>13.621147476953077</x:v>
      </x:c>
      <x:c r="I29" s="66" t="n">
        <x:f>AVERAGE(H$8:H29)</x:f>
        <x:v>13.6218413030509</x:v>
      </x:c>
    </x:row>
    <x:row r="30" ht="22" customHeight="1">
      <x:c r="A30" s="80" t="n">
        <x:v>23</x:v>
      </x:c>
      <x:c r="B30" s="80" t="n">
        <x:v>30022</x:v>
      </x:c>
      <x:c r="C30" s="80" t="n">
        <x:v>65536</x:v>
      </x:c>
      <x:c r="D30" s="83" t="n">
        <x:v>892662.9960627677</x:v>
      </x:c>
      <x:c r="E30" s="83" t="n">
        <x:v>838570.1623524249</x:v>
      </x:c>
      <x:c r="F30" s="66" t="n">
        <x:f>D30/C30</x:f>
        <x:v>13.62095636082104</x:v>
      </x:c>
      <x:c r="G30" s="66" t="n">
        <x:f>E30/C30</x:f>
        <x:v>12.79556522144203</x:v>
      </x:c>
      <x:c r="H30" s="67" t="n">
        <x:f>F30-'E3 Opciones'!$D$42*(G30-'E3 Opciones'!$D$41)</x:f>
        <x:v>13.622211561227362</x:v>
      </x:c>
      <x:c r="I30" s="66" t="n">
        <x:f>AVERAGE(H$8:H30)</x:f>
        <x:v>13.621857401232484</x:v>
      </x:c>
    </x:row>
    <x:row r="31" ht="22" customHeight="1">
      <x:c r="A31" s="80" t="n">
        <x:v>24</x:v>
      </x:c>
      <x:c r="B31" s="80" t="n">
        <x:v>30023</x:v>
      </x:c>
      <x:c r="C31" s="80" t="n">
        <x:v>65536</x:v>
      </x:c>
      <x:c r="D31" s="83" t="n">
        <x:v>892755.8666462319</x:v>
      </x:c>
      <x:c r="E31" s="83" t="n">
        <x:v>838716.5675354989</x:v>
      </x:c>
      <x:c r="F31" s="66" t="n">
        <x:f>D31/C31</x:f>
        <x:v>13.622373453464231</x:v>
      </x:c>
      <x:c r="G31" s="66" t="n">
        <x:f>E31/C31</x:f>
        <x:v>12.797799187248213</x:v>
      </x:c>
      <x:c r="H31" s="67" t="n">
        <x:f>F31-'E3 Opciones'!$D$42*(G31-'E3 Opciones'!$D$41)</x:f>
        <x:v>13.621302594024241</x:v>
      </x:c>
      <x:c r="I31" s="66" t="n">
        <x:f>AVERAGE(H$8:H31)</x:f>
        <x:v>13.621834284265475</x:v>
      </x:c>
    </x:row>
    <x:row r="32" ht="22" customHeight="1">
      <x:c r="A32" s="80" t="n">
        <x:v>25</x:v>
      </x:c>
      <x:c r="B32" s="80" t="n">
        <x:v>30024</x:v>
      </x:c>
      <x:c r="C32" s="80" t="n">
        <x:v>65536</x:v>
      </x:c>
      <x:c r="D32" s="83" t="n">
        <x:v>892767.502131698</x:v>
      </x:c>
      <x:c r="E32" s="83" t="n">
        <x:v>838701.1438213395</x:v>
      </x:c>
      <x:c r="F32" s="66" t="n">
        <x:f>D32/C32</x:f>
        <x:v>13.622550996882598</x:v>
      </x:c>
      <x:c r="G32" s="66" t="n">
        <x:f>E32/C32</x:f>
        <x:v>12.797563840047294</x:v>
      </x:c>
      <x:c r="H32" s="67" t="n">
        <x:f>F32-'E3 Opciones'!$D$42*(G32-'E3 Opciones'!$D$41)</x:f>
        <x:v>13.62172518670544</x:v>
      </x:c>
      <x:c r="I32" s="66" t="n">
        <x:f>AVERAGE(H$8:H32)</x:f>
        <x:v>13.621829920363073</x:v>
      </x:c>
    </x:row>
    <x:row r="33" ht="22" customHeight="1">
      <x:c r="A33" s="80" t="n">
        <x:v>26</x:v>
      </x:c>
      <x:c r="B33" s="80" t="n">
        <x:v>30025</x:v>
      </x:c>
      <x:c r="C33" s="80" t="n">
        <x:v>65536</x:v>
      </x:c>
      <x:c r="D33" s="83" t="n">
        <x:v>892719.2681853549</x:v>
      </x:c>
      <x:c r="E33" s="83" t="n">
        <x:v>838695.9645368299</x:v>
      </x:c>
      <x:c r="F33" s="66" t="n">
        <x:f>D33/C33</x:f>
        <x:v>13.621815005269697</x:v>
      </x:c>
      <x:c r="G33" s="66" t="n">
        <x:f>E33/C33</x:f>
        <x:v>12.797484810437467</x:v>
      </x:c>
      <x:c r="H33" s="67" t="n">
        <x:f>F33-'E3 Opciones'!$D$42*(G33-'E3 Opciones'!$D$41)</x:f>
        <x:v>13.621071482655573</x:v>
      </x:c>
      <x:c r="I33" s="66" t="n">
        <x:f>AVERAGE(H$8:H33)</x:f>
        <x:v>13.621800749682015</x:v>
      </x:c>
    </x:row>
    <x:row r="34" ht="22" customHeight="1">
      <x:c r="A34" s="80" t="n">
        <x:v>27</x:v>
      </x:c>
      <x:c r="B34" s="80" t="n">
        <x:v>30026</x:v>
      </x:c>
      <x:c r="C34" s="80" t="n">
        <x:v>65536</x:v>
      </x:c>
      <x:c r="D34" s="83" t="n">
        <x:v>892713.0517322747</x:v>
      </x:c>
      <x:c r="E34" s="83" t="n">
        <x:v>838653.987065573</x:v>
      </x:c>
      <x:c r="F34" s="66" t="n">
        <x:f>D34/C34</x:f>
        <x:v>13.62172014972343</x:v>
      </x:c>
      <x:c r="G34" s="66" t="n">
        <x:f>E34/C34</x:f>
        <x:v>12.796844285058182</x:v>
      </x:c>
      <x:c r="H34" s="67" t="n">
        <x:f>F34-'E3 Opciones'!$D$42*(G34-'E3 Opciones'!$D$41)</x:f>
        <x:v>13.62164355780322</x:v>
      </x:c>
      <x:c r="I34" s="66" t="n">
        <x:f>AVERAGE(H$8:H34)</x:f>
        <x:v>13.621794927760577</x:v>
      </x:c>
    </x:row>
    <x:row r="35" ht="22" customHeight="1">
      <x:c r="A35" s="80" t="n">
        <x:v>28</x:v>
      </x:c>
      <x:c r="B35" s="80" t="n">
        <x:v>30027</x:v>
      </x:c>
      <x:c r="C35" s="80" t="n">
        <x:v>65536</x:v>
      </x:c>
      <x:c r="D35" s="83" t="n">
        <x:v>892714.3425022993</x:v>
      </x:c>
      <x:c r="E35" s="83" t="n">
        <x:v>838607.7877637469</x:v>
      </x:c>
      <x:c r="F35" s="66" t="n">
        <x:f>D35/C35</x:f>
        <x:v>13.621739845310964</x:v>
      </x:c>
      <x:c r="G35" s="66" t="n">
        <x:f>E35/C35</x:f>
        <x:v>12.796139339656783</x:v>
      </x:c>
      <x:c r="H35" s="67" t="n">
        <x:f>F35-'E3 Opciones'!$D$42*(G35-'E3 Opciones'!$D$41)</x:f>
        <x:v>13.622397259787583</x:v>
      </x:c>
      <x:c r="I35" s="66" t="n">
        <x:f>AVERAGE(H$8:H35)</x:f>
        <x:v>13.621816439618685</x:v>
      </x:c>
    </x:row>
    <x:row r="36" ht="22" customHeight="1">
      <x:c r="A36" s="80" t="n">
        <x:v>29</x:v>
      </x:c>
      <x:c r="B36" s="80" t="n">
        <x:v>30028</x:v>
      </x:c>
      <x:c r="C36" s="80" t="n">
        <x:v>65536</x:v>
      </x:c>
      <x:c r="D36" s="83" t="n">
        <x:v>892714.0593971699</x:v>
      </x:c>
      <x:c r="E36" s="83" t="n">
        <x:v>838608.5328513393</x:v>
      </x:c>
      <x:c r="F36" s="66" t="n">
        <x:f>D36/C36</x:f>
        <x:v>13.62173552546951</x:v>
      </x:c>
      <x:c r="G36" s="66" t="n">
        <x:f>E36/C36</x:f>
        <x:v>12.796150708791188</x:v>
      </x:c>
      <x:c r="H36" s="67" t="n">
        <x:f>F36-'E3 Opciones'!$D$42*(G36-'E3 Opciones'!$D$41)</x:f>
        <x:v>13.622381102125267</x:v>
      </x:c>
      <x:c r="I36" s="66" t="n">
        <x:f>AVERAGE(H$8:H36)</x:f>
        <x:v>13.621835910739602</x:v>
      </x:c>
    </x:row>
    <x:row r="37" ht="22" customHeight="1">
      <x:c r="A37" s="80" t="n">
        <x:v>30</x:v>
      </x:c>
      <x:c r="B37" s="80" t="n">
        <x:v>30029</x:v>
      </x:c>
      <x:c r="C37" s="80" t="n">
        <x:v>65536</x:v>
      </x:c>
      <x:c r="D37" s="83" t="n">
        <x:v>892705.4496221929</x:v>
      </x:c>
      <x:c r="E37" s="83" t="n">
        <x:v>838661.3728310592</x:v>
      </x:c>
      <x:c r="F37" s="66" t="n">
        <x:f>D37/C37</x:f>
        <x:v>13.621604150729262</x:v>
      </x:c>
      <x:c r="G37" s="66" t="n">
        <x:f>E37/C37</x:f>
        <x:v>12.7969569828958</x:v>
      </x:c>
      <x:c r="H37" s="67" t="n">
        <x:f>F37-'E3 Opciones'!$D$42*(G37-'E3 Opciones'!$D$41)</x:f>
        <x:v>13.621410215063626</x:v>
      </x:c>
      <x:c r="I37" s="66" t="n">
        <x:f>AVERAGE(H$8:H37)</x:f>
        <x:v>13.621821720883736</x:v>
      </x:c>
    </x:row>
    <x:row r="38" ht="22" customHeight="1">
      <x:c r="A38" s="80" t="n">
        <x:v>31</x:v>
      </x:c>
      <x:c r="B38" s="80" t="n">
        <x:v>30030</x:v>
      </x:c>
      <x:c r="C38" s="80" t="n">
        <x:v>65536</x:v>
      </x:c>
      <x:c r="D38" s="83" t="n">
        <x:v>892750.737204479</x:v>
      </x:c>
      <x:c r="E38" s="83" t="n">
        <x:v>838681.2371422339</x:v>
      </x:c>
      <x:c r="F38" s="66" t="n">
        <x:f>D38/C38</x:f>
        <x:v>13.622295184394517</x:v>
      </x:c>
      <x:c r="G38" s="66" t="n">
        <x:f>E38/C38</x:f>
        <x:v>12.797260088229887</x:v>
      </x:c>
      <x:c r="H38" s="67" t="n">
        <x:f>F38-'E3 Opciones'!$D$42*(G38-'E3 Opciones'!$D$41)</x:f>
        <x:v>13.621785648040245</x:v>
      </x:c>
      <x:c r="I38" s="66" t="n">
        <x:f>AVERAGE(H$8:H38)</x:f>
        <x:v>13.621820557243623</x:v>
      </x:c>
    </x:row>
    <x:row r="39" ht="22" customHeight="1">
      <x:c r="A39" s="80" t="n">
        <x:v>32</x:v>
      </x:c>
      <x:c r="B39" s="80" t="n">
        <x:v>30031</x:v>
      </x:c>
      <x:c r="C39" s="80" t="n">
        <x:v>65536</x:v>
      </x:c>
      <x:c r="D39" s="83" t="n">
        <x:v>892713.4507835745</x:v>
      </x:c>
      <x:c r="E39" s="83" t="n">
        <x:v>838674.5604174375</x:v>
      </x:c>
      <x:c r="F39" s="66" t="n">
        <x:f>D39/C39</x:f>
        <x:v>13.621726238763038</x:v>
      </x:c>
      <x:c r="G39" s="66" t="n">
        <x:f>E39/C39</x:f>
        <x:v>12.79715820949459</x:v>
      </x:c>
      <x:c r="H39" s="67" t="n">
        <x:f>F39-'E3 Opciones'!$D$42*(G39-'E3 Opciones'!$D$41)</x:f>
        <x:v>13.62132278104019</x:v>
      </x:c>
      <x:c r="I39" s="66" t="n">
        <x:f>AVERAGE(H$8:H39)</x:f>
        <x:v>13.621805001737266</x:v>
      </x:c>
    </x:row>
    <x:row r="40" ht="22" customHeight="1">
      <x:c r="A40" s="2"/>
      <x:c r="B40" s="2"/>
      <x:c r="C40" s="2"/>
      <x:c r="D40" s="2"/>
      <x:c r="E40" s="2"/>
      <x:c r="F40" s="2"/>
      <x:c r="G40" s="2"/>
      <x:c r="H40" s="2"/>
      <x:c r="I40" s="2"/>
    </x:row>
    <x:row r="41" ht="36" customHeight="1">
      <x:c r="A41" s="22" t="str">
        <x:v>H y G son payoffs descontados aritmético y geométrico, promediados sobre Z y −Z. Las sumas se regeneran con las semillas del notebook.</x:v>
      </x:c>
      <x:c r="B41" s="22" t="str">
        <x:v>H y G son payoffs descontados aritmético y geométrico, promediados sobre Z y −Z. Las sumas se regeneran con las semillas del notebook.</x:v>
      </x:c>
      <x:c r="C41" s="22" t="str">
        <x:v>H y G son payoffs descontados aritmético y geométrico, promediados sobre Z y −Z. Las sumas se regeneran con las semillas del notebook.</x:v>
      </x:c>
      <x:c r="D41" s="22" t="str">
        <x:v>H y G son payoffs descontados aritmético y geométrico, promediados sobre Z y −Z. Las sumas se regeneran con las semillas del notebook.</x:v>
      </x:c>
      <x:c r="E41" s="22" t="str">
        <x:v>H y G son payoffs descontados aritmético y geométrico, promediados sobre Z y −Z. Las sumas se regeneran con las semillas del notebook.</x:v>
      </x:c>
      <x:c r="F41" s="22" t="str">
        <x:v>H y G son payoffs descontados aritmético y geométrico, promediados sobre Z y −Z. Las sumas se regeneran con las semillas del notebook.</x:v>
      </x:c>
      <x:c r="G41" s="22" t="str">
        <x:v>H y G son payoffs descontados aritmético y geométrico, promediados sobre Z y −Z. Las sumas se regeneran con las semillas del notebook.</x:v>
      </x:c>
      <x:c r="H41" s="22" t="str">
        <x:v>H y G son payoffs descontados aritmético y geométrico, promediados sobre Z y −Z. Las sumas se regeneran con las semillas del notebook.</x:v>
      </x:c>
      <x:c r="I41" s="22" t="str">
        <x:v>H y G son payoffs descontados aritmético y geométrico, promediados sobre Z y −Z. Las sumas se regeneran con las semillas del notebook.</x:v>
      </x:c>
    </x:row>
    <x:row r="42" ht="22" customHeight="1">
      <x:c r="A42" s="2"/>
      <x:c r="B42" s="2"/>
      <x:c r="C42" s="2"/>
      <x:c r="D42" s="2"/>
      <x:c r="E42" s="2"/>
      <x:c r="F42" s="2"/>
      <x:c r="G42" s="2"/>
      <x:c r="H42" s="2"/>
      <x:c r="I42" s="2"/>
    </x:row>
    <x:row r="43" ht="27" customHeight="1">
      <x:c r="A43" s="10" t="str">
        <x:v>Piloto independiente · coeficiente de control</x:v>
      </x:c>
      <x:c r="B43" s="10" t="str">
        <x:v>Piloto independiente · coeficiente de control</x:v>
      </x:c>
      <x:c r="C43" s="10" t="str">
        <x:v>Piloto independiente · coeficiente de control</x:v>
      </x:c>
      <x:c r="D43" s="10" t="str">
        <x:v>Piloto independiente · coeficiente de control</x:v>
      </x:c>
      <x:c r="E43" s="10" t="str">
        <x:v>Piloto independiente · coeficiente de control</x:v>
      </x:c>
      <x:c r="F43" s="10" t="str">
        <x:v>Piloto independiente · coeficiente de control</x:v>
      </x:c>
      <x:c r="G43" s="10" t="str">
        <x:v>Piloto independiente · coeficiente de control</x:v>
      </x:c>
      <x:c r="H43" s="10" t="str">
        <x:v>Piloto independiente · coeficiente de control</x:v>
      </x:c>
      <x:c r="I43" s="10" t="str">
        <x:v>Piloto independiente · coeficiente de control</x:v>
      </x:c>
    </x:row>
    <x:row r="44" ht="31" customHeight="1">
      <x:c r="A44" s="57" t="str">
        <x:v>Cov(H,G)</x:v>
      </x:c>
      <x:c r="B44" s="57" t="str">
        <x:v>Cov(H,G)</x:v>
      </x:c>
      <x:c r="C44" s="57" t="str">
        <x:v>Cov(H,G)</x:v>
      </x:c>
      <x:c r="D44" s="47" t="n">
        <x:f>'Datos'!B35</x:f>
        <x:v>188.83413221865058</x:v>
      </x:c>
      <x:c r="E44" s="2"/>
      <x:c r="F44" s="22" t="str">
        <x:v>   200.000 parejas · semilla 20260302</x:v>
      </x:c>
      <x:c r="G44" s="22" t="str">
        <x:v>   200.000 parejas · semilla 20260302</x:v>
      </x:c>
      <x:c r="H44" s="22" t="str">
        <x:v>   200.000 parejas · semilla 20260302</x:v>
      </x:c>
      <x:c r="I44" s="22" t="str">
        <x:v>   200.000 parejas · semilla 20260302</x:v>
      </x:c>
    </x:row>
    <x:row r="45" ht="31" customHeight="1">
      <x:c r="A45" s="57" t="str">
        <x:v>Var(G)</x:v>
      </x:c>
      <x:c r="B45" s="57" t="str">
        <x:v>Var(G)</x:v>
      </x:c>
      <x:c r="C45" s="57" t="str">
        <x:v>Var(G)</x:v>
      </x:c>
      <x:c r="D45" s="47" t="n">
        <x:f>'Datos'!B36</x:f>
        <x:v>181.35775615817292</x:v>
      </x:c>
      <x:c r="E45" s="2"/>
      <x:c r="F45" s="22" t="str">
        <x:v>   Estadísticos fijados del mismo piloto</x:v>
      </x:c>
      <x:c r="G45" s="22" t="str">
        <x:v>   Estadísticos fijados del mismo piloto</x:v>
      </x:c>
      <x:c r="H45" s="22" t="str">
        <x:v>   Estadísticos fijados del mismo piloto</x:v>
      </x:c>
      <x:c r="I45" s="22" t="str">
        <x:v>   Estadísticos fijados del mismo piloto</x:v>
      </x:c>
    </x:row>
    <x:row r="46" ht="31" customHeight="1">
      <x:c r="A46" s="57" t="str">
        <x:v>β de control</x:v>
      </x:c>
      <x:c r="B46" s="57" t="str">
        <x:v>β de control</x:v>
      </x:c>
      <x:c r="C46" s="57" t="str">
        <x:v>β de control</x:v>
      </x:c>
      <x:c r="D46" s="46" t="n">
        <x:f>D44/D45</x:f>
        <x:v>1.0412244627351757</x:v>
      </x:c>
      <x:c r="E46" s="2"/>
      <x:c r="F46" s="22" t="str">
        <x:v>   Cov(H,G) / Var(G)</x:v>
      </x:c>
      <x:c r="G46" s="22" t="str">
        <x:v>   Cov(H,G) / Var(G)</x:v>
      </x:c>
      <x:c r="H46" s="22" t="str">
        <x:v>   Cov(H,G) / Var(G)</x:v>
      </x:c>
      <x:c r="I46" s="22" t="str">
        <x:v>   Cov(H,G) / Var(G)</x:v>
      </x:c>
    </x:row>
    <x:row r="47" ht="22" customHeight="1">
      <x:c r="A47" s="2"/>
      <x:c r="B47" s="2"/>
      <x:c r="C47" s="2"/>
      <x:c r="D47" s="2"/>
      <x:c r="E47" s="2"/>
      <x:c r="F47" s="2"/>
      <x:c r="G47" s="2"/>
      <x:c r="H47" s="2"/>
      <x:c r="I47" s="2"/>
    </x:row>
    <x:row r="48" ht="27" customHeight="1">
      <x:c r="A48" s="10" t="str">
        <x:v>Contraste PRNG independiente · 1.000.000 parejas</x:v>
      </x:c>
      <x:c r="B48" s="10" t="str">
        <x:v>Contraste PRNG independiente · 1.000.000 parejas</x:v>
      </x:c>
      <x:c r="C48" s="10" t="str">
        <x:v>Contraste PRNG independiente · 1.000.000 parejas</x:v>
      </x:c>
      <x:c r="D48" s="10" t="str">
        <x:v>Contraste PRNG independiente · 1.000.000 parejas</x:v>
      </x:c>
      <x:c r="E48" s="10" t="str">
        <x:v>Contraste PRNG independiente · 1.000.000 parejas</x:v>
      </x:c>
      <x:c r="F48" s="10" t="str">
        <x:v>Contraste PRNG independiente · 1.000.000 parejas</x:v>
      </x:c>
      <x:c r="G48" s="10" t="str">
        <x:v>Contraste PRNG independiente · 1.000.000 parejas</x:v>
      </x:c>
      <x:c r="H48" s="10" t="str">
        <x:v>Contraste PRNG independiente · 1.000.000 parejas</x:v>
      </x:c>
      <x:c r="I48" s="10" t="str">
        <x:v>Contraste PRNG independiente · 1.000.000 parejas</x:v>
      </x:c>
    </x:row>
    <x:row r="49" ht="22" customHeight="1">
      <x:c r="A49" s="57" t="str">
        <x:v>Parejas</x:v>
      </x:c>
      <x:c r="B49" s="57" t="str">
        <x:v>Parejas</x:v>
      </x:c>
      <x:c r="C49" s="57" t="str">
        <x:v>Parejas</x:v>
      </x:c>
      <x:c r="D49" s="80" t="n">
        <x:v>1000000</x:v>
      </x:c>
      <x:c r="E49" s="6"/>
      <x:c r="F49" s="2"/>
      <x:c r="G49" s="2"/>
      <x:c r="H49" s="2"/>
      <x:c r="I49" s="2"/>
    </x:row>
    <x:row r="50" ht="22" customHeight="1">
      <x:c r="A50" s="57" t="str">
        <x:v>Suma H</x:v>
      </x:c>
      <x:c r="B50" s="57" t="str">
        <x:v>Suma H</x:v>
      </x:c>
      <x:c r="C50" s="57" t="str">
        <x:v>Suma H</x:v>
      </x:c>
      <x:c r="D50" s="84" t="n">
        <x:v>13634828.183700018</x:v>
      </x:c>
      <x:c r="E50" s="6"/>
      <x:c r="F50" s="2"/>
      <x:c r="G50" s="2"/>
      <x:c r="H50" s="2"/>
      <x:c r="I50" s="2"/>
    </x:row>
    <x:row r="51" ht="22" customHeight="1">
      <x:c r="A51" s="57" t="str">
        <x:v>Suma G</x:v>
      </x:c>
      <x:c r="B51" s="57" t="str">
        <x:v>Suma G</x:v>
      </x:c>
      <x:c r="C51" s="57" t="str">
        <x:v>Suma G</x:v>
      </x:c>
      <x:c r="D51" s="84" t="n">
        <x:v>12809003.980535552</x:v>
      </x:c>
      <x:c r="E51" s="6"/>
      <x:c r="F51" s="2"/>
      <x:c r="G51" s="2"/>
      <x:c r="H51" s="2"/>
      <x:c r="I51" s="2"/>
    </x:row>
    <x:row r="52" ht="22" customHeight="1">
      <x:c r="A52" s="57" t="str">
        <x:v>Suma payoff CV²</x:v>
      </x:c>
      <x:c r="B52" s="57" t="str">
        <x:v>Suma payoff CV²</x:v>
      </x:c>
      <x:c r="C52" s="57" t="str">
        <x:v>Suma payoff CV²</x:v>
      </x:c>
      <x:c r="D52" s="84" t="n">
        <x:v>186671217.4091981</x:v>
      </x:c>
      <x:c r="E52" s="6"/>
      <x:c r="F52" s="2"/>
      <x:c r="G52" s="2"/>
      <x:c r="H52" s="2"/>
      <x:c r="I52" s="2"/>
    </x:row>
    <x:row r="53" ht="31" customHeight="1">
      <x:c r="A53" s="57" t="str">
        <x:v>Precio PRNG</x:v>
      </x:c>
      <x:c r="B53" s="57" t="str">
        <x:v>Precio PRNG</x:v>
      </x:c>
      <x:c r="C53" s="57" t="str">
        <x:v>Precio PRNG</x:v>
      </x:c>
      <x:c r="D53" s="47" t="n">
        <x:f>D50/D49-'E3 Opciones'!D42*(D51/D49-'E3 Opciones'!D41)</x:f>
        <x:v>13.62209061938936</x:v>
      </x:c>
      <x:c r="E53" s="2"/>
      <x:c r="F53" s="22" t="str">
        <x:v>   Semilla 20260303 · control fijado en piloto</x:v>
      </x:c>
      <x:c r="G53" s="22" t="str">
        <x:v>   Semilla 20260303 · control fijado en piloto</x:v>
      </x:c>
      <x:c r="H53" s="22" t="str">
        <x:v>   Semilla 20260303 · control fijado en piloto</x:v>
      </x:c>
      <x:c r="I53" s="22" t="str">
        <x:v>   Semilla 20260303 · control fijado en piloto</x:v>
      </x:c>
    </x:row>
    <x:row r="54" ht="31" customHeight="1">
      <x:c r="A54" s="57" t="str">
        <x:v>Varianza CV</x:v>
      </x:c>
      <x:c r="B54" s="57" t="str">
        <x:v>Varianza CV</x:v>
      </x:c>
      <x:c r="C54" s="57" t="str">
        <x:v>Varianza CV</x:v>
      </x:c>
      <x:c r="D54" s="46" t="n">
        <x:f>(D52-D49*D53^2)/(D49-1)</x:f>
        <x:v>1.1098656762082089</x:v>
      </x:c>
      <x:c r="E54" s="2"/>
      <x:c r="F54" s="22" t="str">
        <x:v>   Varianza de la pareja, no de cada trayectoria</x:v>
      </x:c>
      <x:c r="G54" s="22" t="str">
        <x:v>   Varianza de la pareja, no de cada trayectoria</x:v>
      </x:c>
      <x:c r="H54" s="22" t="str">
        <x:v>   Varianza de la pareja, no de cada trayectoria</x:v>
      </x:c>
      <x:c r="I54" s="22" t="str">
        <x:v>   Varianza de la pareja, no de cada trayectoria</x:v>
      </x:c>
    </x:row>
    <x:row r="55" ht="31" customHeight="1">
      <x:c r="A55" s="57" t="str">
        <x:v>Error estándar</x:v>
      </x:c>
      <x:c r="B55" s="57" t="str">
        <x:v>Error estándar</x:v>
      </x:c>
      <x:c r="C55" s="57" t="str">
        <x:v>Error estándar</x:v>
      </x:c>
      <x:c r="D55" s="46" t="n">
        <x:f>SQRT(D54/D49)</x:f>
        <x:v>0.0010535016261061056</x:v>
      </x:c>
      <x:c r="E55" s="2"/>
      <x:c r="F55" s="22" t="str">
        <x:v>   Un millón de parejas independientes</x:v>
      </x:c>
      <x:c r="G55" s="22" t="str">
        <x:v>   Un millón de parejas independientes</x:v>
      </x:c>
      <x:c r="H55" s="22" t="str">
        <x:v>   Un millón de parejas independientes</x:v>
      </x:c>
      <x:c r="I55" s="22" t="str">
        <x:v>   Un millón de parejas independientes</x:v>
      </x:c>
    </x:row>
    <x:row r="56" ht="22" customHeight="1">
      <x:c r="A56" s="2"/>
      <x:c r="B56" s="2"/>
      <x:c r="C56" s="2"/>
      <x:c r="D56" s="2"/>
      <x:c r="E56" s="2"/>
      <x:c r="F56" s="2"/>
      <x:c r="G56" s="2"/>
      <x:c r="H56" s="2"/>
      <x:c r="I56" s="2"/>
    </x:row>
    <x:row r="57" ht="36" customHeight="1">
      <x:c r="A57" s="22" t="str">
        <x:v>Las sumas H/G/CV² son datos de simulación, no fórmulas de payoff individuales. Cambiar el modelo exige regenerar estos agregados. Control impide presentarlos como actuales.</x:v>
      </x:c>
      <x:c r="B57" s="22" t="str">
        <x:v>Las sumas H/G/CV² son datos de simulación, no fórmulas de payoff individuales. Cambiar el modelo exige regenerar estos agregados. Control impide presentarlos como actuales.</x:v>
      </x:c>
      <x:c r="C57" s="22" t="str">
        <x:v>Las sumas H/G/CV² son datos de simulación, no fórmulas de payoff individuales. Cambiar el modelo exige regenerar estos agregados. Control impide presentarlos como actuales.</x:v>
      </x:c>
      <x:c r="D57" s="22" t="str">
        <x:v>Las sumas H/G/CV² son datos de simulación, no fórmulas de payoff individuales. Cambiar el modelo exige regenerar estos agregados. Control impide presentarlos como actuales.</x:v>
      </x:c>
      <x:c r="E57" s="22" t="str">
        <x:v>Las sumas H/G/CV² son datos de simulación, no fórmulas de payoff individuales. Cambiar el modelo exige regenerar estos agregados. Control impide presentarlos como actuales.</x:v>
      </x:c>
      <x:c r="F57" s="22" t="str">
        <x:v>Las sumas H/G/CV² son datos de simulación, no fórmulas de payoff individuales. Cambiar el modelo exige regenerar estos agregados. Control impide presentarlos como actuales.</x:v>
      </x:c>
      <x:c r="G57" s="22" t="str">
        <x:v>Las sumas H/G/CV² son datos de simulación, no fórmulas de payoff individuales. Cambiar el modelo exige regenerar estos agregados. Control impide presentarlos como actuales.</x:v>
      </x:c>
      <x:c r="H57" s="22" t="str">
        <x:v>Las sumas H/G/CV² son datos de simulación, no fórmulas de payoff individuales. Cambiar el modelo exige regenerar estos agregados. Control impide presentarlos como actuales.</x:v>
      </x:c>
      <x:c r="I57" s="22" t="str">
        <x:v>Las sumas H/G/CV² son datos de simulación, no fórmulas de payoff individuales. Cambiar el modelo exige regenerar estos agregados. Control impide presentarlos como actuales.</x:v>
      </x:c>
    </x:row>
    <x:row r="58" ht="22" customHeight="1">
      <x:c r="A58" s="2"/>
      <x:c r="B58" s="2"/>
      <x:c r="C58" s="2"/>
      <x:c r="D58" s="2"/>
      <x:c r="E58" s="2"/>
      <x:c r="F58" s="2"/>
      <x:c r="G58" s="2"/>
      <x:c r="H58" s="2"/>
      <x:c r="I58" s="2"/>
    </x:row>
    <x:row r="59" ht="22" customHeight="1">
      <x:c r="A59" s="2"/>
      <x:c r="B59" s="2"/>
      <x:c r="C59" s="2"/>
      <x:c r="D59" s="2"/>
      <x:c r="E59" s="2"/>
      <x:c r="F59" s="2"/>
      <x:c r="G59" s="2"/>
      <x:c r="H59" s="2"/>
      <x:c r="I59" s="2"/>
    </x:row>
    <x:row r="60" ht="22" customHeight="1">
      <x:c r="A60" s="2"/>
      <x:c r="B60" s="2"/>
      <x:c r="C60" s="2"/>
      <x:c r="D60" s="2"/>
      <x:c r="E60" s="2"/>
      <x:c r="F60" s="2"/>
      <x:c r="G60" s="2"/>
      <x:c r="H60" s="2"/>
      <x:c r="I60" s="2"/>
    </x:row>
    <x:row r="61" ht="22" customHeight="1">
      <x:c r="A61" s="2"/>
      <x:c r="B61" s="2"/>
      <x:c r="C61" s="2"/>
      <x:c r="D61" s="2"/>
      <x:c r="E61" s="2"/>
      <x:c r="F61" s="2"/>
      <x:c r="G61" s="2"/>
      <x:c r="H61" s="2"/>
      <x:c r="I61" s="2"/>
    </x:row>
    <x:row r="62" ht="22" customHeight="1">
      <x:c r="A62" s="2"/>
      <x:c r="B62" s="2"/>
      <x:c r="C62" s="2"/>
      <x:c r="D62" s="2"/>
      <x:c r="E62" s="2"/>
      <x:c r="F62" s="2"/>
      <x:c r="G62" s="2"/>
      <x:c r="H62" s="2"/>
      <x:c r="I62" s="2"/>
    </x:row>
    <x:row r="63" ht="22" customHeight="1">
      <x:c r="A63" s="2"/>
      <x:c r="B63" s="2"/>
      <x:c r="C63" s="2"/>
      <x:c r="D63" s="2"/>
      <x:c r="E63" s="2"/>
      <x:c r="F63" s="2"/>
      <x:c r="G63" s="2"/>
      <x:c r="H63" s="2"/>
      <x:c r="I63" s="2"/>
    </x:row>
    <x:row r="64" ht="22" customHeight="1">
      <x:c r="A64" s="2"/>
      <x:c r="B64" s="2"/>
      <x:c r="C64" s="2"/>
      <x:c r="D64" s="2"/>
      <x:c r="E64" s="2"/>
      <x:c r="F64" s="2"/>
      <x:c r="G64" s="2"/>
      <x:c r="H64" s="2"/>
      <x:c r="I64" s="2"/>
    </x:row>
    <x:row r="65" ht="22" customHeight="1">
      <x:c r="A65" s="2"/>
      <x:c r="B65" s="2"/>
      <x:c r="C65" s="2"/>
      <x:c r="D65" s="2"/>
      <x:c r="E65" s="2"/>
      <x:c r="F65" s="2"/>
      <x:c r="G65" s="2"/>
      <x:c r="H65" s="2"/>
      <x:c r="I65" s="2"/>
    </x:row>
    <x:row r="66" ht="22" customHeight="1">
      <x:c r="A66" s="2"/>
      <x:c r="B66" s="2"/>
      <x:c r="C66" s="2"/>
      <x:c r="D66" s="2"/>
      <x:c r="E66" s="2"/>
      <x:c r="F66" s="2"/>
      <x:c r="G66" s="2"/>
      <x:c r="H66" s="2"/>
      <x:c r="I66" s="2"/>
    </x:row>
    <x:row r="67" ht="22" customHeight="1">
      <x:c r="A67" s="2"/>
      <x:c r="B67" s="2"/>
      <x:c r="C67" s="2"/>
      <x:c r="D67" s="2"/>
      <x:c r="E67" s="2"/>
      <x:c r="F67" s="2"/>
      <x:c r="G67" s="2"/>
      <x:c r="H67" s="2"/>
      <x:c r="I67" s="2"/>
    </x:row>
    <x:row r="68" ht="22" customHeight="1">
      <x:c r="A68" s="2"/>
      <x:c r="B68" s="2"/>
      <x:c r="C68" s="2"/>
      <x:c r="D68" s="2"/>
      <x:c r="E68" s="2"/>
      <x:c r="F68" s="2"/>
      <x:c r="G68" s="2"/>
      <x:c r="H68" s="2"/>
      <x:c r="I68" s="2"/>
    </x:row>
    <x:row r="69" ht="22" customHeight="1">
      <x:c r="A69" s="2"/>
      <x:c r="B69" s="2"/>
      <x:c r="C69" s="2"/>
      <x:c r="D69" s="2"/>
      <x:c r="E69" s="2"/>
      <x:c r="F69" s="2"/>
      <x:c r="G69" s="2"/>
      <x:c r="H69" s="2"/>
      <x:c r="I69" s="2"/>
    </x:row>
    <x:row r="70" ht="22" customHeight="1">
      <x:c r="A70" s="2"/>
      <x:c r="B70" s="2"/>
      <x:c r="C70" s="2"/>
      <x:c r="D70" s="2"/>
      <x:c r="E70" s="2"/>
      <x:c r="F70" s="2"/>
      <x:c r="G70" s="2"/>
      <x:c r="H70" s="2"/>
      <x:c r="I70" s="2"/>
    </x:row>
    <x:row r="71" ht="22" customHeight="1">
      <x:c r="A71" s="2"/>
      <x:c r="B71" s="2"/>
      <x:c r="C71" s="2"/>
      <x:c r="D71" s="2"/>
      <x:c r="E71" s="2"/>
      <x:c r="F71" s="2"/>
      <x:c r="G71" s="2"/>
      <x:c r="H71" s="2"/>
      <x:c r="I71" s="2"/>
    </x:row>
    <x:row r="72" ht="22" customHeight="1">
      <x:c r="A72" s="2"/>
      <x:c r="B72" s="2"/>
      <x:c r="C72" s="2"/>
      <x:c r="D72" s="2"/>
      <x:c r="E72" s="2"/>
      <x:c r="F72" s="2"/>
      <x:c r="G72" s="2"/>
      <x:c r="H72" s="2"/>
      <x:c r="I72" s="2"/>
    </x:row>
    <x:row r="73" ht="22" customHeight="1">
      <x:c r="A73" s="2"/>
      <x:c r="B73" s="2"/>
      <x:c r="C73" s="2"/>
      <x:c r="D73" s="2"/>
      <x:c r="E73" s="2"/>
      <x:c r="F73" s="2"/>
      <x:c r="G73" s="2"/>
      <x:c r="H73" s="2"/>
      <x:c r="I73" s="2"/>
    </x:row>
    <x:row r="74" ht="22" customHeight="1">
      <x:c r="A74" s="2"/>
      <x:c r="B74" s="2"/>
      <x:c r="C74" s="2"/>
      <x:c r="D74" s="2"/>
      <x:c r="E74" s="2"/>
      <x:c r="F74" s="2"/>
      <x:c r="G74" s="2"/>
      <x:c r="H74" s="2"/>
      <x:c r="I74" s="2"/>
    </x:row>
    <x:row r="75" ht="22" customHeight="1">
      <x:c r="A75" s="2"/>
      <x:c r="B75" s="2"/>
      <x:c r="C75" s="2"/>
      <x:c r="D75" s="2"/>
      <x:c r="E75" s="2"/>
      <x:c r="F75" s="2"/>
      <x:c r="G75" s="2"/>
      <x:c r="H75" s="2"/>
      <x:c r="I75" s="2"/>
    </x:row>
    <x:row r="76" ht="22" customHeight="1">
      <x:c r="A76" s="2"/>
      <x:c r="B76" s="2"/>
      <x:c r="C76" s="2"/>
      <x:c r="D76" s="2"/>
      <x:c r="E76" s="2"/>
      <x:c r="F76" s="2"/>
      <x:c r="G76" s="2"/>
      <x:c r="H76" s="2"/>
      <x:c r="I76" s="2"/>
    </x:row>
    <x:row r="77" ht="36" customHeight="1">
      <x:c r="A77" s="22" t="str">
        <x:v>Volumen total: 32 × 65.536 parejas × 2 trayectorias = 4.194.304 trayectorias. El error estándar RQMC se calcula entre las 32 réplicas.</x:v>
      </x:c>
      <x:c r="B77" s="22" t="str">
        <x:v>Volumen total: 32 × 65.536 parejas × 2 trayectorias = 4.194.304 trayectorias. El error estándar RQMC se calcula entre las 32 réplicas.</x:v>
      </x:c>
      <x:c r="C77" s="22" t="str">
        <x:v>Volumen total: 32 × 65.536 parejas × 2 trayectorias = 4.194.304 trayectorias. El error estándar RQMC se calcula entre las 32 réplicas.</x:v>
      </x:c>
      <x:c r="D77" s="22" t="str">
        <x:v>Volumen total: 32 × 65.536 parejas × 2 trayectorias = 4.194.304 trayectorias. El error estándar RQMC se calcula entre las 32 réplicas.</x:v>
      </x:c>
      <x:c r="E77" s="22" t="str">
        <x:v>Volumen total: 32 × 65.536 parejas × 2 trayectorias = 4.194.304 trayectorias. El error estándar RQMC se calcula entre las 32 réplicas.</x:v>
      </x:c>
      <x:c r="F77" s="22" t="str">
        <x:v>Volumen total: 32 × 65.536 parejas × 2 trayectorias = 4.194.304 trayectorias. El error estándar RQMC se calcula entre las 32 réplicas.</x:v>
      </x:c>
      <x:c r="G77" s="22" t="str">
        <x:v>Volumen total: 32 × 65.536 parejas × 2 trayectorias = 4.194.304 trayectorias. El error estándar RQMC se calcula entre las 32 réplicas.</x:v>
      </x:c>
      <x:c r="H77" s="22" t="str">
        <x:v>Volumen total: 32 × 65.536 parejas × 2 trayectorias = 4.194.304 trayectorias. El error estándar RQMC se calcula entre las 32 réplicas.</x:v>
      </x:c>
      <x:c r="I77" s="22" t="str">
        <x:v>Volumen total: 32 × 65.536 parejas × 2 trayectorias = 4.194.304 trayectorias. El error estándar RQMC se calcula entre las 32 réplicas.</x:v>
      </x:c>
    </x:row>
    <x:row r="78" ht="22" customHeight="1">
      <x:c r="A78" s="2"/>
      <x:c r="B78" s="2"/>
      <x:c r="C78" s="2"/>
      <x:c r="D78" s="2"/>
      <x:c r="E78" s="2"/>
      <x:c r="F78" s="2"/>
      <x:c r="G78" s="2"/>
      <x:c r="H78" s="2"/>
      <x:c r="I78" s="2"/>
    </x:row>
    <x:row r="79" ht="22" customHeight="1">
      <x:c r="A79" s="2"/>
      <x:c r="B79" s="2"/>
      <x:c r="C79" s="2"/>
      <x:c r="D79" s="2"/>
      <x:c r="E79" s="2"/>
      <x:c r="F79" s="2"/>
      <x:c r="G79" s="2"/>
      <x:c r="H79" s="2"/>
      <x:c r="I79" s="2"/>
    </x:row>
    <x:row r="80" ht="22" customHeight="1">
      <x:c r="A80" s="2"/>
      <x:c r="B80" s="2"/>
      <x:c r="C80" s="2"/>
      <x:c r="D80" s="2"/>
      <x:c r="E80" s="2"/>
      <x:c r="F80" s="2"/>
      <x:c r="G80" s="2"/>
      <x:c r="H80" s="2"/>
      <x:c r="I80" s="2"/>
    </x:row>
    <x:row r="81" ht="22" customHeight="1">
      <x:c r="A81" s="2"/>
      <x:c r="B81" s="2"/>
      <x:c r="C81" s="2"/>
      <x:c r="D81" s="2"/>
      <x:c r="E81" s="2"/>
      <x:c r="F81" s="2"/>
      <x:c r="G81" s="2"/>
      <x:c r="H81" s="2"/>
      <x:c r="I81" s="2"/>
    </x:row>
    <x:row r="82" ht="22" customHeight="1">
      <x:c r="A82" s="2"/>
      <x:c r="B82" s="2"/>
      <x:c r="C82" s="2"/>
      <x:c r="D82" s="2"/>
      <x:c r="E82" s="2"/>
      <x:c r="F82" s="2"/>
      <x:c r="G82" s="2"/>
      <x:c r="H82" s="2"/>
      <x:c r="I82" s="2"/>
    </x:row>
    <x:row r="83" ht="22" customHeight="1">
      <x:c r="A83" s="2"/>
      <x:c r="B83" s="2"/>
      <x:c r="C83" s="2"/>
      <x:c r="D83" s="2"/>
      <x:c r="E83" s="2"/>
      <x:c r="F83" s="2"/>
      <x:c r="G83" s="2"/>
      <x:c r="H83" s="2"/>
      <x:c r="I83" s="2"/>
    </x:row>
    <x:row r="84" ht="22" customHeight="1">
      <x:c r="A84" s="2"/>
      <x:c r="B84" s="2"/>
      <x:c r="C84" s="2"/>
      <x:c r="D84" s="2"/>
      <x:c r="E84" s="2"/>
      <x:c r="F84" s="2"/>
      <x:c r="G84" s="2"/>
      <x:c r="H84" s="2"/>
      <x:c r="I84" s="2"/>
    </x:row>
    <x:row r="85" ht="22" customHeight="1">
      <x:c r="A85" s="2"/>
      <x:c r="B85" s="2"/>
      <x:c r="C85" s="2"/>
      <x:c r="D85" s="2"/>
      <x:c r="E85" s="2"/>
      <x:c r="F85" s="2"/>
      <x:c r="G85" s="2"/>
      <x:c r="H85" s="2"/>
      <x:c r="I85" s="2"/>
    </x:row>
    <x:row r="86" ht="22" customHeight="1">
      <x:c r="A86" s="2"/>
      <x:c r="B86" s="2"/>
      <x:c r="C86" s="2"/>
      <x:c r="D86" s="2"/>
      <x:c r="E86" s="2"/>
      <x:c r="F86" s="2"/>
      <x:c r="G86" s="2"/>
      <x:c r="H86" s="2"/>
      <x:c r="I86" s="2"/>
    </x:row>
    <x:row r="87" ht="22" customHeight="1">
      <x:c r="A87" s="2"/>
      <x:c r="B87" s="2"/>
      <x:c r="C87" s="2"/>
      <x:c r="D87" s="2"/>
      <x:c r="E87" s="2"/>
      <x:c r="F87" s="2"/>
      <x:c r="G87" s="2"/>
      <x:c r="H87" s="2"/>
      <x:c r="I87" s="2"/>
    </x:row>
    <x:row r="88" ht="22" customHeight="1">
      <x:c r="A88" s="2"/>
      <x:c r="B88" s="2"/>
      <x:c r="C88" s="2"/>
      <x:c r="D88" s="2"/>
      <x:c r="E88" s="2"/>
      <x:c r="F88" s="2"/>
      <x:c r="G88" s="2"/>
      <x:c r="H88" s="2"/>
      <x:c r="I88" s="2"/>
    </x:row>
    <x:row r="89" ht="22" customHeight="1">
      <x:c r="A89" s="2"/>
      <x:c r="B89" s="2"/>
      <x:c r="C89" s="2"/>
      <x:c r="D89" s="2"/>
      <x:c r="E89" s="2"/>
      <x:c r="F89" s="2"/>
      <x:c r="G89" s="2"/>
      <x:c r="H89" s="2"/>
      <x:c r="I89" s="2"/>
    </x:row>
    <x:row r="90" ht="22" customHeight="1">
      <x:c r="A90" s="2"/>
      <x:c r="B90" s="2"/>
      <x:c r="C90" s="2"/>
      <x:c r="D90" s="2"/>
      <x:c r="E90" s="2"/>
      <x:c r="F90" s="2"/>
      <x:c r="G90" s="2"/>
      <x:c r="H90" s="2"/>
      <x:c r="I90" s="2"/>
    </x:row>
  </x:sheetData>
  <x:mergeCells>
    <x:mergeCell ref="A1:I2"/>
    <x:mergeCell ref="A3:I4"/>
    <x:mergeCell ref="A6:I6"/>
    <x:mergeCell ref="A41:I41"/>
    <x:mergeCell ref="A43:I43"/>
    <x:mergeCell ref="A44:C44"/>
    <x:mergeCell ref="D44:E44"/>
    <x:mergeCell ref="F44:I44"/>
    <x:mergeCell ref="A45:C45"/>
    <x:mergeCell ref="D45:E45"/>
    <x:mergeCell ref="F45:I45"/>
    <x:mergeCell ref="A46:C46"/>
    <x:mergeCell ref="D46:E46"/>
    <x:mergeCell ref="F46:I46"/>
    <x:mergeCell ref="A48:I48"/>
    <x:mergeCell ref="A49:C49"/>
    <x:mergeCell ref="D49:E49"/>
    <x:mergeCell ref="A50:C50"/>
    <x:mergeCell ref="D50:E50"/>
    <x:mergeCell ref="A51:C51"/>
    <x:mergeCell ref="D51:E51"/>
    <x:mergeCell ref="A52:C52"/>
    <x:mergeCell ref="D52:E52"/>
    <x:mergeCell ref="A53:C53"/>
    <x:mergeCell ref="D53:E53"/>
    <x:mergeCell ref="F53:I53"/>
    <x:mergeCell ref="A54:C54"/>
    <x:mergeCell ref="D54:E54"/>
    <x:mergeCell ref="F54:I54"/>
    <x:mergeCell ref="A55:C55"/>
    <x:mergeCell ref="D55:E55"/>
    <x:mergeCell ref="F55:I55"/>
    <x:mergeCell ref="A57:I57"/>
    <x:mergeCell ref="A77:I77"/>
  </x:mergeCells>
  <x:pageMargins left="0.7" right="0.7" top="0.75" bottom="0.75" header="0.3" footer="0.3"/>
  <x:drawing xmlns:r="http://schemas.openxmlformats.org/officeDocument/2006/relationships" r:id="R0ef035eabbaa42bf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3" hidden="0" customWidth="1"/>
    <x:col min="3" max="3" width="17" hidden="0" customWidth="1"/>
    <x:col min="4" max="4" width="17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</x:cols>
  <x:sheetData>
    <x:row r="1" ht="25" customHeight="1">
      <x:c r="A1" s="5" t="str">
        <x:v>Control y fuentes</x:v>
      </x:c>
      <x:c r="B1" s="5" t="str">
        <x:v>Control y fuentes</x:v>
      </x:c>
      <x:c r="C1" s="5" t="str">
        <x:v>Control y fuentes</x:v>
      </x:c>
      <x:c r="D1" s="5" t="str">
        <x:v>Control y fuentes</x:v>
      </x:c>
      <x:c r="E1" s="5" t="str">
        <x:v>Control y fuentes</x:v>
      </x:c>
      <x:c r="F1" s="5" t="str">
        <x:v>Control y fuentes</x:v>
      </x:c>
      <x:c r="G1" s="5" t="str">
        <x:v>Control y fuentes</x:v>
      </x:c>
      <x:c r="H1" s="5" t="str">
        <x:v>Control y fuentes</x:v>
      </x:c>
      <x:c r="I1" s="5" t="str">
        <x:v>Control y fuentes</x:v>
      </x:c>
      <x:c r="J1" s="5" t="str">
        <x:v>Control y fuentes</x:v>
      </x:c>
    </x:row>
    <x:row r="2" ht="25" customHeight="1">
      <x:c r="A2" s="5" t="str">
        <x:v>Control y fuentes</x:v>
      </x:c>
      <x:c r="B2" s="5" t="str">
        <x:v>Control y fuentes</x:v>
      </x:c>
      <x:c r="C2" s="5" t="str">
        <x:v>Control y fuentes</x:v>
      </x:c>
      <x:c r="D2" s="5" t="str">
        <x:v>Control y fuentes</x:v>
      </x:c>
      <x:c r="E2" s="5" t="str">
        <x:v>Control y fuentes</x:v>
      </x:c>
      <x:c r="F2" s="5" t="str">
        <x:v>Control y fuentes</x:v>
      </x:c>
      <x:c r="G2" s="5" t="str">
        <x:v>Control y fuentes</x:v>
      </x:c>
      <x:c r="H2" s="5" t="str">
        <x:v>Control y fuentes</x:v>
      </x:c>
      <x:c r="I2" s="5" t="str">
        <x:v>Control y fuentes</x:v>
      </x:c>
      <x:c r="J2" s="5" t="str">
        <x:v>Control y fuentes</x:v>
      </x:c>
    </x:row>
    <x:row r="3" ht="21" customHeight="1">
      <x:c r="A3" s="7" t="str">
        <x:v>Conciliación del Excel con resultados recalculados y precisión publicada en output/main.html.</x:v>
      </x:c>
      <x:c r="B3" s="7" t="str">
        <x:v>Conciliación del Excel con resultados recalculados y precisión publicada en output/main.html.</x:v>
      </x:c>
      <x:c r="C3" s="7" t="str">
        <x:v>Conciliación del Excel con resultados recalculados y precisión publicada en output/main.html.</x:v>
      </x:c>
      <x:c r="D3" s="7" t="str">
        <x:v>Conciliación del Excel con resultados recalculados y precisión publicada en output/main.html.</x:v>
      </x:c>
      <x:c r="E3" s="7" t="str">
        <x:v>Conciliación del Excel con resultados recalculados y precisión publicada en output/main.html.</x:v>
      </x:c>
      <x:c r="F3" s="7" t="str">
        <x:v>Conciliación del Excel con resultados recalculados y precisión publicada en output/main.html.</x:v>
      </x:c>
      <x:c r="G3" s="7" t="str">
        <x:v>Conciliación del Excel con resultados recalculados y precisión publicada en output/main.html.</x:v>
      </x:c>
      <x:c r="H3" s="7" t="str">
        <x:v>Conciliación del Excel con resultados recalculados y precisión publicada en output/main.html.</x:v>
      </x:c>
      <x:c r="I3" s="7" t="str">
        <x:v>Conciliación del Excel con resultados recalculados y precisión publicada en output/main.html.</x:v>
      </x:c>
      <x:c r="J3" s="7" t="str">
        <x:v>Conciliación del Excel con resultados recalculados y precisión publicada en output/main.html.</x:v>
      </x:c>
    </x:row>
    <x:row r="4" ht="21" customHeight="1">
      <x:c r="A4" s="7" t="str">
        <x:v>Conciliación del Excel con resultados recalculados y precisión publicada en output/main.html.</x:v>
      </x:c>
      <x:c r="B4" s="7" t="str">
        <x:v>Conciliación del Excel con resultados recalculados y precisión publicada en output/main.html.</x:v>
      </x:c>
      <x:c r="C4" s="7" t="str">
        <x:v>Conciliación del Excel con resultados recalculados y precisión publicada en output/main.html.</x:v>
      </x:c>
      <x:c r="D4" s="7" t="str">
        <x:v>Conciliación del Excel con resultados recalculados y precisión publicada en output/main.html.</x:v>
      </x:c>
      <x:c r="E4" s="7" t="str">
        <x:v>Conciliación del Excel con resultados recalculados y precisión publicada en output/main.html.</x:v>
      </x:c>
      <x:c r="F4" s="7" t="str">
        <x:v>Conciliación del Excel con resultados recalculados y precisión publicada en output/main.html.</x:v>
      </x:c>
      <x:c r="G4" s="7" t="str">
        <x:v>Conciliación del Excel con resultados recalculados y precisión publicada en output/main.html.</x:v>
      </x:c>
      <x:c r="H4" s="7" t="str">
        <x:v>Conciliación del Excel con resultados recalculados y precisión publicada en output/main.html.</x:v>
      </x:c>
      <x:c r="I4" s="7" t="str">
        <x:v>Conciliación del Excel con resultados recalculados y precisión publicada en output/main.html.</x:v>
      </x:c>
      <x:c r="J4" s="7" t="str">
        <x:v>Conciliación del Excel con resultados recalculados y precisión publicada en output/main.html.</x:v>
      </x:c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</x:row>
    <x:row r="6" ht="27" customHeight="1">
      <x:c r="A6" s="10" t="str">
        <x:v>Comprobaciones numéricas</x:v>
      </x:c>
      <x:c r="B6" s="10" t="str">
        <x:v>Comprobaciones numéricas</x:v>
      </x:c>
      <x:c r="C6" s="10" t="str">
        <x:v>Comprobaciones numéricas</x:v>
      </x:c>
      <x:c r="D6" s="10" t="str">
        <x:v>Comprobaciones numéricas</x:v>
      </x:c>
      <x:c r="E6" s="10" t="str">
        <x:v>Comprobaciones numéricas</x:v>
      </x:c>
      <x:c r="F6" s="10" t="str">
        <x:v>Comprobaciones numéricas</x:v>
      </x:c>
      <x:c r="G6" s="10" t="str">
        <x:v>Comprobaciones numéricas</x:v>
      </x:c>
      <x:c r="H6" s="10" t="str">
        <x:v>Comprobaciones numéricas</x:v>
      </x:c>
      <x:c r="I6" s="10" t="str">
        <x:v>Comprobaciones numéricas</x:v>
      </x:c>
      <x:c r="J6" s="10" t="str">
        <x:v>Comprobaciones numéricas</x:v>
      </x:c>
    </x:row>
    <x:row r="7" ht="36" customHeight="1">
      <x:c r="A7" s="13" t="str">
        <x:v>Magnitud</x:v>
      </x:c>
      <x:c r="B7" s="13" t="str">
        <x:v>Unidad</x:v>
      </x:c>
      <x:c r="C7" s="13" t="str">
        <x:v>Referencia</x:v>
      </x:c>
      <x:c r="D7" s="13" t="str">
        <x:v>Excel</x:v>
      </x:c>
      <x:c r="E7" s="13" t="str">
        <x:v>Diferencia</x:v>
      </x:c>
      <x:c r="F7" s="13" t="str">
        <x:v>Tolerancia</x:v>
      </x:c>
      <x:c r="G7" s="13" t="str">
        <x:v>Estado</x:v>
      </x:c>
      <x:c r="H7" s="2"/>
      <x:c r="I7" s="2"/>
      <x:c r="J7" s="2"/>
    </x:row>
    <x:row r="8" ht="22" customHeight="1">
      <x:c r="A8" s="2" t="str">
        <x:v>Cohorte inicial</x:v>
      </x:c>
      <x:c r="B8" s="2" t="str">
        <x:v>compañías</x:v>
      </x:c>
      <x:c r="C8" s="15" t="n">
        <x:v>5002</x:v>
      </x:c>
      <x:c r="D8" s="37" t="n">
        <x:f>'Datos'!J16</x:f>
        <x:v>5002</x:v>
      </x:c>
      <x:c r="E8" s="59" t="n">
        <x:f>D8-C8</x:f>
        <x:v>0</x:v>
      </x:c>
      <x:c r="F8" s="73" t="n">
        <x:v>0</x:v>
      </x:c>
      <x:c r="G8" s="32" t="str">
        <x:f>IF(ABS(E8)&lt;=F8,"OK","REVISAR")</x:f>
        <x:v>OK</x:v>
      </x:c>
      <x:c r="H8" s="2"/>
      <x:c r="I8" s="2"/>
      <x:c r="J8" s="2"/>
    </x:row>
    <x:row r="9" ht="22" customHeight="1">
      <x:c r="A9" s="2" t="str">
        <x:v>PD cohorte 1Y</x:v>
      </x:c>
      <x:c r="B9" s="2" t="str">
        <x:v>prob.</x:v>
      </x:c>
      <x:c r="C9" s="85" t="n">
        <x:v>0.022614473918421304</x:v>
      </x:c>
      <x:c r="D9" s="67" t="n">
        <x:f>'E1 Ratings'!B20</x:f>
        <x:v>0.022614473918421304</x:v>
      </x:c>
      <x:c r="E9" s="59" t="n">
        <x:f>D9-C9</x:f>
        <x:v>0</x:v>
      </x:c>
      <x:c r="F9" s="73" t="n">
        <x:v>1e-12</x:v>
      </x:c>
      <x:c r="G9" s="32" t="str">
        <x:f>IF(ABS(E9)&lt;=F9,"OK","REVISAR")</x:f>
        <x:v>OK</x:v>
      </x:c>
      <x:c r="H9" s="2"/>
      <x:c r="I9" s="2"/>
      <x:c r="J9" s="2"/>
    </x:row>
    <x:row r="10" ht="22" customHeight="1">
      <x:c r="A10" s="2" t="str">
        <x:v>PD cohorte 25Y</x:v>
      </x:c>
      <x:c r="B10" s="2" t="str">
        <x:v>prob.</x:v>
      </x:c>
      <x:c r="C10" s="85" t="n">
        <x:v>0.5413420478326219</x:v>
      </x:c>
      <x:c r="D10" s="67" t="n">
        <x:f>'E1 Ratings'!C44</x:f>
        <x:v>0.541342047832622</x:v>
      </x:c>
      <x:c r="E10" s="59" t="n">
        <x:f>D10-C10</x:f>
        <x:v>1.1102230246251565e-16</x:v>
      </x:c>
      <x:c r="F10" s="73" t="n">
        <x:v>1e-12</x:v>
      </x:c>
      <x:c r="G10" s="32" t="str">
        <x:f>IF(ABS(E10)&lt;=F10,"OK","REVISAR")</x:f>
        <x:v>OK</x:v>
      </x:c>
      <x:c r="H10" s="2"/>
      <x:c r="I10" s="2"/>
      <x:c r="J10" s="2"/>
    </x:row>
    <x:row r="11" ht="22" customHeight="1">
      <x:c r="A11" s="2" t="str">
        <x:v>Defaults 25Y</x:v>
      </x:c>
      <x:c r="B11" s="2" t="str">
        <x:v>compañías</x:v>
      </x:c>
      <x:c r="C11" s="86" t="n">
        <x:v>2707.7929232587744</x:v>
      </x:c>
      <x:c r="D11" s="38" t="n">
        <x:f>'E1 Ratings'!E44</x:f>
        <x:v>2707.792923258775</x:v>
      </x:c>
      <x:c r="E11" s="59" t="n">
        <x:f>D11-C11</x:f>
        <x:v>4.547473508864641e-13</x:v>
      </x:c>
      <x:c r="F11" s="73" t="n">
        <x:v>1e-8</x:v>
      </x:c>
      <x:c r="G11" s="32" t="str">
        <x:f>IF(ABS(E11)&lt;=F11,"OK","REVISAR")</x:f>
        <x:v>OK</x:v>
      </x:c>
      <x:c r="H11" s="2"/>
      <x:c r="I11" s="2"/>
      <x:c r="J11" s="2"/>
    </x:row>
    <x:row r="12" ht="22" customHeight="1">
      <x:c r="A12" s="2" t="str">
        <x:v>Media M₁</x:v>
      </x:c>
      <x:c r="B12" s="2" t="str">
        <x:v>M</x:v>
      </x:c>
      <x:c r="C12" s="85" t="n">
        <x:v>0.008261709864970485</x:v>
      </x:c>
      <x:c r="D12" s="67" t="n">
        <x:f>'E2 Ito'!D25</x:f>
        <x:v>0.008261709864970474</x:v>
      </x:c>
      <x:c r="E12" s="59" t="n">
        <x:f>D12-C12</x:f>
        <x:v>-1.0408340855860843e-17</x:v>
      </x:c>
      <x:c r="F12" s="73" t="n">
        <x:v>1e-12</x:v>
      </x:c>
      <x:c r="G12" s="32" t="str">
        <x:f>IF(ABS(E12)&lt;=F12,"OK","REVISAR")</x:f>
        <x:v>OK</x:v>
      </x:c>
      <x:c r="H12" s="2"/>
      <x:c r="I12" s="2"/>
      <x:c r="J12" s="2"/>
    </x:row>
    <x:row r="13" ht="22" customHeight="1">
      <x:c r="A13" s="2" t="str">
        <x:v>Varianza M₁</x:v>
      </x:c>
      <x:c r="B13" s="2" t="str">
        <x:v>M²</x:v>
      </x:c>
      <x:c r="C13" s="85" t="n">
        <x:v>0.22458381386894083</x:v>
      </x:c>
      <x:c r="D13" s="67" t="n">
        <x:f>'E2 Ito'!D26</x:f>
        <x:v>0.22458381386894113</x:v>
      </x:c>
      <x:c r="E13" s="59" t="n">
        <x:f>D13-C13</x:f>
        <x:v>3.0531133177191805e-16</x:v>
      </x:c>
      <x:c r="F13" s="73" t="n">
        <x:v>1e-12</x:v>
      </x:c>
      <x:c r="G13" s="32" t="str">
        <x:f>IF(ABS(E13)&lt;=F13,"OK","REVISAR")</x:f>
        <x:v>OK</x:v>
      </x:c>
      <x:c r="H13" s="2"/>
      <x:c r="I13" s="2"/>
      <x:c r="J13" s="2"/>
    </x:row>
    <x:row r="14" ht="22" customHeight="1">
      <x:c r="A14" s="2" t="str">
        <x:v>Mínimo M₁</x:v>
      </x:c>
      <x:c r="B14" s="2" t="str">
        <x:v>M</x:v>
      </x:c>
      <x:c r="C14" s="85" t="n">
        <x:v>-0.33333330073848694</x:v>
      </x:c>
      <x:c r="D14" s="67" t="n">
        <x:f>'E2 Ito'!D30</x:f>
        <x:v>-0.33333330073848694</x:v>
      </x:c>
      <x:c r="E14" s="59" t="n">
        <x:f>D14-C14</x:f>
        <x:v>0</x:v>
      </x:c>
      <x:c r="F14" s="73" t="n">
        <x:v>1e-12</x:v>
      </x:c>
      <x:c r="G14" s="32" t="str">
        <x:f>IF(ABS(E14)&lt;=F14,"OK","REVISAR")</x:f>
        <x:v>OK</x:v>
      </x:c>
      <x:c r="H14" s="2"/>
      <x:c r="I14" s="2"/>
      <x:c r="J14" s="2"/>
    </x:row>
    <x:row r="15" ht="22" customHeight="1">
      <x:c r="A15" s="2" t="str">
        <x:v>Precio geométrico</x:v>
      </x:c>
      <x:c r="B15" s="2" t="str">
        <x:v>u.m.</x:v>
      </x:c>
      <x:c r="C15" s="85" t="n">
        <x:v>12.796770725588182</x:v>
      </x:c>
      <x:c r="D15" s="67" t="n">
        <x:f>'E3 Opciones'!D41</x:f>
        <x:v>12.796770725587624</x:v>
      </x:c>
      <x:c r="E15" s="59" t="n">
        <x:f>D15-C15</x:f>
        <x:v>-5.577760475716786e-13</x:v>
      </x:c>
      <x:c r="F15" s="73" t="n">
        <x:v>1e-8</x:v>
      </x:c>
      <x:c r="G15" s="32" t="str">
        <x:f>IF(ABS(E15)&lt;=F15,"OK","REVISAR")</x:f>
        <x:v>OK</x:v>
      </x:c>
      <x:c r="H15" s="2"/>
      <x:c r="I15" s="2"/>
      <x:c r="J15" s="2"/>
    </x:row>
    <x:row r="16" ht="22" customHeight="1">
      <x:c r="A16" s="2" t="str">
        <x:v>Precio asiático</x:v>
      </x:c>
      <x:c r="B16" s="2" t="str">
        <x:v>u.m.</x:v>
      </x:c>
      <x:c r="C16" s="85" t="n">
        <x:v>13.621805001737851</x:v>
      </x:c>
      <x:c r="D16" s="67" t="n">
        <x:f>'E3 Opciones'!D45</x:f>
        <x:v>13.621805001737266</x:v>
      </x:c>
      <x:c r="E16" s="59" t="n">
        <x:f>D16-C16</x:f>
        <x:v>-5.844214001626824e-13</x:v>
      </x:c>
      <x:c r="F16" s="73" t="n">
        <x:v>1e-8</x:v>
      </x:c>
      <x:c r="G16" s="32" t="str">
        <x:f>IF(ABS(E16)&lt;=F16,"OK","REVISAR")</x:f>
        <x:v>OK</x:v>
      </x:c>
      <x:c r="H16" s="2"/>
      <x:c r="I16" s="2"/>
      <x:c r="J16" s="2"/>
    </x:row>
    <x:row r="17" ht="22" customHeight="1">
      <x:c r="A17" s="2" t="str">
        <x:v>SE RQMC</x:v>
      </x:c>
      <x:c r="B17" s="2" t="str">
        <x:v>u.m.</x:v>
      </x:c>
      <x:c r="C17" s="85" t="n">
        <x:v>0.00007889521390944246</x:v>
      </x:c>
      <x:c r="D17" s="67" t="n">
        <x:f>'E3 Opciones'!D46</x:f>
        <x:v>0.00007889521390944037</x:v>
      </x:c>
      <x:c r="E17" s="59" t="n">
        <x:f>D17-C17</x:f>
        <x:v>-2.087089182034596e-18</x:v>
      </x:c>
      <x:c r="F17" s="73" t="n">
        <x:v>1e-10</x:v>
      </x:c>
      <x:c r="G17" s="32" t="str">
        <x:f>IF(ABS(E17)&lt;=F17,"OK","REVISAR")</x:f>
        <x:v>OK</x:v>
      </x:c>
      <x:c r="H17" s="2"/>
      <x:c r="I17" s="2"/>
      <x:c r="J17" s="2"/>
    </x:row>
    <x:row r="18" ht="22" customHeight="1">
      <x:c r="A18" s="2" t="str">
        <x:v>IC95 inferior</x:v>
      </x:c>
      <x:c r="B18" s="2" t="str">
        <x:v>u.m.</x:v>
      </x:c>
      <x:c r="C18" s="85" t="n">
        <x:v>13.621644093888227</x:v>
      </x:c>
      <x:c r="D18" s="67" t="n">
        <x:f>'E3 Opciones'!D47</x:f>
        <x:v>13.621644093887642</x:v>
      </x:c>
      <x:c r="E18" s="59" t="n">
        <x:f>D18-C18</x:f>
        <x:v>-5.844214001626824e-13</x:v>
      </x:c>
      <x:c r="F18" s="73" t="n">
        <x:v>1e-8</x:v>
      </x:c>
      <x:c r="G18" s="32" t="str">
        <x:f>IF(ABS(E18)&lt;=F18,"OK","REVISAR")</x:f>
        <x:v>OK</x:v>
      </x:c>
      <x:c r="H18" s="2"/>
      <x:c r="I18" s="2"/>
      <x:c r="J18" s="2"/>
    </x:row>
    <x:row r="19" ht="22" customHeight="1">
      <x:c r="A19" s="2" t="str">
        <x:v>IC95 superior</x:v>
      </x:c>
      <x:c r="B19" s="2" t="str">
        <x:v>u.m.</x:v>
      </x:c>
      <x:c r="C19" s="85" t="n">
        <x:v>13.621965909587475</x:v>
      </x:c>
      <x:c r="D19" s="67" t="n">
        <x:f>'E3 Opciones'!D48</x:f>
        <x:v>13.62196590958689</x:v>
      </x:c>
      <x:c r="E19" s="59" t="n">
        <x:f>D19-C19</x:f>
        <x:v>-5.844214001626824e-13</x:v>
      </x:c>
      <x:c r="F19" s="73" t="n">
        <x:v>1e-8</x:v>
      </x:c>
      <x:c r="G19" s="32" t="str">
        <x:f>IF(ABS(E19)&lt;=F19,"OK","REVISAR")</x:f>
        <x:v>OK</x:v>
      </x:c>
      <x:c r="H19" s="2"/>
      <x:c r="I19" s="2"/>
      <x:c r="J19" s="2"/>
    </x:row>
    <x:row r="20" ht="22" customHeight="1">
      <x:c r="A20" s="2" t="str">
        <x:v>Precio PRNG</x:v>
      </x:c>
      <x:c r="B20" s="2" t="str">
        <x:v>u.m.</x:v>
      </x:c>
      <x:c r="C20" s="85" t="n">
        <x:v>13.622090619389942</x:v>
      </x:c>
      <x:c r="D20" s="67" t="n">
        <x:f>'E3 Opciones'!D49</x:f>
        <x:v>13.62209061938936</x:v>
      </x:c>
      <x:c r="E20" s="59" t="n">
        <x:f>D20-C20</x:f>
        <x:v>-5.826450433232822e-13</x:v>
      </x:c>
      <x:c r="F20" s="73" t="n">
        <x:v>1e-8</x:v>
      </x:c>
      <x:c r="G20" s="32" t="str">
        <x:f>IF(ABS(E20)&lt;=F20,"OK","REVISAR")</x:f>
        <x:v>OK</x:v>
      </x:c>
      <x:c r="H20" s="2"/>
      <x:c r="I20" s="2"/>
      <x:c r="J20" s="2"/>
    </x:row>
    <x:row r="21" ht="22" customHeight="1">
      <x:c r="A21" s="2" t="str">
        <x:v>SE PRNG</x:v>
      </x:c>
      <x:c r="B21" s="2" t="str">
        <x:v>u.m.</x:v>
      </x:c>
      <x:c r="C21" s="85" t="n">
        <x:v>0.0010535016260985756</x:v>
      </x:c>
      <x:c r="D21" s="67" t="n">
        <x:f>'E3 Simulacion'!D55</x:f>
        <x:v>0.0010535016261061056</x:v>
      </x:c>
      <x:c r="E21" s="59" t="n">
        <x:f>D21-C21</x:f>
        <x:v>7.530000928346325e-15</x:v>
      </x:c>
      <x:c r="F21" s="73" t="n">
        <x:v>1e-9</x:v>
      </x:c>
      <x:c r="G21" s="32" t="str">
        <x:f>IF(ABS(E21)&lt;=F21,"OK","REVISAR")</x:f>
        <x:v>OK</x:v>
      </x:c>
      <x:c r="H21" s="2"/>
      <x:c r="I21" s="2"/>
      <x:c r="J21" s="2"/>
    </x:row>
    <x:row r="22" ht="22" customHeight="1">
      <x:c r="A22" s="2" t="str">
        <x:v>Error máximo calls</x:v>
      </x:c>
      <x:c r="B22" s="2" t="str">
        <x:v>u.m.</x:v>
      </x:c>
      <x:c r="C22" s="85" t="n">
        <x:v>0</x:v>
      </x:c>
      <x:c r="D22" s="67" t="n">
        <x:f>MAX(ABS('E3 Opciones'!I18),ABS('E3 Opciones'!I19),ABS('E3 Opciones'!I20))</x:f>
        <x:v>5.577760475716786e-13</x:v>
      </x:c>
      <x:c r="E22" s="59" t="n">
        <x:f>D22-C22</x:f>
        <x:v>5.577760475716786e-13</x:v>
      </x:c>
      <x:c r="F22" s="73" t="n">
        <x:v>1e-9</x:v>
      </x:c>
      <x:c r="G22" s="32" t="str">
        <x:f>IF(ABS(E22)&lt;=F22,"OK","REVISAR")</x:f>
        <x:v>OK</x:v>
      </x:c>
      <x:c r="H22" s="2"/>
      <x:c r="I22" s="2"/>
      <x:c r="J22" s="2"/>
    </x:row>
    <x:row r="23" ht="22" customHeight="1">
      <x:c r="A23" s="2" t="str">
        <x:v>Error filas P</x:v>
      </x:c>
      <x:c r="B23" s="2" t="str">
        <x:v>prob.</x:v>
      </x:c>
      <x:c r="C23" s="85" t="n">
        <x:v>0</x:v>
      </x:c>
      <x:c r="D23" s="67" t="n">
        <x:f>MAX(ABS(SUM('Datos'!B8:I8)-1),ABS(SUM('Datos'!B9:I9)-1),ABS(SUM('Datos'!B10:I10)-1),ABS(SUM('Datos'!B11:I11)-1),ABS(SUM('Datos'!B12:I12)-1),ABS(SUM('Datos'!B13:I13)-1),ABS(SUM('Datos'!B14:I14)-1),ABS(SUM('Datos'!B15:I15)-1))</x:f>
        <x:v>2.220446049250313e-16</x:v>
      </x:c>
      <x:c r="E23" s="59" t="n">
        <x:f>D23-C23</x:f>
        <x:v>2.220446049250313e-16</x:v>
      </x:c>
      <x:c r="F23" s="73" t="n">
        <x:v>1e-12</x:v>
      </x:c>
      <x:c r="G23" s="32" t="str">
        <x:f>IF(ABS(E23)&lt;=F23,"OK","REVISAR")</x:f>
        <x:v>OK</x:v>
      </x:c>
      <x:c r="H23" s="2"/>
      <x:c r="I23" s="2"/>
      <x:c r="J23" s="2"/>
    </x:row>
    <x:row r="24" ht="22" customHeight="1">
      <x:c r="A24" s="2" t="str">
        <x:v>Cohorte final suma</x:v>
      </x:c>
      <x:c r="B24" s="2" t="str">
        <x:v>prob.</x:v>
      </x:c>
      <x:c r="C24" s="15" t="n">
        <x:v>1</x:v>
      </x:c>
      <x:c r="D24" s="37" t="n">
        <x:f>SUM('E1 Ratings'!B59:I59)</x:f>
        <x:v>1</x:v>
      </x:c>
      <x:c r="E24" s="59" t="n">
        <x:f>D24-C24</x:f>
        <x:v>0</x:v>
      </x:c>
      <x:c r="F24" s="73" t="n">
        <x:v>1e-12</x:v>
      </x:c>
      <x:c r="G24" s="32" t="str">
        <x:f>IF(ABS(E24)&lt;=F24,"OK","REVISAR")</x:f>
        <x:v>OK</x:v>
      </x:c>
      <x:c r="H24" s="2"/>
      <x:c r="I24" s="2"/>
      <x:c r="J24" s="2"/>
    </x:row>
    <x:row r="25" ht="22" customHeight="1">
      <x:c r="A25" s="2" t="str">
        <x:v>Máx error cadenas</x:v>
      </x:c>
      <x:c r="B25" s="2" t="str">
        <x:v>prob.</x:v>
      </x:c>
      <x:c r="C25" s="85" t="n">
        <x:v>0.0014855809079314386</x:v>
      </x:c>
      <x:c r="D25" s="66" t="n">
        <x:f>MAX(B94:I100)</x:f>
        <x:v>0.001485580907931161</x:v>
      </x:c>
      <x:c r="E25" s="59" t="n">
        <x:f>D25-C25</x:f>
        <x:v>-2.7755575615628914e-16</x:v>
      </x:c>
      <x:c r="F25" s="73" t="n">
        <x:v>1e-12</x:v>
      </x:c>
      <x:c r="G25" s="32" t="str">
        <x:f>IF(ABS(E25)&lt;=F25,"OK","REVISAR")</x:f>
        <x:v>OK</x:v>
      </x:c>
      <x:c r="H25" s="2"/>
      <x:c r="I25" s="2"/>
      <x:c r="J25" s="2"/>
    </x:row>
    <x:row r="26" ht="22" customHeight="1">
      <x:c r="A26" s="2" t="str">
        <x:v>Máx |z| cadenas</x:v>
      </x:c>
      <x:c r="B26" s="2" t="str">
        <x:v>SE</x:v>
      </x:c>
      <x:c r="C26" s="85" t="n">
        <x:v>2.4149665812651726</x:v>
      </x:c>
      <x:c r="D26" s="66" t="n">
        <x:f>MAX(B105:I111)</x:f>
        <x:v>2.4149665812651584</x:v>
      </x:c>
      <x:c r="E26" s="59" t="n">
        <x:f>D26-C26</x:f>
        <x:v>-1.4210854715202004e-14</x:v>
      </x:c>
      <x:c r="F26" s="73" t="n">
        <x:v>1e-10</x:v>
      </x:c>
      <x:c r="G26" s="32" t="str">
        <x:f>IF(ABS(E26)&lt;=F26,"OK","REVISAR")</x:f>
        <x:v>OK</x:v>
      </x:c>
      <x:c r="H26" s="2"/>
      <x:c r="I26" s="2"/>
      <x:c r="J26" s="2"/>
    </x:row>
    <x:row r="27" ht="22" customHeight="1">
      <x:c r="A27" s="2"/>
      <x:c r="B27" s="2"/>
      <x:c r="C27" s="85"/>
      <x:c r="D27" s="85"/>
      <x:c r="E27" s="73"/>
      <x:c r="F27" s="73"/>
      <x:c r="G27" s="2"/>
      <x:c r="H27" s="2"/>
      <x:c r="I27" s="2"/>
      <x:c r="J27" s="2"/>
    </x:row>
    <x:row r="28" ht="22" customHeight="1">
      <x:c r="A28" s="2" t="str">
        <x:v>Cambios modelo RQMC</x:v>
      </x:c>
      <x:c r="B28" s="2" t="str">
        <x:v>abs.</x:v>
      </x:c>
      <x:c r="C28" s="85" t="n">
        <x:v>0</x:v>
      </x:c>
      <x:c r="D28" s="67" t="n">
        <x:f>MAX(ABS('Datos'!B22-'Datos'!B57),ABS('Datos'!B23-'Datos'!B58),ABS('Datos'!B24-'Datos'!B59),ABS('Datos'!B25-'Datos'!B60),ABS('E3 Opciones'!D11-'Datos'!B61),ABS('E3 Opciones'!D12-'Datos'!B62),ABS('E3 Opciones'!D13-'Datos'!B63),ABS('Datos'!B48-'Datos'!B64),ABS('Datos'!B49-'Datos'!B65),ABS('Datos'!B50-'Datos'!B66),ABS('Datos'!B51-'Datos'!B67))</x:f>
        <x:v>3.2873703759150885e-13</x:v>
      </x:c>
      <x:c r="E28" s="59" t="n">
        <x:f>D28-C28</x:f>
        <x:v>3.2873703759150885e-13</x:v>
      </x:c>
      <x:c r="F28" s="73" t="n">
        <x:v>1e-8</x:v>
      </x:c>
      <x:c r="G28" s="32" t="str">
        <x:f>IF(ABS(E28)&lt;=F28,"OK","REVISAR")</x:f>
        <x:v>OK</x:v>
      </x:c>
      <x:c r="H28" s="2"/>
      <x:c r="I28" s="2"/>
      <x:c r="J28" s="2"/>
    </x:row>
    <x:row r="29" ht="22" customHeight="1">
      <x:c r="A29" s="2" t="str">
        <x:v>Pasos trayectoria</x:v>
      </x:c>
      <x:c r="B29" s="2" t="str">
        <x:v>pasos</x:v>
      </x:c>
      <x:c r="C29" s="15" t="n">
        <x:v>100</x:v>
      </x:c>
      <x:c r="D29" s="37" t="n">
        <x:f>'Datos'!B27</x:f>
        <x:v>100</x:v>
      </x:c>
      <x:c r="E29" s="59" t="n">
        <x:f>D29-C29</x:f>
        <x:v>0</x:v>
      </x:c>
      <x:c r="F29" s="73" t="n">
        <x:v>0</x:v>
      </x:c>
      <x:c r="G29" s="32" t="str">
        <x:f>IF(ABS(E29)&lt;=F29,"OK","REVISAR")</x:f>
        <x:v>OK</x:v>
      </x:c>
      <x:c r="H29" s="2"/>
      <x:c r="I29" s="2"/>
      <x:c r="J29" s="2"/>
    </x:row>
    <x:row r="30" ht="22" customHeight="1">
      <x:c r="A30" s="2" t="str">
        <x:v>Soporte M respetado</x:v>
      </x:c>
      <x:c r="B30" s="2" t="str">
        <x:v>0/1</x:v>
      </x:c>
      <x:c r="C30" s="15" t="n">
        <x:v>1</x:v>
      </x:c>
      <x:c r="D30" s="37" t="n">
        <x:f>IF('E2 Ito'!D31&gt;=-1E-12,1,0)</x:f>
        <x:v>1</x:v>
      </x:c>
      <x:c r="E30" s="59" t="n">
        <x:f>D30-C30</x:f>
        <x:v>0</x:v>
      </x:c>
      <x:c r="F30" s="73" t="n">
        <x:v>0</x:v>
      </x:c>
      <x:c r="G30" s="32" t="str">
        <x:f>IF(ABS(E30)&lt;=F30,"OK","REVISAR")</x:f>
        <x:v>OK</x:v>
      </x:c>
      <x:c r="H30" s="2"/>
      <x:c r="I30" s="2"/>
      <x:c r="J30" s="2"/>
    </x:row>
    <x:row r="31" ht="22" customHeight="1">
      <x:c r="A31" s="2" t="str">
        <x:v>σ no negativa</x:v>
      </x:c>
      <x:c r="B31" s="2" t="str">
        <x:v>0/1</x:v>
      </x:c>
      <x:c r="C31" s="15" t="n">
        <x:v>1</x:v>
      </x:c>
      <x:c r="D31" s="37" t="n">
        <x:f>IF('E3 Opciones'!D14&gt;=0,1,0)</x:f>
        <x:v>1</x:v>
      </x:c>
      <x:c r="E31" s="59" t="n">
        <x:f>D31-C31</x:f>
        <x:v>0</x:v>
      </x:c>
      <x:c r="F31" s="73" t="n">
        <x:v>0</x:v>
      </x:c>
      <x:c r="G31" s="32" t="str">
        <x:f>IF(ABS(E31)&lt;=F31,"OK","REVISAR")</x:f>
        <x:v>OK</x:v>
      </x:c>
      <x:c r="H31" s="2"/>
      <x:c r="I31" s="2"/>
      <x:c r="J31" s="2"/>
    </x:row>
    <x:row r="32" ht="22" customHeight="1">
      <x:c r="A32" s="2" t="str">
        <x:v>Réplicas Sobol</x:v>
      </x:c>
      <x:c r="B32" s="2" t="str">
        <x:v>réplicas</x:v>
      </x:c>
      <x:c r="C32" s="15" t="n">
        <x:v>32</x:v>
      </x:c>
      <x:c r="D32" s="37" t="n">
        <x:f>COUNT('E3 Simulacion'!A8:A39)</x:f>
        <x:v>32</x:v>
      </x:c>
      <x:c r="E32" s="59" t="n">
        <x:f>D32-C32</x:f>
        <x:v>0</x:v>
      </x:c>
      <x:c r="F32" s="73" t="n">
        <x:v>0</x:v>
      </x:c>
      <x:c r="G32" s="32" t="str">
        <x:f>IF(ABS(E32)&lt;=F32,"OK","REVISAR")</x:f>
        <x:v>OK</x:v>
      </x:c>
      <x:c r="H32" s="2"/>
      <x:c r="I32" s="2"/>
      <x:c r="J32" s="2"/>
    </x:row>
    <x:row r="33" ht="22" customHeight="1">
      <x:c r="A33" s="2" t="str">
        <x:v>Trayectorias Sobol</x:v>
      </x:c>
      <x:c r="B33" s="2" t="str">
        <x:v>caminos</x:v>
      </x:c>
      <x:c r="C33" s="15" t="n">
        <x:v>4194304</x:v>
      </x:c>
      <x:c r="D33" s="37" t="n">
        <x:f>2*SUM('E3 Simulacion'!C8:C39)</x:f>
        <x:v>4194304</x:v>
      </x:c>
      <x:c r="E33" s="59" t="n">
        <x:f>D33-C33</x:f>
        <x:v>0</x:v>
      </x:c>
      <x:c r="F33" s="73" t="n">
        <x:v>0</x:v>
      </x:c>
      <x:c r="G33" s="32" t="str">
        <x:f>IF(ABS(E33)&lt;=F33,"OK","REVISAR")</x:f>
        <x:v>OK</x:v>
      </x:c>
      <x:c r="H33" s="2"/>
      <x:c r="I33" s="2"/>
      <x:c r="J33" s="2"/>
    </x:row>
    <x:row r="34" ht="22" customHeight="1">
      <x:c r="A34" s="2" t="str">
        <x:v>Media M: IC95 incluye 0</x:v>
      </x:c>
      <x:c r="B34" s="2" t="str">
        <x:v>0/1</x:v>
      </x:c>
      <x:c r="C34" s="15" t="n">
        <x:v>1</x:v>
      </x:c>
      <x:c r="D34" s="37" t="n">
        <x:f>IF(AND('E2 Ito'!D28&lt;=0,'E2 Ito'!D29&gt;=0),1,0)</x:f>
        <x:v>1</x:v>
      </x:c>
      <x:c r="E34" s="59" t="n">
        <x:f>D34-C34</x:f>
        <x:v>0</x:v>
      </x:c>
      <x:c r="F34" s="73" t="n">
        <x:v>0</x:v>
      </x:c>
      <x:c r="G34" s="32" t="str">
        <x:f>IF(ABS(E34)&lt;=F34,"OK","REVISAR")</x:f>
        <x:v>OK</x:v>
      </x:c>
      <x:c r="H34" s="2"/>
      <x:c r="I34" s="2"/>
      <x:c r="J34" s="2"/>
    </x:row>
    <x:row r="35" ht="22" customHeight="1">
      <x:c r="A35" s="2" t="str">
        <x:v>C_G ≤ C aritmética</x:v>
      </x:c>
      <x:c r="B35" s="2" t="str">
        <x:v>0/1</x:v>
      </x:c>
      <x:c r="C35" s="15" t="n">
        <x:v>1</x:v>
      </x:c>
      <x:c r="D35" s="37" t="n">
        <x:f>IF('E3 Opciones'!D41&lt;='E3 Opciones'!D45,1,0)</x:f>
        <x:v>1</x:v>
      </x:c>
      <x:c r="E35" s="59" t="n">
        <x:f>D35-C35</x:f>
        <x:v>0</x:v>
      </x:c>
      <x:c r="F35" s="73" t="n">
        <x:v>0</x:v>
      </x:c>
      <x:c r="G35" s="32" t="str">
        <x:f>IF(ABS(E35)&lt;=F35,"OK","REVISAR")</x:f>
        <x:v>OK</x:v>
      </x:c>
      <x:c r="H35" s="2"/>
      <x:c r="I35" s="2"/>
      <x:c r="J35" s="2"/>
    </x:row>
    <x:row r="36" ht="22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</x:row>
    <x:row r="37" ht="22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</x:row>
    <x:row r="38" ht="27" customHeight="1">
      <x:c r="A38" s="10" t="str">
        <x:v>Cómo interpretar el control</x:v>
      </x:c>
      <x:c r="B38" s="10" t="str">
        <x:v>Cómo interpretar el control</x:v>
      </x:c>
      <x:c r="C38" s="10" t="str">
        <x:v>Cómo interpretar el control</x:v>
      </x:c>
      <x:c r="D38" s="10" t="str">
        <x:v>Cómo interpretar el control</x:v>
      </x:c>
      <x:c r="E38" s="10" t="str">
        <x:v>Cómo interpretar el control</x:v>
      </x:c>
      <x:c r="F38" s="10" t="str">
        <x:v>Cómo interpretar el control</x:v>
      </x:c>
      <x:c r="G38" s="10" t="str">
        <x:v>Cómo interpretar el control</x:v>
      </x:c>
      <x:c r="H38" s="10" t="str">
        <x:v>Cómo interpretar el control</x:v>
      </x:c>
      <x:c r="I38" s="10" t="str">
        <x:v>Cómo interpretar el control</x:v>
      </x:c>
      <x:c r="J38" s="10" t="str">
        <x:v>Cómo interpretar el control</x:v>
      </x:c>
    </x:row>
    <x:row r="39" ht="36" customHeight="1">
      <x:c r="A39" s="22" t="str">
        <x:v>OK: reproduce el caso base con la tolerancia indicada. REVISAR al editar entradas puede ser un cambio de escenario, no un error del Excel.</x:v>
      </x:c>
      <x:c r="B39" s="22" t="str">
        <x:v>OK: reproduce el caso base con la tolerancia indicada. REVISAR al editar entradas puede ser un cambio de escenario, no un error del Excel.</x:v>
      </x:c>
      <x:c r="C39" s="22" t="str">
        <x:v>OK: reproduce el caso base con la tolerancia indicada. REVISAR al editar entradas puede ser un cambio de escenario, no un error del Excel.</x:v>
      </x:c>
      <x:c r="D39" s="22" t="str">
        <x:v>OK: reproduce el caso base con la tolerancia indicada. REVISAR al editar entradas puede ser un cambio de escenario, no un error del Excel.</x:v>
      </x:c>
      <x:c r="E39" s="22" t="str">
        <x:v>OK: reproduce el caso base con la tolerancia indicada. REVISAR al editar entradas puede ser un cambio de escenario, no un error del Excel.</x:v>
      </x:c>
      <x:c r="F39" s="22" t="str">
        <x:v>OK: reproduce el caso base con la tolerancia indicada. REVISAR al editar entradas puede ser un cambio de escenario, no un error del Excel.</x:v>
      </x:c>
      <x:c r="G39" s="22" t="str">
        <x:v>OK: reproduce el caso base con la tolerancia indicada. REVISAR al editar entradas puede ser un cambio de escenario, no un error del Excel.</x:v>
      </x:c>
      <x:c r="H39" s="22" t="str">
        <x:v>OK: reproduce el caso base con la tolerancia indicada. REVISAR al editar entradas puede ser un cambio de escenario, no un error del Excel.</x:v>
      </x:c>
      <x:c r="I39" s="22" t="str">
        <x:v>OK: reproduce el caso base con la tolerancia indicada. REVISAR al editar entradas puede ser un cambio de escenario, no un error del Excel.</x:v>
      </x:c>
      <x:c r="J39" s="22" t="str">
        <x:v>OK: reproduce el caso base con la tolerancia indicada. REVISAR al editar entradas puede ser un cambio de escenario, no un error del Excel.</x:v>
      </x:c>
    </x:row>
    <x:row r="40" ht="22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</x:row>
    <x:row r="41" ht="36" customHeight="1">
      <x:c r="A41" s="22" t="str">
        <x:v>Los originales no se adjuntan. La matriz operativa, los Z y los agregados de simulación sí están dentro del libro. Las fórmulas no enlazan otros archivos.</x:v>
      </x:c>
      <x:c r="B41" s="22" t="str">
        <x:v>Los originales no se adjuntan. La matriz operativa, los Z y los agregados de simulación sí están dentro del libro. Las fórmulas no enlazan otros archivos.</x:v>
      </x:c>
      <x:c r="C41" s="22" t="str">
        <x:v>Los originales no se adjuntan. La matriz operativa, los Z y los agregados de simulación sí están dentro del libro. Las fórmulas no enlazan otros archivos.</x:v>
      </x:c>
      <x:c r="D41" s="22" t="str">
        <x:v>Los originales no se adjuntan. La matriz operativa, los Z y los agregados de simulación sí están dentro del libro. Las fórmulas no enlazan otros archivos.</x:v>
      </x:c>
      <x:c r="E41" s="22" t="str">
        <x:v>Los originales no se adjuntan. La matriz operativa, los Z y los agregados de simulación sí están dentro del libro. Las fórmulas no enlazan otros archivos.</x:v>
      </x:c>
      <x:c r="F41" s="22" t="str">
        <x:v>Los originales no se adjuntan. La matriz operativa, los Z y los agregados de simulación sí están dentro del libro. Las fórmulas no enlazan otros archivos.</x:v>
      </x:c>
      <x:c r="G41" s="22" t="str">
        <x:v>Los originales no se adjuntan. La matriz operativa, los Z y los agregados de simulación sí están dentro del libro. Las fórmulas no enlazan otros archivos.</x:v>
      </x:c>
      <x:c r="H41" s="22" t="str">
        <x:v>Los originales no se adjuntan. La matriz operativa, los Z y los agregados de simulación sí están dentro del libro. Las fórmulas no enlazan otros archivos.</x:v>
      </x:c>
      <x:c r="I41" s="22" t="str">
        <x:v>Los originales no se adjuntan. La matriz operativa, los Z y los agregados de simulación sí están dentro del libro. Las fórmulas no enlazan otros archivos.</x:v>
      </x:c>
      <x:c r="J41" s="22" t="str">
        <x:v>Los originales no se adjuntan. La matriz operativa, los Z y los agregados de simulación sí están dentro del libro. Las fórmulas no enlazan otros archivos.</x:v>
      </x:c>
    </x:row>
    <x:row r="42" ht="22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</x:row>
    <x:row r="43" ht="22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</x:row>
    <x:row r="44" ht="27" customHeight="1">
      <x:c r="A44" s="10" t="str">
        <x:v>Fuentes y reproducción</x:v>
      </x:c>
      <x:c r="B44" s="10" t="str">
        <x:v>Fuentes y reproducción</x:v>
      </x:c>
      <x:c r="C44" s="10" t="str">
        <x:v>Fuentes y reproducción</x:v>
      </x:c>
      <x:c r="D44" s="10" t="str">
        <x:v>Fuentes y reproducción</x:v>
      </x:c>
      <x:c r="E44" s="10" t="str">
        <x:v>Fuentes y reproducción</x:v>
      </x:c>
      <x:c r="F44" s="10" t="str">
        <x:v>Fuentes y reproducción</x:v>
      </x:c>
      <x:c r="G44" s="10" t="str">
        <x:v>Fuentes y reproducción</x:v>
      </x:c>
      <x:c r="H44" s="10" t="str">
        <x:v>Fuentes y reproducción</x:v>
      </x:c>
      <x:c r="I44" s="10" t="str">
        <x:v>Fuentes y reproducción</x:v>
      </x:c>
      <x:c r="J44" s="10" t="str">
        <x:v>Fuentes y reproducción</x:v>
      </x:c>
    </x:row>
    <x:row r="45" ht="22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</x:row>
    <x:row r="46" ht="22" customHeight="1">
      <x:c r="A46" s="75" t="str">
        <x:v>Documento de referencia</x:v>
      </x:c>
      <x:c r="B46" s="75" t="str">
        <x:v>Documento de referencia</x:v>
      </x:c>
      <x:c r="C46" s="75" t="str">
        <x:v>Documento de referencia</x:v>
      </x:c>
      <x:c r="D46" s="75" t="str">
        <x:v>Documento de referencia</x:v>
      </x:c>
      <x:c r="E46" s="75" t="str">
        <x:v>Documento de referencia</x:v>
      </x:c>
      <x:c r="F46" s="75" t="str">
        <x:v>Documento de referencia</x:v>
      </x:c>
      <x:c r="G46" s="75" t="str">
        <x:v>Documento de referencia</x:v>
      </x:c>
      <x:c r="H46" s="75" t="str">
        <x:v>Documento de referencia</x:v>
      </x:c>
      <x:c r="I46" s="75" t="str">
        <x:v>Documento de referencia</x:v>
      </x:c>
      <x:c r="J46" s="75" t="str">
        <x:v>Documento de referencia</x:v>
      </x:c>
    </x:row>
    <x:row r="47" ht="20" customHeight="1">
      <x:c r="A47" s="22" t="str">
        <x:v>https://github.com/AlvaroChacarra/mefc-2026-probabilidad-y-simulaci-n/blob/e5e38ba/output/main.html</x:v>
      </x:c>
      <x:c r="B47" s="22" t="str">
        <x:v>https://github.com/AlvaroChacarra/mefc-2026-probabilidad-y-simulaci-n/blob/e5e38ba/output/main.html</x:v>
      </x:c>
      <x:c r="C47" s="22" t="str">
        <x:v>https://github.com/AlvaroChacarra/mefc-2026-probabilidad-y-simulaci-n/blob/e5e38ba/output/main.html</x:v>
      </x:c>
      <x:c r="D47" s="22" t="str">
        <x:v>https://github.com/AlvaroChacarra/mefc-2026-probabilidad-y-simulaci-n/blob/e5e38ba/output/main.html</x:v>
      </x:c>
      <x:c r="E47" s="22" t="str">
        <x:v>https://github.com/AlvaroChacarra/mefc-2026-probabilidad-y-simulaci-n/blob/e5e38ba/output/main.html</x:v>
      </x:c>
      <x:c r="F47" s="22" t="str">
        <x:v>https://github.com/AlvaroChacarra/mefc-2026-probabilidad-y-simulaci-n/blob/e5e38ba/output/main.html</x:v>
      </x:c>
      <x:c r="G47" s="22" t="str">
        <x:v>https://github.com/AlvaroChacarra/mefc-2026-probabilidad-y-simulaci-n/blob/e5e38ba/output/main.html</x:v>
      </x:c>
      <x:c r="H47" s="22" t="str">
        <x:v>https://github.com/AlvaroChacarra/mefc-2026-probabilidad-y-simulaci-n/blob/e5e38ba/output/main.html</x:v>
      </x:c>
      <x:c r="I47" s="22" t="str">
        <x:v>https://github.com/AlvaroChacarra/mefc-2026-probabilidad-y-simulaci-n/blob/e5e38ba/output/main.html</x:v>
      </x:c>
      <x:c r="J47" s="22" t="str">
        <x:v>https://github.com/AlvaroChacarra/mefc-2026-probabilidad-y-simulaci-n/blob/e5e38ba/output/main.html</x:v>
      </x:c>
    </x:row>
    <x:row r="48" ht="20" customHeight="1">
      <x:c r="A48" s="22" t="str">
        <x:v>https://github.com/AlvaroChacarra/mefc-2026-probabilidad-y-simulaci-n/blob/e5e38ba/output/main.html</x:v>
      </x:c>
      <x:c r="B48" s="22" t="str">
        <x:v>https://github.com/AlvaroChacarra/mefc-2026-probabilidad-y-simulaci-n/blob/e5e38ba/output/main.html</x:v>
      </x:c>
      <x:c r="C48" s="22" t="str">
        <x:v>https://github.com/AlvaroChacarra/mefc-2026-probabilidad-y-simulaci-n/blob/e5e38ba/output/main.html</x:v>
      </x:c>
      <x:c r="D48" s="22" t="str">
        <x:v>https://github.com/AlvaroChacarra/mefc-2026-probabilidad-y-simulaci-n/blob/e5e38ba/output/main.html</x:v>
      </x:c>
      <x:c r="E48" s="22" t="str">
        <x:v>https://github.com/AlvaroChacarra/mefc-2026-probabilidad-y-simulaci-n/blob/e5e38ba/output/main.html</x:v>
      </x:c>
      <x:c r="F48" s="22" t="str">
        <x:v>https://github.com/AlvaroChacarra/mefc-2026-probabilidad-y-simulaci-n/blob/e5e38ba/output/main.html</x:v>
      </x:c>
      <x:c r="G48" s="22" t="str">
        <x:v>https://github.com/AlvaroChacarra/mefc-2026-probabilidad-y-simulaci-n/blob/e5e38ba/output/main.html</x:v>
      </x:c>
      <x:c r="H48" s="22" t="str">
        <x:v>https://github.com/AlvaroChacarra/mefc-2026-probabilidad-y-simulaci-n/blob/e5e38ba/output/main.html</x:v>
      </x:c>
      <x:c r="I48" s="22" t="str">
        <x:v>https://github.com/AlvaroChacarra/mefc-2026-probabilidad-y-simulaci-n/blob/e5e38ba/output/main.html</x:v>
      </x:c>
      <x:c r="J48" s="22" t="str">
        <x:v>https://github.com/AlvaroChacarra/mefc-2026-probabilidad-y-simulaci-n/blob/e5e38ba/output/main.html</x:v>
      </x:c>
    </x:row>
    <x:row r="49" ht="22" customHeight="1">
      <x:c r="A49" s="75" t="str">
        <x:v>Ejercicio 1</x:v>
      </x:c>
      <x:c r="B49" s="75" t="str">
        <x:v>Ejercicio 1</x:v>
      </x:c>
      <x:c r="C49" s="75" t="str">
        <x:v>Ejercicio 1</x:v>
      </x:c>
      <x:c r="D49" s="75" t="str">
        <x:v>Ejercicio 1</x:v>
      </x:c>
      <x:c r="E49" s="75" t="str">
        <x:v>Ejercicio 1</x:v>
      </x:c>
      <x:c r="F49" s="75" t="str">
        <x:v>Ejercicio 1</x:v>
      </x:c>
      <x:c r="G49" s="75" t="str">
        <x:v>Ejercicio 1</x:v>
      </x:c>
      <x:c r="H49" s="75" t="str">
        <x:v>Ejercicio 1</x:v>
      </x:c>
      <x:c r="I49" s="75" t="str">
        <x:v>Ejercicio 1</x:v>
      </x:c>
      <x:c r="J49" s="75" t="str">
        <x:v>Ejercicio 1</x:v>
      </x:c>
    </x:row>
    <x:row r="50" ht="20" customHeight="1">
      <x:c r="A50" s="22" t="str">
        <x:v>https://github.com/AlvaroChacarra/mefc-2026-probabilidad-y-simulaci-n/blob/e5e38ba/procesos-estocasticos/1-cadenas-markov-ratings/ejercicio1_cadenas_markov_ratings.ipynb</x:v>
      </x:c>
      <x:c r="B50" s="22" t="str">
        <x:v>https://github.com/AlvaroChacarra/mefc-2026-probabilidad-y-simulaci-n/blob/e5e38ba/procesos-estocasticos/1-cadenas-markov-ratings/ejercicio1_cadenas_markov_ratings.ipynb</x:v>
      </x:c>
      <x:c r="C50" s="22" t="str">
        <x:v>https://github.com/AlvaroChacarra/mefc-2026-probabilidad-y-simulaci-n/blob/e5e38ba/procesos-estocasticos/1-cadenas-markov-ratings/ejercicio1_cadenas_markov_ratings.ipynb</x:v>
      </x:c>
      <x:c r="D50" s="22" t="str">
        <x:v>https://github.com/AlvaroChacarra/mefc-2026-probabilidad-y-simulaci-n/blob/e5e38ba/procesos-estocasticos/1-cadenas-markov-ratings/ejercicio1_cadenas_markov_ratings.ipynb</x:v>
      </x:c>
      <x:c r="E50" s="22" t="str">
        <x:v>https://github.com/AlvaroChacarra/mefc-2026-probabilidad-y-simulaci-n/blob/e5e38ba/procesos-estocasticos/1-cadenas-markov-ratings/ejercicio1_cadenas_markov_ratings.ipynb</x:v>
      </x:c>
      <x:c r="F50" s="22" t="str">
        <x:v>https://github.com/AlvaroChacarra/mefc-2026-probabilidad-y-simulaci-n/blob/e5e38ba/procesos-estocasticos/1-cadenas-markov-ratings/ejercicio1_cadenas_markov_ratings.ipynb</x:v>
      </x:c>
      <x:c r="G50" s="22" t="str">
        <x:v>https://github.com/AlvaroChacarra/mefc-2026-probabilidad-y-simulaci-n/blob/e5e38ba/procesos-estocasticos/1-cadenas-markov-ratings/ejercicio1_cadenas_markov_ratings.ipynb</x:v>
      </x:c>
      <x:c r="H50" s="22" t="str">
        <x:v>https://github.com/AlvaroChacarra/mefc-2026-probabilidad-y-simulaci-n/blob/e5e38ba/procesos-estocasticos/1-cadenas-markov-ratings/ejercicio1_cadenas_markov_ratings.ipynb</x:v>
      </x:c>
      <x:c r="I50" s="22" t="str">
        <x:v>https://github.com/AlvaroChacarra/mefc-2026-probabilidad-y-simulaci-n/blob/e5e38ba/procesos-estocasticos/1-cadenas-markov-ratings/ejercicio1_cadenas_markov_ratings.ipynb</x:v>
      </x:c>
      <x:c r="J50" s="22" t="str">
        <x:v>https://github.com/AlvaroChacarra/mefc-2026-probabilidad-y-simulaci-n/blob/e5e38ba/procesos-estocasticos/1-cadenas-markov-ratings/ejercicio1_cadenas_markov_ratings.ipynb</x:v>
      </x:c>
    </x:row>
    <x:row r="51" ht="20" customHeight="1">
      <x:c r="A51" s="22" t="str">
        <x:v>https://github.com/AlvaroChacarra/mefc-2026-probabilidad-y-simulaci-n/blob/e5e38ba/procesos-estocasticos/1-cadenas-markov-ratings/ejercicio1_cadenas_markov_ratings.ipynb</x:v>
      </x:c>
      <x:c r="B51" s="22" t="str">
        <x:v>https://github.com/AlvaroChacarra/mefc-2026-probabilidad-y-simulaci-n/blob/e5e38ba/procesos-estocasticos/1-cadenas-markov-ratings/ejercicio1_cadenas_markov_ratings.ipynb</x:v>
      </x:c>
      <x:c r="C51" s="22" t="str">
        <x:v>https://github.com/AlvaroChacarra/mefc-2026-probabilidad-y-simulaci-n/blob/e5e38ba/procesos-estocasticos/1-cadenas-markov-ratings/ejercicio1_cadenas_markov_ratings.ipynb</x:v>
      </x:c>
      <x:c r="D51" s="22" t="str">
        <x:v>https://github.com/AlvaroChacarra/mefc-2026-probabilidad-y-simulaci-n/blob/e5e38ba/procesos-estocasticos/1-cadenas-markov-ratings/ejercicio1_cadenas_markov_ratings.ipynb</x:v>
      </x:c>
      <x:c r="E51" s="22" t="str">
        <x:v>https://github.com/AlvaroChacarra/mefc-2026-probabilidad-y-simulaci-n/blob/e5e38ba/procesos-estocasticos/1-cadenas-markov-ratings/ejercicio1_cadenas_markov_ratings.ipynb</x:v>
      </x:c>
      <x:c r="F51" s="22" t="str">
        <x:v>https://github.com/AlvaroChacarra/mefc-2026-probabilidad-y-simulaci-n/blob/e5e38ba/procesos-estocasticos/1-cadenas-markov-ratings/ejercicio1_cadenas_markov_ratings.ipynb</x:v>
      </x:c>
      <x:c r="G51" s="22" t="str">
        <x:v>https://github.com/AlvaroChacarra/mefc-2026-probabilidad-y-simulaci-n/blob/e5e38ba/procesos-estocasticos/1-cadenas-markov-ratings/ejercicio1_cadenas_markov_ratings.ipynb</x:v>
      </x:c>
      <x:c r="H51" s="22" t="str">
        <x:v>https://github.com/AlvaroChacarra/mefc-2026-probabilidad-y-simulaci-n/blob/e5e38ba/procesos-estocasticos/1-cadenas-markov-ratings/ejercicio1_cadenas_markov_ratings.ipynb</x:v>
      </x:c>
      <x:c r="I51" s="22" t="str">
        <x:v>https://github.com/AlvaroChacarra/mefc-2026-probabilidad-y-simulaci-n/blob/e5e38ba/procesos-estocasticos/1-cadenas-markov-ratings/ejercicio1_cadenas_markov_ratings.ipynb</x:v>
      </x:c>
      <x:c r="J51" s="22" t="str">
        <x:v>https://github.com/AlvaroChacarra/mefc-2026-probabilidad-y-simulaci-n/blob/e5e38ba/procesos-estocasticos/1-cadenas-markov-ratings/ejercicio1_cadenas_markov_ratings.ipynb</x:v>
      </x:c>
    </x:row>
    <x:row r="52" ht="22" customHeight="1">
      <x:c r="A52" s="75" t="str">
        <x:v>Excel original de Mₜ</x:v>
      </x:c>
      <x:c r="B52" s="75" t="str">
        <x:v>Excel original de Mₜ</x:v>
      </x:c>
      <x:c r="C52" s="75" t="str">
        <x:v>Excel original de Mₜ</x:v>
      </x:c>
      <x:c r="D52" s="75" t="str">
        <x:v>Excel original de Mₜ</x:v>
      </x:c>
      <x:c r="E52" s="75" t="str">
        <x:v>Excel original de Mₜ</x:v>
      </x:c>
      <x:c r="F52" s="75" t="str">
        <x:v>Excel original de Mₜ</x:v>
      </x:c>
      <x:c r="G52" s="75" t="str">
        <x:v>Excel original de Mₜ</x:v>
      </x:c>
      <x:c r="H52" s="75" t="str">
        <x:v>Excel original de Mₜ</x:v>
      </x:c>
      <x:c r="I52" s="75" t="str">
        <x:v>Excel original de Mₜ</x:v>
      </x:c>
      <x:c r="J52" s="75" t="str">
        <x:v>Excel original de Mₜ</x:v>
      </x:c>
    </x:row>
    <x:row r="53" ht="20" customHeight="1">
      <x:c r="A53" s="22" t="str">
        <x:v>https://github.com/AlvaroChacarra/mefc-2026-probabilidad-y-simulaci-n/blob/e5e38ba/procesos-estocasticos/2-ito-martingalas/resultados/ejercicio2_simulacion_Mt.xlsx</x:v>
      </x:c>
      <x:c r="B53" s="22" t="str">
        <x:v>https://github.com/AlvaroChacarra/mefc-2026-probabilidad-y-simulaci-n/blob/e5e38ba/procesos-estocasticos/2-ito-martingalas/resultados/ejercicio2_simulacion_Mt.xlsx</x:v>
      </x:c>
      <x:c r="C53" s="22" t="str">
        <x:v>https://github.com/AlvaroChacarra/mefc-2026-probabilidad-y-simulaci-n/blob/e5e38ba/procesos-estocasticos/2-ito-martingalas/resultados/ejercicio2_simulacion_Mt.xlsx</x:v>
      </x:c>
      <x:c r="D53" s="22" t="str">
        <x:v>https://github.com/AlvaroChacarra/mefc-2026-probabilidad-y-simulaci-n/blob/e5e38ba/procesos-estocasticos/2-ito-martingalas/resultados/ejercicio2_simulacion_Mt.xlsx</x:v>
      </x:c>
      <x:c r="E53" s="22" t="str">
        <x:v>https://github.com/AlvaroChacarra/mefc-2026-probabilidad-y-simulaci-n/blob/e5e38ba/procesos-estocasticos/2-ito-martingalas/resultados/ejercicio2_simulacion_Mt.xlsx</x:v>
      </x:c>
      <x:c r="F53" s="22" t="str">
        <x:v>https://github.com/AlvaroChacarra/mefc-2026-probabilidad-y-simulaci-n/blob/e5e38ba/procesos-estocasticos/2-ito-martingalas/resultados/ejercicio2_simulacion_Mt.xlsx</x:v>
      </x:c>
      <x:c r="G53" s="22" t="str">
        <x:v>https://github.com/AlvaroChacarra/mefc-2026-probabilidad-y-simulaci-n/blob/e5e38ba/procesos-estocasticos/2-ito-martingalas/resultados/ejercicio2_simulacion_Mt.xlsx</x:v>
      </x:c>
      <x:c r="H53" s="22" t="str">
        <x:v>https://github.com/AlvaroChacarra/mefc-2026-probabilidad-y-simulaci-n/blob/e5e38ba/procesos-estocasticos/2-ito-martingalas/resultados/ejercicio2_simulacion_Mt.xlsx</x:v>
      </x:c>
      <x:c r="I53" s="22" t="str">
        <x:v>https://github.com/AlvaroChacarra/mefc-2026-probabilidad-y-simulaci-n/blob/e5e38ba/procesos-estocasticos/2-ito-martingalas/resultados/ejercicio2_simulacion_Mt.xlsx</x:v>
      </x:c>
      <x:c r="J53" s="22" t="str">
        <x:v>https://github.com/AlvaroChacarra/mefc-2026-probabilidad-y-simulaci-n/blob/e5e38ba/procesos-estocasticos/2-ito-martingalas/resultados/ejercicio2_simulacion_Mt.xlsx</x:v>
      </x:c>
    </x:row>
    <x:row r="54" ht="20" customHeight="1">
      <x:c r="A54" s="22" t="str">
        <x:v>https://github.com/AlvaroChacarra/mefc-2026-probabilidad-y-simulaci-n/blob/e5e38ba/procesos-estocasticos/2-ito-martingalas/resultados/ejercicio2_simulacion_Mt.xlsx</x:v>
      </x:c>
      <x:c r="B54" s="22" t="str">
        <x:v>https://github.com/AlvaroChacarra/mefc-2026-probabilidad-y-simulaci-n/blob/e5e38ba/procesos-estocasticos/2-ito-martingalas/resultados/ejercicio2_simulacion_Mt.xlsx</x:v>
      </x:c>
      <x:c r="C54" s="22" t="str">
        <x:v>https://github.com/AlvaroChacarra/mefc-2026-probabilidad-y-simulaci-n/blob/e5e38ba/procesos-estocasticos/2-ito-martingalas/resultados/ejercicio2_simulacion_Mt.xlsx</x:v>
      </x:c>
      <x:c r="D54" s="22" t="str">
        <x:v>https://github.com/AlvaroChacarra/mefc-2026-probabilidad-y-simulaci-n/blob/e5e38ba/procesos-estocasticos/2-ito-martingalas/resultados/ejercicio2_simulacion_Mt.xlsx</x:v>
      </x:c>
      <x:c r="E54" s="22" t="str">
        <x:v>https://github.com/AlvaroChacarra/mefc-2026-probabilidad-y-simulaci-n/blob/e5e38ba/procesos-estocasticos/2-ito-martingalas/resultados/ejercicio2_simulacion_Mt.xlsx</x:v>
      </x:c>
      <x:c r="F54" s="22" t="str">
        <x:v>https://github.com/AlvaroChacarra/mefc-2026-probabilidad-y-simulaci-n/blob/e5e38ba/procesos-estocasticos/2-ito-martingalas/resultados/ejercicio2_simulacion_Mt.xlsx</x:v>
      </x:c>
      <x:c r="G54" s="22" t="str">
        <x:v>https://github.com/AlvaroChacarra/mefc-2026-probabilidad-y-simulaci-n/blob/e5e38ba/procesos-estocasticos/2-ito-martingalas/resultados/ejercicio2_simulacion_Mt.xlsx</x:v>
      </x:c>
      <x:c r="H54" s="22" t="str">
        <x:v>https://github.com/AlvaroChacarra/mefc-2026-probabilidad-y-simulaci-n/blob/e5e38ba/procesos-estocasticos/2-ito-martingalas/resultados/ejercicio2_simulacion_Mt.xlsx</x:v>
      </x:c>
      <x:c r="I54" s="22" t="str">
        <x:v>https://github.com/AlvaroChacarra/mefc-2026-probabilidad-y-simulaci-n/blob/e5e38ba/procesos-estocasticos/2-ito-martingalas/resultados/ejercicio2_simulacion_Mt.xlsx</x:v>
      </x:c>
      <x:c r="J54" s="22" t="str">
        <x:v>https://github.com/AlvaroChacarra/mefc-2026-probabilidad-y-simulaci-n/blob/e5e38ba/procesos-estocasticos/2-ito-martingalas/resultados/ejercicio2_simulacion_Mt.xlsx</x:v>
      </x:c>
    </x:row>
    <x:row r="55" ht="22" customHeight="1">
      <x:c r="A55" s="75" t="str">
        <x:v>Ejercicio 3</x:v>
      </x:c>
      <x:c r="B55" s="75" t="str">
        <x:v>Ejercicio 3</x:v>
      </x:c>
      <x:c r="C55" s="75" t="str">
        <x:v>Ejercicio 3</x:v>
      </x:c>
      <x:c r="D55" s="75" t="str">
        <x:v>Ejercicio 3</x:v>
      </x:c>
      <x:c r="E55" s="75" t="str">
        <x:v>Ejercicio 3</x:v>
      </x:c>
      <x:c r="F55" s="75" t="str">
        <x:v>Ejercicio 3</x:v>
      </x:c>
      <x:c r="G55" s="75" t="str">
        <x:v>Ejercicio 3</x:v>
      </x:c>
      <x:c r="H55" s="75" t="str">
        <x:v>Ejercicio 3</x:v>
      </x:c>
      <x:c r="I55" s="75" t="str">
        <x:v>Ejercicio 3</x:v>
      </x:c>
      <x:c r="J55" s="75" t="str">
        <x:v>Ejercicio 3</x:v>
      </x:c>
    </x:row>
    <x:row r="56" ht="20" customHeight="1">
      <x:c r="A56" s="22" t="str">
        <x:v>https://github.com/AlvaroChacarra/mefc-2026-probabilidad-y-simulaci-n/blob/e5e38ba/procesos-estocasticos/3-volatilidad-determinista-asiatica/ejercicio3_volatilidad_determinista_asiatica.ipynb</x:v>
      </x:c>
      <x:c r="B56" s="22" t="str">
        <x:v>https://github.com/AlvaroChacarra/mefc-2026-probabilidad-y-simulaci-n/blob/e5e38ba/procesos-estocasticos/3-volatilidad-determinista-asiatica/ejercicio3_volatilidad_determinista_asiatica.ipynb</x:v>
      </x:c>
      <x:c r="C56" s="22" t="str">
        <x:v>https://github.com/AlvaroChacarra/mefc-2026-probabilidad-y-simulaci-n/blob/e5e38ba/procesos-estocasticos/3-volatilidad-determinista-asiatica/ejercicio3_volatilidad_determinista_asiatica.ipynb</x:v>
      </x:c>
      <x:c r="D56" s="22" t="str">
        <x:v>https://github.com/AlvaroChacarra/mefc-2026-probabilidad-y-simulaci-n/blob/e5e38ba/procesos-estocasticos/3-volatilidad-determinista-asiatica/ejercicio3_volatilidad_determinista_asiatica.ipynb</x:v>
      </x:c>
      <x:c r="E56" s="22" t="str">
        <x:v>https://github.com/AlvaroChacarra/mefc-2026-probabilidad-y-simulaci-n/blob/e5e38ba/procesos-estocasticos/3-volatilidad-determinista-asiatica/ejercicio3_volatilidad_determinista_asiatica.ipynb</x:v>
      </x:c>
      <x:c r="F56" s="22" t="str">
        <x:v>https://github.com/AlvaroChacarra/mefc-2026-probabilidad-y-simulaci-n/blob/e5e38ba/procesos-estocasticos/3-volatilidad-determinista-asiatica/ejercicio3_volatilidad_determinista_asiatica.ipynb</x:v>
      </x:c>
      <x:c r="G56" s="22" t="str">
        <x:v>https://github.com/AlvaroChacarra/mefc-2026-probabilidad-y-simulaci-n/blob/e5e38ba/procesos-estocasticos/3-volatilidad-determinista-asiatica/ejercicio3_volatilidad_determinista_asiatica.ipynb</x:v>
      </x:c>
      <x:c r="H56" s="22" t="str">
        <x:v>https://github.com/AlvaroChacarra/mefc-2026-probabilidad-y-simulaci-n/blob/e5e38ba/procesos-estocasticos/3-volatilidad-determinista-asiatica/ejercicio3_volatilidad_determinista_asiatica.ipynb</x:v>
      </x:c>
      <x:c r="I56" s="22" t="str">
        <x:v>https://github.com/AlvaroChacarra/mefc-2026-probabilidad-y-simulaci-n/blob/e5e38ba/procesos-estocasticos/3-volatilidad-determinista-asiatica/ejercicio3_volatilidad_determinista_asiatica.ipynb</x:v>
      </x:c>
      <x:c r="J56" s="22" t="str">
        <x:v>https://github.com/AlvaroChacarra/mefc-2026-probabilidad-y-simulaci-n/blob/e5e38ba/procesos-estocasticos/3-volatilidad-determinista-asiatica/ejercicio3_volatilidad_determinista_asiatica.ipynb</x:v>
      </x:c>
    </x:row>
    <x:row r="57" ht="20" customHeight="1">
      <x:c r="A57" s="22" t="str">
        <x:v>https://github.com/AlvaroChacarra/mefc-2026-probabilidad-y-simulaci-n/blob/e5e38ba/procesos-estocasticos/3-volatilidad-determinista-asiatica/ejercicio3_volatilidad_determinista_asiatica.ipynb</x:v>
      </x:c>
      <x:c r="B57" s="22" t="str">
        <x:v>https://github.com/AlvaroChacarra/mefc-2026-probabilidad-y-simulaci-n/blob/e5e38ba/procesos-estocasticos/3-volatilidad-determinista-asiatica/ejercicio3_volatilidad_determinista_asiatica.ipynb</x:v>
      </x:c>
      <x:c r="C57" s="22" t="str">
        <x:v>https://github.com/AlvaroChacarra/mefc-2026-probabilidad-y-simulaci-n/blob/e5e38ba/procesos-estocasticos/3-volatilidad-determinista-asiatica/ejercicio3_volatilidad_determinista_asiatica.ipynb</x:v>
      </x:c>
      <x:c r="D57" s="22" t="str">
        <x:v>https://github.com/AlvaroChacarra/mefc-2026-probabilidad-y-simulaci-n/blob/e5e38ba/procesos-estocasticos/3-volatilidad-determinista-asiatica/ejercicio3_volatilidad_determinista_asiatica.ipynb</x:v>
      </x:c>
      <x:c r="E57" s="22" t="str">
        <x:v>https://github.com/AlvaroChacarra/mefc-2026-probabilidad-y-simulaci-n/blob/e5e38ba/procesos-estocasticos/3-volatilidad-determinista-asiatica/ejercicio3_volatilidad_determinista_asiatica.ipynb</x:v>
      </x:c>
      <x:c r="F57" s="22" t="str">
        <x:v>https://github.com/AlvaroChacarra/mefc-2026-probabilidad-y-simulaci-n/blob/e5e38ba/procesos-estocasticos/3-volatilidad-determinista-asiatica/ejercicio3_volatilidad_determinista_asiatica.ipynb</x:v>
      </x:c>
      <x:c r="G57" s="22" t="str">
        <x:v>https://github.com/AlvaroChacarra/mefc-2026-probabilidad-y-simulaci-n/blob/e5e38ba/procesos-estocasticos/3-volatilidad-determinista-asiatica/ejercicio3_volatilidad_determinista_asiatica.ipynb</x:v>
      </x:c>
      <x:c r="H57" s="22" t="str">
        <x:v>https://github.com/AlvaroChacarra/mefc-2026-probabilidad-y-simulaci-n/blob/e5e38ba/procesos-estocasticos/3-volatilidad-determinista-asiatica/ejercicio3_volatilidad_determinista_asiatica.ipynb</x:v>
      </x:c>
      <x:c r="I57" s="22" t="str">
        <x:v>https://github.com/AlvaroChacarra/mefc-2026-probabilidad-y-simulaci-n/blob/e5e38ba/procesos-estocasticos/3-volatilidad-determinista-asiatica/ejercicio3_volatilidad_determinista_asiatica.ipynb</x:v>
      </x:c>
      <x:c r="J57" s="22" t="str">
        <x:v>https://github.com/AlvaroChacarra/mefc-2026-probabilidad-y-simulaci-n/blob/e5e38ba/procesos-estocasticos/3-volatilidad-determinista-asiatica/ejercicio3_volatilidad_determinista_asiatica.ipynb</x:v>
      </x:c>
    </x:row>
    <x:row r="58" ht="22" customHeight="1">
      <x:c r="A58" s="75" t="str">
        <x:v>Semillas de simulación</x:v>
      </x:c>
      <x:c r="B58" s="75" t="str">
        <x:v>Semillas de simulación</x:v>
      </x:c>
      <x:c r="C58" s="75" t="str">
        <x:v>Semillas de simulación</x:v>
      </x:c>
      <x:c r="D58" s="75" t="str">
        <x:v>Semillas de simulación</x:v>
      </x:c>
      <x:c r="E58" s="75" t="str">
        <x:v>Semillas de simulación</x:v>
      </x:c>
      <x:c r="F58" s="75" t="str">
        <x:v>Semillas de simulación</x:v>
      </x:c>
      <x:c r="G58" s="75" t="str">
        <x:v>Semillas de simulación</x:v>
      </x:c>
      <x:c r="H58" s="75" t="str">
        <x:v>Semillas de simulación</x:v>
      </x:c>
      <x:c r="I58" s="75" t="str">
        <x:v>Semillas de simulación</x:v>
      </x:c>
      <x:c r="J58" s="75" t="str">
        <x:v>Semillas de simulación</x:v>
      </x:c>
    </x:row>
    <x:row r="59" ht="20" customHeight="1">
      <x:c r="A59" s="22" t="str">
        <x:v>Cadenas: 20260902. Piloto: 20260302. Sobol: 30000–30031. Contraste PRNG: 20260303.</x:v>
      </x:c>
      <x:c r="B59" s="22" t="str">
        <x:v>Cadenas: 20260902. Piloto: 20260302. Sobol: 30000–30031. Contraste PRNG: 20260303.</x:v>
      </x:c>
      <x:c r="C59" s="22" t="str">
        <x:v>Cadenas: 20260902. Piloto: 20260302. Sobol: 30000–30031. Contraste PRNG: 20260303.</x:v>
      </x:c>
      <x:c r="D59" s="22" t="str">
        <x:v>Cadenas: 20260902. Piloto: 20260302. Sobol: 30000–30031. Contraste PRNG: 20260303.</x:v>
      </x:c>
      <x:c r="E59" s="22" t="str">
        <x:v>Cadenas: 20260902. Piloto: 20260302. Sobol: 30000–30031. Contraste PRNG: 20260303.</x:v>
      </x:c>
      <x:c r="F59" s="22" t="str">
        <x:v>Cadenas: 20260902. Piloto: 20260302. Sobol: 30000–30031. Contraste PRNG: 20260303.</x:v>
      </x:c>
      <x:c r="G59" s="22" t="str">
        <x:v>Cadenas: 20260902. Piloto: 20260302. Sobol: 30000–30031. Contraste PRNG: 20260303.</x:v>
      </x:c>
      <x:c r="H59" s="22" t="str">
        <x:v>Cadenas: 20260902. Piloto: 20260302. Sobol: 30000–30031. Contraste PRNG: 20260303.</x:v>
      </x:c>
      <x:c r="I59" s="22" t="str">
        <x:v>Cadenas: 20260902. Piloto: 20260302. Sobol: 30000–30031. Contraste PRNG: 20260303.</x:v>
      </x:c>
      <x:c r="J59" s="22" t="str">
        <x:v>Cadenas: 20260902. Piloto: 20260302. Sobol: 30000–30031. Contraste PRNG: 20260303.</x:v>
      </x:c>
    </x:row>
    <x:row r="60" ht="20" customHeight="1">
      <x:c r="A60" s="22" t="str">
        <x:v>Cadenas: 20260902. Piloto: 20260302. Sobol: 30000–30031. Contraste PRNG: 20260303.</x:v>
      </x:c>
      <x:c r="B60" s="22" t="str">
        <x:v>Cadenas: 20260902. Piloto: 20260302. Sobol: 30000–30031. Contraste PRNG: 20260303.</x:v>
      </x:c>
      <x:c r="C60" s="22" t="str">
        <x:v>Cadenas: 20260902. Piloto: 20260302. Sobol: 30000–30031. Contraste PRNG: 20260303.</x:v>
      </x:c>
      <x:c r="D60" s="22" t="str">
        <x:v>Cadenas: 20260902. Piloto: 20260302. Sobol: 30000–30031. Contraste PRNG: 20260303.</x:v>
      </x:c>
      <x:c r="E60" s="22" t="str">
        <x:v>Cadenas: 20260902. Piloto: 20260302. Sobol: 30000–30031. Contraste PRNG: 20260303.</x:v>
      </x:c>
      <x:c r="F60" s="22" t="str">
        <x:v>Cadenas: 20260902. Piloto: 20260302. Sobol: 30000–30031. Contraste PRNG: 20260303.</x:v>
      </x:c>
      <x:c r="G60" s="22" t="str">
        <x:v>Cadenas: 20260902. Piloto: 20260302. Sobol: 30000–30031. Contraste PRNG: 20260303.</x:v>
      </x:c>
      <x:c r="H60" s="22" t="str">
        <x:v>Cadenas: 20260902. Piloto: 20260302. Sobol: 30000–30031. Contraste PRNG: 20260303.</x:v>
      </x:c>
      <x:c r="I60" s="22" t="str">
        <x:v>Cadenas: 20260902. Piloto: 20260302. Sobol: 30000–30031. Contraste PRNG: 20260303.</x:v>
      </x:c>
      <x:c r="J60" s="22" t="str">
        <x:v>Cadenas: 20260902. Piloto: 20260302. Sobol: 30000–30031. Contraste PRNG: 20260303.</x:v>
      </x:c>
    </x:row>
    <x:row r="61" ht="22" customHeight="1">
      <x:c r="A61" s="75" t="str">
        <x:v>Si cambia el escenario</x:v>
      </x:c>
      <x:c r="B61" s="75" t="str">
        <x:v>Si cambia el escenario</x:v>
      </x:c>
      <x:c r="C61" s="75" t="str">
        <x:v>Si cambia el escenario</x:v>
      </x:c>
      <x:c r="D61" s="75" t="str">
        <x:v>Si cambia el escenario</x:v>
      </x:c>
      <x:c r="E61" s="75" t="str">
        <x:v>Si cambia el escenario</x:v>
      </x:c>
      <x:c r="F61" s="75" t="str">
        <x:v>Si cambia el escenario</x:v>
      </x:c>
      <x:c r="G61" s="75" t="str">
        <x:v>Si cambia el escenario</x:v>
      </x:c>
      <x:c r="H61" s="75" t="str">
        <x:v>Si cambia el escenario</x:v>
      </x:c>
      <x:c r="I61" s="75" t="str">
        <x:v>Si cambia el escenario</x:v>
      </x:c>
      <x:c r="J61" s="75" t="str">
        <x:v>Si cambia el escenario</x:v>
      </x:c>
    </x:row>
    <x:row r="62" ht="20" customHeight="1">
      <x:c r="A62" s="22" t="str">
        <x:v>Reejecutar las simulaciones del notebook con las nuevas entradas; actualizar agregados y referencias del libro.</x:v>
      </x:c>
      <x:c r="B62" s="22" t="str">
        <x:v>Reejecutar las simulaciones del notebook con las nuevas entradas; actualizar agregados y referencias del libro.</x:v>
      </x:c>
      <x:c r="C62" s="22" t="str">
        <x:v>Reejecutar las simulaciones del notebook con las nuevas entradas; actualizar agregados y referencias del libro.</x:v>
      </x:c>
      <x:c r="D62" s="22" t="str">
        <x:v>Reejecutar las simulaciones del notebook con las nuevas entradas; actualizar agregados y referencias del libro.</x:v>
      </x:c>
      <x:c r="E62" s="22" t="str">
        <x:v>Reejecutar las simulaciones del notebook con las nuevas entradas; actualizar agregados y referencias del libro.</x:v>
      </x:c>
      <x:c r="F62" s="22" t="str">
        <x:v>Reejecutar las simulaciones del notebook con las nuevas entradas; actualizar agregados y referencias del libro.</x:v>
      </x:c>
      <x:c r="G62" s="22" t="str">
        <x:v>Reejecutar las simulaciones del notebook con las nuevas entradas; actualizar agregados y referencias del libro.</x:v>
      </x:c>
      <x:c r="H62" s="22" t="str">
        <x:v>Reejecutar las simulaciones del notebook con las nuevas entradas; actualizar agregados y referencias del libro.</x:v>
      </x:c>
      <x:c r="I62" s="22" t="str">
        <x:v>Reejecutar las simulaciones del notebook con las nuevas entradas; actualizar agregados y referencias del libro.</x:v>
      </x:c>
      <x:c r="J62" s="22" t="str">
        <x:v>Reejecutar las simulaciones del notebook con las nuevas entradas; actualizar agregados y referencias del libro.</x:v>
      </x:c>
    </x:row>
    <x:row r="63" ht="20" customHeight="1">
      <x:c r="A63" s="22" t="str">
        <x:v>Reejecutar las simulaciones del notebook con las nuevas entradas; actualizar agregados y referencias del libro.</x:v>
      </x:c>
      <x:c r="B63" s="22" t="str">
        <x:v>Reejecutar las simulaciones del notebook con las nuevas entradas; actualizar agregados y referencias del libro.</x:v>
      </x:c>
      <x:c r="C63" s="22" t="str">
        <x:v>Reejecutar las simulaciones del notebook con las nuevas entradas; actualizar agregados y referencias del libro.</x:v>
      </x:c>
      <x:c r="D63" s="22" t="str">
        <x:v>Reejecutar las simulaciones del notebook con las nuevas entradas; actualizar agregados y referencias del libro.</x:v>
      </x:c>
      <x:c r="E63" s="22" t="str">
        <x:v>Reejecutar las simulaciones del notebook con las nuevas entradas; actualizar agregados y referencias del libro.</x:v>
      </x:c>
      <x:c r="F63" s="22" t="str">
        <x:v>Reejecutar las simulaciones del notebook con las nuevas entradas; actualizar agregados y referencias del libro.</x:v>
      </x:c>
      <x:c r="G63" s="22" t="str">
        <x:v>Reejecutar las simulaciones del notebook con las nuevas entradas; actualizar agregados y referencias del libro.</x:v>
      </x:c>
      <x:c r="H63" s="22" t="str">
        <x:v>Reejecutar las simulaciones del notebook con las nuevas entradas; actualizar agregados y referencias del libro.</x:v>
      </x:c>
      <x:c r="I63" s="22" t="str">
        <x:v>Reejecutar las simulaciones del notebook con las nuevas entradas; actualizar agregados y referencias del libro.</x:v>
      </x:c>
      <x:c r="J63" s="22" t="str">
        <x:v>Reejecutar las simulaciones del notebook con las nuevas entradas; actualizar agregados y referencias del libro.</x:v>
      </x:c>
    </x:row>
    <x:row r="64" ht="22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</x:row>
    <x:row r="65" ht="22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</x:row>
    <x:row r="66" ht="27" customHeight="1">
      <x:c r="A66" s="10" t="str">
        <x:v>E1 · Recuentos terminales de simulación (300.000 cadenas por rating)</x:v>
      </x:c>
      <x:c r="B66" s="10" t="str">
        <x:v>E1 · Recuentos terminales de simulación (300.000 cadenas por rating)</x:v>
      </x:c>
      <x:c r="C66" s="10" t="str">
        <x:v>E1 · Recuentos terminales de simulación (300.000 cadenas por rating)</x:v>
      </x:c>
      <x:c r="D66" s="10" t="str">
        <x:v>E1 · Recuentos terminales de simulación (300.000 cadenas por rating)</x:v>
      </x:c>
      <x:c r="E66" s="10" t="str">
        <x:v>E1 · Recuentos terminales de simulación (300.000 cadenas por rating)</x:v>
      </x:c>
      <x:c r="F66" s="10" t="str">
        <x:v>E1 · Recuentos terminales de simulación (300.000 cadenas por rating)</x:v>
      </x:c>
      <x:c r="G66" s="10" t="str">
        <x:v>E1 · Recuentos terminales de simulación (300.000 cadenas por rating)</x:v>
      </x:c>
      <x:c r="H66" s="10" t="str">
        <x:v>E1 · Recuentos terminales de simulación (300.000 cadenas por rating)</x:v>
      </x:c>
      <x:c r="I66" s="10" t="str">
        <x:v>E1 · Recuentos terminales de simulación (300.000 cadenas por rating)</x:v>
      </x:c>
      <x:c r="J66" s="10" t="str">
        <x:v>E1 · Recuentos terminales de simulación (300.000 cadenas por rating)</x:v>
      </x:c>
    </x:row>
    <x:row r="67" ht="36" customHeight="1">
      <x:c r="A67" s="13" t="str">
        <x:v>Inicial / final</x:v>
      </x:c>
      <x:c r="B67" s="13" t="str">
        <x:v>Aaa</x:v>
      </x:c>
      <x:c r="C67" s="13" t="str">
        <x:v>Aa</x:v>
      </x:c>
      <x:c r="D67" s="13" t="str">
        <x:v>A</x:v>
      </x:c>
      <x:c r="E67" s="13" t="str">
        <x:v>Baa</x:v>
      </x:c>
      <x:c r="F67" s="13" t="str">
        <x:v>Ba</x:v>
      </x:c>
      <x:c r="G67" s="13" t="str">
        <x:v>B</x:v>
      </x:c>
      <x:c r="H67" s="13" t="str">
        <x:v>Caa-C</x:v>
      </x:c>
      <x:c r="I67" s="13" t="str">
        <x:v>Default</x:v>
      </x:c>
      <x:c r="J67" s="2"/>
    </x:row>
    <x:row r="68" ht="22" customHeight="1">
      <x:c r="A68" s="2" t="str">
        <x:v>Aaa</x:v>
      </x:c>
      <x:c r="B68" s="80" t="n">
        <x:v>112819</x:v>
      </x:c>
      <x:c r="C68" s="80" t="n">
        <x:v>53245</x:v>
      </x:c>
      <x:c r="D68" s="80" t="n">
        <x:v>35635</x:v>
      </x:c>
      <x:c r="E68" s="80" t="n">
        <x:v>17495</x:v>
      </x:c>
      <x:c r="F68" s="80" t="n">
        <x:v>16473</x:v>
      </x:c>
      <x:c r="G68" s="80" t="n">
        <x:v>8843</x:v>
      </x:c>
      <x:c r="H68" s="80" t="n">
        <x:v>9593</x:v>
      </x:c>
      <x:c r="I68" s="80" t="n">
        <x:v>45897</x:v>
      </x:c>
      <x:c r="J68" s="2"/>
    </x:row>
    <x:row r="69" ht="22" customHeight="1">
      <x:c r="A69" s="2" t="str">
        <x:v>Aa</x:v>
      </x:c>
      <x:c r="B69" s="80" t="n">
        <x:v>109450</x:v>
      </x:c>
      <x:c r="C69" s="80" t="n">
        <x:v>51409</x:v>
      </x:c>
      <x:c r="D69" s="80" t="n">
        <x:v>34884</x:v>
      </x:c>
      <x:c r="E69" s="80" t="n">
        <x:v>16908</x:v>
      </x:c>
      <x:c r="F69" s="80" t="n">
        <x:v>16338</x:v>
      </x:c>
      <x:c r="G69" s="80" t="n">
        <x:v>8714</x:v>
      </x:c>
      <x:c r="H69" s="80" t="n">
        <x:v>9662</x:v>
      </x:c>
      <x:c r="I69" s="80" t="n">
        <x:v>52635</x:v>
      </x:c>
      <x:c r="J69" s="2"/>
    </x:row>
    <x:row r="70" ht="22" customHeight="1">
      <x:c r="A70" s="2" t="str">
        <x:v>A</x:v>
      </x:c>
      <x:c r="B70" s="80" t="n">
        <x:v>81897</x:v>
      </x:c>
      <x:c r="C70" s="80" t="n">
        <x:v>39107</x:v>
      </x:c>
      <x:c r="D70" s="80" t="n">
        <x:v>27359</x:v>
      </x:c>
      <x:c r="E70" s="80" t="n">
        <x:v>13450</x:v>
      </x:c>
      <x:c r="F70" s="80" t="n">
        <x:v>14117</x:v>
      </x:c>
      <x:c r="G70" s="80" t="n">
        <x:v>8167</x:v>
      </x:c>
      <x:c r="H70" s="80" t="n">
        <x:v>9322</x:v>
      </x:c>
      <x:c r="I70" s="80" t="n">
        <x:v>106581</x:v>
      </x:c>
      <x:c r="J70" s="2"/>
    </x:row>
    <x:row r="71" ht="22" customHeight="1">
      <x:c r="A71" s="2" t="str">
        <x:v>Baa</x:v>
      </x:c>
      <x:c r="B71" s="80" t="n">
        <x:v>59979</x:v>
      </x:c>
      <x:c r="C71" s="80" t="n">
        <x:v>29391</x:v>
      </x:c>
      <x:c r="D71" s="80" t="n">
        <x:v>20932</x:v>
      </x:c>
      <x:c r="E71" s="80" t="n">
        <x:v>10467</x:v>
      </x:c>
      <x:c r="F71" s="80" t="n">
        <x:v>11385</x:v>
      </x:c>
      <x:c r="G71" s="80" t="n">
        <x:v>6681</x:v>
      </x:c>
      <x:c r="H71" s="80" t="n">
        <x:v>8169</x:v>
      </x:c>
      <x:c r="I71" s="80" t="n">
        <x:v>152996</x:v>
      </x:c>
      <x:c r="J71" s="2"/>
    </x:row>
    <x:row r="72" ht="22" customHeight="1">
      <x:c r="A72" s="2" t="str">
        <x:v>Ba</x:v>
      </x:c>
      <x:c r="B72" s="80" t="n">
        <x:v>24428</x:v>
      </x:c>
      <x:c r="C72" s="80" t="n">
        <x:v>12268</x:v>
      </x:c>
      <x:c r="D72" s="80" t="n">
        <x:v>9210</x:v>
      </x:c>
      <x:c r="E72" s="80" t="n">
        <x:v>4851</x:v>
      </x:c>
      <x:c r="F72" s="80" t="n">
        <x:v>6064</x:v>
      </x:c>
      <x:c r="G72" s="80" t="n">
        <x:v>3794</x:v>
      </x:c>
      <x:c r="H72" s="80" t="n">
        <x:v>4980</x:v>
      </x:c>
      <x:c r="I72" s="80" t="n">
        <x:v>234405</x:v>
      </x:c>
      <x:c r="J72" s="2"/>
    </x:row>
    <x:row r="73" ht="22" customHeight="1">
      <x:c r="A73" s="2" t="str">
        <x:v>B</x:v>
      </x:c>
      <x:c r="B73" s="80" t="n">
        <x:v>8026</x:v>
      </x:c>
      <x:c r="C73" s="80" t="n">
        <x:v>4177</x:v>
      </x:c>
      <x:c r="D73" s="80" t="n">
        <x:v>3186</x:v>
      </x:c>
      <x:c r="E73" s="80" t="n">
        <x:v>1737</x:v>
      </x:c>
      <x:c r="F73" s="80" t="n">
        <x:v>2289</x:v>
      </x:c>
      <x:c r="G73" s="80" t="n">
        <x:v>1410</x:v>
      </x:c>
      <x:c r="H73" s="80" t="n">
        <x:v>1981</x:v>
      </x:c>
      <x:c r="I73" s="80" t="n">
        <x:v>277194</x:v>
      </x:c>
      <x:c r="J73" s="2"/>
    </x:row>
    <x:row r="74" ht="22" customHeight="1">
      <x:c r="A74" s="2" t="str">
        <x:v>Caa-C</x:v>
      </x:c>
      <x:c r="B74" s="80" t="n">
        <x:v>2300</x:v>
      </x:c>
      <x:c r="C74" s="80" t="n">
        <x:v>1172</x:v>
      </x:c>
      <x:c r="D74" s="80" t="n">
        <x:v>971</x:v>
      </x:c>
      <x:c r="E74" s="80" t="n">
        <x:v>566</x:v>
      </x:c>
      <x:c r="F74" s="80" t="n">
        <x:v>724</x:v>
      </x:c>
      <x:c r="G74" s="80" t="n">
        <x:v>479</x:v>
      </x:c>
      <x:c r="H74" s="80" t="n">
        <x:v>737</x:v>
      </x:c>
      <x:c r="I74" s="80" t="n">
        <x:v>293051</x:v>
      </x:c>
      <x:c r="J74" s="2"/>
    </x:row>
    <x:row r="75" ht="22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</x:row>
    <x:row r="76" ht="22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</x:row>
    <x:row r="77" ht="22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</x:row>
    <x:row r="78" ht="22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</x:row>
    <x:row r="79" ht="22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</x:row>
    <x:row r="80" ht="36" customHeight="1">
      <x:c r="A80" s="13" t="str">
        <x:v>Frecuencia</x:v>
      </x:c>
      <x:c r="B80" s="13" t="str">
        <x:v>Aaa</x:v>
      </x:c>
      <x:c r="C80" s="13" t="str">
        <x:v>Aa</x:v>
      </x:c>
      <x:c r="D80" s="13" t="str">
        <x:v>A</x:v>
      </x:c>
      <x:c r="E80" s="13" t="str">
        <x:v>Baa</x:v>
      </x:c>
      <x:c r="F80" s="13" t="str">
        <x:v>Ba</x:v>
      </x:c>
      <x:c r="G80" s="13" t="str">
        <x:v>B</x:v>
      </x:c>
      <x:c r="H80" s="13" t="str">
        <x:v>Caa-C</x:v>
      </x:c>
      <x:c r="I80" s="13" t="str">
        <x:v>Default</x:v>
      </x:c>
      <x:c r="J80" s="2"/>
    </x:row>
    <x:row r="81" ht="22" customHeight="1">
      <x:c r="A81" s="2" t="str">
        <x:v>Aaa</x:v>
      </x:c>
      <x:c r="B81" s="35" t="n">
        <x:f>B68/'Datos'!$B$38</x:f>
        <x:v>0.37606333333333336</x:v>
      </x:c>
      <x:c r="C81" s="35" t="n">
        <x:f>C68/'Datos'!$B$38</x:f>
        <x:v>0.17748333333333333</x:v>
      </x:c>
      <x:c r="D81" s="35" t="n">
        <x:f>D68/'Datos'!$B$38</x:f>
        <x:v>0.11878333333333334</x:v>
      </x:c>
      <x:c r="E81" s="35" t="n">
        <x:f>E68/'Datos'!$B$38</x:f>
        <x:v>0.05831666666666667</x:v>
      </x:c>
      <x:c r="F81" s="35" t="n">
        <x:f>F68/'Datos'!$B$38</x:f>
        <x:v>0.05491</x:v>
      </x:c>
      <x:c r="G81" s="35" t="n">
        <x:f>G68/'Datos'!$B$38</x:f>
        <x:v>0.02947666666666667</x:v>
      </x:c>
      <x:c r="H81" s="35" t="n">
        <x:f>H68/'Datos'!$B$38</x:f>
        <x:v>0.03197666666666667</x:v>
      </x:c>
      <x:c r="I81" s="35" t="n">
        <x:f>I68/'Datos'!$B$38</x:f>
        <x:v>0.15299</x:v>
      </x:c>
      <x:c r="J81" s="2"/>
    </x:row>
    <x:row r="82" ht="22" customHeight="1">
      <x:c r="A82" s="2" t="str">
        <x:v>Aa</x:v>
      </x:c>
      <x:c r="B82" s="35" t="n">
        <x:f>B69/'Datos'!$B$38</x:f>
        <x:v>0.36483333333333334</x:v>
      </x:c>
      <x:c r="C82" s="35" t="n">
        <x:f>C69/'Datos'!$B$38</x:f>
        <x:v>0.17136333333333334</x:v>
      </x:c>
      <x:c r="D82" s="35" t="n">
        <x:f>D69/'Datos'!$B$38</x:f>
        <x:v>0.11628</x:v>
      </x:c>
      <x:c r="E82" s="35" t="n">
        <x:f>E69/'Datos'!$B$38</x:f>
        <x:v>0.05636</x:v>
      </x:c>
      <x:c r="F82" s="35" t="n">
        <x:f>F69/'Datos'!$B$38</x:f>
        <x:v>0.05446</x:v>
      </x:c>
      <x:c r="G82" s="35" t="n">
        <x:f>G69/'Datos'!$B$38</x:f>
        <x:v>0.029046666666666665</x:v>
      </x:c>
      <x:c r="H82" s="35" t="n">
        <x:f>H69/'Datos'!$B$38</x:f>
        <x:v>0.03220666666666667</x:v>
      </x:c>
      <x:c r="I82" s="35" t="n">
        <x:f>I69/'Datos'!$B$38</x:f>
        <x:v>0.17545</x:v>
      </x:c>
      <x:c r="J82" s="2"/>
    </x:row>
    <x:row r="83" ht="22" customHeight="1">
      <x:c r="A83" s="2" t="str">
        <x:v>A</x:v>
      </x:c>
      <x:c r="B83" s="35" t="n">
        <x:f>B70/'Datos'!$B$38</x:f>
        <x:v>0.27299</x:v>
      </x:c>
      <x:c r="C83" s="35" t="n">
        <x:f>C70/'Datos'!$B$38</x:f>
        <x:v>0.13035666666666668</x:v>
      </x:c>
      <x:c r="D83" s="35" t="n">
        <x:f>D70/'Datos'!$B$38</x:f>
        <x:v>0.09119666666666666</x:v>
      </x:c>
      <x:c r="E83" s="35" t="n">
        <x:f>E70/'Datos'!$B$38</x:f>
        <x:v>0.044833333333333336</x:v>
      </x:c>
      <x:c r="F83" s="35" t="n">
        <x:f>F70/'Datos'!$B$38</x:f>
        <x:v>0.04705666666666666</x:v>
      </x:c>
      <x:c r="G83" s="35" t="n">
        <x:f>G70/'Datos'!$B$38</x:f>
        <x:v>0.027223333333333332</x:v>
      </x:c>
      <x:c r="H83" s="35" t="n">
        <x:f>H70/'Datos'!$B$38</x:f>
        <x:v>0.031073333333333335</x:v>
      </x:c>
      <x:c r="I83" s="35" t="n">
        <x:f>I70/'Datos'!$B$38</x:f>
        <x:v>0.35527</x:v>
      </x:c>
      <x:c r="J83" s="2"/>
    </x:row>
    <x:row r="84" ht="22" customHeight="1">
      <x:c r="A84" s="2" t="str">
        <x:v>Baa</x:v>
      </x:c>
      <x:c r="B84" s="35" t="n">
        <x:f>B71/'Datos'!$B$38</x:f>
        <x:v>0.19993</x:v>
      </x:c>
      <x:c r="C84" s="35" t="n">
        <x:f>C71/'Datos'!$B$38</x:f>
        <x:v>0.09797</x:v>
      </x:c>
      <x:c r="D84" s="35" t="n">
        <x:f>D71/'Datos'!$B$38</x:f>
        <x:v>0.06977333333333334</x:v>
      </x:c>
      <x:c r="E84" s="35" t="n">
        <x:f>E71/'Datos'!$B$38</x:f>
        <x:v>0.03489</x:v>
      </x:c>
      <x:c r="F84" s="35" t="n">
        <x:f>F71/'Datos'!$B$38</x:f>
        <x:v>0.03795</x:v>
      </x:c>
      <x:c r="G84" s="35" t="n">
        <x:f>G71/'Datos'!$B$38</x:f>
        <x:v>0.02227</x:v>
      </x:c>
      <x:c r="H84" s="35" t="n">
        <x:f>H71/'Datos'!$B$38</x:f>
        <x:v>0.02723</x:v>
      </x:c>
      <x:c r="I84" s="35" t="n">
        <x:f>I71/'Datos'!$B$38</x:f>
        <x:v>0.5099866666666667</x:v>
      </x:c>
      <x:c r="J84" s="2"/>
    </x:row>
    <x:row r="85" ht="22" customHeight="1">
      <x:c r="A85" s="2" t="str">
        <x:v>Ba</x:v>
      </x:c>
      <x:c r="B85" s="35" t="n">
        <x:f>B72/'Datos'!$B$38</x:f>
        <x:v>0.08142666666666666</x:v>
      </x:c>
      <x:c r="C85" s="35" t="n">
        <x:f>C72/'Datos'!$B$38</x:f>
        <x:v>0.04089333333333333</x:v>
      </x:c>
      <x:c r="D85" s="35" t="n">
        <x:f>D72/'Datos'!$B$38</x:f>
        <x:v>0.0307</x:v>
      </x:c>
      <x:c r="E85" s="35" t="n">
        <x:f>E72/'Datos'!$B$38</x:f>
        <x:v>0.01617</x:v>
      </x:c>
      <x:c r="F85" s="35" t="n">
        <x:f>F72/'Datos'!$B$38</x:f>
        <x:v>0.020213333333333333</x:v>
      </x:c>
      <x:c r="G85" s="35" t="n">
        <x:f>G72/'Datos'!$B$38</x:f>
        <x:v>0.012646666666666667</x:v>
      </x:c>
      <x:c r="H85" s="35" t="n">
        <x:f>H72/'Datos'!$B$38</x:f>
        <x:v>0.0166</x:v>
      </x:c>
      <x:c r="I85" s="35" t="n">
        <x:f>I72/'Datos'!$B$38</x:f>
        <x:v>0.78135</x:v>
      </x:c>
      <x:c r="J85" s="2"/>
    </x:row>
    <x:row r="86" ht="22" customHeight="1">
      <x:c r="A86" s="2" t="str">
        <x:v>B</x:v>
      </x:c>
      <x:c r="B86" s="35" t="n">
        <x:f>B73/'Datos'!$B$38</x:f>
        <x:v>0.026753333333333334</x:v>
      </x:c>
      <x:c r="C86" s="35" t="n">
        <x:f>C73/'Datos'!$B$38</x:f>
        <x:v>0.013923333333333333</x:v>
      </x:c>
      <x:c r="D86" s="35" t="n">
        <x:f>D73/'Datos'!$B$38</x:f>
        <x:v>0.01062</x:v>
      </x:c>
      <x:c r="E86" s="35" t="n">
        <x:f>E73/'Datos'!$B$38</x:f>
        <x:v>0.00579</x:v>
      </x:c>
      <x:c r="F86" s="35" t="n">
        <x:f>F73/'Datos'!$B$38</x:f>
        <x:v>0.00763</x:v>
      </x:c>
      <x:c r="G86" s="35" t="n">
        <x:f>G73/'Datos'!$B$38</x:f>
        <x:v>0.0047</x:v>
      </x:c>
      <x:c r="H86" s="35" t="n">
        <x:f>H73/'Datos'!$B$38</x:f>
        <x:v>0.0066033333333333335</x:v>
      </x:c>
      <x:c r="I86" s="35" t="n">
        <x:f>I73/'Datos'!$B$38</x:f>
        <x:v>0.92398</x:v>
      </x:c>
      <x:c r="J86" s="2"/>
    </x:row>
    <x:row r="87" ht="22" customHeight="1">
      <x:c r="A87" s="2" t="str">
        <x:v>Caa-C</x:v>
      </x:c>
      <x:c r="B87" s="35" t="n">
        <x:f>B74/'Datos'!$B$38</x:f>
        <x:v>0.007666666666666666</x:v>
      </x:c>
      <x:c r="C87" s="35" t="n">
        <x:f>C74/'Datos'!$B$38</x:f>
        <x:v>0.003906666666666667</x:v>
      </x:c>
      <x:c r="D87" s="35" t="n">
        <x:f>D74/'Datos'!$B$38</x:f>
        <x:v>0.0032366666666666668</x:v>
      </x:c>
      <x:c r="E87" s="35" t="n">
        <x:f>E74/'Datos'!$B$38</x:f>
        <x:v>0.0018866666666666667</x:v>
      </x:c>
      <x:c r="F87" s="35" t="n">
        <x:f>F74/'Datos'!$B$38</x:f>
        <x:v>0.0024133333333333333</x:v>
      </x:c>
      <x:c r="G87" s="35" t="n">
        <x:f>G74/'Datos'!$B$38</x:f>
        <x:v>0.0015966666666666666</x:v>
      </x:c>
      <x:c r="H87" s="35" t="n">
        <x:f>H74/'Datos'!$B$38</x:f>
        <x:v>0.0024566666666666665</x:v>
      </x:c>
      <x:c r="I87" s="35" t="n">
        <x:f>I74/'Datos'!$B$38</x:f>
        <x:v>0.9768366666666667</x:v>
      </x:c>
      <x:c r="J87" s="2"/>
    </x:row>
    <x:row r="88" ht="22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</x:row>
    <x:row r="89" ht="22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</x:row>
    <x:row r="90" ht="22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</x:row>
    <x:row r="91" ht="22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</x:row>
    <x:row r="92" ht="22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</x:row>
    <x:row r="93" ht="36" customHeight="1">
      <x:c r="A93" s="13" t="str">
        <x:v>Error absoluto</x:v>
      </x:c>
      <x:c r="B93" s="13" t="str">
        <x:v>Aaa</x:v>
      </x:c>
      <x:c r="C93" s="13" t="str">
        <x:v>Aa</x:v>
      </x:c>
      <x:c r="D93" s="13" t="str">
        <x:v>A</x:v>
      </x:c>
      <x:c r="E93" s="13" t="str">
        <x:v>Baa</x:v>
      </x:c>
      <x:c r="F93" s="13" t="str">
        <x:v>Ba</x:v>
      </x:c>
      <x:c r="G93" s="13" t="str">
        <x:v>B</x:v>
      </x:c>
      <x:c r="H93" s="13" t="str">
        <x:v>Caa-C</x:v>
      </x:c>
      <x:c r="I93" s="13" t="str">
        <x:v>Default</x:v>
      </x:c>
      <x:c r="J93" s="2"/>
    </x:row>
    <x:row r="94" ht="22" customHeight="1">
      <x:c r="A94" s="2" t="str">
        <x:v>Aaa</x:v>
      </x:c>
      <x:c r="B94" s="47" t="n">
        <x:f>ABS(B81-'E1 Ratings'!B50)</x:f>
        <x:v>0.000790553586057674</x:v>
      </x:c>
      <x:c r="C94" s="47" t="n">
        <x:f>ABS(C81-'E1 Ratings'!C50)</x:f>
        <x:v>0.000731727185483616</x:v>
      </x:c>
      <x:c r="D94" s="47" t="n">
        <x:f>ABS(D81-'E1 Ratings'!D50)</x:f>
        <x:v>0.0004682194389269978</x:v>
      </x:c>
      <x:c r="E94" s="47" t="n">
        <x:f>ABS(E81-'E1 Ratings'!E50)</x:f>
        <x:v>0.000548605468334247</x:v>
      </x:c>
      <x:c r="F94" s="47" t="n">
        <x:f>ABS(F81-'E1 Ratings'!F50)</x:f>
        <x:v>0.0002340544568928682</x:v>
      </x:c>
      <x:c r="G94" s="47" t="n">
        <x:f>ABS(G81-'E1 Ratings'!G50)</x:f>
        <x:v>0.00020428902679155495</x:v>
      </x:c>
      <x:c r="H94" s="47" t="n">
        <x:f>ABS(H81-'E1 Ratings'!H50)</x:f>
        <x:v>0.00029777521957533026</x:v>
      </x:c>
      <x:c r="I94" s="47" t="n">
        <x:f>ABS(I81-'E1 Ratings'!I50)</x:f>
        <x:v>0.00018832821969508307</x:v>
      </x:c>
      <x:c r="J94" s="2"/>
    </x:row>
    <x:row r="95" ht="22" customHeight="1">
      <x:c r="A95" s="2" t="str">
        <x:v>Aa</x:v>
      </x:c>
      <x:c r="B95" s="47" t="n">
        <x:f>ABS(B82-'E1 Ratings'!B51)</x:f>
        <x:v>0.0014131678713849571</x:v>
      </x:c>
      <x:c r="C95" s="47" t="n">
        <x:f>ABS(C82-'E1 Ratings'!C51)</x:f>
        <x:v>0.001485580907931161</x:v>
      </x:c>
      <x:c r="D95" s="47" t="n">
        <x:f>ABS(D82-'E1 Ratings'!D51)</x:f>
        <x:v>0.00017729434716381998</x:v>
      </x:c>
      <x:c r="E95" s="47" t="n">
        <x:f>ABS(E82-'E1 Ratings'!E51)</x:f>
        <x:v>0.00005379509459528531</x:v>
      </x:c>
      <x:c r="F95" s="47" t="n">
        <x:f>ABS(F82-'E1 Ratings'!F51)</x:f>
        <x:v>0.000127795328007059</x:v>
      </x:c>
      <x:c r="G95" s="47" t="n">
        <x:f>ABS(G82-'E1 Ratings'!G51)</x:f>
        <x:v>0.00002834386132250996</x:v>
      </x:c>
      <x:c r="H95" s="47" t="n">
        <x:f>ABS(H82-'E1 Ratings'!H51)</x:f>
        <x:v>0.0001484088783888296</x:v>
      </x:c>
      <x:c r="I95" s="47" t="n">
        <x:f>ABS(I82-'E1 Ratings'!I51)</x:f>
        <x:v>0.0000021288043179357174</x:v>
      </x:c>
      <x:c r="J95" s="2"/>
    </x:row>
    <x:row r="96" ht="22" customHeight="1">
      <x:c r="A96" s="2" t="str">
        <x:v>A</x:v>
      </x:c>
      <x:c r="B96" s="47" t="n">
        <x:f>ABS(B83-'E1 Ratings'!B52)</x:f>
        <x:v>0.00026026984555393984</x:v>
      </x:c>
      <x:c r="C96" s="47" t="n">
        <x:f>ABS(C83-'E1 Ratings'!C52)</x:f>
        <x:v>0.0010294022093372546</x:v>
      </x:c>
      <x:c r="D96" s="47" t="n">
        <x:f>ABS(D83-'E1 Ratings'!D52)</x:f>
        <x:v>0.00012137840394334243</x:v>
      </x:c>
      <x:c r="E96" s="47" t="n">
        <x:f>ABS(E83-'E1 Ratings'!E52)</x:f>
        <x:v>0.0005163884234893404</x:v>
      </x:c>
      <x:c r="F96" s="47" t="n">
        <x:f>ABS(F83-'E1 Ratings'!F52)</x:f>
        <x:v>0.0002830660088127407</x:v>
      </x:c>
      <x:c r="G96" s="47" t="n">
        <x:f>ABS(G83-'E1 Ratings'!G52)</x:f>
        <x:v>0.00068375620368398</x:v>
      </x:c>
      <x:c r="H96" s="47" t="n">
        <x:f>ABS(H83-'E1 Ratings'!H52)</x:f>
        <x:v>0.00038428880175209873</x:v>
      </x:c>
      <x:c r="I96" s="47" t="n">
        <x:f>ABS(I83-'E1 Ratings'!I52)</x:f>
        <x:v>0.0005816089725843576</x:v>
      </x:c>
      <x:c r="J96" s="2"/>
    </x:row>
    <x:row r="97" ht="22" customHeight="1">
      <x:c r="A97" s="2" t="str">
        <x:v>Baa</x:v>
      </x:c>
      <x:c r="B97" s="47" t="n">
        <x:f>ABS(B84-'E1 Ratings'!B53)</x:f>
        <x:v>0.00015236318808559135</x:v>
      </x:c>
      <x:c r="C97" s="47" t="n">
        <x:f>ABS(C84-'E1 Ratings'!C53)</x:f>
        <x:v>0.0006367525505606986</x:v>
      </x:c>
      <x:c r="D97" s="47" t="n">
        <x:f>ABS(D84-'E1 Ratings'!D53)</x:f>
        <x:v>0.0007059459310567728</x:v>
      </x:c>
      <x:c r="E97" s="47" t="n">
        <x:f>ABS(E84-'E1 Ratings'!E53)</x:f>
        <x:v>0.00011292695251492735</x:v>
      </x:c>
      <x:c r="F97" s="47" t="n">
        <x:f>ABS(F84-'E1 Ratings'!F53)</x:f>
        <x:v>0.00012836637918534066</x:v>
      </x:c>
      <x:c r="G97" s="47" t="n">
        <x:f>ABS(G84-'E1 Ratings'!G53)</x:f>
        <x:v>0.0000016015814254081995</x:v>
      </x:c>
      <x:c r="H97" s="47" t="n">
        <x:f>ABS(H84-'E1 Ratings'!H53)</x:f>
        <x:v>0.00015362348101990303</x:v>
      </x:c>
      <x:c r="I97" s="47" t="n">
        <x:f>ABS(I84-'E1 Ratings'!I53)</x:f>
        <x:v>0.0010537528206080449</x:v>
      </x:c>
      <x:c r="J97" s="2"/>
    </x:row>
    <x:row r="98" ht="22" customHeight="1">
      <x:c r="A98" s="2" t="str">
        <x:v>Ba</x:v>
      </x:c>
      <x:c r="B98" s="47" t="n">
        <x:f>ABS(B85-'E1 Ratings'!B54)</x:f>
        <x:v>0.00006358498603568907</x:v>
      </x:c>
      <x:c r="C98" s="47" t="n">
        <x:f>ABS(C85-'E1 Ratings'!C54)</x:f>
        <x:v>0.00022027320325026384</x:v>
      </x:c>
      <x:c r="D98" s="47" t="n">
        <x:f>ABS(D85-'E1 Ratings'!D54)</x:f>
        <x:v>0.000021637711996765063</x:v>
      </x:c>
      <x:c r="E98" s="47" t="n">
        <x:f>ABS(E85-'E1 Ratings'!E54)</x:f>
        <x:v>0.00011052170280480278</x:v>
      </x:c>
      <x:c r="F98" s="47" t="n">
        <x:f>ABS(F85-'E1 Ratings'!F54)</x:f>
        <x:v>0.0006112277246897758</x:v>
      </x:c>
      <x:c r="G98" s="47" t="n">
        <x:f>ABS(G85-'E1 Ratings'!G54)</x:f>
        <x:v>0.0001684085091872376</x:v>
      </x:c>
      <x:c r="H98" s="47" t="n">
        <x:f>ABS(H85-'E1 Ratings'!H54)</x:f>
        <x:v>0.00012802882934600385</x:v>
      </x:c>
      <x:c r="I98" s="47" t="n">
        <x:f>ABS(I85-'E1 Ratings'!I54)</x:f>
        <x:v>0.0010593638377072168</x:v>
      </x:c>
      <x:c r="J98" s="2"/>
    </x:row>
    <x:row r="99" ht="22" customHeight="1">
      <x:c r="A99" s="2" t="str">
        <x:v>B</x:v>
      </x:c>
      <x:c r="B99" s="47" t="n">
        <x:f>ABS(B86-'E1 Ratings'!B55)</x:f>
        <x:v>0.00007695957643702456</x:v>
      </x:c>
      <x:c r="C99" s="47" t="n">
        <x:f>ABS(C86-'E1 Ratings'!C55)</x:f>
        <x:v>0.00035698116906803835</x:v>
      </x:c>
      <x:c r="D99" s="47" t="n">
        <x:f>ABS(D86-'E1 Ratings'!D55)</x:f>
        <x:v>0.000018536534171531213</x:v>
      </x:c>
      <x:c r="E99" s="47" t="n">
        <x:f>ABS(E86-'E1 Ratings'!E55)</x:f>
        <x:v>0.0000073455595432274715</x:v>
      </x:c>
      <x:c r="F99" s="47" t="n">
        <x:f>ABS(F86-'E1 Ratings'!F55)</x:f>
        <x:v>0.000262399790132835</x:v>
      </x:c>
      <x:c r="G99" s="47" t="n">
        <x:f>ABS(G86-'E1 Ratings'!G55)</x:f>
        <x:v>0.00016978792072213852</x:v>
      </x:c>
      <x:c r="H99" s="47" t="n">
        <x:f>ABS(H86-'E1 Ratings'!H55)</x:f>
        <x:v>0.000031543235062042076</x:v>
      </x:c>
      <x:c r="I99" s="47" t="n">
        <x:f>ABS(I86-'E1 Ratings'!I55)</x:f>
        <x:v>0.00048381840522515596</x:v>
      </x:c>
      <x:c r="J99" s="2"/>
    </x:row>
    <x:row r="100" ht="22" customHeight="1">
      <x:c r="A100" s="2" t="str">
        <x:v>Caa-C</x:v>
      </x:c>
      <x:c r="B100" s="47" t="n">
        <x:f>ABS(B87-'E1 Ratings'!B56)</x:f>
        <x:v>0.00002826294009206868</x:v>
      </x:c>
      <x:c r="C100" s="47" t="n">
        <x:f>ABS(C87-'E1 Ratings'!C56)</x:f>
        <x:v>0.0000972503390826206</x:v>
      </x:c>
      <x:c r="D100" s="47" t="n">
        <x:f>ABS(D87-'E1 Ratings'!D56)</x:f>
        <x:v>0.00005480844939525055</x:v>
      </x:c>
      <x:c r="E100" s="47" t="n">
        <x:f>ABS(E87-'E1 Ratings'!E56)</x:f>
        <x:v>0.00004317318810359225</x:v>
      </x:c>
      <x:c r="F100" s="47" t="n">
        <x:f>ABS(F87-'E1 Ratings'!F56)</x:f>
        <x:v>0.00008462266843013537</x:v>
      </x:c>
      <x:c r="G100" s="47" t="n">
        <x:f>ABS(G87-'E1 Ratings'!G56)</x:f>
        <x:v>0.00011765417986623564</x:v>
      </x:c>
      <x:c r="H100" s="47" t="n">
        <x:f>ABS(H87-'E1 Ratings'!H56)</x:f>
        <x:v>0.000050594643342138836</x:v>
      </x:c>
      <x:c r="I100" s="47" t="n">
        <x:f>ABS(I87-'E1 Ratings'!I56)</x:f>
        <x:v>0.0002888307454209649</x:v>
      </x:c>
      <x:c r="J100" s="2"/>
    </x:row>
    <x:row r="101" ht="22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</x:row>
    <x:row r="102" ht="22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</x:row>
    <x:row r="103" ht="22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</x:row>
    <x:row r="104" ht="36" customHeight="1">
      <x:c r="A104" s="13" t="str">
        <x:v>Error en SE</x:v>
      </x:c>
      <x:c r="B104" s="13" t="str">
        <x:v>Aaa</x:v>
      </x:c>
      <x:c r="C104" s="13" t="str">
        <x:v>Aa</x:v>
      </x:c>
      <x:c r="D104" s="13" t="str">
        <x:v>A</x:v>
      </x:c>
      <x:c r="E104" s="13" t="str">
        <x:v>Baa</x:v>
      </x:c>
      <x:c r="F104" s="13" t="str">
        <x:v>Ba</x:v>
      </x:c>
      <x:c r="G104" s="13" t="str">
        <x:v>B</x:v>
      </x:c>
      <x:c r="H104" s="13" t="str">
        <x:v>Caa-C</x:v>
      </x:c>
      <x:c r="I104" s="13" t="str">
        <x:v>Default</x:v>
      </x:c>
      <x:c r="J104" s="2"/>
    </x:row>
    <x:row r="105" ht="22" customHeight="1">
      <x:c r="A105" s="2" t="str">
        <x:v>Aaa</x:v>
      </x:c>
      <x:c r="B105" s="49" t="n">
        <x:f>B94/SQRT(MAX('E1 Ratings'!B50*(1-'E1 Ratings'!B50)/'Datos'!$B$38,1/'Datos'!$B$38^2))</x:f>
        <x:v>0.8942793319255006</x:v>
      </x:c>
      <x:c r="C105" s="49" t="n">
        <x:f>C94/SQRT(MAX('E1 Ratings'!C50*(1-'E1 Ratings'!C50)/'Datos'!$B$38,1/'Datos'!$B$38^2))</x:f>
        <x:v>1.0472696737868477</x:v>
      </x:c>
      <x:c r="D105" s="49" t="n">
        <x:f>D94/SQRT(MAX('E1 Ratings'!D50*(1-'E1 Ratings'!D50)/'Datos'!$B$38,1/'Datos'!$B$38^2))</x:f>
        <x:v>0.7913199285901288</x:v>
      </x:c>
      <x:c r="E105" s="49" t="n">
        <x:f>E94/SQRT(MAX('E1 Ratings'!E50*(1-'E1 Ratings'!E50)/'Datos'!$B$38,1/'Datos'!$B$38^2))</x:f>
        <x:v>1.2879468842849204</x:v>
      </x:c>
      <x:c r="F105" s="49" t="n">
        <x:f>F94/SQRT(MAX('E1 Ratings'!F50*(1-'E1 Ratings'!F50)/'Datos'!$B$38,1/'Datos'!$B$38^2))</x:f>
        <x:v>0.5616236601140646</x:v>
      </x:c>
      <x:c r="G105" s="49" t="n">
        <x:f>G94/SQRT(MAX('E1 Ratings'!G50*(1-'E1 Ratings'!G50)/'Datos'!$B$38,1/'Datos'!$B$38^2))</x:f>
        <x:v>0.663785824103251</x:v>
      </x:c>
      <x:c r="H105" s="49" t="n">
        <x:f>H94/SQRT(MAX('E1 Ratings'!H50*(1-'E1 Ratings'!H50)/'Datos'!$B$38,1/'Datos'!$B$38^2))</x:f>
        <x:v>0.9228767499192945</x:v>
      </x:c>
      <x:c r="I105" s="49" t="n">
        <x:f>I94/SQRT(MAX('E1 Ratings'!I50*(1-'E1 Ratings'!I50)/'Datos'!$B$38,1/'Datos'!$B$38^2))</x:f>
        <x:v>0.28669454548810414</x:v>
      </x:c>
      <x:c r="J105" s="2"/>
    </x:row>
    <x:row r="106" ht="22" customHeight="1">
      <x:c r="A106" s="2" t="str">
        <x:v>Aa</x:v>
      </x:c>
      <x:c r="B106" s="49" t="n">
        <x:f>B95/SQRT(MAX('E1 Ratings'!B51*(1-'E1 Ratings'!B51)/'Datos'!$B$38,1/'Datos'!$B$38^2))</x:f>
        <x:v>1.6092496860950607</x:v>
      </x:c>
      <x:c r="C106" s="49" t="n">
        <x:f>C95/SQRT(MAX('E1 Ratings'!C51*(1-'E1 Ratings'!C51)/'Datos'!$B$38,1/'Datos'!$B$38^2))</x:f>
        <x:v>2.151945096300242</x:v>
      </x:c>
      <x:c r="D106" s="49" t="n">
        <x:f>D95/SQRT(MAX('E1 Ratings'!D51*(1-'E1 Ratings'!D51)/'Datos'!$B$38,1/'Datos'!$B$38^2))</x:f>
        <x:v>0.30313315775865607</x:v>
      </x:c>
      <x:c r="E106" s="49" t="n">
        <x:f>E95/SQRT(MAX('E1 Ratings'!E51*(1-'E1 Ratings'!E51)/'Datos'!$B$38,1/'Datos'!$B$38^2))</x:f>
        <x:v>0.12770851444345796</x:v>
      </x:c>
      <x:c r="F106" s="49" t="n">
        <x:f>F95/SQRT(MAX('E1 Ratings'!F51*(1-'E1 Ratings'!F51)/'Datos'!$B$38,1/'Datos'!$B$38^2))</x:f>
        <x:v>0.30880024813533935</x:v>
      </x:c>
      <x:c r="G106" s="49" t="n">
        <x:f>G95/SQRT(MAX('E1 Ratings'!G51*(1-'E1 Ratings'!G51)/'Datos'!$B$38,1/'Datos'!$B$38^2))</x:f>
        <x:v>0.09239891297221371</x:v>
      </x:c>
      <x:c r="H106" s="49" t="n">
        <x:f>H95/SQRT(MAX('E1 Ratings'!H51*(1-'E1 Ratings'!H51)/'Datos'!$B$38,1/'Datos'!$B$38^2))</x:f>
        <x:v>0.4594003160811777</x:v>
      </x:c>
      <x:c r="I106" s="49" t="n">
        <x:f>I95/SQRT(MAX('E1 Ratings'!I51*(1-'E1 Ratings'!I51)/'Datos'!$B$38,1/'Datos'!$B$38^2))</x:f>
        <x:v>0.003065554993563031</x:v>
      </x:c>
      <x:c r="J106" s="2"/>
    </x:row>
    <x:row r="107" ht="22" customHeight="1">
      <x:c r="A107" s="2" t="str">
        <x:v>A</x:v>
      </x:c>
      <x:c r="B107" s="49" t="n">
        <x:f>B96/SQRT(MAX('E1 Ratings'!B52*(1-'E1 Ratings'!B52)/'Datos'!$B$38,1/'Datos'!$B$38^2))</x:f>
        <x:v>0.3200886856333797</x:v>
      </x:c>
      <x:c r="C107" s="49" t="n">
        <x:f>C96/SQRT(MAX('E1 Ratings'!C52*(1-'E1 Ratings'!C52)/'Datos'!$B$38,1/'Datos'!$B$38^2))</x:f>
        <x:v>1.6690051196288012</x:v>
      </x:c>
      <x:c r="D107" s="49" t="n">
        <x:f>D96/SQRT(MAX('E1 Ratings'!D52*(1-'E1 Ratings'!D52)/'Datos'!$B$38,1/'Datos'!$B$38^2))</x:f>
        <x:v>0.23106694210335546</x:v>
      </x:c>
      <x:c r="E107" s="49" t="n">
        <x:f>E96/SQRT(MAX('E1 Ratings'!E52*(1-'E1 Ratings'!E52)/'Datos'!$B$38,1/'Datos'!$B$38^2))</x:f>
        <x:v>1.359338632709249</x:v>
      </x:c>
      <x:c r="F107" s="49" t="n">
        <x:f>F96/SQRT(MAX('E1 Ratings'!F52*(1-'E1 Ratings'!F52)/'Datos'!$B$38,1/'Datos'!$B$38^2))</x:f>
        <x:v>0.7342600784424618</x:v>
      </x:c>
      <x:c r="G107" s="49" t="n">
        <x:f>G96/SQRT(MAX('E1 Ratings'!G52*(1-'E1 Ratings'!G52)/'Datos'!$B$38,1/'Datos'!$B$38^2))</x:f>
        <x:v>2.329999125084854</x:v>
      </x:c>
      <x:c r="H107" s="49" t="n">
        <x:f>H96/SQRT(MAX('E1 Ratings'!H52*(1-'E1 Ratings'!H52)/'Datos'!$B$38,1/'Datos'!$B$38^2))</x:f>
        <x:v>1.2058578002320266</x:v>
      </x:c>
      <x:c r="I107" s="49" t="n">
        <x:f>I96/SQRT(MAX('E1 Ratings'!I52*(1-'E1 Ratings'!I52)/'Datos'!$B$38,1/'Datos'!$B$38^2))</x:f>
        <x:v>0.6658608779797185</x:v>
      </x:c>
      <x:c r="J107" s="2"/>
    </x:row>
    <x:row r="108" ht="22" customHeight="1">
      <x:c r="A108" s="2" t="str">
        <x:v>Baa</x:v>
      </x:c>
      <x:c r="B108" s="49" t="n">
        <x:f>B97/SQRT(MAX('E1 Ratings'!B53*(1-'E1 Ratings'!B53)/'Datos'!$B$38,1/'Datos'!$B$38^2))</x:f>
        <x:v>0.20859968027562398</x:v>
      </x:c>
      <x:c r="C108" s="49" t="n">
        <x:f>C97/SQRT(MAX('E1 Ratings'!C53*(1-'E1 Ratings'!C53)/'Datos'!$B$38,1/'Datos'!$B$38^2))</x:f>
        <x:v>1.1766220708256745</x:v>
      </x:c>
      <x:c r="D108" s="49" t="n">
        <x:f>D97/SQRT(MAX('E1 Ratings'!D53*(1-'E1 Ratings'!D53)/'Datos'!$B$38,1/'Datos'!$B$38^2))</x:f>
        <x:v>1.524882674769962</x:v>
      </x:c>
      <x:c r="E108" s="49" t="n">
        <x:f>E97/SQRT(MAX('E1 Ratings'!E53*(1-'E1 Ratings'!E53)/'Datos'!$B$38,1/'Datos'!$B$38^2))</x:f>
        <x:v>0.33654493341501196</x:v>
      </x:c>
      <x:c r="F108" s="49" t="n">
        <x:f>F97/SQRT(MAX('E1 Ratings'!F53*(1-'E1 Ratings'!F53)/'Datos'!$B$38,1/'Datos'!$B$38^2))</x:f>
        <x:v>0.36856490836325406</x:v>
      </x:c>
      <x:c r="G108" s="49" t="n">
        <x:f>G97/SQRT(MAX('E1 Ratings'!G53*(1-'E1 Ratings'!G53)/'Datos'!$B$38,1/'Datos'!$B$38^2))</x:f>
        <x:v>0.005945047556718755</x:v>
      </x:c>
      <x:c r="H108" s="49" t="n">
        <x:f>H97/SQRT(MAX('E1 Ratings'!H53*(1-'E1 Ratings'!H53)/'Datos'!$B$38,1/'Datos'!$B$38^2))</x:f>
        <x:v>0.5155870288979835</x:v>
      </x:c>
      <x:c r="I108" s="49" t="n">
        <x:f>I97/SQRT(MAX('E1 Ratings'!I53*(1-'E1 Ratings'!I53)/'Datos'!$B$38,1/'Datos'!$B$38^2))</x:f>
        <x:v>1.1546098868705887</x:v>
      </x:c>
      <x:c r="J108" s="2"/>
    </x:row>
    <x:row r="109" ht="22" customHeight="1">
      <x:c r="A109" s="2" t="str">
        <x:v>Ba</x:v>
      </x:c>
      <x:c r="B109" s="49" t="n">
        <x:f>B98/SQRT(MAX('E1 Ratings'!B54*(1-'E1 Ratings'!B54)/'Datos'!$B$38,1/'Datos'!$B$38^2))</x:f>
        <x:v>0.12738830687947358</x:v>
      </x:c>
      <x:c r="C109" s="49" t="n">
        <x:f>C98/SQRT(MAX('E1 Ratings'!C54*(1-'E1 Ratings'!C54)/'Datos'!$B$38,1/'Datos'!$B$38^2))</x:f>
        <x:v>0.6107810442381271</x:v>
      </x:c>
      <x:c r="D109" s="49" t="n">
        <x:f>D98/SQRT(MAX('E1 Ratings'!D54*(1-'E1 Ratings'!D54)/'Datos'!$B$38,1/'Datos'!$B$38^2))</x:f>
        <x:v>0.06867924664574668</x:v>
      </x:c>
      <x:c r="E109" s="49" t="n">
        <x:f>E98/SQRT(MAX('E1 Ratings'!E54*(1-'E1 Ratings'!E54)/'Datos'!$B$38,1/'Datos'!$B$38^2))</x:f>
        <x:v>0.47834187400687994</x:v>
      </x:c>
      <x:c r="F109" s="49" t="n">
        <x:f>F98/SQRT(MAX('E1 Ratings'!F54*(1-'E1 Ratings'!F54)/'Datos'!$B$38,1/'Datos'!$B$38^2))</x:f>
        <x:v>2.4149665812651584</x:v>
      </x:c>
      <x:c r="G109" s="49" t="n">
        <x:f>G98/SQRT(MAX('E1 Ratings'!G54*(1-'E1 Ratings'!G54)/'Datos'!$B$38,1/'Datos'!$B$38^2))</x:f>
        <x:v>0.8309489483134533</x:v>
      </x:c>
      <x:c r="H109" s="49" t="n">
        <x:f>H98/SQRT(MAX('E1 Ratings'!H54*(1-'E1 Ratings'!H54)/'Datos'!$B$38,1/'Datos'!$B$38^2))</x:f>
        <x:v>0.550937386533373</x:v>
      </x:c>
      <x:c r="I109" s="49" t="n">
        <x:f>I98/SQRT(MAX('E1 Ratings'!I54*(1-'E1 Ratings'!I54)/'Datos'!$B$38,1/'Datos'!$B$38^2))</x:f>
        <x:v>1.4062698008050458</x:v>
      </x:c>
      <x:c r="J109" s="2"/>
    </x:row>
    <x:row r="110" ht="22" customHeight="1">
      <x:c r="A110" s="2" t="str">
        <x:v>B</x:v>
      </x:c>
      <x:c r="B110" s="49" t="n">
        <x:f>B99/SQRT(MAX('E1 Ratings'!B55*(1-'E1 Ratings'!B55)/'Datos'!$B$38,1/'Datos'!$B$38^2))</x:f>
        <x:v>0.26159610096539365</x:v>
      </x:c>
      <x:c r="C110" s="49" t="n">
        <x:f>C99/SQRT(MAX('E1 Ratings'!C55*(1-'E1 Ratings'!C55)/'Datos'!$B$38,1/'Datos'!$B$38^2))</x:f>
        <x:v>1.69020916617956</x:v>
      </x:c>
      <x:c r="D110" s="49" t="n">
        <x:f>D99/SQRT(MAX('E1 Ratings'!D55*(1-'E1 Ratings'!D55)/'Datos'!$B$38,1/'Datos'!$B$38^2))</x:f>
        <x:v>0.09896251498687766</x:v>
      </x:c>
      <x:c r="E110" s="49" t="n">
        <x:f>E99/SQRT(MAX('E1 Ratings'!E55*(1-'E1 Ratings'!E55)/'Datos'!$B$38,1/'Datos'!$B$38^2))</x:f>
        <x:v>0.05306170767599418</x:v>
      </x:c>
      <x:c r="F110" s="49" t="n">
        <x:f>F99/SQRT(MAX('E1 Ratings'!F55*(1-'E1 Ratings'!F55)/'Datos'!$B$38,1/'Datos'!$B$38^2))</x:f>
        <x:v>1.680609683718572</x:v>
      </x:c>
      <x:c r="G110" s="49" t="n">
        <x:f>G99/SQRT(MAX('E1 Ratings'!G55*(1-'E1 Ratings'!G55)/'Datos'!$B$38,1/'Datos'!$B$38^2))</x:f>
        <x:v>1.3358953475742765</x:v>
      </x:c>
      <x:c r="H110" s="49" t="n">
        <x:f>H99/SQRT(MAX('E1 Ratings'!H55*(1-'E1 Ratings'!H55)/'Datos'!$B$38,1/'Datos'!$B$38^2))</x:f>
        <x:v>0.21281193556772923</x:v>
      </x:c>
      <x:c r="I110" s="49" t="n">
        <x:f>I99/SQRT(MAX('E1 Ratings'!I55*(1-'E1 Ratings'!I55)/'Datos'!$B$38,1/'Datos'!$B$38^2))</x:f>
        <x:v>1.0028143504274747</x:v>
      </x:c>
      <x:c r="J110" s="2"/>
    </x:row>
    <x:row r="111" ht="22" customHeight="1">
      <x:c r="A111" s="2" t="str">
        <x:v>Caa-C</x:v>
      </x:c>
      <x:c r="B111" s="49" t="n">
        <x:f>B100/SQRT(MAX('E1 Ratings'!B56*(1-'E1 Ratings'!B56)/'Datos'!$B$38,1/'Datos'!$B$38^2))</x:f>
        <x:v>0.17715484504672135</x:v>
      </x:c>
      <x:c r="C111" s="49" t="n">
        <x:f>C100/SQRT(MAX('E1 Ratings'!C56*(1-'E1 Ratings'!C56)/'Datos'!$B$38,1/'Datos'!$B$38^2))</x:f>
        <x:v>0.8434909028295535</x:v>
      </x:c>
      <x:c r="D111" s="49" t="n">
        <x:f>D100/SQRT(MAX('E1 Ratings'!D56*(1-'E1 Ratings'!D56)/'Datos'!$B$38,1/'Datos'!$B$38^2))</x:f>
        <x:v>0.5241176298060436</x:v>
      </x:c>
      <x:c r="E111" s="49" t="n">
        <x:f>E100/SQRT(MAX('E1 Ratings'!E56*(1-'E1 Ratings'!E56)/'Datos'!$B$38,1/'Datos'!$B$38^2))</x:f>
        <x:v>0.5512576426991727</x:v>
      </x:c>
      <x:c r="F111" s="49" t="n">
        <x:f>F100/SQRT(MAX('E1 Ratings'!F56*(1-'E1 Ratings'!F56)/'Datos'!$B$38,1/'Datos'!$B$38^2))</x:f>
        <x:v>0.9285345195517531</x:v>
      </x:c>
      <x:c r="G111" s="49" t="n">
        <x:f>G100/SQRT(MAX('E1 Ratings'!G56*(1-'E1 Ratings'!G56)/'Datos'!$B$38,1/'Datos'!$B$38^2))</x:f>
        <x:v>1.5577383593548837</x:v>
      </x:c>
      <x:c r="H111" s="49" t="n">
        <x:f>H100/SQRT(MAX('E1 Ratings'!H56*(1-'E1 Ratings'!H56)/'Datos'!$B$38,1/'Datos'!$B$38^2))</x:f>
        <x:v>0.5656319800818329</x:v>
      </x:c>
      <x:c r="I111" s="49" t="n">
        <x:f>I100/SQRT(MAX('E1 Ratings'!I56*(1-'E1 Ratings'!I56)/'Datos'!$B$38,1/'Datos'!$B$38^2))</x:f>
        <x:v>1.0453598733707665</x:v>
      </x:c>
      <x:c r="J111" s="2"/>
    </x:row>
    <x:row r="112" ht="22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</x:row>
    <x:row r="113" ht="22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</x:row>
    <x:row r="114" ht="36" customHeight="1">
      <x:c r="A114" s="22" t="str">
        <x:v>Las frecuencias contrastan P²⁵, con máximo |z| ≈ 2,41. Si cambia P, las frecuencias conservan el modelo original y dejan de ser un contraste del nuevo escenario.</x:v>
      </x:c>
      <x:c r="B114" s="22" t="str">
        <x:v>Las frecuencias contrastan P²⁵, con máximo |z| ≈ 2,41. Si cambia P, las frecuencias conservan el modelo original y dejan de ser un contraste del nuevo escenario.</x:v>
      </x:c>
      <x:c r="C114" s="22" t="str">
        <x:v>Las frecuencias contrastan P²⁵, con máximo |z| ≈ 2,41. Si cambia P, las frecuencias conservan el modelo original y dejan de ser un contraste del nuevo escenario.</x:v>
      </x:c>
      <x:c r="D114" s="22" t="str">
        <x:v>Las frecuencias contrastan P²⁵, con máximo |z| ≈ 2,41. Si cambia P, las frecuencias conservan el modelo original y dejan de ser un contraste del nuevo escenario.</x:v>
      </x:c>
      <x:c r="E114" s="22" t="str">
        <x:v>Las frecuencias contrastan P²⁵, con máximo |z| ≈ 2,41. Si cambia P, las frecuencias conservan el modelo original y dejan de ser un contraste del nuevo escenario.</x:v>
      </x:c>
      <x:c r="F114" s="22" t="str">
        <x:v>Las frecuencias contrastan P²⁵, con máximo |z| ≈ 2,41. Si cambia P, las frecuencias conservan el modelo original y dejan de ser un contraste del nuevo escenario.</x:v>
      </x:c>
      <x:c r="G114" s="22" t="str">
        <x:v>Las frecuencias contrastan P²⁵, con máximo |z| ≈ 2,41. Si cambia P, las frecuencias conservan el modelo original y dejan de ser un contraste del nuevo escenario.</x:v>
      </x:c>
      <x:c r="H114" s="22" t="str">
        <x:v>Las frecuencias contrastan P²⁵, con máximo |z| ≈ 2,41. Si cambia P, las frecuencias conservan el modelo original y dejan de ser un contraste del nuevo escenario.</x:v>
      </x:c>
      <x:c r="I114" s="22" t="str">
        <x:v>Las frecuencias contrastan P²⁵, con máximo |z| ≈ 2,41. Si cambia P, las frecuencias conservan el modelo original y dejan de ser un contraste del nuevo escenario.</x:v>
      </x:c>
      <x:c r="J114" s="22" t="str">
        <x:v>Las frecuencias contrastan P²⁵, con máximo |z| ≈ 2,41. Si cambia P, las frecuencias conservan el modelo original y dejan de ser un contraste del nuevo escenario.</x:v>
      </x:c>
    </x:row>
    <x:row r="115" ht="22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</x:row>
    <x:row r="116" ht="22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</x:row>
    <x:row r="117" ht="22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</x:row>
    <x:row r="118" ht="22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</x:row>
    <x:row r="119" ht="22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</x:row>
    <x:row r="120" ht="22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</x:row>
    <x:row r="121" ht="22" customHeight="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</x:row>
    <x:row r="122" ht="22" customHeight="1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</x:row>
    <x:row r="123" ht="22" customHeight="1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</x:row>
    <x:row r="124" ht="22" customHeight="1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</x:row>
    <x:row r="125" ht="22" customHeight="1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</x:row>
    <x:row r="126" ht="22" customHeight="1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</x:row>
    <x:row r="127" ht="22" customHeight="1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</x:row>
    <x:row r="128" ht="22" customHeight="1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</x:row>
    <x:row r="129" ht="22" customHeight="1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</x:row>
    <x:row r="130" ht="22" customHeight="1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</x:row>
    <x:row r="131" ht="22" customHeight="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</x:row>
    <x:row r="132" ht="22" customHeight="1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</x:row>
    <x:row r="133" ht="22" customHeight="1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</x:row>
    <x:row r="134" ht="22" customHeight="1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</x:row>
    <x:row r="135" ht="22" customHeight="1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</x:row>
    <x:row r="136" ht="22" customHeight="1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</x:row>
    <x:row r="137" ht="22" customHeight="1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</x:row>
    <x:row r="138" ht="22" customHeight="1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</x:row>
    <x:row r="139" ht="22" customHeight="1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</x:row>
    <x:row r="140" ht="22" customHeight="1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</x:row>
    <x:row r="141" ht="22" customHeight="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</x:row>
  </x:sheetData>
  <x:mergeCells>
    <x:mergeCell ref="A1:J2"/>
    <x:mergeCell ref="A3:J4"/>
    <x:mergeCell ref="A6:J6"/>
    <x:mergeCell ref="A38:J38"/>
    <x:mergeCell ref="A39:J39"/>
    <x:mergeCell ref="A41:J41"/>
    <x:mergeCell ref="A44:J44"/>
    <x:mergeCell ref="A46:J46"/>
    <x:mergeCell ref="A47:J48"/>
    <x:mergeCell ref="A49:J49"/>
    <x:mergeCell ref="A50:J51"/>
    <x:mergeCell ref="A52:J52"/>
    <x:mergeCell ref="A53:J54"/>
    <x:mergeCell ref="A55:J55"/>
    <x:mergeCell ref="A56:J57"/>
    <x:mergeCell ref="A58:J58"/>
    <x:mergeCell ref="A59:J60"/>
    <x:mergeCell ref="A61:J61"/>
    <x:mergeCell ref="A62:J63"/>
    <x:mergeCell ref="A66:J66"/>
    <x:mergeCell ref="A114:J114"/>
  </x:mergeCells>
  <x:conditionalFormatting sqref="G8:G35">
    <x:cfRule type="containsText" dxfId="0" priority="1" operator="containsText" text="OK"/>
    <x:cfRule type="containsText" dxfId="1" priority="2" operator="containsText" text="REVISAR"/>
  </x:conditionalFormatting>
  <x:pageMargins left="0.7" right="0.7" top="0.75" bottom="0.75" header="0.3" footer="0.3"/>
</x:worksheet>
</file>